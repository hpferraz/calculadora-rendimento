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slicers/slicer2.xml" ContentType="application/vnd.ms-excel.slicer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/>
  <bookViews>
    <workbookView xWindow="0" yWindow="0" windowWidth="23040" windowHeight="9192"/>
  </bookViews>
  <sheets>
    <sheet name="IC Cortes" sheetId="2" r:id="rId1"/>
    <sheet name="Coleta" sheetId="1" r:id="rId2"/>
  </sheets>
  <definedNames>
    <definedName name="_xlnm.Print_Area" localSheetId="0">'IC Cortes'!$A$3:$AR$60</definedName>
    <definedName name="SegmentaçãodeDados_Família">#N/A</definedName>
    <definedName name="SegmentaçãodeDados_Mês">#N/A</definedName>
    <definedName name="SegmentaçãodeDados_Turno1">#N/A</definedName>
    <definedName name="_xlnm.Print_Titles" localSheetId="0">'IC Cortes'!$E:$F,'IC Cortes'!$3:$3</definedName>
  </definedNames>
  <calcPr calcId="152511"/>
  <pivotCaches>
    <pivotCache cacheId="4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5"/>
        <x14:slicerCache r:id="rId6"/>
      </x15:slicerCaches>
    </ext>
  </extLst>
</workbook>
</file>

<file path=xl/calcChain.xml><?xml version="1.0" encoding="utf-8"?>
<calcChain xmlns="http://schemas.openxmlformats.org/spreadsheetml/2006/main">
  <c r="A208" i="1" l="1"/>
  <c r="A209" i="1"/>
  <c r="A210" i="1"/>
  <c r="A211" i="1"/>
  <c r="A212" i="1"/>
  <c r="A213" i="1"/>
  <c r="A214" i="1"/>
  <c r="A215" i="1"/>
  <c r="A200" i="1" l="1"/>
  <c r="A201" i="1"/>
  <c r="A202" i="1"/>
  <c r="A203" i="1"/>
  <c r="A204" i="1"/>
  <c r="A205" i="1"/>
  <c r="A206" i="1"/>
  <c r="A207" i="1"/>
  <c r="A193" i="1" l="1"/>
  <c r="A194" i="1"/>
  <c r="A195" i="1"/>
  <c r="A196" i="1"/>
  <c r="A197" i="1"/>
  <c r="A198" i="1"/>
  <c r="A199" i="1"/>
  <c r="A189" i="1" l="1"/>
  <c r="A190" i="1"/>
  <c r="A191" i="1"/>
  <c r="A192" i="1"/>
  <c r="AC47" i="2"/>
  <c r="A185" i="1" l="1"/>
  <c r="A186" i="1"/>
  <c r="A187" i="1"/>
  <c r="A188" i="1"/>
  <c r="A181" i="1" l="1"/>
  <c r="A182" i="1"/>
  <c r="A183" i="1"/>
  <c r="A184" i="1"/>
  <c r="A177" i="1" l="1"/>
  <c r="A178" i="1"/>
  <c r="A179" i="1"/>
  <c r="A180" i="1"/>
  <c r="A173" i="1" l="1"/>
  <c r="A174" i="1"/>
  <c r="A175" i="1"/>
  <c r="A176" i="1"/>
  <c r="A168" i="1" l="1"/>
  <c r="A169" i="1"/>
  <c r="A170" i="1"/>
  <c r="A171" i="1"/>
  <c r="A172" i="1"/>
  <c r="A164" i="1" l="1"/>
  <c r="A165" i="1"/>
  <c r="A166" i="1"/>
  <c r="A167" i="1"/>
  <c r="A160" i="1" l="1"/>
  <c r="A161" i="1"/>
  <c r="A162" i="1"/>
  <c r="A163" i="1"/>
  <c r="A156" i="1" l="1"/>
  <c r="A157" i="1"/>
  <c r="A158" i="1"/>
  <c r="A159" i="1"/>
  <c r="E43" i="2" l="1"/>
  <c r="B43" i="2"/>
  <c r="B44" i="2"/>
  <c r="B45" i="2"/>
  <c r="A148" i="1" l="1"/>
  <c r="A149" i="1"/>
  <c r="A150" i="1"/>
  <c r="A151" i="1"/>
  <c r="A152" i="1"/>
  <c r="A153" i="1"/>
  <c r="A154" i="1"/>
  <c r="A155" i="1"/>
  <c r="A140" i="1" l="1"/>
  <c r="A141" i="1"/>
  <c r="A142" i="1"/>
  <c r="A143" i="1"/>
  <c r="A144" i="1"/>
  <c r="A145" i="1"/>
  <c r="A146" i="1"/>
  <c r="A147" i="1"/>
  <c r="A136" i="1" l="1"/>
  <c r="A137" i="1"/>
  <c r="A138" i="1"/>
  <c r="A139" i="1"/>
  <c r="A132" i="1" l="1"/>
  <c r="A133" i="1"/>
  <c r="A134" i="1"/>
  <c r="A135" i="1"/>
  <c r="A128" i="1" l="1"/>
  <c r="A129" i="1"/>
  <c r="A130" i="1"/>
  <c r="A131" i="1"/>
  <c r="A116" i="1" l="1"/>
  <c r="A117" i="1"/>
  <c r="A118" i="1"/>
  <c r="A119" i="1"/>
  <c r="A120" i="1"/>
  <c r="A121" i="1"/>
  <c r="A122" i="1"/>
  <c r="A123" i="1"/>
  <c r="A124" i="1"/>
  <c r="A125" i="1"/>
  <c r="A126" i="1"/>
  <c r="A127" i="1"/>
  <c r="A115" i="1" l="1"/>
  <c r="A111" i="1" l="1"/>
  <c r="A112" i="1"/>
  <c r="A113" i="1"/>
  <c r="A114" i="1"/>
  <c r="A110" i="1" l="1"/>
  <c r="A102" i="1" l="1"/>
  <c r="A103" i="1"/>
  <c r="A104" i="1"/>
  <c r="A105" i="1"/>
  <c r="A106" i="1"/>
  <c r="A107" i="1"/>
  <c r="A108" i="1"/>
  <c r="A109" i="1"/>
  <c r="A97" i="1" l="1"/>
  <c r="A98" i="1"/>
  <c r="A99" i="1"/>
  <c r="A100" i="1"/>
  <c r="A101" i="1"/>
  <c r="A92" i="1" l="1"/>
  <c r="A93" i="1"/>
  <c r="A94" i="1"/>
  <c r="A95" i="1"/>
  <c r="A96" i="1"/>
  <c r="A88" i="1" l="1"/>
  <c r="A89" i="1"/>
  <c r="A90" i="1"/>
  <c r="A91" i="1"/>
  <c r="A84" i="1" l="1"/>
  <c r="A85" i="1"/>
  <c r="A86" i="1"/>
  <c r="A87" i="1"/>
  <c r="A81" i="1" l="1"/>
  <c r="A82" i="1"/>
  <c r="A83" i="1"/>
  <c r="A77" i="1" l="1"/>
  <c r="A78" i="1"/>
  <c r="A79" i="1"/>
  <c r="A80" i="1"/>
  <c r="A73" i="1" l="1"/>
  <c r="A74" i="1"/>
  <c r="A75" i="1"/>
  <c r="A76" i="1"/>
  <c r="A69" i="1" l="1"/>
  <c r="A70" i="1"/>
  <c r="A71" i="1"/>
  <c r="A72" i="1"/>
  <c r="A66" i="1" l="1"/>
  <c r="A67" i="1"/>
  <c r="A68" i="1"/>
  <c r="A63" i="1" l="1"/>
  <c r="A64" i="1"/>
  <c r="A65" i="1"/>
  <c r="A59" i="1" l="1"/>
  <c r="A60" i="1"/>
  <c r="A61" i="1"/>
  <c r="A62" i="1"/>
  <c r="A3" i="1" l="1"/>
  <c r="A2" i="1" l="1"/>
  <c r="A55" i="1" l="1"/>
  <c r="A56" i="1"/>
  <c r="A57" i="1"/>
  <c r="A58" i="1"/>
  <c r="A47" i="1" l="1"/>
  <c r="A48" i="1"/>
  <c r="A49" i="1"/>
  <c r="A50" i="1"/>
  <c r="A51" i="1"/>
  <c r="A52" i="1"/>
  <c r="A53" i="1"/>
  <c r="A54" i="1"/>
  <c r="B60" i="2" l="1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AR3" i="2" l="1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E58" i="2" l="1"/>
  <c r="D58" i="2" s="1"/>
  <c r="E55" i="2"/>
  <c r="D55" i="2" s="1"/>
  <c r="E52" i="2"/>
  <c r="D52" i="2" s="1"/>
  <c r="E49" i="2"/>
  <c r="D49" i="2" s="1"/>
  <c r="E46" i="2"/>
  <c r="D46" i="2" s="1"/>
  <c r="E40" i="2"/>
  <c r="D40" i="2" s="1"/>
  <c r="E37" i="2"/>
  <c r="D37" i="2" s="1"/>
  <c r="E34" i="2"/>
  <c r="D34" i="2" s="1"/>
  <c r="E31" i="2"/>
  <c r="D31" i="2" s="1"/>
  <c r="E28" i="2"/>
  <c r="D28" i="2" s="1"/>
  <c r="E25" i="2"/>
  <c r="D25" i="2" s="1"/>
  <c r="E22" i="2"/>
  <c r="D22" i="2" s="1"/>
  <c r="E19" i="2"/>
  <c r="D19" i="2" s="1"/>
  <c r="E16" i="2"/>
  <c r="D16" i="2" s="1"/>
  <c r="E13" i="2"/>
  <c r="D13" i="2" s="1"/>
  <c r="E10" i="2"/>
  <c r="D10" i="2" s="1"/>
  <c r="E7" i="2"/>
  <c r="D7" i="2" s="1"/>
  <c r="E4" i="2"/>
  <c r="D4" i="2" s="1"/>
  <c r="D20" i="2" l="1"/>
  <c r="D59" i="2"/>
  <c r="D23" i="2"/>
  <c r="D32" i="2"/>
  <c r="D35" i="2"/>
  <c r="D38" i="2"/>
  <c r="D29" i="2"/>
  <c r="D5" i="2"/>
  <c r="D41" i="2"/>
  <c r="D26" i="2"/>
  <c r="D8" i="2"/>
  <c r="D47" i="2"/>
  <c r="D11" i="2"/>
  <c r="D14" i="2"/>
  <c r="D53" i="2"/>
  <c r="D50" i="2"/>
  <c r="D17" i="2"/>
  <c r="D56" i="2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D57" i="2" l="1"/>
  <c r="D18" i="2"/>
  <c r="D36" i="2"/>
  <c r="D54" i="2"/>
  <c r="D15" i="2"/>
  <c r="D60" i="2"/>
  <c r="D12" i="2"/>
  <c r="D21" i="2"/>
  <c r="D48" i="2"/>
  <c r="D9" i="2"/>
  <c r="D27" i="2"/>
  <c r="D42" i="2"/>
  <c r="D43" i="2" s="1"/>
  <c r="D6" i="2"/>
  <c r="D30" i="2"/>
  <c r="D39" i="2"/>
  <c r="D51" i="2"/>
  <c r="D33" i="2"/>
  <c r="D24" i="2"/>
  <c r="D44" i="2" l="1"/>
  <c r="D45" i="2" l="1"/>
  <c r="L26" i="2"/>
  <c r="AF59" i="2"/>
  <c r="AP14" i="2"/>
  <c r="AE4" i="2"/>
  <c r="AD50" i="2"/>
  <c r="K9" i="2"/>
  <c r="U51" i="2"/>
  <c r="AE51" i="2"/>
  <c r="Z21" i="2"/>
  <c r="AH51" i="2"/>
  <c r="G52" i="2"/>
  <c r="AN34" i="2"/>
  <c r="I12" i="2"/>
  <c r="AJ58" i="2"/>
  <c r="J34" i="2"/>
  <c r="P59" i="2"/>
  <c r="Z5" i="2"/>
  <c r="J50" i="2"/>
  <c r="AK31" i="2"/>
  <c r="N22" i="2"/>
  <c r="W17" i="2"/>
  <c r="Z12" i="2"/>
  <c r="X11" i="2"/>
  <c r="I15" i="2"/>
  <c r="AB59" i="2"/>
  <c r="AH11" i="2"/>
  <c r="AO4" i="2"/>
  <c r="AQ48" i="2"/>
  <c r="R17" i="2"/>
  <c r="R58" i="2"/>
  <c r="G22" i="2"/>
  <c r="AG22" i="2"/>
  <c r="AA33" i="2"/>
  <c r="AP29" i="2"/>
  <c r="L39" i="2"/>
  <c r="AR56" i="2"/>
  <c r="Q57" i="2"/>
  <c r="AR44" i="2"/>
  <c r="AH43" i="2"/>
  <c r="L55" i="2"/>
  <c r="AL41" i="2"/>
  <c r="AQ37" i="2"/>
  <c r="U46" i="2"/>
  <c r="M33" i="2"/>
  <c r="AO51" i="2"/>
  <c r="AL48" i="2"/>
  <c r="Y24" i="2"/>
  <c r="N25" i="2"/>
  <c r="AL13" i="2"/>
  <c r="O36" i="2"/>
  <c r="AC18" i="2"/>
  <c r="AN7" i="2"/>
  <c r="G43" i="2"/>
  <c r="AH53" i="2"/>
  <c r="AK10" i="2"/>
  <c r="K45" i="2"/>
  <c r="AA52" i="2"/>
  <c r="O24" i="2"/>
  <c r="AF35" i="2"/>
  <c r="AG36" i="2"/>
  <c r="AQ49" i="2"/>
  <c r="N34" i="2"/>
  <c r="AA41" i="2"/>
  <c r="P42" i="2"/>
  <c r="AG29" i="2"/>
  <c r="AG32" i="2"/>
  <c r="AR58" i="2"/>
  <c r="G37" i="2"/>
  <c r="AR8" i="2"/>
  <c r="AP24" i="2"/>
  <c r="Z44" i="2"/>
  <c r="Z30" i="2"/>
  <c r="AH17" i="2"/>
  <c r="I22" i="2"/>
  <c r="AK39" i="2"/>
  <c r="Y4" i="2"/>
  <c r="R5" i="2"/>
  <c r="AK23" i="2"/>
  <c r="AI17" i="2"/>
  <c r="AI57" i="2"/>
  <c r="U15" i="2"/>
  <c r="Y25" i="2"/>
  <c r="AA5" i="2"/>
  <c r="AI55" i="2"/>
  <c r="AP27" i="2"/>
  <c r="AB32" i="2"/>
  <c r="P10" i="2"/>
  <c r="AH58" i="2"/>
  <c r="U40" i="2"/>
  <c r="R4" i="2"/>
  <c r="J23" i="2"/>
  <c r="AQ47" i="2"/>
  <c r="AJ20" i="2"/>
  <c r="AO10" i="2"/>
  <c r="K48" i="2"/>
  <c r="M10" i="2"/>
  <c r="AG19" i="2"/>
  <c r="AQ5" i="2"/>
  <c r="AL16" i="2"/>
  <c r="Z54" i="2"/>
  <c r="AR11" i="2"/>
  <c r="M32" i="2"/>
  <c r="AM16" i="2"/>
  <c r="Z38" i="2"/>
  <c r="AI18" i="2"/>
  <c r="AP37" i="2"/>
  <c r="Q47" i="2"/>
  <c r="O35" i="2"/>
  <c r="J56" i="2"/>
  <c r="AH32" i="2"/>
  <c r="Z14" i="2"/>
  <c r="AO35" i="2"/>
  <c r="W55" i="2"/>
  <c r="X39" i="2"/>
  <c r="O26" i="2"/>
  <c r="O9" i="2"/>
  <c r="U44" i="2"/>
  <c r="O17" i="2"/>
  <c r="J44" i="2"/>
  <c r="U18" i="2"/>
  <c r="AH40" i="2"/>
  <c r="Y13" i="2"/>
  <c r="AI19" i="2"/>
  <c r="AJ29" i="2"/>
  <c r="G27" i="2"/>
  <c r="AD36" i="2"/>
  <c r="Y14" i="2"/>
  <c r="M37" i="2"/>
  <c r="AC6" i="2"/>
  <c r="AC49" i="2"/>
  <c r="AA11" i="2"/>
  <c r="AO46" i="2"/>
  <c r="AN46" i="2"/>
  <c r="AH46" i="2"/>
  <c r="AR15" i="2"/>
  <c r="P23" i="2"/>
  <c r="V19" i="2"/>
  <c r="Z20" i="2"/>
  <c r="AE47" i="2"/>
  <c r="P54" i="2"/>
  <c r="AD35" i="2"/>
  <c r="L12" i="2"/>
  <c r="AG55" i="2"/>
  <c r="V31" i="2"/>
  <c r="X8" i="2"/>
  <c r="AC14" i="2"/>
  <c r="AL8" i="2"/>
  <c r="AC60" i="2"/>
  <c r="AJ45" i="2"/>
  <c r="H40" i="2"/>
  <c r="AI5" i="2"/>
  <c r="G12" i="2"/>
  <c r="I28" i="2"/>
  <c r="AM34" i="2"/>
  <c r="G10" i="2"/>
  <c r="W51" i="2"/>
  <c r="AF49" i="2"/>
  <c r="V6" i="2"/>
  <c r="R56" i="2"/>
  <c r="AM9" i="2"/>
  <c r="Q15" i="2"/>
  <c r="AK11" i="2"/>
  <c r="V48" i="2"/>
  <c r="AB58" i="2"/>
  <c r="AG51" i="2"/>
  <c r="AP8" i="2"/>
  <c r="I54" i="2"/>
  <c r="K7" i="2"/>
  <c r="AJ32" i="2"/>
  <c r="Y10" i="2"/>
  <c r="AH38" i="2"/>
  <c r="AD33" i="2"/>
  <c r="Y59" i="2"/>
  <c r="AQ56" i="2"/>
  <c r="AI16" i="2"/>
  <c r="AE53" i="2"/>
  <c r="AL42" i="2"/>
  <c r="U39" i="2"/>
  <c r="AK6" i="2"/>
  <c r="G6" i="2"/>
  <c r="N24" i="2"/>
  <c r="AD54" i="2"/>
  <c r="AP7" i="2"/>
  <c r="Z11" i="2"/>
  <c r="AL10" i="2"/>
  <c r="AC25" i="2"/>
  <c r="W32" i="2"/>
  <c r="O19" i="2"/>
  <c r="AJ43" i="2"/>
  <c r="AN53" i="2"/>
  <c r="AN37" i="2"/>
  <c r="G17" i="2"/>
  <c r="AO28" i="2"/>
  <c r="AP41" i="2"/>
  <c r="AP48" i="2"/>
  <c r="Q7" i="2"/>
  <c r="K11" i="2"/>
  <c r="AQ53" i="2"/>
  <c r="Q26" i="2"/>
  <c r="W52" i="2"/>
  <c r="AE50" i="2"/>
  <c r="P16" i="2"/>
  <c r="AR42" i="2"/>
  <c r="R52" i="2"/>
  <c r="AG46" i="2"/>
  <c r="AO27" i="2"/>
  <c r="R36" i="2"/>
  <c r="J25" i="2"/>
  <c r="AC48" i="2"/>
  <c r="O51" i="2"/>
  <c r="G14" i="2"/>
  <c r="AH49" i="2"/>
  <c r="AI28" i="2"/>
  <c r="AL55" i="2"/>
  <c r="AK42" i="2"/>
  <c r="AA32" i="2"/>
  <c r="H32" i="2"/>
  <c r="AH24" i="2"/>
  <c r="Y27" i="2"/>
  <c r="L33" i="2"/>
  <c r="G9" i="2"/>
  <c r="AD59" i="2"/>
  <c r="H42" i="2"/>
  <c r="V59" i="2"/>
  <c r="X29" i="2"/>
  <c r="AD13" i="2"/>
  <c r="N31" i="2"/>
  <c r="AM52" i="2"/>
  <c r="Y50" i="2"/>
  <c r="AJ38" i="2"/>
  <c r="AJ60" i="2"/>
  <c r="AF41" i="2"/>
  <c r="AB28" i="2"/>
  <c r="W15" i="2"/>
  <c r="AC23" i="2"/>
  <c r="Q52" i="2"/>
  <c r="L5" i="2"/>
  <c r="P46" i="2"/>
  <c r="AQ46" i="2"/>
  <c r="AA24" i="2"/>
  <c r="Q43" i="2"/>
  <c r="L42" i="2"/>
  <c r="AP51" i="2"/>
  <c r="O58" i="2"/>
  <c r="W49" i="2"/>
  <c r="G28" i="2"/>
  <c r="AC41" i="2"/>
  <c r="AC11" i="2"/>
  <c r="AJ17" i="2"/>
  <c r="AH15" i="2"/>
  <c r="AP52" i="2"/>
  <c r="M43" i="2"/>
  <c r="Y39" i="2"/>
  <c r="Z36" i="2"/>
  <c r="P12" i="2"/>
  <c r="R25" i="2"/>
  <c r="R46" i="2"/>
  <c r="AG48" i="2"/>
  <c r="O23" i="2"/>
  <c r="X42" i="2"/>
  <c r="P48" i="2"/>
  <c r="AJ18" i="2"/>
  <c r="O57" i="2"/>
  <c r="AR60" i="2"/>
  <c r="AQ26" i="2"/>
  <c r="AP20" i="2"/>
  <c r="AO52" i="2"/>
  <c r="U26" i="2"/>
  <c r="AA30" i="2"/>
  <c r="G5" i="2"/>
  <c r="P24" i="2"/>
  <c r="J4" i="2"/>
  <c r="AO13" i="2"/>
  <c r="AL58" i="2"/>
  <c r="AP11" i="2"/>
  <c r="M51" i="2"/>
  <c r="AM46" i="2"/>
  <c r="AN18" i="2"/>
  <c r="H7" i="2"/>
  <c r="N27" i="2"/>
  <c r="V47" i="2"/>
  <c r="Q23" i="2"/>
  <c r="AC10" i="2"/>
  <c r="AK37" i="2"/>
  <c r="Q31" i="2"/>
  <c r="X23" i="2"/>
  <c r="AF36" i="2"/>
  <c r="AM25" i="2"/>
  <c r="AJ37" i="2"/>
  <c r="AG59" i="2"/>
  <c r="N42" i="2"/>
  <c r="O10" i="2"/>
  <c r="AF15" i="2"/>
  <c r="R33" i="2"/>
  <c r="AN24" i="2"/>
  <c r="AA44" i="2"/>
  <c r="I21" i="2"/>
  <c r="K5" i="2"/>
  <c r="Q13" i="2"/>
  <c r="AR26" i="2"/>
  <c r="AN58" i="2"/>
  <c r="Q9" i="2"/>
  <c r="G13" i="2"/>
  <c r="W35" i="2"/>
  <c r="V22" i="2"/>
  <c r="Z47" i="2"/>
  <c r="H6" i="2"/>
  <c r="X35" i="2"/>
  <c r="AD15" i="2"/>
  <c r="K44" i="2"/>
  <c r="AR45" i="2"/>
  <c r="AK24" i="2"/>
  <c r="G45" i="2"/>
  <c r="J19" i="2"/>
  <c r="AO47" i="2"/>
  <c r="Q10" i="2"/>
  <c r="M25" i="2"/>
  <c r="AJ10" i="2"/>
  <c r="AP4" i="2"/>
  <c r="AA36" i="2"/>
  <c r="X54" i="2"/>
  <c r="J49" i="2"/>
  <c r="G44" i="2"/>
  <c r="Q18" i="2"/>
  <c r="AH14" i="2"/>
  <c r="AE12" i="2"/>
  <c r="O14" i="2"/>
  <c r="AF21" i="2"/>
  <c r="AK60" i="2"/>
  <c r="I25" i="2"/>
  <c r="U56" i="2"/>
  <c r="AK18" i="2"/>
  <c r="W18" i="2"/>
  <c r="L49" i="2"/>
  <c r="K32" i="2"/>
  <c r="K40" i="2"/>
  <c r="AR40" i="2"/>
  <c r="M31" i="2"/>
  <c r="N9" i="2"/>
  <c r="R44" i="2"/>
  <c r="I19" i="2"/>
  <c r="I32" i="2"/>
  <c r="O21" i="2"/>
  <c r="AG35" i="2"/>
  <c r="AP13" i="2"/>
  <c r="AB20" i="2"/>
  <c r="AI13" i="2"/>
  <c r="M52" i="2"/>
  <c r="AD22" i="2"/>
  <c r="AA21" i="2"/>
  <c r="H24" i="2"/>
  <c r="M48" i="2"/>
  <c r="AP26" i="2"/>
  <c r="M15" i="2"/>
  <c r="AA17" i="2"/>
  <c r="I40" i="2"/>
  <c r="AF30" i="2"/>
  <c r="X22" i="2"/>
  <c r="J6" i="2"/>
  <c r="V9" i="2"/>
  <c r="N55" i="2"/>
  <c r="AB49" i="2"/>
  <c r="AH10" i="2"/>
  <c r="J30" i="2"/>
  <c r="AG26" i="2"/>
  <c r="L46" i="2"/>
  <c r="AN57" i="2"/>
  <c r="AJ49" i="2"/>
  <c r="AK54" i="2"/>
  <c r="AO23" i="2"/>
  <c r="AO21" i="2"/>
  <c r="K21" i="2"/>
  <c r="L21" i="2"/>
  <c r="AQ22" i="2"/>
  <c r="AD44" i="2"/>
  <c r="Q36" i="2"/>
  <c r="R59" i="2"/>
  <c r="AJ33" i="2"/>
  <c r="AG24" i="2"/>
  <c r="Q22" i="2"/>
  <c r="Y57" i="2"/>
  <c r="AP44" i="2"/>
  <c r="AQ6" i="2"/>
  <c r="AQ30" i="2"/>
  <c r="AC42" i="2"/>
  <c r="AG14" i="2"/>
  <c r="AC57" i="2"/>
  <c r="AN20" i="2"/>
  <c r="AN21" i="2"/>
  <c r="R20" i="2"/>
  <c r="M55" i="2"/>
  <c r="O32" i="2"/>
  <c r="N8" i="2"/>
  <c r="AR30" i="2"/>
  <c r="AK36" i="2"/>
  <c r="N44" i="2"/>
  <c r="AD5" i="2"/>
  <c r="AF37" i="2"/>
  <c r="AA20" i="2"/>
  <c r="AA8" i="2"/>
  <c r="X34" i="2"/>
  <c r="AB40" i="2"/>
  <c r="Z7" i="2"/>
  <c r="Z52" i="2"/>
  <c r="K53" i="2"/>
  <c r="Y40" i="2"/>
  <c r="O28" i="2"/>
  <c r="V10" i="2"/>
  <c r="AL37" i="2"/>
  <c r="K50" i="2"/>
  <c r="G8" i="2"/>
  <c r="Z48" i="2"/>
  <c r="Q42" i="2"/>
  <c r="M11" i="2"/>
  <c r="AC33" i="2"/>
  <c r="H29" i="2"/>
  <c r="X6" i="2"/>
  <c r="H44" i="2"/>
  <c r="AE49" i="2"/>
  <c r="J38" i="2"/>
  <c r="N28" i="2"/>
  <c r="O12" i="2"/>
  <c r="O39" i="2"/>
  <c r="AB5" i="2"/>
  <c r="AA42" i="2"/>
  <c r="AM48" i="2"/>
  <c r="AQ29" i="2"/>
  <c r="AD11" i="2"/>
  <c r="AD27" i="2"/>
  <c r="AA53" i="2"/>
  <c r="AN39" i="2"/>
  <c r="K19" i="2"/>
  <c r="H19" i="2"/>
  <c r="AF39" i="2"/>
  <c r="Q38" i="2"/>
  <c r="AH57" i="2"/>
  <c r="K59" i="2"/>
  <c r="AB29" i="2"/>
  <c r="AB55" i="2"/>
  <c r="AM13" i="2"/>
  <c r="I35" i="2"/>
  <c r="K60" i="2"/>
  <c r="U33" i="2"/>
  <c r="H35" i="2"/>
  <c r="AQ7" i="2"/>
  <c r="AH60" i="2"/>
  <c r="H50" i="2"/>
  <c r="AD4" i="2"/>
  <c r="H17" i="2"/>
  <c r="AO26" i="2"/>
  <c r="AG39" i="2"/>
  <c r="K6" i="2"/>
  <c r="X14" i="2"/>
  <c r="AO58" i="2"/>
  <c r="I11" i="2"/>
  <c r="X57" i="2"/>
  <c r="AM60" i="2"/>
  <c r="AD37" i="2"/>
  <c r="AF55" i="2"/>
  <c r="AE48" i="2"/>
  <c r="AE22" i="2"/>
  <c r="X30" i="2"/>
  <c r="J40" i="2"/>
  <c r="AD30" i="2"/>
  <c r="H38" i="2"/>
  <c r="AF51" i="2"/>
  <c r="W53" i="2"/>
  <c r="AG43" i="2"/>
  <c r="AC37" i="2"/>
  <c r="Q40" i="2"/>
  <c r="AF7" i="2"/>
  <c r="AB15" i="2"/>
  <c r="AO41" i="2"/>
  <c r="AA50" i="2"/>
  <c r="AB50" i="2"/>
  <c r="G55" i="2"/>
  <c r="W42" i="2"/>
  <c r="Y37" i="2"/>
  <c r="AL6" i="2"/>
  <c r="L54" i="2"/>
  <c r="M54" i="2"/>
  <c r="AP55" i="2"/>
  <c r="AL39" i="2"/>
  <c r="AQ19" i="2"/>
  <c r="P21" i="2"/>
  <c r="AI37" i="2"/>
  <c r="H56" i="2"/>
  <c r="AR46" i="2"/>
  <c r="U16" i="2"/>
  <c r="AE56" i="2"/>
  <c r="U8" i="2"/>
  <c r="AG25" i="2"/>
  <c r="M29" i="2"/>
  <c r="O42" i="2"/>
  <c r="AD39" i="2"/>
  <c r="AQ33" i="2"/>
  <c r="W56" i="2"/>
  <c r="J31" i="2"/>
  <c r="AA47" i="2"/>
  <c r="P34" i="2"/>
  <c r="O27" i="2"/>
  <c r="AA31" i="2"/>
  <c r="P36" i="2"/>
  <c r="AB39" i="2"/>
  <c r="AK59" i="2"/>
  <c r="AH16" i="2"/>
  <c r="AE28" i="2"/>
  <c r="AG11" i="2"/>
  <c r="AJ51" i="2"/>
  <c r="M12" i="2"/>
  <c r="O34" i="2"/>
  <c r="X24" i="2"/>
  <c r="I58" i="2"/>
  <c r="AK27" i="2"/>
  <c r="AD49" i="2"/>
  <c r="AP28" i="2"/>
  <c r="X17" i="2"/>
  <c r="AO54" i="2"/>
  <c r="O7" i="2"/>
  <c r="AG52" i="2"/>
  <c r="Y38" i="2"/>
  <c r="AE33" i="2"/>
  <c r="R55" i="2"/>
  <c r="AB8" i="2"/>
  <c r="M42" i="2"/>
  <c r="W38" i="2"/>
  <c r="AH12" i="2"/>
  <c r="AR47" i="2"/>
  <c r="P37" i="2"/>
  <c r="AR22" i="2"/>
  <c r="V7" i="2"/>
  <c r="V29" i="2"/>
  <c r="I38" i="2"/>
  <c r="K28" i="2"/>
  <c r="U28" i="2"/>
  <c r="Y41" i="2"/>
  <c r="K22" i="2"/>
  <c r="AN35" i="2"/>
  <c r="AK29" i="2"/>
  <c r="X21" i="2"/>
  <c r="AM37" i="2"/>
  <c r="AR14" i="2"/>
  <c r="AP46" i="2"/>
  <c r="V50" i="2"/>
  <c r="AL31" i="2"/>
  <c r="AO31" i="2"/>
  <c r="AD14" i="2"/>
  <c r="O40" i="2"/>
  <c r="AC19" i="2"/>
  <c r="AC59" i="2"/>
  <c r="AD17" i="2"/>
  <c r="J26" i="2"/>
  <c r="AL7" i="2"/>
  <c r="J48" i="2"/>
  <c r="AR25" i="2"/>
  <c r="U30" i="2"/>
  <c r="P11" i="2"/>
  <c r="K33" i="2"/>
  <c r="AM54" i="2"/>
  <c r="Z57" i="2"/>
  <c r="AL56" i="2"/>
  <c r="AM33" i="2"/>
  <c r="M18" i="2"/>
  <c r="AJ41" i="2"/>
  <c r="AI21" i="2"/>
  <c r="AN59" i="2"/>
  <c r="Y32" i="2"/>
  <c r="AQ20" i="2"/>
  <c r="Q35" i="2"/>
  <c r="Z25" i="2"/>
  <c r="G25" i="2"/>
  <c r="V38" i="2"/>
  <c r="AG23" i="2"/>
  <c r="Q39" i="2"/>
  <c r="Q5" i="2"/>
  <c r="AR39" i="2"/>
  <c r="J5" i="2"/>
  <c r="H37" i="2"/>
  <c r="AL47" i="2"/>
  <c r="O6" i="2"/>
  <c r="AJ8" i="2"/>
  <c r="V46" i="2"/>
  <c r="X26" i="2"/>
  <c r="M46" i="2"/>
  <c r="G50" i="2"/>
  <c r="X9" i="2"/>
  <c r="AO6" i="2"/>
  <c r="AO29" i="2"/>
  <c r="N59" i="2"/>
  <c r="AI26" i="2"/>
  <c r="AP45" i="2"/>
  <c r="O38" i="2"/>
  <c r="Z6" i="2"/>
  <c r="AM36" i="2"/>
  <c r="R19" i="2"/>
  <c r="R60" i="2"/>
  <c r="H30" i="2"/>
  <c r="AQ24" i="2"/>
  <c r="X51" i="2"/>
  <c r="AI29" i="2"/>
  <c r="AD34" i="2"/>
  <c r="G54" i="2"/>
  <c r="AC58" i="2"/>
  <c r="AM58" i="2"/>
  <c r="V32" i="2"/>
  <c r="I34" i="2"/>
  <c r="AP35" i="2"/>
  <c r="AL35" i="2"/>
  <c r="AK34" i="2"/>
  <c r="AP43" i="2"/>
  <c r="U25" i="2"/>
  <c r="AP40" i="2"/>
  <c r="V52" i="2"/>
  <c r="X32" i="2"/>
  <c r="AL60" i="2"/>
  <c r="AQ27" i="2"/>
  <c r="AH44" i="2"/>
  <c r="M21" i="2"/>
  <c r="AF27" i="2"/>
  <c r="P15" i="2"/>
  <c r="AD9" i="2"/>
  <c r="P38" i="2"/>
  <c r="AL18" i="2"/>
  <c r="AD41" i="2"/>
  <c r="AN5" i="2"/>
  <c r="AR48" i="2"/>
  <c r="AN33" i="2"/>
  <c r="AG31" i="2"/>
  <c r="AN42" i="2"/>
  <c r="AK14" i="2"/>
  <c r="L23" i="2"/>
  <c r="P57" i="2"/>
  <c r="K14" i="2"/>
  <c r="W33" i="2"/>
  <c r="AF54" i="2"/>
  <c r="AA14" i="2"/>
  <c r="W60" i="2"/>
  <c r="AN30" i="2"/>
  <c r="L52" i="2"/>
  <c r="AC4" i="2"/>
  <c r="AF29" i="2"/>
  <c r="N15" i="2"/>
  <c r="L28" i="2"/>
  <c r="AQ36" i="2"/>
  <c r="L47" i="2"/>
  <c r="AD21" i="2"/>
  <c r="X43" i="2"/>
  <c r="O48" i="2"/>
  <c r="Q16" i="2"/>
  <c r="V55" i="2"/>
  <c r="I17" i="2"/>
  <c r="Z55" i="2"/>
  <c r="V26" i="2"/>
  <c r="G21" i="2"/>
  <c r="G20" i="2"/>
  <c r="AK35" i="2"/>
  <c r="U12" i="2"/>
  <c r="AP34" i="2"/>
  <c r="M41" i="2"/>
  <c r="AG17" i="2"/>
  <c r="V27" i="2"/>
  <c r="AL30" i="2"/>
  <c r="L27" i="2"/>
  <c r="AA48" i="2"/>
  <c r="AK40" i="2"/>
  <c r="U31" i="2"/>
  <c r="V45" i="2"/>
  <c r="Q21" i="2"/>
  <c r="H16" i="2"/>
  <c r="U48" i="2"/>
  <c r="M22" i="2"/>
  <c r="Y11" i="2"/>
  <c r="AK4" i="2"/>
  <c r="L58" i="2"/>
  <c r="R42" i="2"/>
  <c r="P7" i="2"/>
  <c r="AD42" i="2"/>
  <c r="AL11" i="2"/>
  <c r="U5" i="2"/>
  <c r="X20" i="2"/>
  <c r="X44" i="2"/>
  <c r="I23" i="2"/>
  <c r="M26" i="2"/>
  <c r="Q32" i="2"/>
  <c r="P44" i="2"/>
  <c r="AH42" i="2"/>
  <c r="AP32" i="2"/>
  <c r="AD38" i="2"/>
  <c r="W25" i="2"/>
  <c r="AF10" i="2"/>
  <c r="AN22" i="2"/>
  <c r="AQ16" i="2"/>
  <c r="AQ35" i="2"/>
  <c r="AK57" i="2"/>
  <c r="AB45" i="2"/>
  <c r="AB56" i="2"/>
  <c r="J58" i="2"/>
  <c r="X18" i="2"/>
  <c r="AA10" i="2"/>
  <c r="AE24" i="2"/>
  <c r="P60" i="2"/>
  <c r="AM28" i="2"/>
  <c r="AF58" i="2"/>
  <c r="AB46" i="2"/>
  <c r="AN28" i="2"/>
  <c r="U57" i="2"/>
  <c r="K42" i="2"/>
  <c r="L60" i="2"/>
  <c r="K15" i="2"/>
  <c r="P19" i="2"/>
  <c r="W20" i="2"/>
  <c r="AH52" i="2"/>
  <c r="AD29" i="2"/>
  <c r="AF26" i="2"/>
  <c r="AH33" i="2"/>
  <c r="M36" i="2"/>
  <c r="AQ10" i="2"/>
  <c r="AN17" i="2"/>
  <c r="AJ56" i="2"/>
  <c r="AB4" i="2"/>
  <c r="AL36" i="2"/>
  <c r="H23" i="2"/>
  <c r="Z16" i="2"/>
  <c r="AE37" i="2"/>
  <c r="Z35" i="2"/>
  <c r="Z9" i="2"/>
  <c r="U35" i="2"/>
  <c r="Z34" i="2"/>
  <c r="AC38" i="2"/>
  <c r="AB26" i="2"/>
  <c r="H15" i="2"/>
  <c r="P26" i="2"/>
  <c r="AD23" i="2"/>
  <c r="U43" i="2"/>
  <c r="AO40" i="2"/>
  <c r="U11" i="2"/>
  <c r="V12" i="2"/>
  <c r="AN44" i="2"/>
  <c r="Z37" i="2"/>
  <c r="AM12" i="2"/>
  <c r="W30" i="2"/>
  <c r="Q20" i="2"/>
  <c r="I9" i="2"/>
  <c r="AO60" i="2"/>
  <c r="AJ42" i="2"/>
  <c r="H27" i="2"/>
  <c r="AQ58" i="2"/>
  <c r="AL19" i="2"/>
  <c r="AH27" i="2"/>
  <c r="W57" i="2"/>
  <c r="V42" i="2"/>
  <c r="AN54" i="2"/>
  <c r="N35" i="2"/>
  <c r="Z42" i="2"/>
  <c r="AI4" i="2"/>
  <c r="AD51" i="2"/>
  <c r="AI60" i="2"/>
  <c r="AA38" i="2"/>
  <c r="P52" i="2"/>
  <c r="P13" i="2"/>
  <c r="AP38" i="2"/>
  <c r="M6" i="2"/>
  <c r="M8" i="2"/>
  <c r="O56" i="2"/>
  <c r="AD57" i="2"/>
  <c r="AB41" i="2"/>
  <c r="AI25" i="2"/>
  <c r="W31" i="2"/>
  <c r="H18" i="2"/>
  <c r="P31" i="2"/>
  <c r="AC20" i="2"/>
  <c r="AM32" i="2"/>
  <c r="N21" i="2"/>
  <c r="M39" i="2"/>
  <c r="I14" i="2"/>
  <c r="AK26" i="2"/>
  <c r="V13" i="2"/>
  <c r="AB42" i="2"/>
  <c r="X58" i="2"/>
  <c r="R12" i="2"/>
  <c r="AM10" i="2"/>
  <c r="M30" i="2"/>
  <c r="V18" i="2"/>
  <c r="H13" i="2"/>
  <c r="AE7" i="2"/>
  <c r="AG5" i="2"/>
  <c r="K39" i="2"/>
  <c r="V40" i="2"/>
  <c r="X4" i="2"/>
  <c r="AQ55" i="2"/>
  <c r="Q53" i="2"/>
  <c r="AM20" i="2"/>
  <c r="W50" i="2"/>
  <c r="J12" i="2"/>
  <c r="P32" i="2"/>
  <c r="AK33" i="2"/>
  <c r="AG8" i="2"/>
  <c r="AI50" i="2"/>
  <c r="X49" i="2"/>
  <c r="AQ45" i="2"/>
  <c r="AB57" i="2"/>
  <c r="AE27" i="2"/>
  <c r="AE6" i="2"/>
  <c r="AO34" i="2"/>
  <c r="H11" i="2"/>
  <c r="AE41" i="2"/>
  <c r="AP17" i="2"/>
  <c r="I44" i="2"/>
  <c r="U52" i="2"/>
  <c r="Q14" i="2"/>
  <c r="U50" i="2"/>
  <c r="AI48" i="2"/>
  <c r="J45" i="2"/>
  <c r="AG54" i="2"/>
  <c r="AQ60" i="2"/>
  <c r="I8" i="2"/>
  <c r="V23" i="2"/>
  <c r="AL40" i="2"/>
  <c r="U22" i="2"/>
  <c r="U13" i="2"/>
  <c r="Q6" i="2"/>
  <c r="X15" i="2"/>
  <c r="AL45" i="2"/>
  <c r="AF23" i="2"/>
  <c r="AJ11" i="2"/>
  <c r="AP25" i="2"/>
  <c r="AC40" i="2"/>
  <c r="AE38" i="2"/>
  <c r="Z15" i="2"/>
  <c r="G49" i="2"/>
  <c r="AF60" i="2"/>
  <c r="N14" i="2"/>
  <c r="AJ44" i="2"/>
  <c r="X47" i="2"/>
  <c r="AB22" i="2"/>
  <c r="W47" i="2"/>
  <c r="AK51" i="2"/>
  <c r="M34" i="2"/>
  <c r="AM43" i="2"/>
  <c r="P43" i="2"/>
  <c r="K31" i="2"/>
  <c r="P20" i="2"/>
  <c r="AO57" i="2"/>
  <c r="AF22" i="2"/>
  <c r="K8" i="2"/>
  <c r="AM45" i="2"/>
  <c r="AO33" i="2"/>
  <c r="AD8" i="2"/>
  <c r="AF24" i="2"/>
  <c r="R21" i="2"/>
  <c r="Z26" i="2"/>
  <c r="P18" i="2"/>
  <c r="AQ4" i="2"/>
  <c r="AE9" i="2"/>
  <c r="AE14" i="2"/>
  <c r="V51" i="2"/>
  <c r="W4" i="2"/>
  <c r="L14" i="2"/>
  <c r="AE8" i="2"/>
  <c r="J24" i="2"/>
  <c r="O41" i="2"/>
  <c r="AR43" i="2"/>
  <c r="AC5" i="2"/>
  <c r="AK49" i="2"/>
  <c r="AH23" i="2"/>
  <c r="AH22" i="2"/>
  <c r="U45" i="2"/>
  <c r="K37" i="2"/>
  <c r="L8" i="2"/>
  <c r="AA58" i="2"/>
  <c r="Y55" i="2"/>
  <c r="AR18" i="2"/>
  <c r="O25" i="2"/>
  <c r="V15" i="2"/>
  <c r="AF48" i="2"/>
  <c r="K49" i="2"/>
  <c r="P56" i="2"/>
  <c r="AN13" i="2"/>
  <c r="K38" i="2"/>
  <c r="J18" i="2"/>
  <c r="M7" i="2"/>
  <c r="Y23" i="2"/>
  <c r="H33" i="2"/>
  <c r="AF13" i="2"/>
  <c r="AB13" i="2"/>
  <c r="L37" i="2"/>
  <c r="AI53" i="2"/>
  <c r="J57" i="2"/>
  <c r="AP59" i="2"/>
  <c r="R38" i="2"/>
  <c r="AH56" i="2"/>
  <c r="Q12" i="2"/>
  <c r="W6" i="2"/>
  <c r="L45" i="2"/>
  <c r="W14" i="2"/>
  <c r="AA60" i="2"/>
  <c r="AC51" i="2"/>
  <c r="AJ22" i="2"/>
  <c r="U55" i="2"/>
  <c r="X10" i="2"/>
  <c r="U58" i="2"/>
  <c r="AA23" i="2"/>
  <c r="AI33" i="2"/>
  <c r="AI58" i="2"/>
  <c r="N33" i="2"/>
  <c r="AA59" i="2"/>
  <c r="Z24" i="2"/>
  <c r="AD25" i="2"/>
  <c r="AK15" i="2"/>
  <c r="AM31" i="2"/>
  <c r="AQ59" i="2"/>
  <c r="AG20" i="2"/>
  <c r="N23" i="2"/>
  <c r="AL9" i="2"/>
  <c r="M38" i="2"/>
  <c r="I59" i="2"/>
  <c r="AB37" i="2"/>
  <c r="AH7" i="2"/>
  <c r="AJ12" i="2"/>
  <c r="J47" i="2"/>
  <c r="AR29" i="2"/>
  <c r="N13" i="2"/>
  <c r="Z60" i="2"/>
  <c r="I57" i="2"/>
  <c r="AN19" i="2"/>
  <c r="AH31" i="2"/>
  <c r="V14" i="2"/>
  <c r="Z41" i="2"/>
  <c r="AC17" i="2"/>
  <c r="K52" i="2"/>
  <c r="AD46" i="2"/>
  <c r="L32" i="2"/>
  <c r="Y12" i="2"/>
  <c r="AP58" i="2"/>
  <c r="AD10" i="2"/>
  <c r="AK44" i="2"/>
  <c r="AL26" i="2"/>
  <c r="J36" i="2"/>
  <c r="G34" i="2"/>
  <c r="H43" i="2"/>
  <c r="AJ14" i="2"/>
  <c r="AC46" i="2"/>
  <c r="P51" i="2"/>
  <c r="AF9" i="2"/>
  <c r="Q46" i="2"/>
  <c r="O47" i="2"/>
  <c r="AF40" i="2"/>
  <c r="X56" i="2"/>
  <c r="O45" i="2"/>
  <c r="AD26" i="2"/>
  <c r="W7" i="2"/>
  <c r="G60" i="2"/>
  <c r="AL29" i="2"/>
  <c r="J20" i="2"/>
  <c r="V5" i="2"/>
  <c r="AG38" i="2"/>
  <c r="O5" i="2"/>
  <c r="K36" i="2"/>
  <c r="W59" i="2"/>
  <c r="AR27" i="2"/>
  <c r="AL25" i="2"/>
  <c r="P17" i="2"/>
  <c r="N7" i="2"/>
  <c r="AQ41" i="2"/>
  <c r="AC7" i="2"/>
  <c r="G4" i="2"/>
  <c r="P5" i="2"/>
  <c r="AC43" i="2"/>
  <c r="O44" i="2"/>
  <c r="G11" i="2"/>
  <c r="O18" i="2"/>
  <c r="AE58" i="2"/>
  <c r="AE60" i="2"/>
  <c r="O20" i="2"/>
  <c r="H8" i="2"/>
  <c r="W22" i="2"/>
  <c r="AQ21" i="2"/>
  <c r="AF57" i="2"/>
  <c r="R23" i="2"/>
  <c r="AF16" i="2"/>
  <c r="O60" i="2"/>
  <c r="AP15" i="2"/>
  <c r="AQ32" i="2"/>
  <c r="AM24" i="2"/>
  <c r="I39" i="2"/>
  <c r="L59" i="2"/>
  <c r="Q33" i="2"/>
  <c r="P8" i="2"/>
  <c r="AA49" i="2"/>
  <c r="AP18" i="2"/>
  <c r="AP36" i="2"/>
  <c r="AI51" i="2"/>
  <c r="Y51" i="2"/>
  <c r="M59" i="2"/>
  <c r="AG21" i="2"/>
  <c r="W46" i="2"/>
  <c r="Y48" i="2"/>
  <c r="AA7" i="2"/>
  <c r="L38" i="2"/>
  <c r="AO20" i="2"/>
  <c r="AI34" i="2"/>
  <c r="AM51" i="2"/>
  <c r="AH48" i="2"/>
  <c r="AN11" i="2"/>
  <c r="H39" i="2"/>
  <c r="AM14" i="2"/>
  <c r="AH25" i="2"/>
  <c r="G7" i="2"/>
  <c r="V16" i="2"/>
  <c r="K47" i="2"/>
  <c r="AF43" i="2"/>
  <c r="AL5" i="2"/>
  <c r="P41" i="2"/>
  <c r="R32" i="2"/>
  <c r="AJ26" i="2"/>
  <c r="P27" i="2"/>
  <c r="AQ25" i="2"/>
  <c r="I47" i="2"/>
  <c r="N38" i="2"/>
  <c r="AE32" i="2"/>
  <c r="AR32" i="2"/>
  <c r="AF31" i="2"/>
  <c r="AF17" i="2"/>
  <c r="AK9" i="2"/>
  <c r="AL28" i="2"/>
  <c r="I4" i="2"/>
  <c r="AC30" i="2"/>
  <c r="AH35" i="2"/>
  <c r="W27" i="2"/>
  <c r="U27" i="2"/>
  <c r="AI46" i="2"/>
  <c r="L6" i="2"/>
  <c r="H46" i="2"/>
  <c r="Z8" i="2"/>
  <c r="J8" i="2"/>
  <c r="AD47" i="2"/>
  <c r="R54" i="2"/>
  <c r="R57" i="2"/>
  <c r="AL43" i="2"/>
  <c r="AB19" i="2"/>
  <c r="J13" i="2"/>
  <c r="AF52" i="2"/>
  <c r="AO56" i="2"/>
  <c r="H22" i="2"/>
  <c r="R50" i="2"/>
  <c r="U23" i="2"/>
  <c r="AE15" i="2"/>
  <c r="AL50" i="2"/>
  <c r="AR23" i="2"/>
  <c r="AL23" i="2"/>
  <c r="AP21" i="2"/>
  <c r="G59" i="2"/>
  <c r="AD12" i="2"/>
  <c r="X7" i="2"/>
  <c r="AE26" i="2"/>
  <c r="U53" i="2"/>
  <c r="G38" i="2"/>
  <c r="Q29" i="2"/>
  <c r="AJ4" i="2"/>
  <c r="G58" i="2"/>
  <c r="U36" i="2"/>
  <c r="AI11" i="2"/>
  <c r="AM6" i="2"/>
  <c r="U7" i="2"/>
  <c r="AE10" i="2"/>
  <c r="I48" i="2"/>
  <c r="P28" i="2"/>
  <c r="AQ31" i="2"/>
  <c r="L34" i="2"/>
  <c r="G53" i="2"/>
  <c r="AR34" i="2"/>
  <c r="I45" i="2"/>
  <c r="AD16" i="2"/>
  <c r="V36" i="2"/>
  <c r="AC55" i="2"/>
  <c r="AJ40" i="2"/>
  <c r="P25" i="2"/>
  <c r="V44" i="2"/>
  <c r="P14" i="2"/>
  <c r="G29" i="2"/>
  <c r="AP60" i="2"/>
  <c r="AR35" i="2"/>
  <c r="J33" i="2"/>
  <c r="AC45" i="2"/>
  <c r="AQ57" i="2"/>
  <c r="AR59" i="2"/>
  <c r="AA25" i="2"/>
  <c r="AJ50" i="2"/>
  <c r="AA34" i="2"/>
  <c r="U24" i="2"/>
  <c r="X45" i="2"/>
  <c r="K23" i="2"/>
  <c r="Y58" i="2"/>
  <c r="Q8" i="2"/>
  <c r="AM11" i="2"/>
  <c r="Z22" i="2"/>
  <c r="AN41" i="2"/>
  <c r="AI15" i="2"/>
  <c r="U29" i="2"/>
  <c r="R41" i="2"/>
  <c r="U42" i="2"/>
  <c r="AH9" i="2"/>
  <c r="AR7" i="2"/>
  <c r="I33" i="2"/>
  <c r="AH4" i="2"/>
  <c r="N11" i="2"/>
  <c r="AF25" i="2"/>
  <c r="R26" i="2"/>
  <c r="AP42" i="2"/>
  <c r="AH41" i="2"/>
  <c r="AM21" i="2"/>
  <c r="AD52" i="2"/>
  <c r="Q4" i="2"/>
  <c r="AH36" i="2"/>
  <c r="K29" i="2"/>
  <c r="M19" i="2"/>
  <c r="AB33" i="2"/>
  <c r="AL54" i="2"/>
  <c r="H47" i="2"/>
  <c r="J7" i="2"/>
  <c r="L19" i="2"/>
  <c r="AE52" i="2"/>
  <c r="AO11" i="2"/>
  <c r="N53" i="2"/>
  <c r="AJ7" i="2"/>
  <c r="AN47" i="2"/>
  <c r="Q30" i="2"/>
  <c r="AM53" i="2"/>
  <c r="AB30" i="2"/>
  <c r="G24" i="2"/>
  <c r="AC35" i="2"/>
  <c r="AG47" i="2"/>
  <c r="Y54" i="2"/>
  <c r="AL14" i="2"/>
  <c r="AR54" i="2"/>
  <c r="P55" i="2"/>
  <c r="G23" i="2"/>
  <c r="AJ13" i="2"/>
  <c r="AF12" i="2"/>
  <c r="U10" i="2"/>
  <c r="AD6" i="2"/>
  <c r="P53" i="2"/>
  <c r="AE31" i="2"/>
  <c r="Z45" i="2"/>
  <c r="V34" i="2"/>
  <c r="AB25" i="2"/>
  <c r="AL12" i="2"/>
  <c r="AH8" i="2"/>
  <c r="I18" i="2"/>
  <c r="AH55" i="2"/>
  <c r="N17" i="2"/>
  <c r="AR13" i="2"/>
  <c r="AB10" i="2"/>
  <c r="AC56" i="2"/>
  <c r="AI22" i="2"/>
  <c r="AQ14" i="2"/>
  <c r="V21" i="2"/>
  <c r="AC28" i="2"/>
  <c r="AK52" i="2"/>
  <c r="I53" i="2"/>
  <c r="H58" i="2"/>
  <c r="AN14" i="2"/>
  <c r="AE36" i="2"/>
  <c r="AQ44" i="2"/>
  <c r="Y43" i="2"/>
  <c r="AE18" i="2"/>
  <c r="AA54" i="2"/>
  <c r="AB53" i="2"/>
  <c r="AO59" i="2"/>
  <c r="P50" i="2"/>
  <c r="X5" i="2"/>
  <c r="AG40" i="2"/>
  <c r="N4" i="2"/>
  <c r="J54" i="2"/>
  <c r="AQ34" i="2"/>
  <c r="AJ53" i="2"/>
  <c r="AM41" i="2"/>
  <c r="AB54" i="2"/>
  <c r="AB24" i="2"/>
  <c r="AI32" i="2"/>
  <c r="R22" i="2"/>
  <c r="Z59" i="2"/>
  <c r="X37" i="2"/>
  <c r="AO25" i="2"/>
  <c r="J15" i="2"/>
  <c r="AC9" i="2"/>
  <c r="AG34" i="2"/>
  <c r="AD45" i="2"/>
  <c r="AG57" i="2"/>
  <c r="M45" i="2"/>
  <c r="K13" i="2"/>
  <c r="R40" i="2"/>
  <c r="AL32" i="2"/>
  <c r="X31" i="2"/>
  <c r="AJ9" i="2"/>
  <c r="G35" i="2"/>
  <c r="AK43" i="2"/>
  <c r="Y29" i="2"/>
  <c r="H4" i="2"/>
  <c r="AQ28" i="2"/>
  <c r="AM59" i="2"/>
  <c r="L41" i="2"/>
  <c r="AI36" i="2"/>
  <c r="Q17" i="2"/>
  <c r="V33" i="2"/>
  <c r="X50" i="2"/>
  <c r="AM57" i="2"/>
  <c r="AE39" i="2"/>
  <c r="AP39" i="2"/>
  <c r="K56" i="2"/>
  <c r="O15" i="2"/>
  <c r="K12" i="2"/>
  <c r="G41" i="2"/>
  <c r="AK38" i="2"/>
  <c r="K17" i="2"/>
  <c r="O50" i="2"/>
  <c r="AF53" i="2"/>
  <c r="O54" i="2"/>
  <c r="AH18" i="2"/>
  <c r="R13" i="2"/>
  <c r="AA55" i="2"/>
  <c r="AB38" i="2"/>
  <c r="R39" i="2"/>
  <c r="AK12" i="2"/>
  <c r="AQ13" i="2"/>
  <c r="Q45" i="2"/>
  <c r="AP6" i="2"/>
  <c r="N29" i="2"/>
  <c r="V57" i="2"/>
  <c r="G57" i="2"/>
  <c r="W23" i="2"/>
  <c r="L22" i="2"/>
  <c r="Y16" i="2"/>
  <c r="AK32" i="2"/>
  <c r="N52" i="2"/>
  <c r="L30" i="2"/>
  <c r="Y31" i="2"/>
  <c r="K55" i="2"/>
  <c r="AR49" i="2"/>
  <c r="I50" i="2"/>
  <c r="AE30" i="2"/>
  <c r="X36" i="2"/>
  <c r="AA15" i="2"/>
  <c r="AG44" i="2"/>
  <c r="U9" i="2"/>
  <c r="AN55" i="2"/>
  <c r="X41" i="2"/>
  <c r="I42" i="2"/>
  <c r="AP12" i="2"/>
  <c r="K10" i="2"/>
  <c r="J11" i="2"/>
  <c r="H5" i="2"/>
  <c r="AN23" i="2"/>
  <c r="M57" i="2"/>
  <c r="M13" i="2"/>
  <c r="AN32" i="2"/>
  <c r="X53" i="2"/>
  <c r="AI10" i="2"/>
  <c r="W48" i="2"/>
  <c r="AD48" i="2"/>
  <c r="AG6" i="2"/>
  <c r="I5" i="2"/>
  <c r="V56" i="2"/>
  <c r="V60" i="2"/>
  <c r="AO24" i="2"/>
  <c r="Q19" i="2"/>
  <c r="AN9" i="2"/>
  <c r="AI24" i="2"/>
  <c r="AL53" i="2"/>
  <c r="W43" i="2"/>
  <c r="Y7" i="2"/>
  <c r="H57" i="2"/>
  <c r="AK21" i="2"/>
  <c r="J22" i="2"/>
  <c r="V49" i="2"/>
  <c r="J37" i="2"/>
  <c r="AR9" i="2"/>
  <c r="V20" i="2"/>
  <c r="N20" i="2"/>
  <c r="K24" i="2"/>
  <c r="AF50" i="2"/>
  <c r="AE35" i="2"/>
  <c r="AB14" i="2"/>
  <c r="AB35" i="2"/>
  <c r="H10" i="2"/>
  <c r="AJ31" i="2"/>
  <c r="AC53" i="2"/>
  <c r="AD31" i="2"/>
  <c r="G31" i="2"/>
  <c r="AJ15" i="2"/>
  <c r="U54" i="2"/>
  <c r="K46" i="2"/>
  <c r="AH5" i="2"/>
  <c r="AJ16" i="2"/>
  <c r="AN26" i="2"/>
  <c r="AN38" i="2"/>
  <c r="K25" i="2"/>
  <c r="AP10" i="2"/>
  <c r="L29" i="2"/>
  <c r="AR31" i="2"/>
  <c r="I30" i="2"/>
  <c r="AI8" i="2"/>
  <c r="H49" i="2"/>
  <c r="N48" i="2"/>
  <c r="AB17" i="2"/>
  <c r="R16" i="2"/>
  <c r="AQ50" i="2"/>
  <c r="Y52" i="2"/>
  <c r="I49" i="2"/>
  <c r="W54" i="2"/>
  <c r="X59" i="2"/>
  <c r="Q34" i="2"/>
  <c r="AL20" i="2"/>
  <c r="P35" i="2"/>
  <c r="AD7" i="2"/>
  <c r="AE19" i="2"/>
  <c r="R6" i="2"/>
  <c r="M4" i="2"/>
  <c r="W45" i="2"/>
  <c r="AL46" i="2"/>
  <c r="AC21" i="2"/>
  <c r="U32" i="2"/>
  <c r="J46" i="2"/>
  <c r="J21" i="2"/>
  <c r="W24" i="2"/>
  <c r="AJ59" i="2"/>
  <c r="AL59" i="2"/>
  <c r="AJ34" i="2"/>
  <c r="P40" i="2"/>
  <c r="AQ12" i="2"/>
  <c r="AP30" i="2"/>
  <c r="AI43" i="2"/>
  <c r="M27" i="2"/>
  <c r="AI54" i="2"/>
  <c r="AJ39" i="2"/>
  <c r="AO53" i="2"/>
  <c r="AK22" i="2"/>
  <c r="AE5" i="2"/>
  <c r="AI41" i="2"/>
  <c r="AG27" i="2"/>
  <c r="O31" i="2"/>
  <c r="Q55" i="2"/>
  <c r="AO39" i="2"/>
  <c r="R53" i="2"/>
  <c r="AR37" i="2"/>
  <c r="AD60" i="2"/>
  <c r="Y30" i="2"/>
  <c r="N54" i="2"/>
  <c r="AL4" i="2"/>
  <c r="X12" i="2"/>
  <c r="AO19" i="2"/>
  <c r="AF11" i="2"/>
  <c r="Z51" i="2"/>
  <c r="AH39" i="2"/>
  <c r="I29" i="2"/>
  <c r="AM35" i="2"/>
  <c r="AQ15" i="2"/>
  <c r="AA51" i="2"/>
  <c r="AN45" i="2"/>
  <c r="U21" i="2"/>
  <c r="J16" i="2"/>
  <c r="L16" i="2"/>
  <c r="L15" i="2"/>
  <c r="I37" i="2"/>
  <c r="L57" i="2"/>
  <c r="AB51" i="2"/>
  <c r="R48" i="2"/>
  <c r="P39" i="2"/>
  <c r="AQ11" i="2"/>
  <c r="AB21" i="2"/>
  <c r="AF45" i="2"/>
  <c r="J55" i="2"/>
  <c r="AH54" i="2"/>
  <c r="J60" i="2"/>
  <c r="AP23" i="2"/>
  <c r="AJ55" i="2"/>
  <c r="Z43" i="2"/>
  <c r="AE20" i="2"/>
  <c r="W11" i="2"/>
  <c r="I27" i="2"/>
  <c r="N50" i="2"/>
  <c r="L43" i="2"/>
  <c r="AA56" i="2"/>
  <c r="R47" i="2"/>
  <c r="Y42" i="2"/>
  <c r="X19" i="2"/>
  <c r="W44" i="2"/>
  <c r="AB43" i="2"/>
  <c r="AO18" i="2"/>
  <c r="Y36" i="2"/>
  <c r="AI59" i="2"/>
  <c r="AE17" i="2"/>
  <c r="AH13" i="2"/>
  <c r="AE59" i="2"/>
  <c r="AK41" i="2"/>
  <c r="Q48" i="2"/>
  <c r="Z33" i="2"/>
  <c r="AJ21" i="2"/>
  <c r="AJ57" i="2"/>
  <c r="AE13" i="2"/>
  <c r="Z29" i="2"/>
  <c r="J28" i="2"/>
  <c r="AP5" i="2"/>
  <c r="K58" i="2"/>
  <c r="AC54" i="2"/>
  <c r="AA39" i="2"/>
  <c r="AC27" i="2"/>
  <c r="AP49" i="2"/>
  <c r="AM17" i="2"/>
  <c r="AE23" i="2"/>
  <c r="H25" i="2"/>
  <c r="Z27" i="2"/>
  <c r="M49" i="2"/>
  <c r="AO38" i="2"/>
  <c r="O43" i="2"/>
  <c r="R35" i="2"/>
  <c r="AH50" i="2"/>
  <c r="AH21" i="2"/>
  <c r="O53" i="2"/>
  <c r="N56" i="2"/>
  <c r="AM50" i="2"/>
  <c r="J43" i="2"/>
  <c r="N18" i="2"/>
  <c r="I6" i="2"/>
  <c r="AN36" i="2"/>
  <c r="AK17" i="2"/>
  <c r="AI31" i="2"/>
  <c r="AF28" i="2"/>
  <c r="AB52" i="2"/>
  <c r="K18" i="2"/>
  <c r="Z40" i="2"/>
  <c r="AE57" i="2"/>
  <c r="AO15" i="2"/>
  <c r="O29" i="2"/>
  <c r="O49" i="2"/>
  <c r="AK8" i="2"/>
  <c r="Y19" i="2"/>
  <c r="AQ42" i="2"/>
  <c r="Z49" i="2"/>
  <c r="V53" i="2"/>
  <c r="X13" i="2"/>
  <c r="Y26" i="2"/>
  <c r="AG30" i="2"/>
  <c r="I43" i="2"/>
  <c r="Q49" i="2"/>
  <c r="AC8" i="2"/>
  <c r="N57" i="2"/>
  <c r="P49" i="2"/>
  <c r="AD55" i="2"/>
  <c r="AN8" i="2"/>
  <c r="L31" i="2"/>
  <c r="AA26" i="2"/>
  <c r="AA43" i="2"/>
  <c r="AI23" i="2"/>
  <c r="J29" i="2"/>
  <c r="V28" i="2"/>
  <c r="K51" i="2"/>
  <c r="AI40" i="2"/>
  <c r="AM5" i="2"/>
  <c r="H54" i="2"/>
  <c r="AC34" i="2"/>
  <c r="W26" i="2"/>
  <c r="AK30" i="2"/>
  <c r="J42" i="2"/>
  <c r="AI38" i="2"/>
  <c r="K30" i="2"/>
  <c r="AN6" i="2"/>
  <c r="AF19" i="2"/>
  <c r="O55" i="2"/>
  <c r="AE34" i="2"/>
  <c r="AK25" i="2"/>
  <c r="AM18" i="2"/>
  <c r="AB9" i="2"/>
  <c r="AN25" i="2"/>
  <c r="AO17" i="2"/>
  <c r="Q24" i="2"/>
  <c r="AK58" i="2"/>
  <c r="Z58" i="2"/>
  <c r="AM38" i="2"/>
  <c r="Z56" i="2"/>
  <c r="AH37" i="2"/>
  <c r="G36" i="2"/>
  <c r="G39" i="2"/>
  <c r="Y49" i="2"/>
  <c r="O22" i="2"/>
  <c r="V11" i="2"/>
  <c r="AA18" i="2"/>
  <c r="H20" i="2"/>
  <c r="AD20" i="2"/>
  <c r="H59" i="2"/>
  <c r="W37" i="2"/>
  <c r="R11" i="2"/>
  <c r="L10" i="2"/>
  <c r="N49" i="2"/>
  <c r="AF33" i="2"/>
  <c r="AR38" i="2"/>
  <c r="AO8" i="2"/>
  <c r="K27" i="2"/>
  <c r="O33" i="2"/>
  <c r="Y47" i="2"/>
  <c r="AJ28" i="2"/>
  <c r="AR50" i="2"/>
  <c r="Y53" i="2"/>
  <c r="AD24" i="2"/>
  <c r="AK48" i="2"/>
  <c r="AL57" i="2"/>
  <c r="AK47" i="2"/>
  <c r="AM19" i="2"/>
  <c r="AI52" i="2"/>
  <c r="M35" i="2"/>
  <c r="Y15" i="2"/>
  <c r="N46" i="2"/>
  <c r="AA28" i="2"/>
  <c r="L50" i="2"/>
  <c r="AC12" i="2"/>
  <c r="P4" i="2"/>
  <c r="AG53" i="2"/>
  <c r="AK13" i="2"/>
  <c r="AG37" i="2"/>
  <c r="AJ48" i="2"/>
  <c r="AB18" i="2"/>
  <c r="Z23" i="2"/>
  <c r="K41" i="2"/>
  <c r="I10" i="2"/>
  <c r="AM44" i="2"/>
  <c r="Y6" i="2"/>
  <c r="AK7" i="2"/>
  <c r="Q41" i="2"/>
  <c r="AQ18" i="2"/>
  <c r="Y33" i="2"/>
  <c r="AO22" i="2"/>
  <c r="AR21" i="2"/>
  <c r="AK55" i="2"/>
  <c r="G30" i="2"/>
  <c r="I51" i="2"/>
  <c r="AB60" i="2"/>
  <c r="N40" i="2"/>
  <c r="AL15" i="2"/>
  <c r="AG49" i="2"/>
  <c r="R29" i="2"/>
  <c r="H21" i="2"/>
  <c r="AQ8" i="2"/>
  <c r="AG33" i="2"/>
  <c r="Z32" i="2"/>
  <c r="AN4" i="2"/>
  <c r="AB34" i="2"/>
  <c r="X16" i="2"/>
  <c r="V8" i="2"/>
  <c r="Y28" i="2"/>
  <c r="Q54" i="2"/>
  <c r="AR57" i="2"/>
  <c r="AO43" i="2"/>
  <c r="AQ17" i="2"/>
  <c r="AB7" i="2"/>
  <c r="Y20" i="2"/>
  <c r="AP54" i="2"/>
  <c r="Y56" i="2"/>
  <c r="N12" i="2"/>
  <c r="AM55" i="2"/>
  <c r="L44" i="2"/>
  <c r="J14" i="2"/>
  <c r="AE29" i="2"/>
  <c r="P58" i="2"/>
  <c r="R30" i="2"/>
  <c r="N30" i="2"/>
  <c r="M16" i="2"/>
  <c r="I46" i="2"/>
  <c r="AB27" i="2"/>
  <c r="AP56" i="2"/>
  <c r="AB16" i="2"/>
  <c r="Z31" i="2"/>
  <c r="V39" i="2"/>
  <c r="AI47" i="2"/>
  <c r="AG41" i="2"/>
  <c r="L13" i="2"/>
  <c r="L11" i="2"/>
  <c r="AK53" i="2"/>
  <c r="AL21" i="2"/>
  <c r="H60" i="2"/>
  <c r="AO49" i="2"/>
  <c r="AI42" i="2"/>
  <c r="AN31" i="2"/>
  <c r="M9" i="2"/>
  <c r="AF47" i="2"/>
  <c r="AL22" i="2"/>
  <c r="AL34" i="2"/>
  <c r="AJ24" i="2"/>
  <c r="U19" i="2"/>
  <c r="Z50" i="2"/>
  <c r="AH34" i="2"/>
  <c r="AM26" i="2"/>
  <c r="W5" i="2"/>
  <c r="AP33" i="2"/>
  <c r="R31" i="2"/>
  <c r="H14" i="2"/>
  <c r="M53" i="2"/>
  <c r="AH30" i="2"/>
  <c r="U47" i="2"/>
  <c r="L17" i="2"/>
  <c r="O37" i="2"/>
  <c r="Z13" i="2"/>
  <c r="AM27" i="2"/>
  <c r="P29" i="2"/>
  <c r="W9" i="2"/>
  <c r="R49" i="2"/>
  <c r="AK50" i="2"/>
  <c r="AM30" i="2"/>
  <c r="N10" i="2"/>
  <c r="AR24" i="2"/>
  <c r="AE21" i="2"/>
  <c r="L18" i="2"/>
  <c r="AC39" i="2"/>
  <c r="I7" i="2"/>
  <c r="G32" i="2"/>
  <c r="K4" i="2"/>
  <c r="AJ52" i="2"/>
  <c r="V30" i="2"/>
  <c r="Q44" i="2"/>
  <c r="AL38" i="2"/>
  <c r="AI49" i="2"/>
  <c r="AI9" i="2"/>
  <c r="AK56" i="2"/>
  <c r="V35" i="2"/>
  <c r="AN60" i="2"/>
  <c r="N60" i="2"/>
  <c r="M14" i="2"/>
  <c r="AQ51" i="2"/>
  <c r="H9" i="2"/>
  <c r="AJ5" i="2"/>
  <c r="W19" i="2"/>
  <c r="R37" i="2"/>
  <c r="U38" i="2"/>
  <c r="Z28" i="2"/>
  <c r="AO14" i="2"/>
  <c r="K54" i="2"/>
  <c r="AA46" i="2"/>
  <c r="H31" i="2"/>
  <c r="O52" i="2"/>
  <c r="AR33" i="2"/>
  <c r="Y5" i="2"/>
  <c r="AN10" i="2"/>
  <c r="U4" i="2"/>
  <c r="Q60" i="2"/>
  <c r="M50" i="2"/>
  <c r="U17" i="2"/>
  <c r="AI44" i="2"/>
  <c r="AL33" i="2"/>
  <c r="G56" i="2"/>
  <c r="N37" i="2"/>
  <c r="AK20" i="2"/>
  <c r="Y17" i="2"/>
  <c r="AD56" i="2"/>
  <c r="AE55" i="2"/>
  <c r="V54" i="2"/>
  <c r="Q50" i="2"/>
  <c r="H34" i="2"/>
  <c r="G18" i="2"/>
  <c r="L36" i="2"/>
  <c r="W28" i="2"/>
  <c r="AN48" i="2"/>
  <c r="U14" i="2"/>
  <c r="AA16" i="2"/>
  <c r="AR51" i="2"/>
  <c r="U49" i="2"/>
  <c r="AD32" i="2"/>
  <c r="X27" i="2"/>
  <c r="AN56" i="2"/>
  <c r="I60" i="2"/>
  <c r="AR12" i="2"/>
  <c r="AM56" i="2"/>
  <c r="AL24" i="2"/>
  <c r="X52" i="2"/>
  <c r="U6" i="2"/>
  <c r="M17" i="2"/>
  <c r="L48" i="2"/>
  <c r="AC22" i="2"/>
  <c r="J35" i="2"/>
  <c r="O4" i="2"/>
  <c r="AF44" i="2"/>
  <c r="AG42" i="2"/>
  <c r="W21" i="2"/>
  <c r="AC13" i="2"/>
  <c r="Y35" i="2"/>
  <c r="O11" i="2"/>
  <c r="N43" i="2"/>
  <c r="R27" i="2"/>
  <c r="J27" i="2"/>
  <c r="H28" i="2"/>
  <c r="AJ27" i="2"/>
  <c r="L40" i="2"/>
  <c r="Z53" i="2"/>
  <c r="AQ52" i="2"/>
  <c r="O59" i="2"/>
  <c r="O46" i="2"/>
  <c r="AC52" i="2"/>
  <c r="N45" i="2"/>
  <c r="G19" i="2"/>
  <c r="J52" i="2"/>
  <c r="AG56" i="2"/>
  <c r="J41" i="2"/>
  <c r="AM42" i="2"/>
  <c r="AM47" i="2"/>
  <c r="R51" i="2"/>
  <c r="Z19" i="2"/>
  <c r="AP22" i="2"/>
  <c r="AA27" i="2"/>
  <c r="AE54" i="2"/>
  <c r="AM22" i="2"/>
  <c r="AC32" i="2"/>
  <c r="AH29" i="2"/>
  <c r="X25" i="2"/>
  <c r="AQ54" i="2"/>
  <c r="I55" i="2"/>
  <c r="AG58" i="2"/>
  <c r="AN49" i="2"/>
  <c r="P6" i="2"/>
  <c r="H12" i="2"/>
  <c r="R24" i="2"/>
  <c r="M40" i="2"/>
  <c r="AI56" i="2"/>
  <c r="R7" i="2"/>
  <c r="AR28" i="2"/>
  <c r="AE42" i="2"/>
  <c r="W29" i="2"/>
  <c r="G40" i="2"/>
  <c r="R15" i="2"/>
  <c r="AN40" i="2"/>
  <c r="AL17" i="2"/>
  <c r="AD53" i="2"/>
  <c r="AK19" i="2"/>
  <c r="J10" i="2"/>
  <c r="AL49" i="2"/>
  <c r="AP16" i="2"/>
  <c r="W13" i="2"/>
  <c r="AG13" i="2"/>
  <c r="AC15" i="2"/>
  <c r="Y34" i="2"/>
  <c r="J59" i="2"/>
  <c r="I20" i="2"/>
  <c r="AO48" i="2"/>
  <c r="P33" i="2"/>
  <c r="AQ38" i="2"/>
  <c r="AI6" i="2"/>
  <c r="AF18" i="2"/>
  <c r="O13" i="2"/>
  <c r="N26" i="2"/>
  <c r="AF14" i="2"/>
  <c r="AG7" i="2"/>
  <c r="G15" i="2"/>
  <c r="Y8" i="2"/>
  <c r="L56" i="2"/>
  <c r="AG50" i="2"/>
  <c r="X55" i="2"/>
  <c r="Q25" i="2"/>
  <c r="AO5" i="2"/>
  <c r="P30" i="2"/>
  <c r="AR53" i="2"/>
  <c r="AE44" i="2"/>
  <c r="AF34" i="2"/>
  <c r="V37" i="2"/>
  <c r="AN52" i="2"/>
  <c r="AQ43" i="2"/>
  <c r="AJ23" i="2"/>
  <c r="AA40" i="2"/>
  <c r="N16" i="2"/>
  <c r="AJ36" i="2"/>
  <c r="AR55" i="2"/>
  <c r="AH59" i="2"/>
  <c r="AB11" i="2"/>
  <c r="AH20" i="2"/>
  <c r="AK28" i="2"/>
  <c r="Y21" i="2"/>
  <c r="AG28" i="2"/>
  <c r="AM7" i="2"/>
  <c r="X46" i="2"/>
  <c r="R10" i="2"/>
  <c r="AO42" i="2"/>
  <c r="AD18" i="2"/>
  <c r="V41" i="2"/>
  <c r="AI39" i="2"/>
  <c r="G48" i="2"/>
  <c r="AO37" i="2"/>
  <c r="AF56" i="2"/>
  <c r="AA13" i="2"/>
  <c r="AD40" i="2"/>
  <c r="AB12" i="2"/>
  <c r="G51" i="2"/>
  <c r="AO36" i="2"/>
  <c r="AE46" i="2"/>
  <c r="W12" i="2"/>
  <c r="AC36" i="2"/>
  <c r="AP9" i="2"/>
  <c r="AQ40" i="2"/>
  <c r="AG16" i="2"/>
  <c r="AJ30" i="2"/>
  <c r="AC29" i="2"/>
  <c r="AD28" i="2"/>
  <c r="AK5" i="2"/>
  <c r="AM40" i="2"/>
  <c r="Q28" i="2"/>
  <c r="AJ54" i="2"/>
  <c r="M5" i="2"/>
  <c r="AA6" i="2"/>
  <c r="AC31" i="2"/>
  <c r="AN15" i="2"/>
  <c r="R8" i="2"/>
  <c r="AI35" i="2"/>
  <c r="U60" i="2"/>
  <c r="G33" i="2"/>
  <c r="N6" i="2"/>
  <c r="AF4" i="2"/>
  <c r="W36" i="2"/>
  <c r="AI45" i="2"/>
  <c r="I36" i="2"/>
  <c r="AQ23" i="2"/>
  <c r="AE16" i="2"/>
  <c r="I41" i="2"/>
  <c r="W41" i="2"/>
  <c r="AF38" i="2"/>
  <c r="N19" i="2"/>
  <c r="AH6" i="2"/>
  <c r="AM15" i="2"/>
  <c r="P22" i="2"/>
  <c r="AO30" i="2"/>
  <c r="AL27" i="2"/>
  <c r="AN27" i="2"/>
  <c r="AR20" i="2"/>
  <c r="AR16" i="2"/>
  <c r="Z46" i="2"/>
  <c r="O30" i="2"/>
  <c r="W16" i="2"/>
  <c r="AA12" i="2"/>
  <c r="AL44" i="2"/>
  <c r="K16" i="2"/>
  <c r="V43" i="2"/>
  <c r="W39" i="2"/>
  <c r="AA37" i="2"/>
  <c r="L24" i="2"/>
  <c r="I24" i="2"/>
  <c r="G42" i="2"/>
  <c r="U34" i="2"/>
  <c r="I13" i="2"/>
  <c r="AR41" i="2"/>
  <c r="I56" i="2"/>
  <c r="N36" i="2"/>
  <c r="AM4" i="2"/>
  <c r="G47" i="2"/>
  <c r="AF42" i="2"/>
  <c r="Q58" i="2"/>
  <c r="L35" i="2"/>
  <c r="AE25" i="2"/>
  <c r="Z4" i="2"/>
  <c r="W34" i="2"/>
  <c r="AG12" i="2"/>
  <c r="Z39" i="2"/>
  <c r="AP57" i="2"/>
  <c r="Q27" i="2"/>
  <c r="AA45" i="2"/>
  <c r="AI30" i="2"/>
  <c r="AF6" i="2"/>
  <c r="AG60" i="2"/>
  <c r="N41" i="2"/>
  <c r="AB6" i="2"/>
  <c r="Y46" i="2"/>
  <c r="AB31" i="2"/>
  <c r="H48" i="2"/>
  <c r="R14" i="2"/>
  <c r="AI7" i="2"/>
  <c r="K57" i="2"/>
  <c r="AO50" i="2"/>
  <c r="AF46" i="2"/>
  <c r="AD43" i="2"/>
  <c r="AG4" i="2"/>
  <c r="X60" i="2"/>
  <c r="U37" i="2"/>
  <c r="R9" i="2"/>
  <c r="AO44" i="2"/>
  <c r="P45" i="2"/>
  <c r="AG9" i="2"/>
  <c r="V4" i="2"/>
  <c r="J51" i="2"/>
  <c r="AI20" i="2"/>
  <c r="Y9" i="2"/>
  <c r="AB36" i="2"/>
  <c r="M24" i="2"/>
  <c r="N51" i="2"/>
  <c r="H53" i="2"/>
  <c r="AF8" i="2"/>
  <c r="AP50" i="2"/>
  <c r="AR19" i="2"/>
  <c r="Z17" i="2"/>
  <c r="AB44" i="2"/>
  <c r="AJ25" i="2"/>
  <c r="R45" i="2"/>
  <c r="H45" i="2"/>
  <c r="L9" i="2"/>
  <c r="K43" i="2"/>
  <c r="M20" i="2"/>
  <c r="X28" i="2"/>
  <c r="AO45" i="2"/>
  <c r="AR52" i="2"/>
  <c r="O16" i="2"/>
  <c r="H41" i="2"/>
  <c r="Y22" i="2"/>
  <c r="L53" i="2"/>
  <c r="V24" i="2"/>
  <c r="AJ46" i="2"/>
  <c r="Y60" i="2"/>
  <c r="U20" i="2"/>
  <c r="AH19" i="2"/>
  <c r="AM49" i="2"/>
  <c r="N32" i="2"/>
  <c r="L20" i="2"/>
  <c r="AC50" i="2"/>
  <c r="AE43" i="2"/>
  <c r="N39" i="2"/>
  <c r="AO12" i="2"/>
  <c r="AP47" i="2"/>
  <c r="M60" i="2"/>
  <c r="AK16" i="2"/>
  <c r="AC26" i="2"/>
  <c r="AO32" i="2"/>
  <c r="R28" i="2"/>
  <c r="AN29" i="2"/>
  <c r="M56" i="2"/>
  <c r="AM8" i="2"/>
  <c r="AJ47" i="2"/>
  <c r="L4" i="2"/>
  <c r="AM23" i="2"/>
  <c r="W8" i="2"/>
  <c r="J17" i="2"/>
  <c r="R34" i="2"/>
  <c r="Y44" i="2"/>
  <c r="AF5" i="2"/>
  <c r="L25" i="2"/>
  <c r="Q11" i="2"/>
  <c r="AA22" i="2"/>
  <c r="X33" i="2"/>
  <c r="Q56" i="2"/>
  <c r="V58" i="2"/>
  <c r="AP31" i="2"/>
  <c r="AO55" i="2"/>
  <c r="U41" i="2"/>
  <c r="AC24" i="2"/>
  <c r="L7" i="2"/>
  <c r="W10" i="2"/>
  <c r="AO9" i="2"/>
  <c r="AB23" i="2"/>
  <c r="AQ9" i="2"/>
  <c r="AR5" i="2"/>
  <c r="AA35" i="2"/>
  <c r="AR36" i="2"/>
  <c r="AR17" i="2"/>
  <c r="I26" i="2"/>
  <c r="I16" i="2"/>
  <c r="AB47" i="2"/>
  <c r="AN50" i="2"/>
  <c r="AE40" i="2"/>
  <c r="I31" i="2"/>
  <c r="G46" i="2"/>
  <c r="K26" i="2"/>
  <c r="H26" i="2"/>
  <c r="AH26" i="2"/>
  <c r="Q59" i="2"/>
  <c r="AI14" i="2"/>
  <c r="X48" i="2"/>
  <c r="AN51" i="2"/>
  <c r="H52" i="2"/>
  <c r="J53" i="2"/>
  <c r="AK46" i="2"/>
  <c r="G16" i="2"/>
  <c r="U59" i="2"/>
  <c r="Y45" i="2"/>
  <c r="AD58" i="2"/>
  <c r="AJ6" i="2"/>
  <c r="AO7" i="2"/>
  <c r="AD19" i="2"/>
  <c r="X40" i="2"/>
  <c r="P9" i="2"/>
  <c r="P47" i="2"/>
  <c r="Q51" i="2"/>
  <c r="H51" i="2"/>
  <c r="AG45" i="2"/>
  <c r="H36" i="2"/>
  <c r="Z10" i="2"/>
  <c r="J32" i="2"/>
  <c r="AP53" i="2"/>
  <c r="K35" i="2"/>
  <c r="Y18" i="2"/>
  <c r="R18" i="2"/>
  <c r="J9" i="2"/>
  <c r="W58" i="2"/>
  <c r="AM39" i="2"/>
  <c r="M47" i="2"/>
  <c r="Z18" i="2"/>
  <c r="AA57" i="2"/>
  <c r="AL51" i="2"/>
  <c r="AJ35" i="2"/>
  <c r="AN12" i="2"/>
  <c r="H55" i="2"/>
  <c r="M28" i="2"/>
  <c r="AM29" i="2"/>
  <c r="AH28" i="2"/>
  <c r="AN16" i="2"/>
  <c r="AR10" i="2"/>
  <c r="AA29" i="2"/>
  <c r="AK45" i="2"/>
  <c r="N5" i="2"/>
  <c r="I52" i="2"/>
  <c r="M44" i="2"/>
  <c r="AG10" i="2"/>
  <c r="AH45" i="2"/>
  <c r="AJ19" i="2"/>
  <c r="R43" i="2"/>
  <c r="AE11" i="2"/>
  <c r="K34" i="2"/>
  <c r="AP19" i="2"/>
  <c r="AH47" i="2"/>
  <c r="AF32" i="2"/>
  <c r="N58" i="2"/>
  <c r="AG15" i="2"/>
  <c r="Q37" i="2"/>
  <c r="AA4" i="2"/>
  <c r="AI12" i="2"/>
  <c r="AN43" i="2"/>
  <c r="N47" i="2"/>
  <c r="AA9" i="2"/>
  <c r="AR6" i="2"/>
  <c r="J39" i="2"/>
  <c r="AA19" i="2"/>
  <c r="AF20" i="2"/>
  <c r="G26" i="2"/>
  <c r="AR4" i="2"/>
  <c r="AG18" i="2"/>
  <c r="AE45" i="2"/>
  <c r="X38" i="2"/>
  <c r="V25" i="2"/>
  <c r="L51" i="2"/>
  <c r="AO16" i="2"/>
  <c r="M23" i="2"/>
  <c r="AL52" i="2"/>
  <c r="AI27" i="2"/>
  <c r="AC16" i="2"/>
  <c r="AC44" i="2"/>
  <c r="AQ39" i="2"/>
  <c r="W40" i="2"/>
  <c r="V17" i="2"/>
  <c r="O8" i="2"/>
  <c r="K20" i="2"/>
  <c r="M58" i="2"/>
  <c r="AB48" i="2"/>
</calcChain>
</file>

<file path=xl/sharedStrings.xml><?xml version="1.0" encoding="utf-8"?>
<sst xmlns="http://schemas.openxmlformats.org/spreadsheetml/2006/main" count="2128" uniqueCount="638">
  <si>
    <t>ID</t>
  </si>
  <si>
    <t>Data recebimento</t>
  </si>
  <si>
    <t>Usuário</t>
  </si>
  <si>
    <t>Data</t>
  </si>
  <si>
    <t>Turno</t>
  </si>
  <si>
    <t xml:space="preserve">2.2 Pinçagem </t>
  </si>
  <si>
    <t>2.3 Cartilagem</t>
  </si>
  <si>
    <t xml:space="preserve">Atividades na Linha de Cone </t>
  </si>
  <si>
    <t>5.1 Carne no Refile</t>
  </si>
  <si>
    <t>5.2 Peito Limpo</t>
  </si>
  <si>
    <t>6.1 Erro de Corte</t>
  </si>
  <si>
    <t>SKU</t>
  </si>
  <si>
    <t xml:space="preserve"> Check list Acomodação</t>
  </si>
  <si>
    <t>Assinatura  do Supervisor Responsável</t>
  </si>
  <si>
    <t>Tempo de resposta</t>
  </si>
  <si>
    <t>6a7fe9ddacd6cb3b421e1b6e</t>
  </si>
  <si>
    <t>15/08/2026 00:24:18</t>
  </si>
  <si>
    <t>15/08/2026 01:23:57</t>
  </si>
  <si>
    <t>Ranieli</t>
  </si>
  <si>
    <t>14/08/2026</t>
  </si>
  <si>
    <t>Riscou o Sassami em X,
Retirou a Cartilagem</t>
  </si>
  <si>
    <t>Caixa está sem rasgos e seca,
Data  de validade e produção estão de acordo</t>
  </si>
  <si>
    <t>assinatura</t>
  </si>
  <si>
    <t>6a7fe9ddacd6cb3b421e1b5c</t>
  </si>
  <si>
    <t>14/08/2026 21:48:16</t>
  </si>
  <si>
    <t>6a7fe9dcacd6cb3b421e1b56</t>
  </si>
  <si>
    <t>14/08/2026 19:01:59</t>
  </si>
  <si>
    <t>15/08/2026 01:23:56</t>
  </si>
  <si>
    <t/>
  </si>
  <si>
    <t>6a7fe9dcacd6cb3b421e1b14</t>
  </si>
  <si>
    <t>14/08/2026 16:41:44</t>
  </si>
  <si>
    <t>Data  de validade e produção estão de acordo,
Caixa está sem rasgos e seca</t>
  </si>
  <si>
    <t>6a7ea368f68f6f3a4276cac7</t>
  </si>
  <si>
    <t>14/08/2026 00:35:32</t>
  </si>
  <si>
    <t>14/08/2026 02:11:04</t>
  </si>
  <si>
    <t>13/08/2026</t>
  </si>
  <si>
    <t>Caixa está sem rasgos e seca,
Data  de validade e produção estão de acordo,
Selagem está conforme</t>
  </si>
  <si>
    <t>6a7ea367f68f6f3a4276cac1</t>
  </si>
  <si>
    <t>13/08/2026 22:02:31</t>
  </si>
  <si>
    <t>14/08/2026 02:11:03</t>
  </si>
  <si>
    <t>6a7ea367f68f6f3a4276cab9</t>
  </si>
  <si>
    <t>13/08/2026 18:17:04</t>
  </si>
  <si>
    <t>6a7ea367f68f6f3a4276ca89</t>
  </si>
  <si>
    <t>13/08/2026 16:20:53</t>
  </si>
  <si>
    <t>Selagem está conforme,
Data  de validade e produção estão de acordo,
Caixa está sem rasgos e seca</t>
  </si>
  <si>
    <t>6a7d4daf8646cdc8463d571d</t>
  </si>
  <si>
    <t>13/08/2026 00:11:57</t>
  </si>
  <si>
    <t>13/08/2026 01:53:03</t>
  </si>
  <si>
    <t>12/08/2026</t>
  </si>
  <si>
    <t>6a7d4daf8646cdc8463d570b</t>
  </si>
  <si>
    <t>12/08/2026 21:13:46</t>
  </si>
  <si>
    <t>11/08/2026</t>
  </si>
  <si>
    <t>6a7d4daf8646cdc8463d5703</t>
  </si>
  <si>
    <t>12/08/2026 19:06:09</t>
  </si>
  <si>
    <t>6a7d4dae8646cdc8463d56c7</t>
  </si>
  <si>
    <t>12/08/2026 16:28:57</t>
  </si>
  <si>
    <t>13/08/2026 01:53:02</t>
  </si>
  <si>
    <t>6a7c03a9f77da7ef002a624c</t>
  </si>
  <si>
    <t>11/08/2026 23:00:32</t>
  </si>
  <si>
    <t>12/08/2026 02:24:57</t>
  </si>
  <si>
    <t>6a7c03a8f77da7ef002a6246</t>
  </si>
  <si>
    <t>11/08/2026 21:35:15</t>
  </si>
  <si>
    <t>12/08/2026 02:24:56</t>
  </si>
  <si>
    <t>Acomodação do produto está conforme especificação,
Caixa está sem rasgos e seca,
Data  de validade e produção estão de acordo,
Selagem está conforme</t>
  </si>
  <si>
    <t>6a7c03a8f77da7ef002a6240</t>
  </si>
  <si>
    <t>11/08/2026 19:00:16</t>
  </si>
  <si>
    <t>6a7c03a8f77da7ef002a6202</t>
  </si>
  <si>
    <t>11/08/2026 16:35:23</t>
  </si>
  <si>
    <t>6a7ab13af77da7ef00271bf7</t>
  </si>
  <si>
    <t>10/08/2026 23:47:49</t>
  </si>
  <si>
    <t>11/08/2026 02:20:58</t>
  </si>
  <si>
    <t>10/08/2026</t>
  </si>
  <si>
    <t>6a7ab139f77da7ef00271beb</t>
  </si>
  <si>
    <t>10/08/2026 21:52:25</t>
  </si>
  <si>
    <t>11/08/2026 02:20:57</t>
  </si>
  <si>
    <t>6a7ab139f77da7ef00271be5</t>
  </si>
  <si>
    <t>10/08/2026 18:40:18</t>
  </si>
  <si>
    <t>6a7ab139f77da7ef00271baf</t>
  </si>
  <si>
    <t>10/08/2026 16:20:24</t>
  </si>
  <si>
    <t>6a79aef54b165449d5bfd7f7</t>
  </si>
  <si>
    <t>07/08/2026 21:44:33</t>
  </si>
  <si>
    <t>10/08/2026 07:59:01</t>
  </si>
  <si>
    <t>07/08/2026</t>
  </si>
  <si>
    <t>Caixa está sem rasgos e seca,
Selagem está conforme</t>
  </si>
  <si>
    <t>6a79aef54b165449d5bfd7f1</t>
  </si>
  <si>
    <t>07/08/2026 20:53:40</t>
  </si>
  <si>
    <t>6a79aef54b165449d5bfd7eb</t>
  </si>
  <si>
    <t>07/08/2026 19:06:52</t>
  </si>
  <si>
    <t>6a764355a3bac2e5bc7b2e4c</t>
  </si>
  <si>
    <t>07/08/2026 16:36:59</t>
  </si>
  <si>
    <t>07/08/2026 17:43:01</t>
  </si>
  <si>
    <t>6a754299b671965c6513a1af</t>
  </si>
  <si>
    <t>06/08/2026 23:23:31</t>
  </si>
  <si>
    <t>06/08/2026 23:27:37</t>
  </si>
  <si>
    <t>- -</t>
  </si>
  <si>
    <t>06/08/2026</t>
  </si>
  <si>
    <t>6a7530c3699f1db349453506</t>
  </si>
  <si>
    <t>06/08/2026 22:03:17</t>
  </si>
  <si>
    <t>06/08/2026 22:11:31</t>
  </si>
  <si>
    <t>Retirou a Cartilagem,
Riscou o Sassami em X</t>
  </si>
  <si>
    <t>6a74fce0b671965c65138a23</t>
  </si>
  <si>
    <t>06/08/2026 18:26:42</t>
  </si>
  <si>
    <t>06/08/2026 18:30:08</t>
  </si>
  <si>
    <t>6a7401d2e190e085c2b1f783</t>
  </si>
  <si>
    <t>06/08/2026 00:34:34</t>
  </si>
  <si>
    <t>06/08/2026 00:38:58</t>
  </si>
  <si>
    <t>05/08/2026</t>
  </si>
  <si>
    <t>6a73ea40e190e085c2b1ef5b</t>
  </si>
  <si>
    <t>05/08/2026 22:51:02</t>
  </si>
  <si>
    <t>05/08/2026 22:58:24</t>
  </si>
  <si>
    <t>Retirou a Cartilagem</t>
  </si>
  <si>
    <t>6a73afa551fee0ceb3cd94f7</t>
  </si>
  <si>
    <t>05/08/2026 18:46:26</t>
  </si>
  <si>
    <t>05/08/2026 18:48:21</t>
  </si>
  <si>
    <t>6a73a3403b26ad668195e3bf</t>
  </si>
  <si>
    <t>05/08/2026 17:18:02</t>
  </si>
  <si>
    <t>05/08/2026 17:55:28</t>
  </si>
  <si>
    <t>Mês</t>
  </si>
  <si>
    <t>Assinatura  do Supervisor Responsável2</t>
  </si>
  <si>
    <t>Data e Hora</t>
  </si>
  <si>
    <t>Meyn</t>
  </si>
  <si>
    <t>Cone</t>
  </si>
  <si>
    <t>Perna</t>
  </si>
  <si>
    <t>Peito</t>
  </si>
  <si>
    <t>Asa</t>
  </si>
  <si>
    <t>Paletização</t>
  </si>
  <si>
    <t>TURNO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</si>
  <si>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</si>
  <si>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</si>
  <si>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</si>
  <si>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</si>
  <si>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</si>
  <si>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</si>
  <si>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</si>
  <si>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</si>
  <si>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</si>
  <si>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</si>
  <si>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</si>
  <si>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</si>
  <si>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META</t>
  </si>
  <si>
    <t>Local</t>
  </si>
  <si>
    <t>Item1</t>
  </si>
  <si>
    <t>Unidade</t>
  </si>
  <si>
    <t>Carne no Back</t>
  </si>
  <si>
    <t>Carne no Front</t>
  </si>
  <si>
    <t>Medalhão na Asa Meyn</t>
  </si>
  <si>
    <t>Peito na Asa Meyn</t>
  </si>
  <si>
    <t>Peito na Asa Cone</t>
  </si>
  <si>
    <t>Medalhão na Asa Cone</t>
  </si>
  <si>
    <t>Refile Perna</t>
  </si>
  <si>
    <t>% Carne Refile Perna</t>
  </si>
  <si>
    <t>% Carne Refile Peito</t>
  </si>
  <si>
    <t>Qualidade Acomodação</t>
  </si>
  <si>
    <t>ITEM</t>
  </si>
  <si>
    <t>% Peito Limpo na esteira</t>
  </si>
  <si>
    <t>Rótulos de Coluna</t>
  </si>
  <si>
    <t>Turno1</t>
  </si>
  <si>
    <t>Família</t>
  </si>
  <si>
    <t>Corte Perna Cone</t>
  </si>
  <si>
    <t>Corte Peito Cone</t>
  </si>
  <si>
    <t>Corte Sassami Cone</t>
  </si>
  <si>
    <t>Corte Cartilagem Cone</t>
  </si>
  <si>
    <t>Sassami</t>
  </si>
  <si>
    <t>Cartilagem</t>
  </si>
  <si>
    <t>% Erro de Corte da Porcionadora</t>
  </si>
  <si>
    <t>6a853c5d1fd846202c31d1af</t>
  </si>
  <si>
    <t>19/08/2026 01:04:16</t>
  </si>
  <si>
    <t>19/08/2026 02:17:17</t>
  </si>
  <si>
    <t>18/08/2026</t>
  </si>
  <si>
    <t>Riscou o Sassami em X,
Usou o garfo na retirada de Sassami,
Retirou a Cartilagem</t>
  </si>
  <si>
    <t>6a853c5d1fd846202c31d191</t>
  </si>
  <si>
    <t>18/08/2026 21:28:15</t>
  </si>
  <si>
    <t>Acomodação do produto está conforme especificação,
Caixa está sem rasgos e seca,
Data  de validade e produção estão de acordo</t>
  </si>
  <si>
    <t>6a853c5d1fd846202c31d18b</t>
  </si>
  <si>
    <t>18/08/2026 19:03:52</t>
  </si>
  <si>
    <t>17/08/2026</t>
  </si>
  <si>
    <t>6a853c5c1fd846202c31d155</t>
  </si>
  <si>
    <t>18/08/2026 16:43:14</t>
  </si>
  <si>
    <t>19/08/2026 02:17:16</t>
  </si>
  <si>
    <t>6a83ec6704bb7d55d7f06567</t>
  </si>
  <si>
    <t>17/08/2026 22:38:45</t>
  </si>
  <si>
    <t>18/08/2026 02:23:51</t>
  </si>
  <si>
    <t>6a83ec6704bb7d55d7f06561</t>
  </si>
  <si>
    <t>17/08/2026 21:41:54</t>
  </si>
  <si>
    <t>6a83ec6704bb7d55d7f0655b</t>
  </si>
  <si>
    <t>17/08/2026 19:04:08</t>
  </si>
  <si>
    <t>Acomodação do produto está conforme especificação,
Data  de validade e produção estão de acordo,
Caixa está sem rasgos e seca,
Selagem está conforme</t>
  </si>
  <si>
    <t>6a83ec6604bb7d55d7f0651d</t>
  </si>
  <si>
    <t>17/08/2026 16:22:42</t>
  </si>
  <si>
    <t>18/08/2026 02:23:50</t>
  </si>
  <si>
    <t>6a868bb5fdafc0a098896933</t>
  </si>
  <si>
    <t>20/08/2026 01:02:22</t>
  </si>
  <si>
    <t>20/08/2026 02:08:05</t>
  </si>
  <si>
    <t>19/08/2026</t>
  </si>
  <si>
    <t>6a868bb4fdafc0a09889691b</t>
  </si>
  <si>
    <t>19/08/2026 21:31:15</t>
  </si>
  <si>
    <t>20/08/2026 02:08:04</t>
  </si>
  <si>
    <t>6a868bb4fdafc0a098896915</t>
  </si>
  <si>
    <t>19/08/2026 19:31:59</t>
  </si>
  <si>
    <t>6a868bb4fdafc0a0988968d7</t>
  </si>
  <si>
    <t>19/08/2026 16:26:56</t>
  </si>
  <si>
    <t>6a87d81a13f324b2ed945200</t>
  </si>
  <si>
    <t>21/08/2026 01:11:17</t>
  </si>
  <si>
    <t>21/08/2026 01:46:18</t>
  </si>
  <si>
    <t>20/08/2026</t>
  </si>
  <si>
    <t>Data  de validade e produção estão de acordo,
Caixa está sem rasgos e seca,
Selagem está conforme</t>
  </si>
  <si>
    <t>6a87d81a13f324b2ed9451d0</t>
  </si>
  <si>
    <t>20/08/2026 21:34:50</t>
  </si>
  <si>
    <t>6a87d81a13f324b2ed9451c8</t>
  </si>
  <si>
    <t>20/08/2026 19:34:55</t>
  </si>
  <si>
    <t>6a87d81913f324b2ed945198</t>
  </si>
  <si>
    <t>20/08/2026 16:40:07</t>
  </si>
  <si>
    <t>21/08/2026 01:46:17</t>
  </si>
  <si>
    <t>6a89357ca12fe1209e6da2e8</t>
  </si>
  <si>
    <t>21/08/2026 21:42:15</t>
  </si>
  <si>
    <t>22/08/2026 02:37:00</t>
  </si>
  <si>
    <t>21/08/2026</t>
  </si>
  <si>
    <t>6a89357ca12fe1209e6da2e2</t>
  </si>
  <si>
    <t>21/08/2026 20:51:44</t>
  </si>
  <si>
    <t>6a89357ba12fe1209e6da2b0</t>
  </si>
  <si>
    <t>21/08/2026 16:20:42</t>
  </si>
  <si>
    <t>22/08/2026 02:36:59</t>
  </si>
  <si>
    <t>6a8d2135d3c61efffc667416</t>
  </si>
  <si>
    <t>25/08/2026 00:31:25</t>
  </si>
  <si>
    <t>25/08/2026 01:59:33</t>
  </si>
  <si>
    <t>24/08/2026</t>
  </si>
  <si>
    <t>6a8d2135d3c61efffc6673f8</t>
  </si>
  <si>
    <t>24/08/2026 21:20:22</t>
  </si>
  <si>
    <t>6a8d2134d3c61efffc6673c0</t>
  </si>
  <si>
    <t>24/08/2026 16:09:22</t>
  </si>
  <si>
    <t>25/08/2026 01:59:32</t>
  </si>
  <si>
    <t>6a8e721cf2190f1532f48ff4</t>
  </si>
  <si>
    <t>26/08/2026 00:46:20</t>
  </si>
  <si>
    <t>26/08/2026 01:57:00</t>
  </si>
  <si>
    <t>25/08/2026</t>
  </si>
  <si>
    <t>6a8e721cf2190f1532f48fca</t>
  </si>
  <si>
    <t>25/08/2026 21:48:13</t>
  </si>
  <si>
    <t>6a8e721cf2190f1532f48fc4</t>
  </si>
  <si>
    <t>25/08/2026 19:06:25</t>
  </si>
  <si>
    <t>6a8e721bf2190f1532f48f92</t>
  </si>
  <si>
    <t>25/08/2026 16:25:37</t>
  </si>
  <si>
    <t>26/08/2026 01:56:59</t>
  </si>
  <si>
    <t>6a8fc8d91fdad271d636528f</t>
  </si>
  <si>
    <t>26/08/2026 23:35:47</t>
  </si>
  <si>
    <t>27/08/2026 02:19:21</t>
  </si>
  <si>
    <t>26/08/2026</t>
  </si>
  <si>
    <t>6a8fc8d91fdad271d636526b</t>
  </si>
  <si>
    <t>26/08/2026 21:35:01</t>
  </si>
  <si>
    <t>6a8fc8d91fdad271d6365265</t>
  </si>
  <si>
    <t>26/08/2026 19:00:10</t>
  </si>
  <si>
    <t>6a8fc8d81fdad271d6365233</t>
  </si>
  <si>
    <t>26/08/2026 16:21:51</t>
  </si>
  <si>
    <t>27/08/2026 02:19:20</t>
  </si>
  <si>
    <t>6a9116def2190f1532fa991e</t>
  </si>
  <si>
    <t>28/08/2026 00:29:12</t>
  </si>
  <si>
    <t>28/08/2026 02:04:30</t>
  </si>
  <si>
    <t>27/08/2026</t>
  </si>
  <si>
    <t>Cortou o Vazio,
Usou o garfo na retirada de Sassami</t>
  </si>
  <si>
    <t>6a9116def2190f1532fa98f8</t>
  </si>
  <si>
    <t>27/08/2026 21:34:11</t>
  </si>
  <si>
    <t>6a9116def2190f1532fa98f2</t>
  </si>
  <si>
    <t>27/08/2026 18:42:35</t>
  </si>
  <si>
    <t>Acomodação do produto está conforme especificação,
Caixa está sem rasgos e seca,
Selagem está conforme,
Data  de validade e produção estão de acordo</t>
  </si>
  <si>
    <t>6a9116ddf2190f1532fa98bc</t>
  </si>
  <si>
    <t>27/08/2026 16:40:01</t>
  </si>
  <si>
    <t>28/08/2026 02:04:29</t>
  </si>
  <si>
    <t>6a9260ee9901020d0bb2cb85</t>
  </si>
  <si>
    <t>28/08/2026 22:57:10</t>
  </si>
  <si>
    <t>29/08/2026 01:32:46</t>
  </si>
  <si>
    <t>28/08/2026</t>
  </si>
  <si>
    <t>6a9260ee9901020d0bb2cb61</t>
  </si>
  <si>
    <t>28/08/2026 20:29:45</t>
  </si>
  <si>
    <t>6a9260ed9901020d0bb2cb23</t>
  </si>
  <si>
    <t>28/08/2026 16:22:31</t>
  </si>
  <si>
    <t>29/08/2026 01:32:45</t>
  </si>
  <si>
    <t>Acomodação do produto está conforme especificação,
Selagem está conforme,
Data  de validade e produção estão de acordo,
Caixa está sem rasgos e seca</t>
  </si>
  <si>
    <t>6a96592d8a2cf415c7d9178c</t>
  </si>
  <si>
    <t>01/09/2026 00:40:49</t>
  </si>
  <si>
    <t>01/09/2026 01:48:45</t>
  </si>
  <si>
    <t>31/08/2026</t>
  </si>
  <si>
    <t>6a96592d8a2cf415c7d91760</t>
  </si>
  <si>
    <t>31/08/2026 21:36:08</t>
  </si>
  <si>
    <t>6a96592c8a2cf415c7d9175a</t>
  </si>
  <si>
    <t>31/08/2026 18:50:32</t>
  </si>
  <si>
    <t>01/09/2026 01:48:44</t>
  </si>
  <si>
    <t>6a96592c8a2cf415c7d9171e</t>
  </si>
  <si>
    <t>31/08/2026 16:12:37</t>
  </si>
  <si>
    <t>6a97b15943066e508049f7be</t>
  </si>
  <si>
    <t>02/09/2026 00:21:23</t>
  </si>
  <si>
    <t>02/09/2026 02:17:13</t>
  </si>
  <si>
    <t>01/09/2026</t>
  </si>
  <si>
    <t>6a97b15843066e508049f786</t>
  </si>
  <si>
    <t>01/09/2026 21:39:41</t>
  </si>
  <si>
    <t>02/09/2026 02:17:12</t>
  </si>
  <si>
    <t>6a97b15843066e508049f780</t>
  </si>
  <si>
    <t>01/09/2026 18:48:54</t>
  </si>
  <si>
    <t>6a97b15743066e508049f756</t>
  </si>
  <si>
    <t>01/09/2026 16:32:01</t>
  </si>
  <si>
    <t>02/09/2026 02:17:11</t>
  </si>
  <si>
    <t>Alana</t>
  </si>
  <si>
    <t>6a95c84f18e7857fd2a40611</t>
  </si>
  <si>
    <t>6a91d3cb5b2e8247e4dde965</t>
  </si>
  <si>
    <t>6a8ee1b8ff3419aa350c3bbe</t>
  </si>
  <si>
    <t>6a8ddfc854cc3955acac26a1</t>
  </si>
  <si>
    <t>6a8c8e9c3b4a65e677cc0d51</t>
  </si>
  <si>
    <t>Carne no Osso Perna Direita</t>
  </si>
  <si>
    <t>Carne no Osso Perna Esquerda</t>
  </si>
  <si>
    <t>6a9a500172d6d33ccf260cce</t>
  </si>
  <si>
    <t>03/09/2026 23:33:39</t>
  </si>
  <si>
    <t>04/09/2026 01:58:41</t>
  </si>
  <si>
    <t>03/09/2026</t>
  </si>
  <si>
    <t>6a9a500172d6d33ccf260ca2</t>
  </si>
  <si>
    <t>03/09/2026 21:37:53</t>
  </si>
  <si>
    <t>6a9a500172d6d33ccf260c9c</t>
  </si>
  <si>
    <t>03/09/2026 18:48:59</t>
  </si>
  <si>
    <t>6a9a500072d6d33ccf260c4e</t>
  </si>
  <si>
    <t>03/09/2026 16:29:34</t>
  </si>
  <si>
    <t>04/09/2026 01:58:40</t>
  </si>
  <si>
    <t>Caixa está sem rasgos e seca,
Data  de validade e produção estão de acordo,
Selagem está conforme,
Acomodação do produto está conforme especificação</t>
  </si>
  <si>
    <t>6a99c0cb0ab955eaa1d4998c</t>
  </si>
  <si>
    <t>02/09/2026 16:23:02</t>
  </si>
  <si>
    <t>03/09/2026 15:47:39</t>
  </si>
  <si>
    <t>02/09/2026</t>
  </si>
  <si>
    <t>Caixa está sem rasgos e seca,
Selagem está conforme,
Data  de validade e produção estão de acordo</t>
  </si>
  <si>
    <t>6a99c0910086f5dfe4a832c3</t>
  </si>
  <si>
    <t>03/09/2026 00:23:49</t>
  </si>
  <si>
    <t>03/09/2026 15:46:41</t>
  </si>
  <si>
    <t>6a99c0900086f5dfe4a832bd</t>
  </si>
  <si>
    <t>02/09/2026 22:02:35</t>
  </si>
  <si>
    <t>03/09/2026 15:46:40</t>
  </si>
  <si>
    <t>Usou o garfo na retirada de Sassami,
Retirou a Cartilagem,
Riscou o Sassami em X</t>
  </si>
  <si>
    <t>6a99c0900086f5dfe4a832b1</t>
  </si>
  <si>
    <t>02/09/2026 21:00:58</t>
  </si>
  <si>
    <t>6a999337975a2c850b923947</t>
  </si>
  <si>
    <t>03/09/2026 08:51:02</t>
  </si>
  <si>
    <t>03/09/2026 12:33:11</t>
  </si>
  <si>
    <t>6aa14198fc81e91c72266d6e</t>
  </si>
  <si>
    <t>08/09/2026 23:29:10</t>
  </si>
  <si>
    <t>09/09/2026 08:23:04</t>
  </si>
  <si>
    <t>08/09/2026</t>
  </si>
  <si>
    <t>6aa14198fc81e91c72266d68</t>
  </si>
  <si>
    <t>08/09/2026 21:30:08</t>
  </si>
  <si>
    <t>6aa14197fc81e91c72266d62</t>
  </si>
  <si>
    <t>08/09/2026 18:48:07</t>
  </si>
  <si>
    <t>09/09/2026 08:23:03</t>
  </si>
  <si>
    <t>6aa13f5fb841baacea2f93af</t>
  </si>
  <si>
    <t>08/09/2026 16:24:00</t>
  </si>
  <si>
    <t>09/09/2026 08:13:35</t>
  </si>
  <si>
    <t>6aa15453b4a6de3d8d7edbea</t>
  </si>
  <si>
    <t>08/09/2026 12:53:49</t>
  </si>
  <si>
    <t>09/09/2026 09:42:59</t>
  </si>
  <si>
    <t>6aa4dbf641a5e4bbeb270f0a</t>
  </si>
  <si>
    <t>11/09/2026 23:19:28</t>
  </si>
  <si>
    <t>12/09/2026 01:58:30</t>
  </si>
  <si>
    <t>11/09/2026</t>
  </si>
  <si>
    <t>Acomodação do produto está conforme especificação,
Data  de validade e produção estão de acordo,
Selagem está conforme,
Caixa está sem rasgos e seca</t>
  </si>
  <si>
    <t>6aa4dbf541a5e4bbeb270eec</t>
  </si>
  <si>
    <t>11/09/2026 21:08:17</t>
  </si>
  <si>
    <t>12/09/2026 01:58:29</t>
  </si>
  <si>
    <t>6aa4dbf541a5e4bbeb270ed2</t>
  </si>
  <si>
    <t>11/09/2026 18:14:48</t>
  </si>
  <si>
    <t>6aa4dbf441a5e4bbeb270e9c</t>
  </si>
  <si>
    <t>11/09/2026 16:28:35</t>
  </si>
  <si>
    <t>12/09/2026 01:58:28</t>
  </si>
  <si>
    <t>6aa38bf3c423abb5a7e296ed</t>
  </si>
  <si>
    <t>10/09/2026 23:29:40</t>
  </si>
  <si>
    <t>11/09/2026 02:04:51</t>
  </si>
  <si>
    <t>10/09/2026</t>
  </si>
  <si>
    <t>6aa38bf3c423abb5a7e296c9</t>
  </si>
  <si>
    <t>10/09/2026 21:21:00</t>
  </si>
  <si>
    <t>6aa38bf2c423abb5a7e296bd</t>
  </si>
  <si>
    <t>10/09/2026 18:26:40</t>
  </si>
  <si>
    <t>11/09/2026 02:04:50</t>
  </si>
  <si>
    <t>6aa38bf1c423abb5a7e29679</t>
  </si>
  <si>
    <t>10/09/2026 16:22:06</t>
  </si>
  <si>
    <t>11/09/2026 02:04:49</t>
  </si>
  <si>
    <t>6aa23c33fc81e91c722940b8</t>
  </si>
  <si>
    <t>10/09/2026 00:54:43</t>
  </si>
  <si>
    <t>10/09/2026 02:12:19</t>
  </si>
  <si>
    <t>09/09/2026</t>
  </si>
  <si>
    <t>6aa23c32fc81e91c7229408e</t>
  </si>
  <si>
    <t>09/09/2026 21:20:59</t>
  </si>
  <si>
    <t>10/09/2026 02:12:18</t>
  </si>
  <si>
    <t>6aa23c32fc81e91c72294082</t>
  </si>
  <si>
    <t>09/09/2026 18:41:58</t>
  </si>
  <si>
    <t>6aa23c31fc81e91c72294034</t>
  </si>
  <si>
    <t>09/09/2026 16:26:03</t>
  </si>
  <si>
    <t>10/09/2026 02:12:17</t>
  </si>
  <si>
    <t>6aa8cff304d1eda90fa51d99</t>
  </si>
  <si>
    <t>14/09/2026 23:52:21</t>
  </si>
  <si>
    <t>15/09/2026 01:56:19</t>
  </si>
  <si>
    <t>14/09/2026</t>
  </si>
  <si>
    <t>6aa8cff304d1eda90fa51d7b</t>
  </si>
  <si>
    <t>14/09/2026 21:17:08</t>
  </si>
  <si>
    <t>6aa8cff304d1eda90fa51d49</t>
  </si>
  <si>
    <t>14/09/2026 18:02:14</t>
  </si>
  <si>
    <t>6aa8cff204d1eda90fa51d19</t>
  </si>
  <si>
    <t>14/09/2026 16:26:48</t>
  </si>
  <si>
    <t>15/09/2026 01:56:18</t>
  </si>
  <si>
    <t>6aaa20b7942fa544448aa0cf</t>
  </si>
  <si>
    <t>15/09/2026 21:58:50</t>
  </si>
  <si>
    <t>16/09/2026 01:53:11</t>
  </si>
  <si>
    <t>15/09/2026</t>
  </si>
  <si>
    <t>6aaa20b6942fa544448aa0ab</t>
  </si>
  <si>
    <t>15/09/2026 18:25:24</t>
  </si>
  <si>
    <t>16/09/2026 01:53:10</t>
  </si>
  <si>
    <t>6aaa20b6942fa544448aa07b</t>
  </si>
  <si>
    <t>15/09/2026 16:29:11</t>
  </si>
  <si>
    <t>6aaa20b5942fa544448aa061</t>
  </si>
  <si>
    <t>02/09/2026 20:16:18</t>
  </si>
  <si>
    <t>16/09/2026 01:53:09</t>
  </si>
  <si>
    <t>6aa97eeb067199cb1948129f</t>
  </si>
  <si>
    <t>15/09/2026 08:47:14</t>
  </si>
  <si>
    <t>15/09/2026 14:22:51</t>
  </si>
  <si>
    <t>6aa40b8cc56867042ebeb72e</t>
  </si>
  <si>
    <t>11/09/2026 08:39:45</t>
  </si>
  <si>
    <t>11/09/2026 11:09:16</t>
  </si>
  <si>
    <t>6aa301e31c0532de53581c0d</t>
  </si>
  <si>
    <t>10/09/2026 08:35:46</t>
  </si>
  <si>
    <t>10/09/2026 16:15:47</t>
  </si>
  <si>
    <t>6aa1a56a52bf78b96be95309</t>
  </si>
  <si>
    <t>09/09/2026 08:41:14</t>
  </si>
  <si>
    <t>09/09/2026 15:28:58</t>
  </si>
  <si>
    <t>6aab7374dbc8f9ae695173c4</t>
  </si>
  <si>
    <t>17/09/2026 00:18:10</t>
  </si>
  <si>
    <t>17/09/2026 01:58:28</t>
  </si>
  <si>
    <t>16/09/2026</t>
  </si>
  <si>
    <t>6aab7373dbc8f9ae6951739e</t>
  </si>
  <si>
    <t>16/09/2026 21:44:27</t>
  </si>
  <si>
    <t>17/09/2026 01:58:27</t>
  </si>
  <si>
    <t>6aab7373dbc8f9ae69517398</t>
  </si>
  <si>
    <t>16/09/2026 21:01:37</t>
  </si>
  <si>
    <t>6aab7372dbc8f9ae6951734a</t>
  </si>
  <si>
    <t>16/09/2026 16:15:24</t>
  </si>
  <si>
    <t>17/09/2026 01:58:26</t>
  </si>
  <si>
    <t>6aae15e403d0d5807444bcc4</t>
  </si>
  <si>
    <t>18/09/2026 22:56:24</t>
  </si>
  <si>
    <t>19/09/2026 01:56:04</t>
  </si>
  <si>
    <t>18/09/2026</t>
  </si>
  <si>
    <t>6aae15e403d0d5807444bcbe</t>
  </si>
  <si>
    <t>18/09/2026 21:23:23</t>
  </si>
  <si>
    <t>6aae15e303d0d5807444bc6e</t>
  </si>
  <si>
    <t>18/09/2026 17:51:51</t>
  </si>
  <si>
    <t>19/09/2026 01:56:03</t>
  </si>
  <si>
    <t>6aae15e303d0d5807444bc68</t>
  </si>
  <si>
    <t>18/09/2026 16:56:05</t>
  </si>
  <si>
    <t>Caixa está sem rasgos e seca,
Acomodação do produto está conforme especificação,
Data  de validade e produção estão de acordo,
Selagem está conforme</t>
  </si>
  <si>
    <t>6aacc411a0b92a3a6b29cc25</t>
  </si>
  <si>
    <t>18/09/2026 00:15:06</t>
  </si>
  <si>
    <t>18/09/2026 01:54:41</t>
  </si>
  <si>
    <t>17/09/2026</t>
  </si>
  <si>
    <t>6aacc411a0b92a3a6b29cbf5</t>
  </si>
  <si>
    <t>17/09/2026 22:21:56</t>
  </si>
  <si>
    <t>6aacc410a0b92a3a6b29cbef</t>
  </si>
  <si>
    <t>17/09/2026 20:30:25</t>
  </si>
  <si>
    <t>18/09/2026 01:54:40</t>
  </si>
  <si>
    <t>6aacc410a0b92a3a6b29cba7</t>
  </si>
  <si>
    <t>17/09/2026 16:14:07</t>
  </si>
  <si>
    <t>6ab20c3388ce3e06cc4940be</t>
  </si>
  <si>
    <t>21/09/2026 23:17:07</t>
  </si>
  <si>
    <t>22/09/2026 02:03:47</t>
  </si>
  <si>
    <t>21/09/2026</t>
  </si>
  <si>
    <t>6ab20c3288ce3e06cc494082</t>
  </si>
  <si>
    <t>21/09/2026 20:32:03</t>
  </si>
  <si>
    <t>22/09/2026 02:03:46</t>
  </si>
  <si>
    <t>6ab20c3288ce3e06cc49407c</t>
  </si>
  <si>
    <t>21/09/2026 18:04:37</t>
  </si>
  <si>
    <t>6ab20c3188ce3e06cc494050</t>
  </si>
  <si>
    <t>21/09/2026 16:21:50</t>
  </si>
  <si>
    <t>22/09/2026 02:03:45</t>
  </si>
  <si>
    <t>6ab35bcaa4adeea581715e48</t>
  </si>
  <si>
    <t>22/09/2026 23:22:32</t>
  </si>
  <si>
    <t>23/09/2026 01:55:38</t>
  </si>
  <si>
    <t>22/09/2026</t>
  </si>
  <si>
    <t>13188‐</t>
  </si>
  <si>
    <t>6ab35bc9a4adeea581715e10</t>
  </si>
  <si>
    <t>22/09/2026 21:28:02</t>
  </si>
  <si>
    <t>23/09/2026 01:55:37</t>
  </si>
  <si>
    <t>6ab35bc9a4adeea581715df2</t>
  </si>
  <si>
    <t>22/09/2026 18:09:51</t>
  </si>
  <si>
    <t>6ab35bc8a4adeea581715dc2</t>
  </si>
  <si>
    <t>22/09/2026 16:41:52</t>
  </si>
  <si>
    <t>23/09/2026 01:55:36</t>
  </si>
  <si>
    <t>% Eficiência da Pinçagem</t>
  </si>
  <si>
    <t>% Eficiência remoção cartilagem</t>
  </si>
  <si>
    <t>6ab4adae3a9c92219c3dfab7</t>
  </si>
  <si>
    <t>23/09/2026 22:57:14</t>
  </si>
  <si>
    <t>24/09/2026 01:57:18</t>
  </si>
  <si>
    <t>23/09/2026</t>
  </si>
  <si>
    <t>6ab4adad3a9c92219c3dfa6d</t>
  </si>
  <si>
    <t>23/09/2026 21:19:35</t>
  </si>
  <si>
    <t>24/09/2026 01:57:17</t>
  </si>
  <si>
    <t>6ab4adad3a9c92219c3dfa61</t>
  </si>
  <si>
    <t>23/09/2026 17:54:34</t>
  </si>
  <si>
    <t>6ab4adac3a9c92219c3dfa49</t>
  </si>
  <si>
    <t>23/09/2026 16:19:32</t>
  </si>
  <si>
    <t>24/09/2026 01:57:16</t>
  </si>
  <si>
    <t>6ab4196acffb29c3dcbb8633</t>
  </si>
  <si>
    <t>23/09/2026 14:11:21</t>
  </si>
  <si>
    <t>23/09/2026 15:24:42</t>
  </si>
  <si>
    <t>6ab3c9e16b8938edc4b89fcb</t>
  </si>
  <si>
    <t>22/09/2026 14:10:31</t>
  </si>
  <si>
    <t>23/09/2026 09:45:21</t>
  </si>
  <si>
    <t>6ab1771e596883bd549a0120</t>
  </si>
  <si>
    <t>21/09/2026 12:26:24</t>
  </si>
  <si>
    <t>21/09/2026 15:27:42</t>
  </si>
  <si>
    <t>6aac3f3b03d0d5807441df66</t>
  </si>
  <si>
    <t>17/09/2026 12:23:55</t>
  </si>
  <si>
    <t>17/09/2026 16:27:55</t>
  </si>
  <si>
    <t>6aac246461edf70c814e5585</t>
  </si>
  <si>
    <t>16/09/2026 08:15:01</t>
  </si>
  <si>
    <t>17/09/2026 14:33:24</t>
  </si>
  <si>
    <t>6ab75082adfb4239b44a3df6</t>
  </si>
  <si>
    <t>25/09/2026 23:01:11</t>
  </si>
  <si>
    <t>26/09/2026 01:56:34</t>
  </si>
  <si>
    <t>25/09/2026</t>
  </si>
  <si>
    <t>Data  de validade e produção estão de acordo,
Selagem está conforme,
Caixa está sem rasgos e seca</t>
  </si>
  <si>
    <t>6ab75082adfb4239b44a3de4</t>
  </si>
  <si>
    <t>25/09/2026 21:28:25</t>
  </si>
  <si>
    <t>6ab75082adfb4239b44a3dcc</t>
  </si>
  <si>
    <t>25/09/2026 18:26:56</t>
  </si>
  <si>
    <t>Retirou a Cartilagem,
Usou o garfo na retirada de Sassami,
Riscou o Sassami em X</t>
  </si>
  <si>
    <t>6ab75081adfb4239b44a3d8e</t>
  </si>
  <si>
    <t>25/09/2026 16:42:15</t>
  </si>
  <si>
    <t>26/09/2026 01:56:33</t>
  </si>
  <si>
    <t>6abb47842d48c2171f434104</t>
  </si>
  <si>
    <t>28/09/2026 23:05:38</t>
  </si>
  <si>
    <t>29/09/2026 02:07:16</t>
  </si>
  <si>
    <t>28/09/2026</t>
  </si>
  <si>
    <t>6abb47842d48c2171f4340ce</t>
  </si>
  <si>
    <t>28/09/2026 21:34:08</t>
  </si>
  <si>
    <t>6abb47832d48c2171f4340b6</t>
  </si>
  <si>
    <t>28/09/2026 18:12:11</t>
  </si>
  <si>
    <t>29/09/2026 02:07:15</t>
  </si>
  <si>
    <t>6abb47832d48c2171f43408a</t>
  </si>
  <si>
    <t>28/09/2026 16:36:00</t>
  </si>
  <si>
    <t>6abc9cb798694d34bda8dde7</t>
  </si>
  <si>
    <t>29/09/2026 22:57:58</t>
  </si>
  <si>
    <t>30/09/2026 02:23:03</t>
  </si>
  <si>
    <t>29/09/2026</t>
  </si>
  <si>
    <t>6abc9cb798694d34bda8ddc7</t>
  </si>
  <si>
    <t>29/09/2026 21:29:21</t>
  </si>
  <si>
    <t>6abc9cb698694d34bda8dda3</t>
  </si>
  <si>
    <t>29/09/2026 18:25:22</t>
  </si>
  <si>
    <t>30/09/2026 02:23:02</t>
  </si>
  <si>
    <t>6abc9cb698694d34bda8dd6d</t>
  </si>
  <si>
    <t>29/09/2026 16:30:41</t>
  </si>
  <si>
    <t>6abdeedbfa7807c931a7e3da</t>
  </si>
  <si>
    <t>30/09/2026 22:49:18</t>
  </si>
  <si>
    <t>01/10/2026 02:25:47</t>
  </si>
  <si>
    <t>30/09/2026</t>
  </si>
  <si>
    <t>6abdeedbfa7807c931a7e3b6</t>
  </si>
  <si>
    <t>30/09/2026 21:38:27</t>
  </si>
  <si>
    <t>6abdeedafa7807c931a7e384</t>
  </si>
  <si>
    <t>30/09/2026 18:21:27</t>
  </si>
  <si>
    <t>01/10/2026 02:25:46</t>
  </si>
  <si>
    <t>6abdeed9fa7807c931a7e35a</t>
  </si>
  <si>
    <t>30/09/2026 16:17:37</t>
  </si>
  <si>
    <t>01/10/2026 02:25:45</t>
  </si>
  <si>
    <t>6abf3ad13cf16866fa6660ab</t>
  </si>
  <si>
    <t>01/10/2026 18:16:45</t>
  </si>
  <si>
    <t>02/10/2026 02:02:09</t>
  </si>
  <si>
    <t>01/10/2026</t>
  </si>
  <si>
    <t>Riscou o Sassami em X,
Retirou a Cartilagem,
Usou o garfo na retirada de Sassami</t>
  </si>
  <si>
    <t>6abf3abcfeff8ad157fab5a9</t>
  </si>
  <si>
    <t>01/10/2026 22:47:10</t>
  </si>
  <si>
    <t>02/10/2026 02:01:48</t>
  </si>
  <si>
    <t>6abf3abbfeff8ad157fab57f</t>
  </si>
  <si>
    <t>01/10/2026 21:19:14</t>
  </si>
  <si>
    <t>02/10/2026 02:01:47</t>
  </si>
  <si>
    <t>6abf3abbfeff8ad157fab53b</t>
  </si>
  <si>
    <t>01/10/2026 16:29:31</t>
  </si>
  <si>
    <t>6ac486f64854db7e48d93b2c</t>
  </si>
  <si>
    <t>05/10/2026 22:12:51</t>
  </si>
  <si>
    <t>06/10/2026 02:28:22</t>
  </si>
  <si>
    <t>05/10/2026</t>
  </si>
  <si>
    <t>6ac486f54854db7e48d93b26</t>
  </si>
  <si>
    <t>05/10/2026 21:29:15</t>
  </si>
  <si>
    <t>06/10/2026 02:28:21</t>
  </si>
  <si>
    <t>6ac486f54854db7e48d93ad0</t>
  </si>
  <si>
    <t>05/10/2026 16:07:05</t>
  </si>
  <si>
    <t>6ac093aadb68f2f72a0ff083</t>
  </si>
  <si>
    <t>02/10/2026 22:34:52</t>
  </si>
  <si>
    <t>03/10/2026 02:33:30</t>
  </si>
  <si>
    <t>02/10/2026</t>
  </si>
  <si>
    <t>6ac093aadb68f2f72a0ff053</t>
  </si>
  <si>
    <t>02/10/2026 20:46:53</t>
  </si>
  <si>
    <t>6ac093a9db68f2f72a0ff047</t>
  </si>
  <si>
    <t>02/10/2026 18:34:53</t>
  </si>
  <si>
    <t>03/10/2026 02:33:29</t>
  </si>
  <si>
    <t>6ac093a9db68f2f72a0ff01d</t>
  </si>
  <si>
    <t>02/10/2026 16:21:35</t>
  </si>
  <si>
    <t>6ac7793df6baa94e5914b017</t>
  </si>
  <si>
    <t>07/10/2026 21:53:55</t>
  </si>
  <si>
    <t>08/10/2026 08:06:37</t>
  </si>
  <si>
    <t>07/10/2026</t>
  </si>
  <si>
    <t>6ac7793cf6baa94e5914b011</t>
  </si>
  <si>
    <t>07/10/2026 17:30:47</t>
  </si>
  <si>
    <t>08/10/2026 08:06:36</t>
  </si>
  <si>
    <t>6ac77861486c261c1cacc928</t>
  </si>
  <si>
    <t>07/10/2026 20:40:30</t>
  </si>
  <si>
    <t>08/10/2026 08:02:57</t>
  </si>
  <si>
    <t>6ac77861486c261c1cacc916</t>
  </si>
  <si>
    <t>07/10/2026 16:21:03</t>
  </si>
  <si>
    <t>6ac5da49636e383ab3c2e97e</t>
  </si>
  <si>
    <t>06/10/2026 22:00:17</t>
  </si>
  <si>
    <t>07/10/2026 02:36:09</t>
  </si>
  <si>
    <t>06/10/2026</t>
  </si>
  <si>
    <t>6ac5da49636e383ab3c2e978</t>
  </si>
  <si>
    <t>06/10/2026 21:22:17</t>
  </si>
  <si>
    <t>6ac5da48636e383ab3c2e948</t>
  </si>
  <si>
    <t>06/10/2026 17:33:08</t>
  </si>
  <si>
    <t>07/10/2026 02:36:08</t>
  </si>
  <si>
    <t>6ac5da48636e383ab3c2e92a</t>
  </si>
  <si>
    <t>06/10/2026 16:22:08</t>
  </si>
  <si>
    <t>6ac9cdb20fd30db1b9055a0f</t>
  </si>
  <si>
    <t>09/10/2026 21:59:05</t>
  </si>
  <si>
    <t>10/10/2026 02:31:30</t>
  </si>
  <si>
    <t>09/10/2026</t>
  </si>
  <si>
    <t>6ac9cdb10fd30db1b90559c7</t>
  </si>
  <si>
    <t>09/10/2026 20:02:07</t>
  </si>
  <si>
    <t>10/10/2026 02:31:29</t>
  </si>
  <si>
    <t>6ac9cdb10fd30db1b90559c1</t>
  </si>
  <si>
    <t>09/10/2026 17:24:19</t>
  </si>
  <si>
    <t>6ac9cdb00fd30db1b90559af</t>
  </si>
  <si>
    <t>09/10/2026 16:19:11</t>
  </si>
  <si>
    <t>10/10/2026 02:31:28</t>
  </si>
  <si>
    <t>6ac877fc898c48a2f44ba6df</t>
  </si>
  <si>
    <t>08/10/2026 22:09:42</t>
  </si>
  <si>
    <t>09/10/2026 02:13:32</t>
  </si>
  <si>
    <t>08/10/2026</t>
  </si>
  <si>
    <t>6ac877fb898c48a2f44ba6d9</t>
  </si>
  <si>
    <t>08/10/2026 21:24:19</t>
  </si>
  <si>
    <t>09/10/2026 02:13:31</t>
  </si>
  <si>
    <t>6ac877fb898c48a2f44ba6b3</t>
  </si>
  <si>
    <t>08/10/2026 18:21:26</t>
  </si>
  <si>
    <t>6ac877fb898c48a2f44ba695</t>
  </si>
  <si>
    <t>08/10/2026 16:37:53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</si>
</sst>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\ hh:mm:ss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ABDB7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1" tint="0.499984740745262"/>
      </bottom>
      <diagonal/>
    </border>
    <border>
      <left style="thin">
        <color theme="0" tint="-0.14996795556505021"/>
      </left>
      <right style="thin">
        <color theme="1" tint="0.499984740745262"/>
      </right>
      <top style="thin">
        <color theme="0" tint="-0.1499679555650502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theme="1" tint="0.499984740745262"/>
      </left>
      <right style="thin">
        <color theme="0" tint="-0.14996795556505021"/>
      </right>
      <top style="thin">
        <color theme="1" tint="0.499984740745262"/>
      </top>
      <bottom style="thin">
        <color theme="0" tint="-0.14996795556505021"/>
      </bottom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0" tint="-0.14996795556505021"/>
      </right>
      <top style="thin">
        <color theme="0" tint="-0.14996795556505021"/>
      </top>
      <bottom style="thin">
        <color theme="1" tint="0.499984740745262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2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  <xf numFmtId="0" fontId="1" fillId="2" borderId="1" xfId="0" applyFont="1" applyFill="1" applyBorder="1"/>
    <xf numFmtId="0" fontId="3" fillId="3" borderId="0" xfId="0" applyFont="1" applyFill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5" xfId="1" applyNumberFormat="1" applyFont="1" applyBorder="1" applyAlignment="1">
      <alignment horizontal="center"/>
    </xf>
    <xf numFmtId="9" fontId="0" fillId="0" borderId="5" xfId="1" applyFont="1" applyBorder="1" applyAlignment="1">
      <alignment horizontal="center"/>
    </xf>
    <xf numFmtId="165" fontId="0" fillId="0" borderId="12" xfId="0" applyNumberFormat="1" applyBorder="1"/>
    <xf numFmtId="165" fontId="0" fillId="0" borderId="0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165" fontId="0" fillId="0" borderId="6" xfId="1" applyNumberFormat="1" applyFont="1" applyBorder="1" applyAlignment="1">
      <alignment horizontal="center"/>
    </xf>
    <xf numFmtId="9" fontId="0" fillId="0" borderId="12" xfId="1" applyFont="1" applyBorder="1"/>
    <xf numFmtId="9" fontId="0" fillId="0" borderId="0" xfId="1" applyFont="1" applyBorder="1" applyAlignment="1">
      <alignment horizontal="center"/>
    </xf>
    <xf numFmtId="9" fontId="0" fillId="0" borderId="15" xfId="1" applyFont="1" applyBorder="1" applyAlignment="1">
      <alignment horizontal="center"/>
    </xf>
    <xf numFmtId="9" fontId="0" fillId="0" borderId="6" xfId="1" applyFont="1" applyBorder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14" fontId="4" fillId="4" borderId="2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6" borderId="11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0" borderId="0" xfId="0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9" fontId="0" fillId="0" borderId="12" xfId="1" applyFont="1" applyBorder="1" applyAlignment="1">
      <alignment horizontal="center"/>
    </xf>
    <xf numFmtId="9" fontId="0" fillId="0" borderId="13" xfId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7" borderId="0" xfId="0" applyFill="1"/>
    <xf numFmtId="0" fontId="6" fillId="2" borderId="1" xfId="0" applyFont="1" applyFill="1" applyBorder="1"/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9" fontId="5" fillId="6" borderId="3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dd/mm/yyyy\ hh:mm:ss"/>
    </dxf>
    <dxf>
      <numFmt numFmtId="164" formatCode="dd/mm/yyyy\ hh:mm:ss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border diagonalUp="0" diagonalDown="0" outline="0">
        <left/>
        <right/>
        <top style="thin">
          <color theme="4"/>
        </top>
        <bottom/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ABDB77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0</xdr:row>
      <xdr:rowOff>0</xdr:rowOff>
    </xdr:from>
    <xdr:to>
      <xdr:col>9</xdr:col>
      <xdr:colOff>133350</xdr:colOff>
      <xdr:row>2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Turno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rno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1750" y="0"/>
              <a:ext cx="1962150" cy="704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 de tabela. Segmentações de dados de tabela têm suporte no Excel 2013 ou em versões posteriores.
Se a forma tiver sido modificada em uma versão anterior do Excel, ou se a pasta de trabalho tiver sido salva no Excel 2007 ou em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114299</xdr:colOff>
      <xdr:row>0</xdr:row>
      <xdr:rowOff>0</xdr:rowOff>
    </xdr:from>
    <xdr:to>
      <xdr:col>13</xdr:col>
      <xdr:colOff>600074</xdr:colOff>
      <xdr:row>1</xdr:row>
      <xdr:rowOff>345975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Famíli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míl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14850" y="0"/>
              <a:ext cx="2571751" cy="698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 de tabela. Segmentações de dados de tabela têm suporte no Excel 2013 ou em versões posteriores.
Se a forma tiver sido modificada em uma versão anterior do Excel, ou se a pasta de trabalho tiver sido salva no Excel 2007 ou em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19050</xdr:colOff>
      <xdr:row>2</xdr:row>
      <xdr:rowOff>9524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ê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590800" cy="7143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IC%20Hashdata%20Sala%20Corte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6308.563549305552" createdVersion="5" refreshedVersion="5" minRefreshableVersion="3" recordCount="214">
  <cacheSource type="worksheet">
    <worksheetSource name="Tabela1" r:id="rId2"/>
  </cacheSource>
  <cacheFields count="38">
    <cacheField name="Mês" numFmtId="0">
      <sharedItems count="10">
        <s v="JAN"/>
        <s v="FEV"/>
        <s v="MAR"/>
        <s v="ABR"/>
        <s v="MAI"/>
        <s v="JUN"/>
        <s v="JUL"/>
        <s v="AGO"/>
        <s v="SET"/>
        <s v="OUT"/>
      </sharedItems>
    </cacheField>
    <cacheField name="ID" numFmtId="0">
      <sharedItems containsBlank="1"/>
    </cacheField>
    <cacheField name="Data e Hora" numFmtId="164">
      <sharedItems containsBlank="1"/>
    </cacheField>
    <cacheField name="Data recebimento" numFmtId="164">
      <sharedItems containsBlank="1"/>
    </cacheField>
    <cacheField name="Usuário" numFmtId="0">
      <sharedItems containsBlank="1"/>
    </cacheField>
    <cacheField name="Data" numFmtId="14">
      <sharedItems containsDate="1" containsMixedTypes="1" minDate="2026-01-01T00:00:00" maxDate="2026-07-02T00:00:00" count="52">
        <d v="2026-01-01T00:00:00"/>
        <d v="2026-02-01T00:00:00"/>
        <d v="2026-03-01T00:00:00"/>
        <d v="2026-04-01T00:00:00"/>
        <d v="2026-05-01T00:00:00"/>
        <d v="2026-06-01T00:00:00"/>
        <d v="2026-07-01T00:00:00"/>
        <s v="14/08/2026"/>
        <s v="13/08/2026"/>
        <s v="12/08/2026"/>
        <s v="11/08/2026"/>
        <s v="10/08/2026"/>
        <s v="07/08/2026"/>
        <s v="06/08/2026"/>
        <s v="05/08/2026"/>
        <s v="18/08/2026"/>
        <s v="17/08/2026"/>
        <s v="19/08/2026"/>
        <s v="20/08/2026"/>
        <s v="21/08/2026"/>
        <s v="24/08/2026"/>
        <s v="25/08/2026"/>
        <s v="26/08/2026"/>
        <s v="27/08/2026"/>
        <s v="28/08/2026"/>
        <s v="31/08/2026"/>
        <s v="01/09/2026"/>
        <s v="03/09/2026"/>
        <s v="02/09/2026"/>
        <s v="08/09/2026"/>
        <s v="11/09/2026"/>
        <s v="10/09/2026"/>
        <s v="09/09/2026"/>
        <s v="14/09/2026"/>
        <s v="15/09/2026"/>
        <s v="16/09/2026"/>
        <s v="18/09/2026"/>
        <s v="17/09/2026"/>
        <s v="21/09/2026"/>
        <s v="22/09/2026"/>
        <s v="23/09/2026"/>
        <s v="25/09/2026"/>
        <s v="28/09/2026"/>
        <s v="29/09/2026"/>
        <s v="30/09/2026"/>
        <s v="01/10/2026"/>
        <s v="05/10/2026"/>
        <s v="02/10/2026"/>
        <s v="07/10/2026"/>
        <s v="06/10/2026"/>
        <s v="09/10/2026"/>
        <s v="08/10/2026"/>
      </sharedItems>
    </cacheField>
    <cacheField name="Turno" numFmtId="0">
      <sharedItems containsMixedTypes="1" containsNumber="1" containsInteger="1" minValue="1" maxValue="2"/>
    </cacheField>
    <cacheField name="Carne no Back" numFmtId="0">
      <sharedItems containsBlank="1" containsMixedTypes="1" containsNumber="1" containsInteger="1" minValue="5" maxValue="10"/>
    </cacheField>
    <cacheField name="Peito na Asa Meyn" numFmtId="0">
      <sharedItems containsBlank="1" containsMixedTypes="1" containsNumber="1" containsInteger="1" minValue="5" maxValue="10"/>
    </cacheField>
    <cacheField name="Medalhão na Asa Meyn" numFmtId="0">
      <sharedItems containsBlank="1" containsMixedTypes="1" containsNumber="1" containsInteger="1" minValue="5" maxValue="10"/>
    </cacheField>
    <cacheField name="Carne no Front" numFmtId="0">
      <sharedItems containsBlank="1" containsMixedTypes="1" containsNumber="1" containsInteger="1" minValue="5" maxValue="10"/>
    </cacheField>
    <cacheField name="2.2 Pinçagem " numFmtId="0">
      <sharedItems containsBlank="1" containsMixedTypes="1" containsNumber="1" containsInteger="1" minValue="6" maxValue="46"/>
    </cacheField>
    <cacheField name="2.3 Cartilagem" numFmtId="0">
      <sharedItems containsBlank="1" containsMixedTypes="1" containsNumber="1" containsInteger="1" minValue="10" maxValue="380"/>
    </cacheField>
    <cacheField name="% Eficiência da Pinçagem" numFmtId="0">
      <sharedItems containsMixedTypes="1" containsNumber="1" containsInteger="1" minValue="19" maxValue="94"/>
    </cacheField>
    <cacheField name="% Eficiência remoção cartilagem" numFmtId="0">
      <sharedItems containsBlank="1" containsMixedTypes="1" containsNumber="1" containsInteger="1" minValue="-280" maxValue="90"/>
    </cacheField>
    <cacheField name="Corte Perna Cone" numFmtId="0">
      <sharedItems containsBlank="1" containsMixedTypes="1" containsNumber="1" containsInteger="1" minValue="5" maxValue="10"/>
    </cacheField>
    <cacheField name="Peito na Asa Cone" numFmtId="0">
      <sharedItems containsBlank="1" containsMixedTypes="1" containsNumber="1" containsInteger="1" minValue="5" maxValue="10"/>
    </cacheField>
    <cacheField name="Medalhão na Asa Cone" numFmtId="0">
      <sharedItems containsBlank="1" containsMixedTypes="1" containsNumber="1" containsInteger="1" minValue="5" maxValue="10"/>
    </cacheField>
    <cacheField name="Corte Peito Cone" numFmtId="0">
      <sharedItems containsBlank="1" containsMixedTypes="1" containsNumber="1" containsInteger="1" minValue="5" maxValue="10"/>
    </cacheField>
    <cacheField name="Corte Sassami Cone" numFmtId="0">
      <sharedItems containsBlank="1" containsMixedTypes="1" containsNumber="1" containsInteger="1" minValue="5" maxValue="10"/>
    </cacheField>
    <cacheField name="Corte Cartilagem Cone" numFmtId="0">
      <sharedItems containsBlank="1" containsMixedTypes="1" containsNumber="1" containsInteger="1" minValue="5" maxValue="10"/>
    </cacheField>
    <cacheField name="Atividades na Linha de Cone " numFmtId="0">
      <sharedItems containsBlank="1" containsMixedTypes="1" containsNumber="1" containsInteger="1" minValue="37" maxValue="37"/>
    </cacheField>
    <cacheField name="Carne no Osso Perna Direita" numFmtId="0">
      <sharedItems containsBlank="1" containsMixedTypes="1" containsNumber="1" containsInteger="1" minValue="5" maxValue="10"/>
    </cacheField>
    <cacheField name="Carne no Osso Perna Esquerda" numFmtId="0">
      <sharedItems containsBlank="1" containsMixedTypes="1" containsNumber="1" containsInteger="1" minValue="5" maxValue="10"/>
    </cacheField>
    <cacheField name="Refile Perna" numFmtId="0">
      <sharedItems containsBlank="1" containsMixedTypes="1" containsNumber="1" minValue="21" maxValue="155"/>
    </cacheField>
    <cacheField name="% Carne Refile Perna" numFmtId="0">
      <sharedItems containsMixedTypes="1" containsNumber="1" minValue="10.5" maxValue="91"/>
    </cacheField>
    <cacheField name="5.1 Carne no Refile" numFmtId="0">
      <sharedItems containsBlank="1" containsMixedTypes="1" containsNumber="1" containsInteger="1" minValue="4" maxValue="290"/>
    </cacheField>
    <cacheField name="5.2 Peito Limpo" numFmtId="0">
      <sharedItems containsBlank="1" containsMixedTypes="1" containsNumber="1" minValue="2" maxValue="45.5"/>
    </cacheField>
    <cacheField name="% Carne Refile Peito" numFmtId="0">
      <sharedItems containsMixedTypes="1" containsNumber="1" minValue="2" maxValue="145"/>
    </cacheField>
    <cacheField name="% Peito Limpo na esteira" numFmtId="0">
      <sharedItems containsBlank="1" containsMixedTypes="1" containsNumber="1" minValue="15" maxValue="90"/>
    </cacheField>
    <cacheField name="6.1 Erro de Corte" numFmtId="0">
      <sharedItems containsBlank="1" containsMixedTypes="1" containsNumber="1" containsInteger="1" minValue="0" maxValue="30"/>
    </cacheField>
    <cacheField name="% Erro de Corte da Porcionadora" numFmtId="0">
      <sharedItems containsBlank="1" containsMixedTypes="1" containsNumber="1" minValue="0" maxValue="55.000000000000007"/>
    </cacheField>
    <cacheField name="Qualidade Acomodação" numFmtId="0">
      <sharedItems containsBlank="1" containsMixedTypes="1" containsNumber="1" containsInteger="1" minValue="5" maxValue="10"/>
    </cacheField>
    <cacheField name="SKU" numFmtId="0">
      <sharedItems containsBlank="1" containsMixedTypes="1" containsNumber="1" containsInteger="1" minValue="10105" maxValue="995684"/>
    </cacheField>
    <cacheField name=" Check list Acomodação" numFmtId="0">
      <sharedItems containsBlank="1"/>
    </cacheField>
    <cacheField name="Assinatura  do Supervisor Responsável" numFmtId="0">
      <sharedItems containsBlank="1"/>
    </cacheField>
    <cacheField name="Assinatura  do Supervisor Responsável2" numFmtId="0">
      <sharedItems containsBlank="1"/>
    </cacheField>
    <cacheField name="Tempo de resposta" numFmtId="0">
      <sharedItems containsString="0" containsBlank="1" containsNumber="1" containsInteger="1" minValue="115" maxValue="1141881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4">
  <r>
    <x v="0"/>
    <m/>
    <m/>
    <m/>
    <m/>
    <x v="0"/>
    <n v="1"/>
    <m/>
    <m/>
    <m/>
    <m/>
    <m/>
    <m/>
    <n v="60"/>
    <m/>
    <m/>
    <m/>
    <m/>
    <m/>
    <m/>
    <m/>
    <m/>
    <m/>
    <m/>
    <m/>
    <n v="42"/>
    <m/>
    <m/>
    <n v="57"/>
    <n v="66"/>
    <m/>
    <n v="5"/>
    <m/>
    <m/>
    <m/>
    <m/>
    <m/>
    <m/>
  </r>
  <r>
    <x v="0"/>
    <m/>
    <m/>
    <m/>
    <m/>
    <x v="0"/>
    <n v="2"/>
    <m/>
    <m/>
    <m/>
    <m/>
    <m/>
    <m/>
    <n v="58"/>
    <m/>
    <m/>
    <m/>
    <m/>
    <m/>
    <m/>
    <m/>
    <m/>
    <m/>
    <m/>
    <m/>
    <n v="45"/>
    <m/>
    <m/>
    <n v="52"/>
    <n v="64"/>
    <m/>
    <n v="8"/>
    <m/>
    <m/>
    <m/>
    <m/>
    <m/>
    <m/>
  </r>
  <r>
    <x v="1"/>
    <m/>
    <m/>
    <m/>
    <m/>
    <x v="1"/>
    <n v="1"/>
    <m/>
    <m/>
    <m/>
    <m/>
    <m/>
    <m/>
    <n v="53"/>
    <m/>
    <m/>
    <m/>
    <m/>
    <m/>
    <m/>
    <m/>
    <m/>
    <m/>
    <m/>
    <m/>
    <n v="31.5"/>
    <m/>
    <m/>
    <n v="56"/>
    <n v="73"/>
    <m/>
    <n v="7.17"/>
    <m/>
    <m/>
    <m/>
    <m/>
    <m/>
    <m/>
  </r>
  <r>
    <x v="1"/>
    <m/>
    <m/>
    <m/>
    <m/>
    <x v="1"/>
    <n v="2"/>
    <m/>
    <m/>
    <m/>
    <m/>
    <m/>
    <m/>
    <n v="56"/>
    <m/>
    <m/>
    <m/>
    <m/>
    <m/>
    <m/>
    <m/>
    <m/>
    <m/>
    <m/>
    <m/>
    <n v="42.4"/>
    <m/>
    <m/>
    <n v="56"/>
    <n v="79"/>
    <m/>
    <n v="13.57"/>
    <m/>
    <m/>
    <m/>
    <m/>
    <m/>
    <m/>
  </r>
  <r>
    <x v="2"/>
    <m/>
    <m/>
    <m/>
    <m/>
    <x v="2"/>
    <n v="1"/>
    <m/>
    <m/>
    <m/>
    <m/>
    <m/>
    <m/>
    <n v="44"/>
    <m/>
    <m/>
    <m/>
    <m/>
    <m/>
    <m/>
    <m/>
    <m/>
    <m/>
    <m/>
    <m/>
    <n v="29"/>
    <m/>
    <m/>
    <n v="54"/>
    <n v="65"/>
    <m/>
    <n v="19"/>
    <m/>
    <m/>
    <m/>
    <m/>
    <m/>
    <m/>
  </r>
  <r>
    <x v="2"/>
    <m/>
    <m/>
    <m/>
    <m/>
    <x v="2"/>
    <n v="2"/>
    <m/>
    <m/>
    <m/>
    <m/>
    <m/>
    <m/>
    <n v="44"/>
    <m/>
    <m/>
    <m/>
    <m/>
    <m/>
    <m/>
    <m/>
    <m/>
    <m/>
    <m/>
    <m/>
    <n v="45.5"/>
    <m/>
    <m/>
    <n v="58"/>
    <n v="68"/>
    <m/>
    <n v="35"/>
    <m/>
    <m/>
    <m/>
    <m/>
    <m/>
    <m/>
  </r>
  <r>
    <x v="3"/>
    <m/>
    <m/>
    <m/>
    <m/>
    <x v="3"/>
    <n v="1"/>
    <m/>
    <m/>
    <m/>
    <m/>
    <m/>
    <m/>
    <n v="23"/>
    <m/>
    <m/>
    <m/>
    <m/>
    <m/>
    <m/>
    <m/>
    <m/>
    <m/>
    <m/>
    <m/>
    <n v="24.72"/>
    <m/>
    <m/>
    <n v="39"/>
    <n v="67"/>
    <m/>
    <n v="21"/>
    <m/>
    <m/>
    <m/>
    <m/>
    <m/>
    <m/>
  </r>
  <r>
    <x v="3"/>
    <m/>
    <m/>
    <m/>
    <m/>
    <x v="3"/>
    <n v="2"/>
    <m/>
    <m/>
    <m/>
    <m/>
    <m/>
    <m/>
    <n v="19"/>
    <m/>
    <m/>
    <m/>
    <m/>
    <m/>
    <m/>
    <m/>
    <m/>
    <m/>
    <m/>
    <m/>
    <n v="39.11"/>
    <m/>
    <m/>
    <n v="48"/>
    <n v="57"/>
    <m/>
    <n v="50"/>
    <m/>
    <m/>
    <m/>
    <m/>
    <m/>
    <m/>
  </r>
  <r>
    <x v="4"/>
    <m/>
    <m/>
    <m/>
    <m/>
    <x v="4"/>
    <n v="1"/>
    <m/>
    <m/>
    <m/>
    <m/>
    <m/>
    <m/>
    <n v="49"/>
    <m/>
    <m/>
    <m/>
    <m/>
    <m/>
    <m/>
    <m/>
    <m/>
    <m/>
    <m/>
    <m/>
    <n v="25.26"/>
    <m/>
    <m/>
    <n v="39"/>
    <n v="69"/>
    <m/>
    <n v="21"/>
    <m/>
    <m/>
    <m/>
    <m/>
    <m/>
    <m/>
  </r>
  <r>
    <x v="4"/>
    <m/>
    <m/>
    <m/>
    <m/>
    <x v="4"/>
    <n v="2"/>
    <m/>
    <m/>
    <m/>
    <m/>
    <m/>
    <m/>
    <n v="57"/>
    <m/>
    <m/>
    <m/>
    <m/>
    <m/>
    <m/>
    <m/>
    <m/>
    <m/>
    <m/>
    <m/>
    <n v="36.72"/>
    <m/>
    <m/>
    <n v="43"/>
    <n v="55"/>
    <m/>
    <n v="46"/>
    <m/>
    <m/>
    <m/>
    <m/>
    <m/>
    <m/>
  </r>
  <r>
    <x v="5"/>
    <m/>
    <m/>
    <m/>
    <m/>
    <x v="5"/>
    <n v="1"/>
    <m/>
    <m/>
    <m/>
    <m/>
    <m/>
    <m/>
    <n v="64"/>
    <m/>
    <m/>
    <m/>
    <m/>
    <m/>
    <m/>
    <m/>
    <m/>
    <m/>
    <m/>
    <m/>
    <n v="24.36"/>
    <m/>
    <m/>
    <n v="31"/>
    <n v="72"/>
    <m/>
    <n v="25"/>
    <m/>
    <m/>
    <m/>
    <m/>
    <m/>
    <m/>
  </r>
  <r>
    <x v="5"/>
    <m/>
    <m/>
    <m/>
    <m/>
    <x v="5"/>
    <n v="2"/>
    <m/>
    <m/>
    <m/>
    <m/>
    <m/>
    <m/>
    <n v="60"/>
    <m/>
    <m/>
    <m/>
    <m/>
    <m/>
    <m/>
    <m/>
    <m/>
    <m/>
    <m/>
    <m/>
    <n v="27.91"/>
    <m/>
    <m/>
    <n v="30"/>
    <n v="66"/>
    <m/>
    <n v="38"/>
    <m/>
    <m/>
    <m/>
    <m/>
    <m/>
    <m/>
  </r>
  <r>
    <x v="6"/>
    <m/>
    <m/>
    <m/>
    <m/>
    <x v="6"/>
    <n v="1"/>
    <m/>
    <m/>
    <m/>
    <m/>
    <m/>
    <m/>
    <n v="54"/>
    <m/>
    <m/>
    <m/>
    <m/>
    <m/>
    <m/>
    <m/>
    <m/>
    <m/>
    <m/>
    <m/>
    <n v="29.13"/>
    <m/>
    <m/>
    <n v="23"/>
    <n v="70"/>
    <m/>
    <n v="16"/>
    <m/>
    <m/>
    <m/>
    <m/>
    <m/>
    <m/>
  </r>
  <r>
    <x v="6"/>
    <m/>
    <m/>
    <m/>
    <m/>
    <x v="6"/>
    <n v="2"/>
    <m/>
    <m/>
    <m/>
    <m/>
    <m/>
    <m/>
    <n v="66"/>
    <m/>
    <m/>
    <m/>
    <m/>
    <m/>
    <m/>
    <m/>
    <m/>
    <m/>
    <m/>
    <m/>
    <n v="24.75"/>
    <m/>
    <m/>
    <n v="20"/>
    <n v="70"/>
    <m/>
    <n v="24"/>
    <m/>
    <m/>
    <m/>
    <m/>
    <m/>
    <m/>
  </r>
  <r>
    <x v="7"/>
    <s v="6a7fe9ddacd6cb3b421e1b6e"/>
    <s v="15/08/2026 00:24:18"/>
    <s v="15/08/2026 01:23:57"/>
    <s v="Ranieli"/>
    <x v="7"/>
    <n v="2"/>
    <n v="7"/>
    <n v="7"/>
    <n v="7"/>
    <n v="5"/>
    <n v="39"/>
    <n v="35"/>
    <n v="61"/>
    <n v="65"/>
    <n v="7"/>
    <n v="7"/>
    <n v="7"/>
    <n v="7"/>
    <n v="7"/>
    <n v="7"/>
    <s v="Riscou o Sassami em X,_x000a_Retirou a Cartilagem"/>
    <n v="10"/>
    <n v="10"/>
    <n v="48"/>
    <n v="24"/>
    <n v="43"/>
    <n v="4"/>
    <n v="21.5"/>
    <n v="80"/>
    <n v="5"/>
    <n v="25"/>
    <n v="5"/>
    <n v="42820"/>
    <s v="Caixa está sem rasgos e seca,_x000a_Data  de validade e produção estão de acordo"/>
    <s v="assinatura"/>
    <s v="assinatura"/>
    <n v="142"/>
  </r>
  <r>
    <x v="7"/>
    <s v="6a7fe9ddacd6cb3b421e1b5c"/>
    <s v="14/08/2026 21:48:16"/>
    <s v="15/08/2026 01:23:57"/>
    <s v="Ranieli"/>
    <x v="7"/>
    <n v="2"/>
    <n v="7"/>
    <n v="7"/>
    <n v="7"/>
    <n v="5"/>
    <n v="28"/>
    <n v="30"/>
    <n v="72"/>
    <n v="70"/>
    <n v="7"/>
    <n v="7"/>
    <n v="7"/>
    <n v="7"/>
    <n v="7"/>
    <n v="7"/>
    <s v="Riscou o Sassami em X,_x000a_Retirou a Cartilagem"/>
    <n v="7"/>
    <n v="7"/>
    <n v="61"/>
    <n v="30.5"/>
    <n v="43"/>
    <n v="5"/>
    <n v="21.5"/>
    <n v="75"/>
    <n v="4"/>
    <n v="20"/>
    <n v="5"/>
    <n v="42820"/>
    <s v="Caixa está sem rasgos e seca,_x000a_Data  de validade e produção estão de acordo"/>
    <s v="assinatura"/>
    <s v="assinatura"/>
    <n v="4705"/>
  </r>
  <r>
    <x v="7"/>
    <s v="6a7fe9dcacd6cb3b421e1b56"/>
    <s v="14/08/2026 19:01:59"/>
    <s v="15/08/2026 01:23:56"/>
    <s v="Ranieli"/>
    <x v="7"/>
    <n v="2"/>
    <n v="7"/>
    <n v="7"/>
    <n v="7"/>
    <s v=""/>
    <n v="46"/>
    <n v="41"/>
    <n v="54"/>
    <n v="59"/>
    <n v="7"/>
    <n v="7"/>
    <n v="7"/>
    <n v="7"/>
    <n v="7"/>
    <n v="7"/>
    <s v="Riscou o Sassami em X,_x000a_Retirou a Cartilagem"/>
    <n v="10"/>
    <n v="10"/>
    <n v="39"/>
    <n v="19.5"/>
    <n v="38"/>
    <n v="3"/>
    <n v="19"/>
    <n v="85"/>
    <n v="5"/>
    <n v="25"/>
    <n v="5"/>
    <n v="42854"/>
    <s v="Caixa está sem rasgos e seca,_x000a_Data  de validade e produção estão de acordo"/>
    <s v="assinatura"/>
    <s v="assinatura"/>
    <n v="2933"/>
  </r>
  <r>
    <x v="7"/>
    <s v="6a7fe9dcacd6cb3b421e1b14"/>
    <s v="14/08/2026 16:41:44"/>
    <s v="15/08/2026 01:23:56"/>
    <s v="Ranieli"/>
    <x v="7"/>
    <n v="2"/>
    <n v="7"/>
    <n v="7"/>
    <n v="7"/>
    <n v="5"/>
    <n v="31"/>
    <n v="40"/>
    <n v="69"/>
    <n v="60"/>
    <n v="7"/>
    <n v="7"/>
    <n v="7"/>
    <n v="7"/>
    <n v="7"/>
    <n v="7"/>
    <s v="Riscou o Sassami em X,_x000a_Retirou a Cartilagem"/>
    <n v="10"/>
    <n v="10"/>
    <n v="41"/>
    <n v="20.5"/>
    <n v="32"/>
    <n v="7"/>
    <n v="16"/>
    <n v="65"/>
    <n v="5"/>
    <n v="25"/>
    <n v="5"/>
    <n v="42838"/>
    <s v="Data  de validade e produção estão de acordo,_x000a_Caixa está sem rasgos e seca"/>
    <s v="assinatura"/>
    <s v="assinatura"/>
    <n v="3502"/>
  </r>
  <r>
    <x v="7"/>
    <s v="6a7ea368f68f6f3a4276cac7"/>
    <s v="14/08/2026 00:35:32"/>
    <s v="14/08/2026 02:11:04"/>
    <s v="Ranieli"/>
    <x v="8"/>
    <n v="2"/>
    <n v="7"/>
    <n v="7"/>
    <n v="7"/>
    <n v="5"/>
    <n v="39"/>
    <n v="33"/>
    <n v="61"/>
    <n v="67"/>
    <n v="5"/>
    <s v=""/>
    <n v="7"/>
    <n v="7"/>
    <n v="7"/>
    <n v="5"/>
    <s v="Riscou o Sassami em X,_x000a_Retirou a Cartilagem"/>
    <n v="10"/>
    <n v="10"/>
    <n v="41"/>
    <n v="20.5"/>
    <n v="43"/>
    <n v="4"/>
    <n v="21.5"/>
    <n v="80"/>
    <n v="6"/>
    <n v="30"/>
    <n v="5"/>
    <n v="42838"/>
    <s v="Caixa está sem rasgos e seca,_x000a_Data  de validade e produção estão de acordo,_x000a_Selagem está conforme"/>
    <s v="assinatura"/>
    <s v="assinatura"/>
    <n v="559"/>
  </r>
  <r>
    <x v="7"/>
    <s v="6a7ea367f68f6f3a4276cac1"/>
    <s v="13/08/2026 22:02:31"/>
    <s v="14/08/2026 02:11:03"/>
    <s v="Ranieli"/>
    <x v="8"/>
    <n v="2"/>
    <n v="7"/>
    <n v="7"/>
    <n v="7"/>
    <n v="7"/>
    <n v="39"/>
    <n v="30"/>
    <n v="61"/>
    <n v="70"/>
    <n v="7"/>
    <n v="7"/>
    <n v="7"/>
    <n v="7"/>
    <n v="7"/>
    <n v="5"/>
    <s v="Riscou o Sassami em X,_x000a_Retirou a Cartilagem"/>
    <n v="10"/>
    <n v="10"/>
    <n v="46"/>
    <n v="23"/>
    <n v="42"/>
    <n v="3"/>
    <n v="21"/>
    <n v="85"/>
    <n v="8"/>
    <n v="40"/>
    <n v="5"/>
    <n v="42862"/>
    <s v="Caixa está sem rasgos e seca,_x000a_Data  de validade e produção estão de acordo,_x000a_Selagem está conforme"/>
    <s v="assinatura"/>
    <s v="assinatura"/>
    <n v="7125"/>
  </r>
  <r>
    <x v="7"/>
    <s v="6a7ea367f68f6f3a4276cab9"/>
    <s v="13/08/2026 18:17:04"/>
    <s v="14/08/2026 02:11:03"/>
    <s v="Ranieli"/>
    <x v="8"/>
    <n v="2"/>
    <n v="7"/>
    <n v="7"/>
    <n v="7"/>
    <n v="5"/>
    <n v="33"/>
    <n v="29"/>
    <n v="67"/>
    <n v="71"/>
    <n v="7"/>
    <n v="7"/>
    <n v="7"/>
    <n v="5"/>
    <n v="7"/>
    <n v="7"/>
    <s v="Riscou o Sassami em X,_x000a_Retirou a Cartilagem"/>
    <n v="10"/>
    <n v="10"/>
    <n v="38"/>
    <n v="19"/>
    <n v="43"/>
    <n v="9"/>
    <n v="21.5"/>
    <n v="55"/>
    <n v="5"/>
    <n v="25"/>
    <n v="5"/>
    <n v="42862"/>
    <s v="Caixa está sem rasgos e seca,_x000a_Data  de validade e produção estão de acordo,_x000a_Selagem está conforme"/>
    <s v="assinatura"/>
    <s v="assinatura"/>
    <n v="1265"/>
  </r>
  <r>
    <x v="7"/>
    <s v="6a7ea367f68f6f3a4276ca89"/>
    <s v="13/08/2026 16:20:53"/>
    <s v="14/08/2026 02:11:03"/>
    <s v="Ranieli"/>
    <x v="8"/>
    <n v="2"/>
    <n v="7"/>
    <n v="7"/>
    <n v="7"/>
    <n v="5"/>
    <n v="33"/>
    <n v="35"/>
    <n v="67"/>
    <n v="65"/>
    <n v="7"/>
    <n v="5"/>
    <n v="7"/>
    <n v="7"/>
    <n v="7"/>
    <n v="5"/>
    <s v="Riscou o Sassami em X,_x000a_Retirou a Cartilagem"/>
    <n v="10"/>
    <n v="10"/>
    <n v="37"/>
    <n v="18.5"/>
    <n v="41"/>
    <n v="7"/>
    <n v="20.5"/>
    <n v="65"/>
    <n v="5"/>
    <n v="25"/>
    <n v="5"/>
    <n v="42846"/>
    <s v="Selagem está conforme,_x000a_Data  de validade e produção estão de acordo,_x000a_Caixa está sem rasgos e seca"/>
    <s v="assinatura"/>
    <s v="assinatura"/>
    <n v="3987"/>
  </r>
  <r>
    <x v="7"/>
    <s v="6a7d4daf8646cdc8463d571d"/>
    <s v="13/08/2026 00:11:57"/>
    <s v="13/08/2026 01:53:03"/>
    <s v="Ranieli"/>
    <x v="9"/>
    <n v="2"/>
    <n v="5"/>
    <n v="7"/>
    <n v="7"/>
    <n v="5"/>
    <n v="39"/>
    <n v="38"/>
    <n v="61"/>
    <n v="62"/>
    <n v="7"/>
    <n v="7"/>
    <n v="7"/>
    <n v="7"/>
    <n v="7"/>
    <n v="7"/>
    <s v="Riscou o Sassami em X,_x000a_Retirou a Cartilagem"/>
    <n v="7"/>
    <n v="7"/>
    <n v="38"/>
    <n v="19"/>
    <n v="42"/>
    <n v="4"/>
    <n v="21"/>
    <n v="80"/>
    <n v="4"/>
    <n v="20"/>
    <n v="5"/>
    <n v="42820"/>
    <s v="Caixa está sem rasgos e seca,_x000a_Data  de validade e produção estão de acordo"/>
    <s v="assinatura"/>
    <s v="assinatura"/>
    <n v="1786"/>
  </r>
  <r>
    <x v="7"/>
    <s v="6a7d4daf8646cdc8463d570b"/>
    <s v="12/08/2026 21:13:46"/>
    <s v="13/08/2026 01:53:03"/>
    <s v="Ranieli"/>
    <x v="10"/>
    <n v="2"/>
    <n v="7"/>
    <n v="7"/>
    <n v="7"/>
    <n v="5"/>
    <n v="27"/>
    <n v="28"/>
    <n v="73"/>
    <n v="72"/>
    <n v="5"/>
    <n v="7"/>
    <n v="7"/>
    <n v="7"/>
    <n v="7"/>
    <n v="10"/>
    <s v="Riscou o Sassami em X,_x000a_Retirou a Cartilagem"/>
    <n v="7"/>
    <n v="7"/>
    <n v="69"/>
    <n v="34.5"/>
    <n v="40"/>
    <n v="4"/>
    <n v="20"/>
    <n v="80"/>
    <n v="4"/>
    <n v="20"/>
    <n v="5"/>
    <n v="42854"/>
    <s v="Caixa está sem rasgos e seca,_x000a_Data  de validade e produção estão de acordo"/>
    <s v="assinatura"/>
    <s v="assinatura"/>
    <n v="4603"/>
  </r>
  <r>
    <x v="7"/>
    <s v="6a7d4daf8646cdc8463d5703"/>
    <s v="12/08/2026 19:06:09"/>
    <s v="13/08/2026 01:53:03"/>
    <s v="Ranieli"/>
    <x v="9"/>
    <n v="2"/>
    <n v="7"/>
    <n v="7"/>
    <n v="7"/>
    <n v="5"/>
    <n v="35"/>
    <n v="42"/>
    <n v="65"/>
    <n v="58"/>
    <n v="7"/>
    <n v="5"/>
    <n v="7"/>
    <n v="7"/>
    <n v="7"/>
    <n v="7"/>
    <s v="Riscou o Sassami em X,_x000a_Retirou a Cartilagem"/>
    <n v="10"/>
    <n v="10"/>
    <n v="38"/>
    <n v="19"/>
    <n v="39"/>
    <n v="4"/>
    <n v="19.5"/>
    <n v="80"/>
    <n v="5"/>
    <n v="25"/>
    <n v="5"/>
    <n v="42862"/>
    <s v="Caixa está sem rasgos e seca,_x000a_Data  de validade e produção estão de acordo"/>
    <s v="assinatura"/>
    <s v="assinatura"/>
    <n v="7653"/>
  </r>
  <r>
    <x v="7"/>
    <s v="6a7d4dae8646cdc8463d56c7"/>
    <s v="12/08/2026 16:28:57"/>
    <s v="13/08/2026 01:53:02"/>
    <s v="Ranieli"/>
    <x v="9"/>
    <n v="2"/>
    <n v="7"/>
    <n v="7"/>
    <n v="7"/>
    <n v="7"/>
    <n v="32"/>
    <n v="38"/>
    <n v="68"/>
    <n v="62"/>
    <n v="7"/>
    <n v="5"/>
    <n v="7"/>
    <n v="7"/>
    <n v="7"/>
    <n v="7"/>
    <s v="Riscou o Sassami em X,_x000a_Retirou a Cartilagem"/>
    <n v="10"/>
    <n v="10"/>
    <n v="32"/>
    <n v="16"/>
    <n v="43"/>
    <n v="6"/>
    <n v="21.5"/>
    <n v="70"/>
    <n v="7"/>
    <n v="35"/>
    <n v="5"/>
    <n v="42854"/>
    <s v="Caixa está sem rasgos e seca,_x000a_Data  de validade e produção estão de acordo"/>
    <s v="assinatura"/>
    <s v="assinatura"/>
    <n v="4698"/>
  </r>
  <r>
    <x v="7"/>
    <s v="6a7c03a9f77da7ef002a624c"/>
    <s v="11/08/2026 23:00:32"/>
    <s v="12/08/2026 02:24:57"/>
    <s v="Ranieli"/>
    <x v="10"/>
    <n v="2"/>
    <n v="7"/>
    <n v="7"/>
    <n v="7"/>
    <n v="5"/>
    <n v="35"/>
    <n v="39"/>
    <n v="65"/>
    <n v="61"/>
    <n v="7"/>
    <n v="7"/>
    <n v="7"/>
    <n v="7"/>
    <n v="7"/>
    <n v="7"/>
    <s v="Riscou o Sassami em X,_x000a_Retirou a Cartilagem"/>
    <n v="10"/>
    <n v="10"/>
    <n v="47"/>
    <n v="23.5"/>
    <n v="45"/>
    <n v="4"/>
    <n v="22.5"/>
    <n v="80"/>
    <n v="5"/>
    <n v="25"/>
    <n v="7"/>
    <n v="42820"/>
    <s v="Data  de validade e produção estão de acordo,_x000a_Caixa está sem rasgos e seca"/>
    <s v="assinatura"/>
    <s v="assinatura"/>
    <n v="4014"/>
  </r>
  <r>
    <x v="7"/>
    <s v="6a7c03a8f77da7ef002a6246"/>
    <s v="11/08/2026 21:35:15"/>
    <s v="12/08/2026 02:24:56"/>
    <s v="Ranieli"/>
    <x v="10"/>
    <n v="2"/>
    <n v="7"/>
    <n v="7"/>
    <n v="7"/>
    <n v="5"/>
    <n v="33"/>
    <n v="33"/>
    <n v="67"/>
    <n v="67"/>
    <n v="7"/>
    <n v="7"/>
    <n v="7"/>
    <n v="7"/>
    <n v="7"/>
    <n v="7"/>
    <s v="Riscou o Sassami em X,_x000a_Retirou a Cartilagem"/>
    <n v="10"/>
    <n v="10"/>
    <n v="47"/>
    <n v="23.5"/>
    <n v="48"/>
    <n v="3"/>
    <n v="24"/>
    <n v="85"/>
    <n v="5"/>
    <n v="25"/>
    <n v="10"/>
    <n v="13188"/>
    <s v="Acomodação do produto está conforme especificação,_x000a_Caixa está sem rasgos e seca,_x000a_Data  de validade e produção estão de acordo,_x000a_Selagem está conforme"/>
    <s v="assinatura"/>
    <s v="assinatura"/>
    <n v="5115"/>
  </r>
  <r>
    <x v="7"/>
    <s v="6a7c03a8f77da7ef002a6240"/>
    <s v="11/08/2026 19:00:16"/>
    <s v="12/08/2026 02:24:56"/>
    <s v="Ranieli"/>
    <x v="10"/>
    <n v="2"/>
    <n v="7"/>
    <n v="5"/>
    <n v="7"/>
    <n v="5"/>
    <n v="25"/>
    <n v="34"/>
    <n v="75"/>
    <n v="66"/>
    <n v="5"/>
    <n v="5"/>
    <n v="7"/>
    <n v="7"/>
    <n v="7"/>
    <n v="7"/>
    <s v="Riscou o Sassami em X,_x000a_Retirou a Cartilagem"/>
    <n v="10"/>
    <n v="10"/>
    <n v="49"/>
    <n v="24.5"/>
    <n v="38"/>
    <n v="5"/>
    <n v="19"/>
    <n v="75"/>
    <n v="5"/>
    <n v="25"/>
    <s v=""/>
    <n v="46854"/>
    <s v="Caixa está sem rasgos e seca,_x000a_Data  de validade e produção estão de acordo"/>
    <s v="assinatura"/>
    <s v="assinatura"/>
    <n v="1083"/>
  </r>
  <r>
    <x v="7"/>
    <s v="6a7c03a8f77da7ef002a6202"/>
    <s v="11/08/2026 16:35:23"/>
    <s v="12/08/2026 02:24:56"/>
    <s v="Ranieli"/>
    <x v="10"/>
    <n v="2"/>
    <n v="7"/>
    <n v="7"/>
    <n v="7"/>
    <n v="5"/>
    <n v="23"/>
    <n v="30"/>
    <n v="77"/>
    <n v="70"/>
    <n v="5"/>
    <n v="5"/>
    <n v="10"/>
    <n v="7"/>
    <n v="7"/>
    <n v="10"/>
    <s v="Riscou o Sassami em X,_x000a_Retirou a Cartilagem"/>
    <n v="10"/>
    <n v="10"/>
    <n v="83"/>
    <n v="41.5"/>
    <n v="32"/>
    <n v="7"/>
    <n v="16"/>
    <n v="65"/>
    <n v="7"/>
    <n v="35"/>
    <n v="5"/>
    <n v="42846"/>
    <s v="Caixa está sem rasgos e seca,_x000a_Data  de validade e produção estão de acordo"/>
    <s v="assinatura"/>
    <s v="assinatura"/>
    <n v="4821"/>
  </r>
  <r>
    <x v="7"/>
    <s v="6a7ab13af77da7ef00271bf7"/>
    <s v="10/08/2026 23:47:49"/>
    <s v="11/08/2026 02:20:58"/>
    <s v="Ranieli"/>
    <x v="11"/>
    <n v="2"/>
    <n v="7"/>
    <n v="7"/>
    <n v="7"/>
    <n v="5"/>
    <n v="23"/>
    <n v="29"/>
    <n v="77"/>
    <n v="71"/>
    <n v="7"/>
    <n v="7"/>
    <n v="7"/>
    <n v="7"/>
    <n v="7"/>
    <n v="7"/>
    <s v="Riscou o Sassami em X,_x000a_Retirou a Cartilagem"/>
    <n v="10"/>
    <n v="10"/>
    <n v="39"/>
    <n v="19.5"/>
    <n v="48"/>
    <n v="4"/>
    <n v="24"/>
    <n v="80"/>
    <n v="5"/>
    <n v="25"/>
    <n v="7"/>
    <n v="42820"/>
    <s v="Caixa está sem rasgos e seca,_x000a_Data  de validade e produção estão de acordo,_x000a_Selagem está conforme"/>
    <s v="assinatura"/>
    <s v="assinatura"/>
    <n v="196"/>
  </r>
  <r>
    <x v="7"/>
    <s v="6a7ab139f77da7ef00271beb"/>
    <s v="10/08/2026 21:52:25"/>
    <s v="11/08/2026 02:20:57"/>
    <s v="Ranieli"/>
    <x v="11"/>
    <n v="2"/>
    <n v="7"/>
    <n v="7"/>
    <n v="7"/>
    <n v="5"/>
    <n v="18"/>
    <n v="34"/>
    <n v="82"/>
    <n v="66"/>
    <s v=""/>
    <n v="5"/>
    <n v="7"/>
    <n v="7"/>
    <n v="7"/>
    <n v="7"/>
    <s v="Riscou o Sassami em X,_x000a_Retirou a Cartilagem"/>
    <n v="10"/>
    <n v="10"/>
    <n v="39"/>
    <n v="19.5"/>
    <n v="48"/>
    <n v="5"/>
    <n v="24"/>
    <n v="75"/>
    <n v="6"/>
    <n v="30"/>
    <n v="7"/>
    <n v="42854"/>
    <s v="Acomodação do produto está conforme especificação,_x000a_Caixa está sem rasgos e seca,_x000a_Data  de validade e produção estão de acordo,_x000a_Selagem está conforme"/>
    <s v="assinatura"/>
    <s v="assinatura"/>
    <n v="3031"/>
  </r>
  <r>
    <x v="7"/>
    <s v="6a7ab139f77da7ef00271be5"/>
    <s v="10/08/2026 18:40:18"/>
    <s v="11/08/2026 02:20:57"/>
    <s v="Ranieli"/>
    <x v="11"/>
    <n v="2"/>
    <n v="5"/>
    <n v="7"/>
    <n v="7"/>
    <n v="5"/>
    <n v="23"/>
    <n v="35"/>
    <n v="77"/>
    <n v="65"/>
    <n v="7"/>
    <n v="7"/>
    <n v="7"/>
    <n v="7"/>
    <n v="7"/>
    <n v="5"/>
    <s v="Riscou o Sassami em X,_x000a_Retirou a Cartilagem"/>
    <n v="10"/>
    <n v="10"/>
    <n v="38"/>
    <n v="19"/>
    <n v="49"/>
    <n v="3"/>
    <n v="24.5"/>
    <n v="85"/>
    <n v="5"/>
    <n v="25"/>
    <n v="10"/>
    <n v="13188"/>
    <s v="Acomodação do produto está conforme especificação,_x000a_Caixa está sem rasgos e seca,_x000a_Data  de validade e produção estão de acordo,_x000a_Selagem está conforme"/>
    <s v="assinatura"/>
    <s v="assinatura"/>
    <n v="2951"/>
  </r>
  <r>
    <x v="7"/>
    <s v="6a7ab139f77da7ef00271baf"/>
    <s v="10/08/2026 16:20:24"/>
    <s v="11/08/2026 02:20:57"/>
    <s v="Ranieli"/>
    <x v="11"/>
    <n v="2"/>
    <n v="5"/>
    <n v="7"/>
    <n v="7"/>
    <n v="5"/>
    <n v="25"/>
    <n v="34"/>
    <n v="75"/>
    <n v="66"/>
    <n v="7"/>
    <n v="7"/>
    <n v="7"/>
    <n v="7"/>
    <n v="7"/>
    <n v="5"/>
    <s v="Riscou o Sassami em X,_x000a_Retirou a Cartilagem"/>
    <n v="7"/>
    <n v="7"/>
    <n v="46"/>
    <n v="23"/>
    <n v="43"/>
    <n v="6"/>
    <n v="21.5"/>
    <n v="70"/>
    <n v="7"/>
    <n v="35"/>
    <n v="5"/>
    <n v="42838"/>
    <s v="Caixa está sem rasgos e seca,_x000a_Data  de validade e produção estão de acordo,_x000a_Selagem está conforme"/>
    <s v="assinatura"/>
    <s v="assinatura"/>
    <n v="4870"/>
  </r>
  <r>
    <x v="7"/>
    <s v="6a79aef54b165449d5bfd7f7"/>
    <s v="07/08/2026 21:44:33"/>
    <s v="10/08/2026 07:59:01"/>
    <s v="Ranieli"/>
    <x v="12"/>
    <n v="2"/>
    <n v="5"/>
    <n v="5"/>
    <n v="5"/>
    <n v="5"/>
    <n v="30"/>
    <n v="38"/>
    <n v="70"/>
    <n v="62"/>
    <n v="5"/>
    <n v="5"/>
    <n v="5"/>
    <n v="5"/>
    <n v="7"/>
    <n v="5"/>
    <s v="Riscou o Sassami em X,_x000a_Retirou a Cartilagem"/>
    <n v="7"/>
    <n v="7"/>
    <n v="41"/>
    <n v="20.5"/>
    <n v="49"/>
    <n v="4"/>
    <n v="24.5"/>
    <n v="80"/>
    <n v="8"/>
    <n v="40"/>
    <n v="5"/>
    <n v="42862"/>
    <s v="Caixa está sem rasgos e seca,_x000a_Selagem está conforme"/>
    <s v="assinatura"/>
    <s v="assinatura"/>
    <n v="4717"/>
  </r>
  <r>
    <x v="7"/>
    <s v="6a79aef54b165449d5bfd7f1"/>
    <s v="07/08/2026 20:53:40"/>
    <s v="10/08/2026 07:59:01"/>
    <s v="Ranieli"/>
    <x v="12"/>
    <n v="2"/>
    <n v="7"/>
    <n v="7"/>
    <n v="7"/>
    <n v="5"/>
    <n v="38"/>
    <n v="33"/>
    <n v="62"/>
    <n v="67"/>
    <n v="5"/>
    <n v="5"/>
    <n v="5"/>
    <n v="7"/>
    <n v="7"/>
    <n v="5"/>
    <s v="Riscou o Sassami em X,_x000a_Retirou a Cartilagem"/>
    <n v="7"/>
    <n v="7"/>
    <n v="47"/>
    <n v="23.5"/>
    <n v="46"/>
    <n v="4"/>
    <n v="23"/>
    <n v="80"/>
    <n v="9"/>
    <n v="45"/>
    <n v="5"/>
    <n v="42838"/>
    <s v="Data  de validade e produção estão de acordo,_x000a_Caixa está sem rasgos e seca"/>
    <s v="assinatura"/>
    <s v="assinatura"/>
    <n v="3007"/>
  </r>
  <r>
    <x v="7"/>
    <s v="6a79aef54b165449d5bfd7eb"/>
    <s v="07/08/2026 19:06:52"/>
    <s v="10/08/2026 07:59:01"/>
    <s v="Ranieli"/>
    <x v="12"/>
    <n v="2"/>
    <n v="5"/>
    <n v="7"/>
    <n v="7"/>
    <n v="5"/>
    <n v="26"/>
    <n v="28"/>
    <n v="74"/>
    <n v="72"/>
    <n v="5"/>
    <n v="7"/>
    <n v="7"/>
    <n v="7"/>
    <n v="7"/>
    <n v="7"/>
    <s v="Riscou o Sassami em X,_x000a_Retirou a Cartilagem"/>
    <n v="10"/>
    <n v="10"/>
    <n v="39"/>
    <n v="19.5"/>
    <n v="48"/>
    <n v="5"/>
    <n v="24"/>
    <n v="75"/>
    <n v="8"/>
    <n v="40"/>
    <n v="5"/>
    <n v="42854"/>
    <s v="Caixa está sem rasgos e seca,_x000a_Data  de validade e produção estão de acordo"/>
    <s v="assinatura"/>
    <s v="assinatura"/>
    <n v="206"/>
  </r>
  <r>
    <x v="7"/>
    <s v="6a764355a3bac2e5bc7b2e4c"/>
    <s v="07/08/2026 16:36:59"/>
    <s v="07/08/2026 17:43:01"/>
    <s v="Ranieli"/>
    <x v="12"/>
    <n v="2"/>
    <n v="5"/>
    <n v="7"/>
    <n v="7"/>
    <n v="5"/>
    <n v="23"/>
    <n v="30"/>
    <n v="77"/>
    <n v="70"/>
    <n v="5"/>
    <n v="7"/>
    <n v="7"/>
    <n v="7"/>
    <n v="7"/>
    <n v="7"/>
    <s v="Riscou o Sassami em X,_x000a_Retirou a Cartilagem"/>
    <n v="10"/>
    <n v="10"/>
    <n v="43"/>
    <n v="21.5"/>
    <n v="46"/>
    <n v="5"/>
    <n v="23"/>
    <n v="75"/>
    <n v="8"/>
    <n v="40"/>
    <n v="5"/>
    <n v="42562"/>
    <s v="Caixa está sem rasgos e seca,_x000a_Data  de validade e produção estão de acordo"/>
    <s v="assinatura"/>
    <s v="assinatura"/>
    <n v="3950"/>
  </r>
  <r>
    <x v="7"/>
    <s v="6a754299b671965c6513a1af"/>
    <s v="06/08/2026 23:23:31"/>
    <s v="06/08/2026 23:27:37"/>
    <s v="- -"/>
    <x v="13"/>
    <n v="2"/>
    <n v="7"/>
    <n v="5"/>
    <n v="7"/>
    <s v=""/>
    <n v="29"/>
    <n v="35"/>
    <n v="71"/>
    <n v="65"/>
    <n v="7"/>
    <n v="5"/>
    <n v="7"/>
    <n v="5"/>
    <n v="7"/>
    <n v="5"/>
    <s v="Riscou o Sassami em X,_x000a_Retirou a Cartilagem"/>
    <n v="7"/>
    <n v="7"/>
    <n v="39"/>
    <n v="19.5"/>
    <n v="55"/>
    <n v="4"/>
    <n v="27.500000000000004"/>
    <n v="80"/>
    <n v="8"/>
    <n v="40"/>
    <n v="7"/>
    <n v="42862"/>
    <s v="Data  de validade e produção estão de acordo,_x000a_Caixa está sem rasgos e seca"/>
    <s v="assinatura"/>
    <s v="assinatura"/>
    <n v="245"/>
  </r>
  <r>
    <x v="7"/>
    <s v="6a7530c3699f1db349453506"/>
    <s v="06/08/2026 22:03:17"/>
    <s v="06/08/2026 22:11:31"/>
    <s v="- -"/>
    <x v="13"/>
    <n v="2"/>
    <n v="5"/>
    <n v="7"/>
    <n v="7"/>
    <n v="7"/>
    <n v="29"/>
    <n v="36"/>
    <n v="71"/>
    <n v="64"/>
    <n v="5"/>
    <n v="7"/>
    <n v="7"/>
    <n v="7"/>
    <n v="7"/>
    <n v="5"/>
    <s v="Retirou a Cartilagem,_x000a_Riscou o Sassami em X"/>
    <n v="7"/>
    <n v="7"/>
    <n v="43"/>
    <n v="21.5"/>
    <n v="49"/>
    <n v="5"/>
    <n v="24.5"/>
    <n v="75"/>
    <n v="6"/>
    <n v="30"/>
    <n v="7"/>
    <n v="42838"/>
    <s v="Data  de validade e produção estão de acordo,_x000a_Caixa está sem rasgos e seca"/>
    <s v="assinatura"/>
    <s v="assinatura"/>
    <n v="492"/>
  </r>
  <r>
    <x v="7"/>
    <s v="6a74fce0b671965c65138a23"/>
    <s v="06/08/2026 18:26:42"/>
    <s v="06/08/2026 18:30:08"/>
    <s v="- -"/>
    <x v="13"/>
    <n v="2"/>
    <n v="7"/>
    <n v="5"/>
    <n v="5"/>
    <n v="7"/>
    <n v="34"/>
    <n v="28"/>
    <n v="66"/>
    <n v="72"/>
    <n v="5"/>
    <n v="7"/>
    <n v="5"/>
    <n v="5"/>
    <n v="5"/>
    <n v="7"/>
    <s v="Riscou o Sassami em X,_x000a_Retirou a Cartilagem"/>
    <n v="7"/>
    <n v="7"/>
    <n v="28"/>
    <n v="14.000000000000002"/>
    <n v="62"/>
    <n v="4"/>
    <n v="31"/>
    <n v="80"/>
    <n v="6"/>
    <n v="30"/>
    <s v=""/>
    <s v=""/>
    <s v="Data  de validade e produção estão de acordo,_x000a_Caixa está sem rasgos e seca"/>
    <s v="assinatura"/>
    <s v="assinatura"/>
    <n v="206"/>
  </r>
  <r>
    <x v="7"/>
    <s v="6a7401d2e190e085c2b1f783"/>
    <s v="06/08/2026 00:34:34"/>
    <s v="06/08/2026 00:38:58"/>
    <s v="- -"/>
    <x v="14"/>
    <n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54"/>
    <n v="6"/>
    <n v="27"/>
    <n v="70"/>
    <s v=""/>
    <s v=""/>
    <s v=""/>
    <s v=""/>
    <s v=""/>
    <s v="assinatura"/>
    <s v="assinatura"/>
    <n v="263"/>
  </r>
  <r>
    <x v="7"/>
    <s v="6a73ea40e190e085c2b1ef5b"/>
    <s v="05/08/2026 22:51:02"/>
    <s v="05/08/2026 22:58:24"/>
    <s v="- -"/>
    <x v="14"/>
    <n v="2"/>
    <n v="7"/>
    <n v="7"/>
    <n v="7"/>
    <n v="5"/>
    <n v="21"/>
    <n v="26"/>
    <n v="79"/>
    <n v="74"/>
    <n v="5"/>
    <n v="5"/>
    <n v="7"/>
    <n v="5"/>
    <n v="7"/>
    <n v="7"/>
    <s v="Retirou a Cartilagem"/>
    <n v="10"/>
    <n v="10"/>
    <n v="32"/>
    <n v="16"/>
    <n v="51"/>
    <n v="15"/>
    <n v="25.5"/>
    <n v="25"/>
    <n v="9"/>
    <n v="45"/>
    <s v=""/>
    <n v="13188"/>
    <s v="Acomodação do produto está conforme especificação,_x000a_Caixa está sem rasgos e seca,_x000a_Data  de validade e produção estão de acordo,_x000a_Selagem está conforme"/>
    <s v="assinatura"/>
    <s v="assinatura"/>
    <n v="442"/>
  </r>
  <r>
    <x v="7"/>
    <s v="6a73afa551fee0ceb3cd94f7"/>
    <s v="05/08/2026 18:46:26"/>
    <s v="05/08/2026 18:48:21"/>
    <s v="- -"/>
    <x v="14"/>
    <n v="2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115"/>
  </r>
  <r>
    <x v="7"/>
    <s v="6a73a3403b26ad668195e3bf"/>
    <s v="05/08/2026 17:18:02"/>
    <s v="05/08/2026 17:55:28"/>
    <s v="- -"/>
    <x v="14"/>
    <n v="2"/>
    <n v="7"/>
    <n v="7"/>
    <n v="7"/>
    <n v="5"/>
    <n v="20"/>
    <n v="33"/>
    <n v="80"/>
    <n v="67"/>
    <n v="5"/>
    <n v="5"/>
    <n v="5"/>
    <n v="7"/>
    <n v="7"/>
    <n v="7"/>
    <s v="Retirou a Cartilagem"/>
    <n v="10"/>
    <n v="10"/>
    <n v="30"/>
    <n v="15"/>
    <n v="42"/>
    <n v="5"/>
    <n v="21"/>
    <n v="75"/>
    <n v="5"/>
    <n v="25"/>
    <n v="5"/>
    <n v="42862"/>
    <s v="Caixa está sem rasgos e seca,_x000a_Data  de validade e produção estão de acordo"/>
    <s v="assinatura"/>
    <s v=""/>
    <n v="2207"/>
  </r>
  <r>
    <x v="7"/>
    <s v="6a853c5d1fd846202c31d1af"/>
    <s v="19/08/2026 01:04:16"/>
    <s v="19/08/2026 02:17:17"/>
    <s v="Ranieli"/>
    <x v="15"/>
    <n v="2"/>
    <n v="7"/>
    <n v="7"/>
    <n v="7"/>
    <n v="7"/>
    <n v="29"/>
    <n v="33"/>
    <n v="71"/>
    <n v="67"/>
    <n v="7"/>
    <n v="7"/>
    <n v="7"/>
    <n v="7"/>
    <n v="7"/>
    <s v=""/>
    <s v="Riscou o Sassami em X,_x000a_Usou o garfo na retirada de Sassami,_x000a_Retirou a Cartilagem"/>
    <s v=""/>
    <s v=""/>
    <n v="39"/>
    <n v="19.5"/>
    <n v="43"/>
    <n v="4"/>
    <n v="21.5"/>
    <n v="80"/>
    <n v="6"/>
    <n v="30"/>
    <n v="5"/>
    <n v="42846"/>
    <s v="Caixa está sem rasgos e seca,_x000a_Data  de validade e produção estão de acordo,_x000a_Selagem está conforme"/>
    <s v="assinatura"/>
    <s v="assinatura"/>
    <n v="1622"/>
  </r>
  <r>
    <x v="7"/>
    <s v="6a853c5d1fd846202c31d191"/>
    <s v="18/08/2026 21:28:15"/>
    <s v="19/08/2026 02:17:17"/>
    <s v="Ranieli"/>
    <x v="15"/>
    <n v="2"/>
    <n v="7"/>
    <n v="7"/>
    <n v="5"/>
    <n v="5"/>
    <n v="23"/>
    <n v="31"/>
    <n v="77"/>
    <n v="69"/>
    <n v="7"/>
    <n v="7"/>
    <n v="7"/>
    <n v="7"/>
    <n v="7"/>
    <n v="5"/>
    <s v="Riscou o Sassami em X,_x000a_Retirou a Cartilagem"/>
    <s v=""/>
    <s v=""/>
    <n v="33"/>
    <n v="16.5"/>
    <n v="40"/>
    <n v="6"/>
    <n v="20"/>
    <n v="70"/>
    <n v="6"/>
    <n v="30"/>
    <n v="7"/>
    <n v="42838"/>
    <s v="Acomodação do produto está conforme especificação,_x000a_Caixa está sem rasgos e seca,_x000a_Data  de validade e produção estão de acordo"/>
    <s v="assinatura"/>
    <s v="assinatura"/>
    <n v="4922"/>
  </r>
  <r>
    <x v="7"/>
    <s v="6a853c5d1fd846202c31d18b"/>
    <s v="18/08/2026 19:03:52"/>
    <s v="19/08/2026 02:17:17"/>
    <s v="Ranieli"/>
    <x v="16"/>
    <n v="2"/>
    <n v="7"/>
    <n v="10"/>
    <n v="7"/>
    <n v="7"/>
    <n v="33"/>
    <n v="29"/>
    <n v="67"/>
    <n v="71"/>
    <n v="7"/>
    <n v="7"/>
    <n v="7"/>
    <n v="7"/>
    <n v="7"/>
    <s v=""/>
    <s v="Riscou o Sassami em X,_x000a_Retirou a Cartilagem"/>
    <n v="7"/>
    <n v="7"/>
    <n v="87"/>
    <n v="43.5"/>
    <n v="48"/>
    <n v="2"/>
    <n v="24"/>
    <n v="90"/>
    <n v="6"/>
    <n v="30"/>
    <n v="7"/>
    <n v="42838"/>
    <s v="Acomodação do produto está conforme especificação,_x000a_Caixa está sem rasgos e seca,_x000a_Data  de validade e produção estão de acordo,_x000a_Selagem está conforme"/>
    <s v="assinatura"/>
    <s v="assinatura"/>
    <n v="2303"/>
  </r>
  <r>
    <x v="7"/>
    <s v="6a853c5c1fd846202c31d155"/>
    <s v="18/08/2026 16:43:14"/>
    <s v="19/08/2026 02:17:16"/>
    <s v="Ranieli"/>
    <x v="15"/>
    <n v="2"/>
    <n v="7"/>
    <n v="10"/>
    <n v="7"/>
    <n v="5"/>
    <n v="16"/>
    <n v="26"/>
    <n v="84"/>
    <n v="74"/>
    <n v="5"/>
    <n v="7"/>
    <n v="7"/>
    <n v="7"/>
    <n v="7"/>
    <n v="5"/>
    <s v="Riscou o Sassami em X,_x000a_Retirou a Cartilagem"/>
    <n v="7"/>
    <n v="7"/>
    <n v="58"/>
    <n v="28.999999999999996"/>
    <n v="33"/>
    <n v="5"/>
    <n v="16.5"/>
    <n v="75"/>
    <n v="9"/>
    <n v="45"/>
    <n v="7"/>
    <n v="42862"/>
    <s v="Acomodação do produto está conforme especificação,_x000a_Caixa está sem rasgos e seca,_x000a_Data  de validade e produção estão de acordo,_x000a_Selagem está conforme"/>
    <s v="assinatura"/>
    <s v="assinatura"/>
    <n v="4831"/>
  </r>
  <r>
    <x v="7"/>
    <s v="6a83ec6704bb7d55d7f06567"/>
    <s v="17/08/2026 22:38:45"/>
    <s v="18/08/2026 02:23:51"/>
    <s v="Ranieli"/>
    <x v="16"/>
    <n v="2"/>
    <n v="7"/>
    <n v="7"/>
    <n v="7"/>
    <n v="5"/>
    <n v="18"/>
    <n v="29"/>
    <n v="82"/>
    <n v="71"/>
    <n v="7"/>
    <n v="7"/>
    <n v="7"/>
    <n v="7"/>
    <n v="7"/>
    <n v="5"/>
    <s v="Riscou o Sassami em X,_x000a_Retirou a Cartilagem"/>
    <n v="7"/>
    <n v="7"/>
    <n v="41"/>
    <n v="20.5"/>
    <n v="39"/>
    <n v="4"/>
    <n v="19.5"/>
    <n v="80"/>
    <n v="8"/>
    <n v="40"/>
    <n v="5"/>
    <n v="42862"/>
    <s v="Caixa está sem rasgos e seca,_x000a_Data  de validade e produção estão de acordo,_x000a_Selagem está conforme"/>
    <s v="assinatura"/>
    <s v="assinatura"/>
    <n v="5215"/>
  </r>
  <r>
    <x v="7"/>
    <s v="6a83ec6704bb7d55d7f06561"/>
    <s v="17/08/2026 21:41:54"/>
    <s v="18/08/2026 02:23:51"/>
    <s v="Ranieli"/>
    <x v="16"/>
    <n v="2"/>
    <n v="7"/>
    <n v="7"/>
    <n v="7"/>
    <n v="5"/>
    <n v="16"/>
    <n v="37"/>
    <n v="84"/>
    <n v="63"/>
    <n v="7"/>
    <n v="7"/>
    <n v="7"/>
    <n v="7"/>
    <n v="7"/>
    <n v="5"/>
    <s v="Riscou o Sassami em X,_x000a_Retirou a Cartilagem"/>
    <n v="7"/>
    <n v="7"/>
    <n v="40"/>
    <n v="20"/>
    <n v="37"/>
    <n v="4"/>
    <n v="18.5"/>
    <n v="80"/>
    <n v="9"/>
    <n v="45"/>
    <n v="5"/>
    <n v="42846"/>
    <s v="Caixa está sem rasgos e seca,_x000a_Data  de validade e produção estão de acordo,_x000a_Selagem está conforme"/>
    <s v="assinatura"/>
    <s v="assinatura"/>
    <n v="3408"/>
  </r>
  <r>
    <x v="7"/>
    <s v="6a83ec6704bb7d55d7f0655b"/>
    <s v="17/08/2026 19:04:08"/>
    <s v="18/08/2026 02:23:51"/>
    <s v="Ranieli"/>
    <x v="16"/>
    <n v="2"/>
    <n v="7"/>
    <n v="7"/>
    <n v="7"/>
    <n v="5"/>
    <n v="17"/>
    <n v="26"/>
    <n v="83"/>
    <n v="74"/>
    <n v="7"/>
    <s v=""/>
    <n v="7"/>
    <n v="5"/>
    <n v="7"/>
    <n v="5"/>
    <s v="Riscou o Sassami em X,_x000a_Retirou a Cartilagem"/>
    <n v="7"/>
    <n v="7"/>
    <n v="46"/>
    <n v="23"/>
    <n v="36"/>
    <n v="5"/>
    <n v="18"/>
    <n v="75"/>
    <n v="8"/>
    <n v="40"/>
    <n v="7"/>
    <n v="42820"/>
    <s v="Acomodação do produto está conforme especificação,_x000a_Data  de validade e produção estão de acordo,_x000a_Caixa está sem rasgos e seca,_x000a_Selagem está conforme"/>
    <s v="assinatura"/>
    <s v="assinatura"/>
    <n v="2493"/>
  </r>
  <r>
    <x v="7"/>
    <s v="6a83ec6604bb7d55d7f0651d"/>
    <s v="17/08/2026 16:22:42"/>
    <s v="18/08/2026 02:23:50"/>
    <s v="Ranieli"/>
    <x v="16"/>
    <n v="2"/>
    <n v="7"/>
    <n v="10"/>
    <n v="7"/>
    <n v="5"/>
    <n v="17"/>
    <n v="32"/>
    <n v="83"/>
    <n v="68"/>
    <n v="7"/>
    <n v="7"/>
    <n v="7"/>
    <n v="7"/>
    <n v="7"/>
    <n v="5"/>
    <s v="Riscou o Sassami em X,_x000a_Retirou a Cartilagem"/>
    <n v="7"/>
    <n v="7"/>
    <n v="43"/>
    <n v="21.5"/>
    <n v="32"/>
    <n v="5"/>
    <n v="16"/>
    <n v="75"/>
    <n v="4"/>
    <n v="20"/>
    <n v="7"/>
    <n v="42862"/>
    <s v="Caixa está sem rasgos e seca,_x000a_Data  de validade e produção estão de acordo,_x000a_Selagem está conforme"/>
    <s v="assinatura"/>
    <s v="assinatura"/>
    <n v="3899"/>
  </r>
  <r>
    <x v="7"/>
    <s v="6a868bb5fdafc0a098896933"/>
    <s v="20/08/2026 01:02:22"/>
    <s v="20/08/2026 02:08:05"/>
    <s v="Ranieli"/>
    <x v="17"/>
    <n v="2"/>
    <n v="7"/>
    <n v="7"/>
    <n v="7"/>
    <n v="5"/>
    <n v="29"/>
    <n v="34"/>
    <n v="71"/>
    <n v="66"/>
    <n v="7"/>
    <n v="7"/>
    <n v="7"/>
    <n v="7"/>
    <n v="7"/>
    <n v="5"/>
    <s v="Riscou o Sassami em X,_x000a_Retirou a Cartilagem"/>
    <n v="7"/>
    <n v="7"/>
    <n v="41"/>
    <n v="20.5"/>
    <n v="49"/>
    <n v="7"/>
    <n v="24.5"/>
    <n v="65"/>
    <n v="6"/>
    <n v="30"/>
    <n v="7"/>
    <n v="42846"/>
    <s v="Caixa está sem rasgos e seca,_x000a_Data  de validade e produção estão de acordo,_x000a_Selagem está conforme"/>
    <s v="assinatura"/>
    <s v="assinatura"/>
    <n v="3477"/>
  </r>
  <r>
    <x v="7"/>
    <s v="6a868bb4fdafc0a09889691b"/>
    <s v="19/08/2026 21:31:15"/>
    <s v="20/08/2026 02:08:04"/>
    <s v="Ranieli"/>
    <x v="17"/>
    <n v="2"/>
    <n v="7"/>
    <n v="7"/>
    <n v="7"/>
    <n v="5"/>
    <n v="16"/>
    <n v="29"/>
    <n v="84"/>
    <n v="71"/>
    <n v="7"/>
    <n v="7"/>
    <n v="7"/>
    <n v="7"/>
    <n v="7"/>
    <n v="5"/>
    <s v="Riscou o Sassami em X,_x000a_Retirou a Cartilagem"/>
    <n v="7"/>
    <n v="7"/>
    <n v="42"/>
    <n v="21"/>
    <n v="49"/>
    <n v="7"/>
    <n v="24.5"/>
    <n v="65"/>
    <n v="6"/>
    <n v="30"/>
    <n v="7"/>
    <n v="42854"/>
    <s v="Caixa está sem rasgos e seca,_x000a_Data  de validade e produção estão de acordo,_x000a_Selagem está conforme"/>
    <s v="assinatura"/>
    <s v="assinatura"/>
    <n v="5198"/>
  </r>
  <r>
    <x v="7"/>
    <s v="6a868bb4fdafc0a098896915"/>
    <s v="19/08/2026 19:31:59"/>
    <s v="20/08/2026 02:08:04"/>
    <s v="Ranieli"/>
    <x v="17"/>
    <n v="2"/>
    <n v="5"/>
    <n v="7"/>
    <n v="7"/>
    <n v="5"/>
    <n v="29"/>
    <n v="33"/>
    <n v="71"/>
    <n v="67"/>
    <n v="7"/>
    <n v="7"/>
    <n v="7"/>
    <n v="7"/>
    <n v="7"/>
    <n v="5"/>
    <s v="Retirou a Cartilagem,_x000a_Riscou o Sassami em X"/>
    <s v=""/>
    <s v=""/>
    <n v="37"/>
    <n v="18.5"/>
    <n v="41"/>
    <n v="5"/>
    <n v="20.5"/>
    <n v="75"/>
    <n v="5"/>
    <n v="25"/>
    <n v="7"/>
    <n v="42862"/>
    <s v="Caixa está sem rasgos e seca,_x000a_Data  de validade e produção estão de acordo,_x000a_Selagem está conforme"/>
    <s v="assinatura"/>
    <s v="assinatura"/>
    <n v="1509"/>
  </r>
  <r>
    <x v="7"/>
    <s v="6a868bb4fdafc0a0988968d7"/>
    <s v="19/08/2026 16:26:56"/>
    <s v="20/08/2026 02:08:04"/>
    <s v="Ranieli"/>
    <x v="17"/>
    <n v="2"/>
    <n v="7"/>
    <n v="10"/>
    <n v="7"/>
    <n v="5"/>
    <n v="23"/>
    <n v="35"/>
    <n v="77"/>
    <n v="65"/>
    <n v="7"/>
    <n v="7"/>
    <n v="7"/>
    <n v="7"/>
    <n v="7"/>
    <n v="5"/>
    <s v="Riscou o Sassami em X,_x000a_Retirou a Cartilagem"/>
    <n v="7"/>
    <n v="7"/>
    <n v="33"/>
    <n v="16.5"/>
    <n v="33"/>
    <n v="6"/>
    <n v="16.5"/>
    <n v="70"/>
    <n v="6"/>
    <n v="30"/>
    <n v="7"/>
    <n v="42862"/>
    <s v="Caixa está sem rasgos e seca,_x000a_Data  de validade e produção estão de acordo,_x000a_Selagem está conforme"/>
    <s v="assinatura"/>
    <s v="assinatura"/>
    <n v="6366"/>
  </r>
  <r>
    <x v="7"/>
    <s v="6a87d81a13f324b2ed945200"/>
    <s v="21/08/2026 01:11:17"/>
    <s v="21/08/2026 01:46:18"/>
    <s v="Ranieli"/>
    <x v="18"/>
    <n v="2"/>
    <n v="7"/>
    <n v="7"/>
    <n v="7"/>
    <n v="5"/>
    <n v="19"/>
    <n v="31"/>
    <n v="81"/>
    <n v="69"/>
    <n v="7"/>
    <n v="7"/>
    <n v="7"/>
    <n v="7"/>
    <n v="7"/>
    <n v="5"/>
    <s v="Riscou o Sassami em X,_x000a_Retirou a Cartilagem"/>
    <n v="10"/>
    <n v="10"/>
    <n v="40"/>
    <n v="20"/>
    <n v="47"/>
    <n v="5"/>
    <n v="23.5"/>
    <n v="75"/>
    <n v="6"/>
    <n v="30"/>
    <n v="5"/>
    <n v="42838"/>
    <s v="Data  de validade e produção estão de acordo,_x000a_Caixa está sem rasgos e seca,_x000a_Selagem está conforme"/>
    <s v="assinatura"/>
    <s v="assinatura"/>
    <n v="1520"/>
  </r>
  <r>
    <x v="7"/>
    <s v="6a87d81a13f324b2ed9451d0"/>
    <s v="20/08/2026 21:34:50"/>
    <s v="21/08/2026 01:46:18"/>
    <s v="Ranieli"/>
    <x v="18"/>
    <n v="2"/>
    <n v="7"/>
    <n v="10"/>
    <n v="7"/>
    <n v="5"/>
    <n v="17"/>
    <n v="36"/>
    <n v="83"/>
    <n v="64"/>
    <n v="7"/>
    <n v="5"/>
    <n v="7"/>
    <n v="5"/>
    <n v="7"/>
    <s v=""/>
    <s v="Riscou o Sassami em X,_x000a_Retirou a Cartilagem"/>
    <n v="10"/>
    <n v="10"/>
    <n v="46"/>
    <n v="23"/>
    <n v="32"/>
    <n v="5"/>
    <n v="16"/>
    <n v="75"/>
    <n v="6"/>
    <n v="30"/>
    <n v="7"/>
    <n v="42862"/>
    <s v="Caixa está sem rasgos e seca,_x000a_Data  de validade e produção estão de acordo,_x000a_Selagem está conforme"/>
    <s v="assinatura"/>
    <s v="assinatura"/>
    <n v="5935"/>
  </r>
  <r>
    <x v="7"/>
    <s v="6a87d81a13f324b2ed9451c8"/>
    <s v="20/08/2026 19:34:55"/>
    <s v="21/08/2026 01:46:18"/>
    <s v="Ranieli"/>
    <x v="18"/>
    <n v="2"/>
    <n v="7"/>
    <n v="7"/>
    <n v="7"/>
    <n v="5"/>
    <n v="23"/>
    <n v="33"/>
    <n v="77"/>
    <n v="67"/>
    <n v="7"/>
    <n v="7"/>
    <n v="7"/>
    <n v="7"/>
    <n v="7"/>
    <n v="5"/>
    <s v="Riscou o Sassami em X,_x000a_Retirou a Cartilagem"/>
    <n v="7"/>
    <n v="7"/>
    <n v="40"/>
    <n v="20"/>
    <n v="43"/>
    <n v="5"/>
    <n v="21.5"/>
    <n v="75"/>
    <n v="5"/>
    <n v="25"/>
    <s v=""/>
    <s v=""/>
    <s v=""/>
    <s v="assinatura"/>
    <s v="assinatura"/>
    <n v="1360"/>
  </r>
  <r>
    <x v="7"/>
    <s v="6a87d81913f324b2ed945198"/>
    <s v="20/08/2026 16:40:07"/>
    <s v="21/08/2026 01:46:17"/>
    <s v="Ranieli"/>
    <x v="18"/>
    <n v="2"/>
    <n v="7"/>
    <n v="7"/>
    <n v="7"/>
    <n v="5"/>
    <n v="16"/>
    <n v="30"/>
    <n v="84"/>
    <n v="70"/>
    <n v="7"/>
    <n v="7"/>
    <n v="7"/>
    <n v="7"/>
    <n v="7"/>
    <n v="5"/>
    <s v="Riscou o Sassami em X,_x000a_Retirou a Cartilagem"/>
    <n v="7"/>
    <n v="7"/>
    <n v="35"/>
    <n v="17.5"/>
    <n v="48"/>
    <n v="3"/>
    <n v="24"/>
    <n v="85"/>
    <n v="6"/>
    <n v="30"/>
    <n v="10"/>
    <n v="13188"/>
    <s v="Acomodação do produto está conforme especificação,_x000a_Caixa está sem rasgos e seca,_x000a_Data  de validade e produção estão de acordo,_x000a_Selagem está conforme"/>
    <s v="assinatura"/>
    <s v="assinatura"/>
    <n v="5628"/>
  </r>
  <r>
    <x v="7"/>
    <s v="6a89357ca12fe1209e6da2e8"/>
    <s v="21/08/2026 21:42:15"/>
    <s v="22/08/2026 02:37:00"/>
    <s v="Ranieli"/>
    <x v="19"/>
    <s v=""/>
    <n v="7"/>
    <n v="7"/>
    <n v="7"/>
    <n v="5"/>
    <n v="23"/>
    <n v="29"/>
    <n v="77"/>
    <n v="71"/>
    <n v="7"/>
    <n v="7"/>
    <n v="7"/>
    <n v="7"/>
    <n v="7"/>
    <n v="7"/>
    <s v="Retirou a Cartilagem,_x000a_Riscou o Sassami em X"/>
    <n v="7"/>
    <n v="7"/>
    <n v="55"/>
    <n v="27.500000000000004"/>
    <n v="42"/>
    <n v="5"/>
    <n v="21"/>
    <n v="75"/>
    <n v="5"/>
    <n v="25"/>
    <n v="10"/>
    <n v="42838"/>
    <s v="Acomodação do produto está conforme especificação,_x000a_Caixa está sem rasgos e seca,_x000a_Data  de validade e produção estão de acordo,_x000a_Selagem está conforme"/>
    <s v="assinatura"/>
    <s v="assinatura"/>
    <n v="5091"/>
  </r>
  <r>
    <x v="7"/>
    <s v="6a89357ca12fe1209e6da2e2"/>
    <s v="21/08/2026 20:51:44"/>
    <s v="22/08/2026 02:37:00"/>
    <s v="Ranieli"/>
    <x v="19"/>
    <n v="2"/>
    <n v="7"/>
    <n v="7"/>
    <n v="7"/>
    <n v="5"/>
    <n v="23"/>
    <n v="27"/>
    <n v="77"/>
    <n v="73"/>
    <n v="7"/>
    <n v="7"/>
    <n v="7"/>
    <n v="7"/>
    <n v="7"/>
    <n v="7"/>
    <s v="Riscou o Sassami em X,_x000a_Retirou a Cartilagem"/>
    <n v="5"/>
    <n v="5"/>
    <n v="61"/>
    <n v="30.5"/>
    <n v="37"/>
    <n v="5"/>
    <n v="18.5"/>
    <n v="75"/>
    <n v="4"/>
    <n v="20"/>
    <n v="10"/>
    <n v="42862"/>
    <s v="Acomodação do produto está conforme especificação,_x000a_Caixa está sem rasgos e seca,_x000a_Data  de validade e produção estão de acordo,_x000a_Selagem está conforme"/>
    <s v="assinatura"/>
    <s v="assinatura"/>
    <n v="3029"/>
  </r>
  <r>
    <x v="7"/>
    <s v="6a89357ba12fe1209e6da2b0"/>
    <s v="21/08/2026 16:20:42"/>
    <s v="22/08/2026 02:36:59"/>
    <s v="Ranieli"/>
    <x v="19"/>
    <n v="2"/>
    <n v="7"/>
    <n v="7"/>
    <n v="7"/>
    <n v="5"/>
    <n v="20"/>
    <n v="28"/>
    <n v="80"/>
    <n v="72"/>
    <n v="5"/>
    <n v="10"/>
    <n v="7"/>
    <n v="10"/>
    <n v="7"/>
    <n v="7"/>
    <s v="Riscou o Sassami em X,_x000a_Usou o garfo na retirada de Sassami,_x000a_Retirou a Cartilagem"/>
    <s v=""/>
    <s v=""/>
    <n v="44"/>
    <n v="22"/>
    <n v="35"/>
    <n v="4"/>
    <n v="17.5"/>
    <n v="80"/>
    <n v="9"/>
    <n v="45"/>
    <n v="10"/>
    <n v="242838"/>
    <s v="Acomodação do produto está conforme especificação,_x000a_Caixa está sem rasgos e seca,_x000a_Data  de validade e produção estão de acordo,_x000a_Selagem está conforme"/>
    <s v="assinatura"/>
    <s v="assinatura"/>
    <n v="6515"/>
  </r>
  <r>
    <x v="7"/>
    <s v="6a8d2135d3c61efffc667416"/>
    <s v="25/08/2026 00:31:25"/>
    <s v="25/08/2026 01:59:33"/>
    <s v="Ranieli"/>
    <x v="20"/>
    <n v="2"/>
    <n v="7"/>
    <n v="7"/>
    <n v="7"/>
    <n v="5"/>
    <n v="38"/>
    <n v="40"/>
    <n v="62"/>
    <n v="60"/>
    <n v="5"/>
    <n v="7"/>
    <n v="7"/>
    <n v="7"/>
    <n v="7"/>
    <n v="5"/>
    <s v="Riscou o Sassami em X,_x000a_Usou o garfo na retirada de Sassami,_x000a_Retirou a Cartilagem"/>
    <n v="10"/>
    <n v="10"/>
    <n v="42"/>
    <n v="21"/>
    <n v="41"/>
    <n v="6"/>
    <n v="20.5"/>
    <n v="70"/>
    <n v="4"/>
    <n v="20"/>
    <n v="5"/>
    <n v="42862"/>
    <s v="Caixa está sem rasgos e seca,_x000a_Data  de validade e produção estão de acordo,_x000a_Selagem está conforme"/>
    <s v="assinatura"/>
    <s v="assinatura"/>
    <n v="4307"/>
  </r>
  <r>
    <x v="7"/>
    <s v="6a8d2135d3c61efffc6673f8"/>
    <s v="24/08/2026 21:20:22"/>
    <s v="25/08/2026 01:59:33"/>
    <s v="Ranieli"/>
    <x v="20"/>
    <n v="2"/>
    <n v="5"/>
    <n v="7"/>
    <n v="7"/>
    <n v="5"/>
    <n v="28"/>
    <n v="33"/>
    <n v="72"/>
    <n v="67"/>
    <n v="5"/>
    <n v="7"/>
    <n v="7"/>
    <n v="7"/>
    <n v="7"/>
    <n v="5"/>
    <s v="Riscou o Sassami em X,_x000a_Retirou a Cartilagem"/>
    <n v="10"/>
    <n v="10"/>
    <n v="41"/>
    <n v="20.5"/>
    <n v="35"/>
    <n v="8"/>
    <n v="17.5"/>
    <n v="60"/>
    <n v="4"/>
    <n v="20"/>
    <n v="7"/>
    <n v="42862"/>
    <s v="Caixa está sem rasgos e seca,_x000a_Data  de validade e produção estão de acordo,_x000a_Selagem está conforme"/>
    <s v="assinatura"/>
    <s v="assinatura"/>
    <n v="5885"/>
  </r>
  <r>
    <x v="7"/>
    <s v="6a8d2134d3c61efffc6673c0"/>
    <s v="24/08/2026 16:09:22"/>
    <s v="25/08/2026 01:59:32"/>
    <s v="Ranieli"/>
    <x v="20"/>
    <n v="2"/>
    <n v="7"/>
    <n v="7"/>
    <n v="7"/>
    <n v="5"/>
    <n v="25"/>
    <n v="32"/>
    <n v="75"/>
    <n v="68"/>
    <n v="5"/>
    <n v="5"/>
    <n v="7"/>
    <n v="7"/>
    <n v="7"/>
    <s v=""/>
    <s v="Riscou o Sassami em X,_x000a_Retirou a Cartilagem"/>
    <n v="7"/>
    <n v="7"/>
    <n v="39"/>
    <n v="19.5"/>
    <n v="30"/>
    <n v="6"/>
    <n v="15"/>
    <n v="70"/>
    <n v="4"/>
    <n v="20"/>
    <n v="7"/>
    <n v="42854"/>
    <s v="Caixa está sem rasgos e seca,_x000a_Data  de validade e produção estão de acordo,_x000a_Selagem está conforme"/>
    <s v="assinatura"/>
    <s v="assinatura"/>
    <n v="14571"/>
  </r>
  <r>
    <x v="7"/>
    <s v="6a8e721cf2190f1532f48ff4"/>
    <s v="26/08/2026 00:46:20"/>
    <s v="26/08/2026 01:57:00"/>
    <s v="Ranieli"/>
    <x v="21"/>
    <n v="2"/>
    <n v="7"/>
    <n v="10"/>
    <n v="7"/>
    <n v="5"/>
    <n v="18"/>
    <n v="33"/>
    <n v="82"/>
    <n v="67"/>
    <n v="7"/>
    <n v="7"/>
    <n v="7"/>
    <n v="7"/>
    <n v="7"/>
    <n v="7"/>
    <s v="Riscou o Sassami em X,_x000a_Retirou a Cartilagem"/>
    <n v="7"/>
    <n v="7"/>
    <n v="30"/>
    <n v="15"/>
    <n v="46"/>
    <n v="5"/>
    <n v="23"/>
    <n v="75"/>
    <n v="5"/>
    <n v="25"/>
    <n v="10"/>
    <n v="13188"/>
    <s v="Acomodação do produto está conforme especificação,_x000a_Caixa está sem rasgos e seca,_x000a_Data  de validade e produção estão de acordo,_x000a_Selagem está conforme"/>
    <s v="assinatura"/>
    <s v="assinatura"/>
    <n v="3558"/>
  </r>
  <r>
    <x v="7"/>
    <s v="6a8e721cf2190f1532f48fca"/>
    <s v="25/08/2026 21:48:13"/>
    <s v="26/08/2026 01:57:00"/>
    <s v="Ranieli"/>
    <x v="21"/>
    <n v="2"/>
    <n v="7"/>
    <n v="10"/>
    <n v="7"/>
    <n v="5"/>
    <n v="16"/>
    <n v="30"/>
    <n v="84"/>
    <n v="70"/>
    <n v="7"/>
    <n v="7"/>
    <n v="7"/>
    <n v="7"/>
    <n v="7"/>
    <n v="5"/>
    <s v="Riscou o Sassami em X,_x000a_Usou o garfo na retirada de Sassami,_x000a_Retirou a Cartilagem"/>
    <n v="10"/>
    <n v="10"/>
    <n v="21"/>
    <n v="10.5"/>
    <n v="45"/>
    <n v="6"/>
    <n v="22.5"/>
    <n v="70"/>
    <n v="6"/>
    <n v="30"/>
    <n v="10"/>
    <n v="15105"/>
    <s v="Acomodação do produto está conforme especificação,_x000a_Caixa está sem rasgos e seca,_x000a_Data  de validade e produção estão de acordo,_x000a_Selagem está conforme"/>
    <s v="assinatura"/>
    <s v="assinatura"/>
    <n v="2746"/>
  </r>
  <r>
    <x v="7"/>
    <s v="6a8e721cf2190f1532f48fc4"/>
    <s v="25/08/2026 19:06:25"/>
    <s v="26/08/2026 01:57:00"/>
    <s v="Ranieli"/>
    <x v="21"/>
    <n v="2"/>
    <n v="7"/>
    <n v="7"/>
    <n v="7"/>
    <n v="5"/>
    <n v="13"/>
    <n v="38"/>
    <n v="87"/>
    <n v="62"/>
    <n v="7"/>
    <n v="7"/>
    <n v="7"/>
    <n v="7"/>
    <n v="7"/>
    <n v="7"/>
    <s v="Riscou o Sassami em X,_x000a_Usou o garfo na retirada de Sassami,_x000a_Retirou a Cartilagem"/>
    <n v="7"/>
    <n v="7"/>
    <n v="34"/>
    <n v="17"/>
    <n v="4"/>
    <n v="33"/>
    <n v="2"/>
    <m/>
    <n v="3"/>
    <n v="15"/>
    <n v="7"/>
    <n v="40207"/>
    <s v="Caixa está sem rasgos e seca,_x000a_Data  de validade e produção estão de acordo"/>
    <s v="assinatura"/>
    <s v="assinatura"/>
    <n v="1945"/>
  </r>
  <r>
    <x v="7"/>
    <s v="6a8e721bf2190f1532f48f92"/>
    <s v="25/08/2026 16:25:37"/>
    <s v="26/08/2026 01:56:59"/>
    <s v="Ranieli"/>
    <x v="21"/>
    <n v="2"/>
    <n v="7"/>
    <n v="10"/>
    <n v="7"/>
    <n v="5"/>
    <n v="12"/>
    <n v="38"/>
    <n v="88"/>
    <n v="62"/>
    <n v="7"/>
    <n v="5"/>
    <n v="7"/>
    <n v="7"/>
    <n v="7"/>
    <n v="7"/>
    <s v="Riscou o Sassami em X,_x000a_Retirou a Cartilagem"/>
    <n v="10"/>
    <n v="10"/>
    <n v="44"/>
    <n v="22"/>
    <n v="29"/>
    <n v="4"/>
    <n v="14.499999999999998"/>
    <n v="80"/>
    <n v="2"/>
    <n v="10"/>
    <n v="7"/>
    <n v="42862"/>
    <s v="Caixa está sem rasgos e seca,_x000a_Data  de validade e produção estão de acordo,_x000a_Selagem está conforme"/>
    <s v="assinatura"/>
    <s v="assinatura"/>
    <n v="4632"/>
  </r>
  <r>
    <x v="7"/>
    <s v="6a8fc8d91fdad271d636528f"/>
    <s v="26/08/2026 23:35:47"/>
    <s v="27/08/2026 02:19:21"/>
    <s v="Ranieli"/>
    <x v="22"/>
    <n v="2"/>
    <n v="7"/>
    <n v="7"/>
    <n v="7"/>
    <n v="5"/>
    <n v="22"/>
    <n v="31"/>
    <n v="78"/>
    <n v="69"/>
    <n v="7"/>
    <n v="5"/>
    <n v="7"/>
    <n v="7"/>
    <n v="7"/>
    <n v="7"/>
    <s v="Riscou o Sassami em X,_x000a_Retirou a Cartilagem"/>
    <n v="10"/>
    <n v="10"/>
    <n v="50"/>
    <n v="25"/>
    <n v="49"/>
    <n v="6"/>
    <n v="24.5"/>
    <n v="70"/>
    <n v="4"/>
    <n v="20"/>
    <n v="10"/>
    <n v="13188"/>
    <s v="Acomodação do produto está conforme especificação,_x000a_Caixa está sem rasgos e seca,_x000a_Data  de validade e produção estão de acordo,_x000a_Selagem está conforme"/>
    <s v="assinatura"/>
    <s v="assinatura"/>
    <n v="9620"/>
  </r>
  <r>
    <x v="7"/>
    <s v="6a8fc8d91fdad271d636526b"/>
    <s v="26/08/2026 21:35:01"/>
    <s v="27/08/2026 02:19:21"/>
    <s v="Ranieli"/>
    <x v="22"/>
    <n v="2"/>
    <s v=""/>
    <n v="7"/>
    <n v="7"/>
    <n v="5"/>
    <n v="18"/>
    <n v="28"/>
    <n v="82"/>
    <n v="72"/>
    <n v="7"/>
    <n v="7"/>
    <n v="7"/>
    <n v="7"/>
    <n v="7"/>
    <n v="7"/>
    <s v="Riscou o Sassami em X,_x000a_Retirou a Cartilagem"/>
    <n v="7"/>
    <n v="7"/>
    <n v="40"/>
    <n v="20"/>
    <n v="4"/>
    <n v="33"/>
    <n v="2"/>
    <m/>
    <n v="4"/>
    <n v="20"/>
    <n v="7"/>
    <n v="42862"/>
    <s v="Caixa está sem rasgos e seca,_x000a_Data  de validade e produção estão de acordo,_x000a_Selagem está conforme"/>
    <s v="assinatura"/>
    <s v="assinatura"/>
    <n v="3632"/>
  </r>
  <r>
    <x v="7"/>
    <s v="6a8fc8d91fdad271d6365265"/>
    <s v="26/08/2026 19:00:10"/>
    <s v="27/08/2026 02:19:21"/>
    <s v="Ranieli"/>
    <x v="22"/>
    <n v="2"/>
    <n v="7"/>
    <n v="7"/>
    <n v="7"/>
    <n v="5"/>
    <n v="22"/>
    <n v="30"/>
    <n v="78"/>
    <n v="70"/>
    <n v="7"/>
    <n v="7"/>
    <n v="7"/>
    <s v=""/>
    <n v="7"/>
    <n v="7"/>
    <s v="Riscou o Sassami em X,_x000a_Retirou a Cartilagem"/>
    <n v="10"/>
    <n v="10"/>
    <n v="30"/>
    <n v="15"/>
    <n v="41"/>
    <n v="4"/>
    <n v="20.5"/>
    <n v="80"/>
    <n v="4"/>
    <n v="20"/>
    <n v="7"/>
    <n v="992093"/>
    <s v="Caixa está sem rasgos e seca,_x000a_Data  de validade e produção estão de acordo,_x000a_Selagem está conforme"/>
    <s v="assinatura"/>
    <s v="assinatura"/>
    <n v="3347"/>
  </r>
  <r>
    <x v="7"/>
    <s v="6a8fc8d81fdad271d6365233"/>
    <s v="26/08/2026 16:21:51"/>
    <s v="27/08/2026 02:19:20"/>
    <s v="Ranieli"/>
    <x v="22"/>
    <n v="2"/>
    <n v="7"/>
    <n v="7"/>
    <n v="7"/>
    <n v="5"/>
    <n v="22"/>
    <n v="29"/>
    <n v="78"/>
    <n v="71"/>
    <n v="7"/>
    <n v="7"/>
    <n v="7"/>
    <n v="7"/>
    <n v="7"/>
    <n v="7"/>
    <s v="Riscou o Sassami em X,_x000a_Usou o garfo na retirada de Sassami,_x000a_Retirou a Cartilagem"/>
    <n v="10"/>
    <n v="10"/>
    <n v="45"/>
    <n v="22.5"/>
    <n v="38"/>
    <n v="4"/>
    <n v="19"/>
    <n v="80"/>
    <n v="3"/>
    <n v="15"/>
    <n v="10"/>
    <n v="15105"/>
    <s v="Acomodação do produto está conforme especificação,_x000a_Caixa está sem rasgos e seca,_x000a_Data  de validade e produção estão de acordo,_x000a_Selagem está conforme"/>
    <s v="assinatura"/>
    <s v="assinatura"/>
    <n v="5223"/>
  </r>
  <r>
    <x v="7"/>
    <s v="6a9116def2190f1532fa991e"/>
    <s v="28/08/2026 00:29:12"/>
    <s v="28/08/2026 02:04:30"/>
    <s v="Ranieli"/>
    <x v="23"/>
    <n v="2"/>
    <s v=""/>
    <n v="7"/>
    <n v="7"/>
    <n v="5"/>
    <n v="26"/>
    <n v="33"/>
    <n v="74"/>
    <n v="67"/>
    <n v="7"/>
    <n v="7"/>
    <n v="7"/>
    <n v="7"/>
    <n v="7"/>
    <n v="7"/>
    <s v="Cortou o Vazio,_x000a_Usou o garfo na retirada de Sassami"/>
    <n v="7"/>
    <n v="7"/>
    <n v="37"/>
    <n v="18.5"/>
    <n v="38"/>
    <n v="5"/>
    <n v="19"/>
    <n v="75"/>
    <n v="4"/>
    <n v="20"/>
    <n v="7"/>
    <n v="42862"/>
    <s v="Caixa está sem rasgos e seca,_x000a_Data  de validade e produção estão de acordo,_x000a_Selagem está conforme"/>
    <s v="assinatura"/>
    <s v="assinatura"/>
    <n v="3410"/>
  </r>
  <r>
    <x v="7"/>
    <s v="6a9116def2190f1532fa98f8"/>
    <s v="27/08/2026 21:34:11"/>
    <s v="28/08/2026 02:04:30"/>
    <s v="Ranieli"/>
    <x v="23"/>
    <n v="2"/>
    <n v="7"/>
    <n v="10"/>
    <n v="7"/>
    <n v="5"/>
    <n v="33"/>
    <n v="30"/>
    <n v="67"/>
    <n v="70"/>
    <n v="7"/>
    <n v="7"/>
    <n v="7"/>
    <n v="10"/>
    <n v="7"/>
    <n v="7"/>
    <s v="Riscou o Sassami em X,_x000a_Retirou a Cartilagem"/>
    <n v="10"/>
    <n v="10"/>
    <n v="54"/>
    <n v="27"/>
    <n v="39"/>
    <n v="4"/>
    <n v="19.5"/>
    <n v="80"/>
    <n v="6"/>
    <n v="30"/>
    <s v=""/>
    <n v="15105"/>
    <s v="Acomodação do produto está conforme especificação,_x000a_Caixa está sem rasgos e seca,_x000a_Data  de validade e produção estão de acordo,_x000a_Selagem está conforme"/>
    <s v="assinatura"/>
    <s v="assinatura"/>
    <n v="3465"/>
  </r>
  <r>
    <x v="7"/>
    <s v="6a9116def2190f1532fa98f2"/>
    <s v="27/08/2026 18:42:35"/>
    <s v="28/08/2026 02:04:30"/>
    <s v="Ranieli"/>
    <x v="23"/>
    <n v="2"/>
    <n v="7"/>
    <n v="10"/>
    <n v="7"/>
    <n v="7"/>
    <n v="33"/>
    <n v="24"/>
    <n v="67"/>
    <n v="76"/>
    <n v="7"/>
    <n v="7"/>
    <n v="7"/>
    <n v="7"/>
    <n v="7"/>
    <n v="7"/>
    <s v="Riscou o Sassami em X,_x000a_Usou o garfo na retirada de Sassami,_x000a_Retirou a Cartilagem"/>
    <n v="7"/>
    <n v="7"/>
    <n v="39"/>
    <n v="19.5"/>
    <n v="37"/>
    <n v="5"/>
    <n v="18.5"/>
    <n v="75"/>
    <n v="6"/>
    <n v="30"/>
    <n v="10"/>
    <n v="992093"/>
    <s v="Acomodação do produto está conforme especificação,_x000a_Caixa está sem rasgos e seca,_x000a_Selagem está conforme,_x000a_Data  de validade e produção estão de acordo"/>
    <s v="assinatura"/>
    <s v="assinatura"/>
    <n v="4047"/>
  </r>
  <r>
    <x v="7"/>
    <s v="6a9116ddf2190f1532fa98bc"/>
    <s v="27/08/2026 16:40:01"/>
    <s v="28/08/2026 02:04:29"/>
    <s v="Ranieli"/>
    <x v="23"/>
    <n v="2"/>
    <n v="7"/>
    <n v="7"/>
    <n v="7"/>
    <n v="5"/>
    <n v="19"/>
    <n v="32"/>
    <n v="81"/>
    <n v="68"/>
    <n v="7"/>
    <n v="7"/>
    <n v="7"/>
    <n v="7"/>
    <n v="7"/>
    <n v="7"/>
    <s v="Riscou o Sassami em X,_x000a_Usou o garfo na retirada de Sassami,_x000a_Retirou a Cartilagem"/>
    <n v="10"/>
    <n v="10"/>
    <n v="31"/>
    <n v="15.5"/>
    <n v="290"/>
    <n v="7"/>
    <n v="145"/>
    <n v="65"/>
    <n v="4"/>
    <n v="20"/>
    <n v="7"/>
    <s v=""/>
    <s v="Caixa está sem rasgos e seca,_x000a_Data  de validade e produção estão de acordo,_x000a_Selagem está conforme"/>
    <s v="assinatura"/>
    <s v="assinatura"/>
    <n v="3842"/>
  </r>
  <r>
    <x v="7"/>
    <s v="6a9260ee9901020d0bb2cb85"/>
    <s v="28/08/2026 22:57:10"/>
    <s v="29/08/2026 01:32:46"/>
    <s v="Ranieli"/>
    <x v="24"/>
    <n v="2"/>
    <n v="7"/>
    <n v="7"/>
    <n v="7"/>
    <n v="7"/>
    <n v="24"/>
    <n v="25"/>
    <n v="76"/>
    <n v="75"/>
    <n v="7"/>
    <n v="7"/>
    <n v="7"/>
    <n v="7"/>
    <n v="7"/>
    <n v="5"/>
    <s v="Riscou o Sassami em X,_x000a_Retirou a Cartilagem"/>
    <n v="7"/>
    <n v="7"/>
    <n v="43"/>
    <n v="21.5"/>
    <n v="52"/>
    <n v="3"/>
    <n v="26"/>
    <n v="85"/>
    <n v="4"/>
    <n v="20"/>
    <n v="10"/>
    <n v="15229"/>
    <s v="Acomodação do produto está conforme especificação,_x000a_Caixa está sem rasgos e seca,_x000a_Data  de validade e produção estão de acordo,_x000a_Selagem está conforme"/>
    <s v="assinatura"/>
    <s v="assinatura"/>
    <n v="7667"/>
  </r>
  <r>
    <x v="7"/>
    <s v="6a9260ee9901020d0bb2cb61"/>
    <s v="28/08/2026 20:29:45"/>
    <s v="29/08/2026 01:32:46"/>
    <s v="Ranieli"/>
    <x v="24"/>
    <n v="2"/>
    <n v="7"/>
    <n v="7"/>
    <n v="7"/>
    <n v="7"/>
    <n v="33"/>
    <n v="24"/>
    <n v="67"/>
    <n v="76"/>
    <n v="7"/>
    <n v="7"/>
    <n v="7"/>
    <n v="7"/>
    <n v="7"/>
    <n v="7"/>
    <s v="Riscou o Sassami em X,_x000a_Retirou a Cartilagem"/>
    <n v="7"/>
    <n v="7"/>
    <n v="51"/>
    <n v="25.5"/>
    <n v="46"/>
    <n v="5"/>
    <n v="23"/>
    <n v="75"/>
    <n v="4"/>
    <n v="20"/>
    <n v="7"/>
    <n v="42846"/>
    <s v="Acomodação do produto está conforme especificação,_x000a_Caixa está sem rasgos e seca,_x000a_Data  de validade e produção estão de acordo,_x000a_Selagem está conforme"/>
    <s v="assinatura"/>
    <s v="assinatura"/>
    <n v="5095"/>
  </r>
  <r>
    <x v="7"/>
    <s v="6a9260ed9901020d0bb2cb23"/>
    <s v="28/08/2026 16:22:31"/>
    <s v="29/08/2026 01:32:45"/>
    <s v="Ranieli"/>
    <x v="24"/>
    <n v="2"/>
    <n v="5"/>
    <n v="7"/>
    <n v="7"/>
    <n v="5"/>
    <n v="23"/>
    <n v="21"/>
    <n v="77"/>
    <n v="79"/>
    <n v="7"/>
    <n v="7"/>
    <n v="7"/>
    <n v="10"/>
    <n v="7"/>
    <n v="7"/>
    <s v="Riscou o Sassami em X,_x000a_Retirou a Cartilagem"/>
    <n v="10"/>
    <n v="10"/>
    <n v="37"/>
    <n v="18.5"/>
    <n v="46"/>
    <n v="4"/>
    <n v="23"/>
    <n v="80"/>
    <n v="5"/>
    <n v="25"/>
    <n v="10"/>
    <n v="15105"/>
    <s v="Acomodação do produto está conforme especificação,_x000a_Selagem está conforme,_x000a_Data  de validade e produção estão de acordo,_x000a_Caixa está sem rasgos e seca"/>
    <s v="assinatura"/>
    <s v="assinatura"/>
    <n v="4250"/>
  </r>
  <r>
    <x v="7"/>
    <s v="6a96592d8a2cf415c7d9178c"/>
    <s v="01/09/2026 00:40:49"/>
    <s v="01/09/2026 01:48:45"/>
    <s v="Ranieli"/>
    <x v="25"/>
    <n v="2"/>
    <n v="7"/>
    <n v="7"/>
    <n v="7"/>
    <n v="5"/>
    <n v="22"/>
    <n v="29"/>
    <n v="78"/>
    <n v="71"/>
    <n v="7"/>
    <n v="7"/>
    <n v="7"/>
    <n v="7"/>
    <n v="7"/>
    <n v="5"/>
    <s v="Riscou o Sassami em X,_x000a_Retirou a Cartilagem"/>
    <n v="7"/>
    <n v="7"/>
    <n v="41"/>
    <n v="20.5"/>
    <n v="39"/>
    <n v="5"/>
    <n v="19.5"/>
    <n v="75"/>
    <n v="5"/>
    <n v="25"/>
    <n v="10"/>
    <n v="15105"/>
    <s v="Acomodação do produto está conforme especificação,_x000a_Caixa está sem rasgos e seca,_x000a_Data  de validade e produção estão de acordo,_x000a_Selagem está conforme"/>
    <s v="assinatura"/>
    <s v="assinatura"/>
    <n v="704"/>
  </r>
  <r>
    <x v="7"/>
    <s v="6a96592d8a2cf415c7d91760"/>
    <s v="31/08/2026 21:36:08"/>
    <s v="01/09/2026 01:48:45"/>
    <s v="Ranieli"/>
    <x v="25"/>
    <n v="2"/>
    <n v="7"/>
    <n v="7"/>
    <n v="7"/>
    <n v="5"/>
    <n v="11"/>
    <n v="18"/>
    <n v="89"/>
    <n v="82"/>
    <n v="7"/>
    <n v="7"/>
    <n v="7"/>
    <n v="7"/>
    <n v="7"/>
    <s v=""/>
    <s v="Riscou o Sassami em X,_x000a_Retirou a Cartilagem"/>
    <n v="7"/>
    <n v="7"/>
    <n v="30"/>
    <n v="15"/>
    <n v="37"/>
    <n v="5"/>
    <n v="18.5"/>
    <n v="75"/>
    <n v="6"/>
    <n v="30"/>
    <n v="7"/>
    <n v="929883"/>
    <s v="Caixa está sem rasgos e seca,_x000a_Data  de validade e produção estão de acordo,_x000a_Selagem está conforme"/>
    <s v="assinatura"/>
    <s v="assinatura"/>
    <n v="3225"/>
  </r>
  <r>
    <x v="7"/>
    <s v="6a96592c8a2cf415c7d9175a"/>
    <s v="31/08/2026 18:50:32"/>
    <s v="01/09/2026 01:48:44"/>
    <s v="Ranieli"/>
    <x v="25"/>
    <n v="2"/>
    <n v="7"/>
    <n v="7"/>
    <n v="5"/>
    <n v="5"/>
    <n v="16"/>
    <n v="26"/>
    <n v="84"/>
    <n v="74"/>
    <n v="7"/>
    <n v="7"/>
    <n v="7"/>
    <n v="7"/>
    <n v="7"/>
    <n v="5"/>
    <s v="Riscou o Sassami em X,_x000a_Retirou a Cartilagem"/>
    <n v="7"/>
    <n v="7"/>
    <n v="42"/>
    <n v="21"/>
    <n v="36"/>
    <n v="4"/>
    <n v="18"/>
    <n v="80"/>
    <n v="3"/>
    <n v="15"/>
    <n v="5"/>
    <n v="42854"/>
    <s v="Caixa está sem rasgos e seca,_x000a_Data  de validade e produção estão de acordo,_x000a_Selagem está conforme"/>
    <s v="assinatura"/>
    <s v="assinatura"/>
    <n v="3915"/>
  </r>
  <r>
    <x v="7"/>
    <s v="6a96592c8a2cf415c7d9171e"/>
    <s v="31/08/2026 16:12:37"/>
    <s v="01/09/2026 01:48:44"/>
    <s v="Ranieli"/>
    <x v="25"/>
    <n v="2"/>
    <n v="7"/>
    <n v="7"/>
    <n v="7"/>
    <n v="5"/>
    <n v="20"/>
    <n v="22"/>
    <n v="80"/>
    <n v="78"/>
    <n v="7"/>
    <n v="7"/>
    <n v="7"/>
    <n v="7"/>
    <n v="7"/>
    <n v="7"/>
    <s v="Riscou o Sassami em X,_x000a_Retirou a Cartilagem"/>
    <n v="10"/>
    <n v="10"/>
    <n v="44"/>
    <n v="22"/>
    <n v="34"/>
    <n v="3"/>
    <n v="17"/>
    <n v="85"/>
    <n v="3"/>
    <n v="15"/>
    <n v="10"/>
    <n v="15105"/>
    <s v="Acomodação do produto está conforme especificação,_x000a_Caixa está sem rasgos e seca,_x000a_Data  de validade e produção estão de acordo,_x000a_Selagem está conforme"/>
    <s v="assinatura"/>
    <s v="assinatura"/>
    <n v="4896"/>
  </r>
  <r>
    <x v="8"/>
    <s v="6a97b15943066e508049f7be"/>
    <s v="02/09/2026 00:21:23"/>
    <s v="02/09/2026 02:17:13"/>
    <s v="Ranieli"/>
    <x v="26"/>
    <n v="2"/>
    <n v="7"/>
    <n v="7"/>
    <n v="7"/>
    <n v="5"/>
    <n v="19"/>
    <n v="42"/>
    <n v="81"/>
    <n v="58"/>
    <n v="7"/>
    <n v="7"/>
    <n v="7"/>
    <n v="5"/>
    <n v="7"/>
    <n v="5"/>
    <s v="Riscou o Sassami em X,_x000a_Usou o garfo na retirada de Sassami,_x000a_Retirou a Cartilagem"/>
    <n v="10"/>
    <n v="10"/>
    <n v="43"/>
    <n v="21.5"/>
    <n v="54"/>
    <n v="5"/>
    <n v="27"/>
    <n v="75"/>
    <n v="4"/>
    <n v="20"/>
    <n v="7"/>
    <n v="864048"/>
    <s v="Caixa está sem rasgos e seca,_x000a_Data  de validade e produção estão de acordo,_x000a_Selagem está conforme"/>
    <s v="assinatura"/>
    <s v="assinatura"/>
    <n v="3620"/>
  </r>
  <r>
    <x v="8"/>
    <s v="6a97b15843066e508049f786"/>
    <s v="01/09/2026 21:39:41"/>
    <s v="02/09/2026 02:17:12"/>
    <s v="Ranieli"/>
    <x v="26"/>
    <n v="2"/>
    <n v="7"/>
    <n v="7"/>
    <n v="7"/>
    <n v="5"/>
    <n v="25"/>
    <n v="36"/>
    <n v="75"/>
    <n v="64"/>
    <n v="5"/>
    <n v="7"/>
    <n v="7"/>
    <n v="7"/>
    <n v="7"/>
    <n v="5"/>
    <s v="Riscou o Sassami em X,_x000a_Retirou a Cartilagem"/>
    <n v="10"/>
    <n v="10"/>
    <n v="36"/>
    <n v="18"/>
    <n v="41"/>
    <n v="3"/>
    <n v="20.5"/>
    <n v="85"/>
    <n v="5"/>
    <n v="25"/>
    <n v="7"/>
    <n v="42846"/>
    <s v="Caixa está sem rasgos e seca,_x000a_Data  de validade e produção estão de acordo,_x000a_Selagem está conforme"/>
    <s v="assinatura"/>
    <s v="assinatura"/>
    <n v="3009"/>
  </r>
  <r>
    <x v="8"/>
    <s v="6a97b15843066e508049f780"/>
    <s v="01/09/2026 18:48:54"/>
    <s v="02/09/2026 02:17:12"/>
    <s v="Ranieli"/>
    <x v="26"/>
    <n v="2"/>
    <n v="7"/>
    <n v="7"/>
    <n v="7"/>
    <n v="7"/>
    <n v="24"/>
    <n v="28"/>
    <n v="76"/>
    <n v="72"/>
    <n v="7"/>
    <n v="7"/>
    <n v="7"/>
    <n v="7"/>
    <n v="7"/>
    <n v="5"/>
    <s v="Riscou o Sassami em X,_x000a_Usou o garfo na retirada de Sassami,_x000a_Retirou a Cartilagem"/>
    <s v=""/>
    <s v=""/>
    <n v="41"/>
    <n v="20.5"/>
    <n v="36"/>
    <n v="6"/>
    <n v="18"/>
    <n v="70"/>
    <n v="6"/>
    <n v="30"/>
    <n v="10"/>
    <n v="15106"/>
    <s v="Acomodação do produto está conforme especificação,_x000a_Caixa está sem rasgos e seca,_x000a_Data  de validade e produção estão de acordo,_x000a_Selagem está conforme"/>
    <s v="assinatura"/>
    <s v="assinatura"/>
    <n v="4343"/>
  </r>
  <r>
    <x v="8"/>
    <s v="6a97b15743066e508049f756"/>
    <s v="01/09/2026 16:32:01"/>
    <s v="02/09/2026 02:17:11"/>
    <s v="Ranieli"/>
    <x v="26"/>
    <n v="2"/>
    <n v="7"/>
    <n v="7"/>
    <n v="7"/>
    <n v="5"/>
    <n v="19"/>
    <n v="32"/>
    <n v="81"/>
    <n v="68"/>
    <n v="7"/>
    <n v="7"/>
    <n v="7"/>
    <n v="7"/>
    <n v="7"/>
    <n v="5"/>
    <s v="Riscou o Sassami em X,_x000a_Usou o garfo na retirada de Sassami,_x000a_Retirou a Cartilagem"/>
    <n v="7"/>
    <n v="7"/>
    <n v="48"/>
    <n v="24"/>
    <n v="34"/>
    <n v="5"/>
    <n v="17"/>
    <n v="75"/>
    <n v="7"/>
    <n v="35"/>
    <n v="7"/>
    <n v="40762"/>
    <s v="Caixa está sem rasgos e seca,_x000a_Data  de validade e produção estão de acordo,_x000a_Selagem está conforme"/>
    <s v="assinatura"/>
    <s v="assinatura"/>
    <n v="3231"/>
  </r>
  <r>
    <x v="7"/>
    <s v="6a95c84f18e7857fd2a40611"/>
    <m/>
    <m/>
    <s v="Alana"/>
    <x v="25"/>
    <n v="1"/>
    <n v="10"/>
    <n v="10"/>
    <n v="7"/>
    <n v="7"/>
    <n v="17"/>
    <n v="12"/>
    <n v="83"/>
    <n v="88"/>
    <n v="7"/>
    <n v="10"/>
    <n v="10"/>
    <n v="7"/>
    <n v="7"/>
    <n v="10"/>
    <s v=""/>
    <n v="10"/>
    <n v="10"/>
    <n v="86"/>
    <n v="43"/>
    <n v="43"/>
    <n v="11"/>
    <n v="21.5"/>
    <n v="44.999999999999993"/>
    <n v="2"/>
    <n v="10"/>
    <m/>
    <m/>
    <m/>
    <m/>
    <m/>
    <m/>
  </r>
  <r>
    <x v="7"/>
    <s v="6a91d3cb5b2e8247e4dde965"/>
    <m/>
    <m/>
    <s v="Alana"/>
    <x v="24"/>
    <n v="1"/>
    <n v="10"/>
    <n v="10"/>
    <n v="7"/>
    <n v="5"/>
    <n v="21"/>
    <n v="39"/>
    <n v="79"/>
    <n v="61"/>
    <n v="10"/>
    <n v="10"/>
    <n v="7"/>
    <n v="10"/>
    <n v="5"/>
    <n v="7"/>
    <s v=""/>
    <n v="7"/>
    <n v="7"/>
    <n v="71"/>
    <n v="35.5"/>
    <n v="78"/>
    <n v="15"/>
    <n v="39"/>
    <n v="25"/>
    <n v="4"/>
    <n v="20"/>
    <m/>
    <m/>
    <m/>
    <m/>
    <m/>
    <m/>
  </r>
  <r>
    <x v="7"/>
    <s v="6a8ee1b8ff3419aa350c3bbe"/>
    <m/>
    <m/>
    <s v="Alana"/>
    <x v="22"/>
    <n v="1"/>
    <n v="10"/>
    <n v="10"/>
    <n v="7"/>
    <n v="10"/>
    <n v="9"/>
    <n v="44"/>
    <n v="91"/>
    <n v="56"/>
    <n v="7"/>
    <n v="10"/>
    <n v="7"/>
    <n v="10"/>
    <n v="10"/>
    <n v="5"/>
    <s v=""/>
    <n v="10"/>
    <n v="10"/>
    <n v="50"/>
    <n v="25"/>
    <n v="57"/>
    <n v="6"/>
    <n v="28.499999999999996"/>
    <n v="70"/>
    <n v="2"/>
    <n v="10"/>
    <m/>
    <m/>
    <m/>
    <m/>
    <m/>
    <m/>
  </r>
  <r>
    <x v="7"/>
    <s v="6a8ddfc854cc3955acac26a1"/>
    <m/>
    <m/>
    <s v="Alana"/>
    <x v="21"/>
    <n v="1"/>
    <n v="7"/>
    <n v="10"/>
    <n v="7"/>
    <n v="5"/>
    <n v="14"/>
    <n v="36"/>
    <n v="86"/>
    <n v="64"/>
    <n v="7"/>
    <n v="10"/>
    <n v="7"/>
    <n v="7"/>
    <n v="7"/>
    <n v="5"/>
    <s v=""/>
    <n v="10"/>
    <n v="10"/>
    <s v=""/>
    <s v=""/>
    <m/>
    <n v="8"/>
    <s v=""/>
    <n v="60"/>
    <n v="1"/>
    <n v="5"/>
    <m/>
    <m/>
    <m/>
    <m/>
    <m/>
    <m/>
  </r>
  <r>
    <x v="7"/>
    <s v="6a8c8e9c3b4a65e677cc0d51"/>
    <m/>
    <m/>
    <s v="Alana"/>
    <x v="20"/>
    <n v="1"/>
    <n v="5"/>
    <n v="10"/>
    <n v="7"/>
    <n v="5"/>
    <n v="17"/>
    <n v="31"/>
    <n v="83"/>
    <n v="69"/>
    <n v="10"/>
    <n v="7"/>
    <n v="10"/>
    <n v="5"/>
    <n v="7"/>
    <n v="5"/>
    <n v="37"/>
    <n v="7"/>
    <n v="7"/>
    <n v="44"/>
    <n v="22"/>
    <m/>
    <n v="13"/>
    <s v=""/>
    <n v="35"/>
    <n v="1"/>
    <n v="5"/>
    <m/>
    <m/>
    <m/>
    <m/>
    <m/>
    <m/>
  </r>
  <r>
    <x v="8"/>
    <s v="6a97b15943066e508049f7be"/>
    <s v="02/09/2026 00:21:23"/>
    <s v="02/09/2026 02:17:13"/>
    <s v="Ranieli"/>
    <x v="26"/>
    <n v="2"/>
    <n v="7"/>
    <n v="7"/>
    <n v="7"/>
    <n v="5"/>
    <n v="19"/>
    <n v="42"/>
    <n v="81"/>
    <n v="58"/>
    <n v="7"/>
    <n v="7"/>
    <n v="7"/>
    <n v="5"/>
    <n v="7"/>
    <n v="5"/>
    <s v="Riscou o Sassami em X,_x000a_Usou o garfo na retirada de Sassami,_x000a_Retirou a Cartilagem"/>
    <n v="10"/>
    <n v="10"/>
    <n v="43"/>
    <n v="21.5"/>
    <n v="54"/>
    <n v="5"/>
    <n v="27"/>
    <n v="75"/>
    <n v="4"/>
    <n v="20"/>
    <n v="7"/>
    <n v="864048"/>
    <s v="Caixa está sem rasgos e seca,_x000a_Data  de validade e produção estão de acordo,_x000a_Selagem está conforme"/>
    <s v="assinatura"/>
    <s v="assinatura"/>
    <n v="3620"/>
  </r>
  <r>
    <x v="8"/>
    <s v="6a97b15843066e508049f786"/>
    <s v="01/09/2026 21:39:41"/>
    <s v="02/09/2026 02:17:12"/>
    <s v="Ranieli"/>
    <x v="26"/>
    <n v="2"/>
    <n v="7"/>
    <n v="7"/>
    <n v="7"/>
    <n v="5"/>
    <n v="25"/>
    <n v="36"/>
    <n v="75"/>
    <n v="64"/>
    <n v="5"/>
    <n v="7"/>
    <n v="7"/>
    <n v="7"/>
    <n v="7"/>
    <n v="5"/>
    <s v="Riscou o Sassami em X,_x000a_Retirou a Cartilagem"/>
    <n v="10"/>
    <n v="10"/>
    <n v="36"/>
    <n v="18"/>
    <n v="41"/>
    <n v="3"/>
    <n v="20.5"/>
    <n v="85"/>
    <n v="5"/>
    <n v="25"/>
    <n v="7"/>
    <n v="42846"/>
    <s v="Caixa está sem rasgos e seca,_x000a_Data  de validade e produção estão de acordo,_x000a_Selagem está conforme"/>
    <s v="assinatura"/>
    <s v="assinatura"/>
    <n v="3009"/>
  </r>
  <r>
    <x v="8"/>
    <s v="6a97b15843066e508049f780"/>
    <s v="01/09/2026 18:48:54"/>
    <s v="02/09/2026 02:17:12"/>
    <s v="Ranieli"/>
    <x v="26"/>
    <n v="2"/>
    <n v="7"/>
    <n v="7"/>
    <n v="7"/>
    <n v="7"/>
    <n v="24"/>
    <n v="28"/>
    <n v="76"/>
    <n v="72"/>
    <n v="7"/>
    <n v="7"/>
    <n v="7"/>
    <n v="7"/>
    <n v="7"/>
    <n v="5"/>
    <s v="Riscou o Sassami em X,_x000a_Usou o garfo na retirada de Sassami,_x000a_Retirou a Cartilagem"/>
    <s v=""/>
    <s v=""/>
    <n v="41"/>
    <n v="20.5"/>
    <n v="36"/>
    <n v="6"/>
    <n v="18"/>
    <n v="70"/>
    <n v="6"/>
    <n v="30"/>
    <n v="10"/>
    <n v="15106"/>
    <s v="Acomodação do produto está conforme especificação,_x000a_Caixa está sem rasgos e seca,_x000a_Data  de validade e produção estão de acordo,_x000a_Selagem está conforme"/>
    <s v="assinatura"/>
    <s v="assinatura"/>
    <n v="4343"/>
  </r>
  <r>
    <x v="8"/>
    <s v="6a97b15743066e508049f756"/>
    <s v="01/09/2026 16:32:01"/>
    <s v="02/09/2026 02:17:11"/>
    <s v="Ranieli"/>
    <x v="26"/>
    <n v="2"/>
    <n v="7"/>
    <n v="7"/>
    <n v="7"/>
    <n v="5"/>
    <n v="19"/>
    <n v="32"/>
    <n v="81"/>
    <n v="68"/>
    <n v="7"/>
    <n v="7"/>
    <n v="7"/>
    <n v="7"/>
    <n v="7"/>
    <n v="5"/>
    <s v="Riscou o Sassami em X,_x000a_Usou o garfo na retirada de Sassami,_x000a_Retirou a Cartilagem"/>
    <n v="7"/>
    <n v="7"/>
    <n v="48"/>
    <n v="24"/>
    <n v="34"/>
    <n v="5"/>
    <n v="17"/>
    <n v="75"/>
    <n v="7"/>
    <n v="35"/>
    <n v="7"/>
    <n v="40762"/>
    <s v="Caixa está sem rasgos e seca,_x000a_Data  de validade e produção estão de acordo,_x000a_Selagem está conforme"/>
    <s v="assinatura"/>
    <s v="assinatura"/>
    <n v="3231"/>
  </r>
  <r>
    <x v="7"/>
    <s v="6a96592d8a2cf415c7d9178c"/>
    <s v="01/09/2026 00:40:49"/>
    <s v="01/09/2026 01:48:45"/>
    <s v="Ranieli"/>
    <x v="25"/>
    <n v="2"/>
    <n v="7"/>
    <n v="7"/>
    <n v="7"/>
    <n v="5"/>
    <n v="22"/>
    <n v="29"/>
    <n v="78"/>
    <n v="71"/>
    <n v="7"/>
    <n v="7"/>
    <n v="7"/>
    <n v="7"/>
    <n v="7"/>
    <n v="5"/>
    <s v="Riscou o Sassami em X,_x000a_Retirou a Cartilagem"/>
    <n v="7"/>
    <n v="7"/>
    <n v="41"/>
    <n v="20.5"/>
    <n v="39"/>
    <n v="5"/>
    <n v="19.5"/>
    <n v="75"/>
    <n v="5"/>
    <n v="25"/>
    <n v="10"/>
    <n v="15105"/>
    <s v="Acomodação do produto está conforme especificação,_x000a_Caixa está sem rasgos e seca,_x000a_Data  de validade e produção estão de acordo,_x000a_Selagem está conforme"/>
    <s v="assinatura"/>
    <s v="assinatura"/>
    <n v="704"/>
  </r>
  <r>
    <x v="8"/>
    <s v="6a9a500172d6d33ccf260cce"/>
    <s v="03/09/2026 23:33:39"/>
    <s v="04/09/2026 01:58:41"/>
    <s v="Ranieli"/>
    <x v="27"/>
    <n v="2"/>
    <n v="7"/>
    <n v="7"/>
    <n v="7"/>
    <n v="5"/>
    <n v="15"/>
    <n v="26"/>
    <n v="85"/>
    <n v="74"/>
    <n v="7"/>
    <n v="7"/>
    <n v="7"/>
    <n v="7"/>
    <n v="7"/>
    <n v="7"/>
    <s v="Riscou o Sassami em X,_x000a_Retirou a Cartilagem"/>
    <n v="10"/>
    <n v="10"/>
    <n v="56"/>
    <n v="28.000000000000004"/>
    <n v="41"/>
    <n v="6"/>
    <n v="20.5"/>
    <n v="70"/>
    <n v="9"/>
    <n v="45"/>
    <n v="7"/>
    <n v="992093"/>
    <s v="Acomodação do produto está conforme especificação,_x000a_Data  de validade e produção estão de acordo,_x000a_Caixa está sem rasgos e seca,_x000a_Selagem está conforme"/>
    <s v="assinatura"/>
    <s v="assinatura"/>
    <n v="6804"/>
  </r>
  <r>
    <x v="8"/>
    <s v="6a9a500172d6d33ccf260ca2"/>
    <s v="03/09/2026 21:37:53"/>
    <s v="04/09/2026 01:58:41"/>
    <s v="Ranieli"/>
    <x v="27"/>
    <n v="2"/>
    <n v="5"/>
    <n v="7"/>
    <n v="7"/>
    <n v="5"/>
    <n v="23"/>
    <n v="33"/>
    <n v="77"/>
    <n v="67"/>
    <n v="7"/>
    <n v="7"/>
    <n v="7"/>
    <n v="7"/>
    <n v="7"/>
    <n v="7"/>
    <s v="Riscou o Sassami em X,_x000a_Usou o garfo na retirada de Sassami,_x000a_Retirou a Cartilagem"/>
    <s v=""/>
    <s v=""/>
    <n v="39"/>
    <n v="19.5"/>
    <n v="33"/>
    <n v="6"/>
    <n v="16.5"/>
    <n v="70"/>
    <n v="9"/>
    <n v="45"/>
    <n v="7"/>
    <n v="962925"/>
    <s v="Caixa está sem rasgos e seca,_x000a_Data  de validade e produção estão de acordo,_x000a_Selagem está conforme"/>
    <s v="assinatura"/>
    <s v="assinatura"/>
    <n v="2362"/>
  </r>
  <r>
    <x v="8"/>
    <s v="6a9a500172d6d33ccf260c9c"/>
    <s v="03/09/2026 18:48:59"/>
    <s v="04/09/2026 01:58:41"/>
    <s v="Ranieli"/>
    <x v="27"/>
    <n v="2"/>
    <n v="7"/>
    <n v="7"/>
    <n v="7"/>
    <n v="5"/>
    <n v="18"/>
    <n v="39"/>
    <n v="82"/>
    <n v="61"/>
    <n v="7"/>
    <n v="7"/>
    <n v="7"/>
    <n v="7"/>
    <n v="7"/>
    <n v="7"/>
    <s v="Retirou a Cartilagem,_x000a_Riscou o Sassami em X"/>
    <n v="10"/>
    <n v="10"/>
    <n v="41"/>
    <n v="20.5"/>
    <n v="41"/>
    <n v="4"/>
    <n v="20.5"/>
    <n v="80"/>
    <n v="6"/>
    <n v="30"/>
    <n v="7"/>
    <n v="42862"/>
    <s v="Caixa está sem rasgos e seca,_x000a_Data  de validade e produção estão de acordo,_x000a_Selagem está conforme"/>
    <s v="assinatura"/>
    <s v="assinatura"/>
    <n v="4338"/>
  </r>
  <r>
    <x v="8"/>
    <s v="6a9a500072d6d33ccf260c4e"/>
    <s v="03/09/2026 16:29:34"/>
    <s v="04/09/2026 01:58:40"/>
    <s v="Ranieli"/>
    <x v="27"/>
    <n v="2"/>
    <n v="7"/>
    <n v="7"/>
    <n v="7"/>
    <n v="5"/>
    <n v="18"/>
    <n v="44"/>
    <n v="82"/>
    <n v="56"/>
    <n v="7"/>
    <n v="7"/>
    <n v="7"/>
    <n v="7"/>
    <n v="7"/>
    <n v="7"/>
    <s v="Riscou o Sassami em X,_x000a_Usou o garfo na retirada de Sassami,_x000a_Retirou a Cartilagem"/>
    <n v="10"/>
    <n v="10"/>
    <n v="52"/>
    <n v="26"/>
    <n v="38"/>
    <n v="7"/>
    <n v="19"/>
    <n v="65"/>
    <n v="6"/>
    <n v="30"/>
    <n v="10"/>
    <n v="15105"/>
    <s v="Caixa está sem rasgos e seca,_x000a_Data  de validade e produção estão de acordo,_x000a_Selagem está conforme,_x000a_Acomodação do produto está conforme especificação"/>
    <s v="assinatura"/>
    <s v="assinatura"/>
    <n v="3285"/>
  </r>
  <r>
    <x v="8"/>
    <s v="6a99c0cb0ab955eaa1d4998c"/>
    <s v="02/09/2026 16:23:02"/>
    <s v="03/09/2026 15:47:39"/>
    <s v="Ranieli"/>
    <x v="28"/>
    <n v="2"/>
    <n v="5"/>
    <n v="10"/>
    <n v="7"/>
    <n v="5"/>
    <n v="8"/>
    <n v="23"/>
    <n v="92"/>
    <n v="77"/>
    <n v="7"/>
    <n v="7"/>
    <n v="7"/>
    <n v="7"/>
    <n v="7"/>
    <n v="5"/>
    <s v="Riscou o Sassami em X,_x000a_Usou o garfo na retirada de Sassami,_x000a_Retirou a Cartilagem"/>
    <n v="10"/>
    <n v="10"/>
    <n v="25"/>
    <n v="12.5"/>
    <n v="37"/>
    <n v="5"/>
    <n v="18.5"/>
    <n v="75"/>
    <n v="5"/>
    <n v="25"/>
    <n v="7"/>
    <n v="42838"/>
    <s v="Caixa está sem rasgos e seca,_x000a_Selagem está conforme,_x000a_Data  de validade e produção estão de acordo"/>
    <s v="assinatura"/>
    <s v="assinatura"/>
    <n v="3498"/>
  </r>
  <r>
    <x v="8"/>
    <s v="6a99c0910086f5dfe4a832c3"/>
    <s v="03/09/2026 00:23:49"/>
    <s v="03/09/2026 15:46:41"/>
    <s v="Ranieli"/>
    <x v="28"/>
    <n v="2"/>
    <n v="7"/>
    <n v="7"/>
    <n v="7"/>
    <n v="5"/>
    <n v="17"/>
    <n v="27"/>
    <n v="83"/>
    <n v="73"/>
    <n v="7"/>
    <n v="7"/>
    <n v="7"/>
    <n v="7"/>
    <n v="7"/>
    <n v="5"/>
    <s v="Riscou o Sassami em X,_x000a_Usou o garfo na retirada de Sassami,_x000a_Retirou a Cartilagem"/>
    <n v="10"/>
    <n v="10"/>
    <n v="56"/>
    <n v="28.000000000000004"/>
    <n v="48"/>
    <n v="6"/>
    <n v="24"/>
    <n v="70"/>
    <n v="5"/>
    <n v="25"/>
    <n v="10"/>
    <n v="992093"/>
    <s v="Acomodação do produto está conforme especificação,_x000a_Caixa está sem rasgos e seca,_x000a_Data  de validade e produção estão de acordo,_x000a_Selagem está conforme"/>
    <s v="assinatura"/>
    <s v="assinatura"/>
    <n v="1639"/>
  </r>
  <r>
    <x v="8"/>
    <s v="6a99c0900086f5dfe4a832bd"/>
    <s v="02/09/2026 22:02:35"/>
    <s v="03/09/2026 15:46:40"/>
    <s v="Ranieli"/>
    <x v="28"/>
    <n v="2"/>
    <n v="7"/>
    <n v="7"/>
    <n v="7"/>
    <n v="7"/>
    <n v="16"/>
    <n v="29"/>
    <n v="84"/>
    <n v="71"/>
    <n v="7"/>
    <n v="5"/>
    <n v="7"/>
    <n v="7"/>
    <n v="7"/>
    <n v="5"/>
    <s v="Usou o garfo na retirada de Sassami,_x000a_Retirou a Cartilagem,_x000a_Riscou o Sassami em X"/>
    <n v="7"/>
    <n v="7"/>
    <n v="47"/>
    <n v="23.5"/>
    <n v="44"/>
    <n v="44"/>
    <n v="22"/>
    <m/>
    <n v="3"/>
    <n v="15"/>
    <n v="7"/>
    <n v="42838"/>
    <s v="Caixa está sem rasgos e seca,_x000a_Data  de validade e produção estão de acordo,_x000a_Selagem está conforme"/>
    <s v="assinatura"/>
    <s v="assinatura"/>
    <n v="4464"/>
  </r>
  <r>
    <x v="8"/>
    <s v="6a99c0900086f5dfe4a832b1"/>
    <s v="02/09/2026 21:00:58"/>
    <s v="03/09/2026 15:46:40"/>
    <s v="Ranieli"/>
    <x v="28"/>
    <n v="2"/>
    <n v="7"/>
    <n v="7"/>
    <n v="7"/>
    <n v="5"/>
    <n v="19"/>
    <n v="36"/>
    <n v="81"/>
    <n v="64"/>
    <n v="7"/>
    <n v="5"/>
    <n v="7"/>
    <n v="7"/>
    <n v="7"/>
    <n v="5"/>
    <s v="Riscou o Sassami em X,_x000a_Usou o garfo na retirada de Sassami,_x000a_Retirou a Cartilagem"/>
    <n v="10"/>
    <n v="10"/>
    <n v="43"/>
    <n v="21.5"/>
    <n v="41"/>
    <n v="3"/>
    <n v="20.5"/>
    <n v="85"/>
    <n v="4"/>
    <n v="20"/>
    <n v="10"/>
    <n v="15105"/>
    <s v="Acomodação do produto está conforme especificação,_x000a_Caixa está sem rasgos e seca,_x000a_Data  de validade e produção estão de acordo,_x000a_Selagem está conforme"/>
    <s v=""/>
    <s v=""/>
    <n v="776"/>
  </r>
  <r>
    <x v="8"/>
    <s v="6a999337975a2c850b923947"/>
    <s v="03/09/2026 08:51:02"/>
    <s v="03/09/2026 12:33:11"/>
    <s v="Alana"/>
    <x v="27"/>
    <n v="1"/>
    <n v="7"/>
    <n v="10"/>
    <n v="7"/>
    <n v="7"/>
    <n v="21"/>
    <n v="38"/>
    <n v="79"/>
    <n v="62"/>
    <n v="5"/>
    <n v="10"/>
    <n v="10"/>
    <n v="10"/>
    <n v="7"/>
    <n v="10"/>
    <m/>
    <n v="7"/>
    <n v="7"/>
    <n v="52"/>
    <n v="26"/>
    <n v="51"/>
    <n v="14"/>
    <n v="25.5"/>
    <n v="30"/>
    <n v="0"/>
    <m/>
    <m/>
    <m/>
    <m/>
    <m/>
    <m/>
    <m/>
  </r>
  <r>
    <x v="8"/>
    <s v="6aa14198fc81e91c72266d6e"/>
    <s v="08/09/2026 23:29:10"/>
    <s v="09/09/2026 08:23:04"/>
    <s v="Ranieli"/>
    <x v="29"/>
    <n v="2"/>
    <n v="7"/>
    <n v="7"/>
    <n v="7"/>
    <n v="5"/>
    <n v="27"/>
    <n v="19"/>
    <n v="73"/>
    <n v="81"/>
    <n v="7"/>
    <n v="7"/>
    <n v="7"/>
    <n v="7"/>
    <n v="7"/>
    <n v="7"/>
    <s v="Riscou o Sassami em X,_x000a_Usou o garfo na retirada de Sassami,_x000a_Retirou a Cartilagem"/>
    <n v="7"/>
    <n v="7"/>
    <n v="53"/>
    <n v="26.5"/>
    <n v="34"/>
    <n v="4"/>
    <n v="17"/>
    <n v="80"/>
    <n v="4"/>
    <n v="20"/>
    <n v="7"/>
    <n v="42838"/>
    <s v="Caixa está sem rasgos e seca,_x000a_Data  de validade e produção estão de acordo,_x000a_Selagem está conforme"/>
    <s v="assinatura"/>
    <s v="assinatura"/>
    <n v="4823"/>
  </r>
  <r>
    <x v="8"/>
    <s v="6aa14198fc81e91c72266d68"/>
    <s v="08/09/2026 21:30:08"/>
    <s v="09/09/2026 08:23:04"/>
    <s v="Ranieli"/>
    <x v="29"/>
    <n v="2"/>
    <n v="7"/>
    <n v="7"/>
    <n v="7"/>
    <n v="5"/>
    <n v="25"/>
    <n v="28"/>
    <n v="75"/>
    <n v="72"/>
    <n v="7"/>
    <n v="7"/>
    <n v="7"/>
    <n v="7"/>
    <n v="7"/>
    <n v="7"/>
    <s v="Riscou o Sassami em X,_x000a_Usou o garfo na retirada de Sassami,_x000a_Retirou a Cartilagem"/>
    <n v="7"/>
    <n v="7"/>
    <n v="41"/>
    <n v="20.5"/>
    <n v="31"/>
    <n v="9"/>
    <n v="15.5"/>
    <n v="55"/>
    <n v="4"/>
    <n v="20"/>
    <n v="10"/>
    <n v="15105"/>
    <s v="Acomodação do produto está conforme especificação,_x000a_Caixa está sem rasgos e seca,_x000a_Data  de validade e produção estão de acordo,_x000a_Selagem está conforme"/>
    <s v="assinatura"/>
    <s v="assinatura"/>
    <n v="2572"/>
  </r>
  <r>
    <x v="8"/>
    <s v="6aa14197fc81e91c72266d62"/>
    <s v="08/09/2026 18:48:07"/>
    <s v="09/09/2026 08:23:03"/>
    <s v="Ranieli"/>
    <x v="29"/>
    <n v="2"/>
    <s v=""/>
    <n v="7"/>
    <n v="7"/>
    <n v="7"/>
    <n v="31"/>
    <n v="18"/>
    <n v="69"/>
    <n v="82"/>
    <n v="5"/>
    <n v="7"/>
    <n v="7"/>
    <n v="7"/>
    <n v="7"/>
    <n v="5"/>
    <s v="Riscou o Sassami em X,_x000a_Usou o garfo na retirada de Sassami,_x000a_Retirou a Cartilagem"/>
    <n v="7"/>
    <n v="7"/>
    <n v="30"/>
    <n v="15"/>
    <n v="36"/>
    <n v="3"/>
    <n v="18"/>
    <n v="85"/>
    <n v="5"/>
    <n v="25"/>
    <n v="5"/>
    <n v="42846"/>
    <s v="Caixa está sem rasgos e seca,_x000a_Data  de validade e produção estão de acordo,_x000a_Selagem está conforme"/>
    <s v="assinatura"/>
    <s v="assinatura"/>
    <n v="3632"/>
  </r>
  <r>
    <x v="8"/>
    <s v="6aa13f5fb841baacea2f93af"/>
    <s v="08/09/2026 16:24:00"/>
    <s v="09/09/2026 08:13:35"/>
    <s v="Ranieli"/>
    <x v="29"/>
    <n v="2"/>
    <n v="10"/>
    <n v="7"/>
    <n v="7"/>
    <n v="5"/>
    <n v="19"/>
    <n v="31"/>
    <n v="81"/>
    <n v="69"/>
    <n v="7"/>
    <n v="7"/>
    <n v="7"/>
    <n v="7"/>
    <n v="7"/>
    <n v="7"/>
    <s v="Riscou o Sassami em X,_x000a_Retirou a Cartilagem"/>
    <n v="7"/>
    <n v="7"/>
    <n v="71"/>
    <n v="35.5"/>
    <n v="40"/>
    <n v="2"/>
    <n v="20"/>
    <n v="90"/>
    <n v="6"/>
    <n v="30"/>
    <n v="10"/>
    <n v="995638"/>
    <s v="Acomodação do produto está conforme especificação,_x000a_Caixa está sem rasgos e seca,_x000a_Data  de validade e produção estão de acordo,_x000a_Selagem está conforme"/>
    <s v="assinatura"/>
    <s v="assinatura"/>
    <n v="3127"/>
  </r>
  <r>
    <x v="8"/>
    <s v="6aa15453b4a6de3d8d7edbea"/>
    <s v="08/09/2026 12:53:49"/>
    <s v="09/09/2026 09:42:59"/>
    <s v="Alana"/>
    <x v="29"/>
    <n v="1"/>
    <n v="7"/>
    <n v="7"/>
    <n v="7"/>
    <n v="7"/>
    <n v="19"/>
    <n v="32"/>
    <n v="81"/>
    <n v="68"/>
    <n v="7"/>
    <n v="10"/>
    <n v="10"/>
    <n v="10"/>
    <n v="7"/>
    <n v="5"/>
    <m/>
    <n v="10"/>
    <n v="10"/>
    <n v="155"/>
    <n v="77.5"/>
    <n v="48"/>
    <n v="15"/>
    <n v="24"/>
    <n v="25"/>
    <n v="0"/>
    <m/>
    <m/>
    <m/>
    <m/>
    <m/>
    <m/>
    <m/>
  </r>
  <r>
    <x v="8"/>
    <s v="6aa4dbf641a5e4bbeb270f0a"/>
    <s v="11/09/2026 23:19:28"/>
    <s v="12/09/2026 01:58:30"/>
    <s v="Ranieli"/>
    <x v="30"/>
    <n v="2"/>
    <n v="7"/>
    <n v="7"/>
    <n v="7"/>
    <n v="5"/>
    <n v="20"/>
    <n v="30"/>
    <n v="80"/>
    <n v="70"/>
    <n v="5"/>
    <n v="7"/>
    <n v="7"/>
    <n v="5"/>
    <n v="7"/>
    <n v="7"/>
    <s v="Riscou o Sassami em X,_x000a_Usou o garfo na retirada de Sassami,_x000a_Retirou a Cartilagem"/>
    <n v="7"/>
    <n v="10"/>
    <n v="50"/>
    <n v="25"/>
    <n v="39"/>
    <n v="4"/>
    <n v="19.5"/>
    <n v="80"/>
    <n v="6"/>
    <n v="30"/>
    <n v="10"/>
    <n v="13188"/>
    <s v="Acomodação do produto está conforme especificação,_x000a_Data  de validade e produção estão de acordo,_x000a_Selagem está conforme,_x000a_Caixa está sem rasgos e seca"/>
    <s v="assinatura"/>
    <s v="assinatura"/>
    <n v="4308"/>
  </r>
  <r>
    <x v="8"/>
    <s v="6aa4dbf541a5e4bbeb270eec"/>
    <s v="11/09/2026 21:08:17"/>
    <s v="12/09/2026 01:58:29"/>
    <s v="Ranieli"/>
    <x v="30"/>
    <n v="2"/>
    <n v="7"/>
    <n v="7"/>
    <n v="7"/>
    <n v="5"/>
    <n v="12"/>
    <n v="35"/>
    <n v="88"/>
    <n v="65"/>
    <n v="7"/>
    <n v="7"/>
    <n v="7"/>
    <n v="7"/>
    <n v="7"/>
    <n v="7"/>
    <s v="Riscou o Sassami em X,_x000a_Retirou a Cartilagem"/>
    <n v="7"/>
    <n v="7"/>
    <n v="54"/>
    <n v="27"/>
    <n v="32"/>
    <n v="3"/>
    <n v="16"/>
    <n v="85"/>
    <n v="4"/>
    <n v="20"/>
    <n v="10"/>
    <n v="792799"/>
    <s v="Acomodação do produto está conforme especificação,_x000a_Caixa está sem rasgos e seca,_x000a_Data  de validade e produção estão de acordo,_x000a_Selagem está conforme"/>
    <s v="assinatura"/>
    <s v="assinatura"/>
    <n v="3262"/>
  </r>
  <r>
    <x v="8"/>
    <s v="6aa4dbf541a5e4bbeb270ed2"/>
    <s v="11/09/2026 18:14:48"/>
    <s v="12/09/2026 01:58:29"/>
    <s v="Ranieli"/>
    <x v="30"/>
    <n v="2"/>
    <n v="7"/>
    <n v="7"/>
    <n v="7"/>
    <n v="5"/>
    <n v="9"/>
    <n v="27"/>
    <n v="91"/>
    <n v="73"/>
    <n v="7"/>
    <n v="7"/>
    <n v="7"/>
    <n v="7"/>
    <n v="7"/>
    <n v="7"/>
    <s v="Riscou o Sassami em X,_x000a_Usou o garfo na retirada de Sassami,_x000a_Retirou a Cartilagem"/>
    <n v="10"/>
    <n v="10"/>
    <n v="37"/>
    <n v="18.5"/>
    <n v="37"/>
    <n v="3"/>
    <n v="18.5"/>
    <n v="85"/>
    <n v="8"/>
    <n v="40"/>
    <n v="7"/>
    <n v="42862"/>
    <s v="Caixa está sem rasgos e seca,_x000a_Selagem está conforme,_x000a_Data  de validade e produção estão de acordo"/>
    <s v="assinatura"/>
    <s v="assinatura"/>
    <n v="3790"/>
  </r>
  <r>
    <x v="8"/>
    <s v="6aa4dbf441a5e4bbeb270e9c"/>
    <s v="11/09/2026 16:28:35"/>
    <s v="12/09/2026 01:58:28"/>
    <s v="Ranieli"/>
    <x v="30"/>
    <n v="2"/>
    <n v="7"/>
    <n v="7"/>
    <n v="7"/>
    <n v="7"/>
    <n v="14"/>
    <n v="32"/>
    <n v="86"/>
    <n v="68"/>
    <n v="7"/>
    <n v="7"/>
    <n v="7"/>
    <n v="7"/>
    <n v="7"/>
    <n v="10"/>
    <s v="Riscou o Sassami em X,_x000a_Usou o garfo na retirada de Sassami,_x000a_Retirou a Cartilagem"/>
    <s v=""/>
    <s v=""/>
    <n v="62"/>
    <n v="31"/>
    <n v="35"/>
    <n v="4"/>
    <n v="17.5"/>
    <n v="80"/>
    <n v="5"/>
    <n v="25"/>
    <n v="10"/>
    <n v="15105"/>
    <s v="Acomodação do produto está conforme especificação,_x000a_Caixa está sem rasgos e seca,_x000a_Data  de validade e produção estão de acordo,_x000a_Selagem está conforme"/>
    <s v="assinatura"/>
    <s v="assinatura"/>
    <n v="2666"/>
  </r>
  <r>
    <x v="8"/>
    <s v="6aa38bf3c423abb5a7e296ed"/>
    <s v="10/09/2026 23:29:40"/>
    <s v="11/09/2026 02:04:51"/>
    <s v="Ranieli"/>
    <x v="31"/>
    <n v="2"/>
    <n v="7"/>
    <n v="7"/>
    <n v="7"/>
    <n v="5"/>
    <n v="11"/>
    <n v="31"/>
    <n v="89"/>
    <n v="69"/>
    <n v="7"/>
    <n v="7"/>
    <n v="7"/>
    <n v="7"/>
    <n v="7"/>
    <n v="7"/>
    <s v="Usou o garfo na retirada de Sassami,_x000a_Retirou a Cartilagem,_x000a_Riscou o Sassami em X"/>
    <s v=""/>
    <s v=""/>
    <n v="44"/>
    <n v="22"/>
    <n v="35"/>
    <n v="5"/>
    <n v="17.5"/>
    <n v="75"/>
    <n v="5"/>
    <n v="25"/>
    <n v="10"/>
    <n v="15849"/>
    <s v="Acomodação do produto está conforme especificação,_x000a_Caixa está sem rasgos e seca,_x000a_Data  de validade e produção estão de acordo,_x000a_Selagem está conforme"/>
    <s v="assinatura"/>
    <s v="assinatura"/>
    <n v="5276"/>
  </r>
  <r>
    <x v="8"/>
    <s v="6aa38bf3c423abb5a7e296c9"/>
    <s v="10/09/2026 21:21:00"/>
    <s v="11/09/2026 02:04:51"/>
    <s v="Ranieli"/>
    <x v="31"/>
    <n v="2"/>
    <n v="7"/>
    <n v="7"/>
    <n v="7"/>
    <n v="7"/>
    <n v="13"/>
    <n v="29"/>
    <n v="87"/>
    <n v="71"/>
    <n v="7"/>
    <n v="7"/>
    <n v="7"/>
    <n v="7"/>
    <n v="7"/>
    <n v="7"/>
    <s v="Riscou o Sassami em X,_x000a_Usou o garfo na retirada de Sassami,_x000a_Retirou a Cartilagem"/>
    <n v="10"/>
    <n v="7"/>
    <n v="55"/>
    <n v="27.500000000000004"/>
    <n v="39"/>
    <n v="9"/>
    <n v="19.5"/>
    <n v="55"/>
    <n v="6"/>
    <n v="30"/>
    <n v="5"/>
    <n v="929883"/>
    <s v="Data  de validade e produção estão de acordo,_x000a_Caixa está sem rasgos e seca,_x000a_Selagem está conforme"/>
    <s v="assinatura"/>
    <s v="assinatura"/>
    <n v="3767"/>
  </r>
  <r>
    <x v="8"/>
    <s v="6aa38bf2c423abb5a7e296bd"/>
    <s v="10/09/2026 18:26:40"/>
    <s v="11/09/2026 02:04:50"/>
    <s v="Ranieli"/>
    <x v="31"/>
    <n v="2"/>
    <n v="7"/>
    <n v="7"/>
    <n v="7"/>
    <n v="5"/>
    <n v="13"/>
    <n v="28"/>
    <n v="87"/>
    <n v="72"/>
    <n v="7"/>
    <n v="7"/>
    <n v="7"/>
    <n v="7"/>
    <n v="7"/>
    <n v="7"/>
    <s v="Riscou o Sassami em X,_x000a_Usou o garfo na retirada de Sassami,_x000a_Retirou a Cartilagem"/>
    <n v="10"/>
    <n v="10"/>
    <n v="39"/>
    <n v="19.5"/>
    <n v="46"/>
    <n v="2"/>
    <n v="23"/>
    <n v="90"/>
    <n v="3"/>
    <n v="15"/>
    <n v="7"/>
    <n v="42846"/>
    <s v="Caixa está sem rasgos e seca,_x000a_Data  de validade e produção estão de acordo,_x000a_Selagem está conforme"/>
    <s v="assinatura"/>
    <s v="assinatura"/>
    <n v="5049"/>
  </r>
  <r>
    <x v="8"/>
    <s v="6aa38bf1c423abb5a7e29679"/>
    <s v="10/09/2026 16:22:06"/>
    <s v="11/09/2026 02:04:49"/>
    <s v="Ranieli"/>
    <x v="31"/>
    <n v="2"/>
    <n v="7"/>
    <n v="7"/>
    <n v="7"/>
    <n v="7"/>
    <n v="15"/>
    <n v="34"/>
    <n v="85"/>
    <n v="66"/>
    <n v="7"/>
    <n v="7"/>
    <n v="7"/>
    <n v="7"/>
    <n v="7"/>
    <n v="10"/>
    <s v="Riscou o Sassami em X,_x000a_Usou o garfo na retirada de Sassami,_x000a_Retirou a Cartilagem"/>
    <n v="7"/>
    <n v="7"/>
    <n v="40"/>
    <n v="20"/>
    <n v="33"/>
    <n v="5"/>
    <n v="16.5"/>
    <n v="75"/>
    <n v="6"/>
    <n v="30"/>
    <s v=""/>
    <n v="15105"/>
    <s v="Acomodação do produto está conforme especificação,_x000a_Caixa está sem rasgos e seca,_x000a_Data  de validade e produção estão de acordo,_x000a_Selagem está conforme"/>
    <s v="assinatura"/>
    <s v="assinatura"/>
    <n v="2657"/>
  </r>
  <r>
    <x v="8"/>
    <s v="6aa23c33fc81e91c722940b8"/>
    <s v="10/09/2026 00:54:43"/>
    <s v="10/09/2026 02:12:19"/>
    <s v="Ranieli"/>
    <x v="32"/>
    <n v="2"/>
    <n v="5"/>
    <n v="7"/>
    <n v="7"/>
    <n v="5"/>
    <n v="15"/>
    <n v="18"/>
    <n v="85"/>
    <n v="82"/>
    <n v="7"/>
    <s v=""/>
    <n v="7"/>
    <n v="7"/>
    <n v="7"/>
    <n v="7"/>
    <s v="Riscou o Sassami em X,_x000a_Retirou a Cartilagem"/>
    <n v="10"/>
    <n v="10"/>
    <n v="42"/>
    <n v="21"/>
    <n v="38"/>
    <n v="5"/>
    <n v="19"/>
    <n v="75"/>
    <n v="5"/>
    <n v="25"/>
    <n v="10"/>
    <n v="15105"/>
    <s v="Acomodação do produto está conforme especificação,_x000a_Caixa está sem rasgos e seca,_x000a_Data  de validade e produção estão de acordo,_x000a_Selagem está conforme"/>
    <s v="assinatura"/>
    <s v="assinatura"/>
    <n v="1649"/>
  </r>
  <r>
    <x v="8"/>
    <s v="6aa23c32fc81e91c7229408e"/>
    <s v="09/09/2026 21:20:59"/>
    <s v="10/09/2026 02:12:18"/>
    <s v="Ranieli"/>
    <x v="32"/>
    <n v="2"/>
    <n v="7"/>
    <n v="7"/>
    <n v="7"/>
    <n v="5"/>
    <n v="18"/>
    <n v="15"/>
    <n v="82"/>
    <n v="85"/>
    <n v="7"/>
    <n v="10"/>
    <n v="7"/>
    <n v="7"/>
    <n v="7"/>
    <n v="7"/>
    <s v="Riscou o Sassami em X,_x000a_Usou o garfo na retirada de Sassami,_x000a_Retirou a Cartilagem"/>
    <n v="10"/>
    <n v="10"/>
    <n v="30"/>
    <n v="15"/>
    <n v="32"/>
    <n v="4"/>
    <n v="16"/>
    <n v="80"/>
    <n v="5"/>
    <n v="25"/>
    <n v="10"/>
    <n v="992093"/>
    <s v="Acomodação do produto está conforme especificação,_x000a_Caixa está sem rasgos e seca,_x000a_Data  de validade e produção estão de acordo,_x000a_Selagem está conforme"/>
    <s v="assinatura"/>
    <s v="assinatura"/>
    <n v="3334"/>
  </r>
  <r>
    <x v="8"/>
    <s v="6aa23c32fc81e91c72294082"/>
    <s v="09/09/2026 18:41:58"/>
    <s v="10/09/2026 02:12:18"/>
    <s v="Ranieli"/>
    <x v="32"/>
    <n v="2"/>
    <n v="7"/>
    <n v="7"/>
    <n v="7"/>
    <n v="5"/>
    <n v="17"/>
    <n v="18"/>
    <n v="83"/>
    <n v="82"/>
    <n v="5"/>
    <n v="7"/>
    <n v="7"/>
    <n v="7"/>
    <n v="7"/>
    <s v=""/>
    <s v="Riscou o Sassami em X,_x000a_Retirou a Cartilagem"/>
    <n v="7"/>
    <n v="5"/>
    <n v="34"/>
    <n v="17"/>
    <n v="52"/>
    <n v="4"/>
    <n v="26"/>
    <n v="80"/>
    <n v="6"/>
    <n v="30"/>
    <n v="7"/>
    <n v="42862"/>
    <s v="Caixa está sem rasgos e seca,_x000a_Data  de validade e produção estão de acordo,_x000a_Selagem está conforme"/>
    <s v="assinatura"/>
    <s v="assinatura"/>
    <n v="4090"/>
  </r>
  <r>
    <x v="8"/>
    <s v="6aa23c31fc81e91c72294034"/>
    <s v="09/09/2026 16:26:03"/>
    <s v="10/09/2026 02:12:17"/>
    <s v="Ranieli"/>
    <x v="32"/>
    <n v="2"/>
    <n v="7"/>
    <n v="7"/>
    <n v="7"/>
    <n v="7"/>
    <n v="14"/>
    <n v="25"/>
    <n v="86"/>
    <n v="75"/>
    <n v="5"/>
    <n v="7"/>
    <n v="7"/>
    <n v="7"/>
    <n v="7"/>
    <n v="7"/>
    <s v="Riscou o Sassami em X,_x000a_Usou o garfo na retirada de Sassami,_x000a_Retirou a Cartilagem"/>
    <n v="7"/>
    <n v="10"/>
    <n v="61"/>
    <n v="30.5"/>
    <n v="43"/>
    <n v="5"/>
    <n v="21.5"/>
    <n v="75"/>
    <n v="6"/>
    <n v="30"/>
    <s v=""/>
    <n v="15105"/>
    <s v="Acomodação do produto está conforme especificação,_x000a_Caixa está sem rasgos e seca,_x000a_Data  de validade e produção estão de acordo,_x000a_Selagem está conforme"/>
    <s v="assinatura"/>
    <s v="assinatura"/>
    <n v="3242"/>
  </r>
  <r>
    <x v="8"/>
    <s v="6aa8cff304d1eda90fa51d99"/>
    <s v="14/09/2026 23:52:21"/>
    <s v="15/09/2026 01:56:19"/>
    <s v="Ranieli"/>
    <x v="33"/>
    <n v="2"/>
    <n v="7"/>
    <n v="7"/>
    <n v="7"/>
    <n v="5"/>
    <n v="18"/>
    <n v="33"/>
    <n v="82"/>
    <n v="67"/>
    <n v="7"/>
    <n v="7"/>
    <n v="7"/>
    <n v="7"/>
    <n v="7"/>
    <n v="7"/>
    <s v="Riscou o Sassami em X,_x000a_Retirou a Cartilagem"/>
    <n v="7"/>
    <n v="5"/>
    <n v="62"/>
    <n v="31"/>
    <n v="43"/>
    <n v="5"/>
    <n v="21.5"/>
    <n v="75"/>
    <n v="5"/>
    <n v="25"/>
    <n v="7"/>
    <n v="40762"/>
    <s v="Caixa está sem rasgos e seca,_x000a_Data  de validade e produção estão de acordo,_x000a_Selagem está conforme"/>
    <s v="assinatura"/>
    <s v="assinatura"/>
    <n v="3671"/>
  </r>
  <r>
    <x v="8"/>
    <s v="6aa8cff304d1eda90fa51d7b"/>
    <s v="14/09/2026 21:17:08"/>
    <s v="15/09/2026 01:56:19"/>
    <s v="Ranieli"/>
    <x v="33"/>
    <n v="2"/>
    <n v="7"/>
    <n v="10"/>
    <n v="7"/>
    <n v="7"/>
    <n v="12"/>
    <n v="28"/>
    <n v="88"/>
    <n v="72"/>
    <n v="7"/>
    <n v="7"/>
    <n v="7"/>
    <n v="7"/>
    <n v="7"/>
    <n v="7"/>
    <s v="Riscou o Sassami em X,_x000a_Retirou a Cartilagem"/>
    <n v="7"/>
    <n v="7"/>
    <n v="33"/>
    <n v="16.5"/>
    <n v="34"/>
    <n v="6"/>
    <n v="17"/>
    <n v="70"/>
    <n v="7"/>
    <n v="35"/>
    <n v="7"/>
    <n v="42862"/>
    <s v="Caixa está sem rasgos e seca,_x000a_Data  de validade e produção estão de acordo,_x000a_Selagem está conforme"/>
    <s v="assinatura"/>
    <s v="assinatura"/>
    <n v="6007"/>
  </r>
  <r>
    <x v="8"/>
    <s v="6aa8cff304d1eda90fa51d49"/>
    <s v="14/09/2026 18:02:14"/>
    <s v="15/09/2026 01:56:19"/>
    <s v="Ranieli"/>
    <x v="33"/>
    <n v="2"/>
    <n v="7"/>
    <n v="7"/>
    <n v="7"/>
    <n v="5"/>
    <n v="13"/>
    <n v="22"/>
    <n v="87"/>
    <n v="78"/>
    <n v="7"/>
    <n v="7"/>
    <n v="7"/>
    <n v="7"/>
    <n v="7"/>
    <n v="7"/>
    <s v="Riscou o Sassami em X,_x000a_Retirou a Cartilagem"/>
    <n v="7"/>
    <n v="7"/>
    <n v="66"/>
    <n v="33"/>
    <n v="39"/>
    <n v="3"/>
    <n v="19.5"/>
    <n v="85"/>
    <n v="4"/>
    <n v="20"/>
    <n v="10"/>
    <n v="995638"/>
    <s v="Acomodação do produto está conforme especificação,_x000a_Caixa está sem rasgos e seca,_x000a_Data  de validade e produção estão de acordo,_x000a_Selagem está conforme"/>
    <s v="assinatura"/>
    <s v="assinatura"/>
    <n v="8320"/>
  </r>
  <r>
    <x v="8"/>
    <s v="6aa8cff204d1eda90fa51d19"/>
    <s v="14/09/2026 16:26:48"/>
    <s v="15/09/2026 01:56:18"/>
    <s v="Ranieli"/>
    <x v="33"/>
    <n v="2"/>
    <n v="7"/>
    <n v="7"/>
    <n v="7"/>
    <n v="5"/>
    <n v="6"/>
    <n v="30"/>
    <n v="94"/>
    <n v="70"/>
    <n v="7"/>
    <n v="7"/>
    <n v="7"/>
    <n v="7"/>
    <n v="7"/>
    <n v="10"/>
    <s v="Riscou o Sassami em X,_x000a_Usou o garfo na retirada de Sassami,_x000a_Retirou a Cartilagem"/>
    <s v=""/>
    <s v=""/>
    <s v=""/>
    <s v=""/>
    <n v="32"/>
    <n v="4"/>
    <n v="16"/>
    <n v="80"/>
    <n v="3"/>
    <n v="15"/>
    <n v="10"/>
    <n v="15105"/>
    <s v="Acomodação do produto está conforme especificação,_x000a_Caixa está sem rasgos e seca,_x000a_Data  de validade e produção estão de acordo,_x000a_Selagem está conforme"/>
    <s v="assinatura"/>
    <s v="assinatura"/>
    <n v="3757"/>
  </r>
  <r>
    <x v="8"/>
    <s v="6aaa20b7942fa544448aa0cf"/>
    <s v="15/09/2026 21:58:50"/>
    <s v="16/09/2026 01:53:11"/>
    <s v="Ranieli"/>
    <x v="34"/>
    <n v="2"/>
    <n v="7"/>
    <n v="7"/>
    <n v="7"/>
    <n v="5"/>
    <n v="8"/>
    <n v="27"/>
    <n v="92"/>
    <n v="73"/>
    <n v="5"/>
    <n v="5"/>
    <n v="7"/>
    <n v="7"/>
    <n v="7"/>
    <n v="7"/>
    <s v="Riscou o Sassami em X,_x000a_Usou o garfo na retirada de Sassami,_x000a_Retirou a Cartilagem"/>
    <n v="7"/>
    <n v="7"/>
    <n v="57"/>
    <n v="28.499999999999996"/>
    <n v="44"/>
    <n v="6"/>
    <n v="22"/>
    <n v="70"/>
    <n v="7"/>
    <n v="35"/>
    <n v="5"/>
    <n v="42820"/>
    <s v="Caixa está sem rasgos e seca,_x000a_Data  de validade e produção estão de acordo,_x000a_Selagem está conforme"/>
    <s v="assinatura"/>
    <s v="assinatura"/>
    <n v="4107"/>
  </r>
  <r>
    <x v="8"/>
    <s v="6aaa20b6942fa544448aa0ab"/>
    <s v="15/09/2026 18:25:24"/>
    <s v="16/09/2026 01:53:10"/>
    <s v="Ranieli"/>
    <x v="34"/>
    <n v="2"/>
    <n v="7"/>
    <n v="7"/>
    <n v="7"/>
    <n v="5"/>
    <n v="12"/>
    <n v="38"/>
    <n v="88"/>
    <n v="62"/>
    <n v="7"/>
    <n v="7"/>
    <n v="7"/>
    <n v="7"/>
    <n v="7"/>
    <n v="7"/>
    <s v="Riscou o Sassami em X,_x000a_Retirou a Cartilagem"/>
    <n v="10"/>
    <n v="7"/>
    <n v="54"/>
    <n v="27"/>
    <n v="40"/>
    <n v="4"/>
    <n v="20"/>
    <n v="80"/>
    <n v="4"/>
    <n v="20"/>
    <n v="10"/>
    <n v="995684"/>
    <s v="Acomodação do produto está conforme especificação,_x000a_Data  de validade e produção estão de acordo,_x000a_Selagem está conforme,_x000a_Caixa está sem rasgos e seca"/>
    <s v="assinatura"/>
    <s v="assinatura"/>
    <n v="5114"/>
  </r>
  <r>
    <x v="8"/>
    <s v="6aaa20b6942fa544448aa07b"/>
    <s v="15/09/2026 16:29:11"/>
    <s v="16/09/2026 01:53:10"/>
    <s v="Ranieli"/>
    <x v="34"/>
    <n v="2"/>
    <n v="7"/>
    <n v="7"/>
    <n v="7"/>
    <n v="5"/>
    <n v="10"/>
    <n v="33"/>
    <n v="90"/>
    <n v="67"/>
    <n v="7"/>
    <n v="7"/>
    <n v="7"/>
    <n v="7"/>
    <n v="7"/>
    <n v="7"/>
    <s v="Riscou o Sassami em X,_x000a_Usou o garfo na retirada de Sassami,_x000a_Retirou a Cartilagem"/>
    <n v="7"/>
    <n v="7"/>
    <n v="42"/>
    <n v="21"/>
    <n v="32"/>
    <n v="5"/>
    <n v="16"/>
    <n v="75"/>
    <n v="5"/>
    <n v="25"/>
    <n v="10"/>
    <n v="10105"/>
    <s v="Acomodação do produto está conforme especificação,_x000a_Caixa está sem rasgos e seca,_x000a_Data  de validade e produção estão de acordo,_x000a_Selagem está conforme"/>
    <s v="assinatura"/>
    <s v="assinatura"/>
    <n v="3150"/>
  </r>
  <r>
    <x v="8"/>
    <s v="6aaa20b5942fa544448aa061"/>
    <s v="02/09/2026 20:16:18"/>
    <s v="16/09/2026 01:53:09"/>
    <s v="Ranieli"/>
    <x v="28"/>
    <n v="2"/>
    <n v="7"/>
    <n v="7"/>
    <n v="7"/>
    <n v="5"/>
    <n v="16"/>
    <n v="30"/>
    <n v="84"/>
    <n v="70"/>
    <n v="7"/>
    <n v="7"/>
    <n v="7"/>
    <n v="7"/>
    <n v="7"/>
    <n v="5"/>
    <s v="Riscou o Sassami em X,_x000a_Usou o garfo na retirada de Sassami,_x000a_Retirou a Cartilagem"/>
    <n v="7"/>
    <n v="7"/>
    <n v="70"/>
    <n v="35"/>
    <n v="37"/>
    <n v="4"/>
    <n v="18.5"/>
    <n v="80"/>
    <n v="4"/>
    <n v="20"/>
    <n v="10"/>
    <n v="13188"/>
    <s v="Acomodação do produto está conforme especificação,_x000a_Caixa está sem rasgos e seca,_x000a_Data  de validade e produção estão de acordo,_x000a_Selagem está conforme"/>
    <s v="assinatura"/>
    <s v="assinatura"/>
    <n v="1141881"/>
  </r>
  <r>
    <x v="8"/>
    <s v="6aa97eeb067199cb1948129f"/>
    <s v="15/09/2026 08:47:14"/>
    <s v="15/09/2026 14:22:51"/>
    <s v="Alana"/>
    <x v="34"/>
    <n v="1"/>
    <n v="5"/>
    <n v="10"/>
    <n v="10"/>
    <n v="5"/>
    <n v="22"/>
    <n v="37"/>
    <n v="78"/>
    <n v="63"/>
    <n v="10"/>
    <n v="10"/>
    <n v="10"/>
    <n v="7"/>
    <n v="10"/>
    <n v="5"/>
    <m/>
    <n v="7"/>
    <m/>
    <n v="61.5"/>
    <n v="66"/>
    <n v="13"/>
    <n v="33"/>
    <n v="35"/>
    <m/>
    <n v="0"/>
    <m/>
    <m/>
    <m/>
    <m/>
    <m/>
    <m/>
    <m/>
  </r>
  <r>
    <x v="8"/>
    <s v="6aa40b8cc56867042ebeb72e"/>
    <s v="11/09/2026 08:39:45"/>
    <s v="11/09/2026 11:09:16"/>
    <s v="Alana"/>
    <x v="30"/>
    <n v="1"/>
    <n v="7"/>
    <n v="10"/>
    <n v="10"/>
    <n v="7"/>
    <n v="24"/>
    <n v="36"/>
    <n v="76"/>
    <n v="64"/>
    <n v="10"/>
    <n v="7"/>
    <n v="10"/>
    <n v="7"/>
    <n v="7"/>
    <n v="10"/>
    <m/>
    <n v="10"/>
    <m/>
    <n v="53.5"/>
    <n v="91"/>
    <n v="14"/>
    <n v="45.5"/>
    <n v="30"/>
    <m/>
    <n v="30"/>
    <m/>
    <m/>
    <m/>
    <m/>
    <m/>
    <m/>
    <m/>
  </r>
  <r>
    <x v="8"/>
    <s v="6aa301e31c0532de53581c0d"/>
    <s v="10/09/2026 08:35:46"/>
    <s v="10/09/2026 16:15:47"/>
    <s v="Alana"/>
    <x v="31"/>
    <n v="1"/>
    <n v="5"/>
    <n v="7"/>
    <n v="7"/>
    <n v="7"/>
    <n v="27"/>
    <n v="36"/>
    <n v="73"/>
    <n v="64"/>
    <n v="10"/>
    <n v="10"/>
    <n v="10"/>
    <n v="10"/>
    <n v="10"/>
    <n v="5"/>
    <m/>
    <n v="7"/>
    <m/>
    <n v="52.5"/>
    <n v="48"/>
    <n v="14"/>
    <n v="24"/>
    <n v="30"/>
    <m/>
    <n v="30"/>
    <m/>
    <m/>
    <m/>
    <m/>
    <m/>
    <m/>
    <m/>
  </r>
  <r>
    <x v="8"/>
    <s v="6aa1a56a52bf78b96be95309"/>
    <s v="09/09/2026 08:41:14"/>
    <s v="09/09/2026 15:28:58"/>
    <s v="Alana"/>
    <x v="32"/>
    <n v="1"/>
    <n v="5"/>
    <n v="10"/>
    <n v="7"/>
    <n v="5"/>
    <n v="17"/>
    <n v="28"/>
    <n v="83"/>
    <n v="72"/>
    <n v="5"/>
    <n v="7"/>
    <n v="10"/>
    <n v="7"/>
    <n v="10"/>
    <n v="5"/>
    <m/>
    <n v="7"/>
    <m/>
    <n v="73.5"/>
    <n v="68"/>
    <n v="10"/>
    <n v="34"/>
    <n v="50"/>
    <m/>
    <n v="0"/>
    <m/>
    <m/>
    <m/>
    <m/>
    <m/>
    <m/>
    <m/>
  </r>
  <r>
    <x v="8"/>
    <s v="6aab7374dbc8f9ae695173c4"/>
    <s v="17/09/2026 00:18:10"/>
    <s v="17/09/2026 01:58:28"/>
    <s v="Ranieli"/>
    <x v="35"/>
    <n v="2"/>
    <n v="7"/>
    <n v="7"/>
    <n v="7"/>
    <n v="5"/>
    <n v="19"/>
    <n v="33"/>
    <n v="81"/>
    <n v="67"/>
    <n v="7"/>
    <n v="7"/>
    <n v="7"/>
    <n v="7"/>
    <n v="7"/>
    <n v="7"/>
    <s v="Riscou o Sassami em X,_x000a_Retirou a Cartilagem"/>
    <n v="10"/>
    <n v="10"/>
    <n v="42"/>
    <n v="21"/>
    <n v="35"/>
    <n v="4"/>
    <n v="17.5"/>
    <n v="80"/>
    <n v="8"/>
    <n v="40"/>
    <n v="7"/>
    <n v="40762"/>
    <s v="Caixa está sem rasgos e seca,_x000a_Data  de validade e produção estão de acordo,_x000a_Selagem está conforme"/>
    <s v="assinatura"/>
    <s v="assinatura"/>
    <n v="2134"/>
  </r>
  <r>
    <x v="8"/>
    <s v="6aab7373dbc8f9ae6951739e"/>
    <s v="16/09/2026 21:44:27"/>
    <s v="17/09/2026 01:58:27"/>
    <s v="Ranieli"/>
    <x v="35"/>
    <n v="2"/>
    <n v="7"/>
    <n v="7"/>
    <n v="7"/>
    <n v="5"/>
    <n v="15"/>
    <n v="29"/>
    <n v="85"/>
    <n v="71"/>
    <n v="7"/>
    <n v="7"/>
    <n v="7"/>
    <n v="7"/>
    <n v="7"/>
    <s v=""/>
    <s v="Riscou o Sassami em X,_x000a_Retirou a Cartilagem"/>
    <n v="10"/>
    <n v="7"/>
    <n v="31"/>
    <n v="15.5"/>
    <n v="44"/>
    <n v="3"/>
    <n v="22"/>
    <n v="85"/>
    <n v="6"/>
    <n v="30"/>
    <n v="10"/>
    <n v="792799"/>
    <s v="Acomodação do produto está conforme especificação,_x000a_Caixa está sem rasgos e seca,_x000a_Data  de validade e produção estão de acordo,_x000a_Selagem está conforme"/>
    <s v="assinatura"/>
    <s v="assinatura"/>
    <n v="4833"/>
  </r>
  <r>
    <x v="8"/>
    <s v="6aab7373dbc8f9ae69517398"/>
    <s v="16/09/2026 21:01:37"/>
    <s v="17/09/2026 01:58:27"/>
    <s v="Ranieli"/>
    <x v="35"/>
    <n v="2"/>
    <n v="7"/>
    <n v="7"/>
    <n v="7"/>
    <n v="5"/>
    <n v="17"/>
    <n v="31"/>
    <n v="83"/>
    <n v="69"/>
    <n v="5"/>
    <n v="7"/>
    <n v="7"/>
    <n v="7"/>
    <n v="7"/>
    <n v="7"/>
    <s v="Riscou o Sassami em X,_x000a_Retirou a Cartilagem"/>
    <n v="10"/>
    <n v="10"/>
    <n v="65"/>
    <n v="32.5"/>
    <n v="36"/>
    <n v="5"/>
    <n v="18"/>
    <n v="75"/>
    <n v="11"/>
    <n v="55.000000000000007"/>
    <n v="7"/>
    <n v="42862"/>
    <s v="Caixa está sem rasgos e seca,_x000a_Data  de validade e produção estão de acordo,_x000a_Selagem está conforme"/>
    <s v="assinatura"/>
    <s v="assinatura"/>
    <n v="2560"/>
  </r>
  <r>
    <x v="8"/>
    <s v="6aab7372dbc8f9ae6951734a"/>
    <s v="16/09/2026 16:15:24"/>
    <s v="17/09/2026 01:58:26"/>
    <s v="Ranieli"/>
    <x v="35"/>
    <n v="2"/>
    <n v="7"/>
    <n v="7"/>
    <n v="7"/>
    <n v="5"/>
    <n v="15"/>
    <n v="31"/>
    <n v="85"/>
    <n v="69"/>
    <n v="7"/>
    <n v="7"/>
    <n v="7"/>
    <n v="7"/>
    <n v="10"/>
    <s v=""/>
    <s v="Riscou o Sassami em X,_x000a_Usou o garfo na retirada de Sassami,_x000a_Retirou a Cartilagem"/>
    <n v="7"/>
    <n v="7"/>
    <n v="60"/>
    <n v="30"/>
    <n v="32"/>
    <n v="4"/>
    <n v="16"/>
    <n v="80"/>
    <n v="6"/>
    <n v="30"/>
    <n v="10"/>
    <n v="15105"/>
    <s v="Acomodação do produto está conforme especificação,_x000a_Caixa está sem rasgos e seca,_x000a_Data  de validade e produção estão de acordo,_x000a_Selagem está conforme"/>
    <s v="assinatura"/>
    <s v="assinatura"/>
    <n v="5054"/>
  </r>
  <r>
    <x v="8"/>
    <s v="6aaa20b7942fa544448aa0cf"/>
    <s v="15/09/2026 21:58:50"/>
    <s v="16/09/2026 01:53:11"/>
    <s v="Ranieli"/>
    <x v="34"/>
    <n v="2"/>
    <n v="7"/>
    <n v="7"/>
    <n v="7"/>
    <n v="5"/>
    <n v="8"/>
    <n v="27"/>
    <n v="92"/>
    <n v="73"/>
    <n v="5"/>
    <n v="5"/>
    <n v="7"/>
    <n v="7"/>
    <n v="7"/>
    <n v="7"/>
    <s v="Riscou o Sassami em X,_x000a_Usou o garfo na retirada de Sassami,_x000a_Retirou a Cartilagem"/>
    <n v="7"/>
    <n v="7"/>
    <n v="57"/>
    <n v="28.499999999999996"/>
    <n v="44"/>
    <n v="6"/>
    <n v="22"/>
    <n v="70"/>
    <n v="7"/>
    <n v="35"/>
    <n v="5"/>
    <n v="42820"/>
    <s v="Caixa está sem rasgos e seca,_x000a_Data  de validade e produção estão de acordo,_x000a_Selagem está conforme"/>
    <s v="assinatura"/>
    <s v="assinatura"/>
    <n v="4107"/>
  </r>
  <r>
    <x v="8"/>
    <s v="6aaa20b6942fa544448aa0ab"/>
    <s v="15/09/2026 18:25:24"/>
    <s v="16/09/2026 01:53:10"/>
    <s v="Ranieli"/>
    <x v="34"/>
    <n v="2"/>
    <n v="7"/>
    <n v="7"/>
    <n v="7"/>
    <n v="5"/>
    <n v="12"/>
    <n v="380"/>
    <n v="88"/>
    <n v="-280"/>
    <n v="7"/>
    <n v="7"/>
    <n v="7"/>
    <n v="7"/>
    <n v="7"/>
    <n v="7"/>
    <s v="Riscou o Sassami em X,_x000a_Retirou a Cartilagem"/>
    <n v="10"/>
    <n v="7"/>
    <n v="54"/>
    <n v="27"/>
    <n v="40"/>
    <n v="4"/>
    <n v="20"/>
    <n v="80"/>
    <n v="4"/>
    <n v="20"/>
    <n v="10"/>
    <n v="995684"/>
    <s v="Acomodação do produto está conforme especificação,_x000a_Data  de validade e produção estão de acordo,_x000a_Selagem está conforme,_x000a_Caixa está sem rasgos e seca"/>
    <s v="assinatura"/>
    <s v="assinatura"/>
    <n v="5114"/>
  </r>
  <r>
    <x v="8"/>
    <s v="6aaa20b6942fa544448aa07b"/>
    <s v="15/09/2026 16:29:11"/>
    <s v="16/09/2026 01:53:10"/>
    <s v="Ranieli"/>
    <x v="34"/>
    <n v="2"/>
    <n v="7"/>
    <n v="7"/>
    <n v="7"/>
    <n v="5"/>
    <n v="10"/>
    <n v="33"/>
    <n v="90"/>
    <n v="67"/>
    <n v="7"/>
    <n v="7"/>
    <n v="7"/>
    <n v="7"/>
    <n v="7"/>
    <n v="7"/>
    <s v="Riscou o Sassami em X,_x000a_Usou o garfo na retirada de Sassami,_x000a_Retirou a Cartilagem"/>
    <n v="7"/>
    <n v="7"/>
    <n v="42"/>
    <n v="21"/>
    <n v="32"/>
    <n v="5"/>
    <n v="16"/>
    <n v="75"/>
    <n v="5"/>
    <n v="25"/>
    <n v="10"/>
    <n v="10105"/>
    <s v="Acomodação do produto está conforme especificação,_x000a_Caixa está sem rasgos e seca,_x000a_Data  de validade e produção estão de acordo,_x000a_Selagem está conforme"/>
    <s v="assinatura"/>
    <s v="assinatura"/>
    <n v="3150"/>
  </r>
  <r>
    <x v="8"/>
    <s v="6aaa20b5942fa544448aa061"/>
    <s v="02/09/2026 20:16:18"/>
    <s v="16/09/2026 01:53:09"/>
    <s v="Ranieli"/>
    <x v="28"/>
    <n v="2"/>
    <n v="7"/>
    <n v="7"/>
    <n v="7"/>
    <n v="5"/>
    <n v="16"/>
    <n v="30"/>
    <n v="84"/>
    <n v="70"/>
    <n v="7"/>
    <n v="7"/>
    <n v="7"/>
    <n v="7"/>
    <n v="7"/>
    <n v="5"/>
    <s v="Riscou o Sassami em X,_x000a_Usou o garfo na retirada de Sassami,_x000a_Retirou a Cartilagem"/>
    <n v="7"/>
    <n v="7"/>
    <n v="70"/>
    <n v="35"/>
    <n v="37"/>
    <n v="4"/>
    <n v="18.5"/>
    <n v="80"/>
    <n v="4"/>
    <n v="20"/>
    <n v="10"/>
    <n v="13188"/>
    <s v="Acomodação do produto está conforme especificação,_x000a_Caixa está sem rasgos e seca,_x000a_Data  de validade e produção estão de acordo,_x000a_Selagem está conforme"/>
    <s v="assinatura"/>
    <s v="assinatura"/>
    <n v="1141881"/>
  </r>
  <r>
    <x v="8"/>
    <s v="6aae15e403d0d5807444bcc4"/>
    <s v="18/09/2026 22:56:24"/>
    <s v="19/09/2026 01:56:04"/>
    <s v="Ranieli"/>
    <x v="36"/>
    <n v="2"/>
    <n v="7"/>
    <n v="7"/>
    <n v="7"/>
    <n v="7"/>
    <n v="18"/>
    <n v="30"/>
    <n v="82"/>
    <n v="70"/>
    <n v="7"/>
    <n v="7"/>
    <n v="7"/>
    <n v="7"/>
    <n v="7"/>
    <n v="5"/>
    <s v="Riscou o Sassami em X,_x000a_Usou o garfo na retirada de Sassami,_x000a_Retirou a Cartilagem"/>
    <s v=""/>
    <s v=""/>
    <n v="45"/>
    <n v="22.5"/>
    <n v="45"/>
    <n v="4"/>
    <n v="22.5"/>
    <n v="80"/>
    <n v="5"/>
    <n v="25"/>
    <n v="10"/>
    <n v="992093"/>
    <s v="Acomodação do produto está conforme especificação,_x000a_Caixa está sem rasgos e seca,_x000a_Data  de validade e produção estão de acordo,_x000a_Selagem está conforme"/>
    <s v="assinatura"/>
    <s v="assinatura"/>
    <n v="2739"/>
  </r>
  <r>
    <x v="8"/>
    <s v="6aae15e403d0d5807444bcbe"/>
    <s v="18/09/2026 21:23:23"/>
    <s v="19/09/2026 01:56:04"/>
    <s v="Ranieli"/>
    <x v="36"/>
    <n v="2"/>
    <n v="7"/>
    <n v="7"/>
    <n v="7"/>
    <n v="5"/>
    <n v="11"/>
    <n v="31"/>
    <n v="89"/>
    <n v="69"/>
    <n v="7"/>
    <n v="7"/>
    <n v="7"/>
    <n v="7"/>
    <n v="7"/>
    <n v="7"/>
    <s v="Riscou o Sassami em X,_x000a_Usou o garfo na retirada de Sassami,_x000a_Retirou a Cartilagem"/>
    <n v="10"/>
    <n v="10"/>
    <n v="47"/>
    <n v="23.5"/>
    <n v="31"/>
    <n v="5"/>
    <n v="15.5"/>
    <n v="75"/>
    <n v="11"/>
    <n v="55.000000000000007"/>
    <n v="7"/>
    <n v="42846"/>
    <s v="Caixa está sem rasgos e seca,_x000a_Data  de validade e produção estão de acordo,_x000a_Selagem está conforme"/>
    <s v="assinatura"/>
    <s v="assinatura"/>
    <n v="4017"/>
  </r>
  <r>
    <x v="8"/>
    <s v="6aae15e303d0d5807444bc6e"/>
    <s v="18/09/2026 17:51:51"/>
    <s v="19/09/2026 01:56:03"/>
    <s v="Ranieli"/>
    <x v="36"/>
    <n v="2"/>
    <n v="7"/>
    <n v="7"/>
    <n v="7"/>
    <n v="5"/>
    <n v="15"/>
    <n v="29"/>
    <n v="85"/>
    <n v="71"/>
    <n v="7"/>
    <n v="7"/>
    <n v="7"/>
    <n v="7"/>
    <n v="7"/>
    <n v="7"/>
    <s v="Riscou o Sassami em X,_x000a_Usou o garfo na retirada de Sassami,_x000a_Retirou a Cartilagem"/>
    <s v=""/>
    <s v=""/>
    <n v="50"/>
    <n v="25"/>
    <n v="41"/>
    <n v="5"/>
    <n v="20.5"/>
    <n v="75"/>
    <n v="6"/>
    <n v="30"/>
    <n v="10"/>
    <n v="13188"/>
    <s v="Acomodação do produto está conforme especificação,_x000a_Data  de validade e produção estão de acordo,_x000a_Selagem está conforme,_x000a_Caixa está sem rasgos e seca"/>
    <s v="assinatura"/>
    <s v="assinatura"/>
    <n v="3592"/>
  </r>
  <r>
    <x v="8"/>
    <s v="6aae15e303d0d5807444bc68"/>
    <s v="18/09/2026 16:56:05"/>
    <s v="19/09/2026 01:56:03"/>
    <s v="Ranieli"/>
    <x v="36"/>
    <n v="2"/>
    <n v="7"/>
    <n v="7"/>
    <n v="7"/>
    <n v="5"/>
    <n v="11"/>
    <n v="31"/>
    <n v="89"/>
    <n v="69"/>
    <n v="7"/>
    <n v="7"/>
    <n v="7"/>
    <n v="7"/>
    <n v="7"/>
    <s v=""/>
    <s v="Riscou o Sassami em X,_x000a_Usou o garfo na retirada de Sassami,_x000a_Retirou a Cartilagem"/>
    <n v="10"/>
    <n v="10"/>
    <n v="52"/>
    <n v="26"/>
    <n v="34"/>
    <n v="4"/>
    <n v="17"/>
    <n v="80"/>
    <n v="8"/>
    <n v="40"/>
    <n v="10"/>
    <n v="15105"/>
    <s v="Caixa está sem rasgos e seca,_x000a_Acomodação do produto está conforme especificação,_x000a_Data  de validade e produção estão de acordo,_x000a_Selagem está conforme"/>
    <s v="assinatura"/>
    <s v="assinatura"/>
    <n v="2783"/>
  </r>
  <r>
    <x v="8"/>
    <s v="6aacc411a0b92a3a6b29cc25"/>
    <s v="18/09/2026 00:15:06"/>
    <s v="18/09/2026 01:54:41"/>
    <s v="Ranieli"/>
    <x v="37"/>
    <n v="2"/>
    <n v="7"/>
    <n v="7"/>
    <n v="7"/>
    <n v="5"/>
    <n v="30"/>
    <n v="33"/>
    <n v="70"/>
    <n v="67"/>
    <n v="7"/>
    <n v="5"/>
    <n v="7"/>
    <n v="7"/>
    <n v="7"/>
    <n v="5"/>
    <s v="Riscou o Sassami em X,_x000a_Usou o garfo na retirada de Sassami,_x000a_Retirou a Cartilagem"/>
    <n v="10"/>
    <n v="10"/>
    <n v="70"/>
    <n v="35"/>
    <n v="38"/>
    <n v="6"/>
    <n v="19"/>
    <n v="70"/>
    <n v="5"/>
    <n v="25"/>
    <n v="5"/>
    <n v="40762"/>
    <s v="Caixa está sem rasgos e seca,_x000a_Data  de validade e produção estão de acordo,_x000a_Selagem está conforme"/>
    <s v="assinatura"/>
    <s v="assinatura"/>
    <n v="2442"/>
  </r>
  <r>
    <x v="8"/>
    <s v="6aacc411a0b92a3a6b29cbf5"/>
    <s v="17/09/2026 22:21:56"/>
    <s v="18/09/2026 01:54:41"/>
    <s v="Ranieli"/>
    <x v="37"/>
    <n v="2"/>
    <n v="7"/>
    <n v="7"/>
    <n v="7"/>
    <n v="5"/>
    <n v="28"/>
    <n v="32"/>
    <n v="72"/>
    <n v="68"/>
    <n v="7"/>
    <n v="7"/>
    <n v="7"/>
    <n v="7"/>
    <n v="7"/>
    <n v="5"/>
    <s v="Riscou o Sassami em X,_x000a_Usou o garfo na retirada de Sassami,_x000a_Retirou a Cartilagem"/>
    <s v=""/>
    <s v=""/>
    <n v="46"/>
    <n v="23"/>
    <n v="42"/>
    <n v="4"/>
    <n v="21"/>
    <n v="80"/>
    <n v="8"/>
    <n v="40"/>
    <n v="7"/>
    <n v="792799"/>
    <s v="Caixa está sem rasgos e seca,_x000a_Data  de validade e produção estão de acordo,_x000a_Selagem está conforme"/>
    <s v="assinatura"/>
    <s v="assinatura"/>
    <n v="5010"/>
  </r>
  <r>
    <x v="8"/>
    <s v="6aacc410a0b92a3a6b29cbef"/>
    <s v="17/09/2026 20:30:25"/>
    <s v="18/09/2026 01:54:40"/>
    <s v="Ranieli"/>
    <x v="37"/>
    <n v="2"/>
    <n v="7"/>
    <n v="7"/>
    <n v="7"/>
    <n v="5"/>
    <n v="33"/>
    <n v="25"/>
    <n v="67"/>
    <n v="75"/>
    <n v="7"/>
    <n v="7"/>
    <n v="7"/>
    <n v="7"/>
    <n v="7"/>
    <n v="5"/>
    <s v="Riscou o Sassami em X,_x000a_Usou o garfo na retirada de Sassami,_x000a_Retirou a Cartilagem"/>
    <n v="10"/>
    <n v="10"/>
    <n v="41"/>
    <n v="20.5"/>
    <n v="41"/>
    <n v="5"/>
    <n v="20.5"/>
    <n v="75"/>
    <n v="5"/>
    <n v="25"/>
    <n v="5"/>
    <n v="42846"/>
    <s v="Caixa está sem rasgos e seca,_x000a_Data  de validade e produção estão de acordo,_x000a_Selagem está conforme"/>
    <s v="assinatura"/>
    <s v="assinatura"/>
    <n v="6688"/>
  </r>
  <r>
    <x v="8"/>
    <s v="6aacc410a0b92a3a6b29cba7"/>
    <s v="17/09/2026 16:14:07"/>
    <s v="18/09/2026 01:54:40"/>
    <s v="Ranieli"/>
    <x v="37"/>
    <n v="2"/>
    <n v="7"/>
    <n v="10"/>
    <n v="7"/>
    <n v="7"/>
    <n v="17"/>
    <n v="30"/>
    <n v="83"/>
    <n v="70"/>
    <n v="7"/>
    <n v="7"/>
    <n v="7"/>
    <n v="7"/>
    <n v="7"/>
    <n v="7"/>
    <s v="Riscou o Sassami em X,_x000a_Usou o garfo na retirada de Sassami,_x000a_Retirou a Cartilagem"/>
    <n v="7"/>
    <n v="10"/>
    <n v="59"/>
    <n v="29.5"/>
    <n v="33"/>
    <n v="4"/>
    <n v="16.5"/>
    <n v="80"/>
    <n v="10"/>
    <n v="50"/>
    <n v="10"/>
    <n v="15105"/>
    <s v="Acomodação do produto está conforme especificação,_x000a_Caixa está sem rasgos e seca,_x000a_Data  de validade e produção estão de acordo,_x000a_Selagem está conforme"/>
    <s v="assinatura"/>
    <s v="assinatura"/>
    <n v="3341"/>
  </r>
  <r>
    <x v="8"/>
    <s v="6ab20c3388ce3e06cc4940be"/>
    <s v="21/09/2026 23:17:07"/>
    <s v="22/09/2026 02:03:47"/>
    <s v="Ranieli"/>
    <x v="38"/>
    <n v="2"/>
    <n v="7"/>
    <n v="7"/>
    <n v="7"/>
    <n v="5"/>
    <n v="28"/>
    <n v="51"/>
    <n v="72"/>
    <n v="49"/>
    <n v="7"/>
    <n v="7"/>
    <n v="7"/>
    <n v="7"/>
    <n v="7"/>
    <n v="5"/>
    <s v="Riscou o Sassami em X,_x000a_Retirou a Cartilagem"/>
    <s v=""/>
    <s v=""/>
    <n v="47"/>
    <n v="23.5"/>
    <n v="41"/>
    <n v="4"/>
    <n v="20.5"/>
    <n v="80"/>
    <n v="7"/>
    <n v="35"/>
    <n v="7"/>
    <n v="40762"/>
    <s v="Caixa está sem rasgos e seca,_x000a_Data  de validade e produção estão de acordo,_x000a_Selagem está conforme"/>
    <s v="assinatura"/>
    <s v="assinatura"/>
    <n v="5707"/>
  </r>
  <r>
    <x v="8"/>
    <s v="6ab20c3288ce3e06cc494082"/>
    <s v="21/09/2026 20:32:03"/>
    <s v="22/09/2026 02:03:46"/>
    <s v="Ranieli"/>
    <x v="38"/>
    <n v="2"/>
    <n v="7"/>
    <n v="7"/>
    <n v="7"/>
    <n v="7"/>
    <n v="35"/>
    <n v="41"/>
    <n v="65"/>
    <n v="59"/>
    <n v="7"/>
    <n v="7"/>
    <n v="7"/>
    <n v="7"/>
    <n v="7"/>
    <n v="5"/>
    <s v="Riscou o Sassami em X,_x000a_Retirou a Cartilagem"/>
    <n v="10"/>
    <n v="10"/>
    <n v="50"/>
    <n v="25"/>
    <n v="35"/>
    <n v="8"/>
    <n v="17.5"/>
    <n v="60"/>
    <n v="8"/>
    <n v="40"/>
    <n v="10"/>
    <n v="15105"/>
    <s v="Acomodação do produto está conforme especificação,_x000a_Caixa está sem rasgos e seca,_x000a_Data  de validade e produção estão de acordo,_x000a_Selagem está conforme"/>
    <s v="assinatura"/>
    <s v="assinatura"/>
    <n v="3358"/>
  </r>
  <r>
    <x v="8"/>
    <s v="6ab20c3288ce3e06cc49407c"/>
    <s v="21/09/2026 18:04:37"/>
    <s v="22/09/2026 02:03:46"/>
    <s v="Ranieli"/>
    <x v="38"/>
    <n v="2"/>
    <n v="7"/>
    <n v="7"/>
    <n v="7"/>
    <n v="5"/>
    <n v="30"/>
    <n v="22"/>
    <n v="70"/>
    <n v="78"/>
    <n v="7"/>
    <n v="7"/>
    <n v="7"/>
    <n v="7"/>
    <n v="7"/>
    <n v="7"/>
    <s v="Riscou o Sassami em X,_x000a_Retirou a Cartilagem"/>
    <s v=""/>
    <s v=""/>
    <n v="58"/>
    <n v="28.999999999999996"/>
    <n v="34"/>
    <n v="9"/>
    <n v="17"/>
    <n v="55"/>
    <n v="6"/>
    <n v="30"/>
    <n v="7"/>
    <n v="42854"/>
    <s v="Caixa está sem rasgos e seca,_x000a_Data  de validade e produção estão de acordo,_x000a_Selagem está conforme"/>
    <s v="assinatura"/>
    <s v="assinatura"/>
    <n v="4382"/>
  </r>
  <r>
    <x v="8"/>
    <s v="6ab20c3188ce3e06cc494050"/>
    <s v="21/09/2026 16:21:50"/>
    <s v="22/09/2026 02:03:45"/>
    <s v="Ranieli"/>
    <x v="38"/>
    <n v="2"/>
    <n v="7"/>
    <n v="7"/>
    <n v="7"/>
    <n v="5"/>
    <n v="38"/>
    <n v="54"/>
    <n v="62"/>
    <n v="46"/>
    <n v="7"/>
    <n v="7"/>
    <n v="7"/>
    <n v="7"/>
    <n v="7"/>
    <n v="7"/>
    <s v="Riscou o Sassami em X,_x000a_Usou o garfo na retirada de Sassami,_x000a_Retirou a Cartilagem"/>
    <n v="7"/>
    <n v="10"/>
    <n v="37"/>
    <n v="18.5"/>
    <n v="31"/>
    <n v="8"/>
    <n v="15.5"/>
    <n v="60"/>
    <n v="8"/>
    <n v="40"/>
    <n v="10"/>
    <n v="220359"/>
    <s v="Acomodação do produto está conforme especificação,_x000a_Caixa está sem rasgos e seca,_x000a_Data  de validade e produção estão de acordo,_x000a_Selagem está conforme"/>
    <s v="assinatura"/>
    <s v="assinatura"/>
    <n v="3127"/>
  </r>
  <r>
    <x v="8"/>
    <s v="6ab35bcaa4adeea581715e48"/>
    <s v="22/09/2026 23:22:32"/>
    <s v="23/09/2026 01:55:38"/>
    <s v="Ranieli"/>
    <x v="39"/>
    <n v="2"/>
    <n v="7"/>
    <n v="7"/>
    <n v="7"/>
    <n v="5"/>
    <n v="19"/>
    <n v="29"/>
    <n v="81"/>
    <n v="71"/>
    <n v="5"/>
    <n v="7"/>
    <n v="7"/>
    <n v="7"/>
    <n v="7"/>
    <n v="5"/>
    <s v="Riscou o Sassami em X,_x000a_Retirou a Cartilagem"/>
    <n v="7"/>
    <n v="7"/>
    <n v="65"/>
    <n v="32.5"/>
    <n v="48"/>
    <n v="3"/>
    <n v="24"/>
    <n v="85"/>
    <n v="5"/>
    <n v="25"/>
    <n v="10"/>
    <s v="13188‐"/>
    <s v="Acomodação do produto está conforme especificação,_x000a_Caixa está sem rasgos e seca,_x000a_Data  de validade e produção estão de acordo,_x000a_Selagem está conforme"/>
    <s v="assinatura"/>
    <s v="assinatura"/>
    <n v="5908"/>
  </r>
  <r>
    <x v="8"/>
    <s v="6ab35bc9a4adeea581715e10"/>
    <s v="22/09/2026 21:28:02"/>
    <s v="23/09/2026 01:55:37"/>
    <s v="Ranieli"/>
    <x v="39"/>
    <n v="2"/>
    <n v="7"/>
    <n v="7"/>
    <n v="7"/>
    <n v="5"/>
    <n v="21"/>
    <n v="27"/>
    <n v="79"/>
    <n v="73"/>
    <n v="7"/>
    <n v="7"/>
    <n v="7"/>
    <n v="7"/>
    <n v="7"/>
    <n v="5"/>
    <s v="Riscou o Sassami em X,_x000a_Usou o garfo na retirada de Sassami,_x000a_Retirou a Cartilagem"/>
    <n v="10"/>
    <n v="10"/>
    <n v="59"/>
    <n v="29.5"/>
    <n v="42"/>
    <n v="7"/>
    <n v="21"/>
    <n v="65"/>
    <n v="10"/>
    <n v="50"/>
    <n v="5"/>
    <n v="42862"/>
    <s v="Caixa está sem rasgos e seca,_x000a_Data  de validade e produção estão de acordo,_x000a_Selagem está conforme"/>
    <s v="assinatura"/>
    <s v="assinatura"/>
    <n v="3322"/>
  </r>
  <r>
    <x v="8"/>
    <s v="6ab35bc9a4adeea581715df2"/>
    <s v="22/09/2026 18:09:51"/>
    <s v="23/09/2026 01:55:37"/>
    <s v="Ranieli"/>
    <x v="39"/>
    <n v="2"/>
    <n v="7"/>
    <n v="7"/>
    <n v="7"/>
    <n v="5"/>
    <n v="21"/>
    <n v="52"/>
    <n v="79"/>
    <n v="48"/>
    <n v="7"/>
    <n v="7"/>
    <n v="7"/>
    <n v="7"/>
    <n v="7"/>
    <s v=""/>
    <s v="Riscou o Sassami em X,_x000a_Usou o garfo na retirada de Sassami,_x000a_Retirou a Cartilagem"/>
    <s v=""/>
    <s v=""/>
    <n v="46"/>
    <n v="23"/>
    <n v="36"/>
    <n v="5"/>
    <n v="18"/>
    <n v="75"/>
    <n v="5"/>
    <n v="25"/>
    <n v="10"/>
    <n v="15105"/>
    <s v="Acomodação do produto está conforme especificação,_x000a_Caixa está sem rasgos e seca,_x000a_Data  de validade e produção estão de acordo,_x000a_Selagem está conforme"/>
    <s v="assinatura"/>
    <s v="assinatura"/>
    <n v="4032"/>
  </r>
  <r>
    <x v="8"/>
    <s v="6ab35bc8a4adeea581715dc2"/>
    <s v="22/09/2026 16:41:52"/>
    <s v="23/09/2026 01:55:36"/>
    <s v="Ranieli"/>
    <x v="39"/>
    <n v="2"/>
    <n v="7"/>
    <n v="7"/>
    <n v="7"/>
    <n v="5"/>
    <n v="17"/>
    <n v="50"/>
    <n v="83"/>
    <n v="50"/>
    <n v="7"/>
    <n v="7"/>
    <n v="7"/>
    <n v="7"/>
    <n v="7"/>
    <n v="7"/>
    <s v="Riscou o Sassami em X,_x000a_Usou o garfo na retirada de Sassami,_x000a_Retirou a Cartilagem"/>
    <s v=""/>
    <s v=""/>
    <s v=""/>
    <s v=""/>
    <n v="44"/>
    <n v="3"/>
    <n v="22"/>
    <n v="85"/>
    <n v="7"/>
    <n v="35"/>
    <n v="10"/>
    <n v="995638"/>
    <s v="Acomodação do produto está conforme especificação,_x000a_Caixa está sem rasgos e seca,_x000a_Data  de validade e produção estão de acordo,_x000a_Selagem está conforme"/>
    <s v="assinatura"/>
    <s v="assinatura"/>
    <n v="2478"/>
  </r>
  <r>
    <x v="8"/>
    <s v="6ab4adae3a9c92219c3dfab7"/>
    <s v="23/09/2026 22:57:14"/>
    <s v="24/09/2026 01:57:18"/>
    <s v="Ranieli"/>
    <x v="40"/>
    <n v="2"/>
    <n v="7"/>
    <n v="7"/>
    <n v="7"/>
    <n v="7"/>
    <n v="38"/>
    <n v="17"/>
    <n v="62"/>
    <n v="83"/>
    <n v="7"/>
    <n v="7"/>
    <n v="7"/>
    <n v="7"/>
    <n v="7"/>
    <n v="5"/>
    <s v="Riscou o Sassami em X,_x000a_Usou o garfo na retirada de Sassami,_x000a_Retirou a Cartilagem"/>
    <n v="7"/>
    <n v="7"/>
    <n v="54"/>
    <n v="27"/>
    <n v="44"/>
    <n v="3"/>
    <n v="22"/>
    <n v="85"/>
    <n v="3"/>
    <n v="15"/>
    <n v="7"/>
    <n v="42762"/>
    <s v="Caixa está sem rasgos e seca,_x000a_Data  de validade e produção estão de acordo,_x000a_Selagem está conforme"/>
    <s v="assinatura"/>
    <s v="assinatura"/>
    <n v="3844"/>
  </r>
  <r>
    <x v="8"/>
    <s v="6ab4adad3a9c92219c3dfa6d"/>
    <s v="23/09/2026 21:19:35"/>
    <s v="24/09/2026 01:57:17"/>
    <s v="Ranieli"/>
    <x v="40"/>
    <n v="2"/>
    <n v="7"/>
    <n v="7"/>
    <n v="7"/>
    <n v="5"/>
    <n v="25"/>
    <n v="28"/>
    <n v="75"/>
    <n v="72"/>
    <n v="7"/>
    <n v="7"/>
    <n v="7"/>
    <n v="7"/>
    <n v="7"/>
    <n v="5"/>
    <s v="Riscou o Sassami em X,_x000a_Usou o garfo na retirada de Sassami,_x000a_Retirou a Cartilagem"/>
    <s v=""/>
    <s v=""/>
    <n v="69"/>
    <n v="34.5"/>
    <n v="42"/>
    <n v="7"/>
    <n v="21"/>
    <n v="65"/>
    <n v="6"/>
    <n v="30"/>
    <n v="7"/>
    <n v="42846"/>
    <s v="Caixa está sem rasgos e seca,_x000a_Data  de validade e produção estão de acordo,_x000a_Selagem está conforme"/>
    <s v="assinatura"/>
    <s v="assinatura"/>
    <n v="2053"/>
  </r>
  <r>
    <x v="8"/>
    <s v="6ab4adad3a9c92219c3dfa61"/>
    <s v="23/09/2026 17:54:34"/>
    <s v="24/09/2026 01:57:17"/>
    <s v="Ranieli"/>
    <x v="40"/>
    <n v="2"/>
    <n v="7"/>
    <n v="7"/>
    <n v="7"/>
    <n v="5"/>
    <n v="17"/>
    <n v="39"/>
    <n v="83"/>
    <n v="61"/>
    <n v="7"/>
    <n v="7"/>
    <n v="7"/>
    <n v="7"/>
    <n v="7"/>
    <n v="7"/>
    <s v="Riscou o Sassami em X,_x000a_Usou o garfo na retirada de Sassami,_x000a_Retirou a Cartilagem"/>
    <n v="7"/>
    <n v="10"/>
    <n v="53"/>
    <n v="26.5"/>
    <n v="33"/>
    <n v="5"/>
    <n v="16.5"/>
    <n v="75"/>
    <n v="6"/>
    <n v="30"/>
    <n v="10"/>
    <n v="15105"/>
    <s v="Acomodação do produto está conforme especificação,_x000a_Caixa está sem rasgos e seca,_x000a_Data  de validade e produção estão de acordo,_x000a_Selagem está conforme"/>
    <s v="assinatura"/>
    <s v="assinatura"/>
    <n v="4578"/>
  </r>
  <r>
    <x v="8"/>
    <s v="6ab4adac3a9c92219c3dfa49"/>
    <s v="23/09/2026 16:19:32"/>
    <s v="24/09/2026 01:57:16"/>
    <s v="Ranieli"/>
    <x v="40"/>
    <n v="2"/>
    <n v="7"/>
    <n v="7"/>
    <n v="7"/>
    <n v="5"/>
    <n v="27"/>
    <n v="16"/>
    <n v="73"/>
    <n v="84"/>
    <n v="7"/>
    <n v="7"/>
    <n v="7"/>
    <n v="7"/>
    <n v="7"/>
    <n v="7"/>
    <s v="Riscou o Sassami em X,_x000a_Usou o garfo na retirada de Sassami,_x000a_Retirou a Cartilagem"/>
    <s v=""/>
    <s v=""/>
    <s v=""/>
    <s v=""/>
    <n v="34"/>
    <n v="3"/>
    <n v="17"/>
    <n v="85"/>
    <n v="3"/>
    <n v="15"/>
    <n v="10"/>
    <n v="13188"/>
    <s v="Acomodação do produto está conforme especificação,_x000a_Caixa está sem rasgos e seca,_x000a_Data  de validade e produção estão de acordo,_x000a_Selagem está conforme"/>
    <s v="assinatura"/>
    <s v="assinatura"/>
    <n v="5257"/>
  </r>
  <r>
    <x v="8"/>
    <s v="6ab4196acffb29c3dcbb8633"/>
    <s v="23/09/2026 14:11:21"/>
    <s v="23/09/2026 15:24:42"/>
    <s v="Alana"/>
    <x v="40"/>
    <n v="1"/>
    <n v="5"/>
    <n v="7"/>
    <n v="10"/>
    <n v="7"/>
    <n v="20"/>
    <n v="33"/>
    <n v="80"/>
    <n v="67"/>
    <n v="7"/>
    <n v="10"/>
    <n v="10"/>
    <n v="7"/>
    <n v="7"/>
    <n v="10"/>
    <m/>
    <m/>
    <m/>
    <n v="35"/>
    <n v="17.5"/>
    <n v="28"/>
    <n v="14"/>
    <n v="14.000000000000002"/>
    <n v="30"/>
    <n v="3"/>
    <n v="15"/>
    <m/>
    <m/>
    <m/>
    <m/>
    <m/>
    <m/>
  </r>
  <r>
    <x v="8"/>
    <s v="6ab3c9e16b8938edc4b89fcb"/>
    <s v="22/09/2026 14:10:31"/>
    <s v="23/09/2026 09:45:21"/>
    <s v="Alana"/>
    <x v="39"/>
    <n v="1"/>
    <n v="7"/>
    <n v="7"/>
    <n v="10"/>
    <n v="5"/>
    <n v="26"/>
    <n v="38"/>
    <n v="74"/>
    <n v="62"/>
    <n v="7"/>
    <n v="10"/>
    <n v="10"/>
    <n v="10"/>
    <n v="7"/>
    <n v="7"/>
    <m/>
    <m/>
    <m/>
    <n v="68"/>
    <n v="34"/>
    <n v="17"/>
    <n v="17"/>
    <n v="8.5"/>
    <n v="15"/>
    <n v="1"/>
    <n v="5"/>
    <m/>
    <m/>
    <m/>
    <m/>
    <m/>
    <m/>
  </r>
  <r>
    <x v="8"/>
    <s v="6ab1771e596883bd549a0120"/>
    <s v="21/09/2026 12:26:24"/>
    <s v="21/09/2026 15:27:42"/>
    <s v="Alana"/>
    <x v="38"/>
    <n v="1"/>
    <n v="10"/>
    <n v="7"/>
    <n v="10"/>
    <n v="5"/>
    <n v="19"/>
    <n v="37"/>
    <n v="81"/>
    <n v="63"/>
    <n v="5"/>
    <n v="10"/>
    <n v="10"/>
    <n v="7"/>
    <n v="7"/>
    <n v="5"/>
    <m/>
    <m/>
    <m/>
    <n v="52"/>
    <n v="26"/>
    <n v="101"/>
    <n v="13"/>
    <n v="50.5"/>
    <n v="35"/>
    <n v="3"/>
    <n v="15"/>
    <m/>
    <m/>
    <m/>
    <m/>
    <m/>
    <m/>
  </r>
  <r>
    <x v="8"/>
    <s v="6aac3f3b03d0d5807441df66"/>
    <s v="17/09/2026 12:23:55"/>
    <s v="17/09/2026 16:27:55"/>
    <s v="Alana"/>
    <x v="37"/>
    <n v="1"/>
    <s v=""/>
    <n v="5"/>
    <n v="7"/>
    <n v="7"/>
    <n v="12"/>
    <n v="39"/>
    <n v="88"/>
    <n v="61"/>
    <n v="7"/>
    <n v="10"/>
    <n v="10"/>
    <n v="7"/>
    <n v="7"/>
    <n v="5"/>
    <m/>
    <m/>
    <m/>
    <n v="80"/>
    <n v="40"/>
    <n v="12"/>
    <n v="5"/>
    <n v="6"/>
    <n v="75"/>
    <n v="0"/>
    <n v="0"/>
    <m/>
    <m/>
    <m/>
    <m/>
    <m/>
    <m/>
  </r>
  <r>
    <x v="8"/>
    <s v="6aac246461edf70c814e5585"/>
    <s v="16/09/2026 08:15:01"/>
    <s v="17/09/2026 14:33:24"/>
    <s v="Alana"/>
    <x v="35"/>
    <n v="1"/>
    <n v="10"/>
    <n v="10"/>
    <n v="7"/>
    <n v="10"/>
    <n v="15"/>
    <n v="25"/>
    <n v="85"/>
    <n v="75"/>
    <n v="7"/>
    <n v="10"/>
    <n v="10"/>
    <n v="7"/>
    <n v="10"/>
    <n v="10"/>
    <m/>
    <m/>
    <m/>
    <n v="121"/>
    <n v="60.5"/>
    <s v=""/>
    <s v=""/>
    <s v=""/>
    <s v=""/>
    <s v=""/>
    <s v=""/>
    <m/>
    <m/>
    <m/>
    <m/>
    <m/>
    <m/>
  </r>
  <r>
    <x v="8"/>
    <s v="6ab75082adfb4239b44a3df6"/>
    <s v="25/09/2026 23:01:11"/>
    <s v="26/09/2026 01:56:34"/>
    <s v="Ranieli"/>
    <x v="41"/>
    <n v="2"/>
    <s v=""/>
    <n v="7"/>
    <n v="7"/>
    <n v="5"/>
    <n v="37"/>
    <n v="75"/>
    <n v="63"/>
    <n v="25"/>
    <n v="7"/>
    <n v="7"/>
    <n v="7"/>
    <n v="7"/>
    <n v="7"/>
    <n v="5"/>
    <s v="Riscou o Sassami em X,_x000a_Usou o garfo na retirada de Sassami,_x000a_Retirou a Cartilagem"/>
    <s v=""/>
    <s v=""/>
    <s v=""/>
    <s v=""/>
    <n v="55"/>
    <n v="5"/>
    <n v="27.500000000000004"/>
    <n v="75"/>
    <n v="4"/>
    <n v="20"/>
    <n v="5"/>
    <n v="40762"/>
    <s v="Data  de validade e produção estão de acordo,_x000a_Selagem está conforme,_x000a_Caixa está sem rasgos e seca"/>
    <s v="assinatura"/>
    <s v="assinatura"/>
    <n v="6547"/>
  </r>
  <r>
    <x v="8"/>
    <s v="6ab75082adfb4239b44a3de4"/>
    <s v="25/09/2026 21:28:25"/>
    <s v="26/09/2026 01:56:34"/>
    <s v="Ranieli"/>
    <x v="41"/>
    <n v="2"/>
    <s v=""/>
    <n v="7"/>
    <n v="5"/>
    <n v="5"/>
    <n v="27"/>
    <n v="53"/>
    <n v="73"/>
    <n v="47"/>
    <n v="7"/>
    <n v="7"/>
    <n v="7"/>
    <n v="7"/>
    <n v="7"/>
    <n v="7"/>
    <s v="Riscou o Sassami em X,_x000a_Usou o garfo na retirada de Sassami,_x000a_Retirou a Cartilagem"/>
    <s v=""/>
    <s v=""/>
    <s v=""/>
    <s v=""/>
    <n v="47"/>
    <n v="4"/>
    <n v="23.5"/>
    <n v="80"/>
    <n v="5"/>
    <n v="25"/>
    <n v="10"/>
    <n v="992093"/>
    <s v="Acomodação do produto está conforme especificação,_x000a_Caixa está sem rasgos e seca,_x000a_Data  de validade e produção estão de acordo,_x000a_Selagem está conforme"/>
    <s v="assinatura"/>
    <s v="assinatura"/>
    <n v="2678"/>
  </r>
  <r>
    <x v="8"/>
    <s v="6ab75082adfb4239b44a3dcc"/>
    <s v="25/09/2026 18:26:56"/>
    <s v="26/09/2026 01:56:34"/>
    <s v="Ranieli"/>
    <x v="41"/>
    <n v="2"/>
    <n v="7"/>
    <n v="7"/>
    <n v="7"/>
    <n v="5"/>
    <n v="19"/>
    <n v="52"/>
    <n v="81"/>
    <n v="48"/>
    <n v="5"/>
    <n v="7"/>
    <n v="7"/>
    <n v="7"/>
    <n v="7"/>
    <n v="5"/>
    <s v="Retirou a Cartilagem,_x000a_Usou o garfo na retirada de Sassami,_x000a_Riscou o Sassami em X"/>
    <s v=""/>
    <s v=""/>
    <s v=""/>
    <s v=""/>
    <n v="46"/>
    <n v="4"/>
    <n v="23"/>
    <n v="80"/>
    <n v="4"/>
    <n v="20"/>
    <n v="10"/>
    <n v="15105"/>
    <s v="Acomodação do produto está conforme especificação,_x000a_Caixa está sem rasgos e seca,_x000a_Data  de validade e produção estão de acordo,_x000a_Selagem está conforme"/>
    <s v="assinatura"/>
    <s v="assinatura"/>
    <n v="5803"/>
  </r>
  <r>
    <x v="8"/>
    <s v="6ab75081adfb4239b44a3d8e"/>
    <s v="25/09/2026 16:42:15"/>
    <s v="26/09/2026 01:56:33"/>
    <s v="Ranieli"/>
    <x v="41"/>
    <n v="2"/>
    <n v="7"/>
    <n v="7"/>
    <n v="5"/>
    <n v="5"/>
    <n v="9"/>
    <n v="49"/>
    <n v="91"/>
    <n v="51"/>
    <n v="7"/>
    <n v="7"/>
    <n v="7"/>
    <n v="7"/>
    <n v="7"/>
    <n v="5"/>
    <s v="Riscou o Sassami em X,_x000a_Usou o garfo na retirada de Sassami,_x000a_Retirou a Cartilagem"/>
    <n v="5"/>
    <n v="7"/>
    <n v="65"/>
    <n v="32.5"/>
    <n v="46"/>
    <n v="6"/>
    <n v="23"/>
    <n v="70"/>
    <n v="5"/>
    <n v="25"/>
    <s v=""/>
    <n v="15105"/>
    <s v="Acomodação do produto está conforme especificação,_x000a_Caixa está sem rasgos e seca,_x000a_Data  de validade e produção estão de acordo,_x000a_Selagem está conforme"/>
    <s v="assinatura"/>
    <s v="assinatura"/>
    <n v="2814"/>
  </r>
  <r>
    <x v="8"/>
    <s v="6abb47842d48c2171f434104"/>
    <s v="28/09/2026 23:05:38"/>
    <s v="29/09/2026 02:07:16"/>
    <s v="Ranieli"/>
    <x v="42"/>
    <n v="2"/>
    <n v="7"/>
    <n v="7"/>
    <n v="7"/>
    <n v="5"/>
    <n v="38"/>
    <n v="27"/>
    <n v="62"/>
    <n v="73"/>
    <n v="7"/>
    <n v="7"/>
    <n v="7"/>
    <n v="7"/>
    <n v="7"/>
    <n v="7"/>
    <s v="Riscou o Sassami em X,_x000a_Retirou a Cartilagem"/>
    <n v="7"/>
    <n v="7"/>
    <n v="73"/>
    <n v="36.5"/>
    <n v="57"/>
    <n v="6"/>
    <n v="28.499999999999996"/>
    <n v="70"/>
    <n v="4"/>
    <n v="20"/>
    <s v=""/>
    <n v="992093"/>
    <s v="Acomodação do produto está conforme especificação,_x000a_Caixa está sem rasgos e seca,_x000a_Data  de validade e produção estão de acordo,_x000a_Selagem está conforme"/>
    <s v="assinatura"/>
    <s v="assinatura"/>
    <n v="6358"/>
  </r>
  <r>
    <x v="8"/>
    <s v="6abb47842d48c2171f4340ce"/>
    <s v="28/09/2026 21:34:08"/>
    <s v="29/09/2026 02:07:16"/>
    <s v="Ranieli"/>
    <x v="42"/>
    <n v="2"/>
    <n v="7"/>
    <n v="7"/>
    <n v="7"/>
    <n v="7"/>
    <n v="18"/>
    <n v="24"/>
    <n v="82"/>
    <n v="76"/>
    <n v="7"/>
    <n v="7"/>
    <n v="7"/>
    <n v="7"/>
    <n v="7"/>
    <n v="7"/>
    <s v="Riscou o Sassami em X,_x000a_Retirou a Cartilagem"/>
    <n v="7"/>
    <n v="7"/>
    <n v="70"/>
    <n v="35"/>
    <n v="38"/>
    <n v="5"/>
    <n v="19"/>
    <n v="75"/>
    <n v="5"/>
    <n v="25"/>
    <n v="7"/>
    <s v=""/>
    <s v="Caixa está sem rasgos e seca,_x000a_Data  de validade e produção estão de acordo,_x000a_Selagem está conforme"/>
    <s v="assinatura"/>
    <s v="assinatura"/>
    <n v="3221"/>
  </r>
  <r>
    <x v="8"/>
    <s v="6abb47832d48c2171f4340b6"/>
    <s v="28/09/2026 18:12:11"/>
    <s v="29/09/2026 02:07:15"/>
    <s v="Ranieli"/>
    <x v="42"/>
    <n v="2"/>
    <n v="7"/>
    <n v="7"/>
    <n v="7"/>
    <n v="5"/>
    <n v="28"/>
    <n v="14"/>
    <n v="72"/>
    <n v="86"/>
    <n v="7"/>
    <n v="7"/>
    <n v="7"/>
    <n v="7"/>
    <n v="7"/>
    <s v=""/>
    <s v="Riscou o Sassami em X,_x000a_Usou o garfo na retirada de Sassami,_x000a_Retirou a Cartilagem"/>
    <n v="7"/>
    <n v="7"/>
    <n v="55"/>
    <n v="27.500000000000004"/>
    <n v="44"/>
    <n v="4"/>
    <n v="22"/>
    <n v="80"/>
    <n v="5"/>
    <n v="25"/>
    <n v="10"/>
    <n v="13188"/>
    <s v="Acomodação do produto está conforme especificação,_x000a_Caixa está sem rasgos e seca,_x000a_Data  de validade e produção estão de acordo,_x000a_Selagem está conforme"/>
    <s v="assinatura"/>
    <s v="assinatura"/>
    <n v="3211"/>
  </r>
  <r>
    <x v="8"/>
    <s v="6abb47832d48c2171f43408a"/>
    <s v="28/09/2026 16:36:00"/>
    <s v="29/09/2026 02:07:15"/>
    <s v="Ranieli"/>
    <x v="42"/>
    <n v="2"/>
    <n v="7"/>
    <n v="7"/>
    <n v="7"/>
    <n v="5"/>
    <n v="18"/>
    <n v="24"/>
    <n v="82"/>
    <n v="76"/>
    <n v="7"/>
    <n v="7"/>
    <n v="5"/>
    <n v="7"/>
    <n v="7"/>
    <n v="7"/>
    <s v="Riscou o Sassami em X,_x000a_Usou o garfo na retirada de Sassami,_x000a_Retirou a Cartilagem"/>
    <s v=""/>
    <s v=""/>
    <s v=""/>
    <s v=""/>
    <n v="37"/>
    <n v="6"/>
    <n v="18.5"/>
    <n v="70"/>
    <n v="3"/>
    <n v="15"/>
    <n v="10"/>
    <n v="15105"/>
    <s v="Acomodação do produto está conforme especificação,_x000a_Caixa está sem rasgos e seca,_x000a_Data  de validade e produção estão de acordo,_x000a_Selagem está conforme"/>
    <s v="assinatura"/>
    <s v="assinatura"/>
    <n v="4926"/>
  </r>
  <r>
    <x v="8"/>
    <s v="6abc9cb798694d34bda8dde7"/>
    <s v="29/09/2026 22:57:58"/>
    <s v="30/09/2026 02:23:03"/>
    <s v="Ranieli"/>
    <x v="43"/>
    <n v="2"/>
    <n v="5"/>
    <n v="10"/>
    <n v="7"/>
    <n v="5"/>
    <n v="21"/>
    <n v="33"/>
    <n v="79"/>
    <n v="67"/>
    <n v="7"/>
    <n v="7"/>
    <n v="7"/>
    <n v="7"/>
    <n v="7"/>
    <n v="7"/>
    <s v="Riscou o Sassami em X,_x000a_Usou o garfo na retirada de Sassami,_x000a_Retirou a Cartilagem"/>
    <n v="7"/>
    <n v="7"/>
    <n v="45"/>
    <n v="22.5"/>
    <n v="44"/>
    <n v="8"/>
    <n v="22"/>
    <n v="60"/>
    <n v="4"/>
    <n v="20"/>
    <n v="5"/>
    <n v="42854"/>
    <s v="Caixa está sem rasgos e seca,_x000a_Data  de validade e produção estão de acordo,_x000a_Selagem está conforme"/>
    <s v="assinatura"/>
    <s v="assinatura"/>
    <n v="8964"/>
  </r>
  <r>
    <x v="8"/>
    <s v="6abc9cb798694d34bda8ddc7"/>
    <s v="29/09/2026 21:29:21"/>
    <s v="30/09/2026 02:23:03"/>
    <s v="Ranieli"/>
    <x v="43"/>
    <n v="2"/>
    <n v="5"/>
    <n v="10"/>
    <n v="7"/>
    <n v="5"/>
    <n v="29"/>
    <n v="70"/>
    <n v="71"/>
    <n v="30"/>
    <n v="7"/>
    <n v="7"/>
    <n v="7"/>
    <n v="7"/>
    <n v="7"/>
    <n v="5"/>
    <s v="Retirou a Cartilagem,_x000a_Usou o garfo na retirada de Sassami,_x000a_Riscou o Sassami em X"/>
    <n v="7"/>
    <n v="7"/>
    <n v="36"/>
    <n v="18"/>
    <n v="49"/>
    <n v="5"/>
    <n v="24.5"/>
    <n v="75"/>
    <n v="3"/>
    <n v="15"/>
    <n v="7"/>
    <n v="40762"/>
    <s v="Caixa está sem rasgos e seca,_x000a_Data  de validade e produção estão de acordo,_x000a_Selagem está conforme"/>
    <s v="assinatura"/>
    <s v="assinatura"/>
    <n v="14121"/>
  </r>
  <r>
    <x v="8"/>
    <s v="6abc9cb698694d34bda8dda3"/>
    <s v="29/09/2026 18:25:22"/>
    <s v="30/09/2026 02:23:02"/>
    <s v="Ranieli"/>
    <x v="43"/>
    <n v="2"/>
    <n v="7"/>
    <n v="10"/>
    <n v="7"/>
    <n v="5"/>
    <n v="19"/>
    <n v="31"/>
    <n v="81"/>
    <n v="69"/>
    <n v="5"/>
    <n v="7"/>
    <n v="7"/>
    <n v="7"/>
    <n v="7"/>
    <n v="7"/>
    <s v="Riscou o Sassami em X,_x000a_Retirou a Cartilagem"/>
    <s v=""/>
    <s v=""/>
    <n v="56"/>
    <n v="28.000000000000004"/>
    <n v="45"/>
    <n v="8"/>
    <n v="22.5"/>
    <n v="60"/>
    <n v="3"/>
    <n v="15"/>
    <n v="7"/>
    <n v="42846"/>
    <s v="Acomodação do produto está conforme especificação,_x000a_Caixa está sem rasgos e seca,_x000a_Data  de validade e produção estão de acordo,_x000a_Selagem está conforme"/>
    <s v="assinatura"/>
    <s v="assinatura"/>
    <n v="24877"/>
  </r>
  <r>
    <x v="8"/>
    <s v="6abc9cb698694d34bda8dd6d"/>
    <s v="29/09/2026 16:30:41"/>
    <s v="30/09/2026 02:23:02"/>
    <s v="Ranieli"/>
    <x v="43"/>
    <n v="2"/>
    <n v="7"/>
    <n v="10"/>
    <n v="5"/>
    <n v="5"/>
    <n v="43"/>
    <n v="14"/>
    <n v="57"/>
    <n v="86"/>
    <n v="7"/>
    <n v="7"/>
    <n v="7"/>
    <n v="7"/>
    <n v="7"/>
    <n v="7"/>
    <s v="Riscou o Sassami em X,_x000a_Usou o garfo na retirada de Sassami,_x000a_Retirou a Cartilagem"/>
    <n v="10"/>
    <n v="7"/>
    <n v="44"/>
    <n v="22"/>
    <n v="34"/>
    <n v="7"/>
    <n v="17"/>
    <n v="65"/>
    <n v="4"/>
    <n v="20"/>
    <n v="10"/>
    <n v="15105"/>
    <s v="Acomodação do produto está conforme especificação,_x000a_Caixa está sem rasgos e seca,_x000a_Data  de validade e produção estão de acordo,_x000a_Selagem está conforme"/>
    <s v="assinatura"/>
    <s v="assinatura"/>
    <n v="31477"/>
  </r>
  <r>
    <x v="8"/>
    <s v="6abdeedbfa7807c931a7e3da"/>
    <s v="30/09/2026 22:49:18"/>
    <s v="01/10/2026 02:25:47"/>
    <s v="Ranieli"/>
    <x v="44"/>
    <n v="2"/>
    <n v="7"/>
    <n v="7"/>
    <n v="7"/>
    <n v="5"/>
    <n v="29"/>
    <n v="38"/>
    <n v="71"/>
    <n v="62"/>
    <n v="7"/>
    <n v="7"/>
    <n v="7"/>
    <n v="7"/>
    <n v="7"/>
    <n v="7"/>
    <s v="Riscou o Sassami em X,_x000a_Retirou a Cartilagem"/>
    <n v="7"/>
    <n v="7"/>
    <n v="52"/>
    <n v="26"/>
    <n v="57"/>
    <n v="6"/>
    <n v="28.499999999999996"/>
    <n v="70"/>
    <n v="4"/>
    <n v="20"/>
    <n v="7"/>
    <n v="40762"/>
    <s v="Caixa está sem rasgos e seca,_x000a_Data  de validade e produção estão de acordo,_x000a_Selagem está conforme"/>
    <s v="assinatura"/>
    <s v="assinatura"/>
    <n v="8910"/>
  </r>
  <r>
    <x v="8"/>
    <s v="6abdeedbfa7807c931a7e3b6"/>
    <s v="30/09/2026 21:38:27"/>
    <s v="01/10/2026 02:25:47"/>
    <s v="Ranieli"/>
    <x v="44"/>
    <n v="2"/>
    <n v="7"/>
    <n v="7"/>
    <n v="7"/>
    <n v="5"/>
    <n v="25"/>
    <n v="46"/>
    <n v="75"/>
    <n v="54"/>
    <n v="5"/>
    <n v="7"/>
    <n v="7"/>
    <n v="7"/>
    <n v="7"/>
    <s v=""/>
    <s v="Riscou o Sassami em X,_x000a_Retirou a Cartilagem"/>
    <s v=""/>
    <s v=""/>
    <n v="60"/>
    <n v="30"/>
    <n v="46"/>
    <n v="4"/>
    <n v="23"/>
    <n v="80"/>
    <n v="3"/>
    <n v="15"/>
    <n v="10"/>
    <n v="13188"/>
    <s v="Acomodação do produto está conforme especificação,_x000a_Caixa está sem rasgos e seca,_x000a_Data  de validade e produção estão de acordo,_x000a_Selagem está conforme"/>
    <s v="assinatura"/>
    <s v="assinatura"/>
    <n v="13013"/>
  </r>
  <r>
    <x v="8"/>
    <s v="6abdeedafa7807c931a7e384"/>
    <s v="30/09/2026 18:21:27"/>
    <s v="01/10/2026 02:25:46"/>
    <s v="Ranieli"/>
    <x v="44"/>
    <n v="2"/>
    <n v="7"/>
    <n v="7"/>
    <n v="7"/>
    <n v="5"/>
    <n v="29"/>
    <n v="46"/>
    <n v="71"/>
    <n v="54"/>
    <n v="5"/>
    <n v="7"/>
    <n v="7"/>
    <n v="7"/>
    <n v="7"/>
    <n v="7"/>
    <s v="Riscou o Sassami em X,_x000a_Retirou a Cartilagem"/>
    <n v="7"/>
    <n v="7"/>
    <n v="47"/>
    <n v="23.5"/>
    <n v="44"/>
    <n v="5"/>
    <n v="22"/>
    <n v="75"/>
    <n v="4"/>
    <n v="20"/>
    <n v="7"/>
    <n v="42846"/>
    <s v="Caixa está sem rasgos e seca,_x000a_Data  de validade e produção estão de acordo,_x000a_Selagem está conforme"/>
    <s v="assinatura"/>
    <s v="assinatura"/>
    <n v="24684"/>
  </r>
  <r>
    <x v="8"/>
    <s v="6abdeed9fa7807c931a7e35a"/>
    <s v="30/09/2026 16:17:37"/>
    <s v="01/10/2026 02:25:45"/>
    <s v="Ranieli"/>
    <x v="44"/>
    <n v="2"/>
    <n v="7"/>
    <n v="10"/>
    <n v="5"/>
    <n v="5"/>
    <n v="22"/>
    <n v="53"/>
    <n v="78"/>
    <n v="47"/>
    <n v="5"/>
    <n v="7"/>
    <n v="7"/>
    <n v="7"/>
    <n v="7"/>
    <n v="7"/>
    <s v="Riscou o Sassami em X,_x000a_Retirou a Cartilagem"/>
    <n v="7"/>
    <n v="10"/>
    <n v="53"/>
    <n v="26.5"/>
    <n v="49"/>
    <n v="6"/>
    <n v="24.5"/>
    <n v="70"/>
    <n v="3"/>
    <n v="15"/>
    <n v="10"/>
    <n v="995638"/>
    <s v="Acomodação do produto está conforme especificação,_x000a_Caixa está sem rasgos e seca,_x000a_Data  de validade e produção estão de acordo,_x000a_Selagem está conforme"/>
    <s v="assinatura"/>
    <s v="assinatura"/>
    <n v="31981"/>
  </r>
  <r>
    <x v="9"/>
    <s v="6abf3ad13cf16866fa6660ab"/>
    <s v="01/10/2026 18:16:45"/>
    <s v="02/10/2026 02:02:09"/>
    <s v="Ranieli"/>
    <x v="45"/>
    <n v="2"/>
    <n v="7"/>
    <n v="7"/>
    <n v="7"/>
    <n v="5"/>
    <n v="22"/>
    <n v="37"/>
    <n v="78"/>
    <n v="63"/>
    <n v="5"/>
    <n v="7"/>
    <n v="7"/>
    <n v="7"/>
    <n v="7"/>
    <n v="7"/>
    <s v="Riscou o Sassami em X,_x000a_Retirou a Cartilagem,_x000a_Usou o garfo na retirada de Sassami"/>
    <s v=""/>
    <s v=""/>
    <n v="45"/>
    <n v="22.5"/>
    <n v="53"/>
    <n v="6"/>
    <n v="26.5"/>
    <n v="70"/>
    <n v="2"/>
    <n v="10"/>
    <n v="10"/>
    <n v="995638"/>
    <s v="Acomodação do produto está conforme especificação,_x000a_Caixa está sem rasgos e seca,_x000a_Data  de validade e produção estão de acordo,_x000a_Selagem está conforme"/>
    <s v="assinatura"/>
    <s v="assinatura"/>
    <n v="27921"/>
  </r>
  <r>
    <x v="9"/>
    <s v="6abf3abcfeff8ad157fab5a9"/>
    <s v="01/10/2026 22:47:10"/>
    <s v="02/10/2026 02:01:48"/>
    <s v="Ranieli"/>
    <x v="45"/>
    <n v="2"/>
    <n v="7"/>
    <n v="10"/>
    <n v="7"/>
    <n v="5"/>
    <n v="14"/>
    <n v="10"/>
    <n v="86"/>
    <n v="90"/>
    <n v="5"/>
    <n v="10"/>
    <n v="7"/>
    <n v="7"/>
    <n v="7"/>
    <n v="7"/>
    <s v="Riscou o Sassami em X,_x000a_Retirou a Cartilagem"/>
    <n v="7"/>
    <n v="7"/>
    <n v="60"/>
    <n v="30"/>
    <n v="56"/>
    <n v="6"/>
    <n v="28.000000000000004"/>
    <n v="70"/>
    <n v="3"/>
    <n v="15"/>
    <n v="7"/>
    <n v="42846"/>
    <s v="Caixa está sem rasgos e seca,_x000a_Selagem está conforme"/>
    <s v="assinatura"/>
    <s v="assinatura"/>
    <n v="11519"/>
  </r>
  <r>
    <x v="9"/>
    <s v="6abf3abbfeff8ad157fab57f"/>
    <s v="01/10/2026 21:19:14"/>
    <s v="02/10/2026 02:01:47"/>
    <s v="Ranieli"/>
    <x v="45"/>
    <n v="2"/>
    <n v="7"/>
    <n v="10"/>
    <n v="7"/>
    <n v="7"/>
    <n v="22"/>
    <n v="19"/>
    <n v="78"/>
    <n v="81"/>
    <n v="7"/>
    <n v="7"/>
    <n v="7"/>
    <n v="7"/>
    <n v="7"/>
    <n v="5"/>
    <s v="Riscou o Sassami em X,_x000a_Retirou a Cartilagem"/>
    <n v="10"/>
    <n v="7"/>
    <n v="76"/>
    <n v="38"/>
    <n v="51"/>
    <n v="6"/>
    <n v="25.5"/>
    <n v="70"/>
    <n v="3"/>
    <n v="15"/>
    <s v=""/>
    <n v="13188"/>
    <s v="Acomodação do produto está conforme especificação,_x000a_Caixa está sem rasgos e seca,_x000a_Data  de validade e produção estão de acordo,_x000a_Selagem está conforme"/>
    <s v="assinatura"/>
    <s v="assinatura"/>
    <n v="4144"/>
  </r>
  <r>
    <x v="9"/>
    <s v="6abf3abbfeff8ad157fab53b"/>
    <s v="01/10/2026 16:29:31"/>
    <s v="02/10/2026 02:01:47"/>
    <s v="Ranieli"/>
    <x v="45"/>
    <n v="2"/>
    <n v="7"/>
    <n v="7"/>
    <n v="7"/>
    <n v="5"/>
    <n v="19"/>
    <n v="33"/>
    <n v="81"/>
    <n v="67"/>
    <n v="7"/>
    <n v="7"/>
    <n v="7"/>
    <n v="7"/>
    <n v="7"/>
    <n v="7"/>
    <s v="Riscou o Sassami em X,_x000a_Retirou a Cartilagem"/>
    <s v=""/>
    <s v=""/>
    <s v=""/>
    <s v=""/>
    <n v="51"/>
    <n v="8"/>
    <n v="25.5"/>
    <n v="60"/>
    <n v="4"/>
    <n v="20"/>
    <n v="10"/>
    <n v="15105"/>
    <s v="Acomodação do produto está conforme especificação,_x000a_Caixa está sem rasgos e seca,_x000a_Data  de validade e produção estão de acordo,_x000a_Selagem está conforme"/>
    <s v="assinatura"/>
    <s v="assinatura"/>
    <n v="34249"/>
  </r>
  <r>
    <x v="9"/>
    <s v="6ac486f64854db7e48d93b2c"/>
    <s v="05/10/2026 22:12:51"/>
    <s v="06/10/2026 02:28:22"/>
    <s v="Ranieli"/>
    <x v="46"/>
    <n v="2"/>
    <n v="7"/>
    <n v="7"/>
    <n v="7"/>
    <n v="5"/>
    <n v="22"/>
    <n v="19"/>
    <n v="78"/>
    <n v="81"/>
    <n v="7"/>
    <n v="7"/>
    <n v="7"/>
    <n v="7"/>
    <n v="7"/>
    <n v="7"/>
    <s v="Riscou o Sassami em X,_x000a_Usou o garfo na retirada de Sassami,_x000a_Retirou a Cartilagem"/>
    <n v="7"/>
    <n v="7"/>
    <n v="39"/>
    <n v="19.5"/>
    <n v="48"/>
    <n v="6"/>
    <n v="24"/>
    <n v="70"/>
    <n v="3"/>
    <n v="15"/>
    <n v="7"/>
    <n v="42641"/>
    <s v="Acomodação do produto está conforme especificação,_x000a_Selagem está conforme,_x000a_Data  de validade e produção estão de acordo,_x000a_Caixa está sem rasgos e seca"/>
    <s v="assinatura"/>
    <s v="assinatura"/>
    <n v="11403"/>
  </r>
  <r>
    <x v="9"/>
    <s v="6ac486f54854db7e48d93b26"/>
    <s v="05/10/2026 21:29:15"/>
    <s v="06/10/2026 02:28:21"/>
    <s v="Ranieli"/>
    <x v="46"/>
    <n v="2"/>
    <n v="7"/>
    <n v="7"/>
    <n v="7"/>
    <n v="5"/>
    <n v="10"/>
    <n v="17"/>
    <n v="90"/>
    <n v="83"/>
    <n v="7"/>
    <n v="7"/>
    <n v="7"/>
    <n v="7"/>
    <n v="7"/>
    <n v="7"/>
    <s v="Riscou o Sassami em X,_x000a_Usou o garfo na retirada de Sassami,_x000a_Retirou a Cartilagem"/>
    <n v="10"/>
    <n v="7"/>
    <n v="46"/>
    <n v="23"/>
    <n v="39"/>
    <n v="9"/>
    <n v="19.5"/>
    <n v="55"/>
    <n v="3"/>
    <n v="15"/>
    <n v="7"/>
    <n v="42862"/>
    <s v="Caixa está sem rasgos e seca,_x000a_Data  de validade e produção estão de acordo,_x000a_Selagem está conforme"/>
    <s v="assinatura"/>
    <s v="assinatura"/>
    <n v="13958"/>
  </r>
  <r>
    <x v="9"/>
    <s v="6ac486f54854db7e48d93ad0"/>
    <s v="05/10/2026 16:07:05"/>
    <s v="06/10/2026 02:28:21"/>
    <s v="Ranieli"/>
    <x v="46"/>
    <n v="2"/>
    <n v="7"/>
    <n v="7"/>
    <n v="7"/>
    <n v="5"/>
    <n v="16"/>
    <n v="13"/>
    <n v="84"/>
    <n v="87"/>
    <n v="5"/>
    <n v="7"/>
    <n v="7"/>
    <n v="5"/>
    <n v="7"/>
    <n v="5"/>
    <s v="Riscou o Sassami em X,_x000a_Retirou a Cartilagem"/>
    <n v="10"/>
    <n v="10"/>
    <n v="50"/>
    <n v="25"/>
    <n v="41"/>
    <n v="6"/>
    <n v="20.5"/>
    <n v="70"/>
    <n v="3"/>
    <n v="15"/>
    <n v="10"/>
    <n v="15105"/>
    <s v="Acomodação do produto está conforme especificação,_x000a_Caixa está sem rasgos e seca,_x000a_Data  de validade e produção estão de acordo,_x000a_Selagem está conforme"/>
    <s v="assinatura"/>
    <s v="assinatura"/>
    <n v="33065"/>
  </r>
  <r>
    <x v="9"/>
    <s v="6ac093aadb68f2f72a0ff083"/>
    <s v="02/10/2026 22:34:52"/>
    <s v="03/10/2026 02:33:30"/>
    <s v="Ranieli"/>
    <x v="47"/>
    <n v="2"/>
    <n v="7"/>
    <n v="7"/>
    <n v="7"/>
    <n v="5"/>
    <n v="22"/>
    <n v="13"/>
    <n v="78"/>
    <n v="87"/>
    <n v="5"/>
    <n v="7"/>
    <n v="7"/>
    <n v="7"/>
    <n v="7"/>
    <n v="5"/>
    <s v="Riscou o Sassami em X,_x000a_Retirou a Cartilagem"/>
    <s v=""/>
    <s v=""/>
    <n v="49"/>
    <n v="24.5"/>
    <n v="49"/>
    <n v="6"/>
    <n v="24.5"/>
    <n v="70"/>
    <n v="4"/>
    <n v="20"/>
    <n v="10"/>
    <n v="992093"/>
    <s v="Acomodação do produto está conforme especificação,_x000a_Caixa está sem rasgos e seca,_x000a_Data  de validade e produção estão de acordo,_x000a_Selagem está conforme"/>
    <s v="assinatura"/>
    <s v="assinatura"/>
    <n v="12892"/>
  </r>
  <r>
    <x v="9"/>
    <s v="6ac093aadb68f2f72a0ff053"/>
    <s v="02/10/2026 20:46:53"/>
    <s v="03/10/2026 02:33:30"/>
    <s v="Ranieli"/>
    <x v="47"/>
    <n v="2"/>
    <n v="7"/>
    <n v="7"/>
    <n v="7"/>
    <n v="7"/>
    <n v="27"/>
    <n v="10"/>
    <n v="73"/>
    <n v="90"/>
    <n v="5"/>
    <n v="7"/>
    <n v="7"/>
    <n v="7"/>
    <n v="7"/>
    <n v="7"/>
    <s v="Riscou o Sassami em X,_x000a_Retirou a Cartilagem"/>
    <n v="7"/>
    <s v=""/>
    <n v="45"/>
    <n v="22.5"/>
    <n v="40"/>
    <n v="7"/>
    <n v="20"/>
    <n v="65"/>
    <n v="3"/>
    <n v="15"/>
    <n v="7"/>
    <n v="42838"/>
    <s v="Caixa está sem rasgos e seca,_x000a_Data  de validade e produção estão de acordo,_x000a_Selagem está conforme"/>
    <s v="assinatura"/>
    <s v="assinatura"/>
    <n v="19457"/>
  </r>
  <r>
    <x v="9"/>
    <s v="6ac093a9db68f2f72a0ff047"/>
    <s v="02/10/2026 18:34:53"/>
    <s v="03/10/2026 02:33:29"/>
    <s v="Ranieli"/>
    <x v="47"/>
    <n v="2"/>
    <n v="7"/>
    <n v="7"/>
    <n v="7"/>
    <n v="7"/>
    <n v="19"/>
    <n v="17"/>
    <n v="81"/>
    <n v="83"/>
    <n v="7"/>
    <n v="7"/>
    <n v="7"/>
    <n v="7"/>
    <n v="7"/>
    <n v="5"/>
    <s v="Riscou o Sassami em X,_x000a_Retirou a Cartilagem"/>
    <n v="7"/>
    <n v="7"/>
    <n v="43"/>
    <n v="21.5"/>
    <n v="65"/>
    <n v="7"/>
    <n v="32.5"/>
    <n v="65"/>
    <n v="2"/>
    <n v="10"/>
    <n v="10"/>
    <n v="13188"/>
    <s v="Acomodação do produto está conforme especificação,_x000a_Caixa está sem rasgos e seca,_x000a_Data  de validade e produção estão de acordo,_x000a_Selagem está conforme"/>
    <s v="assinatura"/>
    <s v="assinatura"/>
    <n v="2044"/>
  </r>
  <r>
    <x v="9"/>
    <s v="6ac093a9db68f2f72a0ff01d"/>
    <s v="02/10/2026 16:21:35"/>
    <s v="03/10/2026 02:33:29"/>
    <s v="Ranieli"/>
    <x v="47"/>
    <n v="2"/>
    <n v="7"/>
    <n v="7"/>
    <n v="7"/>
    <n v="5"/>
    <n v="24"/>
    <n v="14"/>
    <n v="76"/>
    <n v="86"/>
    <n v="7"/>
    <n v="7"/>
    <n v="7"/>
    <n v="7"/>
    <n v="7"/>
    <s v=""/>
    <s v="Riscou o Sassami em X,_x000a_Retirou a Cartilagem"/>
    <n v="7"/>
    <n v="7"/>
    <n v="51"/>
    <n v="25.5"/>
    <n v="50"/>
    <n v="9"/>
    <n v="25"/>
    <n v="55"/>
    <n v="2"/>
    <n v="10"/>
    <n v="10"/>
    <n v="15105"/>
    <s v="Acomodação do produto está conforme especificação,_x000a_Caixa está sem rasgos e seca,_x000a_Data  de validade e produção estão de acordo,_x000a_Selagem está conforme"/>
    <s v="assinatura"/>
    <s v="assinatura"/>
    <n v="10073"/>
  </r>
  <r>
    <x v="9"/>
    <s v="6ac7793df6baa94e5914b017"/>
    <s v="07/10/2026 21:53:55"/>
    <s v="08/10/2026 08:06:37"/>
    <s v="Ranieli"/>
    <x v="48"/>
    <n v="2"/>
    <n v="7"/>
    <n v="7"/>
    <n v="7"/>
    <n v="5"/>
    <n v="37"/>
    <n v="22"/>
    <n v="63"/>
    <n v="78"/>
    <n v="7"/>
    <n v="7"/>
    <n v="7"/>
    <n v="7"/>
    <n v="7"/>
    <n v="7"/>
    <s v="Riscou o Sassami em X,_x000a_Usou o garfo na retirada de Sassami,_x000a_Retirou a Cartilagem"/>
    <s v=""/>
    <s v=""/>
    <n v="59"/>
    <n v="29.5"/>
    <n v="40"/>
    <n v="7"/>
    <n v="20"/>
    <n v="65"/>
    <n v="6"/>
    <n v="30"/>
    <n v="7"/>
    <n v="40762"/>
    <s v="Caixa está sem rasgos e seca,_x000a_Data  de validade e produção estão de acordo,_x000a_Selagem está conforme"/>
    <s v="assinatura"/>
    <s v="assinatura"/>
    <n v="15353"/>
  </r>
  <r>
    <x v="9"/>
    <s v="6ac7793cf6baa94e5914b011"/>
    <s v="07/10/2026 17:30:47"/>
    <s v="08/10/2026 08:06:36"/>
    <s v="Ranieli"/>
    <x v="48"/>
    <n v="2"/>
    <n v="7"/>
    <n v="7"/>
    <n v="7"/>
    <n v="5"/>
    <n v="36"/>
    <n v="27"/>
    <n v="64"/>
    <n v="73"/>
    <n v="7"/>
    <n v="7"/>
    <n v="7"/>
    <n v="7"/>
    <n v="7"/>
    <n v="7"/>
    <s v="Riscou o Sassami em X,_x000a_Usou o garfo na retirada de Sassami,_x000a_Retirou a Cartilagem"/>
    <n v="10"/>
    <n v="7"/>
    <n v="51"/>
    <n v="25.5"/>
    <n v="37"/>
    <n v="6"/>
    <n v="18.5"/>
    <n v="70"/>
    <n v="4"/>
    <n v="20"/>
    <n v="7"/>
    <n v="42862"/>
    <s v="Caixa está sem rasgos e seca,_x000a_Selagem está conforme,_x000a_Data  de validade e produção estão de acordo"/>
    <s v="assinatura"/>
    <s v="assinatura"/>
    <n v="11342"/>
  </r>
  <r>
    <x v="9"/>
    <s v="6ac77861486c261c1cacc928"/>
    <s v="07/10/2026 20:40:30"/>
    <s v="08/10/2026 08:02:57"/>
    <s v="Ranieli"/>
    <x v="48"/>
    <n v="2"/>
    <s v=""/>
    <n v="7"/>
    <n v="7"/>
    <n v="5"/>
    <n v="43"/>
    <n v="25"/>
    <n v="57"/>
    <n v="75"/>
    <n v="7"/>
    <n v="7"/>
    <n v="7"/>
    <n v="7"/>
    <n v="7"/>
    <n v="5"/>
    <s v="Riscou o Sassami em X,_x000a_Retirou a Cartilagem"/>
    <s v=""/>
    <s v=""/>
    <n v="31"/>
    <n v="15.5"/>
    <n v="44"/>
    <n v="7"/>
    <n v="22"/>
    <n v="65"/>
    <n v="5"/>
    <n v="25"/>
    <n v="10"/>
    <n v="992039"/>
    <s v="Acomodação do produto está conforme especificação,_x000a_Caixa está sem rasgos e seca,_x000a_Data  de validade e produção estão de acordo,_x000a_Selagem está conforme"/>
    <s v="assinatura"/>
    <s v="assinatura"/>
    <n v="4965"/>
  </r>
  <r>
    <x v="9"/>
    <s v="6ac77861486c261c1cacc916"/>
    <s v="07/10/2026 16:21:03"/>
    <s v="08/10/2026 08:02:57"/>
    <s v="Ranieli"/>
    <x v="48"/>
    <n v="2"/>
    <n v="7"/>
    <n v="7"/>
    <n v="7"/>
    <n v="5"/>
    <n v="29"/>
    <n v="21"/>
    <n v="71"/>
    <n v="79"/>
    <n v="7"/>
    <n v="7"/>
    <n v="7"/>
    <n v="7"/>
    <n v="7"/>
    <n v="7"/>
    <s v="Riscou o Sassami em X,_x000a_Usou o garfo na retirada de Sassami,_x000a_Retirou a Cartilagem"/>
    <n v="7"/>
    <n v="7"/>
    <n v="40"/>
    <n v="20"/>
    <n v="41"/>
    <n v="6"/>
    <n v="20.5"/>
    <n v="70"/>
    <n v="5"/>
    <n v="25"/>
    <n v="10"/>
    <n v="15105"/>
    <s v="Caixa está sem rasgos e seca,_x000a_Data  de validade e produção estão de acordo,_x000a_Selagem está conforme"/>
    <s v="assinatura"/>
    <s v="assinatura"/>
    <n v="35072"/>
  </r>
  <r>
    <x v="9"/>
    <s v="6ac5da49636e383ab3c2e97e"/>
    <s v="06/10/2026 22:00:17"/>
    <s v="07/10/2026 02:36:09"/>
    <s v="Ranieli"/>
    <x v="49"/>
    <n v="2"/>
    <n v="7"/>
    <n v="7"/>
    <n v="7"/>
    <n v="5"/>
    <n v="38"/>
    <n v="12"/>
    <n v="62"/>
    <n v="88"/>
    <n v="7"/>
    <n v="7"/>
    <n v="7"/>
    <n v="7"/>
    <n v="7"/>
    <n v="7"/>
    <s v="Riscou o Sassami em X,_x000a_Usou o garfo na retirada de Sassami,_x000a_Retirou a Cartilagem"/>
    <n v="10"/>
    <n v="7"/>
    <n v="37"/>
    <n v="18.5"/>
    <n v="47"/>
    <n v="6"/>
    <n v="23.5"/>
    <n v="70"/>
    <n v="4"/>
    <n v="20"/>
    <n v="7"/>
    <n v="40762"/>
    <s v="Caixa está sem rasgos e seca,_x000a_Data  de validade e produção estão de acordo,_x000a_Selagem está conforme"/>
    <s v="assinatura"/>
    <s v="assinatura"/>
    <n v="13753"/>
  </r>
  <r>
    <x v="9"/>
    <s v="6ac5da49636e383ab3c2e978"/>
    <s v="06/10/2026 21:22:17"/>
    <s v="07/10/2026 02:36:09"/>
    <s v="Ranieli"/>
    <x v="49"/>
    <n v="2"/>
    <n v="7"/>
    <n v="7"/>
    <n v="7"/>
    <n v="7"/>
    <n v="32"/>
    <n v="16"/>
    <n v="68"/>
    <n v="84"/>
    <n v="7"/>
    <n v="7"/>
    <n v="7"/>
    <n v="7"/>
    <n v="7"/>
    <n v="7"/>
    <s v="Riscou o Sassami em X,_x000a_Usou o garfo na retirada de Sassami,_x000a_Retirou a Cartilagem"/>
    <n v="7"/>
    <n v="7"/>
    <n v="48"/>
    <n v="24"/>
    <n v="44"/>
    <n v="8"/>
    <n v="22"/>
    <n v="60"/>
    <n v="5"/>
    <n v="25"/>
    <n v="10"/>
    <n v="995638"/>
    <s v="Acomodação do produto está conforme especificação,_x000a_Caixa está sem rasgos e seca,_x000a_Data  de validade e produção estão de acordo,_x000a_Selagem está conforme"/>
    <s v="assinatura"/>
    <s v="assinatura"/>
    <n v="15998"/>
  </r>
  <r>
    <x v="9"/>
    <s v="6ac5da48636e383ab3c2e948"/>
    <s v="06/10/2026 17:33:08"/>
    <s v="07/10/2026 02:36:08"/>
    <s v="Ranieli"/>
    <x v="49"/>
    <n v="2"/>
    <n v="7"/>
    <n v="7"/>
    <n v="7"/>
    <n v="5"/>
    <n v="37"/>
    <n v="24"/>
    <n v="63"/>
    <n v="76"/>
    <n v="7"/>
    <n v="7"/>
    <n v="7"/>
    <n v="7"/>
    <n v="7"/>
    <n v="7"/>
    <s v="Riscou o Sassami em X,_x000a_Usou o garfo na retirada de Sassami,_x000a_Retirou a Cartilagem"/>
    <s v=""/>
    <s v=""/>
    <n v="33"/>
    <n v="16.5"/>
    <n v="55"/>
    <n v="8"/>
    <n v="27.500000000000004"/>
    <n v="60"/>
    <n v="7"/>
    <n v="35"/>
    <n v="7"/>
    <n v="42838"/>
    <s v="Caixa está sem rasgos e seca,_x000a_Data  de validade e produção estão de acordo,_x000a_Selagem está conforme"/>
    <s v="assinatura"/>
    <s v="assinatura"/>
    <n v="29574"/>
  </r>
  <r>
    <x v="9"/>
    <s v="6ac5da48636e383ab3c2e92a"/>
    <s v="06/10/2026 16:22:08"/>
    <s v="07/10/2026 02:36:08"/>
    <s v="Ranieli"/>
    <x v="49"/>
    <n v="2"/>
    <n v="7"/>
    <n v="7"/>
    <n v="7"/>
    <n v="5"/>
    <n v="22"/>
    <n v="17"/>
    <n v="78"/>
    <n v="83"/>
    <n v="7"/>
    <n v="7"/>
    <n v="7"/>
    <n v="7"/>
    <n v="7"/>
    <n v="7"/>
    <s v="Riscou o Sassami em X,_x000a_Usou o garfo na retirada de Sassami,_x000a_Retirou a Cartilagem"/>
    <n v="10"/>
    <n v="7"/>
    <n v="57"/>
    <n v="28.499999999999996"/>
    <n v="38"/>
    <n v="7"/>
    <n v="19"/>
    <n v="65"/>
    <n v="2"/>
    <n v="10"/>
    <n v="10"/>
    <n v="15105"/>
    <s v="Acomodação do produto está conforme especificação,_x000a_Caixa está sem rasgos e seca,_x000a_Data  de validade e produção estão de acordo,_x000a_Selagem está conforme"/>
    <s v="assinatura"/>
    <s v="assinatura"/>
    <n v="33762"/>
  </r>
  <r>
    <x v="9"/>
    <s v="6ac9cdb20fd30db1b9055a0f"/>
    <s v="09/10/2026 21:59:05"/>
    <s v="10/10/2026 02:31:30"/>
    <s v="Ranieli"/>
    <x v="50"/>
    <n v="2"/>
    <n v="7"/>
    <n v="7"/>
    <n v="7"/>
    <n v="7"/>
    <n v="22"/>
    <n v="19"/>
    <n v="78"/>
    <n v="81"/>
    <n v="7"/>
    <n v="7"/>
    <n v="7"/>
    <n v="7"/>
    <n v="7"/>
    <n v="7"/>
    <s v="Riscou o Sassami em X,_x000a_Usou o garfo na retirada de Sassami,_x000a_Retirou a Cartilagem"/>
    <n v="10"/>
    <s v=""/>
    <n v="49"/>
    <n v="24.5"/>
    <n v="57"/>
    <n v="7"/>
    <n v="28.499999999999996"/>
    <n v="65"/>
    <n v="6"/>
    <n v="30"/>
    <n v="7"/>
    <n v="40762"/>
    <s v="Caixa está sem rasgos e seca,_x000a_Data  de validade e produção estão de acordo,_x000a_Selagem está conforme"/>
    <s v="assinatura"/>
    <s v="assinatura"/>
    <n v="16087"/>
  </r>
  <r>
    <x v="9"/>
    <s v="6ac9cdb10fd30db1b90559c7"/>
    <s v="09/10/2026 20:02:07"/>
    <s v="10/10/2026 02:31:29"/>
    <s v="Ranieli"/>
    <x v="50"/>
    <n v="2"/>
    <n v="7"/>
    <n v="7"/>
    <n v="7"/>
    <n v="5"/>
    <n v="22"/>
    <n v="15"/>
    <n v="78"/>
    <n v="85"/>
    <n v="5"/>
    <n v="7"/>
    <n v="7"/>
    <n v="7"/>
    <n v="7"/>
    <n v="7"/>
    <s v="Riscou o Sassami em X,_x000a_Usou o garfo na retirada de Sassami,_x000a_Retirou a Cartilagem"/>
    <n v="7"/>
    <n v="7"/>
    <n v="49"/>
    <n v="24.5"/>
    <n v="61"/>
    <n v="7"/>
    <n v="30.5"/>
    <n v="65"/>
    <n v="4"/>
    <n v="20"/>
    <n v="10"/>
    <n v="995638"/>
    <s v="Acomodação do produto está conforme especificação,_x000a_Caixa está sem rasgos e seca,_x000a_Data  de validade e produção estão de acordo,_x000a_Selagem está conforme"/>
    <s v="assinatura"/>
    <s v="assinatura"/>
    <n v="22924"/>
  </r>
  <r>
    <x v="9"/>
    <s v="6ac9cdb10fd30db1b90559c1"/>
    <s v="09/10/2026 17:24:19"/>
    <s v="10/10/2026 02:31:29"/>
    <s v="Ranieli"/>
    <x v="50"/>
    <n v="2"/>
    <n v="7"/>
    <n v="7"/>
    <n v="7"/>
    <n v="5"/>
    <n v="38"/>
    <n v="23"/>
    <n v="62"/>
    <n v="77"/>
    <n v="7"/>
    <n v="7"/>
    <n v="7"/>
    <n v="7"/>
    <n v="7"/>
    <n v="7"/>
    <s v="Riscou o Sassami em X,_x000a_Usou o garfo na retirada de Sassami,_x000a_Retirou a Cartilagem"/>
    <s v=""/>
    <s v=""/>
    <n v="66"/>
    <n v="33"/>
    <n v="64"/>
    <n v="5"/>
    <n v="32"/>
    <n v="75"/>
    <n v="5"/>
    <n v="25"/>
    <n v="7"/>
    <n v="42854"/>
    <s v="Caixa está sem rasgos e seca,_x000a_Data  de validade e produção estão de acordo,_x000a_Selagem está conforme"/>
    <s v="assinatura"/>
    <s v="assinatura"/>
    <n v="32373"/>
  </r>
  <r>
    <x v="9"/>
    <s v="6ac9cdb00fd30db1b90559af"/>
    <s v="09/10/2026 16:19:11"/>
    <s v="10/10/2026 02:31:28"/>
    <s v="Ranieli"/>
    <x v="50"/>
    <n v="2"/>
    <n v="7"/>
    <n v="7"/>
    <n v="7"/>
    <n v="7"/>
    <n v="30"/>
    <n v="22"/>
    <n v="70"/>
    <n v="78"/>
    <n v="7"/>
    <n v="7"/>
    <n v="7"/>
    <n v="7"/>
    <n v="7"/>
    <n v="7"/>
    <s v="Riscou o Sassami em X,_x000a_Usou o garfo na retirada de Sassami,_x000a_Retirou a Cartilagem"/>
    <n v="7"/>
    <n v="7"/>
    <n v="49"/>
    <n v="24.5"/>
    <n v="61"/>
    <n v="5"/>
    <n v="30.5"/>
    <n v="75"/>
    <n v="4"/>
    <n v="20"/>
    <n v="10"/>
    <n v="15105"/>
    <s v="Acomodação do produto está conforme especificação,_x000a_Caixa está sem rasgos e seca,_x000a_Data  de validade e produção estão de acordo,_x000a_Selagem está conforme"/>
    <s v="assinatura"/>
    <s v="assinatura"/>
    <n v="36253"/>
  </r>
  <r>
    <x v="9"/>
    <s v="6ac877fc898c48a2f44ba6df"/>
    <s v="08/10/2026 22:09:42"/>
    <s v="09/10/2026 02:13:32"/>
    <s v="Ranieli"/>
    <x v="51"/>
    <n v="2"/>
    <n v="7"/>
    <n v="10"/>
    <n v="7"/>
    <n v="5"/>
    <n v="23"/>
    <n v="29"/>
    <n v="77"/>
    <n v="71"/>
    <n v="7"/>
    <n v="7"/>
    <n v="7"/>
    <n v="7"/>
    <n v="7"/>
    <s v=""/>
    <s v="Riscou o Sassami em X,_x000a_Usou o garfo na retirada de Sassami,_x000a_Retirou a Cartilagem"/>
    <n v="10"/>
    <n v="7"/>
    <n v="62"/>
    <n v="31"/>
    <n v="49"/>
    <n v="5"/>
    <n v="24.5"/>
    <n v="75"/>
    <n v="3"/>
    <n v="15"/>
    <n v="7"/>
    <n v="40762"/>
    <s v="Data  de validade e produção estão de acordo,_x000a_Caixa está sem rasgos e seca,_x000a_Selagem está conforme"/>
    <s v="assinatura"/>
    <s v="assinatura"/>
    <n v="13342"/>
  </r>
  <r>
    <x v="9"/>
    <s v="6ac877fb898c48a2f44ba6d9"/>
    <s v="08/10/2026 21:24:19"/>
    <s v="09/10/2026 02:13:31"/>
    <s v="Ranieli"/>
    <x v="51"/>
    <n v="2"/>
    <n v="7"/>
    <n v="7"/>
    <n v="7"/>
    <n v="7"/>
    <n v="22"/>
    <n v="23"/>
    <n v="78"/>
    <n v="77"/>
    <n v="7"/>
    <n v="7"/>
    <n v="7"/>
    <n v="7"/>
    <n v="7"/>
    <s v=""/>
    <s v="Riscou o Sassami em X,_x000a_Usou o garfo na retirada de Sassami,_x000a_Retirou a Cartilagem"/>
    <n v="10"/>
    <n v="10"/>
    <n v="42"/>
    <n v="21"/>
    <n v="47"/>
    <n v="8"/>
    <n v="23.5"/>
    <n v="60"/>
    <n v="4"/>
    <n v="20"/>
    <n v="7"/>
    <n v="42846"/>
    <s v="Caixa está sem rasgos e seca,_x000a_Data  de validade e produção estão de acordo,_x000a_Selagem está conforme"/>
    <s v="assinatura"/>
    <s v="assinatura"/>
    <n v="16090"/>
  </r>
  <r>
    <x v="9"/>
    <s v="6ac877fb898c48a2f44ba6b3"/>
    <s v="08/10/2026 18:21:26"/>
    <s v="09/10/2026 02:13:31"/>
    <s v="Ranieli"/>
    <x v="51"/>
    <n v="2"/>
    <n v="7"/>
    <n v="7"/>
    <n v="7"/>
    <n v="5"/>
    <n v="21"/>
    <n v="25"/>
    <n v="79"/>
    <n v="75"/>
    <n v="7"/>
    <n v="7"/>
    <n v="7"/>
    <n v="7"/>
    <n v="7"/>
    <s v=""/>
    <s v="Riscou o Sassami em X,_x000a_Retirou a Cartilagem"/>
    <s v=""/>
    <s v=""/>
    <n v="44"/>
    <n v="22"/>
    <n v="43"/>
    <n v="5"/>
    <n v="21.5"/>
    <n v="75"/>
    <n v="5"/>
    <n v="25"/>
    <n v="10"/>
    <n v="995638"/>
    <s v="Acomodação do produto está conforme especificação,_x000a_Data  de validade e produção estão de acordo,_x000a_Selagem está conforme,_x000a_Caixa está sem rasgos e seca"/>
    <s v="assinatura"/>
    <s v="assinatura"/>
    <n v="27178"/>
  </r>
  <r>
    <x v="9"/>
    <s v="6ac877fb898c48a2f44ba695"/>
    <s v="08/10/2026 16:37:53"/>
    <s v="09/10/2026 02:13:31"/>
    <s v="Ranieli"/>
    <x v="51"/>
    <n v="2"/>
    <n v="7"/>
    <n v="7"/>
    <n v="7"/>
    <n v="5"/>
    <n v="37"/>
    <n v="23"/>
    <n v="63"/>
    <n v="77"/>
    <n v="7"/>
    <n v="7"/>
    <n v="7"/>
    <n v="7"/>
    <n v="7"/>
    <n v="7"/>
    <s v="Riscou o Sassami em X,_x000a_Usou o garfo na retirada de Sassami,_x000a_Retirou a Cartilagem"/>
    <n v="10"/>
    <n v="7"/>
    <n v="56"/>
    <n v="28.000000000000004"/>
    <n v="50"/>
    <n v="4"/>
    <n v="25"/>
    <n v="80"/>
    <n v="5"/>
    <n v="25"/>
    <n v="10"/>
    <n v="15105"/>
    <s v="Acomodação do produto está conforme especificação,_x000a_Caixa está sem rasgos e seca,_x000a_Data  de validade e produção estão de acordo,_x000a_Selagem está conforme"/>
    <s v=""/>
    <s v=""/>
    <n v="344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4" applyNumberFormats="0" applyBorderFormats="0" applyFontFormats="0" applyPatternFormats="0" applyAlignmentFormats="0" applyWidthHeightFormats="1" dataCaption="Valores" updatedVersion="5" minRefreshableVersion="3" preserveFormatting="0" rowGrandTotals="0" colGrandTotals="0" itemPrintTitles="1" createdVersion="5" indent="0" outline="1" outlineData="1" multipleFieldFilters="0">
  <location ref="U117:AA118" firstHeaderRow="1" firstDataRow="2" firstDataCol="0"/>
  <pivotFields count="38">
    <pivotField showAll="0">
      <items count="11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t="default"/>
      </items>
    </pivotField>
    <pivotField showAll="0"/>
    <pivotField showAll="0"/>
    <pivotField showAll="0"/>
    <pivotField showAll="0"/>
    <pivotField axis="axisCol" showAll="0" sortType="ascending">
      <items count="53">
        <item x="26"/>
        <item x="45"/>
        <item x="28"/>
        <item x="47"/>
        <item x="27"/>
        <item x="14"/>
        <item x="46"/>
        <item x="13"/>
        <item x="49"/>
        <item x="12"/>
        <item x="48"/>
        <item x="29"/>
        <item x="51"/>
        <item x="32"/>
        <item x="50"/>
        <item x="11"/>
        <item x="31"/>
        <item x="10"/>
        <item x="30"/>
        <item x="9"/>
        <item x="8"/>
        <item x="7"/>
        <item x="33"/>
        <item x="34"/>
        <item x="35"/>
        <item x="16"/>
        <item x="37"/>
        <item x="15"/>
        <item x="36"/>
        <item x="17"/>
        <item x="18"/>
        <item x="19"/>
        <item x="38"/>
        <item x="39"/>
        <item x="40"/>
        <item x="20"/>
        <item x="21"/>
        <item x="41"/>
        <item x="22"/>
        <item x="23"/>
        <item x="24"/>
        <item x="42"/>
        <item x="43"/>
        <item x="44"/>
        <item x="25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showAll="0" defaultSubtotal="0"/>
    <pivotField showAll="0" defaultSubtotal="0"/>
    <pivotField showAll="0" defaultSubtotal="0"/>
    <pivotField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5"/>
  </colFields>
  <colItems count="7">
    <i>
      <x v="1"/>
    </i>
    <i>
      <x v="3"/>
    </i>
    <i>
      <x v="6"/>
    </i>
    <i>
      <x v="8"/>
    </i>
    <i>
      <x v="10"/>
    </i>
    <i>
      <x v="12"/>
    </i>
    <i>
      <x v="14"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Mês" sourceName="Mês">
  <pivotTables>
    <pivotTable tabId="2" name="Tabela dinâmica1"/>
  </pivotTables>
  <data>
    <tabular pivotCacheId="1">
      <items count="10">
        <i x="0"/>
        <i x="1"/>
        <i x="2"/>
        <i x="3"/>
        <i x="4"/>
        <i x="5"/>
        <i x="6"/>
        <i x="7"/>
        <i x="8"/>
        <i x="9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Turno1" sourceName="Turno1">
  <extLst>
    <x:ext xmlns:x15="http://schemas.microsoft.com/office/spreadsheetml/2010/11/main" uri="{2F2917AC-EB37-4324-AD4E-5DD8C200BD13}">
      <x15:tableSlicerCache tableId="2" column="1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Família" sourceName="Família">
  <extLst>
    <x:ext xmlns:x15="http://schemas.microsoft.com/office/spreadsheetml/2010/11/main" uri="{2F2917AC-EB37-4324-AD4E-5DD8C200BD13}">
      <x15:tableSlicerCache tableId="2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ês" cache="SegmentaçãodeDados_Mês" caption="Mês" columnCount="4" showCaption="0" style="SlicerStyleDark3" rowHeight="144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Turno1" cache="SegmentaçãodeDados_Turno1" caption="Turno1" columnCount="2" showCaption="0" style="SlicerStyleDark3" rowHeight="241300"/>
  <slicer name="Família" cache="SegmentaçãodeDados_Família" caption="Família" columnCount="3" showCaption="0" style="SlicerStyleDark3" rowHeight="241300"/>
</slicers>
</file>

<file path=xl/tables/table1.xml><?xml version="1.0" encoding="utf-8"?>
<table xmlns="http://schemas.openxmlformats.org/spreadsheetml/2006/main" id="2" name="Tabela2" displayName="Tabela2" ref="B3:D60" totalsRowShown="0" headerRowDxfId="20">
  <autoFilter ref="B3:D60"/>
  <tableColumns count="3">
    <tableColumn id="1" name="Turno1" dataDxfId="19">
      <calculatedColumnFormula>F4</calculatedColumnFormula>
    </tableColumn>
    <tableColumn id="3" name="Família" dataDxfId="18"/>
    <tableColumn id="2" name="Item1" dataDxfId="17">
      <calculatedColumnFormula>IF(E4=0,D3,E4)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1" name="Tabela1" displayName="Tabela1" ref="A1:AL215" totalsRowShown="0">
  <autoFilter ref="A1:AL215"/>
  <tableColumns count="38">
    <tableColumn id="2" name="Mês" dataDxfId="16">
      <calculatedColumnFormula>UPPER(TEXT(Tabela1[[#This Row],[Data]],"MMM"))</calculatedColumnFormula>
    </tableColumn>
    <tableColumn id="3" name="ID"/>
    <tableColumn id="4" name="Data e Hora" dataDxfId="15"/>
    <tableColumn id="5" name="Data recebimento" dataDxfId="14"/>
    <tableColumn id="6" name="Usuário"/>
    <tableColumn id="7" name="Data" dataDxfId="13"/>
    <tableColumn id="8" name="Turno" dataDxfId="12"/>
    <tableColumn id="9" name="Carne no Back" dataDxfId="11"/>
    <tableColumn id="10" name="Peito na Asa Meyn" dataDxfId="10"/>
    <tableColumn id="11" name="Medalhão na Asa Meyn" dataDxfId="9"/>
    <tableColumn id="12" name="Carne no Front" dataDxfId="8"/>
    <tableColumn id="13" name="2.2 Pinçagem "/>
    <tableColumn id="14" name="2.3 Cartilagem"/>
    <tableColumn id="15" name="% Eficiência da Pinçagem"/>
    <tableColumn id="16" name="% Eficiência remoção cartilagem"/>
    <tableColumn id="17" name="Corte Perna Cone" dataDxfId="7"/>
    <tableColumn id="18" name="Peito na Asa Cone" dataDxfId="6"/>
    <tableColumn id="19" name="Medalhão na Asa Cone" dataDxfId="5"/>
    <tableColumn id="20" name="Corte Peito Cone" dataDxfId="4"/>
    <tableColumn id="21" name="Corte Sassami Cone" dataDxfId="3"/>
    <tableColumn id="22" name="Corte Cartilagem Cone" dataDxfId="2"/>
    <tableColumn id="23" name="Atividades na Linha de Cone "/>
    <tableColumn id="24" name="Carne no Osso Perna Direita" dataDxfId="1"/>
    <tableColumn id="1" name="Carne no Osso Perna Esquerda" dataDxfId="0"/>
    <tableColumn id="25" name="Refile Perna"/>
    <tableColumn id="26" name="% Carne Refile Perna"/>
    <tableColumn id="27" name="5.1 Carne no Refile"/>
    <tableColumn id="28" name="5.2 Peito Limpo"/>
    <tableColumn id="29" name="% Carne Refile Peito"/>
    <tableColumn id="30" name="% Peito Limpo na esteira"/>
    <tableColumn id="31" name="6.1 Erro de Corte"/>
    <tableColumn id="32" name="% Erro de Corte da Porcionadora"/>
    <tableColumn id="33" name="Qualidade Acomodação"/>
    <tableColumn id="34" name="SKU"/>
    <tableColumn id="35" name=" Check list Acomodação"/>
    <tableColumn id="36" name="Assinatura  do Supervisor Responsável"/>
    <tableColumn id="37" name="Assinatura  do Supervisor Responsável2"/>
    <tableColumn id="38" name="Tempo de respost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microsoft.com/office/2007/relationships/slicer" Target="../slicers/slicer2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8"/>
  <sheetViews>
    <sheetView tabSelected="1" zoomScaleNormal="100" zoomScaleSheetLayoutView="100" workbookViewId="0">
      <pane xSplit="6" ySplit="3" topLeftCell="G4" activePane="bottomRight" state="frozen"/>
      <selection activeCell="E1" sqref="E1"/>
      <selection pane="topRight" activeCell="G1" sqref="G1"/>
      <selection pane="bottomLeft" activeCell="E4" sqref="E4"/>
      <selection pane="bottomRight" activeCell="P14" sqref="P14"/>
    </sheetView>
  </sheetViews>
  <sheetFormatPr defaultColWidth="9.88671875" defaultRowHeight="14.4" x14ac:dyDescent="0.3"/>
  <cols>
    <col min="1" max="2" width="9.88671875" style="25" hidden="1" customWidth="1"/>
    <col min="3" max="3" width="24.44140625" style="25" hidden="1" customWidth="1"/>
    <col min="4" max="4" width="23.109375" hidden="1" customWidth="1"/>
    <col min="5" max="5" width="29.44140625" style="8" bestFit="1" customWidth="1"/>
    <col min="6" max="6" width="9.109375" customWidth="1"/>
    <col min="7" max="18" width="9.109375" style="25" customWidth="1"/>
    <col min="19" max="19" width="9.109375" customWidth="1"/>
    <col min="20" max="20" width="1.6640625" customWidth="1"/>
    <col min="23" max="44" width="9.88671875" style="25"/>
  </cols>
  <sheetData>
    <row r="1" spans="1:44" ht="27.75" customHeight="1" x14ac:dyDescent="0.3"/>
    <row r="2" spans="1:44" ht="27.75" customHeight="1" x14ac:dyDescent="0.3"/>
    <row r="3" spans="1:44" ht="30.75" customHeight="1" thickBot="1" x14ac:dyDescent="0.35">
      <c r="A3" s="5" t="s">
        <v>140</v>
      </c>
      <c r="B3" s="5" t="s">
        <v>156</v>
      </c>
      <c r="C3" s="5" t="s">
        <v>157</v>
      </c>
      <c r="D3" s="5" t="s">
        <v>141</v>
      </c>
      <c r="E3" s="19" t="s">
        <v>153</v>
      </c>
      <c r="F3" s="6" t="s">
        <v>126</v>
      </c>
      <c r="G3" s="6" t="s">
        <v>127</v>
      </c>
      <c r="H3" s="6" t="s">
        <v>128</v>
      </c>
      <c r="I3" s="6" t="s">
        <v>129</v>
      </c>
      <c r="J3" s="6" t="s">
        <v>130</v>
      </c>
      <c r="K3" s="6" t="s">
        <v>131</v>
      </c>
      <c r="L3" s="6" t="s">
        <v>132</v>
      </c>
      <c r="M3" s="6" t="s">
        <v>133</v>
      </c>
      <c r="N3" s="6" t="s">
        <v>134</v>
      </c>
      <c r="O3" s="6" t="s">
        <v>135</v>
      </c>
      <c r="P3" s="6" t="s">
        <v>136</v>
      </c>
      <c r="Q3" s="6" t="s">
        <v>137</v>
      </c>
      <c r="R3" s="6" t="s">
        <v>138</v>
      </c>
      <c r="S3" s="7" t="s">
        <v>139</v>
      </c>
      <c r="U3" s="20" t="str">
        <f>IF(U118="","",U118)</f>
        <v>01/10/2026</v>
      </c>
      <c r="V3" s="20" t="str">
        <f t="shared" ref="V3:AR3" si="0">IF(V118="","",V118)</f>
        <v>02/10/2026</v>
      </c>
      <c r="W3" s="20" t="str">
        <f t="shared" si="0"/>
        <v>05/10/2026</v>
      </c>
      <c r="X3" s="20" t="str">
        <f t="shared" si="0"/>
        <v>06/10/2026</v>
      </c>
      <c r="Y3" s="20" t="str">
        <f t="shared" si="0"/>
        <v>07/10/2026</v>
      </c>
      <c r="Z3" s="20" t="str">
        <f t="shared" si="0"/>
        <v>08/10/2026</v>
      </c>
      <c r="AA3" s="20" t="str">
        <f t="shared" si="0"/>
        <v>09/10/2026</v>
      </c>
      <c r="AB3" s="20" t="str">
        <f t="shared" si="0"/>
        <v/>
      </c>
      <c r="AC3" s="20" t="str">
        <f t="shared" si="0"/>
        <v/>
      </c>
      <c r="AD3" s="20" t="str">
        <f t="shared" si="0"/>
        <v/>
      </c>
      <c r="AE3" s="20" t="str">
        <f t="shared" si="0"/>
        <v/>
      </c>
      <c r="AF3" s="20" t="str">
        <f t="shared" si="0"/>
        <v/>
      </c>
      <c r="AG3" s="20" t="str">
        <f t="shared" si="0"/>
        <v/>
      </c>
      <c r="AH3" s="20" t="str">
        <f t="shared" si="0"/>
        <v/>
      </c>
      <c r="AI3" s="20" t="str">
        <f t="shared" si="0"/>
        <v/>
      </c>
      <c r="AJ3" s="20" t="str">
        <f t="shared" si="0"/>
        <v/>
      </c>
      <c r="AK3" s="20" t="str">
        <f t="shared" si="0"/>
        <v/>
      </c>
      <c r="AL3" s="20" t="str">
        <f t="shared" si="0"/>
        <v/>
      </c>
      <c r="AM3" s="20" t="str">
        <f t="shared" si="0"/>
        <v/>
      </c>
      <c r="AN3" s="20" t="str">
        <f t="shared" si="0"/>
        <v/>
      </c>
      <c r="AO3" s="20" t="str">
        <f t="shared" si="0"/>
        <v/>
      </c>
      <c r="AP3" s="20" t="str">
        <f t="shared" si="0"/>
        <v/>
      </c>
      <c r="AQ3" s="20" t="str">
        <f t="shared" si="0"/>
        <v/>
      </c>
      <c r="AR3" s="20" t="str">
        <f t="shared" si="0"/>
        <v/>
      </c>
    </row>
    <row r="4" spans="1:44" ht="15" thickTop="1" x14ac:dyDescent="0.3">
      <c r="A4" s="25" t="s">
        <v>120</v>
      </c>
      <c r="B4" s="25">
        <f>F4</f>
        <v>1</v>
      </c>
      <c r="C4" s="25" t="s">
        <v>122</v>
      </c>
      <c r="D4" s="4" t="str">
        <f>IF(E4=0,D3,E4)</f>
        <v>Carne no Back</v>
      </c>
      <c r="E4" s="35" t="str">
        <f>Coleta!H1</f>
        <v>Carne no Back</v>
      </c>
      <c r="F4" s="22">
        <v>1</v>
      </c>
      <c r="G4" s="26" t="str">
        <f ca="1">IFERROR(AVERAGEIFS(INDIRECT("Tabela1["&amp;$D4&amp;"]"),Tabela1[Turno],$F4,Tabela1[Mês],G$3),"")</f>
        <v/>
      </c>
      <c r="H4" s="26" t="str">
        <f ca="1">IFERROR(AVERAGEIFS(INDIRECT("Tabela1["&amp;$D4&amp;"]"),Tabela1[Turno],$F4,Tabela1[Mês],H$3),"")</f>
        <v/>
      </c>
      <c r="I4" s="26" t="str">
        <f ca="1">IFERROR(AVERAGEIFS(INDIRECT("Tabela1["&amp;$D4&amp;"]"),Tabela1[Turno],$F4,Tabela1[Mês],I$3),"")</f>
        <v/>
      </c>
      <c r="J4" s="26" t="str">
        <f ca="1">IFERROR(AVERAGEIFS(INDIRECT("Tabela1["&amp;$D4&amp;"]"),Tabela1[Turno],$F4,Tabela1[Mês],J$3),"")</f>
        <v/>
      </c>
      <c r="K4" s="26" t="str">
        <f ca="1">IFERROR(AVERAGEIFS(INDIRECT("Tabela1["&amp;$D4&amp;"]"),Tabela1[Turno],$F4,Tabela1[Mês],K$3),"")</f>
        <v/>
      </c>
      <c r="L4" s="26" t="str">
        <f ca="1">IFERROR(AVERAGEIFS(INDIRECT("Tabela1["&amp;$D4&amp;"]"),Tabela1[Turno],$F4,Tabela1[Mês],L$3),"")</f>
        <v/>
      </c>
      <c r="M4" s="26" t="str">
        <f ca="1">IFERROR(AVERAGEIFS(INDIRECT("Tabela1["&amp;$D4&amp;"]"),Tabela1[Turno],$F4,Tabela1[Mês],M$3),"")</f>
        <v/>
      </c>
      <c r="N4" s="26">
        <f ca="1">IFERROR(AVERAGEIFS(INDIRECT("Tabela1["&amp;$D4&amp;"]"),Tabela1[Turno],$F4,Tabela1[Mês],N$3),"")</f>
        <v>8.4</v>
      </c>
      <c r="O4" s="26">
        <f ca="1">IFERROR(AVERAGEIFS(INDIRECT("Tabela1["&amp;$D4&amp;"]"),Tabela1[Turno],$F4,Tabela1[Mês],O$3),"")</f>
        <v>6.8</v>
      </c>
      <c r="P4" s="26" t="str">
        <f ca="1">IFERROR(AVERAGEIFS(INDIRECT("Tabela1["&amp;$D4&amp;"]"),Tabela1[Turno],$F4,Tabela1[Mês],P$3),"")</f>
        <v/>
      </c>
      <c r="Q4" s="26" t="str">
        <f ca="1">IFERROR(AVERAGEIFS(INDIRECT("Tabela1["&amp;$D4&amp;"]"),Tabela1[Turno],$F4,Tabela1[Mês],Q$3),"")</f>
        <v/>
      </c>
      <c r="R4" s="27" t="str">
        <f ca="1">IFERROR(AVERAGEIFS(INDIRECT("Tabela1["&amp;$D4&amp;"]"),Tabela1[Turno],$F4,Tabela1[Mês],R$3),"")</f>
        <v/>
      </c>
      <c r="S4" s="38">
        <v>10</v>
      </c>
      <c r="U4" s="11" t="str">
        <f ca="1">IFERROR(AVERAGEIFS(INDIRECT("Tabela1["&amp;$D4&amp;"]"),Tabela1[Turno],$F4,Tabela1[Data],U$3),"")</f>
        <v/>
      </c>
      <c r="V4" s="11" t="str">
        <f ca="1">IFERROR(AVERAGEIFS(INDIRECT("Tabela1["&amp;$D4&amp;"]"),Tabela1[Turno],$F4,Tabela1[Data],V$3),"")</f>
        <v/>
      </c>
      <c r="W4" s="26" t="str">
        <f ca="1">IFERROR(AVERAGEIFS(INDIRECT("Tabela1["&amp;$D4&amp;"]"),Tabela1[Turno],$F4,Tabela1[Data],W$3),"")</f>
        <v/>
      </c>
      <c r="X4" s="26" t="str">
        <f ca="1">IFERROR(AVERAGEIFS(INDIRECT("Tabela1["&amp;$D4&amp;"]"),Tabela1[Turno],$F4,Tabela1[Data],X$3),"")</f>
        <v/>
      </c>
      <c r="Y4" s="26" t="str">
        <f ca="1">IFERROR(AVERAGEIFS(INDIRECT("Tabela1["&amp;$D4&amp;"]"),Tabela1[Turno],$F4,Tabela1[Data],Y$3),"")</f>
        <v/>
      </c>
      <c r="Z4" s="26" t="str">
        <f ca="1">IFERROR(AVERAGEIFS(INDIRECT("Tabela1["&amp;$D4&amp;"]"),Tabela1[Turno],$F4,Tabela1[Data],Z$3),"")</f>
        <v/>
      </c>
      <c r="AA4" s="26" t="str">
        <f ca="1">IFERROR(AVERAGEIFS(INDIRECT("Tabela1["&amp;$D4&amp;"]"),Tabela1[Turno],$F4,Tabela1[Data],AA$3),"")</f>
        <v/>
      </c>
      <c r="AB4" s="26" t="str">
        <f ca="1">IFERROR(AVERAGEIFS(INDIRECT("Tabela1["&amp;$D4&amp;"]"),Tabela1[Turno],$F4,Tabela1[Data],AB$3),"")</f>
        <v/>
      </c>
      <c r="AC4" s="26" t="str">
        <f ca="1">IFERROR(AVERAGEIFS(INDIRECT("Tabela1["&amp;$D4&amp;"]"),Tabela1[Turno],$F4,Tabela1[Data],AC$3),"")</f>
        <v/>
      </c>
      <c r="AD4" s="26" t="str">
        <f ca="1">IFERROR(AVERAGEIFS(INDIRECT("Tabela1["&amp;$D4&amp;"]"),Tabela1[Turno],$F4,Tabela1[Data],AD$3),"")</f>
        <v/>
      </c>
      <c r="AE4" s="26" t="str">
        <f ca="1">IFERROR(AVERAGEIFS(INDIRECT("Tabela1["&amp;$D4&amp;"]"),Tabela1[Turno],$F4,Tabela1[Data],AE$3),"")</f>
        <v/>
      </c>
      <c r="AF4" s="26" t="str">
        <f ca="1">IFERROR(AVERAGEIFS(INDIRECT("Tabela1["&amp;$D4&amp;"]"),Tabela1[Turno],$F4,Tabela1[Data],AF$3),"")</f>
        <v/>
      </c>
      <c r="AG4" s="26" t="str">
        <f ca="1">IFERROR(AVERAGEIFS(INDIRECT("Tabela1["&amp;$D4&amp;"]"),Tabela1[Turno],$F4,Tabela1[Data],AG$3),"")</f>
        <v/>
      </c>
      <c r="AH4" s="26" t="str">
        <f ca="1">IFERROR(AVERAGEIFS(INDIRECT("Tabela1["&amp;$D4&amp;"]"),Tabela1[Turno],$F4,Tabela1[Data],AH$3),"")</f>
        <v/>
      </c>
      <c r="AI4" s="26" t="str">
        <f ca="1">IFERROR(AVERAGEIFS(INDIRECT("Tabela1["&amp;$D4&amp;"]"),Tabela1[Turno],$F4,Tabela1[Data],AI$3),"")</f>
        <v/>
      </c>
      <c r="AJ4" s="26" t="str">
        <f ca="1">IFERROR(AVERAGEIFS(INDIRECT("Tabela1["&amp;$D4&amp;"]"),Tabela1[Turno],$F4,Tabela1[Data],AJ$3),"")</f>
        <v/>
      </c>
      <c r="AK4" s="26" t="str">
        <f ca="1">IFERROR(AVERAGEIFS(INDIRECT("Tabela1["&amp;$D4&amp;"]"),Tabela1[Turno],$F4,Tabela1[Data],AK$3),"")</f>
        <v/>
      </c>
      <c r="AL4" s="26" t="str">
        <f ca="1">IFERROR(AVERAGEIFS(INDIRECT("Tabela1["&amp;$D4&amp;"]"),Tabela1[Turno],$F4,Tabela1[Data],AL$3),"")</f>
        <v/>
      </c>
      <c r="AM4" s="26" t="str">
        <f ca="1">IFERROR(AVERAGEIFS(INDIRECT("Tabela1["&amp;$D4&amp;"]"),Tabela1[Turno],$F4,Tabela1[Data],AM$3),"")</f>
        <v/>
      </c>
      <c r="AN4" s="26" t="str">
        <f ca="1">IFERROR(AVERAGEIFS(INDIRECT("Tabela1["&amp;$D4&amp;"]"),Tabela1[Turno],$F4,Tabela1[Data],AN$3),"")</f>
        <v/>
      </c>
      <c r="AO4" s="26" t="str">
        <f ca="1">IFERROR(AVERAGEIFS(INDIRECT("Tabela1["&amp;$D4&amp;"]"),Tabela1[Turno],$F4,Tabela1[Data],AO$3),"")</f>
        <v/>
      </c>
      <c r="AP4" s="26" t="str">
        <f ca="1">IFERROR(AVERAGEIFS(INDIRECT("Tabela1["&amp;$D4&amp;"]"),Tabela1[Turno],$F4,Tabela1[Data],AP$3),"")</f>
        <v/>
      </c>
      <c r="AQ4" s="26" t="str">
        <f ca="1">IFERROR(AVERAGEIFS(INDIRECT("Tabela1["&amp;$D4&amp;"]"),Tabela1[Turno],$F4,Tabela1[Data],AQ$3),"")</f>
        <v/>
      </c>
      <c r="AR4" s="26" t="str">
        <f ca="1">IFERROR(AVERAGEIFS(INDIRECT("Tabela1["&amp;$D4&amp;"]"),Tabela1[Turno],$F4,Tabela1[Data],AR$3),"")</f>
        <v/>
      </c>
    </row>
    <row r="5" spans="1:44" x14ac:dyDescent="0.3">
      <c r="A5" s="25" t="s">
        <v>120</v>
      </c>
      <c r="B5" s="25">
        <f t="shared" ref="B5:B60" si="1">F5</f>
        <v>2</v>
      </c>
      <c r="C5" s="25" t="s">
        <v>122</v>
      </c>
      <c r="D5" s="4" t="str">
        <f>IF(E5=0,D4,E5)</f>
        <v>Carne no Back</v>
      </c>
      <c r="E5" s="36"/>
      <c r="F5" s="23">
        <v>2</v>
      </c>
      <c r="G5" s="12" t="str">
        <f ca="1">IFERROR(AVERAGEIFS(INDIRECT("Tabela1["&amp;$D5&amp;"]"),Tabela1[Turno],$F5,Tabela1[Mês],G$3),"")</f>
        <v/>
      </c>
      <c r="H5" s="12" t="str">
        <f ca="1">IFERROR(AVERAGEIFS(INDIRECT("Tabela1["&amp;$D5&amp;"]"),Tabela1[Turno],$F5,Tabela1[Mês],H$3),"")</f>
        <v/>
      </c>
      <c r="I5" s="12" t="str">
        <f ca="1">IFERROR(AVERAGEIFS(INDIRECT("Tabela1["&amp;$D5&amp;"]"),Tabela1[Turno],$F5,Tabela1[Mês],I$3),"")</f>
        <v/>
      </c>
      <c r="J5" s="12" t="str">
        <f ca="1">IFERROR(AVERAGEIFS(INDIRECT("Tabela1["&amp;$D5&amp;"]"),Tabela1[Turno],$F5,Tabela1[Mês],J$3),"")</f>
        <v/>
      </c>
      <c r="K5" s="12" t="str">
        <f ca="1">IFERROR(AVERAGEIFS(INDIRECT("Tabela1["&amp;$D5&amp;"]"),Tabela1[Turno],$F5,Tabela1[Mês],K$3),"")</f>
        <v/>
      </c>
      <c r="L5" s="12" t="str">
        <f ca="1">IFERROR(AVERAGEIFS(INDIRECT("Tabela1["&amp;$D5&amp;"]"),Tabela1[Turno],$F5,Tabela1[Mês],L$3),"")</f>
        <v/>
      </c>
      <c r="M5" s="12" t="str">
        <f ca="1">IFERROR(AVERAGEIFS(INDIRECT("Tabela1["&amp;$D5&amp;"]"),Tabela1[Turno],$F5,Tabela1[Mês],M$3),"")</f>
        <v/>
      </c>
      <c r="N5" s="12">
        <f ca="1">IFERROR(AVERAGEIFS(INDIRECT("Tabela1["&amp;$D5&amp;"]"),Tabela1[Turno],$F5,Tabela1[Mês],N$3),"")</f>
        <v>6.7058823529411766</v>
      </c>
      <c r="O5" s="12">
        <f ca="1">IFERROR(AVERAGEIFS(INDIRECT("Tabela1["&amp;$D5&amp;"]"),Tabela1[Turno],$F5,Tabela1[Mês],O$3),"")</f>
        <v>6.9135802469135799</v>
      </c>
      <c r="P5" s="12">
        <f ca="1">IFERROR(AVERAGEIFS(INDIRECT("Tabela1["&amp;$D5&amp;"]"),Tabela1[Turno],$F5,Tabela1[Mês],P$3),"")</f>
        <v>7</v>
      </c>
      <c r="Q5" s="12" t="str">
        <f ca="1">IFERROR(AVERAGEIFS(INDIRECT("Tabela1["&amp;$D5&amp;"]"),Tabela1[Turno],$F5,Tabela1[Mês],Q$3),"")</f>
        <v/>
      </c>
      <c r="R5" s="13" t="str">
        <f ca="1">IFERROR(AVERAGEIFS(INDIRECT("Tabela1["&amp;$D5&amp;"]"),Tabela1[Turno],$F5,Tabela1[Mês],R$3),"")</f>
        <v/>
      </c>
      <c r="S5" s="39"/>
      <c r="U5" s="12">
        <f ca="1">IFERROR(AVERAGEIFS(INDIRECT("Tabela1["&amp;$D5&amp;"]"),Tabela1[Turno],$F5,Tabela1[Data],U$3),"")</f>
        <v>7</v>
      </c>
      <c r="V5" s="12">
        <f ca="1">IFERROR(AVERAGEIFS(INDIRECT("Tabela1["&amp;$D5&amp;"]"),Tabela1[Turno],$F5,Tabela1[Data],V$3),"")</f>
        <v>7</v>
      </c>
      <c r="W5" s="12">
        <f ca="1">IFERROR(AVERAGEIFS(INDIRECT("Tabela1["&amp;$D5&amp;"]"),Tabela1[Turno],$F5,Tabela1[Data],W$3),"")</f>
        <v>7</v>
      </c>
      <c r="X5" s="12">
        <f ca="1">IFERROR(AVERAGEIFS(INDIRECT("Tabela1["&amp;$D5&amp;"]"),Tabela1[Turno],$F5,Tabela1[Data],X$3),"")</f>
        <v>7</v>
      </c>
      <c r="Y5" s="12">
        <f ca="1">IFERROR(AVERAGEIFS(INDIRECT("Tabela1["&amp;$D5&amp;"]"),Tabela1[Turno],$F5,Tabela1[Data],Y$3),"")</f>
        <v>7</v>
      </c>
      <c r="Z5" s="12">
        <f ca="1">IFERROR(AVERAGEIFS(INDIRECT("Tabela1["&amp;$D5&amp;"]"),Tabela1[Turno],$F5,Tabela1[Data],Z$3),"")</f>
        <v>7</v>
      </c>
      <c r="AA5" s="12">
        <f ca="1">IFERROR(AVERAGEIFS(INDIRECT("Tabela1["&amp;$D5&amp;"]"),Tabela1[Turno],$F5,Tabela1[Data],AA$3),"")</f>
        <v>7</v>
      </c>
      <c r="AB5" s="12" t="str">
        <f ca="1">IFERROR(AVERAGEIFS(INDIRECT("Tabela1["&amp;$D5&amp;"]"),Tabela1[Turno],$F5,Tabela1[Data],AB$3),"")</f>
        <v/>
      </c>
      <c r="AC5" s="12" t="str">
        <f ca="1">IFERROR(AVERAGEIFS(INDIRECT("Tabela1["&amp;$D5&amp;"]"),Tabela1[Turno],$F5,Tabela1[Data],AC$3),"")</f>
        <v/>
      </c>
      <c r="AD5" s="12" t="str">
        <f ca="1">IFERROR(AVERAGEIFS(INDIRECT("Tabela1["&amp;$D5&amp;"]"),Tabela1[Turno],$F5,Tabela1[Data],AD$3),"")</f>
        <v/>
      </c>
      <c r="AE5" s="12" t="str">
        <f ca="1">IFERROR(AVERAGEIFS(INDIRECT("Tabela1["&amp;$D5&amp;"]"),Tabela1[Turno],$F5,Tabela1[Data],AE$3),"")</f>
        <v/>
      </c>
      <c r="AF5" s="12" t="str">
        <f ca="1">IFERROR(AVERAGEIFS(INDIRECT("Tabela1["&amp;$D5&amp;"]"),Tabela1[Turno],$F5,Tabela1[Data],AF$3),"")</f>
        <v/>
      </c>
      <c r="AG5" s="12" t="str">
        <f ca="1">IFERROR(AVERAGEIFS(INDIRECT("Tabela1["&amp;$D5&amp;"]"),Tabela1[Turno],$F5,Tabela1[Data],AG$3),"")</f>
        <v/>
      </c>
      <c r="AH5" s="12" t="str">
        <f ca="1">IFERROR(AVERAGEIFS(INDIRECT("Tabela1["&amp;$D5&amp;"]"),Tabela1[Turno],$F5,Tabela1[Data],AH$3),"")</f>
        <v/>
      </c>
      <c r="AI5" s="12" t="str">
        <f ca="1">IFERROR(AVERAGEIFS(INDIRECT("Tabela1["&amp;$D5&amp;"]"),Tabela1[Turno],$F5,Tabela1[Data],AI$3),"")</f>
        <v/>
      </c>
      <c r="AJ5" s="12" t="str">
        <f ca="1">IFERROR(AVERAGEIFS(INDIRECT("Tabela1["&amp;$D5&amp;"]"),Tabela1[Turno],$F5,Tabela1[Data],AJ$3),"")</f>
        <v/>
      </c>
      <c r="AK5" s="12" t="str">
        <f ca="1">IFERROR(AVERAGEIFS(INDIRECT("Tabela1["&amp;$D5&amp;"]"),Tabela1[Turno],$F5,Tabela1[Data],AK$3),"")</f>
        <v/>
      </c>
      <c r="AL5" s="12" t="str">
        <f ca="1">IFERROR(AVERAGEIFS(INDIRECT("Tabela1["&amp;$D5&amp;"]"),Tabela1[Turno],$F5,Tabela1[Data],AL$3),"")</f>
        <v/>
      </c>
      <c r="AM5" s="12" t="str">
        <f ca="1">IFERROR(AVERAGEIFS(INDIRECT("Tabela1["&amp;$D5&amp;"]"),Tabela1[Turno],$F5,Tabela1[Data],AM$3),"")</f>
        <v/>
      </c>
      <c r="AN5" s="12" t="str">
        <f ca="1">IFERROR(AVERAGEIFS(INDIRECT("Tabela1["&amp;$D5&amp;"]"),Tabela1[Turno],$F5,Tabela1[Data],AN$3),"")</f>
        <v/>
      </c>
      <c r="AO5" s="12" t="str">
        <f ca="1">IFERROR(AVERAGEIFS(INDIRECT("Tabela1["&amp;$D5&amp;"]"),Tabela1[Turno],$F5,Tabela1[Data],AO$3),"")</f>
        <v/>
      </c>
      <c r="AP5" s="12" t="str">
        <f ca="1">IFERROR(AVERAGEIFS(INDIRECT("Tabela1["&amp;$D5&amp;"]"),Tabela1[Turno],$F5,Tabela1[Data],AP$3),"")</f>
        <v/>
      </c>
      <c r="AQ5" s="12" t="str">
        <f ca="1">IFERROR(AVERAGEIFS(INDIRECT("Tabela1["&amp;$D5&amp;"]"),Tabela1[Turno],$F5,Tabela1[Data],AQ$3),"")</f>
        <v/>
      </c>
      <c r="AR5" s="12" t="str">
        <f ca="1">IFERROR(AVERAGEIFS(INDIRECT("Tabela1["&amp;$D5&amp;"]"),Tabela1[Turno],$F5,Tabela1[Data],AR$3),"")</f>
        <v/>
      </c>
    </row>
    <row r="6" spans="1:44" ht="15" thickBot="1" x14ac:dyDescent="0.35">
      <c r="A6" s="25" t="s">
        <v>120</v>
      </c>
      <c r="B6" s="25" t="str">
        <f t="shared" si="1"/>
        <v>Unidade</v>
      </c>
      <c r="C6" s="25" t="s">
        <v>122</v>
      </c>
      <c r="D6" s="4" t="str">
        <f>IF(E6=0,D5,E6)</f>
        <v>Carne no Back</v>
      </c>
      <c r="E6" s="37"/>
      <c r="F6" s="24" t="s">
        <v>142</v>
      </c>
      <c r="G6" s="9" t="str">
        <f ca="1">IFERROR(AVERAGEIFS(INDIRECT("Tabela1["&amp;$D6&amp;"]"),Tabela1[Mês],G$3),"")</f>
        <v/>
      </c>
      <c r="H6" s="9" t="str">
        <f ca="1">IFERROR(AVERAGEIFS(INDIRECT("Tabela1["&amp;$D6&amp;"]"),Tabela1[Mês],H$3),"")</f>
        <v/>
      </c>
      <c r="I6" s="9" t="str">
        <f ca="1">IFERROR(AVERAGEIFS(INDIRECT("Tabela1["&amp;$D6&amp;"]"),Tabela1[Mês],I$3),"")</f>
        <v/>
      </c>
      <c r="J6" s="9" t="str">
        <f ca="1">IFERROR(AVERAGEIFS(INDIRECT("Tabela1["&amp;$D6&amp;"]"),Tabela1[Mês],J$3),"")</f>
        <v/>
      </c>
      <c r="K6" s="9" t="str">
        <f ca="1">IFERROR(AVERAGEIFS(INDIRECT("Tabela1["&amp;$D6&amp;"]"),Tabela1[Mês],K$3),"")</f>
        <v/>
      </c>
      <c r="L6" s="9" t="str">
        <f ca="1">IFERROR(AVERAGEIFS(INDIRECT("Tabela1["&amp;$D6&amp;"]"),Tabela1[Mês],L$3),"")</f>
        <v/>
      </c>
      <c r="M6" s="9" t="str">
        <f ca="1">IFERROR(AVERAGEIFS(INDIRECT("Tabela1["&amp;$D6&amp;"]"),Tabela1[Mês],M$3),"")</f>
        <v/>
      </c>
      <c r="N6" s="9">
        <f ca="1">IFERROR(AVERAGEIFS(INDIRECT("Tabela1["&amp;$D6&amp;"]"),Tabela1[Mês],N$3),"")</f>
        <v>6.8243243243243246</v>
      </c>
      <c r="O6" s="9">
        <f ca="1">IFERROR(AVERAGEIFS(INDIRECT("Tabela1["&amp;$D6&amp;"]"),Tabela1[Mês],O$3),"")</f>
        <v>6.9010989010989015</v>
      </c>
      <c r="P6" s="9">
        <f ca="1">IFERROR(AVERAGEIFS(INDIRECT("Tabela1["&amp;$D6&amp;"]"),Tabela1[Mês],P$3),"")</f>
        <v>7</v>
      </c>
      <c r="Q6" s="9" t="str">
        <f ca="1">IFERROR(AVERAGEIFS(INDIRECT("Tabela1["&amp;$D6&amp;"]"),Tabela1[Mês],Q$3),"")</f>
        <v/>
      </c>
      <c r="R6" s="14" t="str">
        <f ca="1">IFERROR(AVERAGEIFS(INDIRECT("Tabela1["&amp;$D6&amp;"]"),Tabela1[Mês],R$3),"")</f>
        <v/>
      </c>
      <c r="S6" s="40"/>
      <c r="U6" s="9">
        <f ca="1">IFERROR(AVERAGEIFS(INDIRECT("Tabela1["&amp;$D6&amp;"]"),Tabela1[Data],U$3),"")</f>
        <v>7</v>
      </c>
      <c r="V6" s="9">
        <f ca="1">IFERROR(AVERAGEIFS(INDIRECT("Tabela1["&amp;$D6&amp;"]"),Tabela1[Data],V$3),"")</f>
        <v>7</v>
      </c>
      <c r="W6" s="9">
        <f ca="1">IFERROR(AVERAGEIFS(INDIRECT("Tabela1["&amp;$D6&amp;"]"),Tabela1[Data],W$3),"")</f>
        <v>7</v>
      </c>
      <c r="X6" s="9">
        <f ca="1">IFERROR(AVERAGEIFS(INDIRECT("Tabela1["&amp;$D6&amp;"]"),Tabela1[Data],X$3),"")</f>
        <v>7</v>
      </c>
      <c r="Y6" s="9">
        <f ca="1">IFERROR(AVERAGEIFS(INDIRECT("Tabela1["&amp;$D6&amp;"]"),Tabela1[Data],Y$3),"")</f>
        <v>7</v>
      </c>
      <c r="Z6" s="9">
        <f ca="1">IFERROR(AVERAGEIFS(INDIRECT("Tabela1["&amp;$D6&amp;"]"),Tabela1[Data],Z$3),"")</f>
        <v>7</v>
      </c>
      <c r="AA6" s="9">
        <f ca="1">IFERROR(AVERAGEIFS(INDIRECT("Tabela1["&amp;$D6&amp;"]"),Tabela1[Data],AA$3),"")</f>
        <v>7</v>
      </c>
      <c r="AB6" s="9" t="str">
        <f ca="1">IFERROR(AVERAGEIFS(INDIRECT("Tabela1["&amp;$D6&amp;"]"),Tabela1[Data],AB$3),"")</f>
        <v/>
      </c>
      <c r="AC6" s="9" t="str">
        <f ca="1">IFERROR(AVERAGEIFS(INDIRECT("Tabela1["&amp;$D6&amp;"]"),Tabela1[Data],AC$3),"")</f>
        <v/>
      </c>
      <c r="AD6" s="9" t="str">
        <f ca="1">IFERROR(AVERAGEIFS(INDIRECT("Tabela1["&amp;$D6&amp;"]"),Tabela1[Data],AD$3),"")</f>
        <v/>
      </c>
      <c r="AE6" s="9" t="str">
        <f ca="1">IFERROR(AVERAGEIFS(INDIRECT("Tabela1["&amp;$D6&amp;"]"),Tabela1[Data],AE$3),"")</f>
        <v/>
      </c>
      <c r="AF6" s="9" t="str">
        <f ca="1">IFERROR(AVERAGEIFS(INDIRECT("Tabela1["&amp;$D6&amp;"]"),Tabela1[Data],AF$3),"")</f>
        <v/>
      </c>
      <c r="AG6" s="9" t="str">
        <f ca="1">IFERROR(AVERAGEIFS(INDIRECT("Tabela1["&amp;$D6&amp;"]"),Tabela1[Data],AG$3),"")</f>
        <v/>
      </c>
      <c r="AH6" s="9" t="str">
        <f ca="1">IFERROR(AVERAGEIFS(INDIRECT("Tabela1["&amp;$D6&amp;"]"),Tabela1[Data],AH$3),"")</f>
        <v/>
      </c>
      <c r="AI6" s="9" t="str">
        <f ca="1">IFERROR(AVERAGEIFS(INDIRECT("Tabela1["&amp;$D6&amp;"]"),Tabela1[Data],AI$3),"")</f>
        <v/>
      </c>
      <c r="AJ6" s="9" t="str">
        <f ca="1">IFERROR(AVERAGEIFS(INDIRECT("Tabela1["&amp;$D6&amp;"]"),Tabela1[Data],AJ$3),"")</f>
        <v/>
      </c>
      <c r="AK6" s="9" t="str">
        <f ca="1">IFERROR(AVERAGEIFS(INDIRECT("Tabela1["&amp;$D6&amp;"]"),Tabela1[Data],AK$3),"")</f>
        <v/>
      </c>
      <c r="AL6" s="9" t="str">
        <f ca="1">IFERROR(AVERAGEIFS(INDIRECT("Tabela1["&amp;$D6&amp;"]"),Tabela1[Data],AL$3),"")</f>
        <v/>
      </c>
      <c r="AM6" s="9" t="str">
        <f ca="1">IFERROR(AVERAGEIFS(INDIRECT("Tabela1["&amp;$D6&amp;"]"),Tabela1[Data],AM$3),"")</f>
        <v/>
      </c>
      <c r="AN6" s="9" t="str">
        <f ca="1">IFERROR(AVERAGEIFS(INDIRECT("Tabela1["&amp;$D6&amp;"]"),Tabela1[Data],AN$3),"")</f>
        <v/>
      </c>
      <c r="AO6" s="9" t="str">
        <f ca="1">IFERROR(AVERAGEIFS(INDIRECT("Tabela1["&amp;$D6&amp;"]"),Tabela1[Data],AO$3),"")</f>
        <v/>
      </c>
      <c r="AP6" s="9" t="str">
        <f ca="1">IFERROR(AVERAGEIFS(INDIRECT("Tabela1["&amp;$D6&amp;"]"),Tabela1[Data],AP$3),"")</f>
        <v/>
      </c>
      <c r="AQ6" s="9" t="str">
        <f ca="1">IFERROR(AVERAGEIFS(INDIRECT("Tabela1["&amp;$D6&amp;"]"),Tabela1[Data],AQ$3),"")</f>
        <v/>
      </c>
      <c r="AR6" s="9" t="str">
        <f ca="1">IFERROR(AVERAGEIFS(INDIRECT("Tabela1["&amp;$D6&amp;"]"),Tabela1[Data],AR$3),"")</f>
        <v/>
      </c>
    </row>
    <row r="7" spans="1:44" ht="15" thickTop="1" x14ac:dyDescent="0.3">
      <c r="A7" s="25" t="s">
        <v>120</v>
      </c>
      <c r="B7" s="25">
        <f t="shared" si="1"/>
        <v>1</v>
      </c>
      <c r="C7" s="25" t="s">
        <v>123</v>
      </c>
      <c r="D7" s="4" t="str">
        <f>IF(E7=0,D6,E7)</f>
        <v>Peito na Asa Meyn</v>
      </c>
      <c r="E7" s="35" t="str">
        <f>Coleta!I1</f>
        <v>Peito na Asa Meyn</v>
      </c>
      <c r="F7" s="22">
        <v>1</v>
      </c>
      <c r="G7" s="26" t="str">
        <f ca="1">IFERROR(AVERAGEIFS(INDIRECT("Tabela1["&amp;$D7&amp;"]"),Tabela1[Turno],$F7,Tabela1[Mês],G$3),"")</f>
        <v/>
      </c>
      <c r="H7" s="26" t="str">
        <f ca="1">IFERROR(AVERAGEIFS(INDIRECT("Tabela1["&amp;$D7&amp;"]"),Tabela1[Turno],$F7,Tabela1[Mês],H$3),"")</f>
        <v/>
      </c>
      <c r="I7" s="26" t="str">
        <f ca="1">IFERROR(AVERAGEIFS(INDIRECT("Tabela1["&amp;$D7&amp;"]"),Tabela1[Turno],$F7,Tabela1[Mês],I$3),"")</f>
        <v/>
      </c>
      <c r="J7" s="26" t="str">
        <f ca="1">IFERROR(AVERAGEIFS(INDIRECT("Tabela1["&amp;$D7&amp;"]"),Tabela1[Turno],$F7,Tabela1[Mês],J$3),"")</f>
        <v/>
      </c>
      <c r="K7" s="26" t="str">
        <f ca="1">IFERROR(AVERAGEIFS(INDIRECT("Tabela1["&amp;$D7&amp;"]"),Tabela1[Turno],$F7,Tabela1[Mês],K$3),"")</f>
        <v/>
      </c>
      <c r="L7" s="26" t="str">
        <f ca="1">IFERROR(AVERAGEIFS(INDIRECT("Tabela1["&amp;$D7&amp;"]"),Tabela1[Turno],$F7,Tabela1[Mês],L$3),"")</f>
        <v/>
      </c>
      <c r="M7" s="26" t="str">
        <f ca="1">IFERROR(AVERAGEIFS(INDIRECT("Tabela1["&amp;$D7&amp;"]"),Tabela1[Turno],$F7,Tabela1[Mês],M$3),"")</f>
        <v/>
      </c>
      <c r="N7" s="26">
        <f ca="1">IFERROR(AVERAGEIFS(INDIRECT("Tabela1["&amp;$D7&amp;"]"),Tabela1[Turno],$F7,Tabela1[Mês],N$3),"")</f>
        <v>10</v>
      </c>
      <c r="O7" s="26">
        <f ca="1">IFERROR(AVERAGEIFS(INDIRECT("Tabela1["&amp;$D7&amp;"]"),Tabela1[Turno],$F7,Tabela1[Mês],O$3),"")</f>
        <v>8.1818181818181817</v>
      </c>
      <c r="P7" s="26" t="str">
        <f ca="1">IFERROR(AVERAGEIFS(INDIRECT("Tabela1["&amp;$D7&amp;"]"),Tabela1[Turno],$F7,Tabela1[Mês],P$3),"")</f>
        <v/>
      </c>
      <c r="Q7" s="26" t="str">
        <f ca="1">IFERROR(AVERAGEIFS(INDIRECT("Tabela1["&amp;$D7&amp;"]"),Tabela1[Turno],$F7,Tabela1[Mês],Q$3),"")</f>
        <v/>
      </c>
      <c r="R7" s="27" t="str">
        <f ca="1">IFERROR(AVERAGEIFS(INDIRECT("Tabela1["&amp;$D7&amp;"]"),Tabela1[Turno],$F7,Tabela1[Mês],R$3),"")</f>
        <v/>
      </c>
      <c r="S7" s="38">
        <v>10</v>
      </c>
      <c r="U7" s="11" t="str">
        <f ca="1">IFERROR(AVERAGEIFS(INDIRECT("Tabela1["&amp;$D7&amp;"]"),Tabela1[Turno],$F7,Tabela1[Data],U$3),"")</f>
        <v/>
      </c>
      <c r="V7" s="11" t="str">
        <f ca="1">IFERROR(AVERAGEIFS(INDIRECT("Tabela1["&amp;$D7&amp;"]"),Tabela1[Turno],$F7,Tabela1[Data],V$3),"")</f>
        <v/>
      </c>
      <c r="W7" s="26" t="str">
        <f ca="1">IFERROR(AVERAGEIFS(INDIRECT("Tabela1["&amp;$D7&amp;"]"),Tabela1[Turno],$F7,Tabela1[Data],W$3),"")</f>
        <v/>
      </c>
      <c r="X7" s="26" t="str">
        <f ca="1">IFERROR(AVERAGEIFS(INDIRECT("Tabela1["&amp;$D7&amp;"]"),Tabela1[Turno],$F7,Tabela1[Data],X$3),"")</f>
        <v/>
      </c>
      <c r="Y7" s="26" t="str">
        <f ca="1">IFERROR(AVERAGEIFS(INDIRECT("Tabela1["&amp;$D7&amp;"]"),Tabela1[Turno],$F7,Tabela1[Data],Y$3),"")</f>
        <v/>
      </c>
      <c r="Z7" s="26" t="str">
        <f ca="1">IFERROR(AVERAGEIFS(INDIRECT("Tabela1["&amp;$D7&amp;"]"),Tabela1[Turno],$F7,Tabela1[Data],Z$3),"")</f>
        <v/>
      </c>
      <c r="AA7" s="26" t="str">
        <f ca="1">IFERROR(AVERAGEIFS(INDIRECT("Tabela1["&amp;$D7&amp;"]"),Tabela1[Turno],$F7,Tabela1[Data],AA$3),"")</f>
        <v/>
      </c>
      <c r="AB7" s="26" t="str">
        <f ca="1">IFERROR(AVERAGEIFS(INDIRECT("Tabela1["&amp;$D7&amp;"]"),Tabela1[Turno],$F7,Tabela1[Data],AB$3),"")</f>
        <v/>
      </c>
      <c r="AC7" s="26" t="str">
        <f ca="1">IFERROR(AVERAGEIFS(INDIRECT("Tabela1["&amp;$D7&amp;"]"),Tabela1[Turno],$F7,Tabela1[Data],AC$3),"")</f>
        <v/>
      </c>
      <c r="AD7" s="26" t="str">
        <f ca="1">IFERROR(AVERAGEIFS(INDIRECT("Tabela1["&amp;$D7&amp;"]"),Tabela1[Turno],$F7,Tabela1[Data],AD$3),"")</f>
        <v/>
      </c>
      <c r="AE7" s="26" t="str">
        <f ca="1">IFERROR(AVERAGEIFS(INDIRECT("Tabela1["&amp;$D7&amp;"]"),Tabela1[Turno],$F7,Tabela1[Data],AE$3),"")</f>
        <v/>
      </c>
      <c r="AF7" s="26" t="str">
        <f ca="1">IFERROR(AVERAGEIFS(INDIRECT("Tabela1["&amp;$D7&amp;"]"),Tabela1[Turno],$F7,Tabela1[Data],AF$3),"")</f>
        <v/>
      </c>
      <c r="AG7" s="26" t="str">
        <f ca="1">IFERROR(AVERAGEIFS(INDIRECT("Tabela1["&amp;$D7&amp;"]"),Tabela1[Turno],$F7,Tabela1[Data],AG$3),"")</f>
        <v/>
      </c>
      <c r="AH7" s="26" t="str">
        <f ca="1">IFERROR(AVERAGEIFS(INDIRECT("Tabela1["&amp;$D7&amp;"]"),Tabela1[Turno],$F7,Tabela1[Data],AH$3),"")</f>
        <v/>
      </c>
      <c r="AI7" s="26" t="str">
        <f ca="1">IFERROR(AVERAGEIFS(INDIRECT("Tabela1["&amp;$D7&amp;"]"),Tabela1[Turno],$F7,Tabela1[Data],AI$3),"")</f>
        <v/>
      </c>
      <c r="AJ7" s="26" t="str">
        <f ca="1">IFERROR(AVERAGEIFS(INDIRECT("Tabela1["&amp;$D7&amp;"]"),Tabela1[Turno],$F7,Tabela1[Data],AJ$3),"")</f>
        <v/>
      </c>
      <c r="AK7" s="26" t="str">
        <f ca="1">IFERROR(AVERAGEIFS(INDIRECT("Tabela1["&amp;$D7&amp;"]"),Tabela1[Turno],$F7,Tabela1[Data],AK$3),"")</f>
        <v/>
      </c>
      <c r="AL7" s="26" t="str">
        <f ca="1">IFERROR(AVERAGEIFS(INDIRECT("Tabela1["&amp;$D7&amp;"]"),Tabela1[Turno],$F7,Tabela1[Data],AL$3),"")</f>
        <v/>
      </c>
      <c r="AM7" s="26" t="str">
        <f ca="1">IFERROR(AVERAGEIFS(INDIRECT("Tabela1["&amp;$D7&amp;"]"),Tabela1[Turno],$F7,Tabela1[Data],AM$3),"")</f>
        <v/>
      </c>
      <c r="AN7" s="26" t="str">
        <f ca="1">IFERROR(AVERAGEIFS(INDIRECT("Tabela1["&amp;$D7&amp;"]"),Tabela1[Turno],$F7,Tabela1[Data],AN$3),"")</f>
        <v/>
      </c>
      <c r="AO7" s="26" t="str">
        <f ca="1">IFERROR(AVERAGEIFS(INDIRECT("Tabela1["&amp;$D7&amp;"]"),Tabela1[Turno],$F7,Tabela1[Data],AO$3),"")</f>
        <v/>
      </c>
      <c r="AP7" s="26" t="str">
        <f ca="1">IFERROR(AVERAGEIFS(INDIRECT("Tabela1["&amp;$D7&amp;"]"),Tabela1[Turno],$F7,Tabela1[Data],AP$3),"")</f>
        <v/>
      </c>
      <c r="AQ7" s="26" t="str">
        <f ca="1">IFERROR(AVERAGEIFS(INDIRECT("Tabela1["&amp;$D7&amp;"]"),Tabela1[Turno],$F7,Tabela1[Data],AQ$3),"")</f>
        <v/>
      </c>
      <c r="AR7" s="26" t="str">
        <f ca="1">IFERROR(AVERAGEIFS(INDIRECT("Tabela1["&amp;$D7&amp;"]"),Tabela1[Turno],$F7,Tabela1[Data],AR$3),"")</f>
        <v/>
      </c>
    </row>
    <row r="8" spans="1:44" x14ac:dyDescent="0.3">
      <c r="A8" s="25" t="s">
        <v>120</v>
      </c>
      <c r="B8" s="25">
        <f t="shared" si="1"/>
        <v>2</v>
      </c>
      <c r="C8" s="25" t="s">
        <v>123</v>
      </c>
      <c r="D8" s="4" t="str">
        <f t="shared" ref="D8:D56" si="2">IF(E8=0,D7,E8)</f>
        <v>Peito na Asa Meyn</v>
      </c>
      <c r="E8" s="36"/>
      <c r="F8" s="23">
        <v>2</v>
      </c>
      <c r="G8" s="12" t="str">
        <f ca="1">IFERROR(AVERAGEIFS(INDIRECT("Tabela1["&amp;$D8&amp;"]"),Tabela1[Turno],$F8,Tabela1[Mês],G$3),"")</f>
        <v/>
      </c>
      <c r="H8" s="12" t="str">
        <f ca="1">IFERROR(AVERAGEIFS(INDIRECT("Tabela1["&amp;$D8&amp;"]"),Tabela1[Turno],$F8,Tabela1[Mês],H$3),"")</f>
        <v/>
      </c>
      <c r="I8" s="12" t="str">
        <f ca="1">IFERROR(AVERAGEIFS(INDIRECT("Tabela1["&amp;$D8&amp;"]"),Tabela1[Turno],$F8,Tabela1[Mês],I$3),"")</f>
        <v/>
      </c>
      <c r="J8" s="12" t="str">
        <f ca="1">IFERROR(AVERAGEIFS(INDIRECT("Tabela1["&amp;$D8&amp;"]"),Tabela1[Turno],$F8,Tabela1[Mês],J$3),"")</f>
        <v/>
      </c>
      <c r="K8" s="12" t="str">
        <f ca="1">IFERROR(AVERAGEIFS(INDIRECT("Tabela1["&amp;$D8&amp;"]"),Tabela1[Turno],$F8,Tabela1[Mês],K$3),"")</f>
        <v/>
      </c>
      <c r="L8" s="12" t="str">
        <f ca="1">IFERROR(AVERAGEIFS(INDIRECT("Tabela1["&amp;$D8&amp;"]"),Tabela1[Turno],$F8,Tabela1[Mês],L$3),"")</f>
        <v/>
      </c>
      <c r="M8" s="12" t="str">
        <f ca="1">IFERROR(AVERAGEIFS(INDIRECT("Tabela1["&amp;$D8&amp;"]"),Tabela1[Turno],$F8,Tabela1[Mês],M$3),"")</f>
        <v/>
      </c>
      <c r="N8" s="12">
        <f ca="1">IFERROR(AVERAGEIFS(INDIRECT("Tabela1["&amp;$D8&amp;"]"),Tabela1[Turno],$F8,Tabela1[Mês],N$3),"")</f>
        <v>7.3142857142857141</v>
      </c>
      <c r="O8" s="12">
        <f ca="1">IFERROR(AVERAGEIFS(INDIRECT("Tabela1["&amp;$D8&amp;"]"),Tabela1[Turno],$F8,Tabela1[Mês],O$3),"")</f>
        <v>7.2857142857142856</v>
      </c>
      <c r="P8" s="12">
        <f ca="1">IFERROR(AVERAGEIFS(INDIRECT("Tabela1["&amp;$D8&amp;"]"),Tabela1[Turno],$F8,Tabela1[Mês],P$3),"")</f>
        <v>7.333333333333333</v>
      </c>
      <c r="Q8" s="12" t="str">
        <f ca="1">IFERROR(AVERAGEIFS(INDIRECT("Tabela1["&amp;$D8&amp;"]"),Tabela1[Turno],$F8,Tabela1[Mês],Q$3),"")</f>
        <v/>
      </c>
      <c r="R8" s="13" t="str">
        <f ca="1">IFERROR(AVERAGEIFS(INDIRECT("Tabela1["&amp;$D8&amp;"]"),Tabela1[Turno],$F8,Tabela1[Mês],R$3),"")</f>
        <v/>
      </c>
      <c r="S8" s="39"/>
      <c r="U8" s="12">
        <f ca="1">IFERROR(AVERAGEIFS(INDIRECT("Tabela1["&amp;$D8&amp;"]"),Tabela1[Turno],$F8,Tabela1[Data],U$3),"")</f>
        <v>8.5</v>
      </c>
      <c r="V8" s="12">
        <f ca="1">IFERROR(AVERAGEIFS(INDIRECT("Tabela1["&amp;$D8&amp;"]"),Tabela1[Turno],$F8,Tabela1[Data],V$3),"")</f>
        <v>7</v>
      </c>
      <c r="W8" s="12">
        <f ca="1">IFERROR(AVERAGEIFS(INDIRECT("Tabela1["&amp;$D8&amp;"]"),Tabela1[Turno],$F8,Tabela1[Data],W$3),"")</f>
        <v>7</v>
      </c>
      <c r="X8" s="12">
        <f ca="1">IFERROR(AVERAGEIFS(INDIRECT("Tabela1["&amp;$D8&amp;"]"),Tabela1[Turno],$F8,Tabela1[Data],X$3),"")</f>
        <v>7</v>
      </c>
      <c r="Y8" s="12">
        <f ca="1">IFERROR(AVERAGEIFS(INDIRECT("Tabela1["&amp;$D8&amp;"]"),Tabela1[Turno],$F8,Tabela1[Data],Y$3),"")</f>
        <v>7</v>
      </c>
      <c r="Z8" s="12">
        <f ca="1">IFERROR(AVERAGEIFS(INDIRECT("Tabela1["&amp;$D8&amp;"]"),Tabela1[Turno],$F8,Tabela1[Data],Z$3),"")</f>
        <v>7.75</v>
      </c>
      <c r="AA8" s="12">
        <f ca="1">IFERROR(AVERAGEIFS(INDIRECT("Tabela1["&amp;$D8&amp;"]"),Tabela1[Turno],$F8,Tabela1[Data],AA$3),"")</f>
        <v>7</v>
      </c>
      <c r="AB8" s="12" t="str">
        <f ca="1">IFERROR(AVERAGEIFS(INDIRECT("Tabela1["&amp;$D8&amp;"]"),Tabela1[Turno],$F8,Tabela1[Data],AB$3),"")</f>
        <v/>
      </c>
      <c r="AC8" s="12" t="str">
        <f ca="1">IFERROR(AVERAGEIFS(INDIRECT("Tabela1["&amp;$D8&amp;"]"),Tabela1[Turno],$F8,Tabela1[Data],AC$3),"")</f>
        <v/>
      </c>
      <c r="AD8" s="12" t="str">
        <f ca="1">IFERROR(AVERAGEIFS(INDIRECT("Tabela1["&amp;$D8&amp;"]"),Tabela1[Turno],$F8,Tabela1[Data],AD$3),"")</f>
        <v/>
      </c>
      <c r="AE8" s="12" t="str">
        <f ca="1">IFERROR(AVERAGEIFS(INDIRECT("Tabela1["&amp;$D8&amp;"]"),Tabela1[Turno],$F8,Tabela1[Data],AE$3),"")</f>
        <v/>
      </c>
      <c r="AF8" s="12" t="str">
        <f ca="1">IFERROR(AVERAGEIFS(INDIRECT("Tabela1["&amp;$D8&amp;"]"),Tabela1[Turno],$F8,Tabela1[Data],AF$3),"")</f>
        <v/>
      </c>
      <c r="AG8" s="12" t="str">
        <f ca="1">IFERROR(AVERAGEIFS(INDIRECT("Tabela1["&amp;$D8&amp;"]"),Tabela1[Turno],$F8,Tabela1[Data],AG$3),"")</f>
        <v/>
      </c>
      <c r="AH8" s="12" t="str">
        <f ca="1">IFERROR(AVERAGEIFS(INDIRECT("Tabela1["&amp;$D8&amp;"]"),Tabela1[Turno],$F8,Tabela1[Data],AH$3),"")</f>
        <v/>
      </c>
      <c r="AI8" s="12" t="str">
        <f ca="1">IFERROR(AVERAGEIFS(INDIRECT("Tabela1["&amp;$D8&amp;"]"),Tabela1[Turno],$F8,Tabela1[Data],AI$3),"")</f>
        <v/>
      </c>
      <c r="AJ8" s="12" t="str">
        <f ca="1">IFERROR(AVERAGEIFS(INDIRECT("Tabela1["&amp;$D8&amp;"]"),Tabela1[Turno],$F8,Tabela1[Data],AJ$3),"")</f>
        <v/>
      </c>
      <c r="AK8" s="12" t="str">
        <f ca="1">IFERROR(AVERAGEIFS(INDIRECT("Tabela1["&amp;$D8&amp;"]"),Tabela1[Turno],$F8,Tabela1[Data],AK$3),"")</f>
        <v/>
      </c>
      <c r="AL8" s="12" t="str">
        <f ca="1">IFERROR(AVERAGEIFS(INDIRECT("Tabela1["&amp;$D8&amp;"]"),Tabela1[Turno],$F8,Tabela1[Data],AL$3),"")</f>
        <v/>
      </c>
      <c r="AM8" s="12" t="str">
        <f ca="1">IFERROR(AVERAGEIFS(INDIRECT("Tabela1["&amp;$D8&amp;"]"),Tabela1[Turno],$F8,Tabela1[Data],AM$3),"")</f>
        <v/>
      </c>
      <c r="AN8" s="12" t="str">
        <f ca="1">IFERROR(AVERAGEIFS(INDIRECT("Tabela1["&amp;$D8&amp;"]"),Tabela1[Turno],$F8,Tabela1[Data],AN$3),"")</f>
        <v/>
      </c>
      <c r="AO8" s="12" t="str">
        <f ca="1">IFERROR(AVERAGEIFS(INDIRECT("Tabela1["&amp;$D8&amp;"]"),Tabela1[Turno],$F8,Tabela1[Data],AO$3),"")</f>
        <v/>
      </c>
      <c r="AP8" s="12" t="str">
        <f ca="1">IFERROR(AVERAGEIFS(INDIRECT("Tabela1["&amp;$D8&amp;"]"),Tabela1[Turno],$F8,Tabela1[Data],AP$3),"")</f>
        <v/>
      </c>
      <c r="AQ8" s="12" t="str">
        <f ca="1">IFERROR(AVERAGEIFS(INDIRECT("Tabela1["&amp;$D8&amp;"]"),Tabela1[Turno],$F8,Tabela1[Data],AQ$3),"")</f>
        <v/>
      </c>
      <c r="AR8" s="12" t="str">
        <f ca="1">IFERROR(AVERAGEIFS(INDIRECT("Tabela1["&amp;$D8&amp;"]"),Tabela1[Turno],$F8,Tabela1[Data],AR$3),"")</f>
        <v/>
      </c>
    </row>
    <row r="9" spans="1:44" ht="15" thickBot="1" x14ac:dyDescent="0.35">
      <c r="A9" s="25" t="s">
        <v>120</v>
      </c>
      <c r="B9" s="25" t="str">
        <f t="shared" si="1"/>
        <v>Unidade</v>
      </c>
      <c r="C9" s="25" t="s">
        <v>123</v>
      </c>
      <c r="D9" s="4" t="str">
        <f t="shared" si="2"/>
        <v>Peito na Asa Meyn</v>
      </c>
      <c r="E9" s="37"/>
      <c r="F9" s="24" t="s">
        <v>142</v>
      </c>
      <c r="G9" s="9" t="str">
        <f ca="1">IFERROR(AVERAGEIFS(INDIRECT("Tabela1["&amp;$D9&amp;"]"),Tabela1[Mês],G$3),"")</f>
        <v/>
      </c>
      <c r="H9" s="9" t="str">
        <f ca="1">IFERROR(AVERAGEIFS(INDIRECT("Tabela1["&amp;$D9&amp;"]"),Tabela1[Mês],H$3),"")</f>
        <v/>
      </c>
      <c r="I9" s="9" t="str">
        <f ca="1">IFERROR(AVERAGEIFS(INDIRECT("Tabela1["&amp;$D9&amp;"]"),Tabela1[Mês],I$3),"")</f>
        <v/>
      </c>
      <c r="J9" s="9" t="str">
        <f ca="1">IFERROR(AVERAGEIFS(INDIRECT("Tabela1["&amp;$D9&amp;"]"),Tabela1[Mês],J$3),"")</f>
        <v/>
      </c>
      <c r="K9" s="9" t="str">
        <f ca="1">IFERROR(AVERAGEIFS(INDIRECT("Tabela1["&amp;$D9&amp;"]"),Tabela1[Mês],K$3),"")</f>
        <v/>
      </c>
      <c r="L9" s="9" t="str">
        <f ca="1">IFERROR(AVERAGEIFS(INDIRECT("Tabela1["&amp;$D9&amp;"]"),Tabela1[Mês],L$3),"")</f>
        <v/>
      </c>
      <c r="M9" s="9" t="str">
        <f ca="1">IFERROR(AVERAGEIFS(INDIRECT("Tabela1["&amp;$D9&amp;"]"),Tabela1[Mês],M$3),"")</f>
        <v/>
      </c>
      <c r="N9" s="9">
        <f ca="1">IFERROR(AVERAGEIFS(INDIRECT("Tabela1["&amp;$D9&amp;"]"),Tabela1[Mês],N$3),"")</f>
        <v>7.4868421052631575</v>
      </c>
      <c r="O9" s="9">
        <f ca="1">IFERROR(AVERAGEIFS(INDIRECT("Tabela1["&amp;$D9&amp;"]"),Tabela1[Mês],O$3),"")</f>
        <v>7.3894736842105262</v>
      </c>
      <c r="P9" s="9">
        <f ca="1">IFERROR(AVERAGEIFS(INDIRECT("Tabela1["&amp;$D9&amp;"]"),Tabela1[Mês],P$3),"")</f>
        <v>7.333333333333333</v>
      </c>
      <c r="Q9" s="9" t="str">
        <f ca="1">IFERROR(AVERAGEIFS(INDIRECT("Tabela1["&amp;$D9&amp;"]"),Tabela1[Mês],Q$3),"")</f>
        <v/>
      </c>
      <c r="R9" s="14" t="str">
        <f ca="1">IFERROR(AVERAGEIFS(INDIRECT("Tabela1["&amp;$D9&amp;"]"),Tabela1[Mês],R$3),"")</f>
        <v/>
      </c>
      <c r="S9" s="40"/>
      <c r="U9" s="9">
        <f ca="1">IFERROR(AVERAGEIFS(INDIRECT("Tabela1["&amp;$D9&amp;"]"),Tabela1[Data],U$3),"")</f>
        <v>8.5</v>
      </c>
      <c r="V9" s="9">
        <f ca="1">IFERROR(AVERAGEIFS(INDIRECT("Tabela1["&amp;$D9&amp;"]"),Tabela1[Data],V$3),"")</f>
        <v>7</v>
      </c>
      <c r="W9" s="9">
        <f ca="1">IFERROR(AVERAGEIFS(INDIRECT("Tabela1["&amp;$D9&amp;"]"),Tabela1[Data],W$3),"")</f>
        <v>7</v>
      </c>
      <c r="X9" s="9">
        <f ca="1">IFERROR(AVERAGEIFS(INDIRECT("Tabela1["&amp;$D9&amp;"]"),Tabela1[Data],X$3),"")</f>
        <v>7</v>
      </c>
      <c r="Y9" s="9">
        <f ca="1">IFERROR(AVERAGEIFS(INDIRECT("Tabela1["&amp;$D9&amp;"]"),Tabela1[Data],Y$3),"")</f>
        <v>7</v>
      </c>
      <c r="Z9" s="9">
        <f ca="1">IFERROR(AVERAGEIFS(INDIRECT("Tabela1["&amp;$D9&amp;"]"),Tabela1[Data],Z$3),"")</f>
        <v>7.75</v>
      </c>
      <c r="AA9" s="9">
        <f ca="1">IFERROR(AVERAGEIFS(INDIRECT("Tabela1["&amp;$D9&amp;"]"),Tabela1[Data],AA$3),"")</f>
        <v>7</v>
      </c>
      <c r="AB9" s="9" t="str">
        <f ca="1">IFERROR(AVERAGEIFS(INDIRECT("Tabela1["&amp;$D9&amp;"]"),Tabela1[Data],AB$3),"")</f>
        <v/>
      </c>
      <c r="AC9" s="9" t="str">
        <f ca="1">IFERROR(AVERAGEIFS(INDIRECT("Tabela1["&amp;$D9&amp;"]"),Tabela1[Data],AC$3),"")</f>
        <v/>
      </c>
      <c r="AD9" s="9" t="str">
        <f ca="1">IFERROR(AVERAGEIFS(INDIRECT("Tabela1["&amp;$D9&amp;"]"),Tabela1[Data],AD$3),"")</f>
        <v/>
      </c>
      <c r="AE9" s="9" t="str">
        <f ca="1">IFERROR(AVERAGEIFS(INDIRECT("Tabela1["&amp;$D9&amp;"]"),Tabela1[Data],AE$3),"")</f>
        <v/>
      </c>
      <c r="AF9" s="9" t="str">
        <f ca="1">IFERROR(AVERAGEIFS(INDIRECT("Tabela1["&amp;$D9&amp;"]"),Tabela1[Data],AF$3),"")</f>
        <v/>
      </c>
      <c r="AG9" s="9" t="str">
        <f ca="1">IFERROR(AVERAGEIFS(INDIRECT("Tabela1["&amp;$D9&amp;"]"),Tabela1[Data],AG$3),"")</f>
        <v/>
      </c>
      <c r="AH9" s="9" t="str">
        <f ca="1">IFERROR(AVERAGEIFS(INDIRECT("Tabela1["&amp;$D9&amp;"]"),Tabela1[Data],AH$3),"")</f>
        <v/>
      </c>
      <c r="AI9" s="9" t="str">
        <f ca="1">IFERROR(AVERAGEIFS(INDIRECT("Tabela1["&amp;$D9&amp;"]"),Tabela1[Data],AI$3),"")</f>
        <v/>
      </c>
      <c r="AJ9" s="9" t="str">
        <f ca="1">IFERROR(AVERAGEIFS(INDIRECT("Tabela1["&amp;$D9&amp;"]"),Tabela1[Data],AJ$3),"")</f>
        <v/>
      </c>
      <c r="AK9" s="9" t="str">
        <f ca="1">IFERROR(AVERAGEIFS(INDIRECT("Tabela1["&amp;$D9&amp;"]"),Tabela1[Data],AK$3),"")</f>
        <v/>
      </c>
      <c r="AL9" s="9" t="str">
        <f ca="1">IFERROR(AVERAGEIFS(INDIRECT("Tabela1["&amp;$D9&amp;"]"),Tabela1[Data],AL$3),"")</f>
        <v/>
      </c>
      <c r="AM9" s="9" t="str">
        <f ca="1">IFERROR(AVERAGEIFS(INDIRECT("Tabela1["&amp;$D9&amp;"]"),Tabela1[Data],AM$3),"")</f>
        <v/>
      </c>
      <c r="AN9" s="9" t="str">
        <f ca="1">IFERROR(AVERAGEIFS(INDIRECT("Tabela1["&amp;$D9&amp;"]"),Tabela1[Data],AN$3),"")</f>
        <v/>
      </c>
      <c r="AO9" s="9" t="str">
        <f ca="1">IFERROR(AVERAGEIFS(INDIRECT("Tabela1["&amp;$D9&amp;"]"),Tabela1[Data],AO$3),"")</f>
        <v/>
      </c>
      <c r="AP9" s="9" t="str">
        <f ca="1">IFERROR(AVERAGEIFS(INDIRECT("Tabela1["&amp;$D9&amp;"]"),Tabela1[Data],AP$3),"")</f>
        <v/>
      </c>
      <c r="AQ9" s="9" t="str">
        <f ca="1">IFERROR(AVERAGEIFS(INDIRECT("Tabela1["&amp;$D9&amp;"]"),Tabela1[Data],AQ$3),"")</f>
        <v/>
      </c>
      <c r="AR9" s="9" t="str">
        <f ca="1">IFERROR(AVERAGEIFS(INDIRECT("Tabela1["&amp;$D9&amp;"]"),Tabela1[Data],AR$3),"")</f>
        <v/>
      </c>
    </row>
    <row r="10" spans="1:44" ht="15" thickTop="1" x14ac:dyDescent="0.3">
      <c r="A10" s="25" t="s">
        <v>120</v>
      </c>
      <c r="B10" s="25">
        <f t="shared" si="1"/>
        <v>1</v>
      </c>
      <c r="C10" s="25" t="s">
        <v>124</v>
      </c>
      <c r="D10" s="4" t="str">
        <f t="shared" si="2"/>
        <v>Medalhão na Asa Meyn</v>
      </c>
      <c r="E10" s="35" t="str">
        <f>Coleta!J1</f>
        <v>Medalhão na Asa Meyn</v>
      </c>
      <c r="F10" s="22">
        <v>1</v>
      </c>
      <c r="G10" s="26" t="str">
        <f ca="1">IFERROR(AVERAGEIFS(INDIRECT("Tabela1["&amp;$D10&amp;"]"),Tabela1[Turno],$F10,Tabela1[Mês],G$3),"")</f>
        <v/>
      </c>
      <c r="H10" s="26" t="str">
        <f ca="1">IFERROR(AVERAGEIFS(INDIRECT("Tabela1["&amp;$D10&amp;"]"),Tabela1[Turno],$F10,Tabela1[Mês],H$3),"")</f>
        <v/>
      </c>
      <c r="I10" s="26" t="str">
        <f ca="1">IFERROR(AVERAGEIFS(INDIRECT("Tabela1["&amp;$D10&amp;"]"),Tabela1[Turno],$F10,Tabela1[Mês],I$3),"")</f>
        <v/>
      </c>
      <c r="J10" s="26" t="str">
        <f ca="1">IFERROR(AVERAGEIFS(INDIRECT("Tabela1["&amp;$D10&amp;"]"),Tabela1[Turno],$F10,Tabela1[Mês],J$3),"")</f>
        <v/>
      </c>
      <c r="K10" s="26" t="str">
        <f ca="1">IFERROR(AVERAGEIFS(INDIRECT("Tabela1["&amp;$D10&amp;"]"),Tabela1[Turno],$F10,Tabela1[Mês],K$3),"")</f>
        <v/>
      </c>
      <c r="L10" s="26" t="str">
        <f ca="1">IFERROR(AVERAGEIFS(INDIRECT("Tabela1["&amp;$D10&amp;"]"),Tabela1[Turno],$F10,Tabela1[Mês],L$3),"")</f>
        <v/>
      </c>
      <c r="M10" s="26" t="str">
        <f ca="1">IFERROR(AVERAGEIFS(INDIRECT("Tabela1["&amp;$D10&amp;"]"),Tabela1[Turno],$F10,Tabela1[Mês],M$3),"")</f>
        <v/>
      </c>
      <c r="N10" s="26">
        <f ca="1">IFERROR(AVERAGEIFS(INDIRECT("Tabela1["&amp;$D10&amp;"]"),Tabela1[Turno],$F10,Tabela1[Mês],N$3),"")</f>
        <v>7</v>
      </c>
      <c r="O10" s="26">
        <f ca="1">IFERROR(AVERAGEIFS(INDIRECT("Tabela1["&amp;$D10&amp;"]"),Tabela1[Turno],$F10,Tabela1[Mês],O$3),"")</f>
        <v>8.3636363636363633</v>
      </c>
      <c r="P10" s="26" t="str">
        <f ca="1">IFERROR(AVERAGEIFS(INDIRECT("Tabela1["&amp;$D10&amp;"]"),Tabela1[Turno],$F10,Tabela1[Mês],P$3),"")</f>
        <v/>
      </c>
      <c r="Q10" s="26" t="str">
        <f ca="1">IFERROR(AVERAGEIFS(INDIRECT("Tabela1["&amp;$D10&amp;"]"),Tabela1[Turno],$F10,Tabela1[Mês],Q$3),"")</f>
        <v/>
      </c>
      <c r="R10" s="27" t="str">
        <f ca="1">IFERROR(AVERAGEIFS(INDIRECT("Tabela1["&amp;$D10&amp;"]"),Tabela1[Turno],$F10,Tabela1[Mês],R$3),"")</f>
        <v/>
      </c>
      <c r="S10" s="38">
        <v>10</v>
      </c>
      <c r="U10" s="11" t="str">
        <f ca="1">IFERROR(AVERAGEIFS(INDIRECT("Tabela1["&amp;$D10&amp;"]"),Tabela1[Turno],$F10,Tabela1[Data],U$3),"")</f>
        <v/>
      </c>
      <c r="V10" s="11" t="str">
        <f ca="1">IFERROR(AVERAGEIFS(INDIRECT("Tabela1["&amp;$D10&amp;"]"),Tabela1[Turno],$F10,Tabela1[Data],V$3),"")</f>
        <v/>
      </c>
      <c r="W10" s="26" t="str">
        <f ca="1">IFERROR(AVERAGEIFS(INDIRECT("Tabela1["&amp;$D10&amp;"]"),Tabela1[Turno],$F10,Tabela1[Data],W$3),"")</f>
        <v/>
      </c>
      <c r="X10" s="26" t="str">
        <f ca="1">IFERROR(AVERAGEIFS(INDIRECT("Tabela1["&amp;$D10&amp;"]"),Tabela1[Turno],$F10,Tabela1[Data],X$3),"")</f>
        <v/>
      </c>
      <c r="Y10" s="26" t="str">
        <f ca="1">IFERROR(AVERAGEIFS(INDIRECT("Tabela1["&amp;$D10&amp;"]"),Tabela1[Turno],$F10,Tabela1[Data],Y$3),"")</f>
        <v/>
      </c>
      <c r="Z10" s="26" t="str">
        <f ca="1">IFERROR(AVERAGEIFS(INDIRECT("Tabela1["&amp;$D10&amp;"]"),Tabela1[Turno],$F10,Tabela1[Data],Z$3),"")</f>
        <v/>
      </c>
      <c r="AA10" s="26" t="str">
        <f ca="1">IFERROR(AVERAGEIFS(INDIRECT("Tabela1["&amp;$D10&amp;"]"),Tabela1[Turno],$F10,Tabela1[Data],AA$3),"")</f>
        <v/>
      </c>
      <c r="AB10" s="26" t="str">
        <f ca="1">IFERROR(AVERAGEIFS(INDIRECT("Tabela1["&amp;$D10&amp;"]"),Tabela1[Turno],$F10,Tabela1[Data],AB$3),"")</f>
        <v/>
      </c>
      <c r="AC10" s="26" t="str">
        <f ca="1">IFERROR(AVERAGEIFS(INDIRECT("Tabela1["&amp;$D10&amp;"]"),Tabela1[Turno],$F10,Tabela1[Data],AC$3),"")</f>
        <v/>
      </c>
      <c r="AD10" s="26" t="str">
        <f ca="1">IFERROR(AVERAGEIFS(INDIRECT("Tabela1["&amp;$D10&amp;"]"),Tabela1[Turno],$F10,Tabela1[Data],AD$3),"")</f>
        <v/>
      </c>
      <c r="AE10" s="26" t="str">
        <f ca="1">IFERROR(AVERAGEIFS(INDIRECT("Tabela1["&amp;$D10&amp;"]"),Tabela1[Turno],$F10,Tabela1[Data],AE$3),"")</f>
        <v/>
      </c>
      <c r="AF10" s="26" t="str">
        <f ca="1">IFERROR(AVERAGEIFS(INDIRECT("Tabela1["&amp;$D10&amp;"]"),Tabela1[Turno],$F10,Tabela1[Data],AF$3),"")</f>
        <v/>
      </c>
      <c r="AG10" s="26" t="str">
        <f ca="1">IFERROR(AVERAGEIFS(INDIRECT("Tabela1["&amp;$D10&amp;"]"),Tabela1[Turno],$F10,Tabela1[Data],AG$3),"")</f>
        <v/>
      </c>
      <c r="AH10" s="26" t="str">
        <f ca="1">IFERROR(AVERAGEIFS(INDIRECT("Tabela1["&amp;$D10&amp;"]"),Tabela1[Turno],$F10,Tabela1[Data],AH$3),"")</f>
        <v/>
      </c>
      <c r="AI10" s="26" t="str">
        <f ca="1">IFERROR(AVERAGEIFS(INDIRECT("Tabela1["&amp;$D10&amp;"]"),Tabela1[Turno],$F10,Tabela1[Data],AI$3),"")</f>
        <v/>
      </c>
      <c r="AJ10" s="26" t="str">
        <f ca="1">IFERROR(AVERAGEIFS(INDIRECT("Tabela1["&amp;$D10&amp;"]"),Tabela1[Turno],$F10,Tabela1[Data],AJ$3),"")</f>
        <v/>
      </c>
      <c r="AK10" s="26" t="str">
        <f ca="1">IFERROR(AVERAGEIFS(INDIRECT("Tabela1["&amp;$D10&amp;"]"),Tabela1[Turno],$F10,Tabela1[Data],AK$3),"")</f>
        <v/>
      </c>
      <c r="AL10" s="26" t="str">
        <f ca="1">IFERROR(AVERAGEIFS(INDIRECT("Tabela1["&amp;$D10&amp;"]"),Tabela1[Turno],$F10,Tabela1[Data],AL$3),"")</f>
        <v/>
      </c>
      <c r="AM10" s="26" t="str">
        <f ca="1">IFERROR(AVERAGEIFS(INDIRECT("Tabela1["&amp;$D10&amp;"]"),Tabela1[Turno],$F10,Tabela1[Data],AM$3),"")</f>
        <v/>
      </c>
      <c r="AN10" s="26" t="str">
        <f ca="1">IFERROR(AVERAGEIFS(INDIRECT("Tabela1["&amp;$D10&amp;"]"),Tabela1[Turno],$F10,Tabela1[Data],AN$3),"")</f>
        <v/>
      </c>
      <c r="AO10" s="26" t="str">
        <f ca="1">IFERROR(AVERAGEIFS(INDIRECT("Tabela1["&amp;$D10&amp;"]"),Tabela1[Turno],$F10,Tabela1[Data],AO$3),"")</f>
        <v/>
      </c>
      <c r="AP10" s="26" t="str">
        <f ca="1">IFERROR(AVERAGEIFS(INDIRECT("Tabela1["&amp;$D10&amp;"]"),Tabela1[Turno],$F10,Tabela1[Data],AP$3),"")</f>
        <v/>
      </c>
      <c r="AQ10" s="26" t="str">
        <f ca="1">IFERROR(AVERAGEIFS(INDIRECT("Tabela1["&amp;$D10&amp;"]"),Tabela1[Turno],$F10,Tabela1[Data],AQ$3),"")</f>
        <v/>
      </c>
      <c r="AR10" s="26" t="str">
        <f ca="1">IFERROR(AVERAGEIFS(INDIRECT("Tabela1["&amp;$D10&amp;"]"),Tabela1[Turno],$F10,Tabela1[Data],AR$3),"")</f>
        <v/>
      </c>
    </row>
    <row r="11" spans="1:44" x14ac:dyDescent="0.3">
      <c r="A11" s="25" t="s">
        <v>120</v>
      </c>
      <c r="B11" s="25">
        <f t="shared" si="1"/>
        <v>2</v>
      </c>
      <c r="C11" s="25" t="s">
        <v>124</v>
      </c>
      <c r="D11" s="4" t="str">
        <f t="shared" si="2"/>
        <v>Medalhão na Asa Meyn</v>
      </c>
      <c r="E11" s="36"/>
      <c r="F11" s="23">
        <v>2</v>
      </c>
      <c r="G11" s="12" t="str">
        <f ca="1">IFERROR(AVERAGEIFS(INDIRECT("Tabela1["&amp;$D11&amp;"]"),Tabela1[Turno],$F11,Tabela1[Mês],G$3),"")</f>
        <v/>
      </c>
      <c r="H11" s="12" t="str">
        <f ca="1">IFERROR(AVERAGEIFS(INDIRECT("Tabela1["&amp;$D11&amp;"]"),Tabela1[Turno],$F11,Tabela1[Mês],H$3),"")</f>
        <v/>
      </c>
      <c r="I11" s="12" t="str">
        <f ca="1">IFERROR(AVERAGEIFS(INDIRECT("Tabela1["&amp;$D11&amp;"]"),Tabela1[Turno],$F11,Tabela1[Mês],I$3),"")</f>
        <v/>
      </c>
      <c r="J11" s="12" t="str">
        <f ca="1">IFERROR(AVERAGEIFS(INDIRECT("Tabela1["&amp;$D11&amp;"]"),Tabela1[Turno],$F11,Tabela1[Mês],J$3),"")</f>
        <v/>
      </c>
      <c r="K11" s="12" t="str">
        <f ca="1">IFERROR(AVERAGEIFS(INDIRECT("Tabela1["&amp;$D11&amp;"]"),Tabela1[Turno],$F11,Tabela1[Mês],K$3),"")</f>
        <v/>
      </c>
      <c r="L11" s="12" t="str">
        <f ca="1">IFERROR(AVERAGEIFS(INDIRECT("Tabela1["&amp;$D11&amp;"]"),Tabela1[Turno],$F11,Tabela1[Mês],L$3),"")</f>
        <v/>
      </c>
      <c r="M11" s="12" t="str">
        <f ca="1">IFERROR(AVERAGEIFS(INDIRECT("Tabela1["&amp;$D11&amp;"]"),Tabela1[Turno],$F11,Tabela1[Mês],M$3),"")</f>
        <v/>
      </c>
      <c r="N11" s="12">
        <f ca="1">IFERROR(AVERAGEIFS(INDIRECT("Tabela1["&amp;$D11&amp;"]"),Tabela1[Turno],$F11,Tabela1[Mês],N$3),"")</f>
        <v>6.8857142857142861</v>
      </c>
      <c r="O11" s="12">
        <f ca="1">IFERROR(AVERAGEIFS(INDIRECT("Tabela1["&amp;$D11&amp;"]"),Tabela1[Turno],$F11,Tabela1[Mês],O$3),"")</f>
        <v>6.9047619047619051</v>
      </c>
      <c r="P11" s="12">
        <f ca="1">IFERROR(AVERAGEIFS(INDIRECT("Tabela1["&amp;$D11&amp;"]"),Tabela1[Turno],$F11,Tabela1[Mês],P$3),"")</f>
        <v>7</v>
      </c>
      <c r="Q11" s="12" t="str">
        <f ca="1">IFERROR(AVERAGEIFS(INDIRECT("Tabela1["&amp;$D11&amp;"]"),Tabela1[Turno],$F11,Tabela1[Mês],Q$3),"")</f>
        <v/>
      </c>
      <c r="R11" s="13" t="str">
        <f ca="1">IFERROR(AVERAGEIFS(INDIRECT("Tabela1["&amp;$D11&amp;"]"),Tabela1[Turno],$F11,Tabela1[Mês],R$3),"")</f>
        <v/>
      </c>
      <c r="S11" s="39"/>
      <c r="U11" s="12">
        <f ca="1">IFERROR(AVERAGEIFS(INDIRECT("Tabela1["&amp;$D11&amp;"]"),Tabela1[Turno],$F11,Tabela1[Data],U$3),"")</f>
        <v>7</v>
      </c>
      <c r="V11" s="12">
        <f ca="1">IFERROR(AVERAGEIFS(INDIRECT("Tabela1["&amp;$D11&amp;"]"),Tabela1[Turno],$F11,Tabela1[Data],V$3),"")</f>
        <v>7</v>
      </c>
      <c r="W11" s="12">
        <f ca="1">IFERROR(AVERAGEIFS(INDIRECT("Tabela1["&amp;$D11&amp;"]"),Tabela1[Turno],$F11,Tabela1[Data],W$3),"")</f>
        <v>7</v>
      </c>
      <c r="X11" s="12">
        <f ca="1">IFERROR(AVERAGEIFS(INDIRECT("Tabela1["&amp;$D11&amp;"]"),Tabela1[Turno],$F11,Tabela1[Data],X$3),"")</f>
        <v>7</v>
      </c>
      <c r="Y11" s="12">
        <f ca="1">IFERROR(AVERAGEIFS(INDIRECT("Tabela1["&amp;$D11&amp;"]"),Tabela1[Turno],$F11,Tabela1[Data],Y$3),"")</f>
        <v>7</v>
      </c>
      <c r="Z11" s="12">
        <f ca="1">IFERROR(AVERAGEIFS(INDIRECT("Tabela1["&amp;$D11&amp;"]"),Tabela1[Turno],$F11,Tabela1[Data],Z$3),"")</f>
        <v>7</v>
      </c>
      <c r="AA11" s="12">
        <f ca="1">IFERROR(AVERAGEIFS(INDIRECT("Tabela1["&amp;$D11&amp;"]"),Tabela1[Turno],$F11,Tabela1[Data],AA$3),"")</f>
        <v>7</v>
      </c>
      <c r="AB11" s="12" t="str">
        <f ca="1">IFERROR(AVERAGEIFS(INDIRECT("Tabela1["&amp;$D11&amp;"]"),Tabela1[Turno],$F11,Tabela1[Data],AB$3),"")</f>
        <v/>
      </c>
      <c r="AC11" s="12" t="str">
        <f ca="1">IFERROR(AVERAGEIFS(INDIRECT("Tabela1["&amp;$D11&amp;"]"),Tabela1[Turno],$F11,Tabela1[Data],AC$3),"")</f>
        <v/>
      </c>
      <c r="AD11" s="12" t="str">
        <f ca="1">IFERROR(AVERAGEIFS(INDIRECT("Tabela1["&amp;$D11&amp;"]"),Tabela1[Turno],$F11,Tabela1[Data],AD$3),"")</f>
        <v/>
      </c>
      <c r="AE11" s="12" t="str">
        <f ca="1">IFERROR(AVERAGEIFS(INDIRECT("Tabela1["&amp;$D11&amp;"]"),Tabela1[Turno],$F11,Tabela1[Data],AE$3),"")</f>
        <v/>
      </c>
      <c r="AF11" s="12" t="str">
        <f ca="1">IFERROR(AVERAGEIFS(INDIRECT("Tabela1["&amp;$D11&amp;"]"),Tabela1[Turno],$F11,Tabela1[Data],AF$3),"")</f>
        <v/>
      </c>
      <c r="AG11" s="12" t="str">
        <f ca="1">IFERROR(AVERAGEIFS(INDIRECT("Tabela1["&amp;$D11&amp;"]"),Tabela1[Turno],$F11,Tabela1[Data],AG$3),"")</f>
        <v/>
      </c>
      <c r="AH11" s="12" t="str">
        <f ca="1">IFERROR(AVERAGEIFS(INDIRECT("Tabela1["&amp;$D11&amp;"]"),Tabela1[Turno],$F11,Tabela1[Data],AH$3),"")</f>
        <v/>
      </c>
      <c r="AI11" s="12" t="str">
        <f ca="1">IFERROR(AVERAGEIFS(INDIRECT("Tabela1["&amp;$D11&amp;"]"),Tabela1[Turno],$F11,Tabela1[Data],AI$3),"")</f>
        <v/>
      </c>
      <c r="AJ11" s="12" t="str">
        <f ca="1">IFERROR(AVERAGEIFS(INDIRECT("Tabela1["&amp;$D11&amp;"]"),Tabela1[Turno],$F11,Tabela1[Data],AJ$3),"")</f>
        <v/>
      </c>
      <c r="AK11" s="12" t="str">
        <f ca="1">IFERROR(AVERAGEIFS(INDIRECT("Tabela1["&amp;$D11&amp;"]"),Tabela1[Turno],$F11,Tabela1[Data],AK$3),"")</f>
        <v/>
      </c>
      <c r="AL11" s="12" t="str">
        <f ca="1">IFERROR(AVERAGEIFS(INDIRECT("Tabela1["&amp;$D11&amp;"]"),Tabela1[Turno],$F11,Tabela1[Data],AL$3),"")</f>
        <v/>
      </c>
      <c r="AM11" s="12" t="str">
        <f ca="1">IFERROR(AVERAGEIFS(INDIRECT("Tabela1["&amp;$D11&amp;"]"),Tabela1[Turno],$F11,Tabela1[Data],AM$3),"")</f>
        <v/>
      </c>
      <c r="AN11" s="12" t="str">
        <f ca="1">IFERROR(AVERAGEIFS(INDIRECT("Tabela1["&amp;$D11&amp;"]"),Tabela1[Turno],$F11,Tabela1[Data],AN$3),"")</f>
        <v/>
      </c>
      <c r="AO11" s="12" t="str">
        <f ca="1">IFERROR(AVERAGEIFS(INDIRECT("Tabela1["&amp;$D11&amp;"]"),Tabela1[Turno],$F11,Tabela1[Data],AO$3),"")</f>
        <v/>
      </c>
      <c r="AP11" s="12" t="str">
        <f ca="1">IFERROR(AVERAGEIFS(INDIRECT("Tabela1["&amp;$D11&amp;"]"),Tabela1[Turno],$F11,Tabela1[Data],AP$3),"")</f>
        <v/>
      </c>
      <c r="AQ11" s="12" t="str">
        <f ca="1">IFERROR(AVERAGEIFS(INDIRECT("Tabela1["&amp;$D11&amp;"]"),Tabela1[Turno],$F11,Tabela1[Data],AQ$3),"")</f>
        <v/>
      </c>
      <c r="AR11" s="12" t="str">
        <f ca="1">IFERROR(AVERAGEIFS(INDIRECT("Tabela1["&amp;$D11&amp;"]"),Tabela1[Turno],$F11,Tabela1[Data],AR$3),"")</f>
        <v/>
      </c>
    </row>
    <row r="12" spans="1:44" ht="15" thickBot="1" x14ac:dyDescent="0.35">
      <c r="A12" s="25" t="s">
        <v>120</v>
      </c>
      <c r="B12" s="25" t="str">
        <f t="shared" si="1"/>
        <v>Unidade</v>
      </c>
      <c r="C12" s="25" t="s">
        <v>124</v>
      </c>
      <c r="D12" s="4" t="str">
        <f t="shared" si="2"/>
        <v>Medalhão na Asa Meyn</v>
      </c>
      <c r="E12" s="37"/>
      <c r="F12" s="24" t="s">
        <v>142</v>
      </c>
      <c r="G12" s="9" t="str">
        <f ca="1">IFERROR(AVERAGEIFS(INDIRECT("Tabela1["&amp;$D12&amp;"]"),Tabela1[Mês],G$3),"")</f>
        <v/>
      </c>
      <c r="H12" s="9" t="str">
        <f ca="1">IFERROR(AVERAGEIFS(INDIRECT("Tabela1["&amp;$D12&amp;"]"),Tabela1[Mês],H$3),"")</f>
        <v/>
      </c>
      <c r="I12" s="9" t="str">
        <f ca="1">IFERROR(AVERAGEIFS(INDIRECT("Tabela1["&amp;$D12&amp;"]"),Tabela1[Mês],I$3),"")</f>
        <v/>
      </c>
      <c r="J12" s="9" t="str">
        <f ca="1">IFERROR(AVERAGEIFS(INDIRECT("Tabela1["&amp;$D12&amp;"]"),Tabela1[Mês],J$3),"")</f>
        <v/>
      </c>
      <c r="K12" s="9" t="str">
        <f ca="1">IFERROR(AVERAGEIFS(INDIRECT("Tabela1["&amp;$D12&amp;"]"),Tabela1[Mês],K$3),"")</f>
        <v/>
      </c>
      <c r="L12" s="9" t="str">
        <f ca="1">IFERROR(AVERAGEIFS(INDIRECT("Tabela1["&amp;$D12&amp;"]"),Tabela1[Mês],L$3),"")</f>
        <v/>
      </c>
      <c r="M12" s="9" t="str">
        <f ca="1">IFERROR(AVERAGEIFS(INDIRECT("Tabela1["&amp;$D12&amp;"]"),Tabela1[Mês],M$3),"")</f>
        <v/>
      </c>
      <c r="N12" s="9">
        <f ca="1">IFERROR(AVERAGEIFS(INDIRECT("Tabela1["&amp;$D12&amp;"]"),Tabela1[Mês],N$3),"")</f>
        <v>6.8947368421052628</v>
      </c>
      <c r="O12" s="9">
        <f ca="1">IFERROR(AVERAGEIFS(INDIRECT("Tabela1["&amp;$D12&amp;"]"),Tabela1[Mês],O$3),"")</f>
        <v>7.0736842105263156</v>
      </c>
      <c r="P12" s="9">
        <f ca="1">IFERROR(AVERAGEIFS(INDIRECT("Tabela1["&amp;$D12&amp;"]"),Tabela1[Mês],P$3),"")</f>
        <v>7</v>
      </c>
      <c r="Q12" s="9" t="str">
        <f ca="1">IFERROR(AVERAGEIFS(INDIRECT("Tabela1["&amp;$D12&amp;"]"),Tabela1[Mês],Q$3),"")</f>
        <v/>
      </c>
      <c r="R12" s="14" t="str">
        <f ca="1">IFERROR(AVERAGEIFS(INDIRECT("Tabela1["&amp;$D12&amp;"]"),Tabela1[Mês],R$3),"")</f>
        <v/>
      </c>
      <c r="S12" s="40"/>
      <c r="U12" s="9">
        <f ca="1">IFERROR(AVERAGEIFS(INDIRECT("Tabela1["&amp;$D12&amp;"]"),Tabela1[Data],U$3),"")</f>
        <v>7</v>
      </c>
      <c r="V12" s="9">
        <f ca="1">IFERROR(AVERAGEIFS(INDIRECT("Tabela1["&amp;$D12&amp;"]"),Tabela1[Data],V$3),"")</f>
        <v>7</v>
      </c>
      <c r="W12" s="9">
        <f ca="1">IFERROR(AVERAGEIFS(INDIRECT("Tabela1["&amp;$D12&amp;"]"),Tabela1[Data],W$3),"")</f>
        <v>7</v>
      </c>
      <c r="X12" s="9">
        <f ca="1">IFERROR(AVERAGEIFS(INDIRECT("Tabela1["&amp;$D12&amp;"]"),Tabela1[Data],X$3),"")</f>
        <v>7</v>
      </c>
      <c r="Y12" s="9">
        <f ca="1">IFERROR(AVERAGEIFS(INDIRECT("Tabela1["&amp;$D12&amp;"]"),Tabela1[Data],Y$3),"")</f>
        <v>7</v>
      </c>
      <c r="Z12" s="9">
        <f ca="1">IFERROR(AVERAGEIFS(INDIRECT("Tabela1["&amp;$D12&amp;"]"),Tabela1[Data],Z$3),"")</f>
        <v>7</v>
      </c>
      <c r="AA12" s="9">
        <f ca="1">IFERROR(AVERAGEIFS(INDIRECT("Tabela1["&amp;$D12&amp;"]"),Tabela1[Data],AA$3),"")</f>
        <v>7</v>
      </c>
      <c r="AB12" s="9" t="str">
        <f ca="1">IFERROR(AVERAGEIFS(INDIRECT("Tabela1["&amp;$D12&amp;"]"),Tabela1[Data],AB$3),"")</f>
        <v/>
      </c>
      <c r="AC12" s="9" t="str">
        <f ca="1">IFERROR(AVERAGEIFS(INDIRECT("Tabela1["&amp;$D12&amp;"]"),Tabela1[Data],AC$3),"")</f>
        <v/>
      </c>
      <c r="AD12" s="9" t="str">
        <f ca="1">IFERROR(AVERAGEIFS(INDIRECT("Tabela1["&amp;$D12&amp;"]"),Tabela1[Data],AD$3),"")</f>
        <v/>
      </c>
      <c r="AE12" s="9" t="str">
        <f ca="1">IFERROR(AVERAGEIFS(INDIRECT("Tabela1["&amp;$D12&amp;"]"),Tabela1[Data],AE$3),"")</f>
        <v/>
      </c>
      <c r="AF12" s="9" t="str">
        <f ca="1">IFERROR(AVERAGEIFS(INDIRECT("Tabela1["&amp;$D12&amp;"]"),Tabela1[Data],AF$3),"")</f>
        <v/>
      </c>
      <c r="AG12" s="9" t="str">
        <f ca="1">IFERROR(AVERAGEIFS(INDIRECT("Tabela1["&amp;$D12&amp;"]"),Tabela1[Data],AG$3),"")</f>
        <v/>
      </c>
      <c r="AH12" s="9" t="str">
        <f ca="1">IFERROR(AVERAGEIFS(INDIRECT("Tabela1["&amp;$D12&amp;"]"),Tabela1[Data],AH$3),"")</f>
        <v/>
      </c>
      <c r="AI12" s="9" t="str">
        <f ca="1">IFERROR(AVERAGEIFS(INDIRECT("Tabela1["&amp;$D12&amp;"]"),Tabela1[Data],AI$3),"")</f>
        <v/>
      </c>
      <c r="AJ12" s="9" t="str">
        <f ca="1">IFERROR(AVERAGEIFS(INDIRECT("Tabela1["&amp;$D12&amp;"]"),Tabela1[Data],AJ$3),"")</f>
        <v/>
      </c>
      <c r="AK12" s="9" t="str">
        <f ca="1">IFERROR(AVERAGEIFS(INDIRECT("Tabela1["&amp;$D12&amp;"]"),Tabela1[Data],AK$3),"")</f>
        <v/>
      </c>
      <c r="AL12" s="9" t="str">
        <f ca="1">IFERROR(AVERAGEIFS(INDIRECT("Tabela1["&amp;$D12&amp;"]"),Tabela1[Data],AL$3),"")</f>
        <v/>
      </c>
      <c r="AM12" s="9" t="str">
        <f ca="1">IFERROR(AVERAGEIFS(INDIRECT("Tabela1["&amp;$D12&amp;"]"),Tabela1[Data],AM$3),"")</f>
        <v/>
      </c>
      <c r="AN12" s="9" t="str">
        <f ca="1">IFERROR(AVERAGEIFS(INDIRECT("Tabela1["&amp;$D12&amp;"]"),Tabela1[Data],AN$3),"")</f>
        <v/>
      </c>
      <c r="AO12" s="9" t="str">
        <f ca="1">IFERROR(AVERAGEIFS(INDIRECT("Tabela1["&amp;$D12&amp;"]"),Tabela1[Data],AO$3),"")</f>
        <v/>
      </c>
      <c r="AP12" s="9" t="str">
        <f ca="1">IFERROR(AVERAGEIFS(INDIRECT("Tabela1["&amp;$D12&amp;"]"),Tabela1[Data],AP$3),"")</f>
        <v/>
      </c>
      <c r="AQ12" s="9" t="str">
        <f ca="1">IFERROR(AVERAGEIFS(INDIRECT("Tabela1["&amp;$D12&amp;"]"),Tabela1[Data],AQ$3),"")</f>
        <v/>
      </c>
      <c r="AR12" s="9" t="str">
        <f ca="1">IFERROR(AVERAGEIFS(INDIRECT("Tabela1["&amp;$D12&amp;"]"),Tabela1[Data],AR$3),"")</f>
        <v/>
      </c>
    </row>
    <row r="13" spans="1:44" ht="15" thickTop="1" x14ac:dyDescent="0.3">
      <c r="A13" s="25" t="s">
        <v>120</v>
      </c>
      <c r="B13" s="25">
        <f t="shared" si="1"/>
        <v>1</v>
      </c>
      <c r="C13" s="25" t="s">
        <v>123</v>
      </c>
      <c r="D13" s="4" t="str">
        <f t="shared" si="2"/>
        <v>Carne no Front</v>
      </c>
      <c r="E13" s="35" t="str">
        <f>Coleta!K1</f>
        <v>Carne no Front</v>
      </c>
      <c r="F13" s="22">
        <v>1</v>
      </c>
      <c r="G13" s="26" t="str">
        <f ca="1">IFERROR(AVERAGEIFS(INDIRECT("Tabela1["&amp;$D13&amp;"]"),Tabela1[Turno],$F13,Tabela1[Mês],G$3),"")</f>
        <v/>
      </c>
      <c r="H13" s="26" t="str">
        <f ca="1">IFERROR(AVERAGEIFS(INDIRECT("Tabela1["&amp;$D13&amp;"]"),Tabela1[Turno],$F13,Tabela1[Mês],H$3),"")</f>
        <v/>
      </c>
      <c r="I13" s="26" t="str">
        <f ca="1">IFERROR(AVERAGEIFS(INDIRECT("Tabela1["&amp;$D13&amp;"]"),Tabela1[Turno],$F13,Tabela1[Mês],I$3),"")</f>
        <v/>
      </c>
      <c r="J13" s="26" t="str">
        <f ca="1">IFERROR(AVERAGEIFS(INDIRECT("Tabela1["&amp;$D13&amp;"]"),Tabela1[Turno],$F13,Tabela1[Mês],J$3),"")</f>
        <v/>
      </c>
      <c r="K13" s="26" t="str">
        <f ca="1">IFERROR(AVERAGEIFS(INDIRECT("Tabela1["&amp;$D13&amp;"]"),Tabela1[Turno],$F13,Tabela1[Mês],K$3),"")</f>
        <v/>
      </c>
      <c r="L13" s="26" t="str">
        <f ca="1">IFERROR(AVERAGEIFS(INDIRECT("Tabela1["&amp;$D13&amp;"]"),Tabela1[Turno],$F13,Tabela1[Mês],L$3),"")</f>
        <v/>
      </c>
      <c r="M13" s="26" t="str">
        <f ca="1">IFERROR(AVERAGEIFS(INDIRECT("Tabela1["&amp;$D13&amp;"]"),Tabela1[Turno],$F13,Tabela1[Mês],M$3),"")</f>
        <v/>
      </c>
      <c r="N13" s="26">
        <f ca="1">IFERROR(AVERAGEIFS(INDIRECT("Tabela1["&amp;$D13&amp;"]"),Tabela1[Turno],$F13,Tabela1[Mês],N$3),"")</f>
        <v>6.4</v>
      </c>
      <c r="O13" s="26">
        <f ca="1">IFERROR(AVERAGEIFS(INDIRECT("Tabela1["&amp;$D13&amp;"]"),Tabela1[Turno],$F13,Tabela1[Mês],O$3),"")</f>
        <v>6.5454545454545459</v>
      </c>
      <c r="P13" s="26" t="str">
        <f ca="1">IFERROR(AVERAGEIFS(INDIRECT("Tabela1["&amp;$D13&amp;"]"),Tabela1[Turno],$F13,Tabela1[Mês],P$3),"")</f>
        <v/>
      </c>
      <c r="Q13" s="26" t="str">
        <f ca="1">IFERROR(AVERAGEIFS(INDIRECT("Tabela1["&amp;$D13&amp;"]"),Tabela1[Turno],$F13,Tabela1[Mês],Q$3),"")</f>
        <v/>
      </c>
      <c r="R13" s="27" t="str">
        <f ca="1">IFERROR(AVERAGEIFS(INDIRECT("Tabela1["&amp;$D13&amp;"]"),Tabela1[Turno],$F13,Tabela1[Mês],R$3),"")</f>
        <v/>
      </c>
      <c r="S13" s="38">
        <v>10</v>
      </c>
      <c r="U13" s="11" t="str">
        <f ca="1">IFERROR(AVERAGEIFS(INDIRECT("Tabela1["&amp;$D13&amp;"]"),Tabela1[Turno],$F13,Tabela1[Data],U$3),"")</f>
        <v/>
      </c>
      <c r="V13" s="11" t="str">
        <f ca="1">IFERROR(AVERAGEIFS(INDIRECT("Tabela1["&amp;$D13&amp;"]"),Tabela1[Turno],$F13,Tabela1[Data],V$3),"")</f>
        <v/>
      </c>
      <c r="W13" s="26" t="str">
        <f ca="1">IFERROR(AVERAGEIFS(INDIRECT("Tabela1["&amp;$D13&amp;"]"),Tabela1[Turno],$F13,Tabela1[Data],W$3),"")</f>
        <v/>
      </c>
      <c r="X13" s="26" t="str">
        <f ca="1">IFERROR(AVERAGEIFS(INDIRECT("Tabela1["&amp;$D13&amp;"]"),Tabela1[Turno],$F13,Tabela1[Data],X$3),"")</f>
        <v/>
      </c>
      <c r="Y13" s="26" t="str">
        <f ca="1">IFERROR(AVERAGEIFS(INDIRECT("Tabela1["&amp;$D13&amp;"]"),Tabela1[Turno],$F13,Tabela1[Data],Y$3),"")</f>
        <v/>
      </c>
      <c r="Z13" s="26" t="str">
        <f ca="1">IFERROR(AVERAGEIFS(INDIRECT("Tabela1["&amp;$D13&amp;"]"),Tabela1[Turno],$F13,Tabela1[Data],Z$3),"")</f>
        <v/>
      </c>
      <c r="AA13" s="26" t="str">
        <f ca="1">IFERROR(AVERAGEIFS(INDIRECT("Tabela1["&amp;$D13&amp;"]"),Tabela1[Turno],$F13,Tabela1[Data],AA$3),"")</f>
        <v/>
      </c>
      <c r="AB13" s="26" t="str">
        <f ca="1">IFERROR(AVERAGEIFS(INDIRECT("Tabela1["&amp;$D13&amp;"]"),Tabela1[Turno],$F13,Tabela1[Data],AB$3),"")</f>
        <v/>
      </c>
      <c r="AC13" s="26" t="str">
        <f ca="1">IFERROR(AVERAGEIFS(INDIRECT("Tabela1["&amp;$D13&amp;"]"),Tabela1[Turno],$F13,Tabela1[Data],AC$3),"")</f>
        <v/>
      </c>
      <c r="AD13" s="26" t="str">
        <f ca="1">IFERROR(AVERAGEIFS(INDIRECT("Tabela1["&amp;$D13&amp;"]"),Tabela1[Turno],$F13,Tabela1[Data],AD$3),"")</f>
        <v/>
      </c>
      <c r="AE13" s="26" t="str">
        <f ca="1">IFERROR(AVERAGEIFS(INDIRECT("Tabela1["&amp;$D13&amp;"]"),Tabela1[Turno],$F13,Tabela1[Data],AE$3),"")</f>
        <v/>
      </c>
      <c r="AF13" s="26" t="str">
        <f ca="1">IFERROR(AVERAGEIFS(INDIRECT("Tabela1["&amp;$D13&amp;"]"),Tabela1[Turno],$F13,Tabela1[Data],AF$3),"")</f>
        <v/>
      </c>
      <c r="AG13" s="26" t="str">
        <f ca="1">IFERROR(AVERAGEIFS(INDIRECT("Tabela1["&amp;$D13&amp;"]"),Tabela1[Turno],$F13,Tabela1[Data],AG$3),"")</f>
        <v/>
      </c>
      <c r="AH13" s="26" t="str">
        <f ca="1">IFERROR(AVERAGEIFS(INDIRECT("Tabela1["&amp;$D13&amp;"]"),Tabela1[Turno],$F13,Tabela1[Data],AH$3),"")</f>
        <v/>
      </c>
      <c r="AI13" s="26" t="str">
        <f ca="1">IFERROR(AVERAGEIFS(INDIRECT("Tabela1["&amp;$D13&amp;"]"),Tabela1[Turno],$F13,Tabela1[Data],AI$3),"")</f>
        <v/>
      </c>
      <c r="AJ13" s="26" t="str">
        <f ca="1">IFERROR(AVERAGEIFS(INDIRECT("Tabela1["&amp;$D13&amp;"]"),Tabela1[Turno],$F13,Tabela1[Data],AJ$3),"")</f>
        <v/>
      </c>
      <c r="AK13" s="26" t="str">
        <f ca="1">IFERROR(AVERAGEIFS(INDIRECT("Tabela1["&amp;$D13&amp;"]"),Tabela1[Turno],$F13,Tabela1[Data],AK$3),"")</f>
        <v/>
      </c>
      <c r="AL13" s="26" t="str">
        <f ca="1">IFERROR(AVERAGEIFS(INDIRECT("Tabela1["&amp;$D13&amp;"]"),Tabela1[Turno],$F13,Tabela1[Data],AL$3),"")</f>
        <v/>
      </c>
      <c r="AM13" s="26" t="str">
        <f ca="1">IFERROR(AVERAGEIFS(INDIRECT("Tabela1["&amp;$D13&amp;"]"),Tabela1[Turno],$F13,Tabela1[Data],AM$3),"")</f>
        <v/>
      </c>
      <c r="AN13" s="26" t="str">
        <f ca="1">IFERROR(AVERAGEIFS(INDIRECT("Tabela1["&amp;$D13&amp;"]"),Tabela1[Turno],$F13,Tabela1[Data],AN$3),"")</f>
        <v/>
      </c>
      <c r="AO13" s="26" t="str">
        <f ca="1">IFERROR(AVERAGEIFS(INDIRECT("Tabela1["&amp;$D13&amp;"]"),Tabela1[Turno],$F13,Tabela1[Data],AO$3),"")</f>
        <v/>
      </c>
      <c r="AP13" s="26" t="str">
        <f ca="1">IFERROR(AVERAGEIFS(INDIRECT("Tabela1["&amp;$D13&amp;"]"),Tabela1[Turno],$F13,Tabela1[Data],AP$3),"")</f>
        <v/>
      </c>
      <c r="AQ13" s="26" t="str">
        <f ca="1">IFERROR(AVERAGEIFS(INDIRECT("Tabela1["&amp;$D13&amp;"]"),Tabela1[Turno],$F13,Tabela1[Data],AQ$3),"")</f>
        <v/>
      </c>
      <c r="AR13" s="26" t="str">
        <f ca="1">IFERROR(AVERAGEIFS(INDIRECT("Tabela1["&amp;$D13&amp;"]"),Tabela1[Turno],$F13,Tabela1[Data],AR$3),"")</f>
        <v/>
      </c>
    </row>
    <row r="14" spans="1:44" x14ac:dyDescent="0.3">
      <c r="A14" s="25" t="s">
        <v>120</v>
      </c>
      <c r="B14" s="25">
        <f t="shared" si="1"/>
        <v>2</v>
      </c>
      <c r="C14" s="25" t="s">
        <v>123</v>
      </c>
      <c r="D14" s="4" t="str">
        <f t="shared" si="2"/>
        <v>Carne no Front</v>
      </c>
      <c r="E14" s="36"/>
      <c r="F14" s="23">
        <v>2</v>
      </c>
      <c r="G14" s="12" t="str">
        <f ca="1">IFERROR(AVERAGEIFS(INDIRECT("Tabela1["&amp;$D14&amp;"]"),Tabela1[Turno],$F14,Tabela1[Mês],G$3),"")</f>
        <v/>
      </c>
      <c r="H14" s="12" t="str">
        <f ca="1">IFERROR(AVERAGEIFS(INDIRECT("Tabela1["&amp;$D14&amp;"]"),Tabela1[Turno],$F14,Tabela1[Mês],H$3),"")</f>
        <v/>
      </c>
      <c r="I14" s="12" t="str">
        <f ca="1">IFERROR(AVERAGEIFS(INDIRECT("Tabela1["&amp;$D14&amp;"]"),Tabela1[Turno],$F14,Tabela1[Mês],I$3),"")</f>
        <v/>
      </c>
      <c r="J14" s="12" t="str">
        <f ca="1">IFERROR(AVERAGEIFS(INDIRECT("Tabela1["&amp;$D14&amp;"]"),Tabela1[Turno],$F14,Tabela1[Mês],J$3),"")</f>
        <v/>
      </c>
      <c r="K14" s="12" t="str">
        <f ca="1">IFERROR(AVERAGEIFS(INDIRECT("Tabela1["&amp;$D14&amp;"]"),Tabela1[Turno],$F14,Tabela1[Mês],K$3),"")</f>
        <v/>
      </c>
      <c r="L14" s="12" t="str">
        <f ca="1">IFERROR(AVERAGEIFS(INDIRECT("Tabela1["&amp;$D14&amp;"]"),Tabela1[Turno],$F14,Tabela1[Mês],L$3),"")</f>
        <v/>
      </c>
      <c r="M14" s="12" t="str">
        <f ca="1">IFERROR(AVERAGEIFS(INDIRECT("Tabela1["&amp;$D14&amp;"]"),Tabela1[Turno],$F14,Tabela1[Mês],M$3),"")</f>
        <v/>
      </c>
      <c r="N14" s="12">
        <f ca="1">IFERROR(AVERAGEIFS(INDIRECT("Tabela1["&amp;$D14&amp;"]"),Tabela1[Turno],$F14,Tabela1[Mês],N$3),"")</f>
        <v>5.2647058823529411</v>
      </c>
      <c r="O14" s="12">
        <f ca="1">IFERROR(AVERAGEIFS(INDIRECT("Tabela1["&amp;$D14&amp;"]"),Tabela1[Turno],$F14,Tabela1[Mês],O$3),"")</f>
        <v>5.333333333333333</v>
      </c>
      <c r="P14" s="12">
        <f ca="1">IFERROR(AVERAGEIFS(INDIRECT("Tabela1["&amp;$D14&amp;"]"),Tabela1[Turno],$F14,Tabela1[Mês],P$3),"")</f>
        <v>5.5185185185185182</v>
      </c>
      <c r="Q14" s="12" t="str">
        <f ca="1">IFERROR(AVERAGEIFS(INDIRECT("Tabela1["&amp;$D14&amp;"]"),Tabela1[Turno],$F14,Tabela1[Mês],Q$3),"")</f>
        <v/>
      </c>
      <c r="R14" s="13" t="str">
        <f ca="1">IFERROR(AVERAGEIFS(INDIRECT("Tabela1["&amp;$D14&amp;"]"),Tabela1[Turno],$F14,Tabela1[Mês],R$3),"")</f>
        <v/>
      </c>
      <c r="S14" s="39"/>
      <c r="U14" s="12">
        <f ca="1">IFERROR(AVERAGEIFS(INDIRECT("Tabela1["&amp;$D14&amp;"]"),Tabela1[Turno],$F14,Tabela1[Data],U$3),"")</f>
        <v>5.5</v>
      </c>
      <c r="V14" s="12">
        <f ca="1">IFERROR(AVERAGEIFS(INDIRECT("Tabela1["&amp;$D14&amp;"]"),Tabela1[Turno],$F14,Tabela1[Data],V$3),"")</f>
        <v>6</v>
      </c>
      <c r="W14" s="12">
        <f ca="1">IFERROR(AVERAGEIFS(INDIRECT("Tabela1["&amp;$D14&amp;"]"),Tabela1[Turno],$F14,Tabela1[Data],W$3),"")</f>
        <v>5</v>
      </c>
      <c r="X14" s="12">
        <f ca="1">IFERROR(AVERAGEIFS(INDIRECT("Tabela1["&amp;$D14&amp;"]"),Tabela1[Turno],$F14,Tabela1[Data],X$3),"")</f>
        <v>5.5</v>
      </c>
      <c r="Y14" s="12">
        <f ca="1">IFERROR(AVERAGEIFS(INDIRECT("Tabela1["&amp;$D14&amp;"]"),Tabela1[Turno],$F14,Tabela1[Data],Y$3),"")</f>
        <v>5</v>
      </c>
      <c r="Z14" s="12">
        <f ca="1">IFERROR(AVERAGEIFS(INDIRECT("Tabela1["&amp;$D14&amp;"]"),Tabela1[Turno],$F14,Tabela1[Data],Z$3),"")</f>
        <v>5.5</v>
      </c>
      <c r="AA14" s="12">
        <f ca="1">IFERROR(AVERAGEIFS(INDIRECT("Tabela1["&amp;$D14&amp;"]"),Tabela1[Turno],$F14,Tabela1[Data],AA$3),"")</f>
        <v>6</v>
      </c>
      <c r="AB14" s="12" t="str">
        <f ca="1">IFERROR(AVERAGEIFS(INDIRECT("Tabela1["&amp;$D14&amp;"]"),Tabela1[Turno],$F14,Tabela1[Data],AB$3),"")</f>
        <v/>
      </c>
      <c r="AC14" s="12" t="str">
        <f ca="1">IFERROR(AVERAGEIFS(INDIRECT("Tabela1["&amp;$D14&amp;"]"),Tabela1[Turno],$F14,Tabela1[Data],AC$3),"")</f>
        <v/>
      </c>
      <c r="AD14" s="12" t="str">
        <f ca="1">IFERROR(AVERAGEIFS(INDIRECT("Tabela1["&amp;$D14&amp;"]"),Tabela1[Turno],$F14,Tabela1[Data],AD$3),"")</f>
        <v/>
      </c>
      <c r="AE14" s="12" t="str">
        <f ca="1">IFERROR(AVERAGEIFS(INDIRECT("Tabela1["&amp;$D14&amp;"]"),Tabela1[Turno],$F14,Tabela1[Data],AE$3),"")</f>
        <v/>
      </c>
      <c r="AF14" s="12" t="str">
        <f ca="1">IFERROR(AVERAGEIFS(INDIRECT("Tabela1["&amp;$D14&amp;"]"),Tabela1[Turno],$F14,Tabela1[Data],AF$3),"")</f>
        <v/>
      </c>
      <c r="AG14" s="12" t="str">
        <f ca="1">IFERROR(AVERAGEIFS(INDIRECT("Tabela1["&amp;$D14&amp;"]"),Tabela1[Turno],$F14,Tabela1[Data],AG$3),"")</f>
        <v/>
      </c>
      <c r="AH14" s="12" t="str">
        <f ca="1">IFERROR(AVERAGEIFS(INDIRECT("Tabela1["&amp;$D14&amp;"]"),Tabela1[Turno],$F14,Tabela1[Data],AH$3),"")</f>
        <v/>
      </c>
      <c r="AI14" s="12" t="str">
        <f ca="1">IFERROR(AVERAGEIFS(INDIRECT("Tabela1["&amp;$D14&amp;"]"),Tabela1[Turno],$F14,Tabela1[Data],AI$3),"")</f>
        <v/>
      </c>
      <c r="AJ14" s="12" t="str">
        <f ca="1">IFERROR(AVERAGEIFS(INDIRECT("Tabela1["&amp;$D14&amp;"]"),Tabela1[Turno],$F14,Tabela1[Data],AJ$3),"")</f>
        <v/>
      </c>
      <c r="AK14" s="12" t="str">
        <f ca="1">IFERROR(AVERAGEIFS(INDIRECT("Tabela1["&amp;$D14&amp;"]"),Tabela1[Turno],$F14,Tabela1[Data],AK$3),"")</f>
        <v/>
      </c>
      <c r="AL14" s="12" t="str">
        <f ca="1">IFERROR(AVERAGEIFS(INDIRECT("Tabela1["&amp;$D14&amp;"]"),Tabela1[Turno],$F14,Tabela1[Data],AL$3),"")</f>
        <v/>
      </c>
      <c r="AM14" s="12" t="str">
        <f ca="1">IFERROR(AVERAGEIFS(INDIRECT("Tabela1["&amp;$D14&amp;"]"),Tabela1[Turno],$F14,Tabela1[Data],AM$3),"")</f>
        <v/>
      </c>
      <c r="AN14" s="12" t="str">
        <f ca="1">IFERROR(AVERAGEIFS(INDIRECT("Tabela1["&amp;$D14&amp;"]"),Tabela1[Turno],$F14,Tabela1[Data],AN$3),"")</f>
        <v/>
      </c>
      <c r="AO14" s="12" t="str">
        <f ca="1">IFERROR(AVERAGEIFS(INDIRECT("Tabela1["&amp;$D14&amp;"]"),Tabela1[Turno],$F14,Tabela1[Data],AO$3),"")</f>
        <v/>
      </c>
      <c r="AP14" s="12" t="str">
        <f ca="1">IFERROR(AVERAGEIFS(INDIRECT("Tabela1["&amp;$D14&amp;"]"),Tabela1[Turno],$F14,Tabela1[Data],AP$3),"")</f>
        <v/>
      </c>
      <c r="AQ14" s="12" t="str">
        <f ca="1">IFERROR(AVERAGEIFS(INDIRECT("Tabela1["&amp;$D14&amp;"]"),Tabela1[Turno],$F14,Tabela1[Data],AQ$3),"")</f>
        <v/>
      </c>
      <c r="AR14" s="12" t="str">
        <f ca="1">IFERROR(AVERAGEIFS(INDIRECT("Tabela1["&amp;$D14&amp;"]"),Tabela1[Turno],$F14,Tabela1[Data],AR$3),"")</f>
        <v/>
      </c>
    </row>
    <row r="15" spans="1:44" ht="15" thickBot="1" x14ac:dyDescent="0.35">
      <c r="A15" s="25" t="s">
        <v>120</v>
      </c>
      <c r="B15" s="25" t="str">
        <f t="shared" si="1"/>
        <v>Unidade</v>
      </c>
      <c r="C15" s="25" t="s">
        <v>123</v>
      </c>
      <c r="D15" s="4" t="str">
        <f t="shared" si="2"/>
        <v>Carne no Front</v>
      </c>
      <c r="E15" s="37"/>
      <c r="F15" s="24" t="s">
        <v>142</v>
      </c>
      <c r="G15" s="9" t="str">
        <f ca="1">IFERROR(AVERAGEIFS(INDIRECT("Tabela1["&amp;$D15&amp;"]"),Tabela1[Mês],G$3),"")</f>
        <v/>
      </c>
      <c r="H15" s="9" t="str">
        <f ca="1">IFERROR(AVERAGEIFS(INDIRECT("Tabela1["&amp;$D15&amp;"]"),Tabela1[Mês],H$3),"")</f>
        <v/>
      </c>
      <c r="I15" s="9" t="str">
        <f ca="1">IFERROR(AVERAGEIFS(INDIRECT("Tabela1["&amp;$D15&amp;"]"),Tabela1[Mês],I$3),"")</f>
        <v/>
      </c>
      <c r="J15" s="9" t="str">
        <f ca="1">IFERROR(AVERAGEIFS(INDIRECT("Tabela1["&amp;$D15&amp;"]"),Tabela1[Mês],J$3),"")</f>
        <v/>
      </c>
      <c r="K15" s="9" t="str">
        <f ca="1">IFERROR(AVERAGEIFS(INDIRECT("Tabela1["&amp;$D15&amp;"]"),Tabela1[Mês],K$3),"")</f>
        <v/>
      </c>
      <c r="L15" s="9" t="str">
        <f ca="1">IFERROR(AVERAGEIFS(INDIRECT("Tabela1["&amp;$D15&amp;"]"),Tabela1[Mês],L$3),"")</f>
        <v/>
      </c>
      <c r="M15" s="9" t="str">
        <f ca="1">IFERROR(AVERAGEIFS(INDIRECT("Tabela1["&amp;$D15&amp;"]"),Tabela1[Mês],M$3),"")</f>
        <v/>
      </c>
      <c r="N15" s="9">
        <f ca="1">IFERROR(AVERAGEIFS(INDIRECT("Tabela1["&amp;$D15&amp;"]"),Tabela1[Mês],N$3),"")</f>
        <v>5.3378378378378377</v>
      </c>
      <c r="O15" s="9">
        <f ca="1">IFERROR(AVERAGEIFS(INDIRECT("Tabela1["&amp;$D15&amp;"]"),Tabela1[Mês],O$3),"")</f>
        <v>5.4736842105263159</v>
      </c>
      <c r="P15" s="9">
        <f ca="1">IFERROR(AVERAGEIFS(INDIRECT("Tabela1["&amp;$D15&amp;"]"),Tabela1[Mês],P$3),"")</f>
        <v>5.5185185185185182</v>
      </c>
      <c r="Q15" s="9" t="str">
        <f ca="1">IFERROR(AVERAGEIFS(INDIRECT("Tabela1["&amp;$D15&amp;"]"),Tabela1[Mês],Q$3),"")</f>
        <v/>
      </c>
      <c r="R15" s="14" t="str">
        <f ca="1">IFERROR(AVERAGEIFS(INDIRECT("Tabela1["&amp;$D15&amp;"]"),Tabela1[Mês],R$3),"")</f>
        <v/>
      </c>
      <c r="S15" s="40"/>
      <c r="U15" s="9">
        <f ca="1">IFERROR(AVERAGEIFS(INDIRECT("Tabela1["&amp;$D15&amp;"]"),Tabela1[Data],U$3),"")</f>
        <v>5.5</v>
      </c>
      <c r="V15" s="9">
        <f ca="1">IFERROR(AVERAGEIFS(INDIRECT("Tabela1["&amp;$D15&amp;"]"),Tabela1[Data],V$3),"")</f>
        <v>6</v>
      </c>
      <c r="W15" s="9">
        <f ca="1">IFERROR(AVERAGEIFS(INDIRECT("Tabela1["&amp;$D15&amp;"]"),Tabela1[Data],W$3),"")</f>
        <v>5</v>
      </c>
      <c r="X15" s="9">
        <f ca="1">IFERROR(AVERAGEIFS(INDIRECT("Tabela1["&amp;$D15&amp;"]"),Tabela1[Data],X$3),"")</f>
        <v>5.5</v>
      </c>
      <c r="Y15" s="9">
        <f ca="1">IFERROR(AVERAGEIFS(INDIRECT("Tabela1["&amp;$D15&amp;"]"),Tabela1[Data],Y$3),"")</f>
        <v>5</v>
      </c>
      <c r="Z15" s="9">
        <f ca="1">IFERROR(AVERAGEIFS(INDIRECT("Tabela1["&amp;$D15&amp;"]"),Tabela1[Data],Z$3),"")</f>
        <v>5.5</v>
      </c>
      <c r="AA15" s="9">
        <f ca="1">IFERROR(AVERAGEIFS(INDIRECT("Tabela1["&amp;$D15&amp;"]"),Tabela1[Data],AA$3),"")</f>
        <v>6</v>
      </c>
      <c r="AB15" s="9" t="str">
        <f ca="1">IFERROR(AVERAGEIFS(INDIRECT("Tabela1["&amp;$D15&amp;"]"),Tabela1[Data],AB$3),"")</f>
        <v/>
      </c>
      <c r="AC15" s="9" t="str">
        <f ca="1">IFERROR(AVERAGEIFS(INDIRECT("Tabela1["&amp;$D15&amp;"]"),Tabela1[Data],AC$3),"")</f>
        <v/>
      </c>
      <c r="AD15" s="9" t="str">
        <f ca="1">IFERROR(AVERAGEIFS(INDIRECT("Tabela1["&amp;$D15&amp;"]"),Tabela1[Data],AD$3),"")</f>
        <v/>
      </c>
      <c r="AE15" s="9" t="str">
        <f ca="1">IFERROR(AVERAGEIFS(INDIRECT("Tabela1["&amp;$D15&amp;"]"),Tabela1[Data],AE$3),"")</f>
        <v/>
      </c>
      <c r="AF15" s="9" t="str">
        <f ca="1">IFERROR(AVERAGEIFS(INDIRECT("Tabela1["&amp;$D15&amp;"]"),Tabela1[Data],AF$3),"")</f>
        <v/>
      </c>
      <c r="AG15" s="9" t="str">
        <f ca="1">IFERROR(AVERAGEIFS(INDIRECT("Tabela1["&amp;$D15&amp;"]"),Tabela1[Data],AG$3),"")</f>
        <v/>
      </c>
      <c r="AH15" s="9" t="str">
        <f ca="1">IFERROR(AVERAGEIFS(INDIRECT("Tabela1["&amp;$D15&amp;"]"),Tabela1[Data],AH$3),"")</f>
        <v/>
      </c>
      <c r="AI15" s="9" t="str">
        <f ca="1">IFERROR(AVERAGEIFS(INDIRECT("Tabela1["&amp;$D15&amp;"]"),Tabela1[Data],AI$3),"")</f>
        <v/>
      </c>
      <c r="AJ15" s="9" t="str">
        <f ca="1">IFERROR(AVERAGEIFS(INDIRECT("Tabela1["&amp;$D15&amp;"]"),Tabela1[Data],AJ$3),"")</f>
        <v/>
      </c>
      <c r="AK15" s="9" t="str">
        <f ca="1">IFERROR(AVERAGEIFS(INDIRECT("Tabela1["&amp;$D15&amp;"]"),Tabela1[Data],AK$3),"")</f>
        <v/>
      </c>
      <c r="AL15" s="9" t="str">
        <f ca="1">IFERROR(AVERAGEIFS(INDIRECT("Tabela1["&amp;$D15&amp;"]"),Tabela1[Data],AL$3),"")</f>
        <v/>
      </c>
      <c r="AM15" s="9" t="str">
        <f ca="1">IFERROR(AVERAGEIFS(INDIRECT("Tabela1["&amp;$D15&amp;"]"),Tabela1[Data],AM$3),"")</f>
        <v/>
      </c>
      <c r="AN15" s="9" t="str">
        <f ca="1">IFERROR(AVERAGEIFS(INDIRECT("Tabela1["&amp;$D15&amp;"]"),Tabela1[Data],AN$3),"")</f>
        <v/>
      </c>
      <c r="AO15" s="9" t="str">
        <f ca="1">IFERROR(AVERAGEIFS(INDIRECT("Tabela1["&amp;$D15&amp;"]"),Tabela1[Data],AO$3),"")</f>
        <v/>
      </c>
      <c r="AP15" s="9" t="str">
        <f ca="1">IFERROR(AVERAGEIFS(INDIRECT("Tabela1["&amp;$D15&amp;"]"),Tabela1[Data],AP$3),"")</f>
        <v/>
      </c>
      <c r="AQ15" s="9" t="str">
        <f ca="1">IFERROR(AVERAGEIFS(INDIRECT("Tabela1["&amp;$D15&amp;"]"),Tabela1[Data],AQ$3),"")</f>
        <v/>
      </c>
      <c r="AR15" s="9" t="str">
        <f ca="1">IFERROR(AVERAGEIFS(INDIRECT("Tabela1["&amp;$D15&amp;"]"),Tabela1[Data],AR$3),"")</f>
        <v/>
      </c>
    </row>
    <row r="16" spans="1:44" ht="15" thickTop="1" x14ac:dyDescent="0.3">
      <c r="A16" s="25" t="s">
        <v>120</v>
      </c>
      <c r="B16" s="25">
        <f t="shared" si="1"/>
        <v>1</v>
      </c>
      <c r="C16" s="25" t="s">
        <v>162</v>
      </c>
      <c r="D16" s="4" t="str">
        <f>IF(E16=0,#REF!,E16)</f>
        <v>% Eficiência da Pinçagem</v>
      </c>
      <c r="E16" s="35" t="str">
        <f>Coleta!N1</f>
        <v>% Eficiência da Pinçagem</v>
      </c>
      <c r="F16" s="22">
        <v>1</v>
      </c>
      <c r="G16" s="28">
        <f ca="1">IFERROR(AVERAGEIFS(INDIRECT("Tabela1["&amp;$D16&amp;"]"),Tabela1[Turno],$F16,Tabela1[Mês],G$3)/100,"")</f>
        <v>0.6</v>
      </c>
      <c r="H16" s="28">
        <f ca="1">IFERROR(AVERAGEIFS(INDIRECT("Tabela1["&amp;$D16&amp;"]"),Tabela1[Turno],$F16,Tabela1[Mês],H$3)/100,"")</f>
        <v>0.53</v>
      </c>
      <c r="I16" s="28">
        <f ca="1">IFERROR(AVERAGEIFS(INDIRECT("Tabela1["&amp;$D16&amp;"]"),Tabela1[Turno],$F16,Tabela1[Mês],I$3)/100,"")</f>
        <v>0.44</v>
      </c>
      <c r="J16" s="28">
        <f ca="1">IFERROR(AVERAGEIFS(INDIRECT("Tabela1["&amp;$D16&amp;"]"),Tabela1[Turno],$F16,Tabela1[Mês],J$3)/100,"")</f>
        <v>0.23</v>
      </c>
      <c r="K16" s="28">
        <f ca="1">IFERROR(AVERAGEIFS(INDIRECT("Tabela1["&amp;$D16&amp;"]"),Tabela1[Turno],$F16,Tabela1[Mês],K$3)/100,"")</f>
        <v>0.49</v>
      </c>
      <c r="L16" s="28">
        <f ca="1">IFERROR(AVERAGEIFS(INDIRECT("Tabela1["&amp;$D16&amp;"]"),Tabela1[Turno],$F16,Tabela1[Mês],L$3)/100,"")</f>
        <v>0.64</v>
      </c>
      <c r="M16" s="28">
        <f ca="1">IFERROR(AVERAGEIFS(INDIRECT("Tabela1["&amp;$D16&amp;"]"),Tabela1[Turno],$F16,Tabela1[Mês],M$3)/100,"")</f>
        <v>0.54</v>
      </c>
      <c r="N16" s="28">
        <f ca="1">IFERROR(AVERAGEIFS(INDIRECT("Tabela1["&amp;$D16&amp;"]"),Tabela1[Turno],$F16,Tabela1[Mês],N$3)/100,"")</f>
        <v>0.84400000000000008</v>
      </c>
      <c r="O16" s="28">
        <f ca="1">IFERROR(AVERAGEIFS(INDIRECT("Tabela1["&amp;$D16&amp;"]"),Tabela1[Turno],$F16,Tabela1[Mês],O$3)/100,"")</f>
        <v>0.7981818181818181</v>
      </c>
      <c r="P16" s="28" t="str">
        <f ca="1">IFERROR(AVERAGEIFS(INDIRECT("Tabela1["&amp;$D16&amp;"]"),Tabela1[Turno],$F16,Tabela1[Mês],P$3)/100,"")</f>
        <v/>
      </c>
      <c r="Q16" s="28" t="str">
        <f ca="1">IFERROR(AVERAGEIFS(INDIRECT("Tabela1["&amp;$D16&amp;"]"),Tabela1[Turno],$F16,Tabela1[Mês],Q$3)/100,"")</f>
        <v/>
      </c>
      <c r="R16" s="29" t="str">
        <f ca="1">IFERROR(AVERAGEIFS(INDIRECT("Tabela1["&amp;$D16&amp;"]"),Tabela1[Turno],$F16,Tabela1[Mês],R$3)/100,"")</f>
        <v/>
      </c>
      <c r="S16" s="41">
        <v>0.95</v>
      </c>
      <c r="U16" s="15" t="str">
        <f ca="1">IFERROR(AVERAGEIFS(INDIRECT("Tabela1["&amp;$D16&amp;"]"),Tabela1[Turno],$F16,Tabela1[Data],U$3)/100,"")</f>
        <v/>
      </c>
      <c r="V16" s="15" t="str">
        <f ca="1">IFERROR(AVERAGEIFS(INDIRECT("Tabela1["&amp;$D16&amp;"]"),Tabela1[Turno],$F16,Tabela1[Data],V$3)/100,"")</f>
        <v/>
      </c>
      <c r="W16" s="28" t="str">
        <f ca="1">IFERROR(AVERAGEIFS(INDIRECT("Tabela1["&amp;$D16&amp;"]"),Tabela1[Turno],$F16,Tabela1[Data],W$3)/100,"")</f>
        <v/>
      </c>
      <c r="X16" s="28" t="str">
        <f ca="1">IFERROR(AVERAGEIFS(INDIRECT("Tabela1["&amp;$D16&amp;"]"),Tabela1[Turno],$F16,Tabela1[Data],X$3)/100,"")</f>
        <v/>
      </c>
      <c r="Y16" s="28" t="str">
        <f ca="1">IFERROR(AVERAGEIFS(INDIRECT("Tabela1["&amp;$D16&amp;"]"),Tabela1[Turno],$F16,Tabela1[Data],Y$3)/100,"")</f>
        <v/>
      </c>
      <c r="Z16" s="28" t="str">
        <f ca="1">IFERROR(AVERAGEIFS(INDIRECT("Tabela1["&amp;$D16&amp;"]"),Tabela1[Turno],$F16,Tabela1[Data],Z$3)/100,"")</f>
        <v/>
      </c>
      <c r="AA16" s="28" t="str">
        <f ca="1">IFERROR(AVERAGEIFS(INDIRECT("Tabela1["&amp;$D16&amp;"]"),Tabela1[Turno],$F16,Tabela1[Data],AA$3)/100,"")</f>
        <v/>
      </c>
      <c r="AB16" s="28" t="str">
        <f ca="1">IFERROR(AVERAGEIFS(INDIRECT("Tabela1["&amp;$D16&amp;"]"),Tabela1[Turno],$F16,Tabela1[Data],AB$3)/100,"")</f>
        <v/>
      </c>
      <c r="AC16" s="28" t="str">
        <f ca="1">IFERROR(AVERAGEIFS(INDIRECT("Tabela1["&amp;$D16&amp;"]"),Tabela1[Turno],$F16,Tabela1[Data],AC$3)/100,"")</f>
        <v/>
      </c>
      <c r="AD16" s="28" t="str">
        <f ca="1">IFERROR(AVERAGEIFS(INDIRECT("Tabela1["&amp;$D16&amp;"]"),Tabela1[Turno],$F16,Tabela1[Data],AD$3)/100,"")</f>
        <v/>
      </c>
      <c r="AE16" s="28" t="str">
        <f ca="1">IFERROR(AVERAGEIFS(INDIRECT("Tabela1["&amp;$D16&amp;"]"),Tabela1[Turno],$F16,Tabela1[Data],AE$3)/100,"")</f>
        <v/>
      </c>
      <c r="AF16" s="28" t="str">
        <f ca="1">IFERROR(AVERAGEIFS(INDIRECT("Tabela1["&amp;$D16&amp;"]"),Tabela1[Turno],$F16,Tabela1[Data],AF$3)/100,"")</f>
        <v/>
      </c>
      <c r="AG16" s="28" t="str">
        <f ca="1">IFERROR(AVERAGEIFS(INDIRECT("Tabela1["&amp;$D16&amp;"]"),Tabela1[Turno],$F16,Tabela1[Data],AG$3)/100,"")</f>
        <v/>
      </c>
      <c r="AH16" s="28" t="str">
        <f ca="1">IFERROR(AVERAGEIFS(INDIRECT("Tabela1["&amp;$D16&amp;"]"),Tabela1[Turno],$F16,Tabela1[Data],AH$3)/100,"")</f>
        <v/>
      </c>
      <c r="AI16" s="28" t="str">
        <f ca="1">IFERROR(AVERAGEIFS(INDIRECT("Tabela1["&amp;$D16&amp;"]"),Tabela1[Turno],$F16,Tabela1[Data],AI$3)/100,"")</f>
        <v/>
      </c>
      <c r="AJ16" s="28" t="str">
        <f ca="1">IFERROR(AVERAGEIFS(INDIRECT("Tabela1["&amp;$D16&amp;"]"),Tabela1[Turno],$F16,Tabela1[Data],AJ$3)/100,"")</f>
        <v/>
      </c>
      <c r="AK16" s="28" t="str">
        <f ca="1">IFERROR(AVERAGEIFS(INDIRECT("Tabela1["&amp;$D16&amp;"]"),Tabela1[Turno],$F16,Tabela1[Data],AK$3)/100,"")</f>
        <v/>
      </c>
      <c r="AL16" s="28" t="str">
        <f ca="1">IFERROR(AVERAGEIFS(INDIRECT("Tabela1["&amp;$D16&amp;"]"),Tabela1[Turno],$F16,Tabela1[Data],AL$3)/100,"")</f>
        <v/>
      </c>
      <c r="AM16" s="28" t="str">
        <f ca="1">IFERROR(AVERAGEIFS(INDIRECT("Tabela1["&amp;$D16&amp;"]"),Tabela1[Turno],$F16,Tabela1[Data],AM$3)/100,"")</f>
        <v/>
      </c>
      <c r="AN16" s="28" t="str">
        <f ca="1">IFERROR(AVERAGEIFS(INDIRECT("Tabela1["&amp;$D16&amp;"]"),Tabela1[Turno],$F16,Tabela1[Data],AN$3)/100,"")</f>
        <v/>
      </c>
      <c r="AO16" s="28" t="str">
        <f ca="1">IFERROR(AVERAGEIFS(INDIRECT("Tabela1["&amp;$D16&amp;"]"),Tabela1[Turno],$F16,Tabela1[Data],AO$3)/100,"")</f>
        <v/>
      </c>
      <c r="AP16" s="28" t="str">
        <f ca="1">IFERROR(AVERAGEIFS(INDIRECT("Tabela1["&amp;$D16&amp;"]"),Tabela1[Turno],$F16,Tabela1[Data],AP$3)/100,"")</f>
        <v/>
      </c>
      <c r="AQ16" s="28" t="str">
        <f ca="1">IFERROR(AVERAGEIFS(INDIRECT("Tabela1["&amp;$D16&amp;"]"),Tabela1[Turno],$F16,Tabela1[Data],AQ$3)/100,"")</f>
        <v/>
      </c>
      <c r="AR16" s="28" t="str">
        <f ca="1">IFERROR(AVERAGEIFS(INDIRECT("Tabela1["&amp;$D16&amp;"]"),Tabela1[Turno],$F16,Tabela1[Data],AR$3)/100,"")</f>
        <v/>
      </c>
    </row>
    <row r="17" spans="1:44" x14ac:dyDescent="0.3">
      <c r="A17" s="25" t="s">
        <v>120</v>
      </c>
      <c r="B17" s="25">
        <f t="shared" si="1"/>
        <v>2</v>
      </c>
      <c r="C17" s="25" t="s">
        <v>162</v>
      </c>
      <c r="D17" s="4" t="str">
        <f t="shared" si="2"/>
        <v>% Eficiência da Pinçagem</v>
      </c>
      <c r="E17" s="36"/>
      <c r="F17" s="23">
        <v>2</v>
      </c>
      <c r="G17" s="16">
        <f ca="1">IFERROR(AVERAGEIFS(INDIRECT("Tabela1["&amp;$D17&amp;"]"),Tabela1[Turno],$F17,Tabela1[Mês],G$3)/100,"")</f>
        <v>0.57999999999999996</v>
      </c>
      <c r="H17" s="16">
        <f ca="1">IFERROR(AVERAGEIFS(INDIRECT("Tabela1["&amp;$D17&amp;"]"),Tabela1[Turno],$F17,Tabela1[Mês],H$3)/100,"")</f>
        <v>0.56000000000000005</v>
      </c>
      <c r="I17" s="16">
        <f ca="1">IFERROR(AVERAGEIFS(INDIRECT("Tabela1["&amp;$D17&amp;"]"),Tabela1[Turno],$F17,Tabela1[Mês],I$3)/100,"")</f>
        <v>0.44</v>
      </c>
      <c r="J17" s="16">
        <f ca="1">IFERROR(AVERAGEIFS(INDIRECT("Tabela1["&amp;$D17&amp;"]"),Tabela1[Turno],$F17,Tabela1[Mês],J$3)/100,"")</f>
        <v>0.19</v>
      </c>
      <c r="K17" s="16">
        <f ca="1">IFERROR(AVERAGEIFS(INDIRECT("Tabela1["&amp;$D17&amp;"]"),Tabela1[Turno],$F17,Tabela1[Mês],K$3)/100,"")</f>
        <v>0.56999999999999995</v>
      </c>
      <c r="L17" s="16">
        <f ca="1">IFERROR(AVERAGEIFS(INDIRECT("Tabela1["&amp;$D17&amp;"]"),Tabela1[Turno],$F17,Tabela1[Mês],L$3)/100,"")</f>
        <v>0.6</v>
      </c>
      <c r="M17" s="16">
        <f ca="1">IFERROR(AVERAGEIFS(INDIRECT("Tabela1["&amp;$D17&amp;"]"),Tabela1[Turno],$F17,Tabela1[Mês],M$3)/100,"")</f>
        <v>0.66</v>
      </c>
      <c r="N17" s="16">
        <f ca="1">IFERROR(AVERAGEIFS(INDIRECT("Tabela1["&amp;$D17&amp;"]"),Tabela1[Turno],$F17,Tabela1[Mês],N$3)/100,"")</f>
        <v>0.74628571428571433</v>
      </c>
      <c r="O17" s="16">
        <f ca="1">IFERROR(AVERAGEIFS(INDIRECT("Tabela1["&amp;$D17&amp;"]"),Tabela1[Turno],$F17,Tabela1[Mês],O$3)/100,"")</f>
        <v>0.80023809523809519</v>
      </c>
      <c r="P17" s="16">
        <f ca="1">IFERROR(AVERAGEIFS(INDIRECT("Tabela1["&amp;$D17&amp;"]"),Tabela1[Turno],$F17,Tabela1[Mês],P$3)/100,"")</f>
        <v>0.73851851851851846</v>
      </c>
      <c r="Q17" s="16" t="str">
        <f ca="1">IFERROR(AVERAGEIFS(INDIRECT("Tabela1["&amp;$D17&amp;"]"),Tabela1[Turno],$F17,Tabela1[Mês],Q$3)/100,"")</f>
        <v/>
      </c>
      <c r="R17" s="17" t="str">
        <f ca="1">IFERROR(AVERAGEIFS(INDIRECT("Tabela1["&amp;$D17&amp;"]"),Tabela1[Turno],$F17,Tabela1[Mês],R$3)/100,"")</f>
        <v/>
      </c>
      <c r="S17" s="39"/>
      <c r="U17" s="16">
        <f ca="1">IFERROR(AVERAGEIFS(INDIRECT("Tabela1["&amp;$D17&amp;"]"),Tabela1[Turno],$F17,Tabela1[Data],U$3)/100,"")</f>
        <v>0.8075</v>
      </c>
      <c r="V17" s="16">
        <f ca="1">IFERROR(AVERAGEIFS(INDIRECT("Tabela1["&amp;$D17&amp;"]"),Tabela1[Turno],$F17,Tabela1[Data],V$3)/100,"")</f>
        <v>0.77</v>
      </c>
      <c r="W17" s="16">
        <f ca="1">IFERROR(AVERAGEIFS(INDIRECT("Tabela1["&amp;$D17&amp;"]"),Tabela1[Turno],$F17,Tabela1[Data],W$3)/100,"")</f>
        <v>0.84</v>
      </c>
      <c r="X17" s="16">
        <f ca="1">IFERROR(AVERAGEIFS(INDIRECT("Tabela1["&amp;$D17&amp;"]"),Tabela1[Turno],$F17,Tabela1[Data],X$3)/100,"")</f>
        <v>0.67749999999999999</v>
      </c>
      <c r="Y17" s="16">
        <f ca="1">IFERROR(AVERAGEIFS(INDIRECT("Tabela1["&amp;$D17&amp;"]"),Tabela1[Turno],$F17,Tabela1[Data],Y$3)/100,"")</f>
        <v>0.63749999999999996</v>
      </c>
      <c r="Z17" s="16">
        <f ca="1">IFERROR(AVERAGEIFS(INDIRECT("Tabela1["&amp;$D17&amp;"]"),Tabela1[Turno],$F17,Tabela1[Data],Z$3)/100,"")</f>
        <v>0.74250000000000005</v>
      </c>
      <c r="AA17" s="16">
        <f ca="1">IFERROR(AVERAGEIFS(INDIRECT("Tabela1["&amp;$D17&amp;"]"),Tabela1[Turno],$F17,Tabela1[Data],AA$3)/100,"")</f>
        <v>0.72</v>
      </c>
      <c r="AB17" s="16" t="str">
        <f ca="1">IFERROR(AVERAGEIFS(INDIRECT("Tabela1["&amp;$D17&amp;"]"),Tabela1[Turno],$F17,Tabela1[Data],AB$3)/100,"")</f>
        <v/>
      </c>
      <c r="AC17" s="16" t="str">
        <f ca="1">IFERROR(AVERAGEIFS(INDIRECT("Tabela1["&amp;$D17&amp;"]"),Tabela1[Turno],$F17,Tabela1[Data],AC$3)/100,"")</f>
        <v/>
      </c>
      <c r="AD17" s="16" t="str">
        <f ca="1">IFERROR(AVERAGEIFS(INDIRECT("Tabela1["&amp;$D17&amp;"]"),Tabela1[Turno],$F17,Tabela1[Data],AD$3)/100,"")</f>
        <v/>
      </c>
      <c r="AE17" s="16" t="str">
        <f ca="1">IFERROR(AVERAGEIFS(INDIRECT("Tabela1["&amp;$D17&amp;"]"),Tabela1[Turno],$F17,Tabela1[Data],AE$3)/100,"")</f>
        <v/>
      </c>
      <c r="AF17" s="16" t="str">
        <f ca="1">IFERROR(AVERAGEIFS(INDIRECT("Tabela1["&amp;$D17&amp;"]"),Tabela1[Turno],$F17,Tabela1[Data],AF$3)/100,"")</f>
        <v/>
      </c>
      <c r="AG17" s="16" t="str">
        <f ca="1">IFERROR(AVERAGEIFS(INDIRECT("Tabela1["&amp;$D17&amp;"]"),Tabela1[Turno],$F17,Tabela1[Data],AG$3)/100,"")</f>
        <v/>
      </c>
      <c r="AH17" s="16" t="str">
        <f ca="1">IFERROR(AVERAGEIFS(INDIRECT("Tabela1["&amp;$D17&amp;"]"),Tabela1[Turno],$F17,Tabela1[Data],AH$3)/100,"")</f>
        <v/>
      </c>
      <c r="AI17" s="16" t="str">
        <f ca="1">IFERROR(AVERAGEIFS(INDIRECT("Tabela1["&amp;$D17&amp;"]"),Tabela1[Turno],$F17,Tabela1[Data],AI$3)/100,"")</f>
        <v/>
      </c>
      <c r="AJ17" s="16" t="str">
        <f ca="1">IFERROR(AVERAGEIFS(INDIRECT("Tabela1["&amp;$D17&amp;"]"),Tabela1[Turno],$F17,Tabela1[Data],AJ$3)/100,"")</f>
        <v/>
      </c>
      <c r="AK17" s="16" t="str">
        <f ca="1">IFERROR(AVERAGEIFS(INDIRECT("Tabela1["&amp;$D17&amp;"]"),Tabela1[Turno],$F17,Tabela1[Data],AK$3)/100,"")</f>
        <v/>
      </c>
      <c r="AL17" s="16" t="str">
        <f ca="1">IFERROR(AVERAGEIFS(INDIRECT("Tabela1["&amp;$D17&amp;"]"),Tabela1[Turno],$F17,Tabela1[Data],AL$3)/100,"")</f>
        <v/>
      </c>
      <c r="AM17" s="16" t="str">
        <f ca="1">IFERROR(AVERAGEIFS(INDIRECT("Tabela1["&amp;$D17&amp;"]"),Tabela1[Turno],$F17,Tabela1[Data],AM$3)/100,"")</f>
        <v/>
      </c>
      <c r="AN17" s="16" t="str">
        <f ca="1">IFERROR(AVERAGEIFS(INDIRECT("Tabela1["&amp;$D17&amp;"]"),Tabela1[Turno],$F17,Tabela1[Data],AN$3)/100,"")</f>
        <v/>
      </c>
      <c r="AO17" s="16" t="str">
        <f ca="1">IFERROR(AVERAGEIFS(INDIRECT("Tabela1["&amp;$D17&amp;"]"),Tabela1[Turno],$F17,Tabela1[Data],AO$3)/100,"")</f>
        <v/>
      </c>
      <c r="AP17" s="16" t="str">
        <f ca="1">IFERROR(AVERAGEIFS(INDIRECT("Tabela1["&amp;$D17&amp;"]"),Tabela1[Turno],$F17,Tabela1[Data],AP$3)/100,"")</f>
        <v/>
      </c>
      <c r="AQ17" s="16" t="str">
        <f ca="1">IFERROR(AVERAGEIFS(INDIRECT("Tabela1["&amp;$D17&amp;"]"),Tabela1[Turno],$F17,Tabela1[Data],AQ$3)/100,"")</f>
        <v/>
      </c>
      <c r="AR17" s="16" t="str">
        <f ca="1">IFERROR(AVERAGEIFS(INDIRECT("Tabela1["&amp;$D17&amp;"]"),Tabela1[Turno],$F17,Tabela1[Data],AR$3)/100,"")</f>
        <v/>
      </c>
    </row>
    <row r="18" spans="1:44" ht="15" thickBot="1" x14ac:dyDescent="0.35">
      <c r="A18" s="25" t="s">
        <v>120</v>
      </c>
      <c r="B18" s="25" t="str">
        <f t="shared" si="1"/>
        <v>Unidade</v>
      </c>
      <c r="C18" s="25" t="s">
        <v>162</v>
      </c>
      <c r="D18" s="4" t="str">
        <f t="shared" si="2"/>
        <v>% Eficiência da Pinçagem</v>
      </c>
      <c r="E18" s="37"/>
      <c r="F18" s="24" t="s">
        <v>142</v>
      </c>
      <c r="G18" s="10">
        <f ca="1">IFERROR(AVERAGEIFS(INDIRECT("Tabela1["&amp;$D18&amp;"]"),Tabela1[Mês],G$3)/100,"")</f>
        <v>0.59</v>
      </c>
      <c r="H18" s="10">
        <f ca="1">IFERROR(AVERAGEIFS(INDIRECT("Tabela1["&amp;$D18&amp;"]"),Tabela1[Mês],H$3)/100,"")</f>
        <v>0.54500000000000004</v>
      </c>
      <c r="I18" s="10">
        <f ca="1">IFERROR(AVERAGEIFS(INDIRECT("Tabela1["&amp;$D18&amp;"]"),Tabela1[Mês],I$3)/100,"")</f>
        <v>0.44</v>
      </c>
      <c r="J18" s="10">
        <f ca="1">IFERROR(AVERAGEIFS(INDIRECT("Tabela1["&amp;$D18&amp;"]"),Tabela1[Mês],J$3)/100,"")</f>
        <v>0.21</v>
      </c>
      <c r="K18" s="10">
        <f ca="1">IFERROR(AVERAGEIFS(INDIRECT("Tabela1["&amp;$D18&amp;"]"),Tabela1[Mês],K$3)/100,"")</f>
        <v>0.53</v>
      </c>
      <c r="L18" s="10">
        <f ca="1">IFERROR(AVERAGEIFS(INDIRECT("Tabela1["&amp;$D18&amp;"]"),Tabela1[Mês],L$3)/100,"")</f>
        <v>0.62</v>
      </c>
      <c r="M18" s="10">
        <f ca="1">IFERROR(AVERAGEIFS(INDIRECT("Tabela1["&amp;$D18&amp;"]"),Tabela1[Mês],M$3)/100,"")</f>
        <v>0.6</v>
      </c>
      <c r="N18" s="10">
        <f ca="1">IFERROR(AVERAGEIFS(INDIRECT("Tabela1["&amp;$D18&amp;"]"),Tabela1[Mês],N$3)/100,"")</f>
        <v>0.75302631578947365</v>
      </c>
      <c r="O18" s="10">
        <f ca="1">IFERROR(AVERAGEIFS(INDIRECT("Tabela1["&amp;$D18&amp;"]"),Tabela1[Mês],O$3)/100,"")</f>
        <v>0.8</v>
      </c>
      <c r="P18" s="10">
        <f ca="1">IFERROR(AVERAGEIFS(INDIRECT("Tabela1["&amp;$D18&amp;"]"),Tabela1[Mês],P$3)/100,"")</f>
        <v>0.73851851851851846</v>
      </c>
      <c r="Q18" s="10" t="str">
        <f ca="1">IFERROR(AVERAGEIFS(INDIRECT("Tabela1["&amp;$D18&amp;"]"),Tabela1[Mês],Q$3)/100,"")</f>
        <v/>
      </c>
      <c r="R18" s="18" t="str">
        <f ca="1">IFERROR(AVERAGEIFS(INDIRECT("Tabela1["&amp;$D18&amp;"]"),Tabela1[Mês],R$3)/100,"")</f>
        <v/>
      </c>
      <c r="S18" s="40"/>
      <c r="U18" s="10">
        <f ca="1">IFERROR(AVERAGEIFS(INDIRECT("Tabela1["&amp;$D18&amp;"]"),Tabela1[Data],U$3)/100,"")</f>
        <v>0.8075</v>
      </c>
      <c r="V18" s="10">
        <f ca="1">IFERROR(AVERAGEIFS(INDIRECT("Tabela1["&amp;$D18&amp;"]"),Tabela1[Data],V$3)/100,"")</f>
        <v>0.77</v>
      </c>
      <c r="W18" s="10">
        <f ca="1">IFERROR(AVERAGEIFS(INDIRECT("Tabela1["&amp;$D18&amp;"]"),Tabela1[Data],W$3)/100,"")</f>
        <v>0.84</v>
      </c>
      <c r="X18" s="10">
        <f ca="1">IFERROR(AVERAGEIFS(INDIRECT("Tabela1["&amp;$D18&amp;"]"),Tabela1[Data],X$3)/100,"")</f>
        <v>0.67749999999999999</v>
      </c>
      <c r="Y18" s="10">
        <f ca="1">IFERROR(AVERAGEIFS(INDIRECT("Tabela1["&amp;$D18&amp;"]"),Tabela1[Data],Y$3)/100,"")</f>
        <v>0.63749999999999996</v>
      </c>
      <c r="Z18" s="10">
        <f ca="1">IFERROR(AVERAGEIFS(INDIRECT("Tabela1["&amp;$D18&amp;"]"),Tabela1[Data],Z$3)/100,"")</f>
        <v>0.74250000000000005</v>
      </c>
      <c r="AA18" s="10">
        <f ca="1">IFERROR(AVERAGEIFS(INDIRECT("Tabela1["&amp;$D18&amp;"]"),Tabela1[Data],AA$3)/100,"")</f>
        <v>0.72</v>
      </c>
      <c r="AB18" s="10" t="str">
        <f ca="1">IFERROR(AVERAGEIFS(INDIRECT("Tabela1["&amp;$D18&amp;"]"),Tabela1[Data],AB$3)/100,"")</f>
        <v/>
      </c>
      <c r="AC18" s="10" t="str">
        <f ca="1">IFERROR(AVERAGEIFS(INDIRECT("Tabela1["&amp;$D18&amp;"]"),Tabela1[Data],AC$3)/100,"")</f>
        <v/>
      </c>
      <c r="AD18" s="10" t="str">
        <f ca="1">IFERROR(AVERAGEIFS(INDIRECT("Tabela1["&amp;$D18&amp;"]"),Tabela1[Data],AD$3)/100,"")</f>
        <v/>
      </c>
      <c r="AE18" s="10" t="str">
        <f ca="1">IFERROR(AVERAGEIFS(INDIRECT("Tabela1["&amp;$D18&amp;"]"),Tabela1[Data],AE$3)/100,"")</f>
        <v/>
      </c>
      <c r="AF18" s="10" t="str">
        <f ca="1">IFERROR(AVERAGEIFS(INDIRECT("Tabela1["&amp;$D18&amp;"]"),Tabela1[Data],AF$3)/100,"")</f>
        <v/>
      </c>
      <c r="AG18" s="10" t="str">
        <f ca="1">IFERROR(AVERAGEIFS(INDIRECT("Tabela1["&amp;$D18&amp;"]"),Tabela1[Data],AG$3)/100,"")</f>
        <v/>
      </c>
      <c r="AH18" s="10" t="str">
        <f ca="1">IFERROR(AVERAGEIFS(INDIRECT("Tabela1["&amp;$D18&amp;"]"),Tabela1[Data],AH$3)/100,"")</f>
        <v/>
      </c>
      <c r="AI18" s="10" t="str">
        <f ca="1">IFERROR(AVERAGEIFS(INDIRECT("Tabela1["&amp;$D18&amp;"]"),Tabela1[Data],AI$3)/100,"")</f>
        <v/>
      </c>
      <c r="AJ18" s="10" t="str">
        <f ca="1">IFERROR(AVERAGEIFS(INDIRECT("Tabela1["&amp;$D18&amp;"]"),Tabela1[Data],AJ$3)/100,"")</f>
        <v/>
      </c>
      <c r="AK18" s="10" t="str">
        <f ca="1">IFERROR(AVERAGEIFS(INDIRECT("Tabela1["&amp;$D18&amp;"]"),Tabela1[Data],AK$3)/100,"")</f>
        <v/>
      </c>
      <c r="AL18" s="10" t="str">
        <f ca="1">IFERROR(AVERAGEIFS(INDIRECT("Tabela1["&amp;$D18&amp;"]"),Tabela1[Data],AL$3)/100,"")</f>
        <v/>
      </c>
      <c r="AM18" s="10" t="str">
        <f ca="1">IFERROR(AVERAGEIFS(INDIRECT("Tabela1["&amp;$D18&amp;"]"),Tabela1[Data],AM$3)/100,"")</f>
        <v/>
      </c>
      <c r="AN18" s="10" t="str">
        <f ca="1">IFERROR(AVERAGEIFS(INDIRECT("Tabela1["&amp;$D18&amp;"]"),Tabela1[Data],AN$3)/100,"")</f>
        <v/>
      </c>
      <c r="AO18" s="10" t="str">
        <f ca="1">IFERROR(AVERAGEIFS(INDIRECT("Tabela1["&amp;$D18&amp;"]"),Tabela1[Data],AO$3)/100,"")</f>
        <v/>
      </c>
      <c r="AP18" s="10" t="str">
        <f ca="1">IFERROR(AVERAGEIFS(INDIRECT("Tabela1["&amp;$D18&amp;"]"),Tabela1[Data],AP$3)/100,"")</f>
        <v/>
      </c>
      <c r="AQ18" s="10" t="str">
        <f ca="1">IFERROR(AVERAGEIFS(INDIRECT("Tabela1["&amp;$D18&amp;"]"),Tabela1[Data],AQ$3)/100,"")</f>
        <v/>
      </c>
      <c r="AR18" s="10" t="str">
        <f ca="1">IFERROR(AVERAGEIFS(INDIRECT("Tabela1["&amp;$D18&amp;"]"),Tabela1[Data],AR$3)/100,"")</f>
        <v/>
      </c>
    </row>
    <row r="19" spans="1:44" ht="15.75" customHeight="1" thickTop="1" x14ac:dyDescent="0.3">
      <c r="A19" s="25" t="s">
        <v>120</v>
      </c>
      <c r="B19" s="25">
        <f t="shared" si="1"/>
        <v>1</v>
      </c>
      <c r="C19" s="25" t="s">
        <v>163</v>
      </c>
      <c r="D19" s="4" t="str">
        <f t="shared" si="2"/>
        <v>% Eficiência remoção cartilagem</v>
      </c>
      <c r="E19" s="35" t="str">
        <f>Coleta!O1</f>
        <v>% Eficiência remoção cartilagem</v>
      </c>
      <c r="F19" s="22">
        <v>1</v>
      </c>
      <c r="G19" s="28" t="str">
        <f ca="1">IFERROR(AVERAGEIFS(INDIRECT("Tabela1["&amp;$D19&amp;"]"),Tabela1[Turno],$F19,Tabela1[Mês],G$3)/100,"")</f>
        <v/>
      </c>
      <c r="H19" s="28" t="str">
        <f ca="1">IFERROR(AVERAGEIFS(INDIRECT("Tabela1["&amp;$D19&amp;"]"),Tabela1[Turno],$F19,Tabela1[Mês],H$3)/100,"")</f>
        <v/>
      </c>
      <c r="I19" s="28" t="str">
        <f ca="1">IFERROR(AVERAGEIFS(INDIRECT("Tabela1["&amp;$D19&amp;"]"),Tabela1[Turno],$F19,Tabela1[Mês],I$3)/100,"")</f>
        <v/>
      </c>
      <c r="J19" s="28" t="str">
        <f ca="1">IFERROR(AVERAGEIFS(INDIRECT("Tabela1["&amp;$D19&amp;"]"),Tabela1[Turno],$F19,Tabela1[Mês],J$3)/100,"")</f>
        <v/>
      </c>
      <c r="K19" s="28" t="str">
        <f ca="1">IFERROR(AVERAGEIFS(INDIRECT("Tabela1["&amp;$D19&amp;"]"),Tabela1[Turno],$F19,Tabela1[Mês],K$3)/100,"")</f>
        <v/>
      </c>
      <c r="L19" s="28" t="str">
        <f ca="1">IFERROR(AVERAGEIFS(INDIRECT("Tabela1["&amp;$D19&amp;"]"),Tabela1[Turno],$F19,Tabela1[Mês],L$3)/100,"")</f>
        <v/>
      </c>
      <c r="M19" s="28" t="str">
        <f ca="1">IFERROR(AVERAGEIFS(INDIRECT("Tabela1["&amp;$D19&amp;"]"),Tabela1[Turno],$F19,Tabela1[Mês],M$3)/100,"")</f>
        <v/>
      </c>
      <c r="N19" s="28">
        <f ca="1">IFERROR(AVERAGEIFS(INDIRECT("Tabela1["&amp;$D19&amp;"]"),Tabela1[Turno],$F19,Tabela1[Mês],N$3)/100,"")</f>
        <v>0.67599999999999993</v>
      </c>
      <c r="O19" s="28">
        <f ca="1">IFERROR(AVERAGEIFS(INDIRECT("Tabela1["&amp;$D19&amp;"]"),Tabela1[Turno],$F19,Tabela1[Mês],O$3)/100,"")</f>
        <v>0.65545454545454551</v>
      </c>
      <c r="P19" s="28" t="str">
        <f ca="1">IFERROR(AVERAGEIFS(INDIRECT("Tabela1["&amp;$D19&amp;"]"),Tabela1[Turno],$F19,Tabela1[Mês],P$3)/100,"")</f>
        <v/>
      </c>
      <c r="Q19" s="28" t="str">
        <f ca="1">IFERROR(AVERAGEIFS(INDIRECT("Tabela1["&amp;$D19&amp;"]"),Tabela1[Turno],$F19,Tabela1[Mês],Q$3)/100,"")</f>
        <v/>
      </c>
      <c r="R19" s="29" t="str">
        <f ca="1">IFERROR(AVERAGEIFS(INDIRECT("Tabela1["&amp;$D19&amp;"]"),Tabela1[Turno],$F19,Tabela1[Mês],R$3)/100,"")</f>
        <v/>
      </c>
      <c r="S19" s="41">
        <v>0.95</v>
      </c>
      <c r="U19" s="15" t="str">
        <f ca="1">IFERROR(AVERAGEIFS(INDIRECT("Tabela1["&amp;$D19&amp;"]"),Tabela1[Turno],$F19,Tabela1[Data],U$3)/100,"")</f>
        <v/>
      </c>
      <c r="V19" s="15" t="str">
        <f ca="1">IFERROR(AVERAGEIFS(INDIRECT("Tabela1["&amp;$D19&amp;"]"),Tabela1[Turno],$F19,Tabela1[Data],V$3)/100,"")</f>
        <v/>
      </c>
      <c r="W19" s="28" t="str">
        <f ca="1">IFERROR(AVERAGEIFS(INDIRECT("Tabela1["&amp;$D19&amp;"]"),Tabela1[Turno],$F19,Tabela1[Data],W$3)/100,"")</f>
        <v/>
      </c>
      <c r="X19" s="28" t="str">
        <f ca="1">IFERROR(AVERAGEIFS(INDIRECT("Tabela1["&amp;$D19&amp;"]"),Tabela1[Turno],$F19,Tabela1[Data],X$3)/100,"")</f>
        <v/>
      </c>
      <c r="Y19" s="28" t="str">
        <f ca="1">IFERROR(AVERAGEIFS(INDIRECT("Tabela1["&amp;$D19&amp;"]"),Tabela1[Turno],$F19,Tabela1[Data],Y$3)/100,"")</f>
        <v/>
      </c>
      <c r="Z19" s="28" t="str">
        <f ca="1">IFERROR(AVERAGEIFS(INDIRECT("Tabela1["&amp;$D19&amp;"]"),Tabela1[Turno],$F19,Tabela1[Data],Z$3)/100,"")</f>
        <v/>
      </c>
      <c r="AA19" s="28" t="str">
        <f ca="1">IFERROR(AVERAGEIFS(INDIRECT("Tabela1["&amp;$D19&amp;"]"),Tabela1[Turno],$F19,Tabela1[Data],AA$3)/100,"")</f>
        <v/>
      </c>
      <c r="AB19" s="28" t="str">
        <f ca="1">IFERROR(AVERAGEIFS(INDIRECT("Tabela1["&amp;$D19&amp;"]"),Tabela1[Turno],$F19,Tabela1[Data],AB$3)/100,"")</f>
        <v/>
      </c>
      <c r="AC19" s="28" t="str">
        <f ca="1">IFERROR(AVERAGEIFS(INDIRECT("Tabela1["&amp;$D19&amp;"]"),Tabela1[Turno],$F19,Tabela1[Data],AC$3)/100,"")</f>
        <v/>
      </c>
      <c r="AD19" s="28" t="str">
        <f ca="1">IFERROR(AVERAGEIFS(INDIRECT("Tabela1["&amp;$D19&amp;"]"),Tabela1[Turno],$F19,Tabela1[Data],AD$3)/100,"")</f>
        <v/>
      </c>
      <c r="AE19" s="28" t="str">
        <f ca="1">IFERROR(AVERAGEIFS(INDIRECT("Tabela1["&amp;$D19&amp;"]"),Tabela1[Turno],$F19,Tabela1[Data],AE$3)/100,"")</f>
        <v/>
      </c>
      <c r="AF19" s="28" t="str">
        <f ca="1">IFERROR(AVERAGEIFS(INDIRECT("Tabela1["&amp;$D19&amp;"]"),Tabela1[Turno],$F19,Tabela1[Data],AF$3)/100,"")</f>
        <v/>
      </c>
      <c r="AG19" s="28" t="str">
        <f ca="1">IFERROR(AVERAGEIFS(INDIRECT("Tabela1["&amp;$D19&amp;"]"),Tabela1[Turno],$F19,Tabela1[Data],AG$3)/100,"")</f>
        <v/>
      </c>
      <c r="AH19" s="28" t="str">
        <f ca="1">IFERROR(AVERAGEIFS(INDIRECT("Tabela1["&amp;$D19&amp;"]"),Tabela1[Turno],$F19,Tabela1[Data],AH$3)/100,"")</f>
        <v/>
      </c>
      <c r="AI19" s="28" t="str">
        <f ca="1">IFERROR(AVERAGEIFS(INDIRECT("Tabela1["&amp;$D19&amp;"]"),Tabela1[Turno],$F19,Tabela1[Data],AI$3)/100,"")</f>
        <v/>
      </c>
      <c r="AJ19" s="28" t="str">
        <f ca="1">IFERROR(AVERAGEIFS(INDIRECT("Tabela1["&amp;$D19&amp;"]"),Tabela1[Turno],$F19,Tabela1[Data],AJ$3)/100,"")</f>
        <v/>
      </c>
      <c r="AK19" s="28" t="str">
        <f ca="1">IFERROR(AVERAGEIFS(INDIRECT("Tabela1["&amp;$D19&amp;"]"),Tabela1[Turno],$F19,Tabela1[Data],AK$3)/100,"")</f>
        <v/>
      </c>
      <c r="AL19" s="28" t="str">
        <f ca="1">IFERROR(AVERAGEIFS(INDIRECT("Tabela1["&amp;$D19&amp;"]"),Tabela1[Turno],$F19,Tabela1[Data],AL$3)/100,"")</f>
        <v/>
      </c>
      <c r="AM19" s="28" t="str">
        <f ca="1">IFERROR(AVERAGEIFS(INDIRECT("Tabela1["&amp;$D19&amp;"]"),Tabela1[Turno],$F19,Tabela1[Data],AM$3)/100,"")</f>
        <v/>
      </c>
      <c r="AN19" s="28" t="str">
        <f ca="1">IFERROR(AVERAGEIFS(INDIRECT("Tabela1["&amp;$D19&amp;"]"),Tabela1[Turno],$F19,Tabela1[Data],AN$3)/100,"")</f>
        <v/>
      </c>
      <c r="AO19" s="28" t="str">
        <f ca="1">IFERROR(AVERAGEIFS(INDIRECT("Tabela1["&amp;$D19&amp;"]"),Tabela1[Turno],$F19,Tabela1[Data],AO$3)/100,"")</f>
        <v/>
      </c>
      <c r="AP19" s="28" t="str">
        <f ca="1">IFERROR(AVERAGEIFS(INDIRECT("Tabela1["&amp;$D19&amp;"]"),Tabela1[Turno],$F19,Tabela1[Data],AP$3)/100,"")</f>
        <v/>
      </c>
      <c r="AQ19" s="28" t="str">
        <f ca="1">IFERROR(AVERAGEIFS(INDIRECT("Tabela1["&amp;$D19&amp;"]"),Tabela1[Turno],$F19,Tabela1[Data],AQ$3)/100,"")</f>
        <v/>
      </c>
      <c r="AR19" s="28" t="str">
        <f ca="1">IFERROR(AVERAGEIFS(INDIRECT("Tabela1["&amp;$D19&amp;"]"),Tabela1[Turno],$F19,Tabela1[Data],AR$3)/100,"")</f>
        <v/>
      </c>
    </row>
    <row r="20" spans="1:44" ht="15" customHeight="1" x14ac:dyDescent="0.3">
      <c r="A20" s="25" t="s">
        <v>120</v>
      </c>
      <c r="B20" s="25">
        <f t="shared" si="1"/>
        <v>2</v>
      </c>
      <c r="C20" s="25" t="s">
        <v>163</v>
      </c>
      <c r="D20" s="4" t="str">
        <f t="shared" si="2"/>
        <v>% Eficiência remoção cartilagem</v>
      </c>
      <c r="E20" s="36"/>
      <c r="F20" s="23">
        <v>2</v>
      </c>
      <c r="G20" s="16" t="str">
        <f ca="1">IFERROR(AVERAGEIFS(INDIRECT("Tabela1["&amp;$D20&amp;"]"),Tabela1[Turno],$F20,Tabela1[Mês],G$3)/100,"")</f>
        <v/>
      </c>
      <c r="H20" s="16" t="str">
        <f ca="1">IFERROR(AVERAGEIFS(INDIRECT("Tabela1["&amp;$D20&amp;"]"),Tabela1[Turno],$F20,Tabela1[Mês],H$3)/100,"")</f>
        <v/>
      </c>
      <c r="I20" s="16" t="str">
        <f ca="1">IFERROR(AVERAGEIFS(INDIRECT("Tabela1["&amp;$D20&amp;"]"),Tabela1[Turno],$F20,Tabela1[Mês],I$3)/100,"")</f>
        <v/>
      </c>
      <c r="J20" s="16" t="str">
        <f ca="1">IFERROR(AVERAGEIFS(INDIRECT("Tabela1["&amp;$D20&amp;"]"),Tabela1[Turno],$F20,Tabela1[Mês],J$3)/100,"")</f>
        <v/>
      </c>
      <c r="K20" s="16" t="str">
        <f ca="1">IFERROR(AVERAGEIFS(INDIRECT("Tabela1["&amp;$D20&amp;"]"),Tabela1[Turno],$F20,Tabela1[Mês],K$3)/100,"")</f>
        <v/>
      </c>
      <c r="L20" s="16" t="str">
        <f ca="1">IFERROR(AVERAGEIFS(INDIRECT("Tabela1["&amp;$D20&amp;"]"),Tabela1[Turno],$F20,Tabela1[Mês],L$3)/100,"")</f>
        <v/>
      </c>
      <c r="M20" s="16" t="str">
        <f ca="1">IFERROR(AVERAGEIFS(INDIRECT("Tabela1["&amp;$D20&amp;"]"),Tabela1[Turno],$F20,Tabela1[Mês],M$3)/100,"")</f>
        <v/>
      </c>
      <c r="N20" s="16">
        <f ca="1">IFERROR(AVERAGEIFS(INDIRECT("Tabela1["&amp;$D20&amp;"]"),Tabela1[Turno],$F20,Tabela1[Mês],N$3)/100,"")</f>
        <v>0.68457142857142861</v>
      </c>
      <c r="O20" s="16">
        <f ca="1">IFERROR(AVERAGEIFS(INDIRECT("Tabela1["&amp;$D20&amp;"]"),Tabela1[Turno],$F20,Tabela1[Mês],O$3)/100,"")</f>
        <v>0.63071428571428567</v>
      </c>
      <c r="P20" s="16">
        <f ca="1">IFERROR(AVERAGEIFS(INDIRECT("Tabela1["&amp;$D20&amp;"]"),Tabela1[Turno],$F20,Tabela1[Mês],P$3)/100,"")</f>
        <v>0.79814814814814805</v>
      </c>
      <c r="Q20" s="16" t="str">
        <f ca="1">IFERROR(AVERAGEIFS(INDIRECT("Tabela1["&amp;$D20&amp;"]"),Tabela1[Turno],$F20,Tabela1[Mês],Q$3)/100,"")</f>
        <v/>
      </c>
      <c r="R20" s="17" t="str">
        <f ca="1">IFERROR(AVERAGEIFS(INDIRECT("Tabela1["&amp;$D20&amp;"]"),Tabela1[Turno],$F20,Tabela1[Mês],R$3)/100,"")</f>
        <v/>
      </c>
      <c r="S20" s="39"/>
      <c r="U20" s="16">
        <f ca="1">IFERROR(AVERAGEIFS(INDIRECT("Tabela1["&amp;$D20&amp;"]"),Tabela1[Turno],$F20,Tabela1[Data],U$3)/100,"")</f>
        <v>0.75249999999999995</v>
      </c>
      <c r="V20" s="16">
        <f ca="1">IFERROR(AVERAGEIFS(INDIRECT("Tabela1["&amp;$D20&amp;"]"),Tabela1[Turno],$F20,Tabela1[Data],V$3)/100,"")</f>
        <v>0.86499999999999999</v>
      </c>
      <c r="W20" s="16">
        <f ca="1">IFERROR(AVERAGEIFS(INDIRECT("Tabela1["&amp;$D20&amp;"]"),Tabela1[Turno],$F20,Tabela1[Data],W$3)/100,"")</f>
        <v>0.83666666666666667</v>
      </c>
      <c r="X20" s="16">
        <f ca="1">IFERROR(AVERAGEIFS(INDIRECT("Tabela1["&amp;$D20&amp;"]"),Tabela1[Turno],$F20,Tabela1[Data],X$3)/100,"")</f>
        <v>0.82750000000000001</v>
      </c>
      <c r="Y20" s="16">
        <f ca="1">IFERROR(AVERAGEIFS(INDIRECT("Tabela1["&amp;$D20&amp;"]"),Tabela1[Turno],$F20,Tabela1[Data],Y$3)/100,"")</f>
        <v>0.76249999999999996</v>
      </c>
      <c r="Z20" s="16">
        <f ca="1">IFERROR(AVERAGEIFS(INDIRECT("Tabela1["&amp;$D20&amp;"]"),Tabela1[Turno],$F20,Tabela1[Data],Z$3)/100,"")</f>
        <v>0.75</v>
      </c>
      <c r="AA20" s="16">
        <f ca="1">IFERROR(AVERAGEIFS(INDIRECT("Tabela1["&amp;$D20&amp;"]"),Tabela1[Turno],$F20,Tabela1[Data],AA$3)/100,"")</f>
        <v>0.80249999999999999</v>
      </c>
      <c r="AB20" s="16" t="str">
        <f ca="1">IFERROR(AVERAGEIFS(INDIRECT("Tabela1["&amp;$D20&amp;"]"),Tabela1[Turno],$F20,Tabela1[Data],AB$3)/100,"")</f>
        <v/>
      </c>
      <c r="AC20" s="16" t="str">
        <f ca="1">IFERROR(AVERAGEIFS(INDIRECT("Tabela1["&amp;$D20&amp;"]"),Tabela1[Turno],$F20,Tabela1[Data],AC$3)/100,"")</f>
        <v/>
      </c>
      <c r="AD20" s="16" t="str">
        <f ca="1">IFERROR(AVERAGEIFS(INDIRECT("Tabela1["&amp;$D20&amp;"]"),Tabela1[Turno],$F20,Tabela1[Data],AD$3)/100,"")</f>
        <v/>
      </c>
      <c r="AE20" s="16" t="str">
        <f ca="1">IFERROR(AVERAGEIFS(INDIRECT("Tabela1["&amp;$D20&amp;"]"),Tabela1[Turno],$F20,Tabela1[Data],AE$3)/100,"")</f>
        <v/>
      </c>
      <c r="AF20" s="16" t="str">
        <f ca="1">IFERROR(AVERAGEIFS(INDIRECT("Tabela1["&amp;$D20&amp;"]"),Tabela1[Turno],$F20,Tabela1[Data],AF$3)/100,"")</f>
        <v/>
      </c>
      <c r="AG20" s="16" t="str">
        <f ca="1">IFERROR(AVERAGEIFS(INDIRECT("Tabela1["&amp;$D20&amp;"]"),Tabela1[Turno],$F20,Tabela1[Data],AG$3)/100,"")</f>
        <v/>
      </c>
      <c r="AH20" s="16" t="str">
        <f ca="1">IFERROR(AVERAGEIFS(INDIRECT("Tabela1["&amp;$D20&amp;"]"),Tabela1[Turno],$F20,Tabela1[Data],AH$3)/100,"")</f>
        <v/>
      </c>
      <c r="AI20" s="16" t="str">
        <f ca="1">IFERROR(AVERAGEIFS(INDIRECT("Tabela1["&amp;$D20&amp;"]"),Tabela1[Turno],$F20,Tabela1[Data],AI$3)/100,"")</f>
        <v/>
      </c>
      <c r="AJ20" s="16" t="str">
        <f ca="1">IFERROR(AVERAGEIFS(INDIRECT("Tabela1["&amp;$D20&amp;"]"),Tabela1[Turno],$F20,Tabela1[Data],AJ$3)/100,"")</f>
        <v/>
      </c>
      <c r="AK20" s="16" t="str">
        <f ca="1">IFERROR(AVERAGEIFS(INDIRECT("Tabela1["&amp;$D20&amp;"]"),Tabela1[Turno],$F20,Tabela1[Data],AK$3)/100,"")</f>
        <v/>
      </c>
      <c r="AL20" s="16" t="str">
        <f ca="1">IFERROR(AVERAGEIFS(INDIRECT("Tabela1["&amp;$D20&amp;"]"),Tabela1[Turno],$F20,Tabela1[Data],AL$3)/100,"")</f>
        <v/>
      </c>
      <c r="AM20" s="16" t="str">
        <f ca="1">IFERROR(AVERAGEIFS(INDIRECT("Tabela1["&amp;$D20&amp;"]"),Tabela1[Turno],$F20,Tabela1[Data],AM$3)/100,"")</f>
        <v/>
      </c>
      <c r="AN20" s="16" t="str">
        <f ca="1">IFERROR(AVERAGEIFS(INDIRECT("Tabela1["&amp;$D20&amp;"]"),Tabela1[Turno],$F20,Tabela1[Data],AN$3)/100,"")</f>
        <v/>
      </c>
      <c r="AO20" s="16" t="str">
        <f ca="1">IFERROR(AVERAGEIFS(INDIRECT("Tabela1["&amp;$D20&amp;"]"),Tabela1[Turno],$F20,Tabela1[Data],AO$3)/100,"")</f>
        <v/>
      </c>
      <c r="AP20" s="16" t="str">
        <f ca="1">IFERROR(AVERAGEIFS(INDIRECT("Tabela1["&amp;$D20&amp;"]"),Tabela1[Turno],$F20,Tabela1[Data],AP$3)/100,"")</f>
        <v/>
      </c>
      <c r="AQ20" s="16" t="str">
        <f ca="1">IFERROR(AVERAGEIFS(INDIRECT("Tabela1["&amp;$D20&amp;"]"),Tabela1[Turno],$F20,Tabela1[Data],AQ$3)/100,"")</f>
        <v/>
      </c>
      <c r="AR20" s="16" t="str">
        <f ca="1">IFERROR(AVERAGEIFS(INDIRECT("Tabela1["&amp;$D20&amp;"]"),Tabela1[Turno],$F20,Tabela1[Data],AR$3)/100,"")</f>
        <v/>
      </c>
    </row>
    <row r="21" spans="1:44" ht="15.75" customHeight="1" thickBot="1" x14ac:dyDescent="0.35">
      <c r="A21" s="25" t="s">
        <v>120</v>
      </c>
      <c r="B21" s="25" t="str">
        <f t="shared" si="1"/>
        <v>Unidade</v>
      </c>
      <c r="C21" s="25" t="s">
        <v>163</v>
      </c>
      <c r="D21" s="4" t="str">
        <f t="shared" si="2"/>
        <v>% Eficiência remoção cartilagem</v>
      </c>
      <c r="E21" s="37"/>
      <c r="F21" s="24" t="s">
        <v>142</v>
      </c>
      <c r="G21" s="10" t="str">
        <f ca="1">IFERROR(AVERAGEIFS(INDIRECT("Tabela1["&amp;$D21&amp;"]"),Tabela1[Mês],G$3)/100,"")</f>
        <v/>
      </c>
      <c r="H21" s="10" t="str">
        <f ca="1">IFERROR(AVERAGEIFS(INDIRECT("Tabela1["&amp;$D21&amp;"]"),Tabela1[Mês],H$3)/100,"")</f>
        <v/>
      </c>
      <c r="I21" s="10" t="str">
        <f ca="1">IFERROR(AVERAGEIFS(INDIRECT("Tabela1["&amp;$D21&amp;"]"),Tabela1[Mês],I$3)/100,"")</f>
        <v/>
      </c>
      <c r="J21" s="10" t="str">
        <f ca="1">IFERROR(AVERAGEIFS(INDIRECT("Tabela1["&amp;$D21&amp;"]"),Tabela1[Mês],J$3)/100,"")</f>
        <v/>
      </c>
      <c r="K21" s="10" t="str">
        <f ca="1">IFERROR(AVERAGEIFS(INDIRECT("Tabela1["&amp;$D21&amp;"]"),Tabela1[Mês],K$3)/100,"")</f>
        <v/>
      </c>
      <c r="L21" s="10" t="str">
        <f ca="1">IFERROR(AVERAGEIFS(INDIRECT("Tabela1["&amp;$D21&amp;"]"),Tabela1[Mês],L$3)/100,"")</f>
        <v/>
      </c>
      <c r="M21" s="10" t="str">
        <f ca="1">IFERROR(AVERAGEIFS(INDIRECT("Tabela1["&amp;$D21&amp;"]"),Tabela1[Mês],M$3)/100,"")</f>
        <v/>
      </c>
      <c r="N21" s="10">
        <f ca="1">IFERROR(AVERAGEIFS(INDIRECT("Tabela1["&amp;$D21&amp;"]"),Tabela1[Mês],N$3)/100,"")</f>
        <v>0.68434210526315797</v>
      </c>
      <c r="O21" s="10">
        <f ca="1">IFERROR(AVERAGEIFS(INDIRECT("Tabela1["&amp;$D21&amp;"]"),Tabela1[Mês],O$3)/100,"")</f>
        <v>0.63357894736842102</v>
      </c>
      <c r="P21" s="10">
        <f ca="1">IFERROR(AVERAGEIFS(INDIRECT("Tabela1["&amp;$D21&amp;"]"),Tabela1[Mês],P$3)/100,"")</f>
        <v>0.79814814814814805</v>
      </c>
      <c r="Q21" s="10" t="str">
        <f ca="1">IFERROR(AVERAGEIFS(INDIRECT("Tabela1["&amp;$D21&amp;"]"),Tabela1[Mês],Q$3)/100,"")</f>
        <v/>
      </c>
      <c r="R21" s="18" t="str">
        <f ca="1">IFERROR(AVERAGEIFS(INDIRECT("Tabela1["&amp;$D21&amp;"]"),Tabela1[Mês],R$3)/100,"")</f>
        <v/>
      </c>
      <c r="S21" s="40"/>
      <c r="U21" s="10">
        <f ca="1">IFERROR(AVERAGEIFS(INDIRECT("Tabela1["&amp;$D21&amp;"]"),Tabela1[Data],U$3)/100,"")</f>
        <v>0.75249999999999995</v>
      </c>
      <c r="V21" s="10">
        <f ca="1">IFERROR(AVERAGEIFS(INDIRECT("Tabela1["&amp;$D21&amp;"]"),Tabela1[Data],V$3)/100,"")</f>
        <v>0.86499999999999999</v>
      </c>
      <c r="W21" s="10">
        <f ca="1">IFERROR(AVERAGEIFS(INDIRECT("Tabela1["&amp;$D21&amp;"]"),Tabela1[Data],W$3)/100,"")</f>
        <v>0.83666666666666667</v>
      </c>
      <c r="X21" s="10">
        <f ca="1">IFERROR(AVERAGEIFS(INDIRECT("Tabela1["&amp;$D21&amp;"]"),Tabela1[Data],X$3)/100,"")</f>
        <v>0.82750000000000001</v>
      </c>
      <c r="Y21" s="10">
        <f ca="1">IFERROR(AVERAGEIFS(INDIRECT("Tabela1["&amp;$D21&amp;"]"),Tabela1[Data],Y$3)/100,"")</f>
        <v>0.76249999999999996</v>
      </c>
      <c r="Z21" s="10">
        <f ca="1">IFERROR(AVERAGEIFS(INDIRECT("Tabela1["&amp;$D21&amp;"]"),Tabela1[Data],Z$3)/100,"")</f>
        <v>0.75</v>
      </c>
      <c r="AA21" s="10">
        <f ca="1">IFERROR(AVERAGEIFS(INDIRECT("Tabela1["&amp;$D21&amp;"]"),Tabela1[Data],AA$3)/100,"")</f>
        <v>0.80249999999999999</v>
      </c>
      <c r="AB21" s="10" t="str">
        <f ca="1">IFERROR(AVERAGEIFS(INDIRECT("Tabela1["&amp;$D21&amp;"]"),Tabela1[Data],AB$3)/100,"")</f>
        <v/>
      </c>
      <c r="AC21" s="10" t="str">
        <f ca="1">IFERROR(AVERAGEIFS(INDIRECT("Tabela1["&amp;$D21&amp;"]"),Tabela1[Data],AC$3)/100,"")</f>
        <v/>
      </c>
      <c r="AD21" s="10" t="str">
        <f ca="1">IFERROR(AVERAGEIFS(INDIRECT("Tabela1["&amp;$D21&amp;"]"),Tabela1[Data],AD$3)/100,"")</f>
        <v/>
      </c>
      <c r="AE21" s="10" t="str">
        <f ca="1">IFERROR(AVERAGEIFS(INDIRECT("Tabela1["&amp;$D21&amp;"]"),Tabela1[Data],AE$3)/100,"")</f>
        <v/>
      </c>
      <c r="AF21" s="10" t="str">
        <f ca="1">IFERROR(AVERAGEIFS(INDIRECT("Tabela1["&amp;$D21&amp;"]"),Tabela1[Data],AF$3)/100,"")</f>
        <v/>
      </c>
      <c r="AG21" s="10" t="str">
        <f ca="1">IFERROR(AVERAGEIFS(INDIRECT("Tabela1["&amp;$D21&amp;"]"),Tabela1[Data],AG$3)/100,"")</f>
        <v/>
      </c>
      <c r="AH21" s="10" t="str">
        <f ca="1">IFERROR(AVERAGEIFS(INDIRECT("Tabela1["&amp;$D21&amp;"]"),Tabela1[Data],AH$3)/100,"")</f>
        <v/>
      </c>
      <c r="AI21" s="10" t="str">
        <f ca="1">IFERROR(AVERAGEIFS(INDIRECT("Tabela1["&amp;$D21&amp;"]"),Tabela1[Data],AI$3)/100,"")</f>
        <v/>
      </c>
      <c r="AJ21" s="10" t="str">
        <f ca="1">IFERROR(AVERAGEIFS(INDIRECT("Tabela1["&amp;$D21&amp;"]"),Tabela1[Data],AJ$3)/100,"")</f>
        <v/>
      </c>
      <c r="AK21" s="10" t="str">
        <f ca="1">IFERROR(AVERAGEIFS(INDIRECT("Tabela1["&amp;$D21&amp;"]"),Tabela1[Data],AK$3)/100,"")</f>
        <v/>
      </c>
      <c r="AL21" s="10" t="str">
        <f ca="1">IFERROR(AVERAGEIFS(INDIRECT("Tabela1["&amp;$D21&amp;"]"),Tabela1[Data],AL$3)/100,"")</f>
        <v/>
      </c>
      <c r="AM21" s="10" t="str">
        <f ca="1">IFERROR(AVERAGEIFS(INDIRECT("Tabela1["&amp;$D21&amp;"]"),Tabela1[Data],AM$3)/100,"")</f>
        <v/>
      </c>
      <c r="AN21" s="10" t="str">
        <f ca="1">IFERROR(AVERAGEIFS(INDIRECT("Tabela1["&amp;$D21&amp;"]"),Tabela1[Data],AN$3)/100,"")</f>
        <v/>
      </c>
      <c r="AO21" s="10" t="str">
        <f ca="1">IFERROR(AVERAGEIFS(INDIRECT("Tabela1["&amp;$D21&amp;"]"),Tabela1[Data],AO$3)/100,"")</f>
        <v/>
      </c>
      <c r="AP21" s="10" t="str">
        <f ca="1">IFERROR(AVERAGEIFS(INDIRECT("Tabela1["&amp;$D21&amp;"]"),Tabela1[Data],AP$3)/100,"")</f>
        <v/>
      </c>
      <c r="AQ21" s="10" t="str">
        <f ca="1">IFERROR(AVERAGEIFS(INDIRECT("Tabela1["&amp;$D21&amp;"]"),Tabela1[Data],AQ$3)/100,"")</f>
        <v/>
      </c>
      <c r="AR21" s="10" t="str">
        <f ca="1">IFERROR(AVERAGEIFS(INDIRECT("Tabela1["&amp;$D21&amp;"]"),Tabela1[Data],AR$3)/100,"")</f>
        <v/>
      </c>
    </row>
    <row r="22" spans="1:44" ht="15" thickTop="1" x14ac:dyDescent="0.3">
      <c r="A22" s="25" t="s">
        <v>121</v>
      </c>
      <c r="B22" s="25">
        <f t="shared" si="1"/>
        <v>1</v>
      </c>
      <c r="C22" s="25" t="s">
        <v>122</v>
      </c>
      <c r="D22" s="4" t="str">
        <f t="shared" si="2"/>
        <v>Corte Perna Cone</v>
      </c>
      <c r="E22" s="35" t="str">
        <f>Coleta!P1</f>
        <v>Corte Perna Cone</v>
      </c>
      <c r="F22" s="22">
        <v>1</v>
      </c>
      <c r="G22" s="26" t="str">
        <f ca="1">IFERROR(AVERAGEIFS(INDIRECT("Tabela1["&amp;$D22&amp;"]"),Tabela1[Turno],$F22,Tabela1[Mês],G$3),"")</f>
        <v/>
      </c>
      <c r="H22" s="26" t="str">
        <f ca="1">IFERROR(AVERAGEIFS(INDIRECT("Tabela1["&amp;$D22&amp;"]"),Tabela1[Turno],$F22,Tabela1[Mês],H$3),"")</f>
        <v/>
      </c>
      <c r="I22" s="26" t="str">
        <f ca="1">IFERROR(AVERAGEIFS(INDIRECT("Tabela1["&amp;$D22&amp;"]"),Tabela1[Turno],$F22,Tabela1[Mês],I$3),"")</f>
        <v/>
      </c>
      <c r="J22" s="26" t="str">
        <f ca="1">IFERROR(AVERAGEIFS(INDIRECT("Tabela1["&amp;$D22&amp;"]"),Tabela1[Turno],$F22,Tabela1[Mês],J$3),"")</f>
        <v/>
      </c>
      <c r="K22" s="26" t="str">
        <f ca="1">IFERROR(AVERAGEIFS(INDIRECT("Tabela1["&amp;$D22&amp;"]"),Tabela1[Turno],$F22,Tabela1[Mês],K$3),"")</f>
        <v/>
      </c>
      <c r="L22" s="26" t="str">
        <f ca="1">IFERROR(AVERAGEIFS(INDIRECT("Tabela1["&amp;$D22&amp;"]"),Tabela1[Turno],$F22,Tabela1[Mês],L$3),"")</f>
        <v/>
      </c>
      <c r="M22" s="26" t="str">
        <f ca="1">IFERROR(AVERAGEIFS(INDIRECT("Tabela1["&amp;$D22&amp;"]"),Tabela1[Turno],$F22,Tabela1[Mês],M$3),"")</f>
        <v/>
      </c>
      <c r="N22" s="26">
        <f ca="1">IFERROR(AVERAGEIFS(INDIRECT("Tabela1["&amp;$D22&amp;"]"),Tabela1[Turno],$F22,Tabela1[Mês],N$3),"")</f>
        <v>8.1999999999999993</v>
      </c>
      <c r="O22" s="26">
        <f ca="1">IFERROR(AVERAGEIFS(INDIRECT("Tabela1["&amp;$D22&amp;"]"),Tabela1[Turno],$F22,Tabela1[Mês],O$3),"")</f>
        <v>7.2727272727272725</v>
      </c>
      <c r="P22" s="26" t="str">
        <f ca="1">IFERROR(AVERAGEIFS(INDIRECT("Tabela1["&amp;$D22&amp;"]"),Tabela1[Turno],$F22,Tabela1[Mês],P$3),"")</f>
        <v/>
      </c>
      <c r="Q22" s="26" t="str">
        <f ca="1">IFERROR(AVERAGEIFS(INDIRECT("Tabela1["&amp;$D22&amp;"]"),Tabela1[Turno],$F22,Tabela1[Mês],Q$3),"")</f>
        <v/>
      </c>
      <c r="R22" s="27" t="str">
        <f ca="1">IFERROR(AVERAGEIFS(INDIRECT("Tabela1["&amp;$D22&amp;"]"),Tabela1[Turno],$F22,Tabela1[Mês],R$3),"")</f>
        <v/>
      </c>
      <c r="S22" s="38">
        <v>10</v>
      </c>
      <c r="U22" s="11" t="str">
        <f ca="1">IFERROR(AVERAGEIFS(INDIRECT("Tabela1["&amp;$D22&amp;"]"),Tabela1[Turno],$F22,Tabela1[Data],U$3),"")</f>
        <v/>
      </c>
      <c r="V22" s="11" t="str">
        <f ca="1">IFERROR(AVERAGEIFS(INDIRECT("Tabela1["&amp;$D22&amp;"]"),Tabela1[Turno],$F22,Tabela1[Data],V$3),"")</f>
        <v/>
      </c>
      <c r="W22" s="26" t="str">
        <f ca="1">IFERROR(AVERAGEIFS(INDIRECT("Tabela1["&amp;$D22&amp;"]"),Tabela1[Turno],$F22,Tabela1[Data],W$3),"")</f>
        <v/>
      </c>
      <c r="X22" s="26" t="str">
        <f ca="1">IFERROR(AVERAGEIFS(INDIRECT("Tabela1["&amp;$D22&amp;"]"),Tabela1[Turno],$F22,Tabela1[Data],X$3),"")</f>
        <v/>
      </c>
      <c r="Y22" s="26" t="str">
        <f ca="1">IFERROR(AVERAGEIFS(INDIRECT("Tabela1["&amp;$D22&amp;"]"),Tabela1[Turno],$F22,Tabela1[Data],Y$3),"")</f>
        <v/>
      </c>
      <c r="Z22" s="26" t="str">
        <f ca="1">IFERROR(AVERAGEIFS(INDIRECT("Tabela1["&amp;$D22&amp;"]"),Tabela1[Turno],$F22,Tabela1[Data],Z$3),"")</f>
        <v/>
      </c>
      <c r="AA22" s="26" t="str">
        <f ca="1">IFERROR(AVERAGEIFS(INDIRECT("Tabela1["&amp;$D22&amp;"]"),Tabela1[Turno],$F22,Tabela1[Data],AA$3),"")</f>
        <v/>
      </c>
      <c r="AB22" s="26" t="str">
        <f ca="1">IFERROR(AVERAGEIFS(INDIRECT("Tabela1["&amp;$D22&amp;"]"),Tabela1[Turno],$F22,Tabela1[Data],AB$3),"")</f>
        <v/>
      </c>
      <c r="AC22" s="26" t="str">
        <f ca="1">IFERROR(AVERAGEIFS(INDIRECT("Tabela1["&amp;$D22&amp;"]"),Tabela1[Turno],$F22,Tabela1[Data],AC$3),"")</f>
        <v/>
      </c>
      <c r="AD22" s="26" t="str">
        <f ca="1">IFERROR(AVERAGEIFS(INDIRECT("Tabela1["&amp;$D22&amp;"]"),Tabela1[Turno],$F22,Tabela1[Data],AD$3),"")</f>
        <v/>
      </c>
      <c r="AE22" s="26" t="str">
        <f ca="1">IFERROR(AVERAGEIFS(INDIRECT("Tabela1["&amp;$D22&amp;"]"),Tabela1[Turno],$F22,Tabela1[Data],AE$3),"")</f>
        <v/>
      </c>
      <c r="AF22" s="26" t="str">
        <f ca="1">IFERROR(AVERAGEIFS(INDIRECT("Tabela1["&amp;$D22&amp;"]"),Tabela1[Turno],$F22,Tabela1[Data],AF$3),"")</f>
        <v/>
      </c>
      <c r="AG22" s="26" t="str">
        <f ca="1">IFERROR(AVERAGEIFS(INDIRECT("Tabela1["&amp;$D22&amp;"]"),Tabela1[Turno],$F22,Tabela1[Data],AG$3),"")</f>
        <v/>
      </c>
      <c r="AH22" s="26" t="str">
        <f ca="1">IFERROR(AVERAGEIFS(INDIRECT("Tabela1["&amp;$D22&amp;"]"),Tabela1[Turno],$F22,Tabela1[Data],AH$3),"")</f>
        <v/>
      </c>
      <c r="AI22" s="26" t="str">
        <f ca="1">IFERROR(AVERAGEIFS(INDIRECT("Tabela1["&amp;$D22&amp;"]"),Tabela1[Turno],$F22,Tabela1[Data],AI$3),"")</f>
        <v/>
      </c>
      <c r="AJ22" s="26" t="str">
        <f ca="1">IFERROR(AVERAGEIFS(INDIRECT("Tabela1["&amp;$D22&amp;"]"),Tabela1[Turno],$F22,Tabela1[Data],AJ$3),"")</f>
        <v/>
      </c>
      <c r="AK22" s="26" t="str">
        <f ca="1">IFERROR(AVERAGEIFS(INDIRECT("Tabela1["&amp;$D22&amp;"]"),Tabela1[Turno],$F22,Tabela1[Data],AK$3),"")</f>
        <v/>
      </c>
      <c r="AL22" s="26" t="str">
        <f ca="1">IFERROR(AVERAGEIFS(INDIRECT("Tabela1["&amp;$D22&amp;"]"),Tabela1[Turno],$F22,Tabela1[Data],AL$3),"")</f>
        <v/>
      </c>
      <c r="AM22" s="26" t="str">
        <f ca="1">IFERROR(AVERAGEIFS(INDIRECT("Tabela1["&amp;$D22&amp;"]"),Tabela1[Turno],$F22,Tabela1[Data],AM$3),"")</f>
        <v/>
      </c>
      <c r="AN22" s="26" t="str">
        <f ca="1">IFERROR(AVERAGEIFS(INDIRECT("Tabela1["&amp;$D22&amp;"]"),Tabela1[Turno],$F22,Tabela1[Data],AN$3),"")</f>
        <v/>
      </c>
      <c r="AO22" s="26" t="str">
        <f ca="1">IFERROR(AVERAGEIFS(INDIRECT("Tabela1["&amp;$D22&amp;"]"),Tabela1[Turno],$F22,Tabela1[Data],AO$3),"")</f>
        <v/>
      </c>
      <c r="AP22" s="26" t="str">
        <f ca="1">IFERROR(AVERAGEIFS(INDIRECT("Tabela1["&amp;$D22&amp;"]"),Tabela1[Turno],$F22,Tabela1[Data],AP$3),"")</f>
        <v/>
      </c>
      <c r="AQ22" s="26" t="str">
        <f ca="1">IFERROR(AVERAGEIFS(INDIRECT("Tabela1["&amp;$D22&amp;"]"),Tabela1[Turno],$F22,Tabela1[Data],AQ$3),"")</f>
        <v/>
      </c>
      <c r="AR22" s="26" t="str">
        <f ca="1">IFERROR(AVERAGEIFS(INDIRECT("Tabela1["&amp;$D22&amp;"]"),Tabela1[Turno],$F22,Tabela1[Data],AR$3),"")</f>
        <v/>
      </c>
    </row>
    <row r="23" spans="1:44" x14ac:dyDescent="0.3">
      <c r="A23" s="25" t="s">
        <v>121</v>
      </c>
      <c r="B23" s="25">
        <f t="shared" si="1"/>
        <v>2</v>
      </c>
      <c r="C23" s="25" t="s">
        <v>122</v>
      </c>
      <c r="D23" s="4" t="str">
        <f t="shared" si="2"/>
        <v>Corte Perna Cone</v>
      </c>
      <c r="E23" s="36"/>
      <c r="F23" s="23">
        <v>2</v>
      </c>
      <c r="G23" s="12" t="str">
        <f ca="1">IFERROR(AVERAGEIFS(INDIRECT("Tabela1["&amp;$D23&amp;"]"),Tabela1[Turno],$F23,Tabela1[Mês],G$3),"")</f>
        <v/>
      </c>
      <c r="H23" s="12" t="str">
        <f ca="1">IFERROR(AVERAGEIFS(INDIRECT("Tabela1["&amp;$D23&amp;"]"),Tabela1[Turno],$F23,Tabela1[Mês],H$3),"")</f>
        <v/>
      </c>
      <c r="I23" s="12" t="str">
        <f ca="1">IFERROR(AVERAGEIFS(INDIRECT("Tabela1["&amp;$D23&amp;"]"),Tabela1[Turno],$F23,Tabela1[Mês],I$3),"")</f>
        <v/>
      </c>
      <c r="J23" s="12" t="str">
        <f ca="1">IFERROR(AVERAGEIFS(INDIRECT("Tabela1["&amp;$D23&amp;"]"),Tabela1[Turno],$F23,Tabela1[Mês],J$3),"")</f>
        <v/>
      </c>
      <c r="K23" s="12" t="str">
        <f ca="1">IFERROR(AVERAGEIFS(INDIRECT("Tabela1["&amp;$D23&amp;"]"),Tabela1[Turno],$F23,Tabela1[Mês],K$3),"")</f>
        <v/>
      </c>
      <c r="L23" s="12" t="str">
        <f ca="1">IFERROR(AVERAGEIFS(INDIRECT("Tabela1["&amp;$D23&amp;"]"),Tabela1[Turno],$F23,Tabela1[Mês],L$3),"")</f>
        <v/>
      </c>
      <c r="M23" s="12" t="str">
        <f ca="1">IFERROR(AVERAGEIFS(INDIRECT("Tabela1["&amp;$D23&amp;"]"),Tabela1[Turno],$F23,Tabela1[Mês],M$3),"")</f>
        <v/>
      </c>
      <c r="N23" s="12">
        <f ca="1">IFERROR(AVERAGEIFS(INDIRECT("Tabela1["&amp;$D23&amp;"]"),Tabela1[Turno],$F23,Tabela1[Mês],N$3),"")</f>
        <v>6.5072463768115938</v>
      </c>
      <c r="O23" s="12">
        <f ca="1">IFERROR(AVERAGEIFS(INDIRECT("Tabela1["&amp;$D23&amp;"]"),Tabela1[Turno],$F23,Tabela1[Mês],O$3),"")</f>
        <v>6.6428571428571432</v>
      </c>
      <c r="P23" s="12">
        <f ca="1">IFERROR(AVERAGEIFS(INDIRECT("Tabela1["&amp;$D23&amp;"]"),Tabela1[Turno],$F23,Tabela1[Mês],P$3),"")</f>
        <v>6.5555555555555554</v>
      </c>
      <c r="Q23" s="12" t="str">
        <f ca="1">IFERROR(AVERAGEIFS(INDIRECT("Tabela1["&amp;$D23&amp;"]"),Tabela1[Turno],$F23,Tabela1[Mês],Q$3),"")</f>
        <v/>
      </c>
      <c r="R23" s="13" t="str">
        <f ca="1">IFERROR(AVERAGEIFS(INDIRECT("Tabela1["&amp;$D23&amp;"]"),Tabela1[Turno],$F23,Tabela1[Mês],R$3),"")</f>
        <v/>
      </c>
      <c r="S23" s="39"/>
      <c r="U23" s="12">
        <f ca="1">IFERROR(AVERAGEIFS(INDIRECT("Tabela1["&amp;$D23&amp;"]"),Tabela1[Turno],$F23,Tabela1[Data],U$3),"")</f>
        <v>6</v>
      </c>
      <c r="V23" s="12">
        <f ca="1">IFERROR(AVERAGEIFS(INDIRECT("Tabela1["&amp;$D23&amp;"]"),Tabela1[Turno],$F23,Tabela1[Data],V$3),"")</f>
        <v>6</v>
      </c>
      <c r="W23" s="12">
        <f ca="1">IFERROR(AVERAGEIFS(INDIRECT("Tabela1["&amp;$D23&amp;"]"),Tabela1[Turno],$F23,Tabela1[Data],W$3),"")</f>
        <v>6.333333333333333</v>
      </c>
      <c r="X23" s="12">
        <f ca="1">IFERROR(AVERAGEIFS(INDIRECT("Tabela1["&amp;$D23&amp;"]"),Tabela1[Turno],$F23,Tabela1[Data],X$3),"")</f>
        <v>7</v>
      </c>
      <c r="Y23" s="12">
        <f ca="1">IFERROR(AVERAGEIFS(INDIRECT("Tabela1["&amp;$D23&amp;"]"),Tabela1[Turno],$F23,Tabela1[Data],Y$3),"")</f>
        <v>7</v>
      </c>
      <c r="Z23" s="12">
        <f ca="1">IFERROR(AVERAGEIFS(INDIRECT("Tabela1["&amp;$D23&amp;"]"),Tabela1[Turno],$F23,Tabela1[Data],Z$3),"")</f>
        <v>7</v>
      </c>
      <c r="AA23" s="12">
        <f ca="1">IFERROR(AVERAGEIFS(INDIRECT("Tabela1["&amp;$D23&amp;"]"),Tabela1[Turno],$F23,Tabela1[Data],AA$3),"")</f>
        <v>6.5</v>
      </c>
      <c r="AB23" s="12" t="str">
        <f ca="1">IFERROR(AVERAGEIFS(INDIRECT("Tabela1["&amp;$D23&amp;"]"),Tabela1[Turno],$F23,Tabela1[Data],AB$3),"")</f>
        <v/>
      </c>
      <c r="AC23" s="12" t="str">
        <f ca="1">IFERROR(AVERAGEIFS(INDIRECT("Tabela1["&amp;$D23&amp;"]"),Tabela1[Turno],$F23,Tabela1[Data],AC$3),"")</f>
        <v/>
      </c>
      <c r="AD23" s="12" t="str">
        <f ca="1">IFERROR(AVERAGEIFS(INDIRECT("Tabela1["&amp;$D23&amp;"]"),Tabela1[Turno],$F23,Tabela1[Data],AD$3),"")</f>
        <v/>
      </c>
      <c r="AE23" s="12" t="str">
        <f ca="1">IFERROR(AVERAGEIFS(INDIRECT("Tabela1["&amp;$D23&amp;"]"),Tabela1[Turno],$F23,Tabela1[Data],AE$3),"")</f>
        <v/>
      </c>
      <c r="AF23" s="12" t="str">
        <f ca="1">IFERROR(AVERAGEIFS(INDIRECT("Tabela1["&amp;$D23&amp;"]"),Tabela1[Turno],$F23,Tabela1[Data],AF$3),"")</f>
        <v/>
      </c>
      <c r="AG23" s="12" t="str">
        <f ca="1">IFERROR(AVERAGEIFS(INDIRECT("Tabela1["&amp;$D23&amp;"]"),Tabela1[Turno],$F23,Tabela1[Data],AG$3),"")</f>
        <v/>
      </c>
      <c r="AH23" s="12" t="str">
        <f ca="1">IFERROR(AVERAGEIFS(INDIRECT("Tabela1["&amp;$D23&amp;"]"),Tabela1[Turno],$F23,Tabela1[Data],AH$3),"")</f>
        <v/>
      </c>
      <c r="AI23" s="12" t="str">
        <f ca="1">IFERROR(AVERAGEIFS(INDIRECT("Tabela1["&amp;$D23&amp;"]"),Tabela1[Turno],$F23,Tabela1[Data],AI$3),"")</f>
        <v/>
      </c>
      <c r="AJ23" s="12" t="str">
        <f ca="1">IFERROR(AVERAGEIFS(INDIRECT("Tabela1["&amp;$D23&amp;"]"),Tabela1[Turno],$F23,Tabela1[Data],AJ$3),"")</f>
        <v/>
      </c>
      <c r="AK23" s="12" t="str">
        <f ca="1">IFERROR(AVERAGEIFS(INDIRECT("Tabela1["&amp;$D23&amp;"]"),Tabela1[Turno],$F23,Tabela1[Data],AK$3),"")</f>
        <v/>
      </c>
      <c r="AL23" s="12" t="str">
        <f ca="1">IFERROR(AVERAGEIFS(INDIRECT("Tabela1["&amp;$D23&amp;"]"),Tabela1[Turno],$F23,Tabela1[Data],AL$3),"")</f>
        <v/>
      </c>
      <c r="AM23" s="12" t="str">
        <f ca="1">IFERROR(AVERAGEIFS(INDIRECT("Tabela1["&amp;$D23&amp;"]"),Tabela1[Turno],$F23,Tabela1[Data],AM$3),"")</f>
        <v/>
      </c>
      <c r="AN23" s="12" t="str">
        <f ca="1">IFERROR(AVERAGEIFS(INDIRECT("Tabela1["&amp;$D23&amp;"]"),Tabela1[Turno],$F23,Tabela1[Data],AN$3),"")</f>
        <v/>
      </c>
      <c r="AO23" s="12" t="str">
        <f ca="1">IFERROR(AVERAGEIFS(INDIRECT("Tabela1["&amp;$D23&amp;"]"),Tabela1[Turno],$F23,Tabela1[Data],AO$3),"")</f>
        <v/>
      </c>
      <c r="AP23" s="12" t="str">
        <f ca="1">IFERROR(AVERAGEIFS(INDIRECT("Tabela1["&amp;$D23&amp;"]"),Tabela1[Turno],$F23,Tabela1[Data],AP$3),"")</f>
        <v/>
      </c>
      <c r="AQ23" s="12" t="str">
        <f ca="1">IFERROR(AVERAGEIFS(INDIRECT("Tabela1["&amp;$D23&amp;"]"),Tabela1[Turno],$F23,Tabela1[Data],AQ$3),"")</f>
        <v/>
      </c>
      <c r="AR23" s="12" t="str">
        <f ca="1">IFERROR(AVERAGEIFS(INDIRECT("Tabela1["&amp;$D23&amp;"]"),Tabela1[Turno],$F23,Tabela1[Data],AR$3),"")</f>
        <v/>
      </c>
    </row>
    <row r="24" spans="1:44" ht="15" thickBot="1" x14ac:dyDescent="0.35">
      <c r="A24" s="25" t="s">
        <v>121</v>
      </c>
      <c r="B24" s="25" t="str">
        <f t="shared" si="1"/>
        <v>Unidade</v>
      </c>
      <c r="C24" s="25" t="s">
        <v>122</v>
      </c>
      <c r="D24" s="4" t="str">
        <f t="shared" si="2"/>
        <v>Corte Perna Cone</v>
      </c>
      <c r="E24" s="37"/>
      <c r="F24" s="24" t="s">
        <v>142</v>
      </c>
      <c r="G24" s="9" t="str">
        <f ca="1">IFERROR(AVERAGEIFS(INDIRECT("Tabela1["&amp;$D24&amp;"]"),Tabela1[Mês],G$3),"")</f>
        <v/>
      </c>
      <c r="H24" s="9" t="str">
        <f ca="1">IFERROR(AVERAGEIFS(INDIRECT("Tabela1["&amp;$D24&amp;"]"),Tabela1[Mês],H$3),"")</f>
        <v/>
      </c>
      <c r="I24" s="9" t="str">
        <f ca="1">IFERROR(AVERAGEIFS(INDIRECT("Tabela1["&amp;$D24&amp;"]"),Tabela1[Mês],I$3),"")</f>
        <v/>
      </c>
      <c r="J24" s="9" t="str">
        <f ca="1">IFERROR(AVERAGEIFS(INDIRECT("Tabela1["&amp;$D24&amp;"]"),Tabela1[Mês],J$3),"")</f>
        <v/>
      </c>
      <c r="K24" s="9" t="str">
        <f ca="1">IFERROR(AVERAGEIFS(INDIRECT("Tabela1["&amp;$D24&amp;"]"),Tabela1[Mês],K$3),"")</f>
        <v/>
      </c>
      <c r="L24" s="9" t="str">
        <f ca="1">IFERROR(AVERAGEIFS(INDIRECT("Tabela1["&amp;$D24&amp;"]"),Tabela1[Mês],L$3),"")</f>
        <v/>
      </c>
      <c r="M24" s="9" t="str">
        <f ca="1">IFERROR(AVERAGEIFS(INDIRECT("Tabela1["&amp;$D24&amp;"]"),Tabela1[Mês],M$3),"")</f>
        <v/>
      </c>
      <c r="N24" s="9">
        <f ca="1">IFERROR(AVERAGEIFS(INDIRECT("Tabela1["&amp;$D24&amp;"]"),Tabela1[Mês],N$3),"")</f>
        <v>6.6266666666666669</v>
      </c>
      <c r="O24" s="9">
        <f ca="1">IFERROR(AVERAGEIFS(INDIRECT("Tabela1["&amp;$D24&amp;"]"),Tabela1[Mês],O$3),"")</f>
        <v>6.7157894736842101</v>
      </c>
      <c r="P24" s="9">
        <f ca="1">IFERROR(AVERAGEIFS(INDIRECT("Tabela1["&amp;$D24&amp;"]"),Tabela1[Mês],P$3),"")</f>
        <v>6.5555555555555554</v>
      </c>
      <c r="Q24" s="9" t="str">
        <f ca="1">IFERROR(AVERAGEIFS(INDIRECT("Tabela1["&amp;$D24&amp;"]"),Tabela1[Mês],Q$3),"")</f>
        <v/>
      </c>
      <c r="R24" s="14" t="str">
        <f ca="1">IFERROR(AVERAGEIFS(INDIRECT("Tabela1["&amp;$D24&amp;"]"),Tabela1[Mês],R$3),"")</f>
        <v/>
      </c>
      <c r="S24" s="40"/>
      <c r="U24" s="9">
        <f ca="1">IFERROR(AVERAGEIFS(INDIRECT("Tabela1["&amp;$D24&amp;"]"),Tabela1[Data],U$3),"")</f>
        <v>6</v>
      </c>
      <c r="V24" s="9">
        <f ca="1">IFERROR(AVERAGEIFS(INDIRECT("Tabela1["&amp;$D24&amp;"]"),Tabela1[Data],V$3),"")</f>
        <v>6</v>
      </c>
      <c r="W24" s="9">
        <f ca="1">IFERROR(AVERAGEIFS(INDIRECT("Tabela1["&amp;$D24&amp;"]"),Tabela1[Data],W$3),"")</f>
        <v>6.333333333333333</v>
      </c>
      <c r="X24" s="9">
        <f ca="1">IFERROR(AVERAGEIFS(INDIRECT("Tabela1["&amp;$D24&amp;"]"),Tabela1[Data],X$3),"")</f>
        <v>7</v>
      </c>
      <c r="Y24" s="9">
        <f ca="1">IFERROR(AVERAGEIFS(INDIRECT("Tabela1["&amp;$D24&amp;"]"),Tabela1[Data],Y$3),"")</f>
        <v>7</v>
      </c>
      <c r="Z24" s="9">
        <f ca="1">IFERROR(AVERAGEIFS(INDIRECT("Tabela1["&amp;$D24&amp;"]"),Tabela1[Data],Z$3),"")</f>
        <v>7</v>
      </c>
      <c r="AA24" s="9">
        <f ca="1">IFERROR(AVERAGEIFS(INDIRECT("Tabela1["&amp;$D24&amp;"]"),Tabela1[Data],AA$3),"")</f>
        <v>6.5</v>
      </c>
      <c r="AB24" s="9" t="str">
        <f ca="1">IFERROR(AVERAGEIFS(INDIRECT("Tabela1["&amp;$D24&amp;"]"),Tabela1[Data],AB$3),"")</f>
        <v/>
      </c>
      <c r="AC24" s="9" t="str">
        <f ca="1">IFERROR(AVERAGEIFS(INDIRECT("Tabela1["&amp;$D24&amp;"]"),Tabela1[Data],AC$3),"")</f>
        <v/>
      </c>
      <c r="AD24" s="9" t="str">
        <f ca="1">IFERROR(AVERAGEIFS(INDIRECT("Tabela1["&amp;$D24&amp;"]"),Tabela1[Data],AD$3),"")</f>
        <v/>
      </c>
      <c r="AE24" s="9" t="str">
        <f ca="1">IFERROR(AVERAGEIFS(INDIRECT("Tabela1["&amp;$D24&amp;"]"),Tabela1[Data],AE$3),"")</f>
        <v/>
      </c>
      <c r="AF24" s="9" t="str">
        <f ca="1">IFERROR(AVERAGEIFS(INDIRECT("Tabela1["&amp;$D24&amp;"]"),Tabela1[Data],AF$3),"")</f>
        <v/>
      </c>
      <c r="AG24" s="9" t="str">
        <f ca="1">IFERROR(AVERAGEIFS(INDIRECT("Tabela1["&amp;$D24&amp;"]"),Tabela1[Data],AG$3),"")</f>
        <v/>
      </c>
      <c r="AH24" s="9" t="str">
        <f ca="1">IFERROR(AVERAGEIFS(INDIRECT("Tabela1["&amp;$D24&amp;"]"),Tabela1[Data],AH$3),"")</f>
        <v/>
      </c>
      <c r="AI24" s="9" t="str">
        <f ca="1">IFERROR(AVERAGEIFS(INDIRECT("Tabela1["&amp;$D24&amp;"]"),Tabela1[Data],AI$3),"")</f>
        <v/>
      </c>
      <c r="AJ24" s="9" t="str">
        <f ca="1">IFERROR(AVERAGEIFS(INDIRECT("Tabela1["&amp;$D24&amp;"]"),Tabela1[Data],AJ$3),"")</f>
        <v/>
      </c>
      <c r="AK24" s="9" t="str">
        <f ca="1">IFERROR(AVERAGEIFS(INDIRECT("Tabela1["&amp;$D24&amp;"]"),Tabela1[Data],AK$3),"")</f>
        <v/>
      </c>
      <c r="AL24" s="9" t="str">
        <f ca="1">IFERROR(AVERAGEIFS(INDIRECT("Tabela1["&amp;$D24&amp;"]"),Tabela1[Data],AL$3),"")</f>
        <v/>
      </c>
      <c r="AM24" s="9" t="str">
        <f ca="1">IFERROR(AVERAGEIFS(INDIRECT("Tabela1["&amp;$D24&amp;"]"),Tabela1[Data],AM$3),"")</f>
        <v/>
      </c>
      <c r="AN24" s="9" t="str">
        <f ca="1">IFERROR(AVERAGEIFS(INDIRECT("Tabela1["&amp;$D24&amp;"]"),Tabela1[Data],AN$3),"")</f>
        <v/>
      </c>
      <c r="AO24" s="9" t="str">
        <f ca="1">IFERROR(AVERAGEIFS(INDIRECT("Tabela1["&amp;$D24&amp;"]"),Tabela1[Data],AO$3),"")</f>
        <v/>
      </c>
      <c r="AP24" s="9" t="str">
        <f ca="1">IFERROR(AVERAGEIFS(INDIRECT("Tabela1["&amp;$D24&amp;"]"),Tabela1[Data],AP$3),"")</f>
        <v/>
      </c>
      <c r="AQ24" s="9" t="str">
        <f ca="1">IFERROR(AVERAGEIFS(INDIRECT("Tabela1["&amp;$D24&amp;"]"),Tabela1[Data],AQ$3),"")</f>
        <v/>
      </c>
      <c r="AR24" s="9" t="str">
        <f ca="1">IFERROR(AVERAGEIFS(INDIRECT("Tabela1["&amp;$D24&amp;"]"),Tabela1[Data],AR$3),"")</f>
        <v/>
      </c>
    </row>
    <row r="25" spans="1:44" ht="15" thickTop="1" x14ac:dyDescent="0.3">
      <c r="A25" s="25" t="s">
        <v>121</v>
      </c>
      <c r="B25" s="25">
        <f t="shared" si="1"/>
        <v>1</v>
      </c>
      <c r="C25" s="25" t="s">
        <v>123</v>
      </c>
      <c r="D25" s="4" t="str">
        <f t="shared" si="2"/>
        <v>Peito na Asa Cone</v>
      </c>
      <c r="E25" s="35" t="str">
        <f>Coleta!Q1</f>
        <v>Peito na Asa Cone</v>
      </c>
      <c r="F25" s="22">
        <v>1</v>
      </c>
      <c r="G25" s="26" t="str">
        <f ca="1">IFERROR(AVERAGEIFS(INDIRECT("Tabela1["&amp;$D25&amp;"]"),Tabela1[Turno],$F25,Tabela1[Mês],G$3),"")</f>
        <v/>
      </c>
      <c r="H25" s="26" t="str">
        <f ca="1">IFERROR(AVERAGEIFS(INDIRECT("Tabela1["&amp;$D25&amp;"]"),Tabela1[Turno],$F25,Tabela1[Mês],H$3),"")</f>
        <v/>
      </c>
      <c r="I25" s="26" t="str">
        <f ca="1">IFERROR(AVERAGEIFS(INDIRECT("Tabela1["&amp;$D25&amp;"]"),Tabela1[Turno],$F25,Tabela1[Mês],I$3),"")</f>
        <v/>
      </c>
      <c r="J25" s="26" t="str">
        <f ca="1">IFERROR(AVERAGEIFS(INDIRECT("Tabela1["&amp;$D25&amp;"]"),Tabela1[Turno],$F25,Tabela1[Mês],J$3),"")</f>
        <v/>
      </c>
      <c r="K25" s="26" t="str">
        <f ca="1">IFERROR(AVERAGEIFS(INDIRECT("Tabela1["&amp;$D25&amp;"]"),Tabela1[Turno],$F25,Tabela1[Mês],K$3),"")</f>
        <v/>
      </c>
      <c r="L25" s="26" t="str">
        <f ca="1">IFERROR(AVERAGEIFS(INDIRECT("Tabela1["&amp;$D25&amp;"]"),Tabela1[Turno],$F25,Tabela1[Mês],L$3),"")</f>
        <v/>
      </c>
      <c r="M25" s="26" t="str">
        <f ca="1">IFERROR(AVERAGEIFS(INDIRECT("Tabela1["&amp;$D25&amp;"]"),Tabela1[Turno],$F25,Tabela1[Mês],M$3),"")</f>
        <v/>
      </c>
      <c r="N25" s="26">
        <f ca="1">IFERROR(AVERAGEIFS(INDIRECT("Tabela1["&amp;$D25&amp;"]"),Tabela1[Turno],$F25,Tabela1[Mês],N$3),"")</f>
        <v>9.4</v>
      </c>
      <c r="O25" s="26">
        <f ca="1">IFERROR(AVERAGEIFS(INDIRECT("Tabela1["&amp;$D25&amp;"]"),Tabela1[Turno],$F25,Tabela1[Mês],O$3),"")</f>
        <v>9.454545454545455</v>
      </c>
      <c r="P25" s="26" t="str">
        <f ca="1">IFERROR(AVERAGEIFS(INDIRECT("Tabela1["&amp;$D25&amp;"]"),Tabela1[Turno],$F25,Tabela1[Mês],P$3),"")</f>
        <v/>
      </c>
      <c r="Q25" s="26" t="str">
        <f ca="1">IFERROR(AVERAGEIFS(INDIRECT("Tabela1["&amp;$D25&amp;"]"),Tabela1[Turno],$F25,Tabela1[Mês],Q$3),"")</f>
        <v/>
      </c>
      <c r="R25" s="27" t="str">
        <f ca="1">IFERROR(AVERAGEIFS(INDIRECT("Tabela1["&amp;$D25&amp;"]"),Tabela1[Turno],$F25,Tabela1[Mês],R$3),"")</f>
        <v/>
      </c>
      <c r="S25" s="38">
        <v>10</v>
      </c>
      <c r="U25" s="11" t="str">
        <f ca="1">IFERROR(AVERAGEIFS(INDIRECT("Tabela1["&amp;$D25&amp;"]"),Tabela1[Turno],$F25,Tabela1[Data],U$3),"")</f>
        <v/>
      </c>
      <c r="V25" s="11" t="str">
        <f ca="1">IFERROR(AVERAGEIFS(INDIRECT("Tabela1["&amp;$D25&amp;"]"),Tabela1[Turno],$F25,Tabela1[Data],V$3),"")</f>
        <v/>
      </c>
      <c r="W25" s="26" t="str">
        <f ca="1">IFERROR(AVERAGEIFS(INDIRECT("Tabela1["&amp;$D25&amp;"]"),Tabela1[Turno],$F25,Tabela1[Data],W$3),"")</f>
        <v/>
      </c>
      <c r="X25" s="26" t="str">
        <f ca="1">IFERROR(AVERAGEIFS(INDIRECT("Tabela1["&amp;$D25&amp;"]"),Tabela1[Turno],$F25,Tabela1[Data],X$3),"")</f>
        <v/>
      </c>
      <c r="Y25" s="26" t="str">
        <f ca="1">IFERROR(AVERAGEIFS(INDIRECT("Tabela1["&amp;$D25&amp;"]"),Tabela1[Turno],$F25,Tabela1[Data],Y$3),"")</f>
        <v/>
      </c>
      <c r="Z25" s="26" t="str">
        <f ca="1">IFERROR(AVERAGEIFS(INDIRECT("Tabela1["&amp;$D25&amp;"]"),Tabela1[Turno],$F25,Tabela1[Data],Z$3),"")</f>
        <v/>
      </c>
      <c r="AA25" s="26" t="str">
        <f ca="1">IFERROR(AVERAGEIFS(INDIRECT("Tabela1["&amp;$D25&amp;"]"),Tabela1[Turno],$F25,Tabela1[Data],AA$3),"")</f>
        <v/>
      </c>
      <c r="AB25" s="26" t="str">
        <f ca="1">IFERROR(AVERAGEIFS(INDIRECT("Tabela1["&amp;$D25&amp;"]"),Tabela1[Turno],$F25,Tabela1[Data],AB$3),"")</f>
        <v/>
      </c>
      <c r="AC25" s="26" t="str">
        <f ca="1">IFERROR(AVERAGEIFS(INDIRECT("Tabela1["&amp;$D25&amp;"]"),Tabela1[Turno],$F25,Tabela1[Data],AC$3),"")</f>
        <v/>
      </c>
      <c r="AD25" s="26" t="str">
        <f ca="1">IFERROR(AVERAGEIFS(INDIRECT("Tabela1["&amp;$D25&amp;"]"),Tabela1[Turno],$F25,Tabela1[Data],AD$3),"")</f>
        <v/>
      </c>
      <c r="AE25" s="26" t="str">
        <f ca="1">IFERROR(AVERAGEIFS(INDIRECT("Tabela1["&amp;$D25&amp;"]"),Tabela1[Turno],$F25,Tabela1[Data],AE$3),"")</f>
        <v/>
      </c>
      <c r="AF25" s="26" t="str">
        <f ca="1">IFERROR(AVERAGEIFS(INDIRECT("Tabela1["&amp;$D25&amp;"]"),Tabela1[Turno],$F25,Tabela1[Data],AF$3),"")</f>
        <v/>
      </c>
      <c r="AG25" s="26" t="str">
        <f ca="1">IFERROR(AVERAGEIFS(INDIRECT("Tabela1["&amp;$D25&amp;"]"),Tabela1[Turno],$F25,Tabela1[Data],AG$3),"")</f>
        <v/>
      </c>
      <c r="AH25" s="26" t="str">
        <f ca="1">IFERROR(AVERAGEIFS(INDIRECT("Tabela1["&amp;$D25&amp;"]"),Tabela1[Turno],$F25,Tabela1[Data],AH$3),"")</f>
        <v/>
      </c>
      <c r="AI25" s="26" t="str">
        <f ca="1">IFERROR(AVERAGEIFS(INDIRECT("Tabela1["&amp;$D25&amp;"]"),Tabela1[Turno],$F25,Tabela1[Data],AI$3),"")</f>
        <v/>
      </c>
      <c r="AJ25" s="26" t="str">
        <f ca="1">IFERROR(AVERAGEIFS(INDIRECT("Tabela1["&amp;$D25&amp;"]"),Tabela1[Turno],$F25,Tabela1[Data],AJ$3),"")</f>
        <v/>
      </c>
      <c r="AK25" s="26" t="str">
        <f ca="1">IFERROR(AVERAGEIFS(INDIRECT("Tabela1["&amp;$D25&amp;"]"),Tabela1[Turno],$F25,Tabela1[Data],AK$3),"")</f>
        <v/>
      </c>
      <c r="AL25" s="26" t="str">
        <f ca="1">IFERROR(AVERAGEIFS(INDIRECT("Tabela1["&amp;$D25&amp;"]"),Tabela1[Turno],$F25,Tabela1[Data],AL$3),"")</f>
        <v/>
      </c>
      <c r="AM25" s="26" t="str">
        <f ca="1">IFERROR(AVERAGEIFS(INDIRECT("Tabela1["&amp;$D25&amp;"]"),Tabela1[Turno],$F25,Tabela1[Data],AM$3),"")</f>
        <v/>
      </c>
      <c r="AN25" s="26" t="str">
        <f ca="1">IFERROR(AVERAGEIFS(INDIRECT("Tabela1["&amp;$D25&amp;"]"),Tabela1[Turno],$F25,Tabela1[Data],AN$3),"")</f>
        <v/>
      </c>
      <c r="AO25" s="26" t="str">
        <f ca="1">IFERROR(AVERAGEIFS(INDIRECT("Tabela1["&amp;$D25&amp;"]"),Tabela1[Turno],$F25,Tabela1[Data],AO$3),"")</f>
        <v/>
      </c>
      <c r="AP25" s="26" t="str">
        <f ca="1">IFERROR(AVERAGEIFS(INDIRECT("Tabela1["&amp;$D25&amp;"]"),Tabela1[Turno],$F25,Tabela1[Data],AP$3),"")</f>
        <v/>
      </c>
      <c r="AQ25" s="26" t="str">
        <f ca="1">IFERROR(AVERAGEIFS(INDIRECT("Tabela1["&amp;$D25&amp;"]"),Tabela1[Turno],$F25,Tabela1[Data],AQ$3),"")</f>
        <v/>
      </c>
      <c r="AR25" s="26" t="str">
        <f ca="1">IFERROR(AVERAGEIFS(INDIRECT("Tabela1["&amp;$D25&amp;"]"),Tabela1[Turno],$F25,Tabela1[Data],AR$3),"")</f>
        <v/>
      </c>
    </row>
    <row r="26" spans="1:44" x14ac:dyDescent="0.3">
      <c r="A26" s="25" t="s">
        <v>121</v>
      </c>
      <c r="B26" s="25">
        <f t="shared" si="1"/>
        <v>2</v>
      </c>
      <c r="C26" s="25" t="s">
        <v>123</v>
      </c>
      <c r="D26" s="4" t="str">
        <f t="shared" si="2"/>
        <v>Peito na Asa Cone</v>
      </c>
      <c r="E26" s="36"/>
      <c r="F26" s="23">
        <v>2</v>
      </c>
      <c r="G26" s="12" t="str">
        <f ca="1">IFERROR(AVERAGEIFS(INDIRECT("Tabela1["&amp;$D26&amp;"]"),Tabela1[Turno],$F26,Tabela1[Mês],G$3),"")</f>
        <v/>
      </c>
      <c r="H26" s="12" t="str">
        <f ca="1">IFERROR(AVERAGEIFS(INDIRECT("Tabela1["&amp;$D26&amp;"]"),Tabela1[Turno],$F26,Tabela1[Mês],H$3),"")</f>
        <v/>
      </c>
      <c r="I26" s="12" t="str">
        <f ca="1">IFERROR(AVERAGEIFS(INDIRECT("Tabela1["&amp;$D26&amp;"]"),Tabela1[Turno],$F26,Tabela1[Mês],I$3),"")</f>
        <v/>
      </c>
      <c r="J26" s="12" t="str">
        <f ca="1">IFERROR(AVERAGEIFS(INDIRECT("Tabela1["&amp;$D26&amp;"]"),Tabela1[Turno],$F26,Tabela1[Mês],J$3),"")</f>
        <v/>
      </c>
      <c r="K26" s="12" t="str">
        <f ca="1">IFERROR(AVERAGEIFS(INDIRECT("Tabela1["&amp;$D26&amp;"]"),Tabela1[Turno],$F26,Tabela1[Mês],K$3),"")</f>
        <v/>
      </c>
      <c r="L26" s="12" t="str">
        <f ca="1">IFERROR(AVERAGEIFS(INDIRECT("Tabela1["&amp;$D26&amp;"]"),Tabela1[Turno],$F26,Tabela1[Mês],L$3),"")</f>
        <v/>
      </c>
      <c r="M26" s="12" t="str">
        <f ca="1">IFERROR(AVERAGEIFS(INDIRECT("Tabela1["&amp;$D26&amp;"]"),Tabela1[Turno],$F26,Tabela1[Mês],M$3),"")</f>
        <v/>
      </c>
      <c r="N26" s="12">
        <f ca="1">IFERROR(AVERAGEIFS(INDIRECT("Tabela1["&amp;$D26&amp;"]"),Tabela1[Turno],$F26,Tabela1[Mês],N$3),"")</f>
        <v>6.6029411764705879</v>
      </c>
      <c r="O26" s="12">
        <f ca="1">IFERROR(AVERAGEIFS(INDIRECT("Tabela1["&amp;$D26&amp;"]"),Tabela1[Turno],$F26,Tabela1[Mês],O$3),"")</f>
        <v>6.9156626506024095</v>
      </c>
      <c r="P26" s="12">
        <f ca="1">IFERROR(AVERAGEIFS(INDIRECT("Tabela1["&amp;$D26&amp;"]"),Tabela1[Turno],$F26,Tabela1[Mês],P$3),"")</f>
        <v>7.1111111111111107</v>
      </c>
      <c r="Q26" s="12" t="str">
        <f ca="1">IFERROR(AVERAGEIFS(INDIRECT("Tabela1["&amp;$D26&amp;"]"),Tabela1[Turno],$F26,Tabela1[Mês],Q$3),"")</f>
        <v/>
      </c>
      <c r="R26" s="13" t="str">
        <f ca="1">IFERROR(AVERAGEIFS(INDIRECT("Tabela1["&amp;$D26&amp;"]"),Tabela1[Turno],$F26,Tabela1[Mês],R$3),"")</f>
        <v/>
      </c>
      <c r="S26" s="39"/>
      <c r="U26" s="12">
        <f ca="1">IFERROR(AVERAGEIFS(INDIRECT("Tabela1["&amp;$D26&amp;"]"),Tabela1[Turno],$F26,Tabela1[Data],U$3),"")</f>
        <v>7.75</v>
      </c>
      <c r="V26" s="12">
        <f ca="1">IFERROR(AVERAGEIFS(INDIRECT("Tabela1["&amp;$D26&amp;"]"),Tabela1[Turno],$F26,Tabela1[Data],V$3),"")</f>
        <v>7</v>
      </c>
      <c r="W26" s="12">
        <f ca="1">IFERROR(AVERAGEIFS(INDIRECT("Tabela1["&amp;$D26&amp;"]"),Tabela1[Turno],$F26,Tabela1[Data],W$3),"")</f>
        <v>7</v>
      </c>
      <c r="X26" s="12">
        <f ca="1">IFERROR(AVERAGEIFS(INDIRECT("Tabela1["&amp;$D26&amp;"]"),Tabela1[Turno],$F26,Tabela1[Data],X$3),"")</f>
        <v>7</v>
      </c>
      <c r="Y26" s="12">
        <f ca="1">IFERROR(AVERAGEIFS(INDIRECT("Tabela1["&amp;$D26&amp;"]"),Tabela1[Turno],$F26,Tabela1[Data],Y$3),"")</f>
        <v>7</v>
      </c>
      <c r="Z26" s="12">
        <f ca="1">IFERROR(AVERAGEIFS(INDIRECT("Tabela1["&amp;$D26&amp;"]"),Tabela1[Turno],$F26,Tabela1[Data],Z$3),"")</f>
        <v>7</v>
      </c>
      <c r="AA26" s="12">
        <f ca="1">IFERROR(AVERAGEIFS(INDIRECT("Tabela1["&amp;$D26&amp;"]"),Tabela1[Turno],$F26,Tabela1[Data],AA$3),"")</f>
        <v>7</v>
      </c>
      <c r="AB26" s="12" t="str">
        <f ca="1">IFERROR(AVERAGEIFS(INDIRECT("Tabela1["&amp;$D26&amp;"]"),Tabela1[Turno],$F26,Tabela1[Data],AB$3),"")</f>
        <v/>
      </c>
      <c r="AC26" s="12" t="str">
        <f ca="1">IFERROR(AVERAGEIFS(INDIRECT("Tabela1["&amp;$D26&amp;"]"),Tabela1[Turno],$F26,Tabela1[Data],AC$3),"")</f>
        <v/>
      </c>
      <c r="AD26" s="12" t="str">
        <f ca="1">IFERROR(AVERAGEIFS(INDIRECT("Tabela1["&amp;$D26&amp;"]"),Tabela1[Turno],$F26,Tabela1[Data],AD$3),"")</f>
        <v/>
      </c>
      <c r="AE26" s="12" t="str">
        <f ca="1">IFERROR(AVERAGEIFS(INDIRECT("Tabela1["&amp;$D26&amp;"]"),Tabela1[Turno],$F26,Tabela1[Data],AE$3),"")</f>
        <v/>
      </c>
      <c r="AF26" s="12" t="str">
        <f ca="1">IFERROR(AVERAGEIFS(INDIRECT("Tabela1["&amp;$D26&amp;"]"),Tabela1[Turno],$F26,Tabela1[Data],AF$3),"")</f>
        <v/>
      </c>
      <c r="AG26" s="12" t="str">
        <f ca="1">IFERROR(AVERAGEIFS(INDIRECT("Tabela1["&amp;$D26&amp;"]"),Tabela1[Turno],$F26,Tabela1[Data],AG$3),"")</f>
        <v/>
      </c>
      <c r="AH26" s="12" t="str">
        <f ca="1">IFERROR(AVERAGEIFS(INDIRECT("Tabela1["&amp;$D26&amp;"]"),Tabela1[Turno],$F26,Tabela1[Data],AH$3),"")</f>
        <v/>
      </c>
      <c r="AI26" s="12" t="str">
        <f ca="1">IFERROR(AVERAGEIFS(INDIRECT("Tabela1["&amp;$D26&amp;"]"),Tabela1[Turno],$F26,Tabela1[Data],AI$3),"")</f>
        <v/>
      </c>
      <c r="AJ26" s="12" t="str">
        <f ca="1">IFERROR(AVERAGEIFS(INDIRECT("Tabela1["&amp;$D26&amp;"]"),Tabela1[Turno],$F26,Tabela1[Data],AJ$3),"")</f>
        <v/>
      </c>
      <c r="AK26" s="12" t="str">
        <f ca="1">IFERROR(AVERAGEIFS(INDIRECT("Tabela1["&amp;$D26&amp;"]"),Tabela1[Turno],$F26,Tabela1[Data],AK$3),"")</f>
        <v/>
      </c>
      <c r="AL26" s="12" t="str">
        <f ca="1">IFERROR(AVERAGEIFS(INDIRECT("Tabela1["&amp;$D26&amp;"]"),Tabela1[Turno],$F26,Tabela1[Data],AL$3),"")</f>
        <v/>
      </c>
      <c r="AM26" s="12" t="str">
        <f ca="1">IFERROR(AVERAGEIFS(INDIRECT("Tabela1["&amp;$D26&amp;"]"),Tabela1[Turno],$F26,Tabela1[Data],AM$3),"")</f>
        <v/>
      </c>
      <c r="AN26" s="12" t="str">
        <f ca="1">IFERROR(AVERAGEIFS(INDIRECT("Tabela1["&amp;$D26&amp;"]"),Tabela1[Turno],$F26,Tabela1[Data],AN$3),"")</f>
        <v/>
      </c>
      <c r="AO26" s="12" t="str">
        <f ca="1">IFERROR(AVERAGEIFS(INDIRECT("Tabela1["&amp;$D26&amp;"]"),Tabela1[Turno],$F26,Tabela1[Data],AO$3),"")</f>
        <v/>
      </c>
      <c r="AP26" s="12" t="str">
        <f ca="1">IFERROR(AVERAGEIFS(INDIRECT("Tabela1["&amp;$D26&amp;"]"),Tabela1[Turno],$F26,Tabela1[Data],AP$3),"")</f>
        <v/>
      </c>
      <c r="AQ26" s="12" t="str">
        <f ca="1">IFERROR(AVERAGEIFS(INDIRECT("Tabela1["&amp;$D26&amp;"]"),Tabela1[Turno],$F26,Tabela1[Data],AQ$3),"")</f>
        <v/>
      </c>
      <c r="AR26" s="12" t="str">
        <f ca="1">IFERROR(AVERAGEIFS(INDIRECT("Tabela1["&amp;$D26&amp;"]"),Tabela1[Turno],$F26,Tabela1[Data],AR$3),"")</f>
        <v/>
      </c>
    </row>
    <row r="27" spans="1:44" ht="15" thickBot="1" x14ac:dyDescent="0.35">
      <c r="A27" s="25" t="s">
        <v>121</v>
      </c>
      <c r="B27" s="25" t="str">
        <f t="shared" si="1"/>
        <v>Unidade</v>
      </c>
      <c r="C27" s="25" t="s">
        <v>123</v>
      </c>
      <c r="D27" s="4" t="str">
        <f t="shared" si="2"/>
        <v>Peito na Asa Cone</v>
      </c>
      <c r="E27" s="37"/>
      <c r="F27" s="24" t="s">
        <v>142</v>
      </c>
      <c r="G27" s="9" t="str">
        <f ca="1">IFERROR(AVERAGEIFS(INDIRECT("Tabela1["&amp;$D27&amp;"]"),Tabela1[Mês],G$3),"")</f>
        <v/>
      </c>
      <c r="H27" s="9" t="str">
        <f ca="1">IFERROR(AVERAGEIFS(INDIRECT("Tabela1["&amp;$D27&amp;"]"),Tabela1[Mês],H$3),"")</f>
        <v/>
      </c>
      <c r="I27" s="9" t="str">
        <f ca="1">IFERROR(AVERAGEIFS(INDIRECT("Tabela1["&amp;$D27&amp;"]"),Tabela1[Mês],I$3),"")</f>
        <v/>
      </c>
      <c r="J27" s="9" t="str">
        <f ca="1">IFERROR(AVERAGEIFS(INDIRECT("Tabela1["&amp;$D27&amp;"]"),Tabela1[Mês],J$3),"")</f>
        <v/>
      </c>
      <c r="K27" s="9" t="str">
        <f ca="1">IFERROR(AVERAGEIFS(INDIRECT("Tabela1["&amp;$D27&amp;"]"),Tabela1[Mês],K$3),"")</f>
        <v/>
      </c>
      <c r="L27" s="9" t="str">
        <f ca="1">IFERROR(AVERAGEIFS(INDIRECT("Tabela1["&amp;$D27&amp;"]"),Tabela1[Mês],L$3),"")</f>
        <v/>
      </c>
      <c r="M27" s="9" t="str">
        <f ca="1">IFERROR(AVERAGEIFS(INDIRECT("Tabela1["&amp;$D27&amp;"]"),Tabela1[Mês],M$3),"")</f>
        <v/>
      </c>
      <c r="N27" s="9">
        <f ca="1">IFERROR(AVERAGEIFS(INDIRECT("Tabela1["&amp;$D27&amp;"]"),Tabela1[Mês],N$3),"")</f>
        <v>6.7972972972972974</v>
      </c>
      <c r="O27" s="9">
        <f ca="1">IFERROR(AVERAGEIFS(INDIRECT("Tabela1["&amp;$D27&amp;"]"),Tabela1[Mês],O$3),"")</f>
        <v>7.2127659574468082</v>
      </c>
      <c r="P27" s="9">
        <f ca="1">IFERROR(AVERAGEIFS(INDIRECT("Tabela1["&amp;$D27&amp;"]"),Tabela1[Mês],P$3),"")</f>
        <v>7.1111111111111107</v>
      </c>
      <c r="Q27" s="9" t="str">
        <f ca="1">IFERROR(AVERAGEIFS(INDIRECT("Tabela1["&amp;$D27&amp;"]"),Tabela1[Mês],Q$3),"")</f>
        <v/>
      </c>
      <c r="R27" s="14" t="str">
        <f ca="1">IFERROR(AVERAGEIFS(INDIRECT("Tabela1["&amp;$D27&amp;"]"),Tabela1[Mês],R$3),"")</f>
        <v/>
      </c>
      <c r="S27" s="40"/>
      <c r="U27" s="9">
        <f ca="1">IFERROR(AVERAGEIFS(INDIRECT("Tabela1["&amp;$D27&amp;"]"),Tabela1[Data],U$3),"")</f>
        <v>7.75</v>
      </c>
      <c r="V27" s="9">
        <f ca="1">IFERROR(AVERAGEIFS(INDIRECT("Tabela1["&amp;$D27&amp;"]"),Tabela1[Data],V$3),"")</f>
        <v>7</v>
      </c>
      <c r="W27" s="9">
        <f ca="1">IFERROR(AVERAGEIFS(INDIRECT("Tabela1["&amp;$D27&amp;"]"),Tabela1[Data],W$3),"")</f>
        <v>7</v>
      </c>
      <c r="X27" s="9">
        <f ca="1">IFERROR(AVERAGEIFS(INDIRECT("Tabela1["&amp;$D27&amp;"]"),Tabela1[Data],X$3),"")</f>
        <v>7</v>
      </c>
      <c r="Y27" s="9">
        <f ca="1">IFERROR(AVERAGEIFS(INDIRECT("Tabela1["&amp;$D27&amp;"]"),Tabela1[Data],Y$3),"")</f>
        <v>7</v>
      </c>
      <c r="Z27" s="9">
        <f ca="1">IFERROR(AVERAGEIFS(INDIRECT("Tabela1["&amp;$D27&amp;"]"),Tabela1[Data],Z$3),"")</f>
        <v>7</v>
      </c>
      <c r="AA27" s="9">
        <f ca="1">IFERROR(AVERAGEIFS(INDIRECT("Tabela1["&amp;$D27&amp;"]"),Tabela1[Data],AA$3),"")</f>
        <v>7</v>
      </c>
      <c r="AB27" s="9" t="str">
        <f ca="1">IFERROR(AVERAGEIFS(INDIRECT("Tabela1["&amp;$D27&amp;"]"),Tabela1[Data],AB$3),"")</f>
        <v/>
      </c>
      <c r="AC27" s="9" t="str">
        <f ca="1">IFERROR(AVERAGEIFS(INDIRECT("Tabela1["&amp;$D27&amp;"]"),Tabela1[Data],AC$3),"")</f>
        <v/>
      </c>
      <c r="AD27" s="9" t="str">
        <f ca="1">IFERROR(AVERAGEIFS(INDIRECT("Tabela1["&amp;$D27&amp;"]"),Tabela1[Data],AD$3),"")</f>
        <v/>
      </c>
      <c r="AE27" s="9" t="str">
        <f ca="1">IFERROR(AVERAGEIFS(INDIRECT("Tabela1["&amp;$D27&amp;"]"),Tabela1[Data],AE$3),"")</f>
        <v/>
      </c>
      <c r="AF27" s="9" t="str">
        <f ca="1">IFERROR(AVERAGEIFS(INDIRECT("Tabela1["&amp;$D27&amp;"]"),Tabela1[Data],AF$3),"")</f>
        <v/>
      </c>
      <c r="AG27" s="9" t="str">
        <f ca="1">IFERROR(AVERAGEIFS(INDIRECT("Tabela1["&amp;$D27&amp;"]"),Tabela1[Data],AG$3),"")</f>
        <v/>
      </c>
      <c r="AH27" s="9" t="str">
        <f ca="1">IFERROR(AVERAGEIFS(INDIRECT("Tabela1["&amp;$D27&amp;"]"),Tabela1[Data],AH$3),"")</f>
        <v/>
      </c>
      <c r="AI27" s="9" t="str">
        <f ca="1">IFERROR(AVERAGEIFS(INDIRECT("Tabela1["&amp;$D27&amp;"]"),Tabela1[Data],AI$3),"")</f>
        <v/>
      </c>
      <c r="AJ27" s="9" t="str">
        <f ca="1">IFERROR(AVERAGEIFS(INDIRECT("Tabela1["&amp;$D27&amp;"]"),Tabela1[Data],AJ$3),"")</f>
        <v/>
      </c>
      <c r="AK27" s="9" t="str">
        <f ca="1">IFERROR(AVERAGEIFS(INDIRECT("Tabela1["&amp;$D27&amp;"]"),Tabela1[Data],AK$3),"")</f>
        <v/>
      </c>
      <c r="AL27" s="9" t="str">
        <f ca="1">IFERROR(AVERAGEIFS(INDIRECT("Tabela1["&amp;$D27&amp;"]"),Tabela1[Data],AL$3),"")</f>
        <v/>
      </c>
      <c r="AM27" s="9" t="str">
        <f ca="1">IFERROR(AVERAGEIFS(INDIRECT("Tabela1["&amp;$D27&amp;"]"),Tabela1[Data],AM$3),"")</f>
        <v/>
      </c>
      <c r="AN27" s="9" t="str">
        <f ca="1">IFERROR(AVERAGEIFS(INDIRECT("Tabela1["&amp;$D27&amp;"]"),Tabela1[Data],AN$3),"")</f>
        <v/>
      </c>
      <c r="AO27" s="9" t="str">
        <f ca="1">IFERROR(AVERAGEIFS(INDIRECT("Tabela1["&amp;$D27&amp;"]"),Tabela1[Data],AO$3),"")</f>
        <v/>
      </c>
      <c r="AP27" s="9" t="str">
        <f ca="1">IFERROR(AVERAGEIFS(INDIRECT("Tabela1["&amp;$D27&amp;"]"),Tabela1[Data],AP$3),"")</f>
        <v/>
      </c>
      <c r="AQ27" s="9" t="str">
        <f ca="1">IFERROR(AVERAGEIFS(INDIRECT("Tabela1["&amp;$D27&amp;"]"),Tabela1[Data],AQ$3),"")</f>
        <v/>
      </c>
      <c r="AR27" s="9" t="str">
        <f ca="1">IFERROR(AVERAGEIFS(INDIRECT("Tabela1["&amp;$D27&amp;"]"),Tabela1[Data],AR$3),"")</f>
        <v/>
      </c>
    </row>
    <row r="28" spans="1:44" ht="15" thickTop="1" x14ac:dyDescent="0.3">
      <c r="A28" s="25" t="s">
        <v>121</v>
      </c>
      <c r="B28" s="25">
        <f t="shared" si="1"/>
        <v>1</v>
      </c>
      <c r="C28" s="25" t="s">
        <v>124</v>
      </c>
      <c r="D28" s="4" t="str">
        <f t="shared" si="2"/>
        <v>Medalhão na Asa Cone</v>
      </c>
      <c r="E28" s="35" t="str">
        <f>Coleta!R1</f>
        <v>Medalhão na Asa Cone</v>
      </c>
      <c r="F28" s="22">
        <v>1</v>
      </c>
      <c r="G28" s="26" t="str">
        <f ca="1">IFERROR(AVERAGEIFS(INDIRECT("Tabela1["&amp;$D28&amp;"]"),Tabela1[Turno],$F28,Tabela1[Mês],G$3),"")</f>
        <v/>
      </c>
      <c r="H28" s="26" t="str">
        <f ca="1">IFERROR(AVERAGEIFS(INDIRECT("Tabela1["&amp;$D28&amp;"]"),Tabela1[Turno],$F28,Tabela1[Mês],H$3),"")</f>
        <v/>
      </c>
      <c r="I28" s="26" t="str">
        <f ca="1">IFERROR(AVERAGEIFS(INDIRECT("Tabela1["&amp;$D28&amp;"]"),Tabela1[Turno],$F28,Tabela1[Mês],I$3),"")</f>
        <v/>
      </c>
      <c r="J28" s="26" t="str">
        <f ca="1">IFERROR(AVERAGEIFS(INDIRECT("Tabela1["&amp;$D28&amp;"]"),Tabela1[Turno],$F28,Tabela1[Mês],J$3),"")</f>
        <v/>
      </c>
      <c r="K28" s="26" t="str">
        <f ca="1">IFERROR(AVERAGEIFS(INDIRECT("Tabela1["&amp;$D28&amp;"]"),Tabela1[Turno],$F28,Tabela1[Mês],K$3),"")</f>
        <v/>
      </c>
      <c r="L28" s="26" t="str">
        <f ca="1">IFERROR(AVERAGEIFS(INDIRECT("Tabela1["&amp;$D28&amp;"]"),Tabela1[Turno],$F28,Tabela1[Mês],L$3),"")</f>
        <v/>
      </c>
      <c r="M28" s="26" t="str">
        <f ca="1">IFERROR(AVERAGEIFS(INDIRECT("Tabela1["&amp;$D28&amp;"]"),Tabela1[Turno],$F28,Tabela1[Mês],M$3),"")</f>
        <v/>
      </c>
      <c r="N28" s="26">
        <f ca="1">IFERROR(AVERAGEIFS(INDIRECT("Tabela1["&amp;$D28&amp;"]"),Tabela1[Turno],$F28,Tabela1[Mês],N$3),"")</f>
        <v>8.1999999999999993</v>
      </c>
      <c r="O28" s="26">
        <f ca="1">IFERROR(AVERAGEIFS(INDIRECT("Tabela1["&amp;$D28&amp;"]"),Tabela1[Turno],$F28,Tabela1[Mês],O$3),"")</f>
        <v>10</v>
      </c>
      <c r="P28" s="26" t="str">
        <f ca="1">IFERROR(AVERAGEIFS(INDIRECT("Tabela1["&amp;$D28&amp;"]"),Tabela1[Turno],$F28,Tabela1[Mês],P$3),"")</f>
        <v/>
      </c>
      <c r="Q28" s="26" t="str">
        <f ca="1">IFERROR(AVERAGEIFS(INDIRECT("Tabela1["&amp;$D28&amp;"]"),Tabela1[Turno],$F28,Tabela1[Mês],Q$3),"")</f>
        <v/>
      </c>
      <c r="R28" s="27" t="str">
        <f ca="1">IFERROR(AVERAGEIFS(INDIRECT("Tabela1["&amp;$D28&amp;"]"),Tabela1[Turno],$F28,Tabela1[Mês],R$3),"")</f>
        <v/>
      </c>
      <c r="S28" s="38">
        <v>10</v>
      </c>
      <c r="U28" s="11" t="str">
        <f ca="1">IFERROR(AVERAGEIFS(INDIRECT("Tabela1["&amp;$D28&amp;"]"),Tabela1[Turno],$F28,Tabela1[Data],U$3),"")</f>
        <v/>
      </c>
      <c r="V28" s="11" t="str">
        <f ca="1">IFERROR(AVERAGEIFS(INDIRECT("Tabela1["&amp;$D28&amp;"]"),Tabela1[Turno],$F28,Tabela1[Data],V$3),"")</f>
        <v/>
      </c>
      <c r="W28" s="26" t="str">
        <f ca="1">IFERROR(AVERAGEIFS(INDIRECT("Tabela1["&amp;$D28&amp;"]"),Tabela1[Turno],$F28,Tabela1[Data],W$3),"")</f>
        <v/>
      </c>
      <c r="X28" s="26" t="str">
        <f ca="1">IFERROR(AVERAGEIFS(INDIRECT("Tabela1["&amp;$D28&amp;"]"),Tabela1[Turno],$F28,Tabela1[Data],X$3),"")</f>
        <v/>
      </c>
      <c r="Y28" s="26" t="str">
        <f ca="1">IFERROR(AVERAGEIFS(INDIRECT("Tabela1["&amp;$D28&amp;"]"),Tabela1[Turno],$F28,Tabela1[Data],Y$3),"")</f>
        <v/>
      </c>
      <c r="Z28" s="26" t="str">
        <f ca="1">IFERROR(AVERAGEIFS(INDIRECT("Tabela1["&amp;$D28&amp;"]"),Tabela1[Turno],$F28,Tabela1[Data],Z$3),"")</f>
        <v/>
      </c>
      <c r="AA28" s="26" t="str">
        <f ca="1">IFERROR(AVERAGEIFS(INDIRECT("Tabela1["&amp;$D28&amp;"]"),Tabela1[Turno],$F28,Tabela1[Data],AA$3),"")</f>
        <v/>
      </c>
      <c r="AB28" s="26" t="str">
        <f ca="1">IFERROR(AVERAGEIFS(INDIRECT("Tabela1["&amp;$D28&amp;"]"),Tabela1[Turno],$F28,Tabela1[Data],AB$3),"")</f>
        <v/>
      </c>
      <c r="AC28" s="26" t="str">
        <f ca="1">IFERROR(AVERAGEIFS(INDIRECT("Tabela1["&amp;$D28&amp;"]"),Tabela1[Turno],$F28,Tabela1[Data],AC$3),"")</f>
        <v/>
      </c>
      <c r="AD28" s="26" t="str">
        <f ca="1">IFERROR(AVERAGEIFS(INDIRECT("Tabela1["&amp;$D28&amp;"]"),Tabela1[Turno],$F28,Tabela1[Data],AD$3),"")</f>
        <v/>
      </c>
      <c r="AE28" s="26" t="str">
        <f ca="1">IFERROR(AVERAGEIFS(INDIRECT("Tabela1["&amp;$D28&amp;"]"),Tabela1[Turno],$F28,Tabela1[Data],AE$3),"")</f>
        <v/>
      </c>
      <c r="AF28" s="26" t="str">
        <f ca="1">IFERROR(AVERAGEIFS(INDIRECT("Tabela1["&amp;$D28&amp;"]"),Tabela1[Turno],$F28,Tabela1[Data],AF$3),"")</f>
        <v/>
      </c>
      <c r="AG28" s="26" t="str">
        <f ca="1">IFERROR(AVERAGEIFS(INDIRECT("Tabela1["&amp;$D28&amp;"]"),Tabela1[Turno],$F28,Tabela1[Data],AG$3),"")</f>
        <v/>
      </c>
      <c r="AH28" s="26" t="str">
        <f ca="1">IFERROR(AVERAGEIFS(INDIRECT("Tabela1["&amp;$D28&amp;"]"),Tabela1[Turno],$F28,Tabela1[Data],AH$3),"")</f>
        <v/>
      </c>
      <c r="AI28" s="26" t="str">
        <f ca="1">IFERROR(AVERAGEIFS(INDIRECT("Tabela1["&amp;$D28&amp;"]"),Tabela1[Turno],$F28,Tabela1[Data],AI$3),"")</f>
        <v/>
      </c>
      <c r="AJ28" s="26" t="str">
        <f ca="1">IFERROR(AVERAGEIFS(INDIRECT("Tabela1["&amp;$D28&amp;"]"),Tabela1[Turno],$F28,Tabela1[Data],AJ$3),"")</f>
        <v/>
      </c>
      <c r="AK28" s="26" t="str">
        <f ca="1">IFERROR(AVERAGEIFS(INDIRECT("Tabela1["&amp;$D28&amp;"]"),Tabela1[Turno],$F28,Tabela1[Data],AK$3),"")</f>
        <v/>
      </c>
      <c r="AL28" s="26" t="str">
        <f ca="1">IFERROR(AVERAGEIFS(INDIRECT("Tabela1["&amp;$D28&amp;"]"),Tabela1[Turno],$F28,Tabela1[Data],AL$3),"")</f>
        <v/>
      </c>
      <c r="AM28" s="26" t="str">
        <f ca="1">IFERROR(AVERAGEIFS(INDIRECT("Tabela1["&amp;$D28&amp;"]"),Tabela1[Turno],$F28,Tabela1[Data],AM$3),"")</f>
        <v/>
      </c>
      <c r="AN28" s="26" t="str">
        <f ca="1">IFERROR(AVERAGEIFS(INDIRECT("Tabela1["&amp;$D28&amp;"]"),Tabela1[Turno],$F28,Tabela1[Data],AN$3),"")</f>
        <v/>
      </c>
      <c r="AO28" s="26" t="str">
        <f ca="1">IFERROR(AVERAGEIFS(INDIRECT("Tabela1["&amp;$D28&amp;"]"),Tabela1[Turno],$F28,Tabela1[Data],AO$3),"")</f>
        <v/>
      </c>
      <c r="AP28" s="26" t="str">
        <f ca="1">IFERROR(AVERAGEIFS(INDIRECT("Tabela1["&amp;$D28&amp;"]"),Tabela1[Turno],$F28,Tabela1[Data],AP$3),"")</f>
        <v/>
      </c>
      <c r="AQ28" s="26" t="str">
        <f ca="1">IFERROR(AVERAGEIFS(INDIRECT("Tabela1["&amp;$D28&amp;"]"),Tabela1[Turno],$F28,Tabela1[Data],AQ$3),"")</f>
        <v/>
      </c>
      <c r="AR28" s="26" t="str">
        <f ca="1">IFERROR(AVERAGEIFS(INDIRECT("Tabela1["&amp;$D28&amp;"]"),Tabela1[Turno],$F28,Tabela1[Data],AR$3),"")</f>
        <v/>
      </c>
    </row>
    <row r="29" spans="1:44" x14ac:dyDescent="0.3">
      <c r="A29" s="25" t="s">
        <v>121</v>
      </c>
      <c r="B29" s="25">
        <f t="shared" si="1"/>
        <v>2</v>
      </c>
      <c r="C29" s="25" t="s">
        <v>124</v>
      </c>
      <c r="D29" s="4" t="str">
        <f t="shared" si="2"/>
        <v>Medalhão na Asa Cone</v>
      </c>
      <c r="E29" s="36"/>
      <c r="F29" s="23">
        <v>2</v>
      </c>
      <c r="G29" s="12" t="str">
        <f ca="1">IFERROR(AVERAGEIFS(INDIRECT("Tabela1["&amp;$D29&amp;"]"),Tabela1[Turno],$F29,Tabela1[Mês],G$3),"")</f>
        <v/>
      </c>
      <c r="H29" s="12" t="str">
        <f ca="1">IFERROR(AVERAGEIFS(INDIRECT("Tabela1["&amp;$D29&amp;"]"),Tabela1[Turno],$F29,Tabela1[Mês],H$3),"")</f>
        <v/>
      </c>
      <c r="I29" s="12" t="str">
        <f ca="1">IFERROR(AVERAGEIFS(INDIRECT("Tabela1["&amp;$D29&amp;"]"),Tabela1[Turno],$F29,Tabela1[Mês],I$3),"")</f>
        <v/>
      </c>
      <c r="J29" s="12" t="str">
        <f ca="1">IFERROR(AVERAGEIFS(INDIRECT("Tabela1["&amp;$D29&amp;"]"),Tabela1[Turno],$F29,Tabela1[Mês],J$3),"")</f>
        <v/>
      </c>
      <c r="K29" s="12" t="str">
        <f ca="1">IFERROR(AVERAGEIFS(INDIRECT("Tabela1["&amp;$D29&amp;"]"),Tabela1[Turno],$F29,Tabela1[Mês],K$3),"")</f>
        <v/>
      </c>
      <c r="L29" s="12" t="str">
        <f ca="1">IFERROR(AVERAGEIFS(INDIRECT("Tabela1["&amp;$D29&amp;"]"),Tabela1[Turno],$F29,Tabela1[Mês],L$3),"")</f>
        <v/>
      </c>
      <c r="M29" s="12" t="str">
        <f ca="1">IFERROR(AVERAGEIFS(INDIRECT("Tabela1["&amp;$D29&amp;"]"),Tabela1[Turno],$F29,Tabela1[Mês],M$3),"")</f>
        <v/>
      </c>
      <c r="N29" s="12">
        <f ca="1">IFERROR(AVERAGEIFS(INDIRECT("Tabela1["&amp;$D29&amp;"]"),Tabela1[Turno],$F29,Tabela1[Mês],N$3),"")</f>
        <v>6.9285714285714288</v>
      </c>
      <c r="O29" s="12">
        <f ca="1">IFERROR(AVERAGEIFS(INDIRECT("Tabela1["&amp;$D29&amp;"]"),Tabela1[Turno],$F29,Tabela1[Mês],O$3),"")</f>
        <v>6.9761904761904763</v>
      </c>
      <c r="P29" s="12">
        <f ca="1">IFERROR(AVERAGEIFS(INDIRECT("Tabela1["&amp;$D29&amp;"]"),Tabela1[Turno],$F29,Tabela1[Mês],P$3),"")</f>
        <v>7</v>
      </c>
      <c r="Q29" s="12" t="str">
        <f ca="1">IFERROR(AVERAGEIFS(INDIRECT("Tabela1["&amp;$D29&amp;"]"),Tabela1[Turno],$F29,Tabela1[Mês],Q$3),"")</f>
        <v/>
      </c>
      <c r="R29" s="13" t="str">
        <f ca="1">IFERROR(AVERAGEIFS(INDIRECT("Tabela1["&amp;$D29&amp;"]"),Tabela1[Turno],$F29,Tabela1[Mês],R$3),"")</f>
        <v/>
      </c>
      <c r="S29" s="39"/>
      <c r="U29" s="12">
        <f ca="1">IFERROR(AVERAGEIFS(INDIRECT("Tabela1["&amp;$D29&amp;"]"),Tabela1[Turno],$F29,Tabela1[Data],U$3),"")</f>
        <v>7</v>
      </c>
      <c r="V29" s="12">
        <f ca="1">IFERROR(AVERAGEIFS(INDIRECT("Tabela1["&amp;$D29&amp;"]"),Tabela1[Turno],$F29,Tabela1[Data],V$3),"")</f>
        <v>7</v>
      </c>
      <c r="W29" s="12">
        <f ca="1">IFERROR(AVERAGEIFS(INDIRECT("Tabela1["&amp;$D29&amp;"]"),Tabela1[Turno],$F29,Tabela1[Data],W$3),"")</f>
        <v>7</v>
      </c>
      <c r="X29" s="12">
        <f ca="1">IFERROR(AVERAGEIFS(INDIRECT("Tabela1["&amp;$D29&amp;"]"),Tabela1[Turno],$F29,Tabela1[Data],X$3),"")</f>
        <v>7</v>
      </c>
      <c r="Y29" s="12">
        <f ca="1">IFERROR(AVERAGEIFS(INDIRECT("Tabela1["&amp;$D29&amp;"]"),Tabela1[Turno],$F29,Tabela1[Data],Y$3),"")</f>
        <v>7</v>
      </c>
      <c r="Z29" s="12">
        <f ca="1">IFERROR(AVERAGEIFS(INDIRECT("Tabela1["&amp;$D29&amp;"]"),Tabela1[Turno],$F29,Tabela1[Data],Z$3),"")</f>
        <v>7</v>
      </c>
      <c r="AA29" s="12">
        <f ca="1">IFERROR(AVERAGEIFS(INDIRECT("Tabela1["&amp;$D29&amp;"]"),Tabela1[Turno],$F29,Tabela1[Data],AA$3),"")</f>
        <v>7</v>
      </c>
      <c r="AB29" s="12" t="str">
        <f ca="1">IFERROR(AVERAGEIFS(INDIRECT("Tabela1["&amp;$D29&amp;"]"),Tabela1[Turno],$F29,Tabela1[Data],AB$3),"")</f>
        <v/>
      </c>
      <c r="AC29" s="12" t="str">
        <f ca="1">IFERROR(AVERAGEIFS(INDIRECT("Tabela1["&amp;$D29&amp;"]"),Tabela1[Turno],$F29,Tabela1[Data],AC$3),"")</f>
        <v/>
      </c>
      <c r="AD29" s="12" t="str">
        <f ca="1">IFERROR(AVERAGEIFS(INDIRECT("Tabela1["&amp;$D29&amp;"]"),Tabela1[Turno],$F29,Tabela1[Data],AD$3),"")</f>
        <v/>
      </c>
      <c r="AE29" s="12" t="str">
        <f ca="1">IFERROR(AVERAGEIFS(INDIRECT("Tabela1["&amp;$D29&amp;"]"),Tabela1[Turno],$F29,Tabela1[Data],AE$3),"")</f>
        <v/>
      </c>
      <c r="AF29" s="12" t="str">
        <f ca="1">IFERROR(AVERAGEIFS(INDIRECT("Tabela1["&amp;$D29&amp;"]"),Tabela1[Turno],$F29,Tabela1[Data],AF$3),"")</f>
        <v/>
      </c>
      <c r="AG29" s="12" t="str">
        <f ca="1">IFERROR(AVERAGEIFS(INDIRECT("Tabela1["&amp;$D29&amp;"]"),Tabela1[Turno],$F29,Tabela1[Data],AG$3),"")</f>
        <v/>
      </c>
      <c r="AH29" s="12" t="str">
        <f ca="1">IFERROR(AVERAGEIFS(INDIRECT("Tabela1["&amp;$D29&amp;"]"),Tabela1[Turno],$F29,Tabela1[Data],AH$3),"")</f>
        <v/>
      </c>
      <c r="AI29" s="12" t="str">
        <f ca="1">IFERROR(AVERAGEIFS(INDIRECT("Tabela1["&amp;$D29&amp;"]"),Tabela1[Turno],$F29,Tabela1[Data],AI$3),"")</f>
        <v/>
      </c>
      <c r="AJ29" s="12" t="str">
        <f ca="1">IFERROR(AVERAGEIFS(INDIRECT("Tabela1["&amp;$D29&amp;"]"),Tabela1[Turno],$F29,Tabela1[Data],AJ$3),"")</f>
        <v/>
      </c>
      <c r="AK29" s="12" t="str">
        <f ca="1">IFERROR(AVERAGEIFS(INDIRECT("Tabela1["&amp;$D29&amp;"]"),Tabela1[Turno],$F29,Tabela1[Data],AK$3),"")</f>
        <v/>
      </c>
      <c r="AL29" s="12" t="str">
        <f ca="1">IFERROR(AVERAGEIFS(INDIRECT("Tabela1["&amp;$D29&amp;"]"),Tabela1[Turno],$F29,Tabela1[Data],AL$3),"")</f>
        <v/>
      </c>
      <c r="AM29" s="12" t="str">
        <f ca="1">IFERROR(AVERAGEIFS(INDIRECT("Tabela1["&amp;$D29&amp;"]"),Tabela1[Turno],$F29,Tabela1[Data],AM$3),"")</f>
        <v/>
      </c>
      <c r="AN29" s="12" t="str">
        <f ca="1">IFERROR(AVERAGEIFS(INDIRECT("Tabela1["&amp;$D29&amp;"]"),Tabela1[Turno],$F29,Tabela1[Data],AN$3),"")</f>
        <v/>
      </c>
      <c r="AO29" s="12" t="str">
        <f ca="1">IFERROR(AVERAGEIFS(INDIRECT("Tabela1["&amp;$D29&amp;"]"),Tabela1[Turno],$F29,Tabela1[Data],AO$3),"")</f>
        <v/>
      </c>
      <c r="AP29" s="12" t="str">
        <f ca="1">IFERROR(AVERAGEIFS(INDIRECT("Tabela1["&amp;$D29&amp;"]"),Tabela1[Turno],$F29,Tabela1[Data],AP$3),"")</f>
        <v/>
      </c>
      <c r="AQ29" s="12" t="str">
        <f ca="1">IFERROR(AVERAGEIFS(INDIRECT("Tabela1["&amp;$D29&amp;"]"),Tabela1[Turno],$F29,Tabela1[Data],AQ$3),"")</f>
        <v/>
      </c>
      <c r="AR29" s="12" t="str">
        <f ca="1">IFERROR(AVERAGEIFS(INDIRECT("Tabela1["&amp;$D29&amp;"]"),Tabela1[Turno],$F29,Tabela1[Data],AR$3),"")</f>
        <v/>
      </c>
    </row>
    <row r="30" spans="1:44" ht="15" thickBot="1" x14ac:dyDescent="0.35">
      <c r="A30" s="25" t="s">
        <v>121</v>
      </c>
      <c r="B30" s="25" t="str">
        <f t="shared" si="1"/>
        <v>Unidade</v>
      </c>
      <c r="C30" s="25" t="s">
        <v>124</v>
      </c>
      <c r="D30" s="4" t="str">
        <f t="shared" si="2"/>
        <v>Medalhão na Asa Cone</v>
      </c>
      <c r="E30" s="37"/>
      <c r="F30" s="24" t="s">
        <v>142</v>
      </c>
      <c r="G30" s="9" t="str">
        <f ca="1">IFERROR(AVERAGEIFS(INDIRECT("Tabela1["&amp;$D30&amp;"]"),Tabela1[Mês],G$3),"")</f>
        <v/>
      </c>
      <c r="H30" s="9" t="str">
        <f ca="1">IFERROR(AVERAGEIFS(INDIRECT("Tabela1["&amp;$D30&amp;"]"),Tabela1[Mês],H$3),"")</f>
        <v/>
      </c>
      <c r="I30" s="9" t="str">
        <f ca="1">IFERROR(AVERAGEIFS(INDIRECT("Tabela1["&amp;$D30&amp;"]"),Tabela1[Mês],I$3),"")</f>
        <v/>
      </c>
      <c r="J30" s="9" t="str">
        <f ca="1">IFERROR(AVERAGEIFS(INDIRECT("Tabela1["&amp;$D30&amp;"]"),Tabela1[Mês],J$3),"")</f>
        <v/>
      </c>
      <c r="K30" s="9" t="str">
        <f ca="1">IFERROR(AVERAGEIFS(INDIRECT("Tabela1["&amp;$D30&amp;"]"),Tabela1[Mês],K$3),"")</f>
        <v/>
      </c>
      <c r="L30" s="9" t="str">
        <f ca="1">IFERROR(AVERAGEIFS(INDIRECT("Tabela1["&amp;$D30&amp;"]"),Tabela1[Mês],L$3),"")</f>
        <v/>
      </c>
      <c r="M30" s="9" t="str">
        <f ca="1">IFERROR(AVERAGEIFS(INDIRECT("Tabela1["&amp;$D30&amp;"]"),Tabela1[Mês],M$3),"")</f>
        <v/>
      </c>
      <c r="N30" s="9">
        <f ca="1">IFERROR(AVERAGEIFS(INDIRECT("Tabela1["&amp;$D30&amp;"]"),Tabela1[Mês],N$3),"")</f>
        <v>7.0131578947368425</v>
      </c>
      <c r="O30" s="9">
        <f ca="1">IFERROR(AVERAGEIFS(INDIRECT("Tabela1["&amp;$D30&amp;"]"),Tabela1[Mês],O$3),"")</f>
        <v>7.3263157894736839</v>
      </c>
      <c r="P30" s="9">
        <f ca="1">IFERROR(AVERAGEIFS(INDIRECT("Tabela1["&amp;$D30&amp;"]"),Tabela1[Mês],P$3),"")</f>
        <v>7</v>
      </c>
      <c r="Q30" s="9" t="str">
        <f ca="1">IFERROR(AVERAGEIFS(INDIRECT("Tabela1["&amp;$D30&amp;"]"),Tabela1[Mês],Q$3),"")</f>
        <v/>
      </c>
      <c r="R30" s="14" t="str">
        <f ca="1">IFERROR(AVERAGEIFS(INDIRECT("Tabela1["&amp;$D30&amp;"]"),Tabela1[Mês],R$3),"")</f>
        <v/>
      </c>
      <c r="S30" s="40"/>
      <c r="U30" s="9">
        <f ca="1">IFERROR(AVERAGEIFS(INDIRECT("Tabela1["&amp;$D30&amp;"]"),Tabela1[Data],U$3),"")</f>
        <v>7</v>
      </c>
      <c r="V30" s="9">
        <f ca="1">IFERROR(AVERAGEIFS(INDIRECT("Tabela1["&amp;$D30&amp;"]"),Tabela1[Data],V$3),"")</f>
        <v>7</v>
      </c>
      <c r="W30" s="9">
        <f ca="1">IFERROR(AVERAGEIFS(INDIRECT("Tabela1["&amp;$D30&amp;"]"),Tabela1[Data],W$3),"")</f>
        <v>7</v>
      </c>
      <c r="X30" s="9">
        <f ca="1">IFERROR(AVERAGEIFS(INDIRECT("Tabela1["&amp;$D30&amp;"]"),Tabela1[Data],X$3),"")</f>
        <v>7</v>
      </c>
      <c r="Y30" s="9">
        <f ca="1">IFERROR(AVERAGEIFS(INDIRECT("Tabela1["&amp;$D30&amp;"]"),Tabela1[Data],Y$3),"")</f>
        <v>7</v>
      </c>
      <c r="Z30" s="9">
        <f ca="1">IFERROR(AVERAGEIFS(INDIRECT("Tabela1["&amp;$D30&amp;"]"),Tabela1[Data],Z$3),"")</f>
        <v>7</v>
      </c>
      <c r="AA30" s="9">
        <f ca="1">IFERROR(AVERAGEIFS(INDIRECT("Tabela1["&amp;$D30&amp;"]"),Tabela1[Data],AA$3),"")</f>
        <v>7</v>
      </c>
      <c r="AB30" s="9" t="str">
        <f ca="1">IFERROR(AVERAGEIFS(INDIRECT("Tabela1["&amp;$D30&amp;"]"),Tabela1[Data],AB$3),"")</f>
        <v/>
      </c>
      <c r="AC30" s="9" t="str">
        <f ca="1">IFERROR(AVERAGEIFS(INDIRECT("Tabela1["&amp;$D30&amp;"]"),Tabela1[Data],AC$3),"")</f>
        <v/>
      </c>
      <c r="AD30" s="9" t="str">
        <f ca="1">IFERROR(AVERAGEIFS(INDIRECT("Tabela1["&amp;$D30&amp;"]"),Tabela1[Data],AD$3),"")</f>
        <v/>
      </c>
      <c r="AE30" s="9" t="str">
        <f ca="1">IFERROR(AVERAGEIFS(INDIRECT("Tabela1["&amp;$D30&amp;"]"),Tabela1[Data],AE$3),"")</f>
        <v/>
      </c>
      <c r="AF30" s="9" t="str">
        <f ca="1">IFERROR(AVERAGEIFS(INDIRECT("Tabela1["&amp;$D30&amp;"]"),Tabela1[Data],AF$3),"")</f>
        <v/>
      </c>
      <c r="AG30" s="9" t="str">
        <f ca="1">IFERROR(AVERAGEIFS(INDIRECT("Tabela1["&amp;$D30&amp;"]"),Tabela1[Data],AG$3),"")</f>
        <v/>
      </c>
      <c r="AH30" s="9" t="str">
        <f ca="1">IFERROR(AVERAGEIFS(INDIRECT("Tabela1["&amp;$D30&amp;"]"),Tabela1[Data],AH$3),"")</f>
        <v/>
      </c>
      <c r="AI30" s="9" t="str">
        <f ca="1">IFERROR(AVERAGEIFS(INDIRECT("Tabela1["&amp;$D30&amp;"]"),Tabela1[Data],AI$3),"")</f>
        <v/>
      </c>
      <c r="AJ30" s="9" t="str">
        <f ca="1">IFERROR(AVERAGEIFS(INDIRECT("Tabela1["&amp;$D30&amp;"]"),Tabela1[Data],AJ$3),"")</f>
        <v/>
      </c>
      <c r="AK30" s="9" t="str">
        <f ca="1">IFERROR(AVERAGEIFS(INDIRECT("Tabela1["&amp;$D30&amp;"]"),Tabela1[Data],AK$3),"")</f>
        <v/>
      </c>
      <c r="AL30" s="9" t="str">
        <f ca="1">IFERROR(AVERAGEIFS(INDIRECT("Tabela1["&amp;$D30&amp;"]"),Tabela1[Data],AL$3),"")</f>
        <v/>
      </c>
      <c r="AM30" s="9" t="str">
        <f ca="1">IFERROR(AVERAGEIFS(INDIRECT("Tabela1["&amp;$D30&amp;"]"),Tabela1[Data],AM$3),"")</f>
        <v/>
      </c>
      <c r="AN30" s="9" t="str">
        <f ca="1">IFERROR(AVERAGEIFS(INDIRECT("Tabela1["&amp;$D30&amp;"]"),Tabela1[Data],AN$3),"")</f>
        <v/>
      </c>
      <c r="AO30" s="9" t="str">
        <f ca="1">IFERROR(AVERAGEIFS(INDIRECT("Tabela1["&amp;$D30&amp;"]"),Tabela1[Data],AO$3),"")</f>
        <v/>
      </c>
      <c r="AP30" s="9" t="str">
        <f ca="1">IFERROR(AVERAGEIFS(INDIRECT("Tabela1["&amp;$D30&amp;"]"),Tabela1[Data],AP$3),"")</f>
        <v/>
      </c>
      <c r="AQ30" s="9" t="str">
        <f ca="1">IFERROR(AVERAGEIFS(INDIRECT("Tabela1["&amp;$D30&amp;"]"),Tabela1[Data],AQ$3),"")</f>
        <v/>
      </c>
      <c r="AR30" s="9" t="str">
        <f ca="1">IFERROR(AVERAGEIFS(INDIRECT("Tabela1["&amp;$D30&amp;"]"),Tabela1[Data],AR$3),"")</f>
        <v/>
      </c>
    </row>
    <row r="31" spans="1:44" ht="15" thickTop="1" x14ac:dyDescent="0.3">
      <c r="A31" s="25" t="s">
        <v>121</v>
      </c>
      <c r="B31" s="25">
        <f t="shared" si="1"/>
        <v>1</v>
      </c>
      <c r="C31" s="25" t="s">
        <v>123</v>
      </c>
      <c r="D31" s="4" t="str">
        <f t="shared" si="2"/>
        <v>Corte Peito Cone</v>
      </c>
      <c r="E31" s="35" t="str">
        <f>Coleta!S1</f>
        <v>Corte Peito Cone</v>
      </c>
      <c r="F31" s="22">
        <v>1</v>
      </c>
      <c r="G31" s="26" t="str">
        <f ca="1">IFERROR(AVERAGEIFS(INDIRECT("Tabela1["&amp;$D31&amp;"]"),Tabela1[Turno],$F31,Tabela1[Mês],G$3),"")</f>
        <v/>
      </c>
      <c r="H31" s="26" t="str">
        <f ca="1">IFERROR(AVERAGEIFS(INDIRECT("Tabela1["&amp;$D31&amp;"]"),Tabela1[Turno],$F31,Tabela1[Mês],H$3),"")</f>
        <v/>
      </c>
      <c r="I31" s="26" t="str">
        <f ca="1">IFERROR(AVERAGEIFS(INDIRECT("Tabela1["&amp;$D31&amp;"]"),Tabela1[Turno],$F31,Tabela1[Mês],I$3),"")</f>
        <v/>
      </c>
      <c r="J31" s="26" t="str">
        <f ca="1">IFERROR(AVERAGEIFS(INDIRECT("Tabela1["&amp;$D31&amp;"]"),Tabela1[Turno],$F31,Tabela1[Mês],J$3),"")</f>
        <v/>
      </c>
      <c r="K31" s="26" t="str">
        <f ca="1">IFERROR(AVERAGEIFS(INDIRECT("Tabela1["&amp;$D31&amp;"]"),Tabela1[Turno],$F31,Tabela1[Mês],K$3),"")</f>
        <v/>
      </c>
      <c r="L31" s="26" t="str">
        <f ca="1">IFERROR(AVERAGEIFS(INDIRECT("Tabela1["&amp;$D31&amp;"]"),Tabela1[Turno],$F31,Tabela1[Mês],L$3),"")</f>
        <v/>
      </c>
      <c r="M31" s="26" t="str">
        <f ca="1">IFERROR(AVERAGEIFS(INDIRECT("Tabela1["&amp;$D31&amp;"]"),Tabela1[Turno],$F31,Tabela1[Mês],M$3),"")</f>
        <v/>
      </c>
      <c r="N31" s="26">
        <f ca="1">IFERROR(AVERAGEIFS(INDIRECT("Tabela1["&amp;$D31&amp;"]"),Tabela1[Turno],$F31,Tabela1[Mês],N$3),"")</f>
        <v>7.8</v>
      </c>
      <c r="O31" s="26">
        <f ca="1">IFERROR(AVERAGEIFS(INDIRECT("Tabela1["&amp;$D31&amp;"]"),Tabela1[Turno],$F31,Tabela1[Mês],O$3),"")</f>
        <v>8.0909090909090917</v>
      </c>
      <c r="P31" s="26" t="str">
        <f ca="1">IFERROR(AVERAGEIFS(INDIRECT("Tabela1["&amp;$D31&amp;"]"),Tabela1[Turno],$F31,Tabela1[Mês],P$3),"")</f>
        <v/>
      </c>
      <c r="Q31" s="26" t="str">
        <f ca="1">IFERROR(AVERAGEIFS(INDIRECT("Tabela1["&amp;$D31&amp;"]"),Tabela1[Turno],$F31,Tabela1[Mês],Q$3),"")</f>
        <v/>
      </c>
      <c r="R31" s="27" t="str">
        <f ca="1">IFERROR(AVERAGEIFS(INDIRECT("Tabela1["&amp;$D31&amp;"]"),Tabela1[Turno],$F31,Tabela1[Mês],R$3),"")</f>
        <v/>
      </c>
      <c r="S31" s="38">
        <v>10</v>
      </c>
      <c r="U31" s="11" t="str">
        <f ca="1">IFERROR(AVERAGEIFS(INDIRECT("Tabela1["&amp;$D31&amp;"]"),Tabela1[Turno],$F31,Tabela1[Data],U$3),"")</f>
        <v/>
      </c>
      <c r="V31" s="11" t="str">
        <f ca="1">IFERROR(AVERAGEIFS(INDIRECT("Tabela1["&amp;$D31&amp;"]"),Tabela1[Turno],$F31,Tabela1[Data],V$3),"")</f>
        <v/>
      </c>
      <c r="W31" s="26" t="str">
        <f ca="1">IFERROR(AVERAGEIFS(INDIRECT("Tabela1["&amp;$D31&amp;"]"),Tabela1[Turno],$F31,Tabela1[Data],W$3),"")</f>
        <v/>
      </c>
      <c r="X31" s="26" t="str">
        <f ca="1">IFERROR(AVERAGEIFS(INDIRECT("Tabela1["&amp;$D31&amp;"]"),Tabela1[Turno],$F31,Tabela1[Data],X$3),"")</f>
        <v/>
      </c>
      <c r="Y31" s="26" t="str">
        <f ca="1">IFERROR(AVERAGEIFS(INDIRECT("Tabela1["&amp;$D31&amp;"]"),Tabela1[Turno],$F31,Tabela1[Data],Y$3),"")</f>
        <v/>
      </c>
      <c r="Z31" s="26" t="str">
        <f ca="1">IFERROR(AVERAGEIFS(INDIRECT("Tabela1["&amp;$D31&amp;"]"),Tabela1[Turno],$F31,Tabela1[Data],Z$3),"")</f>
        <v/>
      </c>
      <c r="AA31" s="26" t="str">
        <f ca="1">IFERROR(AVERAGEIFS(INDIRECT("Tabela1["&amp;$D31&amp;"]"),Tabela1[Turno],$F31,Tabela1[Data],AA$3),"")</f>
        <v/>
      </c>
      <c r="AB31" s="26" t="str">
        <f ca="1">IFERROR(AVERAGEIFS(INDIRECT("Tabela1["&amp;$D31&amp;"]"),Tabela1[Turno],$F31,Tabela1[Data],AB$3),"")</f>
        <v/>
      </c>
      <c r="AC31" s="26" t="str">
        <f ca="1">IFERROR(AVERAGEIFS(INDIRECT("Tabela1["&amp;$D31&amp;"]"),Tabela1[Turno],$F31,Tabela1[Data],AC$3),"")</f>
        <v/>
      </c>
      <c r="AD31" s="26" t="str">
        <f ca="1">IFERROR(AVERAGEIFS(INDIRECT("Tabela1["&amp;$D31&amp;"]"),Tabela1[Turno],$F31,Tabela1[Data],AD$3),"")</f>
        <v/>
      </c>
      <c r="AE31" s="26" t="str">
        <f ca="1">IFERROR(AVERAGEIFS(INDIRECT("Tabela1["&amp;$D31&amp;"]"),Tabela1[Turno],$F31,Tabela1[Data],AE$3),"")</f>
        <v/>
      </c>
      <c r="AF31" s="26" t="str">
        <f ca="1">IFERROR(AVERAGEIFS(INDIRECT("Tabela1["&amp;$D31&amp;"]"),Tabela1[Turno],$F31,Tabela1[Data],AF$3),"")</f>
        <v/>
      </c>
      <c r="AG31" s="26" t="str">
        <f ca="1">IFERROR(AVERAGEIFS(INDIRECT("Tabela1["&amp;$D31&amp;"]"),Tabela1[Turno],$F31,Tabela1[Data],AG$3),"")</f>
        <v/>
      </c>
      <c r="AH31" s="26" t="str">
        <f ca="1">IFERROR(AVERAGEIFS(INDIRECT("Tabela1["&amp;$D31&amp;"]"),Tabela1[Turno],$F31,Tabela1[Data],AH$3),"")</f>
        <v/>
      </c>
      <c r="AI31" s="26" t="str">
        <f ca="1">IFERROR(AVERAGEIFS(INDIRECT("Tabela1["&amp;$D31&amp;"]"),Tabela1[Turno],$F31,Tabela1[Data],AI$3),"")</f>
        <v/>
      </c>
      <c r="AJ31" s="26" t="str">
        <f ca="1">IFERROR(AVERAGEIFS(INDIRECT("Tabela1["&amp;$D31&amp;"]"),Tabela1[Turno],$F31,Tabela1[Data],AJ$3),"")</f>
        <v/>
      </c>
      <c r="AK31" s="26" t="str">
        <f ca="1">IFERROR(AVERAGEIFS(INDIRECT("Tabela1["&amp;$D31&amp;"]"),Tabela1[Turno],$F31,Tabela1[Data],AK$3),"")</f>
        <v/>
      </c>
      <c r="AL31" s="26" t="str">
        <f ca="1">IFERROR(AVERAGEIFS(INDIRECT("Tabela1["&amp;$D31&amp;"]"),Tabela1[Turno],$F31,Tabela1[Data],AL$3),"")</f>
        <v/>
      </c>
      <c r="AM31" s="26" t="str">
        <f ca="1">IFERROR(AVERAGEIFS(INDIRECT("Tabela1["&amp;$D31&amp;"]"),Tabela1[Turno],$F31,Tabela1[Data],AM$3),"")</f>
        <v/>
      </c>
      <c r="AN31" s="26" t="str">
        <f ca="1">IFERROR(AVERAGEIFS(INDIRECT("Tabela1["&amp;$D31&amp;"]"),Tabela1[Turno],$F31,Tabela1[Data],AN$3),"")</f>
        <v/>
      </c>
      <c r="AO31" s="26" t="str">
        <f ca="1">IFERROR(AVERAGEIFS(INDIRECT("Tabela1["&amp;$D31&amp;"]"),Tabela1[Turno],$F31,Tabela1[Data],AO$3),"")</f>
        <v/>
      </c>
      <c r="AP31" s="26" t="str">
        <f ca="1">IFERROR(AVERAGEIFS(INDIRECT("Tabela1["&amp;$D31&amp;"]"),Tabela1[Turno],$F31,Tabela1[Data],AP$3),"")</f>
        <v/>
      </c>
      <c r="AQ31" s="26" t="str">
        <f ca="1">IFERROR(AVERAGEIFS(INDIRECT("Tabela1["&amp;$D31&amp;"]"),Tabela1[Turno],$F31,Tabela1[Data],AQ$3),"")</f>
        <v/>
      </c>
      <c r="AR31" s="26" t="str">
        <f ca="1">IFERROR(AVERAGEIFS(INDIRECT("Tabela1["&amp;$D31&amp;"]"),Tabela1[Turno],$F31,Tabela1[Data],AR$3),"")</f>
        <v/>
      </c>
    </row>
    <row r="32" spans="1:44" x14ac:dyDescent="0.3">
      <c r="A32" s="25" t="s">
        <v>121</v>
      </c>
      <c r="B32" s="25">
        <f t="shared" si="1"/>
        <v>2</v>
      </c>
      <c r="C32" s="25" t="s">
        <v>123</v>
      </c>
      <c r="D32" s="4" t="str">
        <f t="shared" si="2"/>
        <v>Corte Peito Cone</v>
      </c>
      <c r="E32" s="36"/>
      <c r="F32" s="23">
        <v>2</v>
      </c>
      <c r="G32" s="12" t="str">
        <f ca="1">IFERROR(AVERAGEIFS(INDIRECT("Tabela1["&amp;$D32&amp;"]"),Tabela1[Turno],$F32,Tabela1[Mês],G$3),"")</f>
        <v/>
      </c>
      <c r="H32" s="12" t="str">
        <f ca="1">IFERROR(AVERAGEIFS(INDIRECT("Tabela1["&amp;$D32&amp;"]"),Tabela1[Turno],$F32,Tabela1[Mês],H$3),"")</f>
        <v/>
      </c>
      <c r="I32" s="12" t="str">
        <f ca="1">IFERROR(AVERAGEIFS(INDIRECT("Tabela1["&amp;$D32&amp;"]"),Tabela1[Turno],$F32,Tabela1[Mês],I$3),"")</f>
        <v/>
      </c>
      <c r="J32" s="12" t="str">
        <f ca="1">IFERROR(AVERAGEIFS(INDIRECT("Tabela1["&amp;$D32&amp;"]"),Tabela1[Turno],$F32,Tabela1[Mês],J$3),"")</f>
        <v/>
      </c>
      <c r="K32" s="12" t="str">
        <f ca="1">IFERROR(AVERAGEIFS(INDIRECT("Tabela1["&amp;$D32&amp;"]"),Tabela1[Turno],$F32,Tabela1[Mês],K$3),"")</f>
        <v/>
      </c>
      <c r="L32" s="12" t="str">
        <f ca="1">IFERROR(AVERAGEIFS(INDIRECT("Tabela1["&amp;$D32&amp;"]"),Tabela1[Turno],$F32,Tabela1[Mês],L$3),"")</f>
        <v/>
      </c>
      <c r="M32" s="12" t="str">
        <f ca="1">IFERROR(AVERAGEIFS(INDIRECT("Tabela1["&amp;$D32&amp;"]"),Tabela1[Turno],$F32,Tabela1[Mês],M$3),"")</f>
        <v/>
      </c>
      <c r="N32" s="12">
        <f ca="1">IFERROR(AVERAGEIFS(INDIRECT("Tabela1["&amp;$D32&amp;"]"),Tabela1[Turno],$F32,Tabela1[Mês],N$3),"")</f>
        <v>6.9275362318840576</v>
      </c>
      <c r="O32" s="12">
        <f ca="1">IFERROR(AVERAGEIFS(INDIRECT("Tabela1["&amp;$D32&amp;"]"),Tabela1[Turno],$F32,Tabela1[Mês],O$3),"")</f>
        <v>6.9285714285714288</v>
      </c>
      <c r="P32" s="12">
        <f ca="1">IFERROR(AVERAGEIFS(INDIRECT("Tabela1["&amp;$D32&amp;"]"),Tabela1[Turno],$F32,Tabela1[Mês],P$3),"")</f>
        <v>6.9259259259259256</v>
      </c>
      <c r="Q32" s="12" t="str">
        <f ca="1">IFERROR(AVERAGEIFS(INDIRECT("Tabela1["&amp;$D32&amp;"]"),Tabela1[Turno],$F32,Tabela1[Mês],Q$3),"")</f>
        <v/>
      </c>
      <c r="R32" s="13" t="str">
        <f ca="1">IFERROR(AVERAGEIFS(INDIRECT("Tabela1["&amp;$D32&amp;"]"),Tabela1[Turno],$F32,Tabela1[Mês],R$3),"")</f>
        <v/>
      </c>
      <c r="S32" s="39"/>
      <c r="U32" s="12">
        <f ca="1">IFERROR(AVERAGEIFS(INDIRECT("Tabela1["&amp;$D32&amp;"]"),Tabela1[Turno],$F32,Tabela1[Data],U$3),"")</f>
        <v>7</v>
      </c>
      <c r="V32" s="12">
        <f ca="1">IFERROR(AVERAGEIFS(INDIRECT("Tabela1["&amp;$D32&amp;"]"),Tabela1[Turno],$F32,Tabela1[Data],V$3),"")</f>
        <v>7</v>
      </c>
      <c r="W32" s="12">
        <f ca="1">IFERROR(AVERAGEIFS(INDIRECT("Tabela1["&amp;$D32&amp;"]"),Tabela1[Turno],$F32,Tabela1[Data],W$3),"")</f>
        <v>6.333333333333333</v>
      </c>
      <c r="X32" s="12">
        <f ca="1">IFERROR(AVERAGEIFS(INDIRECT("Tabela1["&amp;$D32&amp;"]"),Tabela1[Turno],$F32,Tabela1[Data],X$3),"")</f>
        <v>7</v>
      </c>
      <c r="Y32" s="12">
        <f ca="1">IFERROR(AVERAGEIFS(INDIRECT("Tabela1["&amp;$D32&amp;"]"),Tabela1[Turno],$F32,Tabela1[Data],Y$3),"")</f>
        <v>7</v>
      </c>
      <c r="Z32" s="12">
        <f ca="1">IFERROR(AVERAGEIFS(INDIRECT("Tabela1["&amp;$D32&amp;"]"),Tabela1[Turno],$F32,Tabela1[Data],Z$3),"")</f>
        <v>7</v>
      </c>
      <c r="AA32" s="12">
        <f ca="1">IFERROR(AVERAGEIFS(INDIRECT("Tabela1["&amp;$D32&amp;"]"),Tabela1[Turno],$F32,Tabela1[Data],AA$3),"")</f>
        <v>7</v>
      </c>
      <c r="AB32" s="12" t="str">
        <f ca="1">IFERROR(AVERAGEIFS(INDIRECT("Tabela1["&amp;$D32&amp;"]"),Tabela1[Turno],$F32,Tabela1[Data],AB$3),"")</f>
        <v/>
      </c>
      <c r="AC32" s="12" t="str">
        <f ca="1">IFERROR(AVERAGEIFS(INDIRECT("Tabela1["&amp;$D32&amp;"]"),Tabela1[Turno],$F32,Tabela1[Data],AC$3),"")</f>
        <v/>
      </c>
      <c r="AD32" s="12" t="str">
        <f ca="1">IFERROR(AVERAGEIFS(INDIRECT("Tabela1["&amp;$D32&amp;"]"),Tabela1[Turno],$F32,Tabela1[Data],AD$3),"")</f>
        <v/>
      </c>
      <c r="AE32" s="12" t="str">
        <f ca="1">IFERROR(AVERAGEIFS(INDIRECT("Tabela1["&amp;$D32&amp;"]"),Tabela1[Turno],$F32,Tabela1[Data],AE$3),"")</f>
        <v/>
      </c>
      <c r="AF32" s="12" t="str">
        <f ca="1">IFERROR(AVERAGEIFS(INDIRECT("Tabela1["&amp;$D32&amp;"]"),Tabela1[Turno],$F32,Tabela1[Data],AF$3),"")</f>
        <v/>
      </c>
      <c r="AG32" s="12" t="str">
        <f ca="1">IFERROR(AVERAGEIFS(INDIRECT("Tabela1["&amp;$D32&amp;"]"),Tabela1[Turno],$F32,Tabela1[Data],AG$3),"")</f>
        <v/>
      </c>
      <c r="AH32" s="12" t="str">
        <f ca="1">IFERROR(AVERAGEIFS(INDIRECT("Tabela1["&amp;$D32&amp;"]"),Tabela1[Turno],$F32,Tabela1[Data],AH$3),"")</f>
        <v/>
      </c>
      <c r="AI32" s="12" t="str">
        <f ca="1">IFERROR(AVERAGEIFS(INDIRECT("Tabela1["&amp;$D32&amp;"]"),Tabela1[Turno],$F32,Tabela1[Data],AI$3),"")</f>
        <v/>
      </c>
      <c r="AJ32" s="12" t="str">
        <f ca="1">IFERROR(AVERAGEIFS(INDIRECT("Tabela1["&amp;$D32&amp;"]"),Tabela1[Turno],$F32,Tabela1[Data],AJ$3),"")</f>
        <v/>
      </c>
      <c r="AK32" s="12" t="str">
        <f ca="1">IFERROR(AVERAGEIFS(INDIRECT("Tabela1["&amp;$D32&amp;"]"),Tabela1[Turno],$F32,Tabela1[Data],AK$3),"")</f>
        <v/>
      </c>
      <c r="AL32" s="12" t="str">
        <f ca="1">IFERROR(AVERAGEIFS(INDIRECT("Tabela1["&amp;$D32&amp;"]"),Tabela1[Turno],$F32,Tabela1[Data],AL$3),"")</f>
        <v/>
      </c>
      <c r="AM32" s="12" t="str">
        <f ca="1">IFERROR(AVERAGEIFS(INDIRECT("Tabela1["&amp;$D32&amp;"]"),Tabela1[Turno],$F32,Tabela1[Data],AM$3),"")</f>
        <v/>
      </c>
      <c r="AN32" s="12" t="str">
        <f ca="1">IFERROR(AVERAGEIFS(INDIRECT("Tabela1["&amp;$D32&amp;"]"),Tabela1[Turno],$F32,Tabela1[Data],AN$3),"")</f>
        <v/>
      </c>
      <c r="AO32" s="12" t="str">
        <f ca="1">IFERROR(AVERAGEIFS(INDIRECT("Tabela1["&amp;$D32&amp;"]"),Tabela1[Turno],$F32,Tabela1[Data],AO$3),"")</f>
        <v/>
      </c>
      <c r="AP32" s="12" t="str">
        <f ca="1">IFERROR(AVERAGEIFS(INDIRECT("Tabela1["&amp;$D32&amp;"]"),Tabela1[Turno],$F32,Tabela1[Data],AP$3),"")</f>
        <v/>
      </c>
      <c r="AQ32" s="12" t="str">
        <f ca="1">IFERROR(AVERAGEIFS(INDIRECT("Tabela1["&amp;$D32&amp;"]"),Tabela1[Turno],$F32,Tabela1[Data],AQ$3),"")</f>
        <v/>
      </c>
      <c r="AR32" s="12" t="str">
        <f ca="1">IFERROR(AVERAGEIFS(INDIRECT("Tabela1["&amp;$D32&amp;"]"),Tabela1[Turno],$F32,Tabela1[Data],AR$3),"")</f>
        <v/>
      </c>
    </row>
    <row r="33" spans="1:44" ht="15" thickBot="1" x14ac:dyDescent="0.35">
      <c r="A33" s="25" t="s">
        <v>121</v>
      </c>
      <c r="B33" s="25" t="str">
        <f t="shared" si="1"/>
        <v>Unidade</v>
      </c>
      <c r="C33" s="25" t="s">
        <v>123</v>
      </c>
      <c r="D33" s="4" t="str">
        <f t="shared" si="2"/>
        <v>Corte Peito Cone</v>
      </c>
      <c r="E33" s="37"/>
      <c r="F33" s="24" t="s">
        <v>142</v>
      </c>
      <c r="G33" s="9" t="str">
        <f ca="1">IFERROR(AVERAGEIFS(INDIRECT("Tabela1["&amp;$D33&amp;"]"),Tabela1[Mês],G$3),"")</f>
        <v/>
      </c>
      <c r="H33" s="9" t="str">
        <f ca="1">IFERROR(AVERAGEIFS(INDIRECT("Tabela1["&amp;$D33&amp;"]"),Tabela1[Mês],H$3),"")</f>
        <v/>
      </c>
      <c r="I33" s="9" t="str">
        <f ca="1">IFERROR(AVERAGEIFS(INDIRECT("Tabela1["&amp;$D33&amp;"]"),Tabela1[Mês],I$3),"")</f>
        <v/>
      </c>
      <c r="J33" s="9" t="str">
        <f ca="1">IFERROR(AVERAGEIFS(INDIRECT("Tabela1["&amp;$D33&amp;"]"),Tabela1[Mês],J$3),"")</f>
        <v/>
      </c>
      <c r="K33" s="9" t="str">
        <f ca="1">IFERROR(AVERAGEIFS(INDIRECT("Tabela1["&amp;$D33&amp;"]"),Tabela1[Mês],K$3),"")</f>
        <v/>
      </c>
      <c r="L33" s="9" t="str">
        <f ca="1">IFERROR(AVERAGEIFS(INDIRECT("Tabela1["&amp;$D33&amp;"]"),Tabela1[Mês],L$3),"")</f>
        <v/>
      </c>
      <c r="M33" s="9" t="str">
        <f ca="1">IFERROR(AVERAGEIFS(INDIRECT("Tabela1["&amp;$D33&amp;"]"),Tabela1[Mês],M$3),"")</f>
        <v/>
      </c>
      <c r="N33" s="9">
        <f ca="1">IFERROR(AVERAGEIFS(INDIRECT("Tabela1["&amp;$D33&amp;"]"),Tabela1[Mês],N$3),"")</f>
        <v>6.9866666666666664</v>
      </c>
      <c r="O33" s="9">
        <f ca="1">IFERROR(AVERAGEIFS(INDIRECT("Tabela1["&amp;$D33&amp;"]"),Tabela1[Mês],O$3),"")</f>
        <v>7.0631578947368423</v>
      </c>
      <c r="P33" s="9">
        <f ca="1">IFERROR(AVERAGEIFS(INDIRECT("Tabela1["&amp;$D33&amp;"]"),Tabela1[Mês],P$3),"")</f>
        <v>6.9259259259259256</v>
      </c>
      <c r="Q33" s="9" t="str">
        <f ca="1">IFERROR(AVERAGEIFS(INDIRECT("Tabela1["&amp;$D33&amp;"]"),Tabela1[Mês],Q$3),"")</f>
        <v/>
      </c>
      <c r="R33" s="14" t="str">
        <f ca="1">IFERROR(AVERAGEIFS(INDIRECT("Tabela1["&amp;$D33&amp;"]"),Tabela1[Mês],R$3),"")</f>
        <v/>
      </c>
      <c r="S33" s="40"/>
      <c r="U33" s="9">
        <f ca="1">IFERROR(AVERAGEIFS(INDIRECT("Tabela1["&amp;$D33&amp;"]"),Tabela1[Data],U$3),"")</f>
        <v>7</v>
      </c>
      <c r="V33" s="9">
        <f ca="1">IFERROR(AVERAGEIFS(INDIRECT("Tabela1["&amp;$D33&amp;"]"),Tabela1[Data],V$3),"")</f>
        <v>7</v>
      </c>
      <c r="W33" s="9">
        <f ca="1">IFERROR(AVERAGEIFS(INDIRECT("Tabela1["&amp;$D33&amp;"]"),Tabela1[Data],W$3),"")</f>
        <v>6.333333333333333</v>
      </c>
      <c r="X33" s="9">
        <f ca="1">IFERROR(AVERAGEIFS(INDIRECT("Tabela1["&amp;$D33&amp;"]"),Tabela1[Data],X$3),"")</f>
        <v>7</v>
      </c>
      <c r="Y33" s="9">
        <f ca="1">IFERROR(AVERAGEIFS(INDIRECT("Tabela1["&amp;$D33&amp;"]"),Tabela1[Data],Y$3),"")</f>
        <v>7</v>
      </c>
      <c r="Z33" s="9">
        <f ca="1">IFERROR(AVERAGEIFS(INDIRECT("Tabela1["&amp;$D33&amp;"]"),Tabela1[Data],Z$3),"")</f>
        <v>7</v>
      </c>
      <c r="AA33" s="9">
        <f ca="1">IFERROR(AVERAGEIFS(INDIRECT("Tabela1["&amp;$D33&amp;"]"),Tabela1[Data],AA$3),"")</f>
        <v>7</v>
      </c>
      <c r="AB33" s="9" t="str">
        <f ca="1">IFERROR(AVERAGEIFS(INDIRECT("Tabela1["&amp;$D33&amp;"]"),Tabela1[Data],AB$3),"")</f>
        <v/>
      </c>
      <c r="AC33" s="9" t="str">
        <f ca="1">IFERROR(AVERAGEIFS(INDIRECT("Tabela1["&amp;$D33&amp;"]"),Tabela1[Data],AC$3),"")</f>
        <v/>
      </c>
      <c r="AD33" s="9" t="str">
        <f ca="1">IFERROR(AVERAGEIFS(INDIRECT("Tabela1["&amp;$D33&amp;"]"),Tabela1[Data],AD$3),"")</f>
        <v/>
      </c>
      <c r="AE33" s="9" t="str">
        <f ca="1">IFERROR(AVERAGEIFS(INDIRECT("Tabela1["&amp;$D33&amp;"]"),Tabela1[Data],AE$3),"")</f>
        <v/>
      </c>
      <c r="AF33" s="9" t="str">
        <f ca="1">IFERROR(AVERAGEIFS(INDIRECT("Tabela1["&amp;$D33&amp;"]"),Tabela1[Data],AF$3),"")</f>
        <v/>
      </c>
      <c r="AG33" s="9" t="str">
        <f ca="1">IFERROR(AVERAGEIFS(INDIRECT("Tabela1["&amp;$D33&amp;"]"),Tabela1[Data],AG$3),"")</f>
        <v/>
      </c>
      <c r="AH33" s="9" t="str">
        <f ca="1">IFERROR(AVERAGEIFS(INDIRECT("Tabela1["&amp;$D33&amp;"]"),Tabela1[Data],AH$3),"")</f>
        <v/>
      </c>
      <c r="AI33" s="9" t="str">
        <f ca="1">IFERROR(AVERAGEIFS(INDIRECT("Tabela1["&amp;$D33&amp;"]"),Tabela1[Data],AI$3),"")</f>
        <v/>
      </c>
      <c r="AJ33" s="9" t="str">
        <f ca="1">IFERROR(AVERAGEIFS(INDIRECT("Tabela1["&amp;$D33&amp;"]"),Tabela1[Data],AJ$3),"")</f>
        <v/>
      </c>
      <c r="AK33" s="9" t="str">
        <f ca="1">IFERROR(AVERAGEIFS(INDIRECT("Tabela1["&amp;$D33&amp;"]"),Tabela1[Data],AK$3),"")</f>
        <v/>
      </c>
      <c r="AL33" s="9" t="str">
        <f ca="1">IFERROR(AVERAGEIFS(INDIRECT("Tabela1["&amp;$D33&amp;"]"),Tabela1[Data],AL$3),"")</f>
        <v/>
      </c>
      <c r="AM33" s="9" t="str">
        <f ca="1">IFERROR(AVERAGEIFS(INDIRECT("Tabela1["&amp;$D33&amp;"]"),Tabela1[Data],AM$3),"")</f>
        <v/>
      </c>
      <c r="AN33" s="9" t="str">
        <f ca="1">IFERROR(AVERAGEIFS(INDIRECT("Tabela1["&amp;$D33&amp;"]"),Tabela1[Data],AN$3),"")</f>
        <v/>
      </c>
      <c r="AO33" s="9" t="str">
        <f ca="1">IFERROR(AVERAGEIFS(INDIRECT("Tabela1["&amp;$D33&amp;"]"),Tabela1[Data],AO$3),"")</f>
        <v/>
      </c>
      <c r="AP33" s="9" t="str">
        <f ca="1">IFERROR(AVERAGEIFS(INDIRECT("Tabela1["&amp;$D33&amp;"]"),Tabela1[Data],AP$3),"")</f>
        <v/>
      </c>
      <c r="AQ33" s="9" t="str">
        <f ca="1">IFERROR(AVERAGEIFS(INDIRECT("Tabela1["&amp;$D33&amp;"]"),Tabela1[Data],AQ$3),"")</f>
        <v/>
      </c>
      <c r="AR33" s="9" t="str">
        <f ca="1">IFERROR(AVERAGEIFS(INDIRECT("Tabela1["&amp;$D33&amp;"]"),Tabela1[Data],AR$3),"")</f>
        <v/>
      </c>
    </row>
    <row r="34" spans="1:44" ht="15" thickTop="1" x14ac:dyDescent="0.3">
      <c r="A34" s="25" t="s">
        <v>121</v>
      </c>
      <c r="B34" s="25">
        <f t="shared" si="1"/>
        <v>1</v>
      </c>
      <c r="C34" s="25" t="s">
        <v>162</v>
      </c>
      <c r="D34" s="4" t="str">
        <f t="shared" si="2"/>
        <v>Corte Sassami Cone</v>
      </c>
      <c r="E34" s="35" t="str">
        <f>Coleta!T1</f>
        <v>Corte Sassami Cone</v>
      </c>
      <c r="F34" s="22">
        <v>1</v>
      </c>
      <c r="G34" s="26" t="str">
        <f ca="1">IFERROR(AVERAGEIFS(INDIRECT("Tabela1["&amp;$D34&amp;"]"),Tabela1[Turno],$F34,Tabela1[Mês],G$3),"")</f>
        <v/>
      </c>
      <c r="H34" s="26" t="str">
        <f ca="1">IFERROR(AVERAGEIFS(INDIRECT("Tabela1["&amp;$D34&amp;"]"),Tabela1[Turno],$F34,Tabela1[Mês],H$3),"")</f>
        <v/>
      </c>
      <c r="I34" s="26" t="str">
        <f ca="1">IFERROR(AVERAGEIFS(INDIRECT("Tabela1["&amp;$D34&amp;"]"),Tabela1[Turno],$F34,Tabela1[Mês],I$3),"")</f>
        <v/>
      </c>
      <c r="J34" s="26" t="str">
        <f ca="1">IFERROR(AVERAGEIFS(INDIRECT("Tabela1["&amp;$D34&amp;"]"),Tabela1[Turno],$F34,Tabela1[Mês],J$3),"")</f>
        <v/>
      </c>
      <c r="K34" s="26" t="str">
        <f ca="1">IFERROR(AVERAGEIFS(INDIRECT("Tabela1["&amp;$D34&amp;"]"),Tabela1[Turno],$F34,Tabela1[Mês],K$3),"")</f>
        <v/>
      </c>
      <c r="L34" s="26" t="str">
        <f ca="1">IFERROR(AVERAGEIFS(INDIRECT("Tabela1["&amp;$D34&amp;"]"),Tabela1[Turno],$F34,Tabela1[Mês],L$3),"")</f>
        <v/>
      </c>
      <c r="M34" s="26" t="str">
        <f ca="1">IFERROR(AVERAGEIFS(INDIRECT("Tabela1["&amp;$D34&amp;"]"),Tabela1[Turno],$F34,Tabela1[Mês],M$3),"")</f>
        <v/>
      </c>
      <c r="N34" s="26">
        <f ca="1">IFERROR(AVERAGEIFS(INDIRECT("Tabela1["&amp;$D34&amp;"]"),Tabela1[Turno],$F34,Tabela1[Mês],N$3),"")</f>
        <v>7.2</v>
      </c>
      <c r="O34" s="26">
        <f ca="1">IFERROR(AVERAGEIFS(INDIRECT("Tabela1["&amp;$D34&amp;"]"),Tabela1[Turno],$F34,Tabela1[Mês],O$3),"")</f>
        <v>8.0909090909090917</v>
      </c>
      <c r="P34" s="26" t="str">
        <f ca="1">IFERROR(AVERAGEIFS(INDIRECT("Tabela1["&amp;$D34&amp;"]"),Tabela1[Turno],$F34,Tabela1[Mês],P$3),"")</f>
        <v/>
      </c>
      <c r="Q34" s="26" t="str">
        <f ca="1">IFERROR(AVERAGEIFS(INDIRECT("Tabela1["&amp;$D34&amp;"]"),Tabela1[Turno],$F34,Tabela1[Mês],Q$3),"")</f>
        <v/>
      </c>
      <c r="R34" s="27" t="str">
        <f ca="1">IFERROR(AVERAGEIFS(INDIRECT("Tabela1["&amp;$D34&amp;"]"),Tabela1[Turno],$F34,Tabela1[Mês],R$3),"")</f>
        <v/>
      </c>
      <c r="S34" s="38">
        <v>10</v>
      </c>
      <c r="U34" s="11" t="str">
        <f ca="1">IFERROR(AVERAGEIFS(INDIRECT("Tabela1["&amp;$D34&amp;"]"),Tabela1[Turno],$F34,Tabela1[Data],U$3),"")</f>
        <v/>
      </c>
      <c r="V34" s="11" t="str">
        <f ca="1">IFERROR(AVERAGEIFS(INDIRECT("Tabela1["&amp;$D34&amp;"]"),Tabela1[Turno],$F34,Tabela1[Data],V$3),"")</f>
        <v/>
      </c>
      <c r="W34" s="26" t="str">
        <f ca="1">IFERROR(AVERAGEIFS(INDIRECT("Tabela1["&amp;$D34&amp;"]"),Tabela1[Turno],$F34,Tabela1[Data],W$3),"")</f>
        <v/>
      </c>
      <c r="X34" s="26" t="str">
        <f ca="1">IFERROR(AVERAGEIFS(INDIRECT("Tabela1["&amp;$D34&amp;"]"),Tabela1[Turno],$F34,Tabela1[Data],X$3),"")</f>
        <v/>
      </c>
      <c r="Y34" s="26" t="str">
        <f ca="1">IFERROR(AVERAGEIFS(INDIRECT("Tabela1["&amp;$D34&amp;"]"),Tabela1[Turno],$F34,Tabela1[Data],Y$3),"")</f>
        <v/>
      </c>
      <c r="Z34" s="26" t="str">
        <f ca="1">IFERROR(AVERAGEIFS(INDIRECT("Tabela1["&amp;$D34&amp;"]"),Tabela1[Turno],$F34,Tabela1[Data],Z$3),"")</f>
        <v/>
      </c>
      <c r="AA34" s="26" t="str">
        <f ca="1">IFERROR(AVERAGEIFS(INDIRECT("Tabela1["&amp;$D34&amp;"]"),Tabela1[Turno],$F34,Tabela1[Data],AA$3),"")</f>
        <v/>
      </c>
      <c r="AB34" s="26" t="str">
        <f ca="1">IFERROR(AVERAGEIFS(INDIRECT("Tabela1["&amp;$D34&amp;"]"),Tabela1[Turno],$F34,Tabela1[Data],AB$3),"")</f>
        <v/>
      </c>
      <c r="AC34" s="26" t="str">
        <f ca="1">IFERROR(AVERAGEIFS(INDIRECT("Tabela1["&amp;$D34&amp;"]"),Tabela1[Turno],$F34,Tabela1[Data],AC$3),"")</f>
        <v/>
      </c>
      <c r="AD34" s="26" t="str">
        <f ca="1">IFERROR(AVERAGEIFS(INDIRECT("Tabela1["&amp;$D34&amp;"]"),Tabela1[Turno],$F34,Tabela1[Data],AD$3),"")</f>
        <v/>
      </c>
      <c r="AE34" s="26" t="str">
        <f ca="1">IFERROR(AVERAGEIFS(INDIRECT("Tabela1["&amp;$D34&amp;"]"),Tabela1[Turno],$F34,Tabela1[Data],AE$3),"")</f>
        <v/>
      </c>
      <c r="AF34" s="26" t="str">
        <f ca="1">IFERROR(AVERAGEIFS(INDIRECT("Tabela1["&amp;$D34&amp;"]"),Tabela1[Turno],$F34,Tabela1[Data],AF$3),"")</f>
        <v/>
      </c>
      <c r="AG34" s="26" t="str">
        <f ca="1">IFERROR(AVERAGEIFS(INDIRECT("Tabela1["&amp;$D34&amp;"]"),Tabela1[Turno],$F34,Tabela1[Data],AG$3),"")</f>
        <v/>
      </c>
      <c r="AH34" s="26" t="str">
        <f ca="1">IFERROR(AVERAGEIFS(INDIRECT("Tabela1["&amp;$D34&amp;"]"),Tabela1[Turno],$F34,Tabela1[Data],AH$3),"")</f>
        <v/>
      </c>
      <c r="AI34" s="26" t="str">
        <f ca="1">IFERROR(AVERAGEIFS(INDIRECT("Tabela1["&amp;$D34&amp;"]"),Tabela1[Turno],$F34,Tabela1[Data],AI$3),"")</f>
        <v/>
      </c>
      <c r="AJ34" s="26" t="str">
        <f ca="1">IFERROR(AVERAGEIFS(INDIRECT("Tabela1["&amp;$D34&amp;"]"),Tabela1[Turno],$F34,Tabela1[Data],AJ$3),"")</f>
        <v/>
      </c>
      <c r="AK34" s="26" t="str">
        <f ca="1">IFERROR(AVERAGEIFS(INDIRECT("Tabela1["&amp;$D34&amp;"]"),Tabela1[Turno],$F34,Tabela1[Data],AK$3),"")</f>
        <v/>
      </c>
      <c r="AL34" s="26" t="str">
        <f ca="1">IFERROR(AVERAGEIFS(INDIRECT("Tabela1["&amp;$D34&amp;"]"),Tabela1[Turno],$F34,Tabela1[Data],AL$3),"")</f>
        <v/>
      </c>
      <c r="AM34" s="26" t="str">
        <f ca="1">IFERROR(AVERAGEIFS(INDIRECT("Tabela1["&amp;$D34&amp;"]"),Tabela1[Turno],$F34,Tabela1[Data],AM$3),"")</f>
        <v/>
      </c>
      <c r="AN34" s="26" t="str">
        <f ca="1">IFERROR(AVERAGEIFS(INDIRECT("Tabela1["&amp;$D34&amp;"]"),Tabela1[Turno],$F34,Tabela1[Data],AN$3),"")</f>
        <v/>
      </c>
      <c r="AO34" s="26" t="str">
        <f ca="1">IFERROR(AVERAGEIFS(INDIRECT("Tabela1["&amp;$D34&amp;"]"),Tabela1[Turno],$F34,Tabela1[Data],AO$3),"")</f>
        <v/>
      </c>
      <c r="AP34" s="26" t="str">
        <f ca="1">IFERROR(AVERAGEIFS(INDIRECT("Tabela1["&amp;$D34&amp;"]"),Tabela1[Turno],$F34,Tabela1[Data],AP$3),"")</f>
        <v/>
      </c>
      <c r="AQ34" s="26" t="str">
        <f ca="1">IFERROR(AVERAGEIFS(INDIRECT("Tabela1["&amp;$D34&amp;"]"),Tabela1[Turno],$F34,Tabela1[Data],AQ$3),"")</f>
        <v/>
      </c>
      <c r="AR34" s="26" t="str">
        <f ca="1">IFERROR(AVERAGEIFS(INDIRECT("Tabela1["&amp;$D34&amp;"]"),Tabela1[Turno],$F34,Tabela1[Data],AR$3),"")</f>
        <v/>
      </c>
    </row>
    <row r="35" spans="1:44" x14ac:dyDescent="0.3">
      <c r="A35" s="25" t="s">
        <v>121</v>
      </c>
      <c r="B35" s="25">
        <f t="shared" si="1"/>
        <v>2</v>
      </c>
      <c r="C35" s="25" t="s">
        <v>162</v>
      </c>
      <c r="D35" s="4" t="str">
        <f t="shared" si="2"/>
        <v>Corte Sassami Cone</v>
      </c>
      <c r="E35" s="36"/>
      <c r="F35" s="23">
        <v>2</v>
      </c>
      <c r="G35" s="12" t="str">
        <f ca="1">IFERROR(AVERAGEIFS(INDIRECT("Tabela1["&amp;$D35&amp;"]"),Tabela1[Turno],$F35,Tabela1[Mês],G$3),"")</f>
        <v/>
      </c>
      <c r="H35" s="12" t="str">
        <f ca="1">IFERROR(AVERAGEIFS(INDIRECT("Tabela1["&amp;$D35&amp;"]"),Tabela1[Turno],$F35,Tabela1[Mês],H$3),"")</f>
        <v/>
      </c>
      <c r="I35" s="12" t="str">
        <f ca="1">IFERROR(AVERAGEIFS(INDIRECT("Tabela1["&amp;$D35&amp;"]"),Tabela1[Turno],$F35,Tabela1[Mês],I$3),"")</f>
        <v/>
      </c>
      <c r="J35" s="12" t="str">
        <f ca="1">IFERROR(AVERAGEIFS(INDIRECT("Tabela1["&amp;$D35&amp;"]"),Tabela1[Turno],$F35,Tabela1[Mês],J$3),"")</f>
        <v/>
      </c>
      <c r="K35" s="12" t="str">
        <f ca="1">IFERROR(AVERAGEIFS(INDIRECT("Tabela1["&amp;$D35&amp;"]"),Tabela1[Turno],$F35,Tabela1[Mês],K$3),"")</f>
        <v/>
      </c>
      <c r="L35" s="12" t="str">
        <f ca="1">IFERROR(AVERAGEIFS(INDIRECT("Tabela1["&amp;$D35&amp;"]"),Tabela1[Turno],$F35,Tabela1[Mês],L$3),"")</f>
        <v/>
      </c>
      <c r="M35" s="12" t="str">
        <f ca="1">IFERROR(AVERAGEIFS(INDIRECT("Tabela1["&amp;$D35&amp;"]"),Tabela1[Turno],$F35,Tabela1[Mês],M$3),"")</f>
        <v/>
      </c>
      <c r="N35" s="12">
        <f ca="1">IFERROR(AVERAGEIFS(INDIRECT("Tabela1["&amp;$D35&amp;"]"),Tabela1[Turno],$F35,Tabela1[Mês],N$3),"")</f>
        <v>6.9714285714285715</v>
      </c>
      <c r="O35" s="12">
        <f ca="1">IFERROR(AVERAGEIFS(INDIRECT("Tabela1["&amp;$D35&amp;"]"),Tabela1[Turno],$F35,Tabela1[Mês],O$3),"")</f>
        <v>7.0357142857142856</v>
      </c>
      <c r="P35" s="12">
        <f ca="1">IFERROR(AVERAGEIFS(INDIRECT("Tabela1["&amp;$D35&amp;"]"),Tabela1[Turno],$F35,Tabela1[Mês],P$3),"")</f>
        <v>7</v>
      </c>
      <c r="Q35" s="12" t="str">
        <f ca="1">IFERROR(AVERAGEIFS(INDIRECT("Tabela1["&amp;$D35&amp;"]"),Tabela1[Turno],$F35,Tabela1[Mês],Q$3),"")</f>
        <v/>
      </c>
      <c r="R35" s="13" t="str">
        <f ca="1">IFERROR(AVERAGEIFS(INDIRECT("Tabela1["&amp;$D35&amp;"]"),Tabela1[Turno],$F35,Tabela1[Mês],R$3),"")</f>
        <v/>
      </c>
      <c r="S35" s="39"/>
      <c r="U35" s="12">
        <f ca="1">IFERROR(AVERAGEIFS(INDIRECT("Tabela1["&amp;$D35&amp;"]"),Tabela1[Turno],$F35,Tabela1[Data],U$3),"")</f>
        <v>7</v>
      </c>
      <c r="V35" s="12">
        <f ca="1">IFERROR(AVERAGEIFS(INDIRECT("Tabela1["&amp;$D35&amp;"]"),Tabela1[Turno],$F35,Tabela1[Data],V$3),"")</f>
        <v>7</v>
      </c>
      <c r="W35" s="12">
        <f ca="1">IFERROR(AVERAGEIFS(INDIRECT("Tabela1["&amp;$D35&amp;"]"),Tabela1[Turno],$F35,Tabela1[Data],W$3),"")</f>
        <v>7</v>
      </c>
      <c r="X35" s="12">
        <f ca="1">IFERROR(AVERAGEIFS(INDIRECT("Tabela1["&amp;$D35&amp;"]"),Tabela1[Turno],$F35,Tabela1[Data],X$3),"")</f>
        <v>7</v>
      </c>
      <c r="Y35" s="12">
        <f ca="1">IFERROR(AVERAGEIFS(INDIRECT("Tabela1["&amp;$D35&amp;"]"),Tabela1[Turno],$F35,Tabela1[Data],Y$3),"")</f>
        <v>7</v>
      </c>
      <c r="Z35" s="12">
        <f ca="1">IFERROR(AVERAGEIFS(INDIRECT("Tabela1["&amp;$D35&amp;"]"),Tabela1[Turno],$F35,Tabela1[Data],Z$3),"")</f>
        <v>7</v>
      </c>
      <c r="AA35" s="12">
        <f ca="1">IFERROR(AVERAGEIFS(INDIRECT("Tabela1["&amp;$D35&amp;"]"),Tabela1[Turno],$F35,Tabela1[Data],AA$3),"")</f>
        <v>7</v>
      </c>
      <c r="AB35" s="12" t="str">
        <f ca="1">IFERROR(AVERAGEIFS(INDIRECT("Tabela1["&amp;$D35&amp;"]"),Tabela1[Turno],$F35,Tabela1[Data],AB$3),"")</f>
        <v/>
      </c>
      <c r="AC35" s="12" t="str">
        <f ca="1">IFERROR(AVERAGEIFS(INDIRECT("Tabela1["&amp;$D35&amp;"]"),Tabela1[Turno],$F35,Tabela1[Data],AC$3),"")</f>
        <v/>
      </c>
      <c r="AD35" s="12" t="str">
        <f ca="1">IFERROR(AVERAGEIFS(INDIRECT("Tabela1["&amp;$D35&amp;"]"),Tabela1[Turno],$F35,Tabela1[Data],AD$3),"")</f>
        <v/>
      </c>
      <c r="AE35" s="12" t="str">
        <f ca="1">IFERROR(AVERAGEIFS(INDIRECT("Tabela1["&amp;$D35&amp;"]"),Tabela1[Turno],$F35,Tabela1[Data],AE$3),"")</f>
        <v/>
      </c>
      <c r="AF35" s="12" t="str">
        <f ca="1">IFERROR(AVERAGEIFS(INDIRECT("Tabela1["&amp;$D35&amp;"]"),Tabela1[Turno],$F35,Tabela1[Data],AF$3),"")</f>
        <v/>
      </c>
      <c r="AG35" s="12" t="str">
        <f ca="1">IFERROR(AVERAGEIFS(INDIRECT("Tabela1["&amp;$D35&amp;"]"),Tabela1[Turno],$F35,Tabela1[Data],AG$3),"")</f>
        <v/>
      </c>
      <c r="AH35" s="12" t="str">
        <f ca="1">IFERROR(AVERAGEIFS(INDIRECT("Tabela1["&amp;$D35&amp;"]"),Tabela1[Turno],$F35,Tabela1[Data],AH$3),"")</f>
        <v/>
      </c>
      <c r="AI35" s="12" t="str">
        <f ca="1">IFERROR(AVERAGEIFS(INDIRECT("Tabela1["&amp;$D35&amp;"]"),Tabela1[Turno],$F35,Tabela1[Data],AI$3),"")</f>
        <v/>
      </c>
      <c r="AJ35" s="12" t="str">
        <f ca="1">IFERROR(AVERAGEIFS(INDIRECT("Tabela1["&amp;$D35&amp;"]"),Tabela1[Turno],$F35,Tabela1[Data],AJ$3),"")</f>
        <v/>
      </c>
      <c r="AK35" s="12" t="str">
        <f ca="1">IFERROR(AVERAGEIFS(INDIRECT("Tabela1["&amp;$D35&amp;"]"),Tabela1[Turno],$F35,Tabela1[Data],AK$3),"")</f>
        <v/>
      </c>
      <c r="AL35" s="12" t="str">
        <f ca="1">IFERROR(AVERAGEIFS(INDIRECT("Tabela1["&amp;$D35&amp;"]"),Tabela1[Turno],$F35,Tabela1[Data],AL$3),"")</f>
        <v/>
      </c>
      <c r="AM35" s="12" t="str">
        <f ca="1">IFERROR(AVERAGEIFS(INDIRECT("Tabela1["&amp;$D35&amp;"]"),Tabela1[Turno],$F35,Tabela1[Data],AM$3),"")</f>
        <v/>
      </c>
      <c r="AN35" s="12" t="str">
        <f ca="1">IFERROR(AVERAGEIFS(INDIRECT("Tabela1["&amp;$D35&amp;"]"),Tabela1[Turno],$F35,Tabela1[Data],AN$3),"")</f>
        <v/>
      </c>
      <c r="AO35" s="12" t="str">
        <f ca="1">IFERROR(AVERAGEIFS(INDIRECT("Tabela1["&amp;$D35&amp;"]"),Tabela1[Turno],$F35,Tabela1[Data],AO$3),"")</f>
        <v/>
      </c>
      <c r="AP35" s="12" t="str">
        <f ca="1">IFERROR(AVERAGEIFS(INDIRECT("Tabela1["&amp;$D35&amp;"]"),Tabela1[Turno],$F35,Tabela1[Data],AP$3),"")</f>
        <v/>
      </c>
      <c r="AQ35" s="12" t="str">
        <f ca="1">IFERROR(AVERAGEIFS(INDIRECT("Tabela1["&amp;$D35&amp;"]"),Tabela1[Turno],$F35,Tabela1[Data],AQ$3),"")</f>
        <v/>
      </c>
      <c r="AR35" s="12" t="str">
        <f ca="1">IFERROR(AVERAGEIFS(INDIRECT("Tabela1["&amp;$D35&amp;"]"),Tabela1[Turno],$F35,Tabela1[Data],AR$3),"")</f>
        <v/>
      </c>
    </row>
    <row r="36" spans="1:44" ht="15" thickBot="1" x14ac:dyDescent="0.35">
      <c r="A36" s="25" t="s">
        <v>121</v>
      </c>
      <c r="B36" s="25" t="str">
        <f t="shared" si="1"/>
        <v>Unidade</v>
      </c>
      <c r="C36" s="25" t="s">
        <v>162</v>
      </c>
      <c r="D36" s="4" t="str">
        <f t="shared" si="2"/>
        <v>Corte Sassami Cone</v>
      </c>
      <c r="E36" s="37"/>
      <c r="F36" s="24" t="s">
        <v>142</v>
      </c>
      <c r="G36" s="9" t="str">
        <f ca="1">IFERROR(AVERAGEIFS(INDIRECT("Tabela1["&amp;$D36&amp;"]"),Tabela1[Mês],G$3),"")</f>
        <v/>
      </c>
      <c r="H36" s="9" t="str">
        <f ca="1">IFERROR(AVERAGEIFS(INDIRECT("Tabela1["&amp;$D36&amp;"]"),Tabela1[Mês],H$3),"")</f>
        <v/>
      </c>
      <c r="I36" s="9" t="str">
        <f ca="1">IFERROR(AVERAGEIFS(INDIRECT("Tabela1["&amp;$D36&amp;"]"),Tabela1[Mês],I$3),"")</f>
        <v/>
      </c>
      <c r="J36" s="9" t="str">
        <f ca="1">IFERROR(AVERAGEIFS(INDIRECT("Tabela1["&amp;$D36&amp;"]"),Tabela1[Mês],J$3),"")</f>
        <v/>
      </c>
      <c r="K36" s="9" t="str">
        <f ca="1">IFERROR(AVERAGEIFS(INDIRECT("Tabela1["&amp;$D36&amp;"]"),Tabela1[Mês],K$3),"")</f>
        <v/>
      </c>
      <c r="L36" s="9" t="str">
        <f ca="1">IFERROR(AVERAGEIFS(INDIRECT("Tabela1["&amp;$D36&amp;"]"),Tabela1[Mês],L$3),"")</f>
        <v/>
      </c>
      <c r="M36" s="9" t="str">
        <f ca="1">IFERROR(AVERAGEIFS(INDIRECT("Tabela1["&amp;$D36&amp;"]"),Tabela1[Mês],M$3),"")</f>
        <v/>
      </c>
      <c r="N36" s="9">
        <f ca="1">IFERROR(AVERAGEIFS(INDIRECT("Tabela1["&amp;$D36&amp;"]"),Tabela1[Mês],N$3),"")</f>
        <v>6.9868421052631575</v>
      </c>
      <c r="O36" s="9">
        <f ca="1">IFERROR(AVERAGEIFS(INDIRECT("Tabela1["&amp;$D36&amp;"]"),Tabela1[Mês],O$3),"")</f>
        <v>7.1578947368421053</v>
      </c>
      <c r="P36" s="9">
        <f ca="1">IFERROR(AVERAGEIFS(INDIRECT("Tabela1["&amp;$D36&amp;"]"),Tabela1[Mês],P$3),"")</f>
        <v>7</v>
      </c>
      <c r="Q36" s="9" t="str">
        <f ca="1">IFERROR(AVERAGEIFS(INDIRECT("Tabela1["&amp;$D36&amp;"]"),Tabela1[Mês],Q$3),"")</f>
        <v/>
      </c>
      <c r="R36" s="14" t="str">
        <f ca="1">IFERROR(AVERAGEIFS(INDIRECT("Tabela1["&amp;$D36&amp;"]"),Tabela1[Mês],R$3),"")</f>
        <v/>
      </c>
      <c r="S36" s="40"/>
      <c r="U36" s="9">
        <f ca="1">IFERROR(AVERAGEIFS(INDIRECT("Tabela1["&amp;$D36&amp;"]"),Tabela1[Data],U$3),"")</f>
        <v>7</v>
      </c>
      <c r="V36" s="9">
        <f ca="1">IFERROR(AVERAGEIFS(INDIRECT("Tabela1["&amp;$D36&amp;"]"),Tabela1[Data],V$3),"")</f>
        <v>7</v>
      </c>
      <c r="W36" s="9">
        <f ca="1">IFERROR(AVERAGEIFS(INDIRECT("Tabela1["&amp;$D36&amp;"]"),Tabela1[Data],W$3),"")</f>
        <v>7</v>
      </c>
      <c r="X36" s="9">
        <f ca="1">IFERROR(AVERAGEIFS(INDIRECT("Tabela1["&amp;$D36&amp;"]"),Tabela1[Data],X$3),"")</f>
        <v>7</v>
      </c>
      <c r="Y36" s="9">
        <f ca="1">IFERROR(AVERAGEIFS(INDIRECT("Tabela1["&amp;$D36&amp;"]"),Tabela1[Data],Y$3),"")</f>
        <v>7</v>
      </c>
      <c r="Z36" s="9">
        <f ca="1">IFERROR(AVERAGEIFS(INDIRECT("Tabela1["&amp;$D36&amp;"]"),Tabela1[Data],Z$3),"")</f>
        <v>7</v>
      </c>
      <c r="AA36" s="9">
        <f ca="1">IFERROR(AVERAGEIFS(INDIRECT("Tabela1["&amp;$D36&amp;"]"),Tabela1[Data],AA$3),"")</f>
        <v>7</v>
      </c>
      <c r="AB36" s="9" t="str">
        <f ca="1">IFERROR(AVERAGEIFS(INDIRECT("Tabela1["&amp;$D36&amp;"]"),Tabela1[Data],AB$3),"")</f>
        <v/>
      </c>
      <c r="AC36" s="9" t="str">
        <f ca="1">IFERROR(AVERAGEIFS(INDIRECT("Tabela1["&amp;$D36&amp;"]"),Tabela1[Data],AC$3),"")</f>
        <v/>
      </c>
      <c r="AD36" s="9" t="str">
        <f ca="1">IFERROR(AVERAGEIFS(INDIRECT("Tabela1["&amp;$D36&amp;"]"),Tabela1[Data],AD$3),"")</f>
        <v/>
      </c>
      <c r="AE36" s="9" t="str">
        <f ca="1">IFERROR(AVERAGEIFS(INDIRECT("Tabela1["&amp;$D36&amp;"]"),Tabela1[Data],AE$3),"")</f>
        <v/>
      </c>
      <c r="AF36" s="9" t="str">
        <f ca="1">IFERROR(AVERAGEIFS(INDIRECT("Tabela1["&amp;$D36&amp;"]"),Tabela1[Data],AF$3),"")</f>
        <v/>
      </c>
      <c r="AG36" s="9" t="str">
        <f ca="1">IFERROR(AVERAGEIFS(INDIRECT("Tabela1["&amp;$D36&amp;"]"),Tabela1[Data],AG$3),"")</f>
        <v/>
      </c>
      <c r="AH36" s="9" t="str">
        <f ca="1">IFERROR(AVERAGEIFS(INDIRECT("Tabela1["&amp;$D36&amp;"]"),Tabela1[Data],AH$3),"")</f>
        <v/>
      </c>
      <c r="AI36" s="9" t="str">
        <f ca="1">IFERROR(AVERAGEIFS(INDIRECT("Tabela1["&amp;$D36&amp;"]"),Tabela1[Data],AI$3),"")</f>
        <v/>
      </c>
      <c r="AJ36" s="9" t="str">
        <f ca="1">IFERROR(AVERAGEIFS(INDIRECT("Tabela1["&amp;$D36&amp;"]"),Tabela1[Data],AJ$3),"")</f>
        <v/>
      </c>
      <c r="AK36" s="9" t="str">
        <f ca="1">IFERROR(AVERAGEIFS(INDIRECT("Tabela1["&amp;$D36&amp;"]"),Tabela1[Data],AK$3),"")</f>
        <v/>
      </c>
      <c r="AL36" s="9" t="str">
        <f ca="1">IFERROR(AVERAGEIFS(INDIRECT("Tabela1["&amp;$D36&amp;"]"),Tabela1[Data],AL$3),"")</f>
        <v/>
      </c>
      <c r="AM36" s="9" t="str">
        <f ca="1">IFERROR(AVERAGEIFS(INDIRECT("Tabela1["&amp;$D36&amp;"]"),Tabela1[Data],AM$3),"")</f>
        <v/>
      </c>
      <c r="AN36" s="9" t="str">
        <f ca="1">IFERROR(AVERAGEIFS(INDIRECT("Tabela1["&amp;$D36&amp;"]"),Tabela1[Data],AN$3),"")</f>
        <v/>
      </c>
      <c r="AO36" s="9" t="str">
        <f ca="1">IFERROR(AVERAGEIFS(INDIRECT("Tabela1["&amp;$D36&amp;"]"),Tabela1[Data],AO$3),"")</f>
        <v/>
      </c>
      <c r="AP36" s="9" t="str">
        <f ca="1">IFERROR(AVERAGEIFS(INDIRECT("Tabela1["&amp;$D36&amp;"]"),Tabela1[Data],AP$3),"")</f>
        <v/>
      </c>
      <c r="AQ36" s="9" t="str">
        <f ca="1">IFERROR(AVERAGEIFS(INDIRECT("Tabela1["&amp;$D36&amp;"]"),Tabela1[Data],AQ$3),"")</f>
        <v/>
      </c>
      <c r="AR36" s="9" t="str">
        <f ca="1">IFERROR(AVERAGEIFS(INDIRECT("Tabela1["&amp;$D36&amp;"]"),Tabela1[Data],AR$3),"")</f>
        <v/>
      </c>
    </row>
    <row r="37" spans="1:44" ht="15" thickTop="1" x14ac:dyDescent="0.3">
      <c r="A37" s="25" t="s">
        <v>121</v>
      </c>
      <c r="B37" s="25">
        <f t="shared" si="1"/>
        <v>1</v>
      </c>
      <c r="C37" s="25" t="s">
        <v>163</v>
      </c>
      <c r="D37" s="4" t="str">
        <f t="shared" si="2"/>
        <v>Corte Cartilagem Cone</v>
      </c>
      <c r="E37" s="35" t="str">
        <f>Coleta!U1</f>
        <v>Corte Cartilagem Cone</v>
      </c>
      <c r="F37" s="22">
        <v>1</v>
      </c>
      <c r="G37" s="26" t="str">
        <f ca="1">IFERROR(AVERAGEIFS(INDIRECT("Tabela1["&amp;$D37&amp;"]"),Tabela1[Turno],$F37,Tabela1[Mês],G$3),"")</f>
        <v/>
      </c>
      <c r="H37" s="26" t="str">
        <f ca="1">IFERROR(AVERAGEIFS(INDIRECT("Tabela1["&amp;$D37&amp;"]"),Tabela1[Turno],$F37,Tabela1[Mês],H$3),"")</f>
        <v/>
      </c>
      <c r="I37" s="26" t="str">
        <f ca="1">IFERROR(AVERAGEIFS(INDIRECT("Tabela1["&amp;$D37&amp;"]"),Tabela1[Turno],$F37,Tabela1[Mês],I$3),"")</f>
        <v/>
      </c>
      <c r="J37" s="26" t="str">
        <f ca="1">IFERROR(AVERAGEIFS(INDIRECT("Tabela1["&amp;$D37&amp;"]"),Tabela1[Turno],$F37,Tabela1[Mês],J$3),"")</f>
        <v/>
      </c>
      <c r="K37" s="26" t="str">
        <f ca="1">IFERROR(AVERAGEIFS(INDIRECT("Tabela1["&amp;$D37&amp;"]"),Tabela1[Turno],$F37,Tabela1[Mês],K$3),"")</f>
        <v/>
      </c>
      <c r="L37" s="26" t="str">
        <f ca="1">IFERROR(AVERAGEIFS(INDIRECT("Tabela1["&amp;$D37&amp;"]"),Tabela1[Turno],$F37,Tabela1[Mês],L$3),"")</f>
        <v/>
      </c>
      <c r="M37" s="26" t="str">
        <f ca="1">IFERROR(AVERAGEIFS(INDIRECT("Tabela1["&amp;$D37&amp;"]"),Tabela1[Turno],$F37,Tabela1[Mês],M$3),"")</f>
        <v/>
      </c>
      <c r="N37" s="26">
        <f ca="1">IFERROR(AVERAGEIFS(INDIRECT("Tabela1["&amp;$D37&amp;"]"),Tabela1[Turno],$F37,Tabela1[Mês],N$3),"")</f>
        <v>6.4</v>
      </c>
      <c r="O37" s="26">
        <f ca="1">IFERROR(AVERAGEIFS(INDIRECT("Tabela1["&amp;$D37&amp;"]"),Tabela1[Turno],$F37,Tabela1[Mês],O$3),"")</f>
        <v>7</v>
      </c>
      <c r="P37" s="26" t="str">
        <f ca="1">IFERROR(AVERAGEIFS(INDIRECT("Tabela1["&amp;$D37&amp;"]"),Tabela1[Turno],$F37,Tabela1[Mês],P$3),"")</f>
        <v/>
      </c>
      <c r="Q37" s="26" t="str">
        <f ca="1">IFERROR(AVERAGEIFS(INDIRECT("Tabela1["&amp;$D37&amp;"]"),Tabela1[Turno],$F37,Tabela1[Mês],Q$3),"")</f>
        <v/>
      </c>
      <c r="R37" s="27" t="str">
        <f ca="1">IFERROR(AVERAGEIFS(INDIRECT("Tabela1["&amp;$D37&amp;"]"),Tabela1[Turno],$F37,Tabela1[Mês],R$3),"")</f>
        <v/>
      </c>
      <c r="S37" s="38">
        <v>10</v>
      </c>
      <c r="U37" s="11" t="str">
        <f ca="1">IFERROR(AVERAGEIFS(INDIRECT("Tabela1["&amp;$D37&amp;"]"),Tabela1[Turno],$F37,Tabela1[Data],U$3),"")</f>
        <v/>
      </c>
      <c r="V37" s="11" t="str">
        <f ca="1">IFERROR(AVERAGEIFS(INDIRECT("Tabela1["&amp;$D37&amp;"]"),Tabela1[Turno],$F37,Tabela1[Data],V$3),"")</f>
        <v/>
      </c>
      <c r="W37" s="26" t="str">
        <f ca="1">IFERROR(AVERAGEIFS(INDIRECT("Tabela1["&amp;$D37&amp;"]"),Tabela1[Turno],$F37,Tabela1[Data],W$3),"")</f>
        <v/>
      </c>
      <c r="X37" s="26" t="str">
        <f ca="1">IFERROR(AVERAGEIFS(INDIRECT("Tabela1["&amp;$D37&amp;"]"),Tabela1[Turno],$F37,Tabela1[Data],X$3),"")</f>
        <v/>
      </c>
      <c r="Y37" s="26" t="str">
        <f ca="1">IFERROR(AVERAGEIFS(INDIRECT("Tabela1["&amp;$D37&amp;"]"),Tabela1[Turno],$F37,Tabela1[Data],Y$3),"")</f>
        <v/>
      </c>
      <c r="Z37" s="26" t="str">
        <f ca="1">IFERROR(AVERAGEIFS(INDIRECT("Tabela1["&amp;$D37&amp;"]"),Tabela1[Turno],$F37,Tabela1[Data],Z$3),"")</f>
        <v/>
      </c>
      <c r="AA37" s="26" t="str">
        <f ca="1">IFERROR(AVERAGEIFS(INDIRECT("Tabela1["&amp;$D37&amp;"]"),Tabela1[Turno],$F37,Tabela1[Data],AA$3),"")</f>
        <v/>
      </c>
      <c r="AB37" s="26" t="str">
        <f ca="1">IFERROR(AVERAGEIFS(INDIRECT("Tabela1["&amp;$D37&amp;"]"),Tabela1[Turno],$F37,Tabela1[Data],AB$3),"")</f>
        <v/>
      </c>
      <c r="AC37" s="26" t="str">
        <f ca="1">IFERROR(AVERAGEIFS(INDIRECT("Tabela1["&amp;$D37&amp;"]"),Tabela1[Turno],$F37,Tabela1[Data],AC$3),"")</f>
        <v/>
      </c>
      <c r="AD37" s="26" t="str">
        <f ca="1">IFERROR(AVERAGEIFS(INDIRECT("Tabela1["&amp;$D37&amp;"]"),Tabela1[Turno],$F37,Tabela1[Data],AD$3),"")</f>
        <v/>
      </c>
      <c r="AE37" s="26" t="str">
        <f ca="1">IFERROR(AVERAGEIFS(INDIRECT("Tabela1["&amp;$D37&amp;"]"),Tabela1[Turno],$F37,Tabela1[Data],AE$3),"")</f>
        <v/>
      </c>
      <c r="AF37" s="26" t="str">
        <f ca="1">IFERROR(AVERAGEIFS(INDIRECT("Tabela1["&amp;$D37&amp;"]"),Tabela1[Turno],$F37,Tabela1[Data],AF$3),"")</f>
        <v/>
      </c>
      <c r="AG37" s="26" t="str">
        <f ca="1">IFERROR(AVERAGEIFS(INDIRECT("Tabela1["&amp;$D37&amp;"]"),Tabela1[Turno],$F37,Tabela1[Data],AG$3),"")</f>
        <v/>
      </c>
      <c r="AH37" s="26" t="str">
        <f ca="1">IFERROR(AVERAGEIFS(INDIRECT("Tabela1["&amp;$D37&amp;"]"),Tabela1[Turno],$F37,Tabela1[Data],AH$3),"")</f>
        <v/>
      </c>
      <c r="AI37" s="26" t="str">
        <f ca="1">IFERROR(AVERAGEIFS(INDIRECT("Tabela1["&amp;$D37&amp;"]"),Tabela1[Turno],$F37,Tabela1[Data],AI$3),"")</f>
        <v/>
      </c>
      <c r="AJ37" s="26" t="str">
        <f ca="1">IFERROR(AVERAGEIFS(INDIRECT("Tabela1["&amp;$D37&amp;"]"),Tabela1[Turno],$F37,Tabela1[Data],AJ$3),"")</f>
        <v/>
      </c>
      <c r="AK37" s="26" t="str">
        <f ca="1">IFERROR(AVERAGEIFS(INDIRECT("Tabela1["&amp;$D37&amp;"]"),Tabela1[Turno],$F37,Tabela1[Data],AK$3),"")</f>
        <v/>
      </c>
      <c r="AL37" s="26" t="str">
        <f ca="1">IFERROR(AVERAGEIFS(INDIRECT("Tabela1["&amp;$D37&amp;"]"),Tabela1[Turno],$F37,Tabela1[Data],AL$3),"")</f>
        <v/>
      </c>
      <c r="AM37" s="26" t="str">
        <f ca="1">IFERROR(AVERAGEIFS(INDIRECT("Tabela1["&amp;$D37&amp;"]"),Tabela1[Turno],$F37,Tabela1[Data],AM$3),"")</f>
        <v/>
      </c>
      <c r="AN37" s="26" t="str">
        <f ca="1">IFERROR(AVERAGEIFS(INDIRECT("Tabela1["&amp;$D37&amp;"]"),Tabela1[Turno],$F37,Tabela1[Data],AN$3),"")</f>
        <v/>
      </c>
      <c r="AO37" s="26" t="str">
        <f ca="1">IFERROR(AVERAGEIFS(INDIRECT("Tabela1["&amp;$D37&amp;"]"),Tabela1[Turno],$F37,Tabela1[Data],AO$3),"")</f>
        <v/>
      </c>
      <c r="AP37" s="26" t="str">
        <f ca="1">IFERROR(AVERAGEIFS(INDIRECT("Tabela1["&amp;$D37&amp;"]"),Tabela1[Turno],$F37,Tabela1[Data],AP$3),"")</f>
        <v/>
      </c>
      <c r="AQ37" s="26" t="str">
        <f ca="1">IFERROR(AVERAGEIFS(INDIRECT("Tabela1["&amp;$D37&amp;"]"),Tabela1[Turno],$F37,Tabela1[Data],AQ$3),"")</f>
        <v/>
      </c>
      <c r="AR37" s="26" t="str">
        <f ca="1">IFERROR(AVERAGEIFS(INDIRECT("Tabela1["&amp;$D37&amp;"]"),Tabela1[Turno],$F37,Tabela1[Data],AR$3),"")</f>
        <v/>
      </c>
    </row>
    <row r="38" spans="1:44" x14ac:dyDescent="0.3">
      <c r="A38" s="25" t="s">
        <v>121</v>
      </c>
      <c r="B38" s="25">
        <f t="shared" si="1"/>
        <v>2</v>
      </c>
      <c r="C38" s="25" t="s">
        <v>163</v>
      </c>
      <c r="D38" s="4" t="str">
        <f t="shared" si="2"/>
        <v>Corte Cartilagem Cone</v>
      </c>
      <c r="E38" s="36"/>
      <c r="F38" s="23">
        <v>2</v>
      </c>
      <c r="G38" s="12" t="str">
        <f ca="1">IFERROR(AVERAGEIFS(INDIRECT("Tabela1["&amp;$D38&amp;"]"),Tabela1[Turno],$F38,Tabela1[Mês],G$3),"")</f>
        <v/>
      </c>
      <c r="H38" s="12" t="str">
        <f ca="1">IFERROR(AVERAGEIFS(INDIRECT("Tabela1["&amp;$D38&amp;"]"),Tabela1[Turno],$F38,Tabela1[Mês],H$3),"")</f>
        <v/>
      </c>
      <c r="I38" s="12" t="str">
        <f ca="1">IFERROR(AVERAGEIFS(INDIRECT("Tabela1["&amp;$D38&amp;"]"),Tabela1[Turno],$F38,Tabela1[Mês],I$3),"")</f>
        <v/>
      </c>
      <c r="J38" s="12" t="str">
        <f ca="1">IFERROR(AVERAGEIFS(INDIRECT("Tabela1["&amp;$D38&amp;"]"),Tabela1[Turno],$F38,Tabela1[Mês],J$3),"")</f>
        <v/>
      </c>
      <c r="K38" s="12" t="str">
        <f ca="1">IFERROR(AVERAGEIFS(INDIRECT("Tabela1["&amp;$D38&amp;"]"),Tabela1[Turno],$F38,Tabela1[Mês],K$3),"")</f>
        <v/>
      </c>
      <c r="L38" s="12" t="str">
        <f ca="1">IFERROR(AVERAGEIFS(INDIRECT("Tabela1["&amp;$D38&amp;"]"),Tabela1[Turno],$F38,Tabela1[Mês],L$3),"")</f>
        <v/>
      </c>
      <c r="M38" s="12" t="str">
        <f ca="1">IFERROR(AVERAGEIFS(INDIRECT("Tabela1["&amp;$D38&amp;"]"),Tabela1[Turno],$F38,Tabela1[Mês],M$3),"")</f>
        <v/>
      </c>
      <c r="N38" s="12">
        <f ca="1">IFERROR(AVERAGEIFS(INDIRECT("Tabela1["&amp;$D38&amp;"]"),Tabela1[Turno],$F38,Tabela1[Mês],N$3),"")</f>
        <v>6.2</v>
      </c>
      <c r="O38" s="12">
        <f ca="1">IFERROR(AVERAGEIFS(INDIRECT("Tabela1["&amp;$D38&amp;"]"),Tabela1[Turno],$F38,Tabela1[Mês],O$3),"")</f>
        <v>6.3636363636363633</v>
      </c>
      <c r="P38" s="12">
        <f ca="1">IFERROR(AVERAGEIFS(INDIRECT("Tabela1["&amp;$D38&amp;"]"),Tabela1[Turno],$F38,Tabela1[Mês],P$3),"")</f>
        <v>6.5652173913043477</v>
      </c>
      <c r="Q38" s="12" t="str">
        <f ca="1">IFERROR(AVERAGEIFS(INDIRECT("Tabela1["&amp;$D38&amp;"]"),Tabela1[Turno],$F38,Tabela1[Mês],Q$3),"")</f>
        <v/>
      </c>
      <c r="R38" s="13" t="str">
        <f ca="1">IFERROR(AVERAGEIFS(INDIRECT("Tabela1["&amp;$D38&amp;"]"),Tabela1[Turno],$F38,Tabela1[Mês],R$3),"")</f>
        <v/>
      </c>
      <c r="S38" s="39"/>
      <c r="U38" s="12">
        <f ca="1">IFERROR(AVERAGEIFS(INDIRECT("Tabela1["&amp;$D38&amp;"]"),Tabela1[Turno],$F38,Tabela1[Data],U$3),"")</f>
        <v>6.5</v>
      </c>
      <c r="V38" s="12">
        <f ca="1">IFERROR(AVERAGEIFS(INDIRECT("Tabela1["&amp;$D38&amp;"]"),Tabela1[Turno],$F38,Tabela1[Data],V$3),"")</f>
        <v>5.666666666666667</v>
      </c>
      <c r="W38" s="12">
        <f ca="1">IFERROR(AVERAGEIFS(INDIRECT("Tabela1["&amp;$D38&amp;"]"),Tabela1[Turno],$F38,Tabela1[Data],W$3),"")</f>
        <v>6.333333333333333</v>
      </c>
      <c r="X38" s="12">
        <f ca="1">IFERROR(AVERAGEIFS(INDIRECT("Tabela1["&amp;$D38&amp;"]"),Tabela1[Turno],$F38,Tabela1[Data],X$3),"")</f>
        <v>7</v>
      </c>
      <c r="Y38" s="12">
        <f ca="1">IFERROR(AVERAGEIFS(INDIRECT("Tabela1["&amp;$D38&amp;"]"),Tabela1[Turno],$F38,Tabela1[Data],Y$3),"")</f>
        <v>6.5</v>
      </c>
      <c r="Z38" s="12">
        <f ca="1">IFERROR(AVERAGEIFS(INDIRECT("Tabela1["&amp;$D38&amp;"]"),Tabela1[Turno],$F38,Tabela1[Data],Z$3),"")</f>
        <v>7</v>
      </c>
      <c r="AA38" s="12">
        <f ca="1">IFERROR(AVERAGEIFS(INDIRECT("Tabela1["&amp;$D38&amp;"]"),Tabela1[Turno],$F38,Tabela1[Data],AA$3),"")</f>
        <v>7</v>
      </c>
      <c r="AB38" s="12" t="str">
        <f ca="1">IFERROR(AVERAGEIFS(INDIRECT("Tabela1["&amp;$D38&amp;"]"),Tabela1[Turno],$F38,Tabela1[Data],AB$3),"")</f>
        <v/>
      </c>
      <c r="AC38" s="12" t="str">
        <f ca="1">IFERROR(AVERAGEIFS(INDIRECT("Tabela1["&amp;$D38&amp;"]"),Tabela1[Turno],$F38,Tabela1[Data],AC$3),"")</f>
        <v/>
      </c>
      <c r="AD38" s="12" t="str">
        <f ca="1">IFERROR(AVERAGEIFS(INDIRECT("Tabela1["&amp;$D38&amp;"]"),Tabela1[Turno],$F38,Tabela1[Data],AD$3),"")</f>
        <v/>
      </c>
      <c r="AE38" s="12" t="str">
        <f ca="1">IFERROR(AVERAGEIFS(INDIRECT("Tabela1["&amp;$D38&amp;"]"),Tabela1[Turno],$F38,Tabela1[Data],AE$3),"")</f>
        <v/>
      </c>
      <c r="AF38" s="12" t="str">
        <f ca="1">IFERROR(AVERAGEIFS(INDIRECT("Tabela1["&amp;$D38&amp;"]"),Tabela1[Turno],$F38,Tabela1[Data],AF$3),"")</f>
        <v/>
      </c>
      <c r="AG38" s="12" t="str">
        <f ca="1">IFERROR(AVERAGEIFS(INDIRECT("Tabela1["&amp;$D38&amp;"]"),Tabela1[Turno],$F38,Tabela1[Data],AG$3),"")</f>
        <v/>
      </c>
      <c r="AH38" s="12" t="str">
        <f ca="1">IFERROR(AVERAGEIFS(INDIRECT("Tabela1["&amp;$D38&amp;"]"),Tabela1[Turno],$F38,Tabela1[Data],AH$3),"")</f>
        <v/>
      </c>
      <c r="AI38" s="12" t="str">
        <f ca="1">IFERROR(AVERAGEIFS(INDIRECT("Tabela1["&amp;$D38&amp;"]"),Tabela1[Turno],$F38,Tabela1[Data],AI$3),"")</f>
        <v/>
      </c>
      <c r="AJ38" s="12" t="str">
        <f ca="1">IFERROR(AVERAGEIFS(INDIRECT("Tabela1["&amp;$D38&amp;"]"),Tabela1[Turno],$F38,Tabela1[Data],AJ$3),"")</f>
        <v/>
      </c>
      <c r="AK38" s="12" t="str">
        <f ca="1">IFERROR(AVERAGEIFS(INDIRECT("Tabela1["&amp;$D38&amp;"]"),Tabela1[Turno],$F38,Tabela1[Data],AK$3),"")</f>
        <v/>
      </c>
      <c r="AL38" s="12" t="str">
        <f ca="1">IFERROR(AVERAGEIFS(INDIRECT("Tabela1["&amp;$D38&amp;"]"),Tabela1[Turno],$F38,Tabela1[Data],AL$3),"")</f>
        <v/>
      </c>
      <c r="AM38" s="12" t="str">
        <f ca="1">IFERROR(AVERAGEIFS(INDIRECT("Tabela1["&amp;$D38&amp;"]"),Tabela1[Turno],$F38,Tabela1[Data],AM$3),"")</f>
        <v/>
      </c>
      <c r="AN38" s="12" t="str">
        <f ca="1">IFERROR(AVERAGEIFS(INDIRECT("Tabela1["&amp;$D38&amp;"]"),Tabela1[Turno],$F38,Tabela1[Data],AN$3),"")</f>
        <v/>
      </c>
      <c r="AO38" s="12" t="str">
        <f ca="1">IFERROR(AVERAGEIFS(INDIRECT("Tabela1["&amp;$D38&amp;"]"),Tabela1[Turno],$F38,Tabela1[Data],AO$3),"")</f>
        <v/>
      </c>
      <c r="AP38" s="12" t="str">
        <f ca="1">IFERROR(AVERAGEIFS(INDIRECT("Tabela1["&amp;$D38&amp;"]"),Tabela1[Turno],$F38,Tabela1[Data],AP$3),"")</f>
        <v/>
      </c>
      <c r="AQ38" s="12" t="str">
        <f ca="1">IFERROR(AVERAGEIFS(INDIRECT("Tabela1["&amp;$D38&amp;"]"),Tabela1[Turno],$F38,Tabela1[Data],AQ$3),"")</f>
        <v/>
      </c>
      <c r="AR38" s="12" t="str">
        <f ca="1">IFERROR(AVERAGEIFS(INDIRECT("Tabela1["&amp;$D38&amp;"]"),Tabela1[Turno],$F38,Tabela1[Data],AR$3),"")</f>
        <v/>
      </c>
    </row>
    <row r="39" spans="1:44" ht="15" thickBot="1" x14ac:dyDescent="0.35">
      <c r="A39" s="25" t="s">
        <v>121</v>
      </c>
      <c r="B39" s="25" t="str">
        <f t="shared" si="1"/>
        <v>Unidade</v>
      </c>
      <c r="C39" s="25" t="s">
        <v>163</v>
      </c>
      <c r="D39" s="4" t="str">
        <f t="shared" si="2"/>
        <v>Corte Cartilagem Cone</v>
      </c>
      <c r="E39" s="37"/>
      <c r="F39" s="24" t="s">
        <v>142</v>
      </c>
      <c r="G39" s="9" t="str">
        <f ca="1">IFERROR(AVERAGEIFS(INDIRECT("Tabela1["&amp;$D39&amp;"]"),Tabela1[Mês],G$3),"")</f>
        <v/>
      </c>
      <c r="H39" s="9" t="str">
        <f ca="1">IFERROR(AVERAGEIFS(INDIRECT("Tabela1["&amp;$D39&amp;"]"),Tabela1[Mês],H$3),"")</f>
        <v/>
      </c>
      <c r="I39" s="9" t="str">
        <f ca="1">IFERROR(AVERAGEIFS(INDIRECT("Tabela1["&amp;$D39&amp;"]"),Tabela1[Mês],I$3),"")</f>
        <v/>
      </c>
      <c r="J39" s="9" t="str">
        <f ca="1">IFERROR(AVERAGEIFS(INDIRECT("Tabela1["&amp;$D39&amp;"]"),Tabela1[Mês],J$3),"")</f>
        <v/>
      </c>
      <c r="K39" s="9" t="str">
        <f ca="1">IFERROR(AVERAGEIFS(INDIRECT("Tabela1["&amp;$D39&amp;"]"),Tabela1[Mês],K$3),"")</f>
        <v/>
      </c>
      <c r="L39" s="9" t="str">
        <f ca="1">IFERROR(AVERAGEIFS(INDIRECT("Tabela1["&amp;$D39&amp;"]"),Tabela1[Mês],L$3),"")</f>
        <v/>
      </c>
      <c r="M39" s="9" t="str">
        <f ca="1">IFERROR(AVERAGEIFS(INDIRECT("Tabela1["&amp;$D39&amp;"]"),Tabela1[Mês],M$3),"")</f>
        <v/>
      </c>
      <c r="N39" s="9">
        <f ca="1">IFERROR(AVERAGEIFS(INDIRECT("Tabela1["&amp;$D39&amp;"]"),Tabela1[Mês],N$3),"")</f>
        <v>6.225352112676056</v>
      </c>
      <c r="O39" s="9">
        <f ca="1">IFERROR(AVERAGEIFS(INDIRECT("Tabela1["&amp;$D39&amp;"]"),Tabela1[Mês],O$3),"")</f>
        <v>6.4431818181818183</v>
      </c>
      <c r="P39" s="9">
        <f ca="1">IFERROR(AVERAGEIFS(INDIRECT("Tabela1["&amp;$D39&amp;"]"),Tabela1[Mês],P$3),"")</f>
        <v>6.5652173913043477</v>
      </c>
      <c r="Q39" s="9" t="str">
        <f ca="1">IFERROR(AVERAGEIFS(INDIRECT("Tabela1["&amp;$D39&amp;"]"),Tabela1[Mês],Q$3),"")</f>
        <v/>
      </c>
      <c r="R39" s="14" t="str">
        <f ca="1">IFERROR(AVERAGEIFS(INDIRECT("Tabela1["&amp;$D39&amp;"]"),Tabela1[Mês],R$3),"")</f>
        <v/>
      </c>
      <c r="S39" s="40"/>
      <c r="U39" s="9">
        <f ca="1">IFERROR(AVERAGEIFS(INDIRECT("Tabela1["&amp;$D39&amp;"]"),Tabela1[Data],U$3),"")</f>
        <v>6.5</v>
      </c>
      <c r="V39" s="9">
        <f ca="1">IFERROR(AVERAGEIFS(INDIRECT("Tabela1["&amp;$D39&amp;"]"),Tabela1[Data],V$3),"")</f>
        <v>5.666666666666667</v>
      </c>
      <c r="W39" s="9">
        <f ca="1">IFERROR(AVERAGEIFS(INDIRECT("Tabela1["&amp;$D39&amp;"]"),Tabela1[Data],W$3),"")</f>
        <v>6.333333333333333</v>
      </c>
      <c r="X39" s="9">
        <f ca="1">IFERROR(AVERAGEIFS(INDIRECT("Tabela1["&amp;$D39&amp;"]"),Tabela1[Data],X$3),"")</f>
        <v>7</v>
      </c>
      <c r="Y39" s="9">
        <f ca="1">IFERROR(AVERAGEIFS(INDIRECT("Tabela1["&amp;$D39&amp;"]"),Tabela1[Data],Y$3),"")</f>
        <v>6.5</v>
      </c>
      <c r="Z39" s="9">
        <f ca="1">IFERROR(AVERAGEIFS(INDIRECT("Tabela1["&amp;$D39&amp;"]"),Tabela1[Data],Z$3),"")</f>
        <v>7</v>
      </c>
      <c r="AA39" s="9">
        <f ca="1">IFERROR(AVERAGEIFS(INDIRECT("Tabela1["&amp;$D39&amp;"]"),Tabela1[Data],AA$3),"")</f>
        <v>7</v>
      </c>
      <c r="AB39" s="9" t="str">
        <f ca="1">IFERROR(AVERAGEIFS(INDIRECT("Tabela1["&amp;$D39&amp;"]"),Tabela1[Data],AB$3),"")</f>
        <v/>
      </c>
      <c r="AC39" s="9" t="str">
        <f ca="1">IFERROR(AVERAGEIFS(INDIRECT("Tabela1["&amp;$D39&amp;"]"),Tabela1[Data],AC$3),"")</f>
        <v/>
      </c>
      <c r="AD39" s="9" t="str">
        <f ca="1">IFERROR(AVERAGEIFS(INDIRECT("Tabela1["&amp;$D39&amp;"]"),Tabela1[Data],AD$3),"")</f>
        <v/>
      </c>
      <c r="AE39" s="9" t="str">
        <f ca="1">IFERROR(AVERAGEIFS(INDIRECT("Tabela1["&amp;$D39&amp;"]"),Tabela1[Data],AE$3),"")</f>
        <v/>
      </c>
      <c r="AF39" s="9" t="str">
        <f ca="1">IFERROR(AVERAGEIFS(INDIRECT("Tabela1["&amp;$D39&amp;"]"),Tabela1[Data],AF$3),"")</f>
        <v/>
      </c>
      <c r="AG39" s="9" t="str">
        <f ca="1">IFERROR(AVERAGEIFS(INDIRECT("Tabela1["&amp;$D39&amp;"]"),Tabela1[Data],AG$3),"")</f>
        <v/>
      </c>
      <c r="AH39" s="9" t="str">
        <f ca="1">IFERROR(AVERAGEIFS(INDIRECT("Tabela1["&amp;$D39&amp;"]"),Tabela1[Data],AH$3),"")</f>
        <v/>
      </c>
      <c r="AI39" s="9" t="str">
        <f ca="1">IFERROR(AVERAGEIFS(INDIRECT("Tabela1["&amp;$D39&amp;"]"),Tabela1[Data],AI$3),"")</f>
        <v/>
      </c>
      <c r="AJ39" s="9" t="str">
        <f ca="1">IFERROR(AVERAGEIFS(INDIRECT("Tabela1["&amp;$D39&amp;"]"),Tabela1[Data],AJ$3),"")</f>
        <v/>
      </c>
      <c r="AK39" s="9" t="str">
        <f ca="1">IFERROR(AVERAGEIFS(INDIRECT("Tabela1["&amp;$D39&amp;"]"),Tabela1[Data],AK$3),"")</f>
        <v/>
      </c>
      <c r="AL39" s="9" t="str">
        <f ca="1">IFERROR(AVERAGEIFS(INDIRECT("Tabela1["&amp;$D39&amp;"]"),Tabela1[Data],AL$3),"")</f>
        <v/>
      </c>
      <c r="AM39" s="9" t="str">
        <f ca="1">IFERROR(AVERAGEIFS(INDIRECT("Tabela1["&amp;$D39&amp;"]"),Tabela1[Data],AM$3),"")</f>
        <v/>
      </c>
      <c r="AN39" s="9" t="str">
        <f ca="1">IFERROR(AVERAGEIFS(INDIRECT("Tabela1["&amp;$D39&amp;"]"),Tabela1[Data],AN$3),"")</f>
        <v/>
      </c>
      <c r="AO39" s="9" t="str">
        <f ca="1">IFERROR(AVERAGEIFS(INDIRECT("Tabela1["&amp;$D39&amp;"]"),Tabela1[Data],AO$3),"")</f>
        <v/>
      </c>
      <c r="AP39" s="9" t="str">
        <f ca="1">IFERROR(AVERAGEIFS(INDIRECT("Tabela1["&amp;$D39&amp;"]"),Tabela1[Data],AP$3),"")</f>
        <v/>
      </c>
      <c r="AQ39" s="9" t="str">
        <f ca="1">IFERROR(AVERAGEIFS(INDIRECT("Tabela1["&amp;$D39&amp;"]"),Tabela1[Data],AQ$3),"")</f>
        <v/>
      </c>
      <c r="AR39" s="9" t="str">
        <f ca="1">IFERROR(AVERAGEIFS(INDIRECT("Tabela1["&amp;$D39&amp;"]"),Tabela1[Data],AR$3),"")</f>
        <v/>
      </c>
    </row>
    <row r="40" spans="1:44" ht="15" thickTop="1" x14ac:dyDescent="0.3">
      <c r="A40" s="25" t="s">
        <v>122</v>
      </c>
      <c r="B40" s="25">
        <f t="shared" si="1"/>
        <v>1</v>
      </c>
      <c r="C40" s="25" t="s">
        <v>122</v>
      </c>
      <c r="D40" s="4" t="str">
        <f t="shared" si="2"/>
        <v>Carne no Osso Perna Direita</v>
      </c>
      <c r="E40" s="35" t="str">
        <f>Coleta!W1</f>
        <v>Carne no Osso Perna Direita</v>
      </c>
      <c r="F40" s="22">
        <v>1</v>
      </c>
      <c r="G40" s="26" t="str">
        <f ca="1">IFERROR(AVERAGEIFS(INDIRECT("Tabela1["&amp;$D40&amp;"]"),Tabela1[Turno],$F40,Tabela1[Mês],G$3),"")</f>
        <v/>
      </c>
      <c r="H40" s="26" t="str">
        <f ca="1">IFERROR(AVERAGEIFS(INDIRECT("Tabela1["&amp;$D40&amp;"]"),Tabela1[Turno],$F40,Tabela1[Mês],H$3),"")</f>
        <v/>
      </c>
      <c r="I40" s="26" t="str">
        <f ca="1">IFERROR(AVERAGEIFS(INDIRECT("Tabela1["&amp;$D40&amp;"]"),Tabela1[Turno],$F40,Tabela1[Mês],I$3),"")</f>
        <v/>
      </c>
      <c r="J40" s="26" t="str">
        <f ca="1">IFERROR(AVERAGEIFS(INDIRECT("Tabela1["&amp;$D40&amp;"]"),Tabela1[Turno],$F40,Tabela1[Mês],J$3),"")</f>
        <v/>
      </c>
      <c r="K40" s="26" t="str">
        <f ca="1">IFERROR(AVERAGEIFS(INDIRECT("Tabela1["&amp;$D40&amp;"]"),Tabela1[Turno],$F40,Tabela1[Mês],K$3),"")</f>
        <v/>
      </c>
      <c r="L40" s="26" t="str">
        <f ca="1">IFERROR(AVERAGEIFS(INDIRECT("Tabela1["&amp;$D40&amp;"]"),Tabela1[Turno],$F40,Tabela1[Mês],L$3),"")</f>
        <v/>
      </c>
      <c r="M40" s="26" t="str">
        <f ca="1">IFERROR(AVERAGEIFS(INDIRECT("Tabela1["&amp;$D40&amp;"]"),Tabela1[Turno],$F40,Tabela1[Mês],M$3),"")</f>
        <v/>
      </c>
      <c r="N40" s="26">
        <f ca="1">IFERROR(AVERAGEIFS(INDIRECT("Tabela1["&amp;$D40&amp;"]"),Tabela1[Turno],$F40,Tabela1[Mês],N$3),"")</f>
        <v>8.8000000000000007</v>
      </c>
      <c r="O40" s="26">
        <f ca="1">IFERROR(AVERAGEIFS(INDIRECT("Tabela1["&amp;$D40&amp;"]"),Tabela1[Turno],$F40,Tabela1[Mês],O$3),"")</f>
        <v>8</v>
      </c>
      <c r="P40" s="26" t="str">
        <f ca="1">IFERROR(AVERAGEIFS(INDIRECT("Tabela1["&amp;$D40&amp;"]"),Tabela1[Turno],$F40,Tabela1[Mês],P$3),"")</f>
        <v/>
      </c>
      <c r="Q40" s="26" t="str">
        <f ca="1">IFERROR(AVERAGEIFS(INDIRECT("Tabela1["&amp;$D40&amp;"]"),Tabela1[Turno],$F40,Tabela1[Mês],Q$3),"")</f>
        <v/>
      </c>
      <c r="R40" s="27" t="str">
        <f ca="1">IFERROR(AVERAGEIFS(INDIRECT("Tabela1["&amp;$D40&amp;"]"),Tabela1[Turno],$F40,Tabela1[Mês],R$3),"")</f>
        <v/>
      </c>
      <c r="S40" s="38">
        <v>10</v>
      </c>
      <c r="U40" s="11" t="str">
        <f ca="1">IFERROR(AVERAGEIFS(INDIRECT("Tabela1["&amp;$D40&amp;"]"),Tabela1[Turno],$F40,Tabela1[Data],U$3),"")</f>
        <v/>
      </c>
      <c r="V40" s="11" t="str">
        <f ca="1">IFERROR(AVERAGEIFS(INDIRECT("Tabela1["&amp;$D40&amp;"]"),Tabela1[Turno],$F40,Tabela1[Data],V$3),"")</f>
        <v/>
      </c>
      <c r="W40" s="26" t="str">
        <f ca="1">IFERROR(AVERAGEIFS(INDIRECT("Tabela1["&amp;$D40&amp;"]"),Tabela1[Turno],$F40,Tabela1[Data],W$3),"")</f>
        <v/>
      </c>
      <c r="X40" s="26" t="str">
        <f ca="1">IFERROR(AVERAGEIFS(INDIRECT("Tabela1["&amp;$D40&amp;"]"),Tabela1[Turno],$F40,Tabela1[Data],X$3),"")</f>
        <v/>
      </c>
      <c r="Y40" s="26" t="str">
        <f ca="1">IFERROR(AVERAGEIFS(INDIRECT("Tabela1["&amp;$D40&amp;"]"),Tabela1[Turno],$F40,Tabela1[Data],Y$3),"")</f>
        <v/>
      </c>
      <c r="Z40" s="26" t="str">
        <f ca="1">IFERROR(AVERAGEIFS(INDIRECT("Tabela1["&amp;$D40&amp;"]"),Tabela1[Turno],$F40,Tabela1[Data],Z$3),"")</f>
        <v/>
      </c>
      <c r="AA40" s="26" t="str">
        <f ca="1">IFERROR(AVERAGEIFS(INDIRECT("Tabela1["&amp;$D40&amp;"]"),Tabela1[Turno],$F40,Tabela1[Data],AA$3),"")</f>
        <v/>
      </c>
      <c r="AB40" s="26" t="str">
        <f ca="1">IFERROR(AVERAGEIFS(INDIRECT("Tabela1["&amp;$D40&amp;"]"),Tabela1[Turno],$F40,Tabela1[Data],AB$3),"")</f>
        <v/>
      </c>
      <c r="AC40" s="26" t="str">
        <f ca="1">IFERROR(AVERAGEIFS(INDIRECT("Tabela1["&amp;$D40&amp;"]"),Tabela1[Turno],$F40,Tabela1[Data],AC$3),"")</f>
        <v/>
      </c>
      <c r="AD40" s="26" t="str">
        <f ca="1">IFERROR(AVERAGEIFS(INDIRECT("Tabela1["&amp;$D40&amp;"]"),Tabela1[Turno],$F40,Tabela1[Data],AD$3),"")</f>
        <v/>
      </c>
      <c r="AE40" s="26" t="str">
        <f ca="1">IFERROR(AVERAGEIFS(INDIRECT("Tabela1["&amp;$D40&amp;"]"),Tabela1[Turno],$F40,Tabela1[Data],AE$3),"")</f>
        <v/>
      </c>
      <c r="AF40" s="26" t="str">
        <f ca="1">IFERROR(AVERAGEIFS(INDIRECT("Tabela1["&amp;$D40&amp;"]"),Tabela1[Turno],$F40,Tabela1[Data],AF$3),"")</f>
        <v/>
      </c>
      <c r="AG40" s="26" t="str">
        <f ca="1">IFERROR(AVERAGEIFS(INDIRECT("Tabela1["&amp;$D40&amp;"]"),Tabela1[Turno],$F40,Tabela1[Data],AG$3),"")</f>
        <v/>
      </c>
      <c r="AH40" s="26" t="str">
        <f ca="1">IFERROR(AVERAGEIFS(INDIRECT("Tabela1["&amp;$D40&amp;"]"),Tabela1[Turno],$F40,Tabela1[Data],AH$3),"")</f>
        <v/>
      </c>
      <c r="AI40" s="26" t="str">
        <f ca="1">IFERROR(AVERAGEIFS(INDIRECT("Tabela1["&amp;$D40&amp;"]"),Tabela1[Turno],$F40,Tabela1[Data],AI$3),"")</f>
        <v/>
      </c>
      <c r="AJ40" s="26" t="str">
        <f ca="1">IFERROR(AVERAGEIFS(INDIRECT("Tabela1["&amp;$D40&amp;"]"),Tabela1[Turno],$F40,Tabela1[Data],AJ$3),"")</f>
        <v/>
      </c>
      <c r="AK40" s="26" t="str">
        <f ca="1">IFERROR(AVERAGEIFS(INDIRECT("Tabela1["&amp;$D40&amp;"]"),Tabela1[Turno],$F40,Tabela1[Data],AK$3),"")</f>
        <v/>
      </c>
      <c r="AL40" s="26" t="str">
        <f ca="1">IFERROR(AVERAGEIFS(INDIRECT("Tabela1["&amp;$D40&amp;"]"),Tabela1[Turno],$F40,Tabela1[Data],AL$3),"")</f>
        <v/>
      </c>
      <c r="AM40" s="26" t="str">
        <f ca="1">IFERROR(AVERAGEIFS(INDIRECT("Tabela1["&amp;$D40&amp;"]"),Tabela1[Turno],$F40,Tabela1[Data],AM$3),"")</f>
        <v/>
      </c>
      <c r="AN40" s="26" t="str">
        <f ca="1">IFERROR(AVERAGEIFS(INDIRECT("Tabela1["&amp;$D40&amp;"]"),Tabela1[Turno],$F40,Tabela1[Data],AN$3),"")</f>
        <v/>
      </c>
      <c r="AO40" s="26" t="str">
        <f ca="1">IFERROR(AVERAGEIFS(INDIRECT("Tabela1["&amp;$D40&amp;"]"),Tabela1[Turno],$F40,Tabela1[Data],AO$3),"")</f>
        <v/>
      </c>
      <c r="AP40" s="26" t="str">
        <f ca="1">IFERROR(AVERAGEIFS(INDIRECT("Tabela1["&amp;$D40&amp;"]"),Tabela1[Turno],$F40,Tabela1[Data],AP$3),"")</f>
        <v/>
      </c>
      <c r="AQ40" s="26" t="str">
        <f ca="1">IFERROR(AVERAGEIFS(INDIRECT("Tabela1["&amp;$D40&amp;"]"),Tabela1[Turno],$F40,Tabela1[Data],AQ$3),"")</f>
        <v/>
      </c>
      <c r="AR40" s="26" t="str">
        <f ca="1">IFERROR(AVERAGEIFS(INDIRECT("Tabela1["&amp;$D40&amp;"]"),Tabela1[Turno],$F40,Tabela1[Data],AR$3),"")</f>
        <v/>
      </c>
    </row>
    <row r="41" spans="1:44" x14ac:dyDescent="0.3">
      <c r="A41" s="25" t="s">
        <v>122</v>
      </c>
      <c r="B41" s="25">
        <f t="shared" si="1"/>
        <v>2</v>
      </c>
      <c r="C41" s="25" t="s">
        <v>122</v>
      </c>
      <c r="D41" s="4" t="str">
        <f t="shared" si="2"/>
        <v>Carne no Osso Perna Direita</v>
      </c>
      <c r="E41" s="36"/>
      <c r="F41" s="23">
        <v>2</v>
      </c>
      <c r="G41" s="12" t="str">
        <f ca="1">IFERROR(AVERAGEIFS(INDIRECT("Tabela1["&amp;$D41&amp;"]"),Tabela1[Turno],$F41,Tabela1[Mês],G$3),"")</f>
        <v/>
      </c>
      <c r="H41" s="12" t="str">
        <f ca="1">IFERROR(AVERAGEIFS(INDIRECT("Tabela1["&amp;$D41&amp;"]"),Tabela1[Turno],$F41,Tabela1[Mês],H$3),"")</f>
        <v/>
      </c>
      <c r="I41" s="12" t="str">
        <f ca="1">IFERROR(AVERAGEIFS(INDIRECT("Tabela1["&amp;$D41&amp;"]"),Tabela1[Turno],$F41,Tabela1[Mês],I$3),"")</f>
        <v/>
      </c>
      <c r="J41" s="12" t="str">
        <f ca="1">IFERROR(AVERAGEIFS(INDIRECT("Tabela1["&amp;$D41&amp;"]"),Tabela1[Turno],$F41,Tabela1[Mês],J$3),"")</f>
        <v/>
      </c>
      <c r="K41" s="12" t="str">
        <f ca="1">IFERROR(AVERAGEIFS(INDIRECT("Tabela1["&amp;$D41&amp;"]"),Tabela1[Turno],$F41,Tabela1[Mês],K$3),"")</f>
        <v/>
      </c>
      <c r="L41" s="12" t="str">
        <f ca="1">IFERROR(AVERAGEIFS(INDIRECT("Tabela1["&amp;$D41&amp;"]"),Tabela1[Turno],$F41,Tabela1[Mês],L$3),"")</f>
        <v/>
      </c>
      <c r="M41" s="12" t="str">
        <f ca="1">IFERROR(AVERAGEIFS(INDIRECT("Tabela1["&amp;$D41&amp;"]"),Tabela1[Turno],$F41,Tabela1[Mês],M$3),"")</f>
        <v/>
      </c>
      <c r="N41" s="12">
        <f ca="1">IFERROR(AVERAGEIFS(INDIRECT("Tabela1["&amp;$D41&amp;"]"),Tabela1[Turno],$F41,Tabela1[Mês],N$3),"")</f>
        <v>8.4696969696969688</v>
      </c>
      <c r="O41" s="12">
        <f ca="1">IFERROR(AVERAGEIFS(INDIRECT("Tabela1["&amp;$D41&amp;"]"),Tabela1[Turno],$F41,Tabela1[Mês],O$3),"")</f>
        <v>8.2539682539682548</v>
      </c>
      <c r="P41" s="12">
        <f ca="1">IFERROR(AVERAGEIFS(INDIRECT("Tabela1["&amp;$D41&amp;"]"),Tabela1[Turno],$F41,Tabela1[Mês],P$3),"")</f>
        <v>8.5789473684210531</v>
      </c>
      <c r="Q41" s="12" t="str">
        <f ca="1">IFERROR(AVERAGEIFS(INDIRECT("Tabela1["&amp;$D41&amp;"]"),Tabela1[Turno],$F41,Tabela1[Mês],Q$3),"")</f>
        <v/>
      </c>
      <c r="R41" s="13" t="str">
        <f ca="1">IFERROR(AVERAGEIFS(INDIRECT("Tabela1["&amp;$D41&amp;"]"),Tabela1[Turno],$F41,Tabela1[Mês],R$3),"")</f>
        <v/>
      </c>
      <c r="S41" s="39"/>
      <c r="U41" s="12">
        <f ca="1">IFERROR(AVERAGEIFS(INDIRECT("Tabela1["&amp;$D41&amp;"]"),Tabela1[Turno],$F41,Tabela1[Data],U$3),"")</f>
        <v>8.5</v>
      </c>
      <c r="V41" s="12">
        <f ca="1">IFERROR(AVERAGEIFS(INDIRECT("Tabela1["&amp;$D41&amp;"]"),Tabela1[Turno],$F41,Tabela1[Data],V$3),"")</f>
        <v>7</v>
      </c>
      <c r="W41" s="12">
        <f ca="1">IFERROR(AVERAGEIFS(INDIRECT("Tabela1["&amp;$D41&amp;"]"),Tabela1[Turno],$F41,Tabela1[Data],W$3),"")</f>
        <v>9</v>
      </c>
      <c r="X41" s="12">
        <f ca="1">IFERROR(AVERAGEIFS(INDIRECT("Tabela1["&amp;$D41&amp;"]"),Tabela1[Turno],$F41,Tabela1[Data],X$3),"")</f>
        <v>9</v>
      </c>
      <c r="Y41" s="12">
        <f ca="1">IFERROR(AVERAGEIFS(INDIRECT("Tabela1["&amp;$D41&amp;"]"),Tabela1[Turno],$F41,Tabela1[Data],Y$3),"")</f>
        <v>8.5</v>
      </c>
      <c r="Z41" s="12">
        <f ca="1">IFERROR(AVERAGEIFS(INDIRECT("Tabela1["&amp;$D41&amp;"]"),Tabela1[Turno],$F41,Tabela1[Data],Z$3),"")</f>
        <v>10</v>
      </c>
      <c r="AA41" s="12">
        <f ca="1">IFERROR(AVERAGEIFS(INDIRECT("Tabela1["&amp;$D41&amp;"]"),Tabela1[Turno],$F41,Tabela1[Data],AA$3),"")</f>
        <v>8</v>
      </c>
      <c r="AB41" s="12" t="str">
        <f ca="1">IFERROR(AVERAGEIFS(INDIRECT("Tabela1["&amp;$D41&amp;"]"),Tabela1[Turno],$F41,Tabela1[Data],AB$3),"")</f>
        <v/>
      </c>
      <c r="AC41" s="12" t="str">
        <f ca="1">IFERROR(AVERAGEIFS(INDIRECT("Tabela1["&amp;$D41&amp;"]"),Tabela1[Turno],$F41,Tabela1[Data],AC$3),"")</f>
        <v/>
      </c>
      <c r="AD41" s="12" t="str">
        <f ca="1">IFERROR(AVERAGEIFS(INDIRECT("Tabela1["&amp;$D41&amp;"]"),Tabela1[Turno],$F41,Tabela1[Data],AD$3),"")</f>
        <v/>
      </c>
      <c r="AE41" s="12" t="str">
        <f ca="1">IFERROR(AVERAGEIFS(INDIRECT("Tabela1["&amp;$D41&amp;"]"),Tabela1[Turno],$F41,Tabela1[Data],AE$3),"")</f>
        <v/>
      </c>
      <c r="AF41" s="12" t="str">
        <f ca="1">IFERROR(AVERAGEIFS(INDIRECT("Tabela1["&amp;$D41&amp;"]"),Tabela1[Turno],$F41,Tabela1[Data],AF$3),"")</f>
        <v/>
      </c>
      <c r="AG41" s="12" t="str">
        <f ca="1">IFERROR(AVERAGEIFS(INDIRECT("Tabela1["&amp;$D41&amp;"]"),Tabela1[Turno],$F41,Tabela1[Data],AG$3),"")</f>
        <v/>
      </c>
      <c r="AH41" s="12" t="str">
        <f ca="1">IFERROR(AVERAGEIFS(INDIRECT("Tabela1["&amp;$D41&amp;"]"),Tabela1[Turno],$F41,Tabela1[Data],AH$3),"")</f>
        <v/>
      </c>
      <c r="AI41" s="12" t="str">
        <f ca="1">IFERROR(AVERAGEIFS(INDIRECT("Tabela1["&amp;$D41&amp;"]"),Tabela1[Turno],$F41,Tabela1[Data],AI$3),"")</f>
        <v/>
      </c>
      <c r="AJ41" s="12" t="str">
        <f ca="1">IFERROR(AVERAGEIFS(INDIRECT("Tabela1["&amp;$D41&amp;"]"),Tabela1[Turno],$F41,Tabela1[Data],AJ$3),"")</f>
        <v/>
      </c>
      <c r="AK41" s="12" t="str">
        <f ca="1">IFERROR(AVERAGEIFS(INDIRECT("Tabela1["&amp;$D41&amp;"]"),Tabela1[Turno],$F41,Tabela1[Data],AK$3),"")</f>
        <v/>
      </c>
      <c r="AL41" s="12" t="str">
        <f ca="1">IFERROR(AVERAGEIFS(INDIRECT("Tabela1["&amp;$D41&amp;"]"),Tabela1[Turno],$F41,Tabela1[Data],AL$3),"")</f>
        <v/>
      </c>
      <c r="AM41" s="12" t="str">
        <f ca="1">IFERROR(AVERAGEIFS(INDIRECT("Tabela1["&amp;$D41&amp;"]"),Tabela1[Turno],$F41,Tabela1[Data],AM$3),"")</f>
        <v/>
      </c>
      <c r="AN41" s="12" t="str">
        <f ca="1">IFERROR(AVERAGEIFS(INDIRECT("Tabela1["&amp;$D41&amp;"]"),Tabela1[Turno],$F41,Tabela1[Data],AN$3),"")</f>
        <v/>
      </c>
      <c r="AO41" s="12" t="str">
        <f ca="1">IFERROR(AVERAGEIFS(INDIRECT("Tabela1["&amp;$D41&amp;"]"),Tabela1[Turno],$F41,Tabela1[Data],AO$3),"")</f>
        <v/>
      </c>
      <c r="AP41" s="12" t="str">
        <f ca="1">IFERROR(AVERAGEIFS(INDIRECT("Tabela1["&amp;$D41&amp;"]"),Tabela1[Turno],$F41,Tabela1[Data],AP$3),"")</f>
        <v/>
      </c>
      <c r="AQ41" s="12" t="str">
        <f ca="1">IFERROR(AVERAGEIFS(INDIRECT("Tabela1["&amp;$D41&amp;"]"),Tabela1[Turno],$F41,Tabela1[Data],AQ$3),"")</f>
        <v/>
      </c>
      <c r="AR41" s="12" t="str">
        <f ca="1">IFERROR(AVERAGEIFS(INDIRECT("Tabela1["&amp;$D41&amp;"]"),Tabela1[Turno],$F41,Tabela1[Data],AR$3),"")</f>
        <v/>
      </c>
    </row>
    <row r="42" spans="1:44" ht="15" thickBot="1" x14ac:dyDescent="0.35">
      <c r="A42" s="25" t="s">
        <v>122</v>
      </c>
      <c r="B42" s="25" t="str">
        <f t="shared" si="1"/>
        <v>Unidade</v>
      </c>
      <c r="C42" s="25" t="s">
        <v>122</v>
      </c>
      <c r="D42" s="4" t="str">
        <f t="shared" si="2"/>
        <v>Carne no Osso Perna Direita</v>
      </c>
      <c r="E42" s="37"/>
      <c r="F42" s="24" t="s">
        <v>142</v>
      </c>
      <c r="G42" s="9" t="str">
        <f ca="1">IFERROR(AVERAGEIFS(INDIRECT("Tabela1["&amp;$D42&amp;"]"),Tabela1[Mês],G$3),"")</f>
        <v/>
      </c>
      <c r="H42" s="9" t="str">
        <f ca="1">IFERROR(AVERAGEIFS(INDIRECT("Tabela1["&amp;$D42&amp;"]"),Tabela1[Mês],H$3),"")</f>
        <v/>
      </c>
      <c r="I42" s="9" t="str">
        <f ca="1">IFERROR(AVERAGEIFS(INDIRECT("Tabela1["&amp;$D42&amp;"]"),Tabela1[Mês],I$3),"")</f>
        <v/>
      </c>
      <c r="J42" s="9" t="str">
        <f ca="1">IFERROR(AVERAGEIFS(INDIRECT("Tabela1["&amp;$D42&amp;"]"),Tabela1[Mês],J$3),"")</f>
        <v/>
      </c>
      <c r="K42" s="9" t="str">
        <f ca="1">IFERROR(AVERAGEIFS(INDIRECT("Tabela1["&amp;$D42&amp;"]"),Tabela1[Mês],K$3),"")</f>
        <v/>
      </c>
      <c r="L42" s="9" t="str">
        <f ca="1">IFERROR(AVERAGEIFS(INDIRECT("Tabela1["&amp;$D42&amp;"]"),Tabela1[Mês],L$3),"")</f>
        <v/>
      </c>
      <c r="M42" s="9" t="str">
        <f ca="1">IFERROR(AVERAGEIFS(INDIRECT("Tabela1["&amp;$D42&amp;"]"),Tabela1[Mês],M$3),"")</f>
        <v/>
      </c>
      <c r="N42" s="9">
        <f ca="1">IFERROR(AVERAGEIFS(INDIRECT("Tabela1["&amp;$D42&amp;"]"),Tabela1[Mês],N$3),"")</f>
        <v>8.4722222222222214</v>
      </c>
      <c r="O42" s="9">
        <f ca="1">IFERROR(AVERAGEIFS(INDIRECT("Tabela1["&amp;$D42&amp;"]"),Tabela1[Mês],O$3),"")</f>
        <v>8.2318840579710137</v>
      </c>
      <c r="P42" s="9">
        <f ca="1">IFERROR(AVERAGEIFS(INDIRECT("Tabela1["&amp;$D42&amp;"]"),Tabela1[Mês],P$3),"")</f>
        <v>8.5789473684210531</v>
      </c>
      <c r="Q42" s="9" t="str">
        <f ca="1">IFERROR(AVERAGEIFS(INDIRECT("Tabela1["&amp;$D42&amp;"]"),Tabela1[Mês],Q$3),"")</f>
        <v/>
      </c>
      <c r="R42" s="14" t="str">
        <f ca="1">IFERROR(AVERAGEIFS(INDIRECT("Tabela1["&amp;$D42&amp;"]"),Tabela1[Mês],R$3),"")</f>
        <v/>
      </c>
      <c r="S42" s="40"/>
      <c r="U42" s="9">
        <f ca="1">IFERROR(AVERAGEIFS(INDIRECT("Tabela1["&amp;$D42&amp;"]"),Tabela1[Data],U$3),"")</f>
        <v>8.5</v>
      </c>
      <c r="V42" s="9">
        <f ca="1">IFERROR(AVERAGEIFS(INDIRECT("Tabela1["&amp;$D42&amp;"]"),Tabela1[Data],V$3),"")</f>
        <v>7</v>
      </c>
      <c r="W42" s="9">
        <f ca="1">IFERROR(AVERAGEIFS(INDIRECT("Tabela1["&amp;$D42&amp;"]"),Tabela1[Data],W$3),"")</f>
        <v>9</v>
      </c>
      <c r="X42" s="9">
        <f ca="1">IFERROR(AVERAGEIFS(INDIRECT("Tabela1["&amp;$D42&amp;"]"),Tabela1[Data],X$3),"")</f>
        <v>9</v>
      </c>
      <c r="Y42" s="9">
        <f ca="1">IFERROR(AVERAGEIFS(INDIRECT("Tabela1["&amp;$D42&amp;"]"),Tabela1[Data],Y$3),"")</f>
        <v>8.5</v>
      </c>
      <c r="Z42" s="9">
        <f ca="1">IFERROR(AVERAGEIFS(INDIRECT("Tabela1["&amp;$D42&amp;"]"),Tabela1[Data],Z$3),"")</f>
        <v>10</v>
      </c>
      <c r="AA42" s="9">
        <f ca="1">IFERROR(AVERAGEIFS(INDIRECT("Tabela1["&amp;$D42&amp;"]"),Tabela1[Data],AA$3),"")</f>
        <v>8</v>
      </c>
      <c r="AB42" s="9" t="str">
        <f ca="1">IFERROR(AVERAGEIFS(INDIRECT("Tabela1["&amp;$D42&amp;"]"),Tabela1[Data],AB$3),"")</f>
        <v/>
      </c>
      <c r="AC42" s="9" t="str">
        <f ca="1">IFERROR(AVERAGEIFS(INDIRECT("Tabela1["&amp;$D42&amp;"]"),Tabela1[Data],AC$3),"")</f>
        <v/>
      </c>
      <c r="AD42" s="9" t="str">
        <f ca="1">IFERROR(AVERAGEIFS(INDIRECT("Tabela1["&amp;$D42&amp;"]"),Tabela1[Data],AD$3),"")</f>
        <v/>
      </c>
      <c r="AE42" s="9" t="str">
        <f ca="1">IFERROR(AVERAGEIFS(INDIRECT("Tabela1["&amp;$D42&amp;"]"),Tabela1[Data],AE$3),"")</f>
        <v/>
      </c>
      <c r="AF42" s="9" t="str">
        <f ca="1">IFERROR(AVERAGEIFS(INDIRECT("Tabela1["&amp;$D42&amp;"]"),Tabela1[Data],AF$3),"")</f>
        <v/>
      </c>
      <c r="AG42" s="9" t="str">
        <f ca="1">IFERROR(AVERAGEIFS(INDIRECT("Tabela1["&amp;$D42&amp;"]"),Tabela1[Data],AG$3),"")</f>
        <v/>
      </c>
      <c r="AH42" s="9" t="str">
        <f ca="1">IFERROR(AVERAGEIFS(INDIRECT("Tabela1["&amp;$D42&amp;"]"),Tabela1[Data],AH$3),"")</f>
        <v/>
      </c>
      <c r="AI42" s="9" t="str">
        <f ca="1">IFERROR(AVERAGEIFS(INDIRECT("Tabela1["&amp;$D42&amp;"]"),Tabela1[Data],AI$3),"")</f>
        <v/>
      </c>
      <c r="AJ42" s="9" t="str">
        <f ca="1">IFERROR(AVERAGEIFS(INDIRECT("Tabela1["&amp;$D42&amp;"]"),Tabela1[Data],AJ$3),"")</f>
        <v/>
      </c>
      <c r="AK42" s="9" t="str">
        <f ca="1">IFERROR(AVERAGEIFS(INDIRECT("Tabela1["&amp;$D42&amp;"]"),Tabela1[Data],AK$3),"")</f>
        <v/>
      </c>
      <c r="AL42" s="9" t="str">
        <f ca="1">IFERROR(AVERAGEIFS(INDIRECT("Tabela1["&amp;$D42&amp;"]"),Tabela1[Data],AL$3),"")</f>
        <v/>
      </c>
      <c r="AM42" s="9" t="str">
        <f ca="1">IFERROR(AVERAGEIFS(INDIRECT("Tabela1["&amp;$D42&amp;"]"),Tabela1[Data],AM$3),"")</f>
        <v/>
      </c>
      <c r="AN42" s="9" t="str">
        <f ca="1">IFERROR(AVERAGEIFS(INDIRECT("Tabela1["&amp;$D42&amp;"]"),Tabela1[Data],AN$3),"")</f>
        <v/>
      </c>
      <c r="AO42" s="9" t="str">
        <f ca="1">IFERROR(AVERAGEIFS(INDIRECT("Tabela1["&amp;$D42&amp;"]"),Tabela1[Data],AO$3),"")</f>
        <v/>
      </c>
      <c r="AP42" s="9" t="str">
        <f ca="1">IFERROR(AVERAGEIFS(INDIRECT("Tabela1["&amp;$D42&amp;"]"),Tabela1[Data],AP$3),"")</f>
        <v/>
      </c>
      <c r="AQ42" s="9" t="str">
        <f ca="1">IFERROR(AVERAGEIFS(INDIRECT("Tabela1["&amp;$D42&amp;"]"),Tabela1[Data],AQ$3),"")</f>
        <v/>
      </c>
      <c r="AR42" s="9" t="str">
        <f ca="1">IFERROR(AVERAGEIFS(INDIRECT("Tabela1["&amp;$D42&amp;"]"),Tabela1[Data],AR$3),"")</f>
        <v/>
      </c>
    </row>
    <row r="43" spans="1:44" ht="15" thickTop="1" x14ac:dyDescent="0.3">
      <c r="A43" s="25" t="s">
        <v>122</v>
      </c>
      <c r="B43" s="25">
        <f t="shared" ref="B43:B45" si="3">F43</f>
        <v>1</v>
      </c>
      <c r="C43" s="25" t="s">
        <v>122</v>
      </c>
      <c r="D43" s="34" t="str">
        <f t="shared" ref="D43:D45" si="4">IF(E43=0,D42,E43)</f>
        <v>Carne no Osso Perna Esquerda</v>
      </c>
      <c r="E43" s="35" t="str">
        <f>Coleta!X1</f>
        <v>Carne no Osso Perna Esquerda</v>
      </c>
      <c r="F43" s="22">
        <v>1</v>
      </c>
      <c r="G43" s="26" t="str">
        <f ca="1">IFERROR(AVERAGEIFS(INDIRECT("Tabela1["&amp;$D43&amp;"]"),Tabela1[Turno],$F43,Tabela1[Mês],G$3),"")</f>
        <v/>
      </c>
      <c r="H43" s="26" t="str">
        <f ca="1">IFERROR(AVERAGEIFS(INDIRECT("Tabela1["&amp;$D43&amp;"]"),Tabela1[Turno],$F43,Tabela1[Mês],H$3),"")</f>
        <v/>
      </c>
      <c r="I43" s="26" t="str">
        <f ca="1">IFERROR(AVERAGEIFS(INDIRECT("Tabela1["&amp;$D43&amp;"]"),Tabela1[Turno],$F43,Tabela1[Mês],I$3),"")</f>
        <v/>
      </c>
      <c r="J43" s="26" t="str">
        <f ca="1">IFERROR(AVERAGEIFS(INDIRECT("Tabela1["&amp;$D43&amp;"]"),Tabela1[Turno],$F43,Tabela1[Mês],J$3),"")</f>
        <v/>
      </c>
      <c r="K43" s="26" t="str">
        <f ca="1">IFERROR(AVERAGEIFS(INDIRECT("Tabela1["&amp;$D43&amp;"]"),Tabela1[Turno],$F43,Tabela1[Mês],K$3),"")</f>
        <v/>
      </c>
      <c r="L43" s="26" t="str">
        <f ca="1">IFERROR(AVERAGEIFS(INDIRECT("Tabela1["&amp;$D43&amp;"]"),Tabela1[Turno],$F43,Tabela1[Mês],L$3),"")</f>
        <v/>
      </c>
      <c r="M43" s="26" t="str">
        <f ca="1">IFERROR(AVERAGEIFS(INDIRECT("Tabela1["&amp;$D43&amp;"]"),Tabela1[Turno],$F43,Tabela1[Mês],M$3),"")</f>
        <v/>
      </c>
      <c r="N43" s="26">
        <f ca="1">IFERROR(AVERAGEIFS(INDIRECT("Tabela1["&amp;$D43&amp;"]"),Tabela1[Turno],$F43,Tabela1[Mês],N$3),"")</f>
        <v>8.8000000000000007</v>
      </c>
      <c r="O43" s="26">
        <f ca="1">IFERROR(AVERAGEIFS(INDIRECT("Tabela1["&amp;$D43&amp;"]"),Tabela1[Turno],$F43,Tabela1[Mês],O$3),"")</f>
        <v>8.5</v>
      </c>
      <c r="P43" s="26" t="str">
        <f ca="1">IFERROR(AVERAGEIFS(INDIRECT("Tabela1["&amp;$D43&amp;"]"),Tabela1[Turno],$F43,Tabela1[Mês],P$3),"")</f>
        <v/>
      </c>
      <c r="Q43" s="26" t="str">
        <f ca="1">IFERROR(AVERAGEIFS(INDIRECT("Tabela1["&amp;$D43&amp;"]"),Tabela1[Turno],$F43,Tabela1[Mês],Q$3),"")</f>
        <v/>
      </c>
      <c r="R43" s="27" t="str">
        <f ca="1">IFERROR(AVERAGEIFS(INDIRECT("Tabela1["&amp;$D43&amp;"]"),Tabela1[Turno],$F43,Tabela1[Mês],R$3),"")</f>
        <v/>
      </c>
      <c r="S43" s="38">
        <v>10</v>
      </c>
      <c r="U43" s="11" t="str">
        <f ca="1">IFERROR(AVERAGEIFS(INDIRECT("Tabela1["&amp;$D43&amp;"]"),Tabela1[Turno],$F43,Tabela1[Data],U$3),"")</f>
        <v/>
      </c>
      <c r="V43" s="11" t="str">
        <f ca="1">IFERROR(AVERAGEIFS(INDIRECT("Tabela1["&amp;$D43&amp;"]"),Tabela1[Turno],$F43,Tabela1[Data],V$3),"")</f>
        <v/>
      </c>
      <c r="W43" s="26" t="str">
        <f ca="1">IFERROR(AVERAGEIFS(INDIRECT("Tabela1["&amp;$D43&amp;"]"),Tabela1[Turno],$F43,Tabela1[Data],W$3),"")</f>
        <v/>
      </c>
      <c r="X43" s="26" t="str">
        <f ca="1">IFERROR(AVERAGEIFS(INDIRECT("Tabela1["&amp;$D43&amp;"]"),Tabela1[Turno],$F43,Tabela1[Data],X$3),"")</f>
        <v/>
      </c>
      <c r="Y43" s="26" t="str">
        <f ca="1">IFERROR(AVERAGEIFS(INDIRECT("Tabela1["&amp;$D43&amp;"]"),Tabela1[Turno],$F43,Tabela1[Data],Y$3),"")</f>
        <v/>
      </c>
      <c r="Z43" s="26" t="str">
        <f ca="1">IFERROR(AVERAGEIFS(INDIRECT("Tabela1["&amp;$D43&amp;"]"),Tabela1[Turno],$F43,Tabela1[Data],Z$3),"")</f>
        <v/>
      </c>
      <c r="AA43" s="26" t="str">
        <f ca="1">IFERROR(AVERAGEIFS(INDIRECT("Tabela1["&amp;$D43&amp;"]"),Tabela1[Turno],$F43,Tabela1[Data],AA$3),"")</f>
        <v/>
      </c>
      <c r="AB43" s="26" t="str">
        <f ca="1">IFERROR(AVERAGEIFS(INDIRECT("Tabela1["&amp;$D43&amp;"]"),Tabela1[Turno],$F43,Tabela1[Data],AB$3),"")</f>
        <v/>
      </c>
      <c r="AC43" s="26" t="str">
        <f ca="1">IFERROR(AVERAGEIFS(INDIRECT("Tabela1["&amp;$D43&amp;"]"),Tabela1[Turno],$F43,Tabela1[Data],AC$3),"")</f>
        <v/>
      </c>
      <c r="AD43" s="26" t="str">
        <f ca="1">IFERROR(AVERAGEIFS(INDIRECT("Tabela1["&amp;$D43&amp;"]"),Tabela1[Turno],$F43,Tabela1[Data],AD$3),"")</f>
        <v/>
      </c>
      <c r="AE43" s="26" t="str">
        <f ca="1">IFERROR(AVERAGEIFS(INDIRECT("Tabela1["&amp;$D43&amp;"]"),Tabela1[Turno],$F43,Tabela1[Data],AE$3),"")</f>
        <v/>
      </c>
      <c r="AF43" s="26" t="str">
        <f ca="1">IFERROR(AVERAGEIFS(INDIRECT("Tabela1["&amp;$D43&amp;"]"),Tabela1[Turno],$F43,Tabela1[Data],AF$3),"")</f>
        <v/>
      </c>
      <c r="AG43" s="26" t="str">
        <f ca="1">IFERROR(AVERAGEIFS(INDIRECT("Tabela1["&amp;$D43&amp;"]"),Tabela1[Turno],$F43,Tabela1[Data],AG$3),"")</f>
        <v/>
      </c>
      <c r="AH43" s="26" t="str">
        <f ca="1">IFERROR(AVERAGEIFS(INDIRECT("Tabela1["&amp;$D43&amp;"]"),Tabela1[Turno],$F43,Tabela1[Data],AH$3),"")</f>
        <v/>
      </c>
      <c r="AI43" s="26" t="str">
        <f ca="1">IFERROR(AVERAGEIFS(INDIRECT("Tabela1["&amp;$D43&amp;"]"),Tabela1[Turno],$F43,Tabela1[Data],AI$3),"")</f>
        <v/>
      </c>
      <c r="AJ43" s="26" t="str">
        <f ca="1">IFERROR(AVERAGEIFS(INDIRECT("Tabela1["&amp;$D43&amp;"]"),Tabela1[Turno],$F43,Tabela1[Data],AJ$3),"")</f>
        <v/>
      </c>
      <c r="AK43" s="26" t="str">
        <f ca="1">IFERROR(AVERAGEIFS(INDIRECT("Tabela1["&amp;$D43&amp;"]"),Tabela1[Turno],$F43,Tabela1[Data],AK$3),"")</f>
        <v/>
      </c>
      <c r="AL43" s="26" t="str">
        <f ca="1">IFERROR(AVERAGEIFS(INDIRECT("Tabela1["&amp;$D43&amp;"]"),Tabela1[Turno],$F43,Tabela1[Data],AL$3),"")</f>
        <v/>
      </c>
      <c r="AM43" s="26" t="str">
        <f ca="1">IFERROR(AVERAGEIFS(INDIRECT("Tabela1["&amp;$D43&amp;"]"),Tabela1[Turno],$F43,Tabela1[Data],AM$3),"")</f>
        <v/>
      </c>
      <c r="AN43" s="26" t="str">
        <f ca="1">IFERROR(AVERAGEIFS(INDIRECT("Tabela1["&amp;$D43&amp;"]"),Tabela1[Turno],$F43,Tabela1[Data],AN$3),"")</f>
        <v/>
      </c>
      <c r="AO43" s="26" t="str">
        <f ca="1">IFERROR(AVERAGEIFS(INDIRECT("Tabela1["&amp;$D43&amp;"]"),Tabela1[Turno],$F43,Tabela1[Data],AO$3),"")</f>
        <v/>
      </c>
      <c r="AP43" s="26" t="str">
        <f ca="1">IFERROR(AVERAGEIFS(INDIRECT("Tabela1["&amp;$D43&amp;"]"),Tabela1[Turno],$F43,Tabela1[Data],AP$3),"")</f>
        <v/>
      </c>
      <c r="AQ43" s="26" t="str">
        <f ca="1">IFERROR(AVERAGEIFS(INDIRECT("Tabela1["&amp;$D43&amp;"]"),Tabela1[Turno],$F43,Tabela1[Data],AQ$3),"")</f>
        <v/>
      </c>
      <c r="AR43" s="26" t="str">
        <f ca="1">IFERROR(AVERAGEIFS(INDIRECT("Tabela1["&amp;$D43&amp;"]"),Tabela1[Turno],$F43,Tabela1[Data],AR$3),"")</f>
        <v/>
      </c>
    </row>
    <row r="44" spans="1:44" x14ac:dyDescent="0.3">
      <c r="A44" s="25" t="s">
        <v>122</v>
      </c>
      <c r="B44" s="25">
        <f t="shared" si="3"/>
        <v>2</v>
      </c>
      <c r="C44" s="25" t="s">
        <v>122</v>
      </c>
      <c r="D44" s="34" t="str">
        <f t="shared" si="4"/>
        <v>Carne no Osso Perna Esquerda</v>
      </c>
      <c r="E44" s="36"/>
      <c r="F44" s="23">
        <v>2</v>
      </c>
      <c r="G44" s="12" t="str">
        <f ca="1">IFERROR(AVERAGEIFS(INDIRECT("Tabela1["&amp;$D44&amp;"]"),Tabela1[Turno],$F44,Tabela1[Mês],G$3),"")</f>
        <v/>
      </c>
      <c r="H44" s="12" t="str">
        <f ca="1">IFERROR(AVERAGEIFS(INDIRECT("Tabela1["&amp;$D44&amp;"]"),Tabela1[Turno],$F44,Tabela1[Mês],H$3),"")</f>
        <v/>
      </c>
      <c r="I44" s="12" t="str">
        <f ca="1">IFERROR(AVERAGEIFS(INDIRECT("Tabela1["&amp;$D44&amp;"]"),Tabela1[Turno],$F44,Tabela1[Mês],I$3),"")</f>
        <v/>
      </c>
      <c r="J44" s="12" t="str">
        <f ca="1">IFERROR(AVERAGEIFS(INDIRECT("Tabela1["&amp;$D44&amp;"]"),Tabela1[Turno],$F44,Tabela1[Mês],J$3),"")</f>
        <v/>
      </c>
      <c r="K44" s="12" t="str">
        <f ca="1">IFERROR(AVERAGEIFS(INDIRECT("Tabela1["&amp;$D44&amp;"]"),Tabela1[Turno],$F44,Tabela1[Mês],K$3),"")</f>
        <v/>
      </c>
      <c r="L44" s="12" t="str">
        <f ca="1">IFERROR(AVERAGEIFS(INDIRECT("Tabela1["&amp;$D44&amp;"]"),Tabela1[Turno],$F44,Tabela1[Mês],L$3),"")</f>
        <v/>
      </c>
      <c r="M44" s="12" t="str">
        <f ca="1">IFERROR(AVERAGEIFS(INDIRECT("Tabela1["&amp;$D44&amp;"]"),Tabela1[Turno],$F44,Tabela1[Mês],M$3),"")</f>
        <v/>
      </c>
      <c r="N44" s="12">
        <f ca="1">IFERROR(AVERAGEIFS(INDIRECT("Tabela1["&amp;$D44&amp;"]"),Tabela1[Turno],$F44,Tabela1[Mês],N$3),"")</f>
        <v>8.4696969696969688</v>
      </c>
      <c r="O44" s="12">
        <f ca="1">IFERROR(AVERAGEIFS(INDIRECT("Tabela1["&amp;$D44&amp;"]"),Tabela1[Turno],$F44,Tabela1[Mês],O$3),"")</f>
        <v>8.2698412698412707</v>
      </c>
      <c r="P44" s="12">
        <f ca="1">IFERROR(AVERAGEIFS(INDIRECT("Tabela1["&amp;$D44&amp;"]"),Tabela1[Turno],$F44,Tabela1[Mês],P$3),"")</f>
        <v>7.3529411764705879</v>
      </c>
      <c r="Q44" s="12" t="str">
        <f ca="1">IFERROR(AVERAGEIFS(INDIRECT("Tabela1["&amp;$D44&amp;"]"),Tabela1[Turno],$F44,Tabela1[Mês],Q$3),"")</f>
        <v/>
      </c>
      <c r="R44" s="13" t="str">
        <f ca="1">IFERROR(AVERAGEIFS(INDIRECT("Tabela1["&amp;$D44&amp;"]"),Tabela1[Turno],$F44,Tabela1[Mês],R$3),"")</f>
        <v/>
      </c>
      <c r="S44" s="39"/>
      <c r="U44" s="12">
        <f ca="1">IFERROR(AVERAGEIFS(INDIRECT("Tabela1["&amp;$D44&amp;"]"),Tabela1[Turno],$F44,Tabela1[Data],U$3),"")</f>
        <v>7</v>
      </c>
      <c r="V44" s="12">
        <f ca="1">IFERROR(AVERAGEIFS(INDIRECT("Tabela1["&amp;$D44&amp;"]"),Tabela1[Turno],$F44,Tabela1[Data],V$3),"")</f>
        <v>7</v>
      </c>
      <c r="W44" s="12">
        <f ca="1">IFERROR(AVERAGEIFS(INDIRECT("Tabela1["&amp;$D44&amp;"]"),Tabela1[Turno],$F44,Tabela1[Data],W$3),"")</f>
        <v>8</v>
      </c>
      <c r="X44" s="12">
        <f ca="1">IFERROR(AVERAGEIFS(INDIRECT("Tabela1["&amp;$D44&amp;"]"),Tabela1[Turno],$F44,Tabela1[Data],X$3),"")</f>
        <v>7</v>
      </c>
      <c r="Y44" s="12">
        <f ca="1">IFERROR(AVERAGEIFS(INDIRECT("Tabela1["&amp;$D44&amp;"]"),Tabela1[Turno],$F44,Tabela1[Data],Y$3),"")</f>
        <v>7</v>
      </c>
      <c r="Z44" s="12">
        <f ca="1">IFERROR(AVERAGEIFS(INDIRECT("Tabela1["&amp;$D44&amp;"]"),Tabela1[Turno],$F44,Tabela1[Data],Z$3),"")</f>
        <v>8</v>
      </c>
      <c r="AA44" s="12">
        <f ca="1">IFERROR(AVERAGEIFS(INDIRECT("Tabela1["&amp;$D44&amp;"]"),Tabela1[Turno],$F44,Tabela1[Data],AA$3),"")</f>
        <v>7</v>
      </c>
      <c r="AB44" s="12" t="str">
        <f ca="1">IFERROR(AVERAGEIFS(INDIRECT("Tabela1["&amp;$D44&amp;"]"),Tabela1[Turno],$F44,Tabela1[Data],AB$3),"")</f>
        <v/>
      </c>
      <c r="AC44" s="12" t="str">
        <f ca="1">IFERROR(AVERAGEIFS(INDIRECT("Tabela1["&amp;$D44&amp;"]"),Tabela1[Turno],$F44,Tabela1[Data],AC$3),"")</f>
        <v/>
      </c>
      <c r="AD44" s="12" t="str">
        <f ca="1">IFERROR(AVERAGEIFS(INDIRECT("Tabela1["&amp;$D44&amp;"]"),Tabela1[Turno],$F44,Tabela1[Data],AD$3),"")</f>
        <v/>
      </c>
      <c r="AE44" s="12" t="str">
        <f ca="1">IFERROR(AVERAGEIFS(INDIRECT("Tabela1["&amp;$D44&amp;"]"),Tabela1[Turno],$F44,Tabela1[Data],AE$3),"")</f>
        <v/>
      </c>
      <c r="AF44" s="12" t="str">
        <f ca="1">IFERROR(AVERAGEIFS(INDIRECT("Tabela1["&amp;$D44&amp;"]"),Tabela1[Turno],$F44,Tabela1[Data],AF$3),"")</f>
        <v/>
      </c>
      <c r="AG44" s="12" t="str">
        <f ca="1">IFERROR(AVERAGEIFS(INDIRECT("Tabela1["&amp;$D44&amp;"]"),Tabela1[Turno],$F44,Tabela1[Data],AG$3),"")</f>
        <v/>
      </c>
      <c r="AH44" s="12" t="str">
        <f ca="1">IFERROR(AVERAGEIFS(INDIRECT("Tabela1["&amp;$D44&amp;"]"),Tabela1[Turno],$F44,Tabela1[Data],AH$3),"")</f>
        <v/>
      </c>
      <c r="AI44" s="12" t="str">
        <f ca="1">IFERROR(AVERAGEIFS(INDIRECT("Tabela1["&amp;$D44&amp;"]"),Tabela1[Turno],$F44,Tabela1[Data],AI$3),"")</f>
        <v/>
      </c>
      <c r="AJ44" s="12" t="str">
        <f ca="1">IFERROR(AVERAGEIFS(INDIRECT("Tabela1["&amp;$D44&amp;"]"),Tabela1[Turno],$F44,Tabela1[Data],AJ$3),"")</f>
        <v/>
      </c>
      <c r="AK44" s="12" t="str">
        <f ca="1">IFERROR(AVERAGEIFS(INDIRECT("Tabela1["&amp;$D44&amp;"]"),Tabela1[Turno],$F44,Tabela1[Data],AK$3),"")</f>
        <v/>
      </c>
      <c r="AL44" s="12" t="str">
        <f ca="1">IFERROR(AVERAGEIFS(INDIRECT("Tabela1["&amp;$D44&amp;"]"),Tabela1[Turno],$F44,Tabela1[Data],AL$3),"")</f>
        <v/>
      </c>
      <c r="AM44" s="12" t="str">
        <f ca="1">IFERROR(AVERAGEIFS(INDIRECT("Tabela1["&amp;$D44&amp;"]"),Tabela1[Turno],$F44,Tabela1[Data],AM$3),"")</f>
        <v/>
      </c>
      <c r="AN44" s="12" t="str">
        <f ca="1">IFERROR(AVERAGEIFS(INDIRECT("Tabela1["&amp;$D44&amp;"]"),Tabela1[Turno],$F44,Tabela1[Data],AN$3),"")</f>
        <v/>
      </c>
      <c r="AO44" s="12" t="str">
        <f ca="1">IFERROR(AVERAGEIFS(INDIRECT("Tabela1["&amp;$D44&amp;"]"),Tabela1[Turno],$F44,Tabela1[Data],AO$3),"")</f>
        <v/>
      </c>
      <c r="AP44" s="12" t="str">
        <f ca="1">IFERROR(AVERAGEIFS(INDIRECT("Tabela1["&amp;$D44&amp;"]"),Tabela1[Turno],$F44,Tabela1[Data],AP$3),"")</f>
        <v/>
      </c>
      <c r="AQ44" s="12" t="str">
        <f ca="1">IFERROR(AVERAGEIFS(INDIRECT("Tabela1["&amp;$D44&amp;"]"),Tabela1[Turno],$F44,Tabela1[Data],AQ$3),"")</f>
        <v/>
      </c>
      <c r="AR44" s="12" t="str">
        <f ca="1">IFERROR(AVERAGEIFS(INDIRECT("Tabela1["&amp;$D44&amp;"]"),Tabela1[Turno],$F44,Tabela1[Data],AR$3),"")</f>
        <v/>
      </c>
    </row>
    <row r="45" spans="1:44" ht="15" thickBot="1" x14ac:dyDescent="0.35">
      <c r="A45" s="25" t="s">
        <v>122</v>
      </c>
      <c r="B45" s="25" t="str">
        <f t="shared" si="3"/>
        <v>Unidade</v>
      </c>
      <c r="C45" s="25" t="s">
        <v>122</v>
      </c>
      <c r="D45" s="34" t="str">
        <f t="shared" si="4"/>
        <v>Carne no Osso Perna Esquerda</v>
      </c>
      <c r="E45" s="37"/>
      <c r="F45" s="24" t="s">
        <v>142</v>
      </c>
      <c r="G45" s="9" t="str">
        <f ca="1">IFERROR(AVERAGEIFS(INDIRECT("Tabela1["&amp;$D45&amp;"]"),Tabela1[Mês],G$3),"")</f>
        <v/>
      </c>
      <c r="H45" s="9" t="str">
        <f ca="1">IFERROR(AVERAGEIFS(INDIRECT("Tabela1["&amp;$D45&amp;"]"),Tabela1[Mês],H$3),"")</f>
        <v/>
      </c>
      <c r="I45" s="9" t="str">
        <f ca="1">IFERROR(AVERAGEIFS(INDIRECT("Tabela1["&amp;$D45&amp;"]"),Tabela1[Mês],I$3),"")</f>
        <v/>
      </c>
      <c r="J45" s="9" t="str">
        <f ca="1">IFERROR(AVERAGEIFS(INDIRECT("Tabela1["&amp;$D45&amp;"]"),Tabela1[Mês],J$3),"")</f>
        <v/>
      </c>
      <c r="K45" s="9" t="str">
        <f ca="1">IFERROR(AVERAGEIFS(INDIRECT("Tabela1["&amp;$D45&amp;"]"),Tabela1[Mês],K$3),"")</f>
        <v/>
      </c>
      <c r="L45" s="9" t="str">
        <f ca="1">IFERROR(AVERAGEIFS(INDIRECT("Tabela1["&amp;$D45&amp;"]"),Tabela1[Mês],L$3),"")</f>
        <v/>
      </c>
      <c r="M45" s="9" t="str">
        <f ca="1">IFERROR(AVERAGEIFS(INDIRECT("Tabela1["&amp;$D45&amp;"]"),Tabela1[Mês],M$3),"")</f>
        <v/>
      </c>
      <c r="N45" s="9">
        <f ca="1">IFERROR(AVERAGEIFS(INDIRECT("Tabela1["&amp;$D45&amp;"]"),Tabela1[Mês],N$3),"")</f>
        <v>8.4722222222222214</v>
      </c>
      <c r="O45" s="9">
        <f ca="1">IFERROR(AVERAGEIFS(INDIRECT("Tabela1["&amp;$D45&amp;"]"),Tabela1[Mês],O$3),"")</f>
        <v>8.2769230769230777</v>
      </c>
      <c r="P45" s="9">
        <f ca="1">IFERROR(AVERAGEIFS(INDIRECT("Tabela1["&amp;$D45&amp;"]"),Tabela1[Mês],P$3),"")</f>
        <v>7.3529411764705879</v>
      </c>
      <c r="Q45" s="9" t="str">
        <f ca="1">IFERROR(AVERAGEIFS(INDIRECT("Tabela1["&amp;$D45&amp;"]"),Tabela1[Mês],Q$3),"")</f>
        <v/>
      </c>
      <c r="R45" s="14" t="str">
        <f ca="1">IFERROR(AVERAGEIFS(INDIRECT("Tabela1["&amp;$D45&amp;"]"),Tabela1[Mês],R$3),"")</f>
        <v/>
      </c>
      <c r="S45" s="40"/>
      <c r="U45" s="9">
        <f ca="1">IFERROR(AVERAGEIFS(INDIRECT("Tabela1["&amp;$D45&amp;"]"),Tabela1[Data],U$3),"")</f>
        <v>7</v>
      </c>
      <c r="V45" s="9">
        <f ca="1">IFERROR(AVERAGEIFS(INDIRECT("Tabela1["&amp;$D45&amp;"]"),Tabela1[Data],V$3),"")</f>
        <v>7</v>
      </c>
      <c r="W45" s="9">
        <f ca="1">IFERROR(AVERAGEIFS(INDIRECT("Tabela1["&amp;$D45&amp;"]"),Tabela1[Data],W$3),"")</f>
        <v>8</v>
      </c>
      <c r="X45" s="9">
        <f ca="1">IFERROR(AVERAGEIFS(INDIRECT("Tabela1["&amp;$D45&amp;"]"),Tabela1[Data],X$3),"")</f>
        <v>7</v>
      </c>
      <c r="Y45" s="9">
        <f ca="1">IFERROR(AVERAGEIFS(INDIRECT("Tabela1["&amp;$D45&amp;"]"),Tabela1[Data],Y$3),"")</f>
        <v>7</v>
      </c>
      <c r="Z45" s="9">
        <f ca="1">IFERROR(AVERAGEIFS(INDIRECT("Tabela1["&amp;$D45&amp;"]"),Tabela1[Data],Z$3),"")</f>
        <v>8</v>
      </c>
      <c r="AA45" s="9">
        <f ca="1">IFERROR(AVERAGEIFS(INDIRECT("Tabela1["&amp;$D45&amp;"]"),Tabela1[Data],AA$3),"")</f>
        <v>7</v>
      </c>
      <c r="AB45" s="9" t="str">
        <f ca="1">IFERROR(AVERAGEIFS(INDIRECT("Tabela1["&amp;$D45&amp;"]"),Tabela1[Data],AB$3),"")</f>
        <v/>
      </c>
      <c r="AC45" s="9" t="str">
        <f ca="1">IFERROR(AVERAGEIFS(INDIRECT("Tabela1["&amp;$D45&amp;"]"),Tabela1[Data],AC$3),"")</f>
        <v/>
      </c>
      <c r="AD45" s="9" t="str">
        <f ca="1">IFERROR(AVERAGEIFS(INDIRECT("Tabela1["&amp;$D45&amp;"]"),Tabela1[Data],AD$3),"")</f>
        <v/>
      </c>
      <c r="AE45" s="9" t="str">
        <f ca="1">IFERROR(AVERAGEIFS(INDIRECT("Tabela1["&amp;$D45&amp;"]"),Tabela1[Data],AE$3),"")</f>
        <v/>
      </c>
      <c r="AF45" s="9" t="str">
        <f ca="1">IFERROR(AVERAGEIFS(INDIRECT("Tabela1["&amp;$D45&amp;"]"),Tabela1[Data],AF$3),"")</f>
        <v/>
      </c>
      <c r="AG45" s="9" t="str">
        <f ca="1">IFERROR(AVERAGEIFS(INDIRECT("Tabela1["&amp;$D45&amp;"]"),Tabela1[Data],AG$3),"")</f>
        <v/>
      </c>
      <c r="AH45" s="9" t="str">
        <f ca="1">IFERROR(AVERAGEIFS(INDIRECT("Tabela1["&amp;$D45&amp;"]"),Tabela1[Data],AH$3),"")</f>
        <v/>
      </c>
      <c r="AI45" s="9" t="str">
        <f ca="1">IFERROR(AVERAGEIFS(INDIRECT("Tabela1["&amp;$D45&amp;"]"),Tabela1[Data],AI$3),"")</f>
        <v/>
      </c>
      <c r="AJ45" s="9" t="str">
        <f ca="1">IFERROR(AVERAGEIFS(INDIRECT("Tabela1["&amp;$D45&amp;"]"),Tabela1[Data],AJ$3),"")</f>
        <v/>
      </c>
      <c r="AK45" s="9" t="str">
        <f ca="1">IFERROR(AVERAGEIFS(INDIRECT("Tabela1["&amp;$D45&amp;"]"),Tabela1[Data],AK$3),"")</f>
        <v/>
      </c>
      <c r="AL45" s="9" t="str">
        <f ca="1">IFERROR(AVERAGEIFS(INDIRECT("Tabela1["&amp;$D45&amp;"]"),Tabela1[Data],AL$3),"")</f>
        <v/>
      </c>
      <c r="AM45" s="9" t="str">
        <f ca="1">IFERROR(AVERAGEIFS(INDIRECT("Tabela1["&amp;$D45&amp;"]"),Tabela1[Data],AM$3),"")</f>
        <v/>
      </c>
      <c r="AN45" s="9" t="str">
        <f ca="1">IFERROR(AVERAGEIFS(INDIRECT("Tabela1["&amp;$D45&amp;"]"),Tabela1[Data],AN$3),"")</f>
        <v/>
      </c>
      <c r="AO45" s="9" t="str">
        <f ca="1">IFERROR(AVERAGEIFS(INDIRECT("Tabela1["&amp;$D45&amp;"]"),Tabela1[Data],AO$3),"")</f>
        <v/>
      </c>
      <c r="AP45" s="9" t="str">
        <f ca="1">IFERROR(AVERAGEIFS(INDIRECT("Tabela1["&amp;$D45&amp;"]"),Tabela1[Data],AP$3),"")</f>
        <v/>
      </c>
      <c r="AQ45" s="9" t="str">
        <f ca="1">IFERROR(AVERAGEIFS(INDIRECT("Tabela1["&amp;$D45&amp;"]"),Tabela1[Data],AQ$3),"")</f>
        <v/>
      </c>
      <c r="AR45" s="9" t="str">
        <f ca="1">IFERROR(AVERAGEIFS(INDIRECT("Tabela1["&amp;$D45&amp;"]"),Tabela1[Data],AR$3),"")</f>
        <v/>
      </c>
    </row>
    <row r="46" spans="1:44" s="25" customFormat="1" ht="15" thickTop="1" x14ac:dyDescent="0.3">
      <c r="A46" s="25" t="s">
        <v>122</v>
      </c>
      <c r="B46" s="25">
        <f t="shared" si="1"/>
        <v>1</v>
      </c>
      <c r="C46" s="25" t="s">
        <v>122</v>
      </c>
      <c r="D46" s="30" t="str">
        <f>IF(E46=0,#REF!,E46)</f>
        <v>% Carne Refile Perna</v>
      </c>
      <c r="E46" s="35" t="str">
        <f>Coleta!Z1</f>
        <v>% Carne Refile Perna</v>
      </c>
      <c r="F46" s="22">
        <v>1</v>
      </c>
      <c r="G46" s="28">
        <f ca="1">IFERROR(AVERAGEIFS(INDIRECT("Tabela1["&amp;$D46&amp;"]"),Tabela1[Turno],$F46,Tabela1[Mês],G$3)/100,"")</f>
        <v>0.42</v>
      </c>
      <c r="H46" s="28">
        <f ca="1">IFERROR(AVERAGEIFS(INDIRECT("Tabela1["&amp;$D46&amp;"]"),Tabela1[Turno],$F46,Tabela1[Mês],H$3)/100,"")</f>
        <v>0.315</v>
      </c>
      <c r="I46" s="28">
        <f ca="1">IFERROR(AVERAGEIFS(INDIRECT("Tabela1["&amp;$D46&amp;"]"),Tabela1[Turno],$F46,Tabela1[Mês],I$3)/100,"")</f>
        <v>0.28999999999999998</v>
      </c>
      <c r="J46" s="28">
        <f ca="1">IFERROR(AVERAGEIFS(INDIRECT("Tabela1["&amp;$D46&amp;"]"),Tabela1[Turno],$F46,Tabela1[Mês],J$3)/100,"")</f>
        <v>0.24719999999999998</v>
      </c>
      <c r="K46" s="28">
        <f ca="1">IFERROR(AVERAGEIFS(INDIRECT("Tabela1["&amp;$D46&amp;"]"),Tabela1[Turno],$F46,Tabela1[Mês],K$3)/100,"")</f>
        <v>0.25259999999999999</v>
      </c>
      <c r="L46" s="28">
        <f ca="1">IFERROR(AVERAGEIFS(INDIRECT("Tabela1["&amp;$D46&amp;"]"),Tabela1[Turno],$F46,Tabela1[Mês],L$3)/100,"")</f>
        <v>0.24359999999999998</v>
      </c>
      <c r="M46" s="28">
        <f ca="1">IFERROR(AVERAGEIFS(INDIRECT("Tabela1["&amp;$D46&amp;"]"),Tabela1[Turno],$F46,Tabela1[Mês],M$3)/100,"")</f>
        <v>0.2913</v>
      </c>
      <c r="N46" s="28">
        <f ca="1">IFERROR(AVERAGEIFS(INDIRECT("Tabela1["&amp;$D46&amp;"]"),Tabela1[Turno],$F46,Tabela1[Mês],N$3)/100,"")</f>
        <v>0.31374999999999997</v>
      </c>
      <c r="O46" s="28">
        <f ca="1">IFERROR(AVERAGEIFS(INDIRECT("Tabela1["&amp;$D46&amp;"]"),Tabela1[Turno],$F46,Tabela1[Mês],O$3)/100,"")</f>
        <v>0.50409090909090903</v>
      </c>
      <c r="P46" s="28" t="str">
        <f ca="1">IFERROR(AVERAGEIFS(INDIRECT("Tabela1["&amp;$D46&amp;"]"),Tabela1[Turno],$F46,Tabela1[Mês],P$3)/100,"")</f>
        <v/>
      </c>
      <c r="Q46" s="28" t="str">
        <f ca="1">IFERROR(AVERAGEIFS(INDIRECT("Tabela1["&amp;$D46&amp;"]"),Tabela1[Turno],$F46,Tabela1[Mês],Q$3)/100,"")</f>
        <v/>
      </c>
      <c r="R46" s="29" t="str">
        <f ca="1">IFERROR(AVERAGEIFS(INDIRECT("Tabela1["&amp;$D46&amp;"]"),Tabela1[Turno],$F46,Tabela1[Mês],R$3)/100,"")</f>
        <v/>
      </c>
      <c r="S46" s="41">
        <v>0.2</v>
      </c>
      <c r="U46" s="28" t="str">
        <f ca="1">IFERROR(AVERAGEIFS(INDIRECT("Tabela1["&amp;$D46&amp;"]"),Tabela1[Turno],$F46,Tabela1[Data],U$3)/100,"")</f>
        <v/>
      </c>
      <c r="V46" s="28" t="str">
        <f ca="1">IFERROR(AVERAGEIFS(INDIRECT("Tabela1["&amp;$D46&amp;"]"),Tabela1[Turno],$F46,Tabela1[Data],V$3)/100,"")</f>
        <v/>
      </c>
      <c r="W46" s="28" t="str">
        <f ca="1">IFERROR(AVERAGEIFS(INDIRECT("Tabela1["&amp;$D46&amp;"]"),Tabela1[Turno],$F46,Tabela1[Data],W$3)/100,"")</f>
        <v/>
      </c>
      <c r="X46" s="28" t="str">
        <f ca="1">IFERROR(AVERAGEIFS(INDIRECT("Tabela1["&amp;$D46&amp;"]"),Tabela1[Turno],$F46,Tabela1[Data],X$3)/100,"")</f>
        <v/>
      </c>
      <c r="Y46" s="28" t="str">
        <f ca="1">IFERROR(AVERAGEIFS(INDIRECT("Tabela1["&amp;$D46&amp;"]"),Tabela1[Turno],$F46,Tabela1[Data],Y$3)/100,"")</f>
        <v/>
      </c>
      <c r="Z46" s="28" t="str">
        <f ca="1">IFERROR(AVERAGEIFS(INDIRECT("Tabela1["&amp;$D46&amp;"]"),Tabela1[Turno],$F46,Tabela1[Data],Z$3)/100,"")</f>
        <v/>
      </c>
      <c r="AA46" s="28" t="str">
        <f ca="1">IFERROR(AVERAGEIFS(INDIRECT("Tabela1["&amp;$D46&amp;"]"),Tabela1[Turno],$F46,Tabela1[Data],AA$3)/100,"")</f>
        <v/>
      </c>
      <c r="AB46" s="28" t="str">
        <f ca="1">IFERROR(AVERAGEIFS(INDIRECT("Tabela1["&amp;$D46&amp;"]"),Tabela1[Turno],$F46,Tabela1[Data],AB$3)/100,"")</f>
        <v/>
      </c>
      <c r="AC46" s="28" t="str">
        <f ca="1">IFERROR(AVERAGEIFS(INDIRECT("Tabela1["&amp;$D46&amp;"]"),Tabela1[Turno],$F46,Tabela1[Data],AC$3)/100,"")</f>
        <v/>
      </c>
      <c r="AD46" s="28" t="str">
        <f ca="1">IFERROR(AVERAGEIFS(INDIRECT("Tabela1["&amp;$D46&amp;"]"),Tabela1[Turno],$F46,Tabela1[Data],AD$3)/100,"")</f>
        <v/>
      </c>
      <c r="AE46" s="28" t="str">
        <f ca="1">IFERROR(AVERAGEIFS(INDIRECT("Tabela1["&amp;$D46&amp;"]"),Tabela1[Turno],$F46,Tabela1[Data],AE$3)/100,"")</f>
        <v/>
      </c>
      <c r="AF46" s="28" t="str">
        <f ca="1">IFERROR(AVERAGEIFS(INDIRECT("Tabela1["&amp;$D46&amp;"]"),Tabela1[Turno],$F46,Tabela1[Data],AF$3)/100,"")</f>
        <v/>
      </c>
      <c r="AG46" s="28" t="str">
        <f ca="1">IFERROR(AVERAGEIFS(INDIRECT("Tabela1["&amp;$D46&amp;"]"),Tabela1[Turno],$F46,Tabela1[Data],AG$3)/100,"")</f>
        <v/>
      </c>
      <c r="AH46" s="28" t="str">
        <f ca="1">IFERROR(AVERAGEIFS(INDIRECT("Tabela1["&amp;$D46&amp;"]"),Tabela1[Turno],$F46,Tabela1[Data],AH$3)/100,"")</f>
        <v/>
      </c>
      <c r="AI46" s="28" t="str">
        <f ca="1">IFERROR(AVERAGEIFS(INDIRECT("Tabela1["&amp;$D46&amp;"]"),Tabela1[Turno],$F46,Tabela1[Data],AI$3)/100,"")</f>
        <v/>
      </c>
      <c r="AJ46" s="28" t="str">
        <f ca="1">IFERROR(AVERAGEIFS(INDIRECT("Tabela1["&amp;$D46&amp;"]"),Tabela1[Turno],$F46,Tabela1[Data],AJ$3)/100,"")</f>
        <v/>
      </c>
      <c r="AK46" s="28" t="str">
        <f ca="1">IFERROR(AVERAGEIFS(INDIRECT("Tabela1["&amp;$D46&amp;"]"),Tabela1[Turno],$F46,Tabela1[Data],AK$3)/100,"")</f>
        <v/>
      </c>
      <c r="AL46" s="28" t="str">
        <f ca="1">IFERROR(AVERAGEIFS(INDIRECT("Tabela1["&amp;$D46&amp;"]"),Tabela1[Turno],$F46,Tabela1[Data],AL$3)/100,"")</f>
        <v/>
      </c>
      <c r="AM46" s="28" t="str">
        <f ca="1">IFERROR(AVERAGEIFS(INDIRECT("Tabela1["&amp;$D46&amp;"]"),Tabela1[Turno],$F46,Tabela1[Data],AM$3)/100,"")</f>
        <v/>
      </c>
      <c r="AN46" s="28" t="str">
        <f ca="1">IFERROR(AVERAGEIFS(INDIRECT("Tabela1["&amp;$D46&amp;"]"),Tabela1[Turno],$F46,Tabela1[Data],AN$3)/100,"")</f>
        <v/>
      </c>
      <c r="AO46" s="28" t="str">
        <f ca="1">IFERROR(AVERAGEIFS(INDIRECT("Tabela1["&amp;$D46&amp;"]"),Tabela1[Turno],$F46,Tabela1[Data],AO$3)/100,"")</f>
        <v/>
      </c>
      <c r="AP46" s="28" t="str">
        <f ca="1">IFERROR(AVERAGEIFS(INDIRECT("Tabela1["&amp;$D46&amp;"]"),Tabela1[Turno],$F46,Tabela1[Data],AP$3)/100,"")</f>
        <v/>
      </c>
      <c r="AQ46" s="28" t="str">
        <f ca="1">IFERROR(AVERAGEIFS(INDIRECT("Tabela1["&amp;$D46&amp;"]"),Tabela1[Turno],$F46,Tabela1[Data],AQ$3)/100,"")</f>
        <v/>
      </c>
      <c r="AR46" s="28" t="str">
        <f ca="1">IFERROR(AVERAGEIFS(INDIRECT("Tabela1["&amp;$D46&amp;"]"),Tabela1[Turno],$F46,Tabela1[Data],AR$3)/100,"")</f>
        <v/>
      </c>
    </row>
    <row r="47" spans="1:44" x14ac:dyDescent="0.3">
      <c r="A47" s="25" t="s">
        <v>122</v>
      </c>
      <c r="B47" s="25">
        <f t="shared" si="1"/>
        <v>2</v>
      </c>
      <c r="C47" s="25" t="s">
        <v>122</v>
      </c>
      <c r="D47" s="4" t="str">
        <f t="shared" si="2"/>
        <v>% Carne Refile Perna</v>
      </c>
      <c r="E47" s="36"/>
      <c r="F47" s="23">
        <v>2</v>
      </c>
      <c r="G47" s="16">
        <f ca="1">IFERROR(AVERAGEIFS(INDIRECT("Tabela1["&amp;$D47&amp;"]"),Tabela1[Turno],$F47,Tabela1[Mês],G$3)/100,"")</f>
        <v>0.45</v>
      </c>
      <c r="H47" s="16">
        <f ca="1">IFERROR(AVERAGEIFS(INDIRECT("Tabela1["&amp;$D47&amp;"]"),Tabela1[Turno],$F47,Tabela1[Mês],H$3)/100,"")</f>
        <v>0.42399999999999999</v>
      </c>
      <c r="I47" s="16">
        <f ca="1">IFERROR(AVERAGEIFS(INDIRECT("Tabela1["&amp;$D47&amp;"]"),Tabela1[Turno],$F47,Tabela1[Mês],I$3)/100,"")</f>
        <v>0.45500000000000002</v>
      </c>
      <c r="J47" s="16">
        <f ca="1">IFERROR(AVERAGEIFS(INDIRECT("Tabela1["&amp;$D47&amp;"]"),Tabela1[Turno],$F47,Tabela1[Mês],J$3)/100,"")</f>
        <v>0.3911</v>
      </c>
      <c r="K47" s="16">
        <f ca="1">IFERROR(AVERAGEIFS(INDIRECT("Tabela1["&amp;$D47&amp;"]"),Tabela1[Turno],$F47,Tabela1[Mês],K$3)/100,"")</f>
        <v>0.36719999999999997</v>
      </c>
      <c r="L47" s="16">
        <f ca="1">IFERROR(AVERAGEIFS(INDIRECT("Tabela1["&amp;$D47&amp;"]"),Tabela1[Turno],$F47,Tabela1[Mês],L$3)/100,"")</f>
        <v>0.27910000000000001</v>
      </c>
      <c r="M47" s="16">
        <f ca="1">IFERROR(AVERAGEIFS(INDIRECT("Tabela1["&amp;$D47&amp;"]"),Tabela1[Turno],$F47,Tabela1[Mês],M$3)/100,"")</f>
        <v>0.2475</v>
      </c>
      <c r="N47" s="16">
        <f ca="1">IFERROR(AVERAGEIFS(INDIRECT("Tabela1["&amp;$D47&amp;"]"),Tabela1[Turno],$F47,Tabela1[Mês],N$3)/100,"")</f>
        <v>0.21214285714285716</v>
      </c>
      <c r="O47" s="16">
        <f ca="1">IFERROR(AVERAGEIFS(INDIRECT("Tabela1["&amp;$D47&amp;"]"),Tabela1[Turno],$F47,Tabela1[Mês],O$3)/100,"")</f>
        <v>0.24980519480519481</v>
      </c>
      <c r="P47" s="16">
        <f ca="1">IFERROR(AVERAGEIFS(INDIRECT("Tabela1["&amp;$D47&amp;"]"),Tabela1[Turno],$F47,Tabela1[Mês],P$3)/100,"")</f>
        <v>0.24557692307692305</v>
      </c>
      <c r="Q47" s="16" t="str">
        <f ca="1">IFERROR(AVERAGEIFS(INDIRECT("Tabela1["&amp;$D47&amp;"]"),Tabela1[Turno],$F47,Tabela1[Mês],Q$3)/100,"")</f>
        <v/>
      </c>
      <c r="R47" s="17" t="str">
        <f ca="1">IFERROR(AVERAGEIFS(INDIRECT("Tabela1["&amp;$D47&amp;"]"),Tabela1[Turno],$F47,Tabela1[Mês],R$3)/100,"")</f>
        <v/>
      </c>
      <c r="S47" s="39"/>
      <c r="U47" s="16">
        <f ca="1">IFERROR(AVERAGEIFS(INDIRECT("Tabela1["&amp;$D47&amp;"]"),Tabela1[Turno],$F47,Tabela1[Data],U$3)/100,"")</f>
        <v>0.30166666666666669</v>
      </c>
      <c r="V47" s="16">
        <f ca="1">IFERROR(AVERAGEIFS(INDIRECT("Tabela1["&amp;$D47&amp;"]"),Tabela1[Turno],$F47,Tabela1[Data],V$3)/100,"")</f>
        <v>0.23499999999999999</v>
      </c>
      <c r="W47" s="16">
        <f ca="1">IFERROR(AVERAGEIFS(INDIRECT("Tabela1["&amp;$D47&amp;"]"),Tabela1[Turno],$F47,Tabela1[Data],W$3)/100,"")</f>
        <v>0.22500000000000001</v>
      </c>
      <c r="X47" s="16">
        <f ca="1">IFERROR(AVERAGEIFS(INDIRECT("Tabela1["&amp;$D47&amp;"]"),Tabela1[Turno],$F47,Tabela1[Data],X$3)/100,"")</f>
        <v>0.21875</v>
      </c>
      <c r="Y47" s="16">
        <f ca="1">IFERROR(AVERAGEIFS(INDIRECT("Tabela1["&amp;$D47&amp;"]"),Tabela1[Turno],$F47,Tabela1[Data],Y$3)/100,"")</f>
        <v>0.22625000000000001</v>
      </c>
      <c r="Z47" s="16">
        <f ca="1">IFERROR(AVERAGEIFS(INDIRECT("Tabela1["&amp;$D47&amp;"]"),Tabela1[Turno],$F47,Tabela1[Data],Z$3)/100,"")</f>
        <v>0.255</v>
      </c>
      <c r="AA47" s="16">
        <f ca="1">IFERROR(AVERAGEIFS(INDIRECT("Tabela1["&amp;$D47&amp;"]"),Tabela1[Turno],$F47,Tabela1[Data],AA$3)/100,"")</f>
        <v>0.26624999999999999</v>
      </c>
      <c r="AB47" s="16" t="str">
        <f ca="1">IFERROR(AVERAGEIFS(INDIRECT("Tabela1["&amp;$D47&amp;"]"),Tabela1[Turno],$F47,Tabela1[Data],AB$3)/100,"")</f>
        <v/>
      </c>
      <c r="AC47" s="16" t="str">
        <f ca="1">IFERROR(AVERAGEIFS(INDIRECT("Tabela1["&amp;$D47&amp;"]"),Tabela1[Turno],$F47,Tabela1[Data],AC$3)/100,"")</f>
        <v/>
      </c>
      <c r="AD47" s="16" t="str">
        <f ca="1">IFERROR(AVERAGEIFS(INDIRECT("Tabela1["&amp;$D47&amp;"]"),Tabela1[Turno],$F47,Tabela1[Data],AD$3)/100,"")</f>
        <v/>
      </c>
      <c r="AE47" s="16" t="str">
        <f ca="1">IFERROR(AVERAGEIFS(INDIRECT("Tabela1["&amp;$D47&amp;"]"),Tabela1[Turno],$F47,Tabela1[Data],AE$3)/100,"")</f>
        <v/>
      </c>
      <c r="AF47" s="16" t="str">
        <f ca="1">IFERROR(AVERAGEIFS(INDIRECT("Tabela1["&amp;$D47&amp;"]"),Tabela1[Turno],$F47,Tabela1[Data],AF$3)/100,"")</f>
        <v/>
      </c>
      <c r="AG47" s="16" t="str">
        <f ca="1">IFERROR(AVERAGEIFS(INDIRECT("Tabela1["&amp;$D47&amp;"]"),Tabela1[Turno],$F47,Tabela1[Data],AG$3)/100,"")</f>
        <v/>
      </c>
      <c r="AH47" s="16" t="str">
        <f ca="1">IFERROR(AVERAGEIFS(INDIRECT("Tabela1["&amp;$D47&amp;"]"),Tabela1[Turno],$F47,Tabela1[Data],AH$3)/100,"")</f>
        <v/>
      </c>
      <c r="AI47" s="16" t="str">
        <f ca="1">IFERROR(AVERAGEIFS(INDIRECT("Tabela1["&amp;$D47&amp;"]"),Tabela1[Turno],$F47,Tabela1[Data],AI$3)/100,"")</f>
        <v/>
      </c>
      <c r="AJ47" s="16" t="str">
        <f ca="1">IFERROR(AVERAGEIFS(INDIRECT("Tabela1["&amp;$D47&amp;"]"),Tabela1[Turno],$F47,Tabela1[Data],AJ$3)/100,"")</f>
        <v/>
      </c>
      <c r="AK47" s="16" t="str">
        <f ca="1">IFERROR(AVERAGEIFS(INDIRECT("Tabela1["&amp;$D47&amp;"]"),Tabela1[Turno],$F47,Tabela1[Data],AK$3)/100,"")</f>
        <v/>
      </c>
      <c r="AL47" s="16" t="str">
        <f ca="1">IFERROR(AVERAGEIFS(INDIRECT("Tabela1["&amp;$D47&amp;"]"),Tabela1[Turno],$F47,Tabela1[Data],AL$3)/100,"")</f>
        <v/>
      </c>
      <c r="AM47" s="16" t="str">
        <f ca="1">IFERROR(AVERAGEIFS(INDIRECT("Tabela1["&amp;$D47&amp;"]"),Tabela1[Turno],$F47,Tabela1[Data],AM$3)/100,"")</f>
        <v/>
      </c>
      <c r="AN47" s="16" t="str">
        <f ca="1">IFERROR(AVERAGEIFS(INDIRECT("Tabela1["&amp;$D47&amp;"]"),Tabela1[Turno],$F47,Tabela1[Data],AN$3)/100,"")</f>
        <v/>
      </c>
      <c r="AO47" s="16" t="str">
        <f ca="1">IFERROR(AVERAGEIFS(INDIRECT("Tabela1["&amp;$D47&amp;"]"),Tabela1[Turno],$F47,Tabela1[Data],AO$3)/100,"")</f>
        <v/>
      </c>
      <c r="AP47" s="16" t="str">
        <f ca="1">IFERROR(AVERAGEIFS(INDIRECT("Tabela1["&amp;$D47&amp;"]"),Tabela1[Turno],$F47,Tabela1[Data],AP$3)/100,"")</f>
        <v/>
      </c>
      <c r="AQ47" s="16" t="str">
        <f ca="1">IFERROR(AVERAGEIFS(INDIRECT("Tabela1["&amp;$D47&amp;"]"),Tabela1[Turno],$F47,Tabela1[Data],AQ$3)/100,"")</f>
        <v/>
      </c>
      <c r="AR47" s="16" t="str">
        <f ca="1">IFERROR(AVERAGEIFS(INDIRECT("Tabela1["&amp;$D47&amp;"]"),Tabela1[Turno],$F47,Tabela1[Data],AR$3)/100,"")</f>
        <v/>
      </c>
    </row>
    <row r="48" spans="1:44" ht="15" thickBot="1" x14ac:dyDescent="0.35">
      <c r="A48" s="25" t="s">
        <v>122</v>
      </c>
      <c r="B48" s="25" t="str">
        <f t="shared" si="1"/>
        <v>Unidade</v>
      </c>
      <c r="C48" s="25" t="s">
        <v>122</v>
      </c>
      <c r="D48" s="4" t="str">
        <f t="shared" si="2"/>
        <v>% Carne Refile Perna</v>
      </c>
      <c r="E48" s="37"/>
      <c r="F48" s="24" t="s">
        <v>142</v>
      </c>
      <c r="G48" s="10">
        <f ca="1">IFERROR(AVERAGEIFS(INDIRECT("Tabela1["&amp;$D48&amp;"]"),Tabela1[Mês],G$3)/100,"")</f>
        <v>0.435</v>
      </c>
      <c r="H48" s="10">
        <f ca="1">IFERROR(AVERAGEIFS(INDIRECT("Tabela1["&amp;$D48&amp;"]"),Tabela1[Mês],H$3)/100,"")</f>
        <v>0.36950000000000005</v>
      </c>
      <c r="I48" s="10">
        <f ca="1">IFERROR(AVERAGEIFS(INDIRECT("Tabela1["&amp;$D48&amp;"]"),Tabela1[Mês],I$3)/100,"")</f>
        <v>0.3725</v>
      </c>
      <c r="J48" s="10">
        <f ca="1">IFERROR(AVERAGEIFS(INDIRECT("Tabela1["&amp;$D48&amp;"]"),Tabela1[Mês],J$3)/100,"")</f>
        <v>0.31914999999999999</v>
      </c>
      <c r="K48" s="10">
        <f ca="1">IFERROR(AVERAGEIFS(INDIRECT("Tabela1["&amp;$D48&amp;"]"),Tabela1[Mês],K$3)/100,"")</f>
        <v>0.30990000000000001</v>
      </c>
      <c r="L48" s="10">
        <f ca="1">IFERROR(AVERAGEIFS(INDIRECT("Tabela1["&amp;$D48&amp;"]"),Tabela1[Mês],L$3)/100,"")</f>
        <v>0.26134999999999997</v>
      </c>
      <c r="M48" s="10">
        <f ca="1">IFERROR(AVERAGEIFS(INDIRECT("Tabela1["&amp;$D48&amp;"]"),Tabela1[Mês],M$3)/100,"")</f>
        <v>0.26939999999999997</v>
      </c>
      <c r="N48" s="10">
        <f ca="1">IFERROR(AVERAGEIFS(INDIRECT("Tabela1["&amp;$D48&amp;"]"),Tabela1[Mês],N$3)/100,"")</f>
        <v>0.21840000000000001</v>
      </c>
      <c r="O48" s="10">
        <f ca="1">IFERROR(AVERAGEIFS(INDIRECT("Tabela1["&amp;$D48&amp;"]"),Tabela1[Mês],O$3)/100,"")</f>
        <v>0.28159090909090911</v>
      </c>
      <c r="P48" s="10">
        <f ca="1">IFERROR(AVERAGEIFS(INDIRECT("Tabela1["&amp;$D48&amp;"]"),Tabela1[Mês],P$3)/100,"")</f>
        <v>0.24557692307692305</v>
      </c>
      <c r="Q48" s="10" t="str">
        <f ca="1">IFERROR(AVERAGEIFS(INDIRECT("Tabela1["&amp;$D48&amp;"]"),Tabela1[Mês],Q$3)/100,"")</f>
        <v/>
      </c>
      <c r="R48" s="10" t="str">
        <f ca="1">IFERROR(AVERAGEIFS(INDIRECT("Tabela1["&amp;$D48&amp;"]"),Tabela1[Mês],R$3)/100,"")</f>
        <v/>
      </c>
      <c r="S48" s="40"/>
      <c r="U48" s="10">
        <f ca="1">IFERROR(AVERAGEIFS(INDIRECT("Tabela1["&amp;$D48&amp;"]"),Tabela1[Data],U$3)/100,"")</f>
        <v>0.30166666666666669</v>
      </c>
      <c r="V48" s="10">
        <f ca="1">IFERROR(AVERAGEIFS(INDIRECT("Tabela1["&amp;$D48&amp;"]"),Tabela1[Data],V$3)/100,"")</f>
        <v>0.23499999999999999</v>
      </c>
      <c r="W48" s="10">
        <f ca="1">IFERROR(AVERAGEIFS(INDIRECT("Tabela1["&amp;$D48&amp;"]"),Tabela1[Data],W$3)/100,"")</f>
        <v>0.22500000000000001</v>
      </c>
      <c r="X48" s="10">
        <f ca="1">IFERROR(AVERAGEIFS(INDIRECT("Tabela1["&amp;$D48&amp;"]"),Tabela1[Data],X$3)/100,"")</f>
        <v>0.21875</v>
      </c>
      <c r="Y48" s="10">
        <f ca="1">IFERROR(AVERAGEIFS(INDIRECT("Tabela1["&amp;$D48&amp;"]"),Tabela1[Data],Y$3)/100,"")</f>
        <v>0.22625000000000001</v>
      </c>
      <c r="Z48" s="10">
        <f ca="1">IFERROR(AVERAGEIFS(INDIRECT("Tabela1["&amp;$D48&amp;"]"),Tabela1[Data],Z$3)/100,"")</f>
        <v>0.255</v>
      </c>
      <c r="AA48" s="10">
        <f ca="1">IFERROR(AVERAGEIFS(INDIRECT("Tabela1["&amp;$D48&amp;"]"),Tabela1[Data],AA$3)/100,"")</f>
        <v>0.26624999999999999</v>
      </c>
      <c r="AB48" s="10" t="str">
        <f ca="1">IFERROR(AVERAGEIFS(INDIRECT("Tabela1["&amp;$D48&amp;"]"),Tabela1[Data],AB$3)/100,"")</f>
        <v/>
      </c>
      <c r="AC48" s="10" t="str">
        <f ca="1">IFERROR(AVERAGEIFS(INDIRECT("Tabela1["&amp;$D48&amp;"]"),Tabela1[Data],AC$3)/100,"")</f>
        <v/>
      </c>
      <c r="AD48" s="10" t="str">
        <f ca="1">IFERROR(AVERAGEIFS(INDIRECT("Tabela1["&amp;$D48&amp;"]"),Tabela1[Data],AD$3)/100,"")</f>
        <v/>
      </c>
      <c r="AE48" s="10" t="str">
        <f ca="1">IFERROR(AVERAGEIFS(INDIRECT("Tabela1["&amp;$D48&amp;"]"),Tabela1[Data],AE$3)/100,"")</f>
        <v/>
      </c>
      <c r="AF48" s="10" t="str">
        <f ca="1">IFERROR(AVERAGEIFS(INDIRECT("Tabela1["&amp;$D48&amp;"]"),Tabela1[Data],AF$3)/100,"")</f>
        <v/>
      </c>
      <c r="AG48" s="10" t="str">
        <f ca="1">IFERROR(AVERAGEIFS(INDIRECT("Tabela1["&amp;$D48&amp;"]"),Tabela1[Data],AG$3)/100,"")</f>
        <v/>
      </c>
      <c r="AH48" s="10" t="str">
        <f ca="1">IFERROR(AVERAGEIFS(INDIRECT("Tabela1["&amp;$D48&amp;"]"),Tabela1[Data],AH$3)/100,"")</f>
        <v/>
      </c>
      <c r="AI48" s="10" t="str">
        <f ca="1">IFERROR(AVERAGEIFS(INDIRECT("Tabela1["&amp;$D48&amp;"]"),Tabela1[Data],AI$3)/100,"")</f>
        <v/>
      </c>
      <c r="AJ48" s="10" t="str">
        <f ca="1">IFERROR(AVERAGEIFS(INDIRECT("Tabela1["&amp;$D48&amp;"]"),Tabela1[Data],AJ$3)/100,"")</f>
        <v/>
      </c>
      <c r="AK48" s="10" t="str">
        <f ca="1">IFERROR(AVERAGEIFS(INDIRECT("Tabela1["&amp;$D48&amp;"]"),Tabela1[Data],AK$3)/100,"")</f>
        <v/>
      </c>
      <c r="AL48" s="10" t="str">
        <f ca="1">IFERROR(AVERAGEIFS(INDIRECT("Tabela1["&amp;$D48&amp;"]"),Tabela1[Data],AL$3)/100,"")</f>
        <v/>
      </c>
      <c r="AM48" s="10" t="str">
        <f ca="1">IFERROR(AVERAGEIFS(INDIRECT("Tabela1["&amp;$D48&amp;"]"),Tabela1[Data],AM$3)/100,"")</f>
        <v/>
      </c>
      <c r="AN48" s="10" t="str">
        <f ca="1">IFERROR(AVERAGEIFS(INDIRECT("Tabela1["&amp;$D48&amp;"]"),Tabela1[Data],AN$3)/100,"")</f>
        <v/>
      </c>
      <c r="AO48" s="10" t="str">
        <f ca="1">IFERROR(AVERAGEIFS(INDIRECT("Tabela1["&amp;$D48&amp;"]"),Tabela1[Data],AO$3)/100,"")</f>
        <v/>
      </c>
      <c r="AP48" s="10" t="str">
        <f ca="1">IFERROR(AVERAGEIFS(INDIRECT("Tabela1["&amp;$D48&amp;"]"),Tabela1[Data],AP$3)/100,"")</f>
        <v/>
      </c>
      <c r="AQ48" s="10" t="str">
        <f ca="1">IFERROR(AVERAGEIFS(INDIRECT("Tabela1["&amp;$D48&amp;"]"),Tabela1[Data],AQ$3)/100,"")</f>
        <v/>
      </c>
      <c r="AR48" s="10" t="str">
        <f ca="1">IFERROR(AVERAGEIFS(INDIRECT("Tabela1["&amp;$D48&amp;"]"),Tabela1[Data],AR$3)/100,"")</f>
        <v/>
      </c>
    </row>
    <row r="49" spans="1:44" ht="15" thickTop="1" x14ac:dyDescent="0.3">
      <c r="A49" s="25" t="s">
        <v>123</v>
      </c>
      <c r="B49" s="25">
        <f t="shared" si="1"/>
        <v>1</v>
      </c>
      <c r="C49" s="25" t="s">
        <v>123</v>
      </c>
      <c r="D49" s="4" t="str">
        <f>IF(E49=0,#REF!,E49)</f>
        <v>% Carne Refile Peito</v>
      </c>
      <c r="E49" s="35" t="str">
        <f>Coleta!AC1</f>
        <v>% Carne Refile Peito</v>
      </c>
      <c r="F49" s="22">
        <v>1</v>
      </c>
      <c r="G49" s="28">
        <f ca="1">IFERROR(AVERAGEIFS(INDIRECT("Tabela1["&amp;$D49&amp;"]"),Tabela1[Turno],$F49,Tabela1[Mês],G$3)/100,"")</f>
        <v>0.56999999999999995</v>
      </c>
      <c r="H49" s="28">
        <f ca="1">IFERROR(AVERAGEIFS(INDIRECT("Tabela1["&amp;$D49&amp;"]"),Tabela1[Turno],$F49,Tabela1[Mês],H$3)/100,"")</f>
        <v>0.56000000000000005</v>
      </c>
      <c r="I49" s="28">
        <f ca="1">IFERROR(AVERAGEIFS(INDIRECT("Tabela1["&amp;$D49&amp;"]"),Tabela1[Turno],$F49,Tabela1[Mês],I$3)/100,"")</f>
        <v>0.54</v>
      </c>
      <c r="J49" s="28">
        <f ca="1">IFERROR(AVERAGEIFS(INDIRECT("Tabela1["&amp;$D49&amp;"]"),Tabela1[Turno],$F49,Tabela1[Mês],J$3)/100,"")</f>
        <v>0.39</v>
      </c>
      <c r="K49" s="28">
        <f ca="1">IFERROR(AVERAGEIFS(INDIRECT("Tabela1["&amp;$D49&amp;"]"),Tabela1[Turno],$F49,Tabela1[Mês],K$3)/100,"")</f>
        <v>0.39</v>
      </c>
      <c r="L49" s="28">
        <f ca="1">IFERROR(AVERAGEIFS(INDIRECT("Tabela1["&amp;$D49&amp;"]"),Tabela1[Turno],$F49,Tabela1[Mês],L$3)/100,"")</f>
        <v>0.31</v>
      </c>
      <c r="M49" s="28">
        <f ca="1">IFERROR(AVERAGEIFS(INDIRECT("Tabela1["&amp;$D49&amp;"]"),Tabela1[Turno],$F49,Tabela1[Mês],M$3)/100,"")</f>
        <v>0.23</v>
      </c>
      <c r="N49" s="28">
        <f ca="1">IFERROR(AVERAGEIFS(INDIRECT("Tabela1["&amp;$D49&amp;"]"),Tabela1[Turno],$F49,Tabela1[Mês],N$3)/100,"")</f>
        <v>0.29666666666666669</v>
      </c>
      <c r="O49" s="28">
        <f ca="1">IFERROR(AVERAGEIFS(INDIRECT("Tabela1["&amp;$D49&amp;"]"),Tabela1[Turno],$F49,Tabela1[Mês],O$3)/100,"")</f>
        <v>0.27350000000000002</v>
      </c>
      <c r="P49" s="28" t="str">
        <f ca="1">IFERROR(AVERAGEIFS(INDIRECT("Tabela1["&amp;$D49&amp;"]"),Tabela1[Turno],$F49,Tabela1[Mês],P$3)/100,"")</f>
        <v/>
      </c>
      <c r="Q49" s="28" t="str">
        <f ca="1">IFERROR(AVERAGEIFS(INDIRECT("Tabela1["&amp;$D49&amp;"]"),Tabela1[Turno],$F49,Tabela1[Mês],Q$3)/100,"")</f>
        <v/>
      </c>
      <c r="R49" s="29" t="str">
        <f ca="1">IFERROR(AVERAGEIFS(INDIRECT("Tabela1["&amp;$D49&amp;"]"),Tabela1[Turno],$F49,Tabela1[Mês],R$3)/100,"")</f>
        <v/>
      </c>
      <c r="S49" s="41">
        <v>0.15</v>
      </c>
      <c r="U49" s="15" t="str">
        <f ca="1">IFERROR(AVERAGEIFS(INDIRECT("Tabela1["&amp;$D49&amp;"]"),Tabela1[Turno],$F49,Tabela1[Data],U$3)/100,"")</f>
        <v/>
      </c>
      <c r="V49" s="15" t="str">
        <f ca="1">IFERROR(AVERAGEIFS(INDIRECT("Tabela1["&amp;$D49&amp;"]"),Tabela1[Turno],$F49,Tabela1[Data],V$3)/100,"")</f>
        <v/>
      </c>
      <c r="W49" s="28" t="str">
        <f ca="1">IFERROR(AVERAGEIFS(INDIRECT("Tabela1["&amp;$D49&amp;"]"),Tabela1[Turno],$F49,Tabela1[Data],W$3)/100,"")</f>
        <v/>
      </c>
      <c r="X49" s="28" t="str">
        <f ca="1">IFERROR(AVERAGEIFS(INDIRECT("Tabela1["&amp;$D49&amp;"]"),Tabela1[Turno],$F49,Tabela1[Data],X$3)/100,"")</f>
        <v/>
      </c>
      <c r="Y49" s="28" t="str">
        <f ca="1">IFERROR(AVERAGEIFS(INDIRECT("Tabela1["&amp;$D49&amp;"]"),Tabela1[Turno],$F49,Tabela1[Data],Y$3)/100,"")</f>
        <v/>
      </c>
      <c r="Z49" s="28" t="str">
        <f ca="1">IFERROR(AVERAGEIFS(INDIRECT("Tabela1["&amp;$D49&amp;"]"),Tabela1[Turno],$F49,Tabela1[Data],Z$3)/100,"")</f>
        <v/>
      </c>
      <c r="AA49" s="28" t="str">
        <f ca="1">IFERROR(AVERAGEIFS(INDIRECT("Tabela1["&amp;$D49&amp;"]"),Tabela1[Turno],$F49,Tabela1[Data],AA$3)/100,"")</f>
        <v/>
      </c>
      <c r="AB49" s="28" t="str">
        <f ca="1">IFERROR(AVERAGEIFS(INDIRECT("Tabela1["&amp;$D49&amp;"]"),Tabela1[Turno],$F49,Tabela1[Data],AB$3)/100,"")</f>
        <v/>
      </c>
      <c r="AC49" s="28" t="str">
        <f ca="1">IFERROR(AVERAGEIFS(INDIRECT("Tabela1["&amp;$D49&amp;"]"),Tabela1[Turno],$F49,Tabela1[Data],AC$3)/100,"")</f>
        <v/>
      </c>
      <c r="AD49" s="28" t="str">
        <f ca="1">IFERROR(AVERAGEIFS(INDIRECT("Tabela1["&amp;$D49&amp;"]"),Tabela1[Turno],$F49,Tabela1[Data],AD$3)/100,"")</f>
        <v/>
      </c>
      <c r="AE49" s="28" t="str">
        <f ca="1">IFERROR(AVERAGEIFS(INDIRECT("Tabela1["&amp;$D49&amp;"]"),Tabela1[Turno],$F49,Tabela1[Data],AE$3)/100,"")</f>
        <v/>
      </c>
      <c r="AF49" s="28" t="str">
        <f ca="1">IFERROR(AVERAGEIFS(INDIRECT("Tabela1["&amp;$D49&amp;"]"),Tabela1[Turno],$F49,Tabela1[Data],AF$3)/100,"")</f>
        <v/>
      </c>
      <c r="AG49" s="28" t="str">
        <f ca="1">IFERROR(AVERAGEIFS(INDIRECT("Tabela1["&amp;$D49&amp;"]"),Tabela1[Turno],$F49,Tabela1[Data],AG$3)/100,"")</f>
        <v/>
      </c>
      <c r="AH49" s="28" t="str">
        <f ca="1">IFERROR(AVERAGEIFS(INDIRECT("Tabela1["&amp;$D49&amp;"]"),Tabela1[Turno],$F49,Tabela1[Data],AH$3)/100,"")</f>
        <v/>
      </c>
      <c r="AI49" s="28" t="str">
        <f ca="1">IFERROR(AVERAGEIFS(INDIRECT("Tabela1["&amp;$D49&amp;"]"),Tabela1[Turno],$F49,Tabela1[Data],AI$3)/100,"")</f>
        <v/>
      </c>
      <c r="AJ49" s="28" t="str">
        <f ca="1">IFERROR(AVERAGEIFS(INDIRECT("Tabela1["&amp;$D49&amp;"]"),Tabela1[Turno],$F49,Tabela1[Data],AJ$3)/100,"")</f>
        <v/>
      </c>
      <c r="AK49" s="28" t="str">
        <f ca="1">IFERROR(AVERAGEIFS(INDIRECT("Tabela1["&amp;$D49&amp;"]"),Tabela1[Turno],$F49,Tabela1[Data],AK$3)/100,"")</f>
        <v/>
      </c>
      <c r="AL49" s="28" t="str">
        <f ca="1">IFERROR(AVERAGEIFS(INDIRECT("Tabela1["&amp;$D49&amp;"]"),Tabela1[Turno],$F49,Tabela1[Data],AL$3)/100,"")</f>
        <v/>
      </c>
      <c r="AM49" s="28" t="str">
        <f ca="1">IFERROR(AVERAGEIFS(INDIRECT("Tabela1["&amp;$D49&amp;"]"),Tabela1[Turno],$F49,Tabela1[Data],AM$3)/100,"")</f>
        <v/>
      </c>
      <c r="AN49" s="28" t="str">
        <f ca="1">IFERROR(AVERAGEIFS(INDIRECT("Tabela1["&amp;$D49&amp;"]"),Tabela1[Turno],$F49,Tabela1[Data],AN$3)/100,"")</f>
        <v/>
      </c>
      <c r="AO49" s="28" t="str">
        <f ca="1">IFERROR(AVERAGEIFS(INDIRECT("Tabela1["&amp;$D49&amp;"]"),Tabela1[Turno],$F49,Tabela1[Data],AO$3)/100,"")</f>
        <v/>
      </c>
      <c r="AP49" s="28" t="str">
        <f ca="1">IFERROR(AVERAGEIFS(INDIRECT("Tabela1["&amp;$D49&amp;"]"),Tabela1[Turno],$F49,Tabela1[Data],AP$3)/100,"")</f>
        <v/>
      </c>
      <c r="AQ49" s="28" t="str">
        <f ca="1">IFERROR(AVERAGEIFS(INDIRECT("Tabela1["&amp;$D49&amp;"]"),Tabela1[Turno],$F49,Tabela1[Data],AQ$3)/100,"")</f>
        <v/>
      </c>
      <c r="AR49" s="28" t="str">
        <f ca="1">IFERROR(AVERAGEIFS(INDIRECT("Tabela1["&amp;$D49&amp;"]"),Tabela1[Turno],$F49,Tabela1[Data],AR$3)/100,"")</f>
        <v/>
      </c>
    </row>
    <row r="50" spans="1:44" x14ac:dyDescent="0.3">
      <c r="A50" s="25" t="s">
        <v>123</v>
      </c>
      <c r="B50" s="25">
        <f t="shared" si="1"/>
        <v>2</v>
      </c>
      <c r="C50" s="25" t="s">
        <v>123</v>
      </c>
      <c r="D50" s="4" t="str">
        <f t="shared" si="2"/>
        <v>% Carne Refile Peito</v>
      </c>
      <c r="E50" s="36"/>
      <c r="F50" s="23">
        <v>2</v>
      </c>
      <c r="G50" s="16">
        <f ca="1">IFERROR(AVERAGEIFS(INDIRECT("Tabela1["&amp;$D50&amp;"]"),Tabela1[Turno],$F50,Tabela1[Mês],G$3)/100,"")</f>
        <v>0.52</v>
      </c>
      <c r="H50" s="16">
        <f ca="1">IFERROR(AVERAGEIFS(INDIRECT("Tabela1["&amp;$D50&amp;"]"),Tabela1[Turno],$F50,Tabela1[Mês],H$3)/100,"")</f>
        <v>0.56000000000000005</v>
      </c>
      <c r="I50" s="16">
        <f ca="1">IFERROR(AVERAGEIFS(INDIRECT("Tabela1["&amp;$D50&amp;"]"),Tabela1[Turno],$F50,Tabela1[Mês],I$3)/100,"")</f>
        <v>0.57999999999999996</v>
      </c>
      <c r="J50" s="16">
        <f ca="1">IFERROR(AVERAGEIFS(INDIRECT("Tabela1["&amp;$D50&amp;"]"),Tabela1[Turno],$F50,Tabela1[Mês],J$3)/100,"")</f>
        <v>0.48</v>
      </c>
      <c r="K50" s="16">
        <f ca="1">IFERROR(AVERAGEIFS(INDIRECT("Tabela1["&amp;$D50&amp;"]"),Tabela1[Turno],$F50,Tabela1[Mês],K$3)/100,"")</f>
        <v>0.43</v>
      </c>
      <c r="L50" s="16">
        <f ca="1">IFERROR(AVERAGEIFS(INDIRECT("Tabela1["&amp;$D50&amp;"]"),Tabela1[Turno],$F50,Tabela1[Mês],L$3)/100,"")</f>
        <v>0.3</v>
      </c>
      <c r="M50" s="16">
        <f ca="1">IFERROR(AVERAGEIFS(INDIRECT("Tabela1["&amp;$D50&amp;"]"),Tabela1[Turno],$F50,Tabela1[Mês],M$3)/100,"")</f>
        <v>0.2</v>
      </c>
      <c r="N50" s="16">
        <f ca="1">IFERROR(AVERAGEIFS(INDIRECT("Tabela1["&amp;$D50&amp;"]"),Tabela1[Turno],$F50,Tabela1[Mês],N$3)/100,"")</f>
        <v>0.22246478873239436</v>
      </c>
      <c r="O50" s="16">
        <f ca="1">IFERROR(AVERAGEIFS(INDIRECT("Tabela1["&amp;$D50&amp;"]"),Tabela1[Turno],$F50,Tabela1[Mês],O$3)/100,"")</f>
        <v>0.20017857142857143</v>
      </c>
      <c r="P50" s="16">
        <f ca="1">IFERROR(AVERAGEIFS(INDIRECT("Tabela1["&amp;$D50&amp;"]"),Tabela1[Turno],$F50,Tabela1[Mês],P$3)/100,"")</f>
        <v>0.24462962962962961</v>
      </c>
      <c r="Q50" s="16" t="str">
        <f ca="1">IFERROR(AVERAGEIFS(INDIRECT("Tabela1["&amp;$D50&amp;"]"),Tabela1[Turno],$F50,Tabela1[Mês],Q$3)/100,"")</f>
        <v/>
      </c>
      <c r="R50" s="17" t="str">
        <f ca="1">IFERROR(AVERAGEIFS(INDIRECT("Tabela1["&amp;$D50&amp;"]"),Tabela1[Turno],$F50,Tabela1[Mês],R$3)/100,"")</f>
        <v/>
      </c>
      <c r="S50" s="39"/>
      <c r="U50" s="16">
        <f ca="1">IFERROR(AVERAGEIFS(INDIRECT("Tabela1["&amp;$D50&amp;"]"),Tabela1[Turno],$F50,Tabela1[Data],U$3)/100,"")</f>
        <v>0.26374999999999998</v>
      </c>
      <c r="V50" s="16">
        <f ca="1">IFERROR(AVERAGEIFS(INDIRECT("Tabela1["&amp;$D50&amp;"]"),Tabela1[Turno],$F50,Tabela1[Data],V$3)/100,"")</f>
        <v>0.255</v>
      </c>
      <c r="W50" s="16">
        <f ca="1">IFERROR(AVERAGEIFS(INDIRECT("Tabela1["&amp;$D50&amp;"]"),Tabela1[Turno],$F50,Tabela1[Data],W$3)/100,"")</f>
        <v>0.21333333333333332</v>
      </c>
      <c r="X50" s="16">
        <f ca="1">IFERROR(AVERAGEIFS(INDIRECT("Tabela1["&amp;$D50&amp;"]"),Tabela1[Turno],$F50,Tabela1[Data],X$3)/100,"")</f>
        <v>0.23</v>
      </c>
      <c r="Y50" s="16">
        <f ca="1">IFERROR(AVERAGEIFS(INDIRECT("Tabela1["&amp;$D50&amp;"]"),Tabela1[Turno],$F50,Tabela1[Data],Y$3)/100,"")</f>
        <v>0.20250000000000001</v>
      </c>
      <c r="Z50" s="16">
        <f ca="1">IFERROR(AVERAGEIFS(INDIRECT("Tabela1["&amp;$D50&amp;"]"),Tabela1[Turno],$F50,Tabela1[Data],Z$3)/100,"")</f>
        <v>0.23624999999999999</v>
      </c>
      <c r="AA50" s="16">
        <f ca="1">IFERROR(AVERAGEIFS(INDIRECT("Tabela1["&amp;$D50&amp;"]"),Tabela1[Turno],$F50,Tabela1[Data],AA$3)/100,"")</f>
        <v>0.30375000000000002</v>
      </c>
      <c r="AB50" s="16" t="str">
        <f ca="1">IFERROR(AVERAGEIFS(INDIRECT("Tabela1["&amp;$D50&amp;"]"),Tabela1[Turno],$F50,Tabela1[Data],AB$3)/100,"")</f>
        <v/>
      </c>
      <c r="AC50" s="16" t="str">
        <f ca="1">IFERROR(AVERAGEIFS(INDIRECT("Tabela1["&amp;$D50&amp;"]"),Tabela1[Turno],$F50,Tabela1[Data],AC$3)/100,"")</f>
        <v/>
      </c>
      <c r="AD50" s="16" t="str">
        <f ca="1">IFERROR(AVERAGEIFS(INDIRECT("Tabela1["&amp;$D50&amp;"]"),Tabela1[Turno],$F50,Tabela1[Data],AD$3)/100,"")</f>
        <v/>
      </c>
      <c r="AE50" s="16" t="str">
        <f ca="1">IFERROR(AVERAGEIFS(INDIRECT("Tabela1["&amp;$D50&amp;"]"),Tabela1[Turno],$F50,Tabela1[Data],AE$3)/100,"")</f>
        <v/>
      </c>
      <c r="AF50" s="16" t="str">
        <f ca="1">IFERROR(AVERAGEIFS(INDIRECT("Tabela1["&amp;$D50&amp;"]"),Tabela1[Turno],$F50,Tabela1[Data],AF$3)/100,"")</f>
        <v/>
      </c>
      <c r="AG50" s="16" t="str">
        <f ca="1">IFERROR(AVERAGEIFS(INDIRECT("Tabela1["&amp;$D50&amp;"]"),Tabela1[Turno],$F50,Tabela1[Data],AG$3)/100,"")</f>
        <v/>
      </c>
      <c r="AH50" s="16" t="str">
        <f ca="1">IFERROR(AVERAGEIFS(INDIRECT("Tabela1["&amp;$D50&amp;"]"),Tabela1[Turno],$F50,Tabela1[Data],AH$3)/100,"")</f>
        <v/>
      </c>
      <c r="AI50" s="16" t="str">
        <f ca="1">IFERROR(AVERAGEIFS(INDIRECT("Tabela1["&amp;$D50&amp;"]"),Tabela1[Turno],$F50,Tabela1[Data],AI$3)/100,"")</f>
        <v/>
      </c>
      <c r="AJ50" s="16" t="str">
        <f ca="1">IFERROR(AVERAGEIFS(INDIRECT("Tabela1["&amp;$D50&amp;"]"),Tabela1[Turno],$F50,Tabela1[Data],AJ$3)/100,"")</f>
        <v/>
      </c>
      <c r="AK50" s="16" t="str">
        <f ca="1">IFERROR(AVERAGEIFS(INDIRECT("Tabela1["&amp;$D50&amp;"]"),Tabela1[Turno],$F50,Tabela1[Data],AK$3)/100,"")</f>
        <v/>
      </c>
      <c r="AL50" s="16" t="str">
        <f ca="1">IFERROR(AVERAGEIFS(INDIRECT("Tabela1["&amp;$D50&amp;"]"),Tabela1[Turno],$F50,Tabela1[Data],AL$3)/100,"")</f>
        <v/>
      </c>
      <c r="AM50" s="16" t="str">
        <f ca="1">IFERROR(AVERAGEIFS(INDIRECT("Tabela1["&amp;$D50&amp;"]"),Tabela1[Turno],$F50,Tabela1[Data],AM$3)/100,"")</f>
        <v/>
      </c>
      <c r="AN50" s="16" t="str">
        <f ca="1">IFERROR(AVERAGEIFS(INDIRECT("Tabela1["&amp;$D50&amp;"]"),Tabela1[Turno],$F50,Tabela1[Data],AN$3)/100,"")</f>
        <v/>
      </c>
      <c r="AO50" s="16" t="str">
        <f ca="1">IFERROR(AVERAGEIFS(INDIRECT("Tabela1["&amp;$D50&amp;"]"),Tabela1[Turno],$F50,Tabela1[Data],AO$3)/100,"")</f>
        <v/>
      </c>
      <c r="AP50" s="16" t="str">
        <f ca="1">IFERROR(AVERAGEIFS(INDIRECT("Tabela1["&amp;$D50&amp;"]"),Tabela1[Turno],$F50,Tabela1[Data],AP$3)/100,"")</f>
        <v/>
      </c>
      <c r="AQ50" s="16" t="str">
        <f ca="1">IFERROR(AVERAGEIFS(INDIRECT("Tabela1["&amp;$D50&amp;"]"),Tabela1[Turno],$F50,Tabela1[Data],AQ$3)/100,"")</f>
        <v/>
      </c>
      <c r="AR50" s="16" t="str">
        <f ca="1">IFERROR(AVERAGEIFS(INDIRECT("Tabela1["&amp;$D50&amp;"]"),Tabela1[Turno],$F50,Tabela1[Data],AR$3)/100,"")</f>
        <v/>
      </c>
    </row>
    <row r="51" spans="1:44" ht="15" thickBot="1" x14ac:dyDescent="0.35">
      <c r="A51" s="25" t="s">
        <v>123</v>
      </c>
      <c r="B51" s="25" t="str">
        <f t="shared" si="1"/>
        <v>Unidade</v>
      </c>
      <c r="C51" s="25" t="s">
        <v>123</v>
      </c>
      <c r="D51" s="4" t="str">
        <f t="shared" si="2"/>
        <v>% Carne Refile Peito</v>
      </c>
      <c r="E51" s="37"/>
      <c r="F51" s="24" t="s">
        <v>142</v>
      </c>
      <c r="G51" s="10">
        <f ca="1">IFERROR(AVERAGEIFS(INDIRECT("Tabela1["&amp;$D51&amp;"]"),Tabela1[Mês],G$3)/100,"")</f>
        <v>0.54500000000000004</v>
      </c>
      <c r="H51" s="10">
        <f ca="1">IFERROR(AVERAGEIFS(INDIRECT("Tabela1["&amp;$D51&amp;"]"),Tabela1[Mês],H$3)/100,"")</f>
        <v>0.56000000000000005</v>
      </c>
      <c r="I51" s="10">
        <f ca="1">IFERROR(AVERAGEIFS(INDIRECT("Tabela1["&amp;$D51&amp;"]"),Tabela1[Mês],I$3)/100,"")</f>
        <v>0.56000000000000005</v>
      </c>
      <c r="J51" s="10">
        <f ca="1">IFERROR(AVERAGEIFS(INDIRECT("Tabela1["&amp;$D51&amp;"]"),Tabela1[Mês],J$3)/100,"")</f>
        <v>0.435</v>
      </c>
      <c r="K51" s="10">
        <f ca="1">IFERROR(AVERAGEIFS(INDIRECT("Tabela1["&amp;$D51&amp;"]"),Tabela1[Mês],K$3)/100,"")</f>
        <v>0.41</v>
      </c>
      <c r="L51" s="10">
        <f ca="1">IFERROR(AVERAGEIFS(INDIRECT("Tabela1["&amp;$D51&amp;"]"),Tabela1[Mês],L$3)/100,"")</f>
        <v>0.30499999999999999</v>
      </c>
      <c r="M51" s="10">
        <f ca="1">IFERROR(AVERAGEIFS(INDIRECT("Tabela1["&amp;$D51&amp;"]"),Tabela1[Mês],M$3)/100,"")</f>
        <v>0.215</v>
      </c>
      <c r="N51" s="10">
        <f ca="1">IFERROR(AVERAGEIFS(INDIRECT("Tabela1["&amp;$D51&amp;"]"),Tabela1[Mês],N$3)/100,"")</f>
        <v>0.22526666666666667</v>
      </c>
      <c r="O51" s="10">
        <f ca="1">IFERROR(AVERAGEIFS(INDIRECT("Tabela1["&amp;$D51&amp;"]"),Tabela1[Mês],O$3)/100,"")</f>
        <v>0.2079787234042553</v>
      </c>
      <c r="P51" s="10">
        <f ca="1">IFERROR(AVERAGEIFS(INDIRECT("Tabela1["&amp;$D51&amp;"]"),Tabela1[Mês],P$3)/100,"")</f>
        <v>0.24462962962962961</v>
      </c>
      <c r="Q51" s="10" t="str">
        <f ca="1">IFERROR(AVERAGEIFS(INDIRECT("Tabela1["&amp;$D51&amp;"]"),Tabela1[Mês],Q$3)/100,"")</f>
        <v/>
      </c>
      <c r="R51" s="18" t="str">
        <f ca="1">IFERROR(AVERAGEIFS(INDIRECT("Tabela1["&amp;$D51&amp;"]"),Tabela1[Mês],R$3)/100,"")</f>
        <v/>
      </c>
      <c r="S51" s="40"/>
      <c r="U51" s="10">
        <f ca="1">IFERROR(AVERAGEIFS(INDIRECT("Tabela1["&amp;$D51&amp;"]"),Tabela1[Data],U$3)/100,"")</f>
        <v>0.26374999999999998</v>
      </c>
      <c r="V51" s="10">
        <f ca="1">IFERROR(AVERAGEIFS(INDIRECT("Tabela1["&amp;$D51&amp;"]"),Tabela1[Data],V$3)/100,"")</f>
        <v>0.255</v>
      </c>
      <c r="W51" s="10">
        <f ca="1">IFERROR(AVERAGEIFS(INDIRECT("Tabela1["&amp;$D51&amp;"]"),Tabela1[Data],W$3)/100,"")</f>
        <v>0.21333333333333332</v>
      </c>
      <c r="X51" s="10">
        <f ca="1">IFERROR(AVERAGEIFS(INDIRECT("Tabela1["&amp;$D51&amp;"]"),Tabela1[Data],X$3)/100,"")</f>
        <v>0.23</v>
      </c>
      <c r="Y51" s="10">
        <f ca="1">IFERROR(AVERAGEIFS(INDIRECT("Tabela1["&amp;$D51&amp;"]"),Tabela1[Data],Y$3)/100,"")</f>
        <v>0.20250000000000001</v>
      </c>
      <c r="Z51" s="10">
        <f ca="1">IFERROR(AVERAGEIFS(INDIRECT("Tabela1["&amp;$D51&amp;"]"),Tabela1[Data],Z$3)/100,"")</f>
        <v>0.23624999999999999</v>
      </c>
      <c r="AA51" s="10">
        <f ca="1">IFERROR(AVERAGEIFS(INDIRECT("Tabela1["&amp;$D51&amp;"]"),Tabela1[Data],AA$3)/100,"")</f>
        <v>0.30375000000000002</v>
      </c>
      <c r="AB51" s="10" t="str">
        <f ca="1">IFERROR(AVERAGEIFS(INDIRECT("Tabela1["&amp;$D51&amp;"]"),Tabela1[Data],AB$3)/100,"")</f>
        <v/>
      </c>
      <c r="AC51" s="10" t="str">
        <f ca="1">IFERROR(AVERAGEIFS(INDIRECT("Tabela1["&amp;$D51&amp;"]"),Tabela1[Data],AC$3)/100,"")</f>
        <v/>
      </c>
      <c r="AD51" s="10" t="str">
        <f ca="1">IFERROR(AVERAGEIFS(INDIRECT("Tabela1["&amp;$D51&amp;"]"),Tabela1[Data],AD$3)/100,"")</f>
        <v/>
      </c>
      <c r="AE51" s="10" t="str">
        <f ca="1">IFERROR(AVERAGEIFS(INDIRECT("Tabela1["&amp;$D51&amp;"]"),Tabela1[Data],AE$3)/100,"")</f>
        <v/>
      </c>
      <c r="AF51" s="10" t="str">
        <f ca="1">IFERROR(AVERAGEIFS(INDIRECT("Tabela1["&amp;$D51&amp;"]"),Tabela1[Data],AF$3)/100,"")</f>
        <v/>
      </c>
      <c r="AG51" s="10" t="str">
        <f ca="1">IFERROR(AVERAGEIFS(INDIRECT("Tabela1["&amp;$D51&amp;"]"),Tabela1[Data],AG$3)/100,"")</f>
        <v/>
      </c>
      <c r="AH51" s="10" t="str">
        <f ca="1">IFERROR(AVERAGEIFS(INDIRECT("Tabela1["&amp;$D51&amp;"]"),Tabela1[Data],AH$3)/100,"")</f>
        <v/>
      </c>
      <c r="AI51" s="10" t="str">
        <f ca="1">IFERROR(AVERAGEIFS(INDIRECT("Tabela1["&amp;$D51&amp;"]"),Tabela1[Data],AI$3)/100,"")</f>
        <v/>
      </c>
      <c r="AJ51" s="10" t="str">
        <f ca="1">IFERROR(AVERAGEIFS(INDIRECT("Tabela1["&amp;$D51&amp;"]"),Tabela1[Data],AJ$3)/100,"")</f>
        <v/>
      </c>
      <c r="AK51" s="10" t="str">
        <f ca="1">IFERROR(AVERAGEIFS(INDIRECT("Tabela1["&amp;$D51&amp;"]"),Tabela1[Data],AK$3)/100,"")</f>
        <v/>
      </c>
      <c r="AL51" s="10" t="str">
        <f ca="1">IFERROR(AVERAGEIFS(INDIRECT("Tabela1["&amp;$D51&amp;"]"),Tabela1[Data],AL$3)/100,"")</f>
        <v/>
      </c>
      <c r="AM51" s="10" t="str">
        <f ca="1">IFERROR(AVERAGEIFS(INDIRECT("Tabela1["&amp;$D51&amp;"]"),Tabela1[Data],AM$3)/100,"")</f>
        <v/>
      </c>
      <c r="AN51" s="10" t="str">
        <f ca="1">IFERROR(AVERAGEIFS(INDIRECT("Tabela1["&amp;$D51&amp;"]"),Tabela1[Data],AN$3)/100,"")</f>
        <v/>
      </c>
      <c r="AO51" s="10" t="str">
        <f ca="1">IFERROR(AVERAGEIFS(INDIRECT("Tabela1["&amp;$D51&amp;"]"),Tabela1[Data],AO$3)/100,"")</f>
        <v/>
      </c>
      <c r="AP51" s="10" t="str">
        <f ca="1">IFERROR(AVERAGEIFS(INDIRECT("Tabela1["&amp;$D51&amp;"]"),Tabela1[Data],AP$3)/100,"")</f>
        <v/>
      </c>
      <c r="AQ51" s="10" t="str">
        <f ca="1">IFERROR(AVERAGEIFS(INDIRECT("Tabela1["&amp;$D51&amp;"]"),Tabela1[Data],AQ$3)/100,"")</f>
        <v/>
      </c>
      <c r="AR51" s="10" t="str">
        <f ca="1">IFERROR(AVERAGEIFS(INDIRECT("Tabela1["&amp;$D51&amp;"]"),Tabela1[Data],AR$3)/100,"")</f>
        <v/>
      </c>
    </row>
    <row r="52" spans="1:44" ht="15" thickTop="1" x14ac:dyDescent="0.3">
      <c r="A52" s="25" t="s">
        <v>123</v>
      </c>
      <c r="B52" s="25">
        <f t="shared" si="1"/>
        <v>1</v>
      </c>
      <c r="C52" s="25" t="s">
        <v>123</v>
      </c>
      <c r="D52" s="4" t="str">
        <f t="shared" si="2"/>
        <v>% Peito Limpo na esteira</v>
      </c>
      <c r="E52" s="35" t="str">
        <f>Coleta!AD1</f>
        <v>% Peito Limpo na esteira</v>
      </c>
      <c r="F52" s="22">
        <v>1</v>
      </c>
      <c r="G52" s="28">
        <f ca="1">IFERROR(AVERAGEIFS(INDIRECT("Tabela1["&amp;$D52&amp;"]"),Tabela1[Turno],$F52,Tabela1[Mês],G$3)/100,"")</f>
        <v>0.66</v>
      </c>
      <c r="H52" s="28">
        <f ca="1">IFERROR(AVERAGEIFS(INDIRECT("Tabela1["&amp;$D52&amp;"]"),Tabela1[Turno],$F52,Tabela1[Mês],H$3)/100,"")</f>
        <v>0.73</v>
      </c>
      <c r="I52" s="28">
        <f ca="1">IFERROR(AVERAGEIFS(INDIRECT("Tabela1["&amp;$D52&amp;"]"),Tabela1[Turno],$F52,Tabela1[Mês],I$3)/100,"")</f>
        <v>0.65</v>
      </c>
      <c r="J52" s="28">
        <f ca="1">IFERROR(AVERAGEIFS(INDIRECT("Tabela1["&amp;$D52&amp;"]"),Tabela1[Turno],$F52,Tabela1[Mês],J$3)/100,"")</f>
        <v>0.67</v>
      </c>
      <c r="K52" s="28">
        <f ca="1">IFERROR(AVERAGEIFS(INDIRECT("Tabela1["&amp;$D52&amp;"]"),Tabela1[Turno],$F52,Tabela1[Mês],K$3)/100,"")</f>
        <v>0.69</v>
      </c>
      <c r="L52" s="28">
        <f ca="1">IFERROR(AVERAGEIFS(INDIRECT("Tabela1["&amp;$D52&amp;"]"),Tabela1[Turno],$F52,Tabela1[Mês],L$3)/100,"")</f>
        <v>0.72</v>
      </c>
      <c r="M52" s="28">
        <f ca="1">IFERROR(AVERAGEIFS(INDIRECT("Tabela1["&amp;$D52&amp;"]"),Tabela1[Turno],$F52,Tabela1[Mês],M$3)/100,"")</f>
        <v>0.7</v>
      </c>
      <c r="N52" s="28">
        <f ca="1">IFERROR(AVERAGEIFS(INDIRECT("Tabela1["&amp;$D52&amp;"]"),Tabela1[Turno],$F52,Tabela1[Mês],N$3)/100,"")</f>
        <v>0.47</v>
      </c>
      <c r="O52" s="28">
        <f ca="1">IFERROR(AVERAGEIFS(INDIRECT("Tabela1["&amp;$D52&amp;"]"),Tabela1[Turno],$F52,Tabela1[Mês],O$3)/100,"")</f>
        <v>0.35</v>
      </c>
      <c r="P52" s="28" t="str">
        <f ca="1">IFERROR(AVERAGEIFS(INDIRECT("Tabela1["&amp;$D52&amp;"]"),Tabela1[Turno],$F52,Tabela1[Mês],P$3)/100,"")</f>
        <v/>
      </c>
      <c r="Q52" s="28" t="str">
        <f ca="1">IFERROR(AVERAGEIFS(INDIRECT("Tabela1["&amp;$D52&amp;"]"),Tabela1[Turno],$F52,Tabela1[Mês],Q$3)/100,"")</f>
        <v/>
      </c>
      <c r="R52" s="29" t="str">
        <f ca="1">IFERROR(AVERAGEIFS(INDIRECT("Tabela1["&amp;$D52&amp;"]"),Tabela1[Turno],$F52,Tabela1[Mês],R$3)/100,"")</f>
        <v/>
      </c>
      <c r="S52" s="41">
        <v>0.7</v>
      </c>
      <c r="U52" s="15" t="str">
        <f ca="1">IFERROR(AVERAGEIFS(INDIRECT("Tabela1["&amp;$D52&amp;"]"),Tabela1[Turno],$F52,Tabela1[Data],U$3)/100,"")</f>
        <v/>
      </c>
      <c r="V52" s="15" t="str">
        <f ca="1">IFERROR(AVERAGEIFS(INDIRECT("Tabela1["&amp;$D52&amp;"]"),Tabela1[Turno],$F52,Tabela1[Data],V$3)/100,"")</f>
        <v/>
      </c>
      <c r="W52" s="28" t="str">
        <f ca="1">IFERROR(AVERAGEIFS(INDIRECT("Tabela1["&amp;$D52&amp;"]"),Tabela1[Turno],$F52,Tabela1[Data],W$3)/100,"")</f>
        <v/>
      </c>
      <c r="X52" s="28" t="str">
        <f ca="1">IFERROR(AVERAGEIFS(INDIRECT("Tabela1["&amp;$D52&amp;"]"),Tabela1[Turno],$F52,Tabela1[Data],X$3)/100,"")</f>
        <v/>
      </c>
      <c r="Y52" s="28" t="str">
        <f ca="1">IFERROR(AVERAGEIFS(INDIRECT("Tabela1["&amp;$D52&amp;"]"),Tabela1[Turno],$F52,Tabela1[Data],Y$3)/100,"")</f>
        <v/>
      </c>
      <c r="Z52" s="28" t="str">
        <f ca="1">IFERROR(AVERAGEIFS(INDIRECT("Tabela1["&amp;$D52&amp;"]"),Tabela1[Turno],$F52,Tabela1[Data],Z$3)/100,"")</f>
        <v/>
      </c>
      <c r="AA52" s="28" t="str">
        <f ca="1">IFERROR(AVERAGEIFS(INDIRECT("Tabela1["&amp;$D52&amp;"]"),Tabela1[Turno],$F52,Tabela1[Data],AA$3)/100,"")</f>
        <v/>
      </c>
      <c r="AB52" s="28" t="str">
        <f ca="1">IFERROR(AVERAGEIFS(INDIRECT("Tabela1["&amp;$D52&amp;"]"),Tabela1[Turno],$F52,Tabela1[Data],AB$3)/100,"")</f>
        <v/>
      </c>
      <c r="AC52" s="28" t="str">
        <f ca="1">IFERROR(AVERAGEIFS(INDIRECT("Tabela1["&amp;$D52&amp;"]"),Tabela1[Turno],$F52,Tabela1[Data],AC$3)/100,"")</f>
        <v/>
      </c>
      <c r="AD52" s="28" t="str">
        <f ca="1">IFERROR(AVERAGEIFS(INDIRECT("Tabela1["&amp;$D52&amp;"]"),Tabela1[Turno],$F52,Tabela1[Data],AD$3)/100,"")</f>
        <v/>
      </c>
      <c r="AE52" s="28" t="str">
        <f ca="1">IFERROR(AVERAGEIFS(INDIRECT("Tabela1["&amp;$D52&amp;"]"),Tabela1[Turno],$F52,Tabela1[Data],AE$3)/100,"")</f>
        <v/>
      </c>
      <c r="AF52" s="28" t="str">
        <f ca="1">IFERROR(AVERAGEIFS(INDIRECT("Tabela1["&amp;$D52&amp;"]"),Tabela1[Turno],$F52,Tabela1[Data],AF$3)/100,"")</f>
        <v/>
      </c>
      <c r="AG52" s="28" t="str">
        <f ca="1">IFERROR(AVERAGEIFS(INDIRECT("Tabela1["&amp;$D52&amp;"]"),Tabela1[Turno],$F52,Tabela1[Data],AG$3)/100,"")</f>
        <v/>
      </c>
      <c r="AH52" s="28" t="str">
        <f ca="1">IFERROR(AVERAGEIFS(INDIRECT("Tabela1["&amp;$D52&amp;"]"),Tabela1[Turno],$F52,Tabela1[Data],AH$3)/100,"")</f>
        <v/>
      </c>
      <c r="AI52" s="28" t="str">
        <f ca="1">IFERROR(AVERAGEIFS(INDIRECT("Tabela1["&amp;$D52&amp;"]"),Tabela1[Turno],$F52,Tabela1[Data],AI$3)/100,"")</f>
        <v/>
      </c>
      <c r="AJ52" s="28" t="str">
        <f ca="1">IFERROR(AVERAGEIFS(INDIRECT("Tabela1["&amp;$D52&amp;"]"),Tabela1[Turno],$F52,Tabela1[Data],AJ$3)/100,"")</f>
        <v/>
      </c>
      <c r="AK52" s="28" t="str">
        <f ca="1">IFERROR(AVERAGEIFS(INDIRECT("Tabela1["&amp;$D52&amp;"]"),Tabela1[Turno],$F52,Tabela1[Data],AK$3)/100,"")</f>
        <v/>
      </c>
      <c r="AL52" s="28" t="str">
        <f ca="1">IFERROR(AVERAGEIFS(INDIRECT("Tabela1["&amp;$D52&amp;"]"),Tabela1[Turno],$F52,Tabela1[Data],AL$3)/100,"")</f>
        <v/>
      </c>
      <c r="AM52" s="28" t="str">
        <f ca="1">IFERROR(AVERAGEIFS(INDIRECT("Tabela1["&amp;$D52&amp;"]"),Tabela1[Turno],$F52,Tabela1[Data],AM$3)/100,"")</f>
        <v/>
      </c>
      <c r="AN52" s="28" t="str">
        <f ca="1">IFERROR(AVERAGEIFS(INDIRECT("Tabela1["&amp;$D52&amp;"]"),Tabela1[Turno],$F52,Tabela1[Data],AN$3)/100,"")</f>
        <v/>
      </c>
      <c r="AO52" s="28" t="str">
        <f ca="1">IFERROR(AVERAGEIFS(INDIRECT("Tabela1["&amp;$D52&amp;"]"),Tabela1[Turno],$F52,Tabela1[Data],AO$3)/100,"")</f>
        <v/>
      </c>
      <c r="AP52" s="28" t="str">
        <f ca="1">IFERROR(AVERAGEIFS(INDIRECT("Tabela1["&amp;$D52&amp;"]"),Tabela1[Turno],$F52,Tabela1[Data],AP$3)/100,"")</f>
        <v/>
      </c>
      <c r="AQ52" s="28" t="str">
        <f ca="1">IFERROR(AVERAGEIFS(INDIRECT("Tabela1["&amp;$D52&amp;"]"),Tabela1[Turno],$F52,Tabela1[Data],AQ$3)/100,"")</f>
        <v/>
      </c>
      <c r="AR52" s="28" t="str">
        <f ca="1">IFERROR(AVERAGEIFS(INDIRECT("Tabela1["&amp;$D52&amp;"]"),Tabela1[Turno],$F52,Tabela1[Data],AR$3)/100,"")</f>
        <v/>
      </c>
    </row>
    <row r="53" spans="1:44" x14ac:dyDescent="0.3">
      <c r="A53" s="25" t="s">
        <v>123</v>
      </c>
      <c r="B53" s="25">
        <f t="shared" si="1"/>
        <v>2</v>
      </c>
      <c r="C53" s="25" t="s">
        <v>123</v>
      </c>
      <c r="D53" s="4" t="str">
        <f t="shared" si="2"/>
        <v>% Peito Limpo na esteira</v>
      </c>
      <c r="E53" s="36"/>
      <c r="F53" s="23">
        <v>2</v>
      </c>
      <c r="G53" s="16">
        <f ca="1">IFERROR(AVERAGEIFS(INDIRECT("Tabela1["&amp;$D53&amp;"]"),Tabela1[Turno],$F53,Tabela1[Mês],G$3)/100,"")</f>
        <v>0.64</v>
      </c>
      <c r="H53" s="16">
        <f ca="1">IFERROR(AVERAGEIFS(INDIRECT("Tabela1["&amp;$D53&amp;"]"),Tabela1[Turno],$F53,Tabela1[Mês],H$3)/100,"")</f>
        <v>0.79</v>
      </c>
      <c r="I53" s="16">
        <f ca="1">IFERROR(AVERAGEIFS(INDIRECT("Tabela1["&amp;$D53&amp;"]"),Tabela1[Turno],$F53,Tabela1[Mês],I$3)/100,"")</f>
        <v>0.68</v>
      </c>
      <c r="J53" s="16">
        <f ca="1">IFERROR(AVERAGEIFS(INDIRECT("Tabela1["&amp;$D53&amp;"]"),Tabela1[Turno],$F53,Tabela1[Mês],J$3)/100,"")</f>
        <v>0.56999999999999995</v>
      </c>
      <c r="K53" s="16">
        <f ca="1">IFERROR(AVERAGEIFS(INDIRECT("Tabela1["&amp;$D53&amp;"]"),Tabela1[Turno],$F53,Tabela1[Mês],K$3)/100,"")</f>
        <v>0.55000000000000004</v>
      </c>
      <c r="L53" s="16">
        <f ca="1">IFERROR(AVERAGEIFS(INDIRECT("Tabela1["&amp;$D53&amp;"]"),Tabela1[Turno],$F53,Tabela1[Mês],L$3)/100,"")</f>
        <v>0.66</v>
      </c>
      <c r="M53" s="16">
        <f ca="1">IFERROR(AVERAGEIFS(INDIRECT("Tabela1["&amp;$D53&amp;"]"),Tabela1[Turno],$F53,Tabela1[Mês],M$3)/100,"")</f>
        <v>0.7</v>
      </c>
      <c r="N53" s="16">
        <f ca="1">IFERROR(AVERAGEIFS(INDIRECT("Tabela1["&amp;$D53&amp;"]"),Tabela1[Turno],$F53,Tabela1[Mês],N$3)/100,"")</f>
        <v>0.75</v>
      </c>
      <c r="O53" s="16">
        <f ca="1">IFERROR(AVERAGEIFS(INDIRECT("Tabela1["&amp;$D53&amp;"]"),Tabela1[Turno],$F53,Tabela1[Mês],O$3)/100,"")</f>
        <v>0.75361445783132519</v>
      </c>
      <c r="P53" s="16">
        <f ca="1">IFERROR(AVERAGEIFS(INDIRECT("Tabela1["&amp;$D53&amp;"]"),Tabela1[Turno],$F53,Tabela1[Mês],P$3)/100,"")</f>
        <v>0.67222222222222228</v>
      </c>
      <c r="Q53" s="16" t="str">
        <f ca="1">IFERROR(AVERAGEIFS(INDIRECT("Tabela1["&amp;$D53&amp;"]"),Tabela1[Turno],$F53,Tabela1[Mês],Q$3)/100,"")</f>
        <v/>
      </c>
      <c r="R53" s="17" t="str">
        <f ca="1">IFERROR(AVERAGEIFS(INDIRECT("Tabela1["&amp;$D53&amp;"]"),Tabela1[Turno],$F53,Tabela1[Mês],R$3)/100,"")</f>
        <v/>
      </c>
      <c r="S53" s="39"/>
      <c r="U53" s="16">
        <f ca="1">IFERROR(AVERAGEIFS(INDIRECT("Tabela1["&amp;$D53&amp;"]"),Tabela1[Turno],$F53,Tabela1[Data],U$3)/100,"")</f>
        <v>0.67500000000000004</v>
      </c>
      <c r="V53" s="16">
        <f ca="1">IFERROR(AVERAGEIFS(INDIRECT("Tabela1["&amp;$D53&amp;"]"),Tabela1[Turno],$F53,Tabela1[Data],V$3)/100,"")</f>
        <v>0.63749999999999996</v>
      </c>
      <c r="W53" s="16">
        <f ca="1">IFERROR(AVERAGEIFS(INDIRECT("Tabela1["&amp;$D53&amp;"]"),Tabela1[Turno],$F53,Tabela1[Data],W$3)/100,"")</f>
        <v>0.65</v>
      </c>
      <c r="X53" s="16">
        <f ca="1">IFERROR(AVERAGEIFS(INDIRECT("Tabela1["&amp;$D53&amp;"]"),Tabela1[Turno],$F53,Tabela1[Data],X$3)/100,"")</f>
        <v>0.63749999999999996</v>
      </c>
      <c r="Y53" s="16">
        <f ca="1">IFERROR(AVERAGEIFS(INDIRECT("Tabela1["&amp;$D53&amp;"]"),Tabela1[Turno],$F53,Tabela1[Data],Y$3)/100,"")</f>
        <v>0.67500000000000004</v>
      </c>
      <c r="Z53" s="16">
        <f ca="1">IFERROR(AVERAGEIFS(INDIRECT("Tabela1["&amp;$D53&amp;"]"),Tabela1[Turno],$F53,Tabela1[Data],Z$3)/100,"")</f>
        <v>0.72499999999999998</v>
      </c>
      <c r="AA53" s="16">
        <f ca="1">IFERROR(AVERAGEIFS(INDIRECT("Tabela1["&amp;$D53&amp;"]"),Tabela1[Turno],$F53,Tabela1[Data],AA$3)/100,"")</f>
        <v>0.7</v>
      </c>
      <c r="AB53" s="16" t="str">
        <f ca="1">IFERROR(AVERAGEIFS(INDIRECT("Tabela1["&amp;$D53&amp;"]"),Tabela1[Turno],$F53,Tabela1[Data],AB$3)/100,"")</f>
        <v/>
      </c>
      <c r="AC53" s="16" t="str">
        <f ca="1">IFERROR(AVERAGEIFS(INDIRECT("Tabela1["&amp;$D53&amp;"]"),Tabela1[Turno],$F53,Tabela1[Data],AC$3)/100,"")</f>
        <v/>
      </c>
      <c r="AD53" s="16" t="str">
        <f ca="1">IFERROR(AVERAGEIFS(INDIRECT("Tabela1["&amp;$D53&amp;"]"),Tabela1[Turno],$F53,Tabela1[Data],AD$3)/100,"")</f>
        <v/>
      </c>
      <c r="AE53" s="16" t="str">
        <f ca="1">IFERROR(AVERAGEIFS(INDIRECT("Tabela1["&amp;$D53&amp;"]"),Tabela1[Turno],$F53,Tabela1[Data],AE$3)/100,"")</f>
        <v/>
      </c>
      <c r="AF53" s="16" t="str">
        <f ca="1">IFERROR(AVERAGEIFS(INDIRECT("Tabela1["&amp;$D53&amp;"]"),Tabela1[Turno],$F53,Tabela1[Data],AF$3)/100,"")</f>
        <v/>
      </c>
      <c r="AG53" s="16" t="str">
        <f ca="1">IFERROR(AVERAGEIFS(INDIRECT("Tabela1["&amp;$D53&amp;"]"),Tabela1[Turno],$F53,Tabela1[Data],AG$3)/100,"")</f>
        <v/>
      </c>
      <c r="AH53" s="16" t="str">
        <f ca="1">IFERROR(AVERAGEIFS(INDIRECT("Tabela1["&amp;$D53&amp;"]"),Tabela1[Turno],$F53,Tabela1[Data],AH$3)/100,"")</f>
        <v/>
      </c>
      <c r="AI53" s="16" t="str">
        <f ca="1">IFERROR(AVERAGEIFS(INDIRECT("Tabela1["&amp;$D53&amp;"]"),Tabela1[Turno],$F53,Tabela1[Data],AI$3)/100,"")</f>
        <v/>
      </c>
      <c r="AJ53" s="16" t="str">
        <f ca="1">IFERROR(AVERAGEIFS(INDIRECT("Tabela1["&amp;$D53&amp;"]"),Tabela1[Turno],$F53,Tabela1[Data],AJ$3)/100,"")</f>
        <v/>
      </c>
      <c r="AK53" s="16" t="str">
        <f ca="1">IFERROR(AVERAGEIFS(INDIRECT("Tabela1["&amp;$D53&amp;"]"),Tabela1[Turno],$F53,Tabela1[Data],AK$3)/100,"")</f>
        <v/>
      </c>
      <c r="AL53" s="16" t="str">
        <f ca="1">IFERROR(AVERAGEIFS(INDIRECT("Tabela1["&amp;$D53&amp;"]"),Tabela1[Turno],$F53,Tabela1[Data],AL$3)/100,"")</f>
        <v/>
      </c>
      <c r="AM53" s="16" t="str">
        <f ca="1">IFERROR(AVERAGEIFS(INDIRECT("Tabela1["&amp;$D53&amp;"]"),Tabela1[Turno],$F53,Tabela1[Data],AM$3)/100,"")</f>
        <v/>
      </c>
      <c r="AN53" s="16" t="str">
        <f ca="1">IFERROR(AVERAGEIFS(INDIRECT("Tabela1["&amp;$D53&amp;"]"),Tabela1[Turno],$F53,Tabela1[Data],AN$3)/100,"")</f>
        <v/>
      </c>
      <c r="AO53" s="16" t="str">
        <f ca="1">IFERROR(AVERAGEIFS(INDIRECT("Tabela1["&amp;$D53&amp;"]"),Tabela1[Turno],$F53,Tabela1[Data],AO$3)/100,"")</f>
        <v/>
      </c>
      <c r="AP53" s="16" t="str">
        <f ca="1">IFERROR(AVERAGEIFS(INDIRECT("Tabela1["&amp;$D53&amp;"]"),Tabela1[Turno],$F53,Tabela1[Data],AP$3)/100,"")</f>
        <v/>
      </c>
      <c r="AQ53" s="16" t="str">
        <f ca="1">IFERROR(AVERAGEIFS(INDIRECT("Tabela1["&amp;$D53&amp;"]"),Tabela1[Turno],$F53,Tabela1[Data],AQ$3)/100,"")</f>
        <v/>
      </c>
      <c r="AR53" s="16" t="str">
        <f ca="1">IFERROR(AVERAGEIFS(INDIRECT("Tabela1["&amp;$D53&amp;"]"),Tabela1[Turno],$F53,Tabela1[Data],AR$3)/100,"")</f>
        <v/>
      </c>
    </row>
    <row r="54" spans="1:44" ht="15" thickBot="1" x14ac:dyDescent="0.35">
      <c r="A54" s="25" t="s">
        <v>123</v>
      </c>
      <c r="B54" s="25" t="str">
        <f t="shared" si="1"/>
        <v>Unidade</v>
      </c>
      <c r="C54" s="25" t="s">
        <v>123</v>
      </c>
      <c r="D54" s="4" t="str">
        <f t="shared" si="2"/>
        <v>% Peito Limpo na esteira</v>
      </c>
      <c r="E54" s="37"/>
      <c r="F54" s="24" t="s">
        <v>142</v>
      </c>
      <c r="G54" s="10">
        <f ca="1">IFERROR(AVERAGEIFS(INDIRECT("Tabela1["&amp;$D54&amp;"]"),Tabela1[Mês],G$3)/100,"")</f>
        <v>0.65</v>
      </c>
      <c r="H54" s="10">
        <f ca="1">IFERROR(AVERAGEIFS(INDIRECT("Tabela1["&amp;$D54&amp;"]"),Tabela1[Mês],H$3)/100,"")</f>
        <v>0.76</v>
      </c>
      <c r="I54" s="10">
        <f ca="1">IFERROR(AVERAGEIFS(INDIRECT("Tabela1["&amp;$D54&amp;"]"),Tabela1[Mês],I$3)/100,"")</f>
        <v>0.66500000000000004</v>
      </c>
      <c r="J54" s="10">
        <f ca="1">IFERROR(AVERAGEIFS(INDIRECT("Tabela1["&amp;$D54&amp;"]"),Tabela1[Mês],J$3)/100,"")</f>
        <v>0.62</v>
      </c>
      <c r="K54" s="10">
        <f ca="1">IFERROR(AVERAGEIFS(INDIRECT("Tabela1["&amp;$D54&amp;"]"),Tabela1[Mês],K$3)/100,"")</f>
        <v>0.62</v>
      </c>
      <c r="L54" s="10">
        <f ca="1">IFERROR(AVERAGEIFS(INDIRECT("Tabela1["&amp;$D54&amp;"]"),Tabela1[Mês],L$3)/100,"")</f>
        <v>0.69</v>
      </c>
      <c r="M54" s="10">
        <f ca="1">IFERROR(AVERAGEIFS(INDIRECT("Tabela1["&amp;$D54&amp;"]"),Tabela1[Mês],M$3)/100,"")</f>
        <v>0.7</v>
      </c>
      <c r="N54" s="10">
        <f ca="1">IFERROR(AVERAGEIFS(INDIRECT("Tabela1["&amp;$D54&amp;"]"),Tabela1[Mês],N$3)/100,"")</f>
        <v>0.73133333333333339</v>
      </c>
      <c r="O54" s="10">
        <f ca="1">IFERROR(AVERAGEIFS(INDIRECT("Tabela1["&amp;$D54&amp;"]"),Tabela1[Mês],O$3)/100,"")</f>
        <v>0.72640449438202248</v>
      </c>
      <c r="P54" s="10">
        <f ca="1">IFERROR(AVERAGEIFS(INDIRECT("Tabela1["&amp;$D54&amp;"]"),Tabela1[Mês],P$3)/100,"")</f>
        <v>0.67222222222222228</v>
      </c>
      <c r="Q54" s="10" t="str">
        <f ca="1">IFERROR(AVERAGEIFS(INDIRECT("Tabela1["&amp;$D54&amp;"]"),Tabela1[Mês],Q$3)/100,"")</f>
        <v/>
      </c>
      <c r="R54" s="18" t="str">
        <f ca="1">IFERROR(AVERAGEIFS(INDIRECT("Tabela1["&amp;$D54&amp;"]"),Tabela1[Mês],R$3)/100,"")</f>
        <v/>
      </c>
      <c r="S54" s="40"/>
      <c r="U54" s="10">
        <f ca="1">IFERROR(AVERAGEIFS(INDIRECT("Tabela1["&amp;$D54&amp;"]"),Tabela1[Data],U$3)/100,"")</f>
        <v>0.67500000000000004</v>
      </c>
      <c r="V54" s="10">
        <f ca="1">IFERROR(AVERAGEIFS(INDIRECT("Tabela1["&amp;$D54&amp;"]"),Tabela1[Data],V$3)/100,"")</f>
        <v>0.63749999999999996</v>
      </c>
      <c r="W54" s="10">
        <f ca="1">IFERROR(AVERAGEIFS(INDIRECT("Tabela1["&amp;$D54&amp;"]"),Tabela1[Data],W$3)/100,"")</f>
        <v>0.65</v>
      </c>
      <c r="X54" s="10">
        <f ca="1">IFERROR(AVERAGEIFS(INDIRECT("Tabela1["&amp;$D54&amp;"]"),Tabela1[Data],X$3)/100,"")</f>
        <v>0.63749999999999996</v>
      </c>
      <c r="Y54" s="10">
        <f ca="1">IFERROR(AVERAGEIFS(INDIRECT("Tabela1["&amp;$D54&amp;"]"),Tabela1[Data],Y$3)/100,"")</f>
        <v>0.67500000000000004</v>
      </c>
      <c r="Z54" s="10">
        <f ca="1">IFERROR(AVERAGEIFS(INDIRECT("Tabela1["&amp;$D54&amp;"]"),Tabela1[Data],Z$3)/100,"")</f>
        <v>0.72499999999999998</v>
      </c>
      <c r="AA54" s="10">
        <f ca="1">IFERROR(AVERAGEIFS(INDIRECT("Tabela1["&amp;$D54&amp;"]"),Tabela1[Data],AA$3)/100,"")</f>
        <v>0.7</v>
      </c>
      <c r="AB54" s="10" t="str">
        <f ca="1">IFERROR(AVERAGEIFS(INDIRECT("Tabela1["&amp;$D54&amp;"]"),Tabela1[Data],AB$3)/100,"")</f>
        <v/>
      </c>
      <c r="AC54" s="10" t="str">
        <f ca="1">IFERROR(AVERAGEIFS(INDIRECT("Tabela1["&amp;$D54&amp;"]"),Tabela1[Data],AC$3)/100,"")</f>
        <v/>
      </c>
      <c r="AD54" s="10" t="str">
        <f ca="1">IFERROR(AVERAGEIFS(INDIRECT("Tabela1["&amp;$D54&amp;"]"),Tabela1[Data],AD$3)/100,"")</f>
        <v/>
      </c>
      <c r="AE54" s="10" t="str">
        <f ca="1">IFERROR(AVERAGEIFS(INDIRECT("Tabela1["&amp;$D54&amp;"]"),Tabela1[Data],AE$3)/100,"")</f>
        <v/>
      </c>
      <c r="AF54" s="10" t="str">
        <f ca="1">IFERROR(AVERAGEIFS(INDIRECT("Tabela1["&amp;$D54&amp;"]"),Tabela1[Data],AF$3)/100,"")</f>
        <v/>
      </c>
      <c r="AG54" s="10" t="str">
        <f ca="1">IFERROR(AVERAGEIFS(INDIRECT("Tabela1["&amp;$D54&amp;"]"),Tabela1[Data],AG$3)/100,"")</f>
        <v/>
      </c>
      <c r="AH54" s="10" t="str">
        <f ca="1">IFERROR(AVERAGEIFS(INDIRECT("Tabela1["&amp;$D54&amp;"]"),Tabela1[Data],AH$3)/100,"")</f>
        <v/>
      </c>
      <c r="AI54" s="10" t="str">
        <f ca="1">IFERROR(AVERAGEIFS(INDIRECT("Tabela1["&amp;$D54&amp;"]"),Tabela1[Data],AI$3)/100,"")</f>
        <v/>
      </c>
      <c r="AJ54" s="10" t="str">
        <f ca="1">IFERROR(AVERAGEIFS(INDIRECT("Tabela1["&amp;$D54&amp;"]"),Tabela1[Data],AJ$3)/100,"")</f>
        <v/>
      </c>
      <c r="AK54" s="10" t="str">
        <f ca="1">IFERROR(AVERAGEIFS(INDIRECT("Tabela1["&amp;$D54&amp;"]"),Tabela1[Data],AK$3)/100,"")</f>
        <v/>
      </c>
      <c r="AL54" s="10" t="str">
        <f ca="1">IFERROR(AVERAGEIFS(INDIRECT("Tabela1["&amp;$D54&amp;"]"),Tabela1[Data],AL$3)/100,"")</f>
        <v/>
      </c>
      <c r="AM54" s="10" t="str">
        <f ca="1">IFERROR(AVERAGEIFS(INDIRECT("Tabela1["&amp;$D54&amp;"]"),Tabela1[Data],AM$3)/100,"")</f>
        <v/>
      </c>
      <c r="AN54" s="10" t="str">
        <f ca="1">IFERROR(AVERAGEIFS(INDIRECT("Tabela1["&amp;$D54&amp;"]"),Tabela1[Data],AN$3)/100,"")</f>
        <v/>
      </c>
      <c r="AO54" s="10" t="str">
        <f ca="1">IFERROR(AVERAGEIFS(INDIRECT("Tabela1["&amp;$D54&amp;"]"),Tabela1[Data],AO$3)/100,"")</f>
        <v/>
      </c>
      <c r="AP54" s="10" t="str">
        <f ca="1">IFERROR(AVERAGEIFS(INDIRECT("Tabela1["&amp;$D54&amp;"]"),Tabela1[Data],AP$3)/100,"")</f>
        <v/>
      </c>
      <c r="AQ54" s="10" t="str">
        <f ca="1">IFERROR(AVERAGEIFS(INDIRECT("Tabela1["&amp;$D54&amp;"]"),Tabela1[Data],AQ$3)/100,"")</f>
        <v/>
      </c>
      <c r="AR54" s="10" t="str">
        <f ca="1">IFERROR(AVERAGEIFS(INDIRECT("Tabela1["&amp;$D54&amp;"]"),Tabela1[Data],AR$3)/100,"")</f>
        <v/>
      </c>
    </row>
    <row r="55" spans="1:44" ht="15" thickTop="1" x14ac:dyDescent="0.3">
      <c r="A55" s="25" t="s">
        <v>124</v>
      </c>
      <c r="B55" s="25">
        <f t="shared" si="1"/>
        <v>1</v>
      </c>
      <c r="C55" s="25" t="s">
        <v>124</v>
      </c>
      <c r="D55" s="4" t="str">
        <f>IF(E55=0,#REF!,E55)</f>
        <v>% Erro de Corte da Porcionadora</v>
      </c>
      <c r="E55" s="35" t="str">
        <f>Coleta!AF1</f>
        <v>% Erro de Corte da Porcionadora</v>
      </c>
      <c r="F55" s="22">
        <v>1</v>
      </c>
      <c r="G55" s="28">
        <f ca="1">IFERROR(AVERAGEIFS(INDIRECT("Tabela1["&amp;$D55&amp;"]"),Tabela1[Turno],$F55,Tabela1[Mês],G$3)/100,"")</f>
        <v>0.05</v>
      </c>
      <c r="H55" s="28">
        <f ca="1">IFERROR(AVERAGEIFS(INDIRECT("Tabela1["&amp;$D55&amp;"]"),Tabela1[Turno],$F55,Tabela1[Mês],H$3)/100,"")</f>
        <v>7.17E-2</v>
      </c>
      <c r="I55" s="28">
        <f ca="1">IFERROR(AVERAGEIFS(INDIRECT("Tabela1["&amp;$D55&amp;"]"),Tabela1[Turno],$F55,Tabela1[Mês],I$3)/100,"")</f>
        <v>0.19</v>
      </c>
      <c r="J55" s="28">
        <f ca="1">IFERROR(AVERAGEIFS(INDIRECT("Tabela1["&amp;$D55&amp;"]"),Tabela1[Turno],$F55,Tabela1[Mês],J$3)/100,"")</f>
        <v>0.21</v>
      </c>
      <c r="K55" s="28">
        <f ca="1">IFERROR(AVERAGEIFS(INDIRECT("Tabela1["&amp;$D55&amp;"]"),Tabela1[Turno],$F55,Tabela1[Mês],K$3)/100,"")</f>
        <v>0.21</v>
      </c>
      <c r="L55" s="28">
        <f ca="1">IFERROR(AVERAGEIFS(INDIRECT("Tabela1["&amp;$D55&amp;"]"),Tabela1[Turno],$F55,Tabela1[Mês],L$3)/100,"")</f>
        <v>0.25</v>
      </c>
      <c r="M55" s="28">
        <f ca="1">IFERROR(AVERAGEIFS(INDIRECT("Tabela1["&amp;$D55&amp;"]"),Tabela1[Turno],$F55,Tabela1[Mês],M$3)/100,"")</f>
        <v>0.16</v>
      </c>
      <c r="N55" s="28">
        <f ca="1">IFERROR(AVERAGEIFS(INDIRECT("Tabela1["&amp;$D55&amp;"]"),Tabela1[Turno],$F55,Tabela1[Mês],N$3)/100,"")</f>
        <v>0.1</v>
      </c>
      <c r="O55" s="28">
        <f ca="1">IFERROR(AVERAGEIFS(INDIRECT("Tabela1["&amp;$D55&amp;"]"),Tabela1[Turno],$F55,Tabela1[Mês],O$3)/100,"")</f>
        <v>8.7499999999999994E-2</v>
      </c>
      <c r="P55" s="28" t="str">
        <f ca="1">IFERROR(AVERAGEIFS(INDIRECT("Tabela1["&amp;$D55&amp;"]"),Tabela1[Turno],$F55,Tabela1[Mês],P$3)/100,"")</f>
        <v/>
      </c>
      <c r="Q55" s="28" t="str">
        <f ca="1">IFERROR(AVERAGEIFS(INDIRECT("Tabela1["&amp;$D55&amp;"]"),Tabela1[Turno],$F55,Tabela1[Mês],Q$3)/100,"")</f>
        <v/>
      </c>
      <c r="R55" s="29" t="str">
        <f ca="1">IFERROR(AVERAGEIFS(INDIRECT("Tabela1["&amp;$D55&amp;"]"),Tabela1[Turno],$F55,Tabela1[Mês],R$3)/100,"")</f>
        <v/>
      </c>
      <c r="S55" s="41">
        <v>0.05</v>
      </c>
      <c r="U55" s="15" t="str">
        <f ca="1">IFERROR(AVERAGEIFS(INDIRECT("Tabela1["&amp;$D55&amp;"]"),Tabela1[Turno],$F55,Tabela1[Data],U$3)/100,"")</f>
        <v/>
      </c>
      <c r="V55" s="15" t="str">
        <f ca="1">IFERROR(AVERAGEIFS(INDIRECT("Tabela1["&amp;$D55&amp;"]"),Tabela1[Turno],$F55,Tabela1[Data],V$3)/100,"")</f>
        <v/>
      </c>
      <c r="W55" s="28" t="str">
        <f ca="1">IFERROR(AVERAGEIFS(INDIRECT("Tabela1["&amp;$D55&amp;"]"),Tabela1[Turno],$F55,Tabela1[Data],W$3)/100,"")</f>
        <v/>
      </c>
      <c r="X55" s="28" t="str">
        <f ca="1">IFERROR(AVERAGEIFS(INDIRECT("Tabela1["&amp;$D55&amp;"]"),Tabela1[Turno],$F55,Tabela1[Data],X$3)/100,"")</f>
        <v/>
      </c>
      <c r="Y55" s="28" t="str">
        <f ca="1">IFERROR(AVERAGEIFS(INDIRECT("Tabela1["&amp;$D55&amp;"]"),Tabela1[Turno],$F55,Tabela1[Data],Y$3)/100,"")</f>
        <v/>
      </c>
      <c r="Z55" s="28" t="str">
        <f ca="1">IFERROR(AVERAGEIFS(INDIRECT("Tabela1["&amp;$D55&amp;"]"),Tabela1[Turno],$F55,Tabela1[Data],Z$3)/100,"")</f>
        <v/>
      </c>
      <c r="AA55" s="28" t="str">
        <f ca="1">IFERROR(AVERAGEIFS(INDIRECT("Tabela1["&amp;$D55&amp;"]"),Tabela1[Turno],$F55,Tabela1[Data],AA$3)/100,"")</f>
        <v/>
      </c>
      <c r="AB55" s="28" t="str">
        <f ca="1">IFERROR(AVERAGEIFS(INDIRECT("Tabela1["&amp;$D55&amp;"]"),Tabela1[Turno],$F55,Tabela1[Data],AB$3)/100,"")</f>
        <v/>
      </c>
      <c r="AC55" s="28" t="str">
        <f ca="1">IFERROR(AVERAGEIFS(INDIRECT("Tabela1["&amp;$D55&amp;"]"),Tabela1[Turno],$F55,Tabela1[Data],AC$3)/100,"")</f>
        <v/>
      </c>
      <c r="AD55" s="28" t="str">
        <f ca="1">IFERROR(AVERAGEIFS(INDIRECT("Tabela1["&amp;$D55&amp;"]"),Tabela1[Turno],$F55,Tabela1[Data],AD$3)/100,"")</f>
        <v/>
      </c>
      <c r="AE55" s="28" t="str">
        <f ca="1">IFERROR(AVERAGEIFS(INDIRECT("Tabela1["&amp;$D55&amp;"]"),Tabela1[Turno],$F55,Tabela1[Data],AE$3)/100,"")</f>
        <v/>
      </c>
      <c r="AF55" s="28" t="str">
        <f ca="1">IFERROR(AVERAGEIFS(INDIRECT("Tabela1["&amp;$D55&amp;"]"),Tabela1[Turno],$F55,Tabela1[Data],AF$3)/100,"")</f>
        <v/>
      </c>
      <c r="AG55" s="28" t="str">
        <f ca="1">IFERROR(AVERAGEIFS(INDIRECT("Tabela1["&amp;$D55&amp;"]"),Tabela1[Turno],$F55,Tabela1[Data],AG$3)/100,"")</f>
        <v/>
      </c>
      <c r="AH55" s="28" t="str">
        <f ca="1">IFERROR(AVERAGEIFS(INDIRECT("Tabela1["&amp;$D55&amp;"]"),Tabela1[Turno],$F55,Tabela1[Data],AH$3)/100,"")</f>
        <v/>
      </c>
      <c r="AI55" s="28" t="str">
        <f ca="1">IFERROR(AVERAGEIFS(INDIRECT("Tabela1["&amp;$D55&amp;"]"),Tabela1[Turno],$F55,Tabela1[Data],AI$3)/100,"")</f>
        <v/>
      </c>
      <c r="AJ55" s="28" t="str">
        <f ca="1">IFERROR(AVERAGEIFS(INDIRECT("Tabela1["&amp;$D55&amp;"]"),Tabela1[Turno],$F55,Tabela1[Data],AJ$3)/100,"")</f>
        <v/>
      </c>
      <c r="AK55" s="28" t="str">
        <f ca="1">IFERROR(AVERAGEIFS(INDIRECT("Tabela1["&amp;$D55&amp;"]"),Tabela1[Turno],$F55,Tabela1[Data],AK$3)/100,"")</f>
        <v/>
      </c>
      <c r="AL55" s="28" t="str">
        <f ca="1">IFERROR(AVERAGEIFS(INDIRECT("Tabela1["&amp;$D55&amp;"]"),Tabela1[Turno],$F55,Tabela1[Data],AL$3)/100,"")</f>
        <v/>
      </c>
      <c r="AM55" s="28" t="str">
        <f ca="1">IFERROR(AVERAGEIFS(INDIRECT("Tabela1["&amp;$D55&amp;"]"),Tabela1[Turno],$F55,Tabela1[Data],AM$3)/100,"")</f>
        <v/>
      </c>
      <c r="AN55" s="28" t="str">
        <f ca="1">IFERROR(AVERAGEIFS(INDIRECT("Tabela1["&amp;$D55&amp;"]"),Tabela1[Turno],$F55,Tabela1[Data],AN$3)/100,"")</f>
        <v/>
      </c>
      <c r="AO55" s="28" t="str">
        <f ca="1">IFERROR(AVERAGEIFS(INDIRECT("Tabela1["&amp;$D55&amp;"]"),Tabela1[Turno],$F55,Tabela1[Data],AO$3)/100,"")</f>
        <v/>
      </c>
      <c r="AP55" s="28" t="str">
        <f ca="1">IFERROR(AVERAGEIFS(INDIRECT("Tabela1["&amp;$D55&amp;"]"),Tabela1[Turno],$F55,Tabela1[Data],AP$3)/100,"")</f>
        <v/>
      </c>
      <c r="AQ55" s="28" t="str">
        <f ca="1">IFERROR(AVERAGEIFS(INDIRECT("Tabela1["&amp;$D55&amp;"]"),Tabela1[Turno],$F55,Tabela1[Data],AQ$3)/100,"")</f>
        <v/>
      </c>
      <c r="AR55" s="28" t="str">
        <f ca="1">IFERROR(AVERAGEIFS(INDIRECT("Tabela1["&amp;$D55&amp;"]"),Tabela1[Turno],$F55,Tabela1[Data],AR$3)/100,"")</f>
        <v/>
      </c>
    </row>
    <row r="56" spans="1:44" x14ac:dyDescent="0.3">
      <c r="A56" s="25" t="s">
        <v>124</v>
      </c>
      <c r="B56" s="25">
        <f t="shared" si="1"/>
        <v>2</v>
      </c>
      <c r="C56" s="25" t="s">
        <v>124</v>
      </c>
      <c r="D56" s="4" t="str">
        <f t="shared" si="2"/>
        <v>% Erro de Corte da Porcionadora</v>
      </c>
      <c r="E56" s="36"/>
      <c r="F56" s="23">
        <v>2</v>
      </c>
      <c r="G56" s="16">
        <f ca="1">IFERROR(AVERAGEIFS(INDIRECT("Tabela1["&amp;$D56&amp;"]"),Tabela1[Turno],$F56,Tabela1[Mês],G$3)/100,"")</f>
        <v>0.08</v>
      </c>
      <c r="H56" s="16">
        <f ca="1">IFERROR(AVERAGEIFS(INDIRECT("Tabela1["&amp;$D56&amp;"]"),Tabela1[Turno],$F56,Tabela1[Mês],H$3)/100,"")</f>
        <v>0.13570000000000002</v>
      </c>
      <c r="I56" s="16">
        <f ca="1">IFERROR(AVERAGEIFS(INDIRECT("Tabela1["&amp;$D56&amp;"]"),Tabela1[Turno],$F56,Tabela1[Mês],I$3)/100,"")</f>
        <v>0.35</v>
      </c>
      <c r="J56" s="16">
        <f ca="1">IFERROR(AVERAGEIFS(INDIRECT("Tabela1["&amp;$D56&amp;"]"),Tabela1[Turno],$F56,Tabela1[Mês],J$3)/100,"")</f>
        <v>0.5</v>
      </c>
      <c r="K56" s="16">
        <f ca="1">IFERROR(AVERAGEIFS(INDIRECT("Tabela1["&amp;$D56&amp;"]"),Tabela1[Turno],$F56,Tabela1[Mês],K$3)/100,"")</f>
        <v>0.46</v>
      </c>
      <c r="L56" s="16">
        <f ca="1">IFERROR(AVERAGEIFS(INDIRECT("Tabela1["&amp;$D56&amp;"]"),Tabela1[Turno],$F56,Tabela1[Mês],L$3)/100,"")</f>
        <v>0.38</v>
      </c>
      <c r="M56" s="16">
        <f ca="1">IFERROR(AVERAGEIFS(INDIRECT("Tabela1["&amp;$D56&amp;"]"),Tabela1[Turno],$F56,Tabela1[Mês],M$3)/100,"")</f>
        <v>0.24</v>
      </c>
      <c r="N56" s="16">
        <f ca="1">IFERROR(AVERAGEIFS(INDIRECT("Tabela1["&amp;$D56&amp;"]"),Tabela1[Turno],$F56,Tabela1[Mês],N$3)/100,"")</f>
        <v>0.27714285714285714</v>
      </c>
      <c r="O56" s="16">
        <f ca="1">IFERROR(AVERAGEIFS(INDIRECT("Tabela1["&amp;$D56&amp;"]"),Tabela1[Turno],$F56,Tabela1[Mês],O$3)/100,"")</f>
        <v>0.27380952380952378</v>
      </c>
      <c r="P56" s="16">
        <f ca="1">IFERROR(AVERAGEIFS(INDIRECT("Tabela1["&amp;$D56&amp;"]"),Tabela1[Turno],$F56,Tabela1[Mês],P$3)/100,"")</f>
        <v>0.1962962962962963</v>
      </c>
      <c r="Q56" s="16" t="str">
        <f ca="1">IFERROR(AVERAGEIFS(INDIRECT("Tabela1["&amp;$D56&amp;"]"),Tabela1[Turno],$F56,Tabela1[Mês],Q$3)/100,"")</f>
        <v/>
      </c>
      <c r="R56" s="17" t="str">
        <f ca="1">IFERROR(AVERAGEIFS(INDIRECT("Tabela1["&amp;$D56&amp;"]"),Tabela1[Turno],$F56,Tabela1[Mês],R$3)/100,"")</f>
        <v/>
      </c>
      <c r="S56" s="39"/>
      <c r="U56" s="16">
        <f ca="1">IFERROR(AVERAGEIFS(INDIRECT("Tabela1["&amp;$D56&amp;"]"),Tabela1[Turno],$F56,Tabela1[Data],U$3)/100,"")</f>
        <v>0.15</v>
      </c>
      <c r="V56" s="16">
        <f ca="1">IFERROR(AVERAGEIFS(INDIRECT("Tabela1["&amp;$D56&amp;"]"),Tabela1[Turno],$F56,Tabela1[Data],V$3)/100,"")</f>
        <v>0.13750000000000001</v>
      </c>
      <c r="W56" s="16">
        <f ca="1">IFERROR(AVERAGEIFS(INDIRECT("Tabela1["&amp;$D56&amp;"]"),Tabela1[Turno],$F56,Tabela1[Data],W$3)/100,"")</f>
        <v>0.15</v>
      </c>
      <c r="X56" s="16">
        <f ca="1">IFERROR(AVERAGEIFS(INDIRECT("Tabela1["&amp;$D56&amp;"]"),Tabela1[Turno],$F56,Tabela1[Data],X$3)/100,"")</f>
        <v>0.22500000000000001</v>
      </c>
      <c r="Y56" s="16">
        <f ca="1">IFERROR(AVERAGEIFS(INDIRECT("Tabela1["&amp;$D56&amp;"]"),Tabela1[Turno],$F56,Tabela1[Data],Y$3)/100,"")</f>
        <v>0.25</v>
      </c>
      <c r="Z56" s="16">
        <f ca="1">IFERROR(AVERAGEIFS(INDIRECT("Tabela1["&amp;$D56&amp;"]"),Tabela1[Turno],$F56,Tabela1[Data],Z$3)/100,"")</f>
        <v>0.21249999999999999</v>
      </c>
      <c r="AA56" s="16">
        <f ca="1">IFERROR(AVERAGEIFS(INDIRECT("Tabela1["&amp;$D56&amp;"]"),Tabela1[Turno],$F56,Tabela1[Data],AA$3)/100,"")</f>
        <v>0.23749999999999999</v>
      </c>
      <c r="AB56" s="16" t="str">
        <f ca="1">IFERROR(AVERAGEIFS(INDIRECT("Tabela1["&amp;$D56&amp;"]"),Tabela1[Turno],$F56,Tabela1[Data],AB$3)/100,"")</f>
        <v/>
      </c>
      <c r="AC56" s="16" t="str">
        <f ca="1">IFERROR(AVERAGEIFS(INDIRECT("Tabela1["&amp;$D56&amp;"]"),Tabela1[Turno],$F56,Tabela1[Data],AC$3)/100,"")</f>
        <v/>
      </c>
      <c r="AD56" s="16" t="str">
        <f ca="1">IFERROR(AVERAGEIFS(INDIRECT("Tabela1["&amp;$D56&amp;"]"),Tabela1[Turno],$F56,Tabela1[Data],AD$3)/100,"")</f>
        <v/>
      </c>
      <c r="AE56" s="16" t="str">
        <f ca="1">IFERROR(AVERAGEIFS(INDIRECT("Tabela1["&amp;$D56&amp;"]"),Tabela1[Turno],$F56,Tabela1[Data],AE$3)/100,"")</f>
        <v/>
      </c>
      <c r="AF56" s="16" t="str">
        <f ca="1">IFERROR(AVERAGEIFS(INDIRECT("Tabela1["&amp;$D56&amp;"]"),Tabela1[Turno],$F56,Tabela1[Data],AF$3)/100,"")</f>
        <v/>
      </c>
      <c r="AG56" s="16" t="str">
        <f ca="1">IFERROR(AVERAGEIFS(INDIRECT("Tabela1["&amp;$D56&amp;"]"),Tabela1[Turno],$F56,Tabela1[Data],AG$3)/100,"")</f>
        <v/>
      </c>
      <c r="AH56" s="16" t="str">
        <f ca="1">IFERROR(AVERAGEIFS(INDIRECT("Tabela1["&amp;$D56&amp;"]"),Tabela1[Turno],$F56,Tabela1[Data],AH$3)/100,"")</f>
        <v/>
      </c>
      <c r="AI56" s="16" t="str">
        <f ca="1">IFERROR(AVERAGEIFS(INDIRECT("Tabela1["&amp;$D56&amp;"]"),Tabela1[Turno],$F56,Tabela1[Data],AI$3)/100,"")</f>
        <v/>
      </c>
      <c r="AJ56" s="16" t="str">
        <f ca="1">IFERROR(AVERAGEIFS(INDIRECT("Tabela1["&amp;$D56&amp;"]"),Tabela1[Turno],$F56,Tabela1[Data],AJ$3)/100,"")</f>
        <v/>
      </c>
      <c r="AK56" s="16" t="str">
        <f ca="1">IFERROR(AVERAGEIFS(INDIRECT("Tabela1["&amp;$D56&amp;"]"),Tabela1[Turno],$F56,Tabela1[Data],AK$3)/100,"")</f>
        <v/>
      </c>
      <c r="AL56" s="16" t="str">
        <f ca="1">IFERROR(AVERAGEIFS(INDIRECT("Tabela1["&amp;$D56&amp;"]"),Tabela1[Turno],$F56,Tabela1[Data],AL$3)/100,"")</f>
        <v/>
      </c>
      <c r="AM56" s="16" t="str">
        <f ca="1">IFERROR(AVERAGEIFS(INDIRECT("Tabela1["&amp;$D56&amp;"]"),Tabela1[Turno],$F56,Tabela1[Data],AM$3)/100,"")</f>
        <v/>
      </c>
      <c r="AN56" s="16" t="str">
        <f ca="1">IFERROR(AVERAGEIFS(INDIRECT("Tabela1["&amp;$D56&amp;"]"),Tabela1[Turno],$F56,Tabela1[Data],AN$3)/100,"")</f>
        <v/>
      </c>
      <c r="AO56" s="16" t="str">
        <f ca="1">IFERROR(AVERAGEIFS(INDIRECT("Tabela1["&amp;$D56&amp;"]"),Tabela1[Turno],$F56,Tabela1[Data],AO$3)/100,"")</f>
        <v/>
      </c>
      <c r="AP56" s="16" t="str">
        <f ca="1">IFERROR(AVERAGEIFS(INDIRECT("Tabela1["&amp;$D56&amp;"]"),Tabela1[Turno],$F56,Tabela1[Data],AP$3)/100,"")</f>
        <v/>
      </c>
      <c r="AQ56" s="16" t="str">
        <f ca="1">IFERROR(AVERAGEIFS(INDIRECT("Tabela1["&amp;$D56&amp;"]"),Tabela1[Turno],$F56,Tabela1[Data],AQ$3)/100,"")</f>
        <v/>
      </c>
      <c r="AR56" s="16" t="str">
        <f ca="1">IFERROR(AVERAGEIFS(INDIRECT("Tabela1["&amp;$D56&amp;"]"),Tabela1[Turno],$F56,Tabela1[Data],AR$3)/100,"")</f>
        <v/>
      </c>
    </row>
    <row r="57" spans="1:44" ht="15" thickBot="1" x14ac:dyDescent="0.35">
      <c r="A57" s="25" t="s">
        <v>124</v>
      </c>
      <c r="B57" s="25" t="str">
        <f t="shared" si="1"/>
        <v>Unidade</v>
      </c>
      <c r="C57" s="25" t="s">
        <v>124</v>
      </c>
      <c r="D57" s="4" t="str">
        <f t="shared" ref="D57:D60" si="5">IF(E57=0,D56,E57)</f>
        <v>% Erro de Corte da Porcionadora</v>
      </c>
      <c r="E57" s="37"/>
      <c r="F57" s="24" t="s">
        <v>142</v>
      </c>
      <c r="G57" s="10">
        <f ca="1">IFERROR(AVERAGEIFS(INDIRECT("Tabela1["&amp;$D57&amp;"]"),Tabela1[Mês],G$3)/100,"")</f>
        <v>6.5000000000000002E-2</v>
      </c>
      <c r="H57" s="10">
        <f ca="1">IFERROR(AVERAGEIFS(INDIRECT("Tabela1["&amp;$D57&amp;"]"),Tabela1[Mês],H$3)/100,"")</f>
        <v>0.10370000000000001</v>
      </c>
      <c r="I57" s="10">
        <f ca="1">IFERROR(AVERAGEIFS(INDIRECT("Tabela1["&amp;$D57&amp;"]"),Tabela1[Mês],I$3)/100,"")</f>
        <v>0.27</v>
      </c>
      <c r="J57" s="10">
        <f ca="1">IFERROR(AVERAGEIFS(INDIRECT("Tabela1["&amp;$D57&amp;"]"),Tabela1[Mês],J$3)/100,"")</f>
        <v>0.35499999999999998</v>
      </c>
      <c r="K57" s="10">
        <f ca="1">IFERROR(AVERAGEIFS(INDIRECT("Tabela1["&amp;$D57&amp;"]"),Tabela1[Mês],K$3)/100,"")</f>
        <v>0.33500000000000002</v>
      </c>
      <c r="L57" s="10">
        <f ca="1">IFERROR(AVERAGEIFS(INDIRECT("Tabela1["&amp;$D57&amp;"]"),Tabela1[Mês],L$3)/100,"")</f>
        <v>0.315</v>
      </c>
      <c r="M57" s="10">
        <f ca="1">IFERROR(AVERAGEIFS(INDIRECT("Tabela1["&amp;$D57&amp;"]"),Tabela1[Mês],M$3)/100,"")</f>
        <v>0.2</v>
      </c>
      <c r="N57" s="10">
        <f ca="1">IFERROR(AVERAGEIFS(INDIRECT("Tabela1["&amp;$D57&amp;"]"),Tabela1[Mês],N$3)/100,"")</f>
        <v>0.26513157894736844</v>
      </c>
      <c r="O57" s="10">
        <f ca="1">IFERROR(AVERAGEIFS(INDIRECT("Tabela1["&amp;$D57&amp;"]"),Tabela1[Mês],O$3)/100,"")</f>
        <v>0.26534090909090913</v>
      </c>
      <c r="P57" s="10">
        <f ca="1">IFERROR(AVERAGEIFS(INDIRECT("Tabela1["&amp;$D57&amp;"]"),Tabela1[Mês],P$3)/100,"")</f>
        <v>0.1962962962962963</v>
      </c>
      <c r="Q57" s="10" t="str">
        <f ca="1">IFERROR(AVERAGEIFS(INDIRECT("Tabela1["&amp;$D57&amp;"]"),Tabela1[Mês],Q$3)/100,"")</f>
        <v/>
      </c>
      <c r="R57" s="18" t="str">
        <f ca="1">IFERROR(AVERAGEIFS(INDIRECT("Tabela1["&amp;$D57&amp;"]"),Tabela1[Mês],R$3)/100,"")</f>
        <v/>
      </c>
      <c r="S57" s="40"/>
      <c r="U57" s="10">
        <f ca="1">IFERROR(AVERAGEIFS(INDIRECT("Tabela1["&amp;$D57&amp;"]"),Tabela1[Data],U$3)/100,"")</f>
        <v>0.15</v>
      </c>
      <c r="V57" s="10">
        <f ca="1">IFERROR(AVERAGEIFS(INDIRECT("Tabela1["&amp;$D57&amp;"]"),Tabela1[Data],V$3)/100,"")</f>
        <v>0.13750000000000001</v>
      </c>
      <c r="W57" s="10">
        <f ca="1">IFERROR(AVERAGEIFS(INDIRECT("Tabela1["&amp;$D57&amp;"]"),Tabela1[Data],W$3)/100,"")</f>
        <v>0.15</v>
      </c>
      <c r="X57" s="10">
        <f ca="1">IFERROR(AVERAGEIFS(INDIRECT("Tabela1["&amp;$D57&amp;"]"),Tabela1[Data],X$3)/100,"")</f>
        <v>0.22500000000000001</v>
      </c>
      <c r="Y57" s="10">
        <f ca="1">IFERROR(AVERAGEIFS(INDIRECT("Tabela1["&amp;$D57&amp;"]"),Tabela1[Data],Y$3)/100,"")</f>
        <v>0.25</v>
      </c>
      <c r="Z57" s="10">
        <f ca="1">IFERROR(AVERAGEIFS(INDIRECT("Tabela1["&amp;$D57&amp;"]"),Tabela1[Data],Z$3)/100,"")</f>
        <v>0.21249999999999999</v>
      </c>
      <c r="AA57" s="10">
        <f ca="1">IFERROR(AVERAGEIFS(INDIRECT("Tabela1["&amp;$D57&amp;"]"),Tabela1[Data],AA$3)/100,"")</f>
        <v>0.23749999999999999</v>
      </c>
      <c r="AB57" s="10" t="str">
        <f ca="1">IFERROR(AVERAGEIFS(INDIRECT("Tabela1["&amp;$D57&amp;"]"),Tabela1[Data],AB$3)/100,"")</f>
        <v/>
      </c>
      <c r="AC57" s="10" t="str">
        <f ca="1">IFERROR(AVERAGEIFS(INDIRECT("Tabela1["&amp;$D57&amp;"]"),Tabela1[Data],AC$3)/100,"")</f>
        <v/>
      </c>
      <c r="AD57" s="10" t="str">
        <f ca="1">IFERROR(AVERAGEIFS(INDIRECT("Tabela1["&amp;$D57&amp;"]"),Tabela1[Data],AD$3)/100,"")</f>
        <v/>
      </c>
      <c r="AE57" s="10" t="str">
        <f ca="1">IFERROR(AVERAGEIFS(INDIRECT("Tabela1["&amp;$D57&amp;"]"),Tabela1[Data],AE$3)/100,"")</f>
        <v/>
      </c>
      <c r="AF57" s="10" t="str">
        <f ca="1">IFERROR(AVERAGEIFS(INDIRECT("Tabela1["&amp;$D57&amp;"]"),Tabela1[Data],AF$3)/100,"")</f>
        <v/>
      </c>
      <c r="AG57" s="10" t="str">
        <f ca="1">IFERROR(AVERAGEIFS(INDIRECT("Tabela1["&amp;$D57&amp;"]"),Tabela1[Data],AG$3)/100,"")</f>
        <v/>
      </c>
      <c r="AH57" s="10" t="str">
        <f ca="1">IFERROR(AVERAGEIFS(INDIRECT("Tabela1["&amp;$D57&amp;"]"),Tabela1[Data],AH$3)/100,"")</f>
        <v/>
      </c>
      <c r="AI57" s="10" t="str">
        <f ca="1">IFERROR(AVERAGEIFS(INDIRECT("Tabela1["&amp;$D57&amp;"]"),Tabela1[Data],AI$3)/100,"")</f>
        <v/>
      </c>
      <c r="AJ57" s="10" t="str">
        <f ca="1">IFERROR(AVERAGEIFS(INDIRECT("Tabela1["&amp;$D57&amp;"]"),Tabela1[Data],AJ$3)/100,"")</f>
        <v/>
      </c>
      <c r="AK57" s="10" t="str">
        <f ca="1">IFERROR(AVERAGEIFS(INDIRECT("Tabela1["&amp;$D57&amp;"]"),Tabela1[Data],AK$3)/100,"")</f>
        <v/>
      </c>
      <c r="AL57" s="10" t="str">
        <f ca="1">IFERROR(AVERAGEIFS(INDIRECT("Tabela1["&amp;$D57&amp;"]"),Tabela1[Data],AL$3)/100,"")</f>
        <v/>
      </c>
      <c r="AM57" s="10" t="str">
        <f ca="1">IFERROR(AVERAGEIFS(INDIRECT("Tabela1["&amp;$D57&amp;"]"),Tabela1[Data],AM$3)/100,"")</f>
        <v/>
      </c>
      <c r="AN57" s="10" t="str">
        <f ca="1">IFERROR(AVERAGEIFS(INDIRECT("Tabela1["&amp;$D57&amp;"]"),Tabela1[Data],AN$3)/100,"")</f>
        <v/>
      </c>
      <c r="AO57" s="10" t="str">
        <f ca="1">IFERROR(AVERAGEIFS(INDIRECT("Tabela1["&amp;$D57&amp;"]"),Tabela1[Data],AO$3)/100,"")</f>
        <v/>
      </c>
      <c r="AP57" s="10" t="str">
        <f ca="1">IFERROR(AVERAGEIFS(INDIRECT("Tabela1["&amp;$D57&amp;"]"),Tabela1[Data],AP$3)/100,"")</f>
        <v/>
      </c>
      <c r="AQ57" s="10" t="str">
        <f ca="1">IFERROR(AVERAGEIFS(INDIRECT("Tabela1["&amp;$D57&amp;"]"),Tabela1[Data],AQ$3)/100,"")</f>
        <v/>
      </c>
      <c r="AR57" s="10" t="str">
        <f ca="1">IFERROR(AVERAGEIFS(INDIRECT("Tabela1["&amp;$D57&amp;"]"),Tabela1[Data],AR$3)/100,"")</f>
        <v/>
      </c>
    </row>
    <row r="58" spans="1:44" ht="15" thickTop="1" x14ac:dyDescent="0.3">
      <c r="A58" s="25" t="s">
        <v>125</v>
      </c>
      <c r="B58" s="25">
        <f t="shared" si="1"/>
        <v>1</v>
      </c>
      <c r="C58" s="25" t="s">
        <v>125</v>
      </c>
      <c r="D58" s="4" t="str">
        <f t="shared" si="5"/>
        <v>Qualidade Acomodação</v>
      </c>
      <c r="E58" s="35" t="str">
        <f>Coleta!AG1</f>
        <v>Qualidade Acomodação</v>
      </c>
      <c r="F58" s="22">
        <v>1</v>
      </c>
      <c r="G58" s="26" t="str">
        <f ca="1">IFERROR(AVERAGEIFS(INDIRECT("Tabela1["&amp;$D58&amp;"]"),Tabela1[Turno],$F58,Tabela1[Mês],G$3),"")</f>
        <v/>
      </c>
      <c r="H58" s="26" t="str">
        <f ca="1">IFERROR(AVERAGEIFS(INDIRECT("Tabela1["&amp;$D58&amp;"]"),Tabela1[Turno],$F58,Tabela1[Mês],H$3),"")</f>
        <v/>
      </c>
      <c r="I58" s="26" t="str">
        <f ca="1">IFERROR(AVERAGEIFS(INDIRECT("Tabela1["&amp;$D58&amp;"]"),Tabela1[Turno],$F58,Tabela1[Mês],I$3),"")</f>
        <v/>
      </c>
      <c r="J58" s="26" t="str">
        <f ca="1">IFERROR(AVERAGEIFS(INDIRECT("Tabela1["&amp;$D58&amp;"]"),Tabela1[Turno],$F58,Tabela1[Mês],J$3),"")</f>
        <v/>
      </c>
      <c r="K58" s="26" t="str">
        <f ca="1">IFERROR(AVERAGEIFS(INDIRECT("Tabela1["&amp;$D58&amp;"]"),Tabela1[Turno],$F58,Tabela1[Mês],K$3),"")</f>
        <v/>
      </c>
      <c r="L58" s="26" t="str">
        <f ca="1">IFERROR(AVERAGEIFS(INDIRECT("Tabela1["&amp;$D58&amp;"]"),Tabela1[Turno],$F58,Tabela1[Mês],L$3),"")</f>
        <v/>
      </c>
      <c r="M58" s="26" t="str">
        <f ca="1">IFERROR(AVERAGEIFS(INDIRECT("Tabela1["&amp;$D58&amp;"]"),Tabela1[Turno],$F58,Tabela1[Mês],M$3),"")</f>
        <v/>
      </c>
      <c r="N58" s="26" t="str">
        <f ca="1">IFERROR(AVERAGEIFS(INDIRECT("Tabela1["&amp;$D58&amp;"]"),Tabela1[Turno],$F58,Tabela1[Mês],N$3),"")</f>
        <v/>
      </c>
      <c r="O58" s="26" t="str">
        <f ca="1">IFERROR(AVERAGEIFS(INDIRECT("Tabela1["&amp;$D58&amp;"]"),Tabela1[Turno],$F58,Tabela1[Mês],O$3),"")</f>
        <v/>
      </c>
      <c r="P58" s="26" t="str">
        <f ca="1">IFERROR(AVERAGEIFS(INDIRECT("Tabela1["&amp;$D58&amp;"]"),Tabela1[Turno],$F58,Tabela1[Mês],P$3),"")</f>
        <v/>
      </c>
      <c r="Q58" s="26" t="str">
        <f ca="1">IFERROR(AVERAGEIFS(INDIRECT("Tabela1["&amp;$D58&amp;"]"),Tabela1[Turno],$F58,Tabela1[Mês],Q$3),"")</f>
        <v/>
      </c>
      <c r="R58" s="27" t="str">
        <f ca="1">IFERROR(AVERAGEIFS(INDIRECT("Tabela1["&amp;$D58&amp;"]"),Tabela1[Turno],$F58,Tabela1[Mês],R$3),"")</f>
        <v/>
      </c>
      <c r="S58" s="38">
        <v>10</v>
      </c>
      <c r="U58" s="11" t="str">
        <f ca="1">IFERROR(AVERAGEIFS(INDIRECT("Tabela1["&amp;$D58&amp;"]"),Tabela1[Turno],$F58,Tabela1[Data],U$3),"")</f>
        <v/>
      </c>
      <c r="V58" s="11" t="str">
        <f ca="1">IFERROR(AVERAGEIFS(INDIRECT("Tabela1["&amp;$D58&amp;"]"),Tabela1[Turno],$F58,Tabela1[Data],V$3),"")</f>
        <v/>
      </c>
      <c r="W58" s="26" t="str">
        <f ca="1">IFERROR(AVERAGEIFS(INDIRECT("Tabela1["&amp;$D58&amp;"]"),Tabela1[Turno],$F58,Tabela1[Data],W$3),"")</f>
        <v/>
      </c>
      <c r="X58" s="26" t="str">
        <f ca="1">IFERROR(AVERAGEIFS(INDIRECT("Tabela1["&amp;$D58&amp;"]"),Tabela1[Turno],$F58,Tabela1[Data],X$3),"")</f>
        <v/>
      </c>
      <c r="Y58" s="26" t="str">
        <f ca="1">IFERROR(AVERAGEIFS(INDIRECT("Tabela1["&amp;$D58&amp;"]"),Tabela1[Turno],$F58,Tabela1[Data],Y$3),"")</f>
        <v/>
      </c>
      <c r="Z58" s="26" t="str">
        <f ca="1">IFERROR(AVERAGEIFS(INDIRECT("Tabela1["&amp;$D58&amp;"]"),Tabela1[Turno],$F58,Tabela1[Data],Z$3),"")</f>
        <v/>
      </c>
      <c r="AA58" s="26" t="str">
        <f ca="1">IFERROR(AVERAGEIFS(INDIRECT("Tabela1["&amp;$D58&amp;"]"),Tabela1[Turno],$F58,Tabela1[Data],AA$3),"")</f>
        <v/>
      </c>
      <c r="AB58" s="26" t="str">
        <f ca="1">IFERROR(AVERAGEIFS(INDIRECT("Tabela1["&amp;$D58&amp;"]"),Tabela1[Turno],$F58,Tabela1[Data],AB$3),"")</f>
        <v/>
      </c>
      <c r="AC58" s="26" t="str">
        <f ca="1">IFERROR(AVERAGEIFS(INDIRECT("Tabela1["&amp;$D58&amp;"]"),Tabela1[Turno],$F58,Tabela1[Data],AC$3),"")</f>
        <v/>
      </c>
      <c r="AD58" s="26" t="str">
        <f ca="1">IFERROR(AVERAGEIFS(INDIRECT("Tabela1["&amp;$D58&amp;"]"),Tabela1[Turno],$F58,Tabela1[Data],AD$3),"")</f>
        <v/>
      </c>
      <c r="AE58" s="26" t="str">
        <f ca="1">IFERROR(AVERAGEIFS(INDIRECT("Tabela1["&amp;$D58&amp;"]"),Tabela1[Turno],$F58,Tabela1[Data],AE$3),"")</f>
        <v/>
      </c>
      <c r="AF58" s="26" t="str">
        <f ca="1">IFERROR(AVERAGEIFS(INDIRECT("Tabela1["&amp;$D58&amp;"]"),Tabela1[Turno],$F58,Tabela1[Data],AF$3),"")</f>
        <v/>
      </c>
      <c r="AG58" s="26" t="str">
        <f ca="1">IFERROR(AVERAGEIFS(INDIRECT("Tabela1["&amp;$D58&amp;"]"),Tabela1[Turno],$F58,Tabela1[Data],AG$3),"")</f>
        <v/>
      </c>
      <c r="AH58" s="26" t="str">
        <f ca="1">IFERROR(AVERAGEIFS(INDIRECT("Tabela1["&amp;$D58&amp;"]"),Tabela1[Turno],$F58,Tabela1[Data],AH$3),"")</f>
        <v/>
      </c>
      <c r="AI58" s="26" t="str">
        <f ca="1">IFERROR(AVERAGEIFS(INDIRECT("Tabela1["&amp;$D58&amp;"]"),Tabela1[Turno],$F58,Tabela1[Data],AI$3),"")</f>
        <v/>
      </c>
      <c r="AJ58" s="26" t="str">
        <f ca="1">IFERROR(AVERAGEIFS(INDIRECT("Tabela1["&amp;$D58&amp;"]"),Tabela1[Turno],$F58,Tabela1[Data],AJ$3),"")</f>
        <v/>
      </c>
      <c r="AK58" s="26" t="str">
        <f ca="1">IFERROR(AVERAGEIFS(INDIRECT("Tabela1["&amp;$D58&amp;"]"),Tabela1[Turno],$F58,Tabela1[Data],AK$3),"")</f>
        <v/>
      </c>
      <c r="AL58" s="26" t="str">
        <f ca="1">IFERROR(AVERAGEIFS(INDIRECT("Tabela1["&amp;$D58&amp;"]"),Tabela1[Turno],$F58,Tabela1[Data],AL$3),"")</f>
        <v/>
      </c>
      <c r="AM58" s="26" t="str">
        <f ca="1">IFERROR(AVERAGEIFS(INDIRECT("Tabela1["&amp;$D58&amp;"]"),Tabela1[Turno],$F58,Tabela1[Data],AM$3),"")</f>
        <v/>
      </c>
      <c r="AN58" s="26" t="str">
        <f ca="1">IFERROR(AVERAGEIFS(INDIRECT("Tabela1["&amp;$D58&amp;"]"),Tabela1[Turno],$F58,Tabela1[Data],AN$3),"")</f>
        <v/>
      </c>
      <c r="AO58" s="26" t="str">
        <f ca="1">IFERROR(AVERAGEIFS(INDIRECT("Tabela1["&amp;$D58&amp;"]"),Tabela1[Turno],$F58,Tabela1[Data],AO$3),"")</f>
        <v/>
      </c>
      <c r="AP58" s="26" t="str">
        <f ca="1">IFERROR(AVERAGEIFS(INDIRECT("Tabela1["&amp;$D58&amp;"]"),Tabela1[Turno],$F58,Tabela1[Data],AP$3),"")</f>
        <v/>
      </c>
      <c r="AQ58" s="26" t="str">
        <f ca="1">IFERROR(AVERAGEIFS(INDIRECT("Tabela1["&amp;$D58&amp;"]"),Tabela1[Turno],$F58,Tabela1[Data],AQ$3),"")</f>
        <v/>
      </c>
      <c r="AR58" s="26" t="str">
        <f ca="1">IFERROR(AVERAGEIFS(INDIRECT("Tabela1["&amp;$D58&amp;"]"),Tabela1[Turno],$F58,Tabela1[Data],AR$3),"")</f>
        <v/>
      </c>
    </row>
    <row r="59" spans="1:44" x14ac:dyDescent="0.3">
      <c r="A59" s="25" t="s">
        <v>125</v>
      </c>
      <c r="B59" s="25">
        <f t="shared" si="1"/>
        <v>2</v>
      </c>
      <c r="C59" s="25" t="s">
        <v>125</v>
      </c>
      <c r="D59" s="4" t="str">
        <f t="shared" si="5"/>
        <v>Qualidade Acomodação</v>
      </c>
      <c r="E59" s="36"/>
      <c r="F59" s="23">
        <v>2</v>
      </c>
      <c r="G59" s="12" t="str">
        <f ca="1">IFERROR(AVERAGEIFS(INDIRECT("Tabela1["&amp;$D59&amp;"]"),Tabela1[Turno],$F59,Tabela1[Mês],G$3),"")</f>
        <v/>
      </c>
      <c r="H59" s="12" t="str">
        <f ca="1">IFERROR(AVERAGEIFS(INDIRECT("Tabela1["&amp;$D59&amp;"]"),Tabela1[Turno],$F59,Tabela1[Mês],H$3),"")</f>
        <v/>
      </c>
      <c r="I59" s="12" t="str">
        <f ca="1">IFERROR(AVERAGEIFS(INDIRECT("Tabela1["&amp;$D59&amp;"]"),Tabela1[Turno],$F59,Tabela1[Mês],I$3),"")</f>
        <v/>
      </c>
      <c r="J59" s="12" t="str">
        <f ca="1">IFERROR(AVERAGEIFS(INDIRECT("Tabela1["&amp;$D59&amp;"]"),Tabela1[Turno],$F59,Tabela1[Mês],J$3),"")</f>
        <v/>
      </c>
      <c r="K59" s="12" t="str">
        <f ca="1">IFERROR(AVERAGEIFS(INDIRECT("Tabela1["&amp;$D59&amp;"]"),Tabela1[Turno],$F59,Tabela1[Mês],K$3),"")</f>
        <v/>
      </c>
      <c r="L59" s="12" t="str">
        <f ca="1">IFERROR(AVERAGEIFS(INDIRECT("Tabela1["&amp;$D59&amp;"]"),Tabela1[Turno],$F59,Tabela1[Mês],L$3),"")</f>
        <v/>
      </c>
      <c r="M59" s="12" t="str">
        <f ca="1">IFERROR(AVERAGEIFS(INDIRECT("Tabela1["&amp;$D59&amp;"]"),Tabela1[Turno],$F59,Tabela1[Mês],M$3),"")</f>
        <v/>
      </c>
      <c r="N59" s="12">
        <f ca="1">IFERROR(AVERAGEIFS(INDIRECT("Tabela1["&amp;$D59&amp;"]"),Tabela1[Turno],$F59,Tabela1[Mês],N$3),"")</f>
        <v>6.9230769230769234</v>
      </c>
      <c r="O59" s="12">
        <f ca="1">IFERROR(AVERAGEIFS(INDIRECT("Tabela1["&amp;$D59&amp;"]"),Tabela1[Turno],$F59,Tabela1[Mês],O$3),"")</f>
        <v>8.3125</v>
      </c>
      <c r="P59" s="12">
        <f ca="1">IFERROR(AVERAGEIFS(INDIRECT("Tabela1["&amp;$D59&amp;"]"),Tabela1[Turno],$F59,Tabela1[Mês],P$3),"")</f>
        <v>8.615384615384615</v>
      </c>
      <c r="Q59" s="12" t="str">
        <f ca="1">IFERROR(AVERAGEIFS(INDIRECT("Tabela1["&amp;$D59&amp;"]"),Tabela1[Turno],$F59,Tabela1[Mês],Q$3),"")</f>
        <v/>
      </c>
      <c r="R59" s="13" t="str">
        <f ca="1">IFERROR(AVERAGEIFS(INDIRECT("Tabela1["&amp;$D59&amp;"]"),Tabela1[Turno],$F59,Tabela1[Mês],R$3),"")</f>
        <v/>
      </c>
      <c r="S59" s="39"/>
      <c r="U59" s="12">
        <f ca="1">IFERROR(AVERAGEIFS(INDIRECT("Tabela1["&amp;$D59&amp;"]"),Tabela1[Turno],$F59,Tabela1[Data],U$3),"")</f>
        <v>9</v>
      </c>
      <c r="V59" s="12">
        <f ca="1">IFERROR(AVERAGEIFS(INDIRECT("Tabela1["&amp;$D59&amp;"]"),Tabela1[Turno],$F59,Tabela1[Data],V$3),"")</f>
        <v>9.25</v>
      </c>
      <c r="W59" s="12">
        <f ca="1">IFERROR(AVERAGEIFS(INDIRECT("Tabela1["&amp;$D59&amp;"]"),Tabela1[Turno],$F59,Tabela1[Data],W$3),"")</f>
        <v>8</v>
      </c>
      <c r="X59" s="12">
        <f ca="1">IFERROR(AVERAGEIFS(INDIRECT("Tabela1["&amp;$D59&amp;"]"),Tabela1[Turno],$F59,Tabela1[Data],X$3),"")</f>
        <v>8.5</v>
      </c>
      <c r="Y59" s="12">
        <f ca="1">IFERROR(AVERAGEIFS(INDIRECT("Tabela1["&amp;$D59&amp;"]"),Tabela1[Turno],$F59,Tabela1[Data],Y$3),"")</f>
        <v>8.5</v>
      </c>
      <c r="Z59" s="12">
        <f ca="1">IFERROR(AVERAGEIFS(INDIRECT("Tabela1["&amp;$D59&amp;"]"),Tabela1[Turno],$F59,Tabela1[Data],Z$3),"")</f>
        <v>8.5</v>
      </c>
      <c r="AA59" s="12">
        <f ca="1">IFERROR(AVERAGEIFS(INDIRECT("Tabela1["&amp;$D59&amp;"]"),Tabela1[Turno],$F59,Tabela1[Data],AA$3),"")</f>
        <v>8.5</v>
      </c>
      <c r="AB59" s="12" t="str">
        <f ca="1">IFERROR(AVERAGEIFS(INDIRECT("Tabela1["&amp;$D59&amp;"]"),Tabela1[Turno],$F59,Tabela1[Data],AB$3),"")</f>
        <v/>
      </c>
      <c r="AC59" s="12" t="str">
        <f ca="1">IFERROR(AVERAGEIFS(INDIRECT("Tabela1["&amp;$D59&amp;"]"),Tabela1[Turno],$F59,Tabela1[Data],AC$3),"")</f>
        <v/>
      </c>
      <c r="AD59" s="12" t="str">
        <f ca="1">IFERROR(AVERAGEIFS(INDIRECT("Tabela1["&amp;$D59&amp;"]"),Tabela1[Turno],$F59,Tabela1[Data],AD$3),"")</f>
        <v/>
      </c>
      <c r="AE59" s="12" t="str">
        <f ca="1">IFERROR(AVERAGEIFS(INDIRECT("Tabela1["&amp;$D59&amp;"]"),Tabela1[Turno],$F59,Tabela1[Data],AE$3),"")</f>
        <v/>
      </c>
      <c r="AF59" s="12" t="str">
        <f ca="1">IFERROR(AVERAGEIFS(INDIRECT("Tabela1["&amp;$D59&amp;"]"),Tabela1[Turno],$F59,Tabela1[Data],AF$3),"")</f>
        <v/>
      </c>
      <c r="AG59" s="12" t="str">
        <f ca="1">IFERROR(AVERAGEIFS(INDIRECT("Tabela1["&amp;$D59&amp;"]"),Tabela1[Turno],$F59,Tabela1[Data],AG$3),"")</f>
        <v/>
      </c>
      <c r="AH59" s="12" t="str">
        <f ca="1">IFERROR(AVERAGEIFS(INDIRECT("Tabela1["&amp;$D59&amp;"]"),Tabela1[Turno],$F59,Tabela1[Data],AH$3),"")</f>
        <v/>
      </c>
      <c r="AI59" s="12" t="str">
        <f ca="1">IFERROR(AVERAGEIFS(INDIRECT("Tabela1["&amp;$D59&amp;"]"),Tabela1[Turno],$F59,Tabela1[Data],AI$3),"")</f>
        <v/>
      </c>
      <c r="AJ59" s="12" t="str">
        <f ca="1">IFERROR(AVERAGEIFS(INDIRECT("Tabela1["&amp;$D59&amp;"]"),Tabela1[Turno],$F59,Tabela1[Data],AJ$3),"")</f>
        <v/>
      </c>
      <c r="AK59" s="12" t="str">
        <f ca="1">IFERROR(AVERAGEIFS(INDIRECT("Tabela1["&amp;$D59&amp;"]"),Tabela1[Turno],$F59,Tabela1[Data],AK$3),"")</f>
        <v/>
      </c>
      <c r="AL59" s="12" t="str">
        <f ca="1">IFERROR(AVERAGEIFS(INDIRECT("Tabela1["&amp;$D59&amp;"]"),Tabela1[Turno],$F59,Tabela1[Data],AL$3),"")</f>
        <v/>
      </c>
      <c r="AM59" s="12" t="str">
        <f ca="1">IFERROR(AVERAGEIFS(INDIRECT("Tabela1["&amp;$D59&amp;"]"),Tabela1[Turno],$F59,Tabela1[Data],AM$3),"")</f>
        <v/>
      </c>
      <c r="AN59" s="12" t="str">
        <f ca="1">IFERROR(AVERAGEIFS(INDIRECT("Tabela1["&amp;$D59&amp;"]"),Tabela1[Turno],$F59,Tabela1[Data],AN$3),"")</f>
        <v/>
      </c>
      <c r="AO59" s="12" t="str">
        <f ca="1">IFERROR(AVERAGEIFS(INDIRECT("Tabela1["&amp;$D59&amp;"]"),Tabela1[Turno],$F59,Tabela1[Data],AO$3),"")</f>
        <v/>
      </c>
      <c r="AP59" s="12" t="str">
        <f ca="1">IFERROR(AVERAGEIFS(INDIRECT("Tabela1["&amp;$D59&amp;"]"),Tabela1[Turno],$F59,Tabela1[Data],AP$3),"")</f>
        <v/>
      </c>
      <c r="AQ59" s="12" t="str">
        <f ca="1">IFERROR(AVERAGEIFS(INDIRECT("Tabela1["&amp;$D59&amp;"]"),Tabela1[Turno],$F59,Tabela1[Data],AQ$3),"")</f>
        <v/>
      </c>
      <c r="AR59" s="12" t="str">
        <f ca="1">IFERROR(AVERAGEIFS(INDIRECT("Tabela1["&amp;$D59&amp;"]"),Tabela1[Turno],$F59,Tabela1[Data],AR$3),"")</f>
        <v/>
      </c>
    </row>
    <row r="60" spans="1:44" ht="15" thickBot="1" x14ac:dyDescent="0.35">
      <c r="A60" s="25" t="s">
        <v>125</v>
      </c>
      <c r="B60" s="25" t="str">
        <f t="shared" si="1"/>
        <v>Unidade</v>
      </c>
      <c r="C60" s="25" t="s">
        <v>125</v>
      </c>
      <c r="D60" s="4" t="str">
        <f t="shared" si="5"/>
        <v>Qualidade Acomodação</v>
      </c>
      <c r="E60" s="37"/>
      <c r="F60" s="24" t="s">
        <v>142</v>
      </c>
      <c r="G60" s="9" t="str">
        <f ca="1">IFERROR(AVERAGEIFS(INDIRECT("Tabela1["&amp;$D60&amp;"]"),Tabela1[Mês],G$3),"")</f>
        <v/>
      </c>
      <c r="H60" s="9" t="str">
        <f ca="1">IFERROR(AVERAGEIFS(INDIRECT("Tabela1["&amp;$D60&amp;"]"),Tabela1[Mês],H$3),"")</f>
        <v/>
      </c>
      <c r="I60" s="9" t="str">
        <f ca="1">IFERROR(AVERAGEIFS(INDIRECT("Tabela1["&amp;$D60&amp;"]"),Tabela1[Mês],I$3),"")</f>
        <v/>
      </c>
      <c r="J60" s="9" t="str">
        <f ca="1">IFERROR(AVERAGEIFS(INDIRECT("Tabela1["&amp;$D60&amp;"]"),Tabela1[Mês],J$3),"")</f>
        <v/>
      </c>
      <c r="K60" s="9" t="str">
        <f ca="1">IFERROR(AVERAGEIFS(INDIRECT("Tabela1["&amp;$D60&amp;"]"),Tabela1[Mês],K$3),"")</f>
        <v/>
      </c>
      <c r="L60" s="9" t="str">
        <f ca="1">IFERROR(AVERAGEIFS(INDIRECT("Tabela1["&amp;$D60&amp;"]"),Tabela1[Mês],L$3),"")</f>
        <v/>
      </c>
      <c r="M60" s="9" t="str">
        <f ca="1">IFERROR(AVERAGEIFS(INDIRECT("Tabela1["&amp;$D60&amp;"]"),Tabela1[Mês],M$3),"")</f>
        <v/>
      </c>
      <c r="N60" s="9">
        <f ca="1">IFERROR(AVERAGEIFS(INDIRECT("Tabela1["&amp;$D60&amp;"]"),Tabela1[Mês],N$3),"")</f>
        <v>6.9696969696969697</v>
      </c>
      <c r="O60" s="9">
        <f ca="1">IFERROR(AVERAGEIFS(INDIRECT("Tabela1["&amp;$D60&amp;"]"),Tabela1[Mês],O$3),"")</f>
        <v>8.3125</v>
      </c>
      <c r="P60" s="9">
        <f ca="1">IFERROR(AVERAGEIFS(INDIRECT("Tabela1["&amp;$D60&amp;"]"),Tabela1[Mês],P$3),"")</f>
        <v>8.615384615384615</v>
      </c>
      <c r="Q60" s="9" t="str">
        <f ca="1">IFERROR(AVERAGEIFS(INDIRECT("Tabela1["&amp;$D60&amp;"]"),Tabela1[Mês],Q$3),"")</f>
        <v/>
      </c>
      <c r="R60" s="14" t="str">
        <f ca="1">IFERROR(AVERAGEIFS(INDIRECT("Tabela1["&amp;$D60&amp;"]"),Tabela1[Mês],R$3),"")</f>
        <v/>
      </c>
      <c r="S60" s="40"/>
      <c r="U60" s="9">
        <f ca="1">IFERROR(AVERAGEIFS(INDIRECT("Tabela1["&amp;$D60&amp;"]"),Tabela1[Data],U$3),"")</f>
        <v>9</v>
      </c>
      <c r="V60" s="9">
        <f ca="1">IFERROR(AVERAGEIFS(INDIRECT("Tabela1["&amp;$D60&amp;"]"),Tabela1[Data],V$3),"")</f>
        <v>9.25</v>
      </c>
      <c r="W60" s="9">
        <f ca="1">IFERROR(AVERAGEIFS(INDIRECT("Tabela1["&amp;$D60&amp;"]"),Tabela1[Data],W$3),"")</f>
        <v>8</v>
      </c>
      <c r="X60" s="9">
        <f ca="1">IFERROR(AVERAGEIFS(INDIRECT("Tabela1["&amp;$D60&amp;"]"),Tabela1[Data],X$3),"")</f>
        <v>8.5</v>
      </c>
      <c r="Y60" s="9">
        <f ca="1">IFERROR(AVERAGEIFS(INDIRECT("Tabela1["&amp;$D60&amp;"]"),Tabela1[Data],Y$3),"")</f>
        <v>8.5</v>
      </c>
      <c r="Z60" s="9">
        <f ca="1">IFERROR(AVERAGEIFS(INDIRECT("Tabela1["&amp;$D60&amp;"]"),Tabela1[Data],Z$3),"")</f>
        <v>8.5</v>
      </c>
      <c r="AA60" s="9">
        <f ca="1">IFERROR(AVERAGEIFS(INDIRECT("Tabela1["&amp;$D60&amp;"]"),Tabela1[Data],AA$3),"")</f>
        <v>8.5</v>
      </c>
      <c r="AB60" s="9" t="str">
        <f ca="1">IFERROR(AVERAGEIFS(INDIRECT("Tabela1["&amp;$D60&amp;"]"),Tabela1[Data],AB$3),"")</f>
        <v/>
      </c>
      <c r="AC60" s="9" t="str">
        <f ca="1">IFERROR(AVERAGEIFS(INDIRECT("Tabela1["&amp;$D60&amp;"]"),Tabela1[Data],AC$3),"")</f>
        <v/>
      </c>
      <c r="AD60" s="9" t="str">
        <f ca="1">IFERROR(AVERAGEIFS(INDIRECT("Tabela1["&amp;$D60&amp;"]"),Tabela1[Data],AD$3),"")</f>
        <v/>
      </c>
      <c r="AE60" s="9" t="str">
        <f ca="1">IFERROR(AVERAGEIFS(INDIRECT("Tabela1["&amp;$D60&amp;"]"),Tabela1[Data],AE$3),"")</f>
        <v/>
      </c>
      <c r="AF60" s="9" t="str">
        <f ca="1">IFERROR(AVERAGEIFS(INDIRECT("Tabela1["&amp;$D60&amp;"]"),Tabela1[Data],AF$3),"")</f>
        <v/>
      </c>
      <c r="AG60" s="9" t="str">
        <f ca="1">IFERROR(AVERAGEIFS(INDIRECT("Tabela1["&amp;$D60&amp;"]"),Tabela1[Data],AG$3),"")</f>
        <v/>
      </c>
      <c r="AH60" s="9" t="str">
        <f ca="1">IFERROR(AVERAGEIFS(INDIRECT("Tabela1["&amp;$D60&amp;"]"),Tabela1[Data],AH$3),"")</f>
        <v/>
      </c>
      <c r="AI60" s="9" t="str">
        <f ca="1">IFERROR(AVERAGEIFS(INDIRECT("Tabela1["&amp;$D60&amp;"]"),Tabela1[Data],AI$3),"")</f>
        <v/>
      </c>
      <c r="AJ60" s="9" t="str">
        <f ca="1">IFERROR(AVERAGEIFS(INDIRECT("Tabela1["&amp;$D60&amp;"]"),Tabela1[Data],AJ$3),"")</f>
        <v/>
      </c>
      <c r="AK60" s="9" t="str">
        <f ca="1">IFERROR(AVERAGEIFS(INDIRECT("Tabela1["&amp;$D60&amp;"]"),Tabela1[Data],AK$3),"")</f>
        <v/>
      </c>
      <c r="AL60" s="9" t="str">
        <f ca="1">IFERROR(AVERAGEIFS(INDIRECT("Tabela1["&amp;$D60&amp;"]"),Tabela1[Data],AL$3),"")</f>
        <v/>
      </c>
      <c r="AM60" s="9" t="str">
        <f ca="1">IFERROR(AVERAGEIFS(INDIRECT("Tabela1["&amp;$D60&amp;"]"),Tabela1[Data],AM$3),"")</f>
        <v/>
      </c>
      <c r="AN60" s="9" t="str">
        <f ca="1">IFERROR(AVERAGEIFS(INDIRECT("Tabela1["&amp;$D60&amp;"]"),Tabela1[Data],AN$3),"")</f>
        <v/>
      </c>
      <c r="AO60" s="9" t="str">
        <f ca="1">IFERROR(AVERAGEIFS(INDIRECT("Tabela1["&amp;$D60&amp;"]"),Tabela1[Data],AO$3),"")</f>
        <v/>
      </c>
      <c r="AP60" s="9" t="str">
        <f ca="1">IFERROR(AVERAGEIFS(INDIRECT("Tabela1["&amp;$D60&amp;"]"),Tabela1[Data],AP$3),"")</f>
        <v/>
      </c>
      <c r="AQ60" s="9" t="str">
        <f ca="1">IFERROR(AVERAGEIFS(INDIRECT("Tabela1["&amp;$D60&amp;"]"),Tabela1[Data],AQ$3),"")</f>
        <v/>
      </c>
      <c r="AR60" s="9" t="str">
        <f ca="1">IFERROR(AVERAGEIFS(INDIRECT("Tabela1["&amp;$D60&amp;"]"),Tabela1[Data],AR$3),"")</f>
        <v/>
      </c>
    </row>
    <row r="61" spans="1:44" ht="15" thickTop="1" x14ac:dyDescent="0.3"/>
    <row r="69" spans="12:15" x14ac:dyDescent="0.3">
      <c r="L69" s="32"/>
    </row>
    <row r="70" spans="12:15" x14ac:dyDescent="0.3">
      <c r="L70" s="32"/>
      <c r="O70" s="32"/>
    </row>
    <row r="71" spans="12:15" x14ac:dyDescent="0.3">
      <c r="L71" s="32"/>
      <c r="O71" s="32"/>
    </row>
    <row r="72" spans="12:15" x14ac:dyDescent="0.3">
      <c r="L72" s="32"/>
      <c r="O72" s="32"/>
    </row>
    <row r="74" spans="12:15" x14ac:dyDescent="0.3">
      <c r="L74" s="31"/>
      <c r="O74" s="32"/>
    </row>
    <row r="117" spans="21:39" x14ac:dyDescent="0.3">
      <c r="U117" s="21" t="s">
        <v>155</v>
      </c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</row>
    <row r="118" spans="21:39" x14ac:dyDescent="0.3">
      <c r="U118" t="s">
        <v>562</v>
      </c>
      <c r="V118" t="s">
        <v>584</v>
      </c>
      <c r="W118" t="s">
        <v>575</v>
      </c>
      <c r="X118" t="s">
        <v>607</v>
      </c>
      <c r="Y118" t="s">
        <v>595</v>
      </c>
      <c r="Z118" t="s">
        <v>630</v>
      </c>
      <c r="AA118" t="s">
        <v>618</v>
      </c>
      <c r="AB118"/>
      <c r="AC118"/>
      <c r="AD118"/>
      <c r="AE118"/>
      <c r="AF118"/>
      <c r="AG118"/>
      <c r="AH118"/>
      <c r="AI118"/>
      <c r="AJ118"/>
      <c r="AK118"/>
      <c r="AL118"/>
      <c r="AM118"/>
    </row>
  </sheetData>
  <mergeCells count="38">
    <mergeCell ref="S52:S54"/>
    <mergeCell ref="S55:S57"/>
    <mergeCell ref="S58:S60"/>
    <mergeCell ref="S31:S33"/>
    <mergeCell ref="S34:S36"/>
    <mergeCell ref="S37:S39"/>
    <mergeCell ref="S40:S42"/>
    <mergeCell ref="S46:S48"/>
    <mergeCell ref="S49:S51"/>
    <mergeCell ref="S43:S45"/>
    <mergeCell ref="E58:E60"/>
    <mergeCell ref="S4:S6"/>
    <mergeCell ref="S7:S9"/>
    <mergeCell ref="S10:S12"/>
    <mergeCell ref="S13:S15"/>
    <mergeCell ref="S16:S18"/>
    <mergeCell ref="S19:S21"/>
    <mergeCell ref="S22:S24"/>
    <mergeCell ref="S25:S27"/>
    <mergeCell ref="S28:S30"/>
    <mergeCell ref="E49:E51"/>
    <mergeCell ref="E52:E54"/>
    <mergeCell ref="E55:E57"/>
    <mergeCell ref="E31:E33"/>
    <mergeCell ref="E34:E36"/>
    <mergeCell ref="E37:E39"/>
    <mergeCell ref="E46:E48"/>
    <mergeCell ref="E19:E21"/>
    <mergeCell ref="E16:E18"/>
    <mergeCell ref="E22:E24"/>
    <mergeCell ref="E25:E27"/>
    <mergeCell ref="E28:E30"/>
    <mergeCell ref="E43:E45"/>
    <mergeCell ref="E4:E6"/>
    <mergeCell ref="E7:E9"/>
    <mergeCell ref="E10:E12"/>
    <mergeCell ref="E13:E15"/>
    <mergeCell ref="E40:E42"/>
  </mergeCells>
  <conditionalFormatting sqref="G6:R6 G9:R9 G12:R12 G15:R15 G24:R24 G27:R27 G30:R30 G33:R33 G36:R36 G39:R39 G42:R42 G60:R60">
    <cfRule type="colorScale" priority="31">
      <colorScale>
        <cfvo type="num" val="5"/>
        <cfvo type="num" val="7"/>
        <cfvo type="num" val="10"/>
        <color rgb="FFF8696B"/>
        <color rgb="FFFFEB84"/>
        <color rgb="FF63BE7B"/>
      </colorScale>
    </cfRule>
  </conditionalFormatting>
  <conditionalFormatting sqref="G18:R18 G21:R21">
    <cfRule type="colorScale" priority="28">
      <colorScale>
        <cfvo type="num" val="0.75"/>
        <cfvo type="num" val="0.88"/>
        <cfvo type="num" val="0.95"/>
        <color rgb="FFF8696B"/>
        <color rgb="FFFFEB84"/>
        <color rgb="FF63BE7B"/>
      </colorScale>
    </cfRule>
  </conditionalFormatting>
  <conditionalFormatting sqref="G54:R54">
    <cfRule type="colorScale" priority="27">
      <colorScale>
        <cfvo type="num" val="0.6"/>
        <cfvo type="num" val="0.69"/>
        <cfvo type="num" val="0.73"/>
        <color rgb="FFF8696B"/>
        <color rgb="FFFFEB84"/>
        <color rgb="FF63BE7B"/>
      </colorScale>
    </cfRule>
  </conditionalFormatting>
  <conditionalFormatting sqref="U6:AR6">
    <cfRule type="colorScale" priority="26">
      <colorScale>
        <cfvo type="num" val="5"/>
        <cfvo type="num" val="7"/>
        <cfvo type="num" val="10"/>
        <color rgb="FFF8696B"/>
        <color rgb="FFFFEB84"/>
        <color rgb="FF63BE7B"/>
      </colorScale>
    </cfRule>
  </conditionalFormatting>
  <conditionalFormatting sqref="U9:AR9 U12:AR12 U15:AR15 V18:AR18 U24:AR24 U27:AR27 U30:AR30 U33:AR33 U36:AR36 U39:AR39 U42:AR42 U60:AR60">
    <cfRule type="colorScale" priority="22">
      <colorScale>
        <cfvo type="num" val="5"/>
        <cfvo type="num" val="7"/>
        <cfvo type="num" val="10"/>
        <color rgb="FFF8696B"/>
        <color rgb="FFFFEB84"/>
        <color rgb="FF63BE7B"/>
      </colorScale>
    </cfRule>
  </conditionalFormatting>
  <conditionalFormatting sqref="U18:AR18">
    <cfRule type="colorScale" priority="21">
      <colorScale>
        <cfvo type="num" val="0.7"/>
        <cfvo type="num" val="0.85"/>
        <cfvo type="num" val="1"/>
        <color rgb="FFF8696B"/>
        <color rgb="FFFFEB84"/>
        <color rgb="FF63BE7B"/>
      </colorScale>
    </cfRule>
  </conditionalFormatting>
  <conditionalFormatting sqref="V21:AR21">
    <cfRule type="colorScale" priority="20">
      <colorScale>
        <cfvo type="num" val="5"/>
        <cfvo type="num" val="7"/>
        <cfvo type="num" val="10"/>
        <color rgb="FFF8696B"/>
        <color rgb="FFFFEB84"/>
        <color rgb="FF63BE7B"/>
      </colorScale>
    </cfRule>
  </conditionalFormatting>
  <conditionalFormatting sqref="U21:AR21">
    <cfRule type="colorScale" priority="19">
      <colorScale>
        <cfvo type="num" val="0.7"/>
        <cfvo type="num" val="0.85"/>
        <cfvo type="num" val="1"/>
        <color rgb="FFF8696B"/>
        <color rgb="FFFFEB84"/>
        <color rgb="FF63BE7B"/>
      </colorScale>
    </cfRule>
  </conditionalFormatting>
  <conditionalFormatting sqref="U54:AR54">
    <cfRule type="colorScale" priority="10">
      <colorScale>
        <cfvo type="num" val="0.6"/>
        <cfvo type="num" val="0.69"/>
        <cfvo type="num" val="0.73"/>
        <color rgb="FFF8696B"/>
        <color rgb="FFFFEB84"/>
        <color rgb="FF63BE7B"/>
      </colorScale>
    </cfRule>
  </conditionalFormatting>
  <conditionalFormatting sqref="G57:R57">
    <cfRule type="colorScale" priority="9">
      <colorScale>
        <cfvo type="num" val="0"/>
        <cfvo type="num" val="0.06"/>
        <cfvo type="num" val="0.1"/>
        <color rgb="FF63BE7B"/>
        <color rgb="FFFFEB84"/>
        <color rgb="FFF8696B"/>
      </colorScale>
    </cfRule>
  </conditionalFormatting>
  <conditionalFormatting sqref="U57:AR57">
    <cfRule type="colorScale" priority="8">
      <colorScale>
        <cfvo type="num" val="0"/>
        <cfvo type="num" val="0.06"/>
        <cfvo type="num" val="0.1"/>
        <color rgb="FF63BE7B"/>
        <color rgb="FFFFEB84"/>
        <color rgb="FFF8696B"/>
      </colorScale>
    </cfRule>
  </conditionalFormatting>
  <conditionalFormatting sqref="G51:R51">
    <cfRule type="colorScale" priority="7">
      <colorScale>
        <cfvo type="num" val="0.1"/>
        <cfvo type="num" val="0.16"/>
        <cfvo type="num" val="0.17"/>
        <color rgb="FF63BE7B"/>
        <color rgb="FFFFEB84"/>
        <color rgb="FFF8696B"/>
      </colorScale>
    </cfRule>
  </conditionalFormatting>
  <conditionalFormatting sqref="U51:AR51">
    <cfRule type="colorScale" priority="5">
      <colorScale>
        <cfvo type="num" val="0.1"/>
        <cfvo type="num" val="0.16"/>
        <cfvo type="num" val="0.17"/>
        <color rgb="FF63BE7B"/>
        <color rgb="FFFFEB84"/>
        <color rgb="FFF8696B"/>
      </colorScale>
    </cfRule>
  </conditionalFormatting>
  <conditionalFormatting sqref="G48:R48">
    <cfRule type="colorScale" priority="4">
      <colorScale>
        <cfvo type="num" val="0.18"/>
        <cfvo type="num" val="0.2"/>
        <cfvo type="num" val="0.25"/>
        <color rgb="FF63BE7B"/>
        <color rgb="FFFFEB84"/>
        <color rgb="FFF8696B"/>
      </colorScale>
    </cfRule>
  </conditionalFormatting>
  <conditionalFormatting sqref="U48:AR48">
    <cfRule type="colorScale" priority="3">
      <colorScale>
        <cfvo type="num" val="0.18"/>
        <cfvo type="num" val="0.2"/>
        <cfvo type="num" val="0.25"/>
        <color rgb="FF63BE7B"/>
        <color rgb="FFFFEB84"/>
        <color rgb="FFF8696B"/>
      </colorScale>
    </cfRule>
  </conditionalFormatting>
  <conditionalFormatting sqref="G45:R45">
    <cfRule type="colorScale" priority="2">
      <colorScale>
        <cfvo type="num" val="5"/>
        <cfvo type="num" val="7"/>
        <cfvo type="num" val="10"/>
        <color rgb="FFF8696B"/>
        <color rgb="FFFFEB84"/>
        <color rgb="FF63BE7B"/>
      </colorScale>
    </cfRule>
  </conditionalFormatting>
  <conditionalFormatting sqref="U45:AR45">
    <cfRule type="colorScale" priority="1">
      <colorScale>
        <cfvo type="num" val="5"/>
        <cfvo type="num" val="7"/>
        <cfvo type="num" val="10"/>
        <color rgb="FFF8696B"/>
        <color rgb="FFFFEB84"/>
        <color rgb="FF63BE7B"/>
      </colorScale>
    </cfRule>
  </conditionalFormatting>
  <pageMargins left="0" right="0" top="0.78740157480314965" bottom="0.78740157480314965" header="0.31496062992125984" footer="0.31496062992125984"/>
  <pageSetup paperSize="9" scale="63" fitToHeight="0" orientation="portrait" r:id="rId2"/>
  <rowBreaks count="1" manualBreakCount="1">
    <brk id="60" max="16383" man="1"/>
  </rowBreaks>
  <colBreaks count="2" manualBreakCount="2">
    <brk id="20" min="2" max="56" man="1"/>
    <brk id="32" max="1048575" man="1"/>
  </colBreaks>
  <ignoredErrors>
    <ignoredError sqref="G46:R60 U46:AR46 U48:AR60 U47:AB47 AD47:AR47 U6:AR42 G6:R42" formula="1"/>
  </ignoredErrors>
  <drawing r:id="rId3"/>
  <tableParts count="1">
    <tablePart r:id="rId4"/>
  </tableParts>
  <extLst>
    <ext xmlns:x14="http://schemas.microsoft.com/office/spreadsheetml/2009/9/main" uri="{A8765BA9-456A-4dab-B4F3-ACF838C121DE}">
      <x14:slicerList>
        <x14:slicer r:id="rId5"/>
      </x14:slicerList>
    </ext>
    <ext xmlns:x15="http://schemas.microsoft.com/office/spreadsheetml/2010/11/main" uri="{3A4CF648-6AED-40f4-86FF-DC5316D8AED3}">
      <x14:slicerList xmlns:x14="http://schemas.microsoft.com/office/spreadsheetml/2009/9/main"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15"/>
  <sheetViews>
    <sheetView topLeftCell="B199" workbookViewId="0">
      <selection activeCell="G208" sqref="G208:AL215"/>
    </sheetView>
  </sheetViews>
  <sheetFormatPr defaultRowHeight="14.4" x14ac:dyDescent="0.3"/>
  <cols>
    <col min="1" max="1" width="10.88671875" hidden="1" customWidth="1"/>
    <col min="2" max="2" width="9.6640625" customWidth="1"/>
    <col min="3" max="4" width="21" hidden="1" customWidth="1"/>
    <col min="5" max="5" width="9.88671875" customWidth="1"/>
    <col min="6" max="6" width="12" customWidth="1"/>
    <col min="7" max="7" width="8.33203125" customWidth="1"/>
    <col min="8" max="8" width="19" customWidth="1"/>
    <col min="9" max="9" width="18" customWidth="1"/>
    <col min="10" max="10" width="15" customWidth="1"/>
    <col min="11" max="11" width="20" customWidth="1"/>
    <col min="12" max="12" width="15.109375" customWidth="1"/>
    <col min="13" max="13" width="16" customWidth="1"/>
    <col min="14" max="14" width="31" customWidth="1"/>
    <col min="15" max="15" width="30" customWidth="1"/>
    <col min="16" max="16" width="11.33203125" customWidth="1"/>
    <col min="17" max="17" width="18" customWidth="1"/>
    <col min="18" max="18" width="15" customWidth="1"/>
    <col min="19" max="19" width="11" customWidth="1"/>
    <col min="20" max="20" width="13.109375" customWidth="1"/>
    <col min="21" max="21" width="16" customWidth="1"/>
    <col min="22" max="22" width="45" hidden="1" customWidth="1"/>
    <col min="23" max="24" width="19" customWidth="1"/>
    <col min="25" max="25" width="12" customWidth="1"/>
    <col min="26" max="26" width="31" customWidth="1"/>
    <col min="27" max="27" width="21" customWidth="1"/>
    <col min="28" max="28" width="17" customWidth="1"/>
    <col min="29" max="29" width="35" customWidth="1"/>
    <col min="30" max="30" width="30" customWidth="1"/>
    <col min="31" max="31" width="19" customWidth="1"/>
    <col min="32" max="32" width="32" customWidth="1"/>
    <col min="33" max="33" width="17.44140625" customWidth="1"/>
    <col min="34" max="34" width="7" customWidth="1"/>
    <col min="35" max="35" width="150" hidden="1" customWidth="1"/>
    <col min="36" max="37" width="39" hidden="1" customWidth="1"/>
    <col min="38" max="38" width="20" hidden="1" customWidth="1"/>
  </cols>
  <sheetData>
    <row r="1" spans="1:38" x14ac:dyDescent="0.3">
      <c r="A1" t="s">
        <v>117</v>
      </c>
      <c r="B1" t="s">
        <v>0</v>
      </c>
      <c r="C1" t="s">
        <v>119</v>
      </c>
      <c r="D1" t="s">
        <v>1</v>
      </c>
      <c r="E1" t="s">
        <v>2</v>
      </c>
      <c r="F1" t="s">
        <v>3</v>
      </c>
      <c r="G1" t="s">
        <v>4</v>
      </c>
      <c r="H1" t="s">
        <v>143</v>
      </c>
      <c r="I1" t="s">
        <v>146</v>
      </c>
      <c r="J1" t="s">
        <v>145</v>
      </c>
      <c r="K1" t="s">
        <v>144</v>
      </c>
      <c r="L1" t="s">
        <v>5</v>
      </c>
      <c r="M1" t="s">
        <v>6</v>
      </c>
      <c r="N1" t="s">
        <v>483</v>
      </c>
      <c r="O1" t="s">
        <v>484</v>
      </c>
      <c r="P1" t="s">
        <v>158</v>
      </c>
      <c r="Q1" t="s">
        <v>147</v>
      </c>
      <c r="R1" t="s">
        <v>148</v>
      </c>
      <c r="S1" t="s">
        <v>159</v>
      </c>
      <c r="T1" t="s">
        <v>160</v>
      </c>
      <c r="U1" t="s">
        <v>161</v>
      </c>
      <c r="V1" t="s">
        <v>7</v>
      </c>
      <c r="W1" t="s">
        <v>305</v>
      </c>
      <c r="X1" t="s">
        <v>306</v>
      </c>
      <c r="Y1" t="s">
        <v>149</v>
      </c>
      <c r="Z1" t="s">
        <v>150</v>
      </c>
      <c r="AA1" t="s">
        <v>8</v>
      </c>
      <c r="AB1" t="s">
        <v>9</v>
      </c>
      <c r="AC1" t="s">
        <v>151</v>
      </c>
      <c r="AD1" t="s">
        <v>154</v>
      </c>
      <c r="AE1" t="s">
        <v>10</v>
      </c>
      <c r="AF1" t="s">
        <v>164</v>
      </c>
      <c r="AG1" t="s">
        <v>152</v>
      </c>
      <c r="AH1" t="s">
        <v>11</v>
      </c>
      <c r="AI1" t="s">
        <v>12</v>
      </c>
      <c r="AJ1" t="s">
        <v>13</v>
      </c>
      <c r="AK1" t="s">
        <v>118</v>
      </c>
      <c r="AL1" t="s">
        <v>14</v>
      </c>
    </row>
    <row r="2" spans="1:38" x14ac:dyDescent="0.3">
      <c r="A2" s="3" t="str">
        <f>UPPER(TEXT(Tabela1[[#This Row],[Data]],"MMM"))</f>
        <v>JAN</v>
      </c>
      <c r="C2" s="1"/>
      <c r="D2" s="1"/>
      <c r="F2" s="2">
        <v>46023</v>
      </c>
      <c r="G2" s="3">
        <v>1</v>
      </c>
      <c r="H2" s="3"/>
      <c r="I2" s="3"/>
      <c r="J2" s="3"/>
      <c r="K2" s="3"/>
      <c r="N2">
        <v>60</v>
      </c>
      <c r="P2" s="3"/>
      <c r="Q2" s="3"/>
      <c r="R2" s="3"/>
      <c r="S2" s="3"/>
      <c r="T2" s="3"/>
      <c r="U2" s="3"/>
      <c r="W2" s="3"/>
      <c r="X2" s="3"/>
      <c r="Z2">
        <v>42</v>
      </c>
      <c r="AC2">
        <v>57</v>
      </c>
      <c r="AD2">
        <v>66</v>
      </c>
      <c r="AF2">
        <v>5</v>
      </c>
    </row>
    <row r="3" spans="1:38" x14ac:dyDescent="0.3">
      <c r="A3" s="3" t="str">
        <f>UPPER(TEXT(Tabela1[[#This Row],[Data]],"MMM"))</f>
        <v>JAN</v>
      </c>
      <c r="C3" s="1"/>
      <c r="D3" s="1"/>
      <c r="F3" s="2">
        <v>46023</v>
      </c>
      <c r="G3" s="3">
        <v>2</v>
      </c>
      <c r="H3" s="3"/>
      <c r="I3" s="3"/>
      <c r="J3" s="3"/>
      <c r="K3" s="3"/>
      <c r="N3">
        <v>58</v>
      </c>
      <c r="P3" s="3"/>
      <c r="Q3" s="3"/>
      <c r="R3" s="3"/>
      <c r="S3" s="3"/>
      <c r="T3" s="3"/>
      <c r="U3" s="3"/>
      <c r="W3" s="3"/>
      <c r="X3" s="3"/>
      <c r="Z3">
        <v>45</v>
      </c>
      <c r="AC3">
        <v>52</v>
      </c>
      <c r="AD3">
        <v>64</v>
      </c>
      <c r="AF3">
        <v>8</v>
      </c>
    </row>
    <row r="4" spans="1:38" x14ac:dyDescent="0.3">
      <c r="A4" s="3" t="s">
        <v>128</v>
      </c>
      <c r="C4" s="1"/>
      <c r="D4" s="1"/>
      <c r="F4" s="2">
        <v>46054</v>
      </c>
      <c r="G4" s="3">
        <v>1</v>
      </c>
      <c r="H4" s="3"/>
      <c r="I4" s="3"/>
      <c r="J4" s="3"/>
      <c r="K4" s="3"/>
      <c r="N4">
        <v>53</v>
      </c>
      <c r="P4" s="3"/>
      <c r="Q4" s="3"/>
      <c r="R4" s="3"/>
      <c r="S4" s="3"/>
      <c r="T4" s="3"/>
      <c r="U4" s="3"/>
      <c r="W4" s="3"/>
      <c r="X4" s="3"/>
      <c r="Z4">
        <v>31.5</v>
      </c>
      <c r="AC4">
        <v>56</v>
      </c>
      <c r="AD4">
        <v>73</v>
      </c>
      <c r="AF4">
        <v>7.17</v>
      </c>
    </row>
    <row r="5" spans="1:38" x14ac:dyDescent="0.3">
      <c r="A5" s="3" t="s">
        <v>128</v>
      </c>
      <c r="C5" s="1"/>
      <c r="D5" s="1"/>
      <c r="F5" s="2">
        <v>46054</v>
      </c>
      <c r="G5" s="3">
        <v>2</v>
      </c>
      <c r="H5" s="3"/>
      <c r="I5" s="3"/>
      <c r="J5" s="3"/>
      <c r="K5" s="3"/>
      <c r="N5">
        <v>56</v>
      </c>
      <c r="P5" s="3"/>
      <c r="Q5" s="3"/>
      <c r="R5" s="3"/>
      <c r="S5" s="3"/>
      <c r="T5" s="3"/>
      <c r="U5" s="3"/>
      <c r="W5" s="3"/>
      <c r="X5" s="3"/>
      <c r="Z5">
        <v>42.4</v>
      </c>
      <c r="AC5">
        <v>56</v>
      </c>
      <c r="AD5">
        <v>79</v>
      </c>
      <c r="AF5">
        <v>13.57</v>
      </c>
    </row>
    <row r="6" spans="1:38" x14ac:dyDescent="0.3">
      <c r="A6" s="3" t="s">
        <v>129</v>
      </c>
      <c r="C6" s="1"/>
      <c r="D6" s="1"/>
      <c r="F6" s="2">
        <v>46082</v>
      </c>
      <c r="G6" s="3">
        <v>1</v>
      </c>
      <c r="H6" s="3"/>
      <c r="I6" s="3"/>
      <c r="J6" s="3"/>
      <c r="K6" s="3"/>
      <c r="N6">
        <v>44</v>
      </c>
      <c r="P6" s="3"/>
      <c r="Q6" s="3"/>
      <c r="R6" s="3"/>
      <c r="S6" s="3"/>
      <c r="T6" s="3"/>
      <c r="U6" s="3"/>
      <c r="W6" s="3"/>
      <c r="X6" s="3"/>
      <c r="Z6">
        <v>29</v>
      </c>
      <c r="AC6">
        <v>54</v>
      </c>
      <c r="AD6">
        <v>65</v>
      </c>
      <c r="AF6">
        <v>19</v>
      </c>
    </row>
    <row r="7" spans="1:38" x14ac:dyDescent="0.3">
      <c r="A7" s="3" t="s">
        <v>129</v>
      </c>
      <c r="C7" s="1"/>
      <c r="D7" s="1"/>
      <c r="F7" s="2">
        <v>46082</v>
      </c>
      <c r="G7" s="3">
        <v>2</v>
      </c>
      <c r="H7" s="3"/>
      <c r="I7" s="3"/>
      <c r="J7" s="3"/>
      <c r="K7" s="3"/>
      <c r="N7">
        <v>44</v>
      </c>
      <c r="P7" s="3"/>
      <c r="Q7" s="3"/>
      <c r="R7" s="3"/>
      <c r="S7" s="3"/>
      <c r="T7" s="3"/>
      <c r="U7" s="3"/>
      <c r="W7" s="3"/>
      <c r="X7" s="3"/>
      <c r="Z7">
        <v>45.5</v>
      </c>
      <c r="AC7">
        <v>58</v>
      </c>
      <c r="AD7">
        <v>68</v>
      </c>
      <c r="AF7">
        <v>35</v>
      </c>
    </row>
    <row r="8" spans="1:38" x14ac:dyDescent="0.3">
      <c r="A8" s="3" t="s">
        <v>130</v>
      </c>
      <c r="C8" s="1"/>
      <c r="D8" s="1"/>
      <c r="F8" s="2">
        <v>46113</v>
      </c>
      <c r="G8" s="3">
        <v>1</v>
      </c>
      <c r="H8" s="3"/>
      <c r="I8" s="3"/>
      <c r="J8" s="3"/>
      <c r="K8" s="3"/>
      <c r="N8">
        <v>23</v>
      </c>
      <c r="P8" s="3"/>
      <c r="Q8" s="3"/>
      <c r="R8" s="3"/>
      <c r="S8" s="3"/>
      <c r="T8" s="3"/>
      <c r="U8" s="3"/>
      <c r="W8" s="3"/>
      <c r="X8" s="3"/>
      <c r="Z8">
        <v>24.72</v>
      </c>
      <c r="AC8">
        <v>39</v>
      </c>
      <c r="AD8">
        <v>67</v>
      </c>
      <c r="AF8">
        <v>21</v>
      </c>
    </row>
    <row r="9" spans="1:38" x14ac:dyDescent="0.3">
      <c r="A9" s="3" t="s">
        <v>130</v>
      </c>
      <c r="C9" s="1"/>
      <c r="D9" s="1"/>
      <c r="F9" s="2">
        <v>46113</v>
      </c>
      <c r="G9" s="3">
        <v>2</v>
      </c>
      <c r="H9" s="3"/>
      <c r="I9" s="3"/>
      <c r="J9" s="3"/>
      <c r="K9" s="3"/>
      <c r="N9">
        <v>19</v>
      </c>
      <c r="P9" s="3"/>
      <c r="Q9" s="3"/>
      <c r="R9" s="3"/>
      <c r="S9" s="3"/>
      <c r="T9" s="3"/>
      <c r="U9" s="3"/>
      <c r="W9" s="3"/>
      <c r="X9" s="3"/>
      <c r="Z9">
        <v>39.11</v>
      </c>
      <c r="AC9">
        <v>48</v>
      </c>
      <c r="AD9">
        <v>57</v>
      </c>
      <c r="AF9">
        <v>50</v>
      </c>
    </row>
    <row r="10" spans="1:38" x14ac:dyDescent="0.3">
      <c r="A10" s="3" t="s">
        <v>131</v>
      </c>
      <c r="C10" s="1"/>
      <c r="D10" s="1"/>
      <c r="F10" s="2">
        <v>46143</v>
      </c>
      <c r="G10" s="3">
        <v>1</v>
      </c>
      <c r="H10" s="3"/>
      <c r="I10" s="3"/>
      <c r="J10" s="3"/>
      <c r="K10" s="3"/>
      <c r="N10">
        <v>49</v>
      </c>
      <c r="P10" s="3"/>
      <c r="Q10" s="3"/>
      <c r="R10" s="3"/>
      <c r="S10" s="3"/>
      <c r="T10" s="3"/>
      <c r="U10" s="3"/>
      <c r="W10" s="3"/>
      <c r="X10" s="3"/>
      <c r="Z10">
        <v>25.26</v>
      </c>
      <c r="AC10">
        <v>39</v>
      </c>
      <c r="AD10">
        <v>69</v>
      </c>
      <c r="AF10">
        <v>21</v>
      </c>
    </row>
    <row r="11" spans="1:38" x14ac:dyDescent="0.3">
      <c r="A11" s="3" t="s">
        <v>131</v>
      </c>
      <c r="C11" s="1"/>
      <c r="D11" s="1"/>
      <c r="F11" s="2">
        <v>46143</v>
      </c>
      <c r="G11" s="3">
        <v>2</v>
      </c>
      <c r="H11" s="3"/>
      <c r="I11" s="3"/>
      <c r="J11" s="3"/>
      <c r="K11" s="3"/>
      <c r="N11">
        <v>57</v>
      </c>
      <c r="P11" s="3"/>
      <c r="Q11" s="3"/>
      <c r="R11" s="3"/>
      <c r="S11" s="3"/>
      <c r="T11" s="3"/>
      <c r="U11" s="3"/>
      <c r="W11" s="3"/>
      <c r="X11" s="3"/>
      <c r="Z11">
        <v>36.72</v>
      </c>
      <c r="AC11">
        <v>43</v>
      </c>
      <c r="AD11">
        <v>55</v>
      </c>
      <c r="AF11">
        <v>46</v>
      </c>
    </row>
    <row r="12" spans="1:38" x14ac:dyDescent="0.3">
      <c r="A12" s="3" t="s">
        <v>132</v>
      </c>
      <c r="C12" s="1"/>
      <c r="D12" s="1"/>
      <c r="F12" s="2">
        <v>46174</v>
      </c>
      <c r="G12" s="3">
        <v>1</v>
      </c>
      <c r="H12" s="3"/>
      <c r="I12" s="3"/>
      <c r="J12" s="3"/>
      <c r="K12" s="3"/>
      <c r="N12">
        <v>64</v>
      </c>
      <c r="P12" s="3"/>
      <c r="Q12" s="3"/>
      <c r="R12" s="3"/>
      <c r="S12" s="3"/>
      <c r="T12" s="3"/>
      <c r="U12" s="3"/>
      <c r="W12" s="3"/>
      <c r="X12" s="3"/>
      <c r="Z12">
        <v>24.36</v>
      </c>
      <c r="AC12">
        <v>31</v>
      </c>
      <c r="AD12">
        <v>72</v>
      </c>
      <c r="AF12">
        <v>25</v>
      </c>
    </row>
    <row r="13" spans="1:38" x14ac:dyDescent="0.3">
      <c r="A13" s="3" t="s">
        <v>132</v>
      </c>
      <c r="C13" s="1"/>
      <c r="D13" s="1"/>
      <c r="F13" s="2">
        <v>46174</v>
      </c>
      <c r="G13" s="3">
        <v>2</v>
      </c>
      <c r="H13" s="3"/>
      <c r="I13" s="3"/>
      <c r="J13" s="3"/>
      <c r="K13" s="3"/>
      <c r="N13">
        <v>60</v>
      </c>
      <c r="P13" s="3"/>
      <c r="Q13" s="3"/>
      <c r="R13" s="3"/>
      <c r="S13" s="3"/>
      <c r="T13" s="3"/>
      <c r="U13" s="3"/>
      <c r="W13" s="3"/>
      <c r="X13" s="3"/>
      <c r="Z13">
        <v>27.91</v>
      </c>
      <c r="AC13">
        <v>30</v>
      </c>
      <c r="AD13">
        <v>66</v>
      </c>
      <c r="AF13">
        <v>38</v>
      </c>
    </row>
    <row r="14" spans="1:38" x14ac:dyDescent="0.3">
      <c r="A14" s="3" t="s">
        <v>133</v>
      </c>
      <c r="C14" s="1"/>
      <c r="D14" s="1"/>
      <c r="F14" s="2">
        <v>46204</v>
      </c>
      <c r="G14" s="3">
        <v>1</v>
      </c>
      <c r="H14" s="3"/>
      <c r="I14" s="3"/>
      <c r="J14" s="3"/>
      <c r="K14" s="3"/>
      <c r="N14">
        <v>54</v>
      </c>
      <c r="P14" s="3"/>
      <c r="Q14" s="3"/>
      <c r="R14" s="3"/>
      <c r="S14" s="3"/>
      <c r="T14" s="3"/>
      <c r="U14" s="3"/>
      <c r="W14" s="3"/>
      <c r="X14" s="3"/>
      <c r="Z14">
        <v>29.13</v>
      </c>
      <c r="AC14">
        <v>23</v>
      </c>
      <c r="AD14">
        <v>70</v>
      </c>
      <c r="AF14">
        <v>16</v>
      </c>
    </row>
    <row r="15" spans="1:38" x14ac:dyDescent="0.3">
      <c r="A15" s="3" t="s">
        <v>133</v>
      </c>
      <c r="C15" s="1"/>
      <c r="D15" s="1"/>
      <c r="F15" s="2">
        <v>46204</v>
      </c>
      <c r="G15" s="3">
        <v>2</v>
      </c>
      <c r="H15" s="3"/>
      <c r="I15" s="3"/>
      <c r="J15" s="3"/>
      <c r="K15" s="3"/>
      <c r="N15">
        <v>66</v>
      </c>
      <c r="P15" s="3"/>
      <c r="Q15" s="3"/>
      <c r="R15" s="3"/>
      <c r="S15" s="3"/>
      <c r="T15" s="3"/>
      <c r="U15" s="3"/>
      <c r="W15" s="3"/>
      <c r="X15" s="3"/>
      <c r="Z15">
        <v>24.75</v>
      </c>
      <c r="AC15">
        <v>20</v>
      </c>
      <c r="AD15">
        <v>70</v>
      </c>
      <c r="AF15">
        <v>24</v>
      </c>
    </row>
    <row r="16" spans="1:38" x14ac:dyDescent="0.3">
      <c r="A16" t="str">
        <f>UPPER(TEXT(Tabela1[[#This Row],[Data]],"MMM"))</f>
        <v>AGO</v>
      </c>
      <c r="B16" t="s">
        <v>15</v>
      </c>
      <c r="C16" s="1" t="s">
        <v>16</v>
      </c>
      <c r="D16" s="1" t="s">
        <v>17</v>
      </c>
      <c r="E16" t="s">
        <v>18</v>
      </c>
      <c r="F16" s="2" t="s">
        <v>19</v>
      </c>
      <c r="G16" s="3">
        <v>2</v>
      </c>
      <c r="H16" s="3">
        <v>7</v>
      </c>
      <c r="I16" s="3">
        <v>7</v>
      </c>
      <c r="J16" s="3">
        <v>7</v>
      </c>
      <c r="K16" s="3">
        <v>5</v>
      </c>
      <c r="L16">
        <v>39</v>
      </c>
      <c r="M16">
        <v>35</v>
      </c>
      <c r="N16">
        <v>61</v>
      </c>
      <c r="O16">
        <v>65</v>
      </c>
      <c r="P16" s="3">
        <v>7</v>
      </c>
      <c r="Q16" s="3">
        <v>7</v>
      </c>
      <c r="R16" s="3">
        <v>7</v>
      </c>
      <c r="S16" s="3">
        <v>7</v>
      </c>
      <c r="T16" s="3">
        <v>7</v>
      </c>
      <c r="U16" s="3">
        <v>7</v>
      </c>
      <c r="V16" t="s">
        <v>20</v>
      </c>
      <c r="W16" s="3">
        <v>10</v>
      </c>
      <c r="X16" s="3">
        <v>10</v>
      </c>
      <c r="Y16">
        <v>48</v>
      </c>
      <c r="Z16">
        <v>24</v>
      </c>
      <c r="AA16">
        <v>43</v>
      </c>
      <c r="AB16">
        <v>4</v>
      </c>
      <c r="AC16">
        <v>21.5</v>
      </c>
      <c r="AD16">
        <v>80</v>
      </c>
      <c r="AE16">
        <v>5</v>
      </c>
      <c r="AF16">
        <v>25</v>
      </c>
      <c r="AG16" s="3">
        <v>5</v>
      </c>
      <c r="AH16" s="3">
        <v>42820</v>
      </c>
      <c r="AI16" t="s">
        <v>21</v>
      </c>
      <c r="AJ16" t="s">
        <v>22</v>
      </c>
      <c r="AK16" t="s">
        <v>22</v>
      </c>
      <c r="AL16">
        <v>142</v>
      </c>
    </row>
    <row r="17" spans="1:38" x14ac:dyDescent="0.3">
      <c r="A17" t="str">
        <f>UPPER(TEXT(Tabela1[[#This Row],[Data]],"MMM"))</f>
        <v>AGO</v>
      </c>
      <c r="B17" t="s">
        <v>23</v>
      </c>
      <c r="C17" s="1" t="s">
        <v>24</v>
      </c>
      <c r="D17" s="1" t="s">
        <v>17</v>
      </c>
      <c r="E17" t="s">
        <v>18</v>
      </c>
      <c r="F17" s="2" t="s">
        <v>19</v>
      </c>
      <c r="G17" s="3">
        <v>2</v>
      </c>
      <c r="H17" s="3">
        <v>7</v>
      </c>
      <c r="I17" s="3">
        <v>7</v>
      </c>
      <c r="J17" s="3">
        <v>7</v>
      </c>
      <c r="K17" s="3">
        <v>5</v>
      </c>
      <c r="L17">
        <v>28</v>
      </c>
      <c r="M17">
        <v>30</v>
      </c>
      <c r="N17">
        <v>72</v>
      </c>
      <c r="O17">
        <v>70</v>
      </c>
      <c r="P17" s="3">
        <v>7</v>
      </c>
      <c r="Q17" s="3">
        <v>7</v>
      </c>
      <c r="R17" s="3">
        <v>7</v>
      </c>
      <c r="S17" s="3">
        <v>7</v>
      </c>
      <c r="T17" s="3">
        <v>7</v>
      </c>
      <c r="U17" s="3">
        <v>7</v>
      </c>
      <c r="V17" t="s">
        <v>20</v>
      </c>
      <c r="W17" s="3">
        <v>7</v>
      </c>
      <c r="X17" s="3">
        <v>7</v>
      </c>
      <c r="Y17">
        <v>61</v>
      </c>
      <c r="Z17">
        <v>30.5</v>
      </c>
      <c r="AA17">
        <v>43</v>
      </c>
      <c r="AB17">
        <v>5</v>
      </c>
      <c r="AC17">
        <v>21.5</v>
      </c>
      <c r="AD17">
        <v>75</v>
      </c>
      <c r="AE17">
        <v>4</v>
      </c>
      <c r="AF17">
        <v>20</v>
      </c>
      <c r="AG17" s="3">
        <v>5</v>
      </c>
      <c r="AH17" s="3">
        <v>42820</v>
      </c>
      <c r="AI17" t="s">
        <v>21</v>
      </c>
      <c r="AJ17" t="s">
        <v>22</v>
      </c>
      <c r="AK17" t="s">
        <v>22</v>
      </c>
      <c r="AL17">
        <v>4705</v>
      </c>
    </row>
    <row r="18" spans="1:38" x14ac:dyDescent="0.3">
      <c r="A18" t="str">
        <f>UPPER(TEXT(Tabela1[[#This Row],[Data]],"MMM"))</f>
        <v>AGO</v>
      </c>
      <c r="B18" t="s">
        <v>25</v>
      </c>
      <c r="C18" s="1" t="s">
        <v>26</v>
      </c>
      <c r="D18" s="1" t="s">
        <v>27</v>
      </c>
      <c r="E18" t="s">
        <v>18</v>
      </c>
      <c r="F18" s="2" t="s">
        <v>19</v>
      </c>
      <c r="G18" s="3">
        <v>2</v>
      </c>
      <c r="H18" s="3">
        <v>7</v>
      </c>
      <c r="I18" s="3">
        <v>7</v>
      </c>
      <c r="J18" s="3">
        <v>7</v>
      </c>
      <c r="K18" t="s">
        <v>28</v>
      </c>
      <c r="L18">
        <v>46</v>
      </c>
      <c r="M18">
        <v>41</v>
      </c>
      <c r="N18">
        <v>54</v>
      </c>
      <c r="O18">
        <v>59</v>
      </c>
      <c r="P18" s="3">
        <v>7</v>
      </c>
      <c r="Q18" s="3">
        <v>7</v>
      </c>
      <c r="R18" s="3">
        <v>7</v>
      </c>
      <c r="S18" s="3">
        <v>7</v>
      </c>
      <c r="T18" s="3">
        <v>7</v>
      </c>
      <c r="U18" s="3">
        <v>7</v>
      </c>
      <c r="V18" t="s">
        <v>20</v>
      </c>
      <c r="W18" s="3">
        <v>10</v>
      </c>
      <c r="X18" s="3">
        <v>10</v>
      </c>
      <c r="Y18">
        <v>39</v>
      </c>
      <c r="Z18">
        <v>19.5</v>
      </c>
      <c r="AA18">
        <v>38</v>
      </c>
      <c r="AB18">
        <v>3</v>
      </c>
      <c r="AC18">
        <v>19</v>
      </c>
      <c r="AD18">
        <v>85</v>
      </c>
      <c r="AE18">
        <v>5</v>
      </c>
      <c r="AF18">
        <v>25</v>
      </c>
      <c r="AG18" s="3">
        <v>5</v>
      </c>
      <c r="AH18" s="3">
        <v>42854</v>
      </c>
      <c r="AI18" t="s">
        <v>21</v>
      </c>
      <c r="AJ18" t="s">
        <v>22</v>
      </c>
      <c r="AK18" t="s">
        <v>22</v>
      </c>
      <c r="AL18">
        <v>2933</v>
      </c>
    </row>
    <row r="19" spans="1:38" x14ac:dyDescent="0.3">
      <c r="A19" t="str">
        <f>UPPER(TEXT(Tabela1[[#This Row],[Data]],"MMM"))</f>
        <v>AGO</v>
      </c>
      <c r="B19" t="s">
        <v>29</v>
      </c>
      <c r="C19" s="1" t="s">
        <v>30</v>
      </c>
      <c r="D19" s="1" t="s">
        <v>27</v>
      </c>
      <c r="E19" t="s">
        <v>18</v>
      </c>
      <c r="F19" s="2" t="s">
        <v>19</v>
      </c>
      <c r="G19" s="3">
        <v>2</v>
      </c>
      <c r="H19" s="3">
        <v>7</v>
      </c>
      <c r="I19" s="3">
        <v>7</v>
      </c>
      <c r="J19" s="3">
        <v>7</v>
      </c>
      <c r="K19" s="3">
        <v>5</v>
      </c>
      <c r="L19">
        <v>31</v>
      </c>
      <c r="M19">
        <v>40</v>
      </c>
      <c r="N19">
        <v>69</v>
      </c>
      <c r="O19">
        <v>60</v>
      </c>
      <c r="P19" s="3">
        <v>7</v>
      </c>
      <c r="Q19" s="3">
        <v>7</v>
      </c>
      <c r="R19" s="3">
        <v>7</v>
      </c>
      <c r="S19" s="3">
        <v>7</v>
      </c>
      <c r="T19" s="3">
        <v>7</v>
      </c>
      <c r="U19" s="3">
        <v>7</v>
      </c>
      <c r="V19" t="s">
        <v>20</v>
      </c>
      <c r="W19" s="3">
        <v>10</v>
      </c>
      <c r="X19" s="3">
        <v>10</v>
      </c>
      <c r="Y19">
        <v>41</v>
      </c>
      <c r="Z19">
        <v>20.5</v>
      </c>
      <c r="AA19">
        <v>32</v>
      </c>
      <c r="AB19">
        <v>7</v>
      </c>
      <c r="AC19">
        <v>16</v>
      </c>
      <c r="AD19">
        <v>65</v>
      </c>
      <c r="AE19">
        <v>5</v>
      </c>
      <c r="AF19">
        <v>25</v>
      </c>
      <c r="AG19" s="3">
        <v>5</v>
      </c>
      <c r="AH19" s="3">
        <v>42838</v>
      </c>
      <c r="AI19" t="s">
        <v>31</v>
      </c>
      <c r="AJ19" t="s">
        <v>22</v>
      </c>
      <c r="AK19" t="s">
        <v>22</v>
      </c>
      <c r="AL19">
        <v>3502</v>
      </c>
    </row>
    <row r="20" spans="1:38" x14ac:dyDescent="0.3">
      <c r="A20" t="str">
        <f>UPPER(TEXT(Tabela1[[#This Row],[Data]],"MMM"))</f>
        <v>AGO</v>
      </c>
      <c r="B20" t="s">
        <v>32</v>
      </c>
      <c r="C20" s="1" t="s">
        <v>33</v>
      </c>
      <c r="D20" s="1" t="s">
        <v>34</v>
      </c>
      <c r="E20" t="s">
        <v>18</v>
      </c>
      <c r="F20" s="2" t="s">
        <v>35</v>
      </c>
      <c r="G20" s="3">
        <v>2</v>
      </c>
      <c r="H20" s="3">
        <v>7</v>
      </c>
      <c r="I20" s="3">
        <v>7</v>
      </c>
      <c r="J20" s="3">
        <v>7</v>
      </c>
      <c r="K20" s="3">
        <v>5</v>
      </c>
      <c r="L20">
        <v>39</v>
      </c>
      <c r="M20">
        <v>33</v>
      </c>
      <c r="N20">
        <v>61</v>
      </c>
      <c r="O20">
        <v>67</v>
      </c>
      <c r="P20" s="3">
        <v>5</v>
      </c>
      <c r="Q20" t="s">
        <v>28</v>
      </c>
      <c r="R20" s="3">
        <v>7</v>
      </c>
      <c r="S20" s="3">
        <v>7</v>
      </c>
      <c r="T20" s="3">
        <v>7</v>
      </c>
      <c r="U20" s="3">
        <v>5</v>
      </c>
      <c r="V20" t="s">
        <v>20</v>
      </c>
      <c r="W20" s="3">
        <v>10</v>
      </c>
      <c r="X20" s="3">
        <v>10</v>
      </c>
      <c r="Y20">
        <v>41</v>
      </c>
      <c r="Z20">
        <v>20.5</v>
      </c>
      <c r="AA20">
        <v>43</v>
      </c>
      <c r="AB20">
        <v>4</v>
      </c>
      <c r="AC20">
        <v>21.5</v>
      </c>
      <c r="AD20">
        <v>80</v>
      </c>
      <c r="AE20">
        <v>6</v>
      </c>
      <c r="AF20">
        <v>30</v>
      </c>
      <c r="AG20" s="3">
        <v>5</v>
      </c>
      <c r="AH20" s="3">
        <v>42838</v>
      </c>
      <c r="AI20" t="s">
        <v>36</v>
      </c>
      <c r="AJ20" t="s">
        <v>22</v>
      </c>
      <c r="AK20" t="s">
        <v>22</v>
      </c>
      <c r="AL20">
        <v>559</v>
      </c>
    </row>
    <row r="21" spans="1:38" x14ac:dyDescent="0.3">
      <c r="A21" t="str">
        <f>UPPER(TEXT(Tabela1[[#This Row],[Data]],"MMM"))</f>
        <v>AGO</v>
      </c>
      <c r="B21" t="s">
        <v>37</v>
      </c>
      <c r="C21" s="1" t="s">
        <v>38</v>
      </c>
      <c r="D21" s="1" t="s">
        <v>39</v>
      </c>
      <c r="E21" t="s">
        <v>18</v>
      </c>
      <c r="F21" s="2" t="s">
        <v>35</v>
      </c>
      <c r="G21" s="3">
        <v>2</v>
      </c>
      <c r="H21" s="3">
        <v>7</v>
      </c>
      <c r="I21" s="3">
        <v>7</v>
      </c>
      <c r="J21" s="3">
        <v>7</v>
      </c>
      <c r="K21" s="3">
        <v>7</v>
      </c>
      <c r="L21">
        <v>39</v>
      </c>
      <c r="M21">
        <v>30</v>
      </c>
      <c r="N21">
        <v>61</v>
      </c>
      <c r="O21">
        <v>70</v>
      </c>
      <c r="P21" s="3">
        <v>7</v>
      </c>
      <c r="Q21" s="3">
        <v>7</v>
      </c>
      <c r="R21" s="3">
        <v>7</v>
      </c>
      <c r="S21" s="3">
        <v>7</v>
      </c>
      <c r="T21" s="3">
        <v>7</v>
      </c>
      <c r="U21" s="3">
        <v>5</v>
      </c>
      <c r="V21" t="s">
        <v>20</v>
      </c>
      <c r="W21" s="3">
        <v>10</v>
      </c>
      <c r="X21" s="3">
        <v>10</v>
      </c>
      <c r="Y21">
        <v>46</v>
      </c>
      <c r="Z21">
        <v>23</v>
      </c>
      <c r="AA21">
        <v>42</v>
      </c>
      <c r="AB21">
        <v>3</v>
      </c>
      <c r="AC21">
        <v>21</v>
      </c>
      <c r="AD21">
        <v>85</v>
      </c>
      <c r="AE21">
        <v>8</v>
      </c>
      <c r="AF21">
        <v>40</v>
      </c>
      <c r="AG21" s="3">
        <v>5</v>
      </c>
      <c r="AH21" s="3">
        <v>42862</v>
      </c>
      <c r="AI21" t="s">
        <v>36</v>
      </c>
      <c r="AJ21" t="s">
        <v>22</v>
      </c>
      <c r="AK21" t="s">
        <v>22</v>
      </c>
      <c r="AL21">
        <v>7125</v>
      </c>
    </row>
    <row r="22" spans="1:38" x14ac:dyDescent="0.3">
      <c r="A22" t="str">
        <f>UPPER(TEXT(Tabela1[[#This Row],[Data]],"MMM"))</f>
        <v>AGO</v>
      </c>
      <c r="B22" t="s">
        <v>40</v>
      </c>
      <c r="C22" s="1" t="s">
        <v>41</v>
      </c>
      <c r="D22" s="1" t="s">
        <v>39</v>
      </c>
      <c r="E22" t="s">
        <v>18</v>
      </c>
      <c r="F22" s="2" t="s">
        <v>35</v>
      </c>
      <c r="G22" s="3">
        <v>2</v>
      </c>
      <c r="H22" s="3">
        <v>7</v>
      </c>
      <c r="I22" s="3">
        <v>7</v>
      </c>
      <c r="J22" s="3">
        <v>7</v>
      </c>
      <c r="K22" s="3">
        <v>5</v>
      </c>
      <c r="L22">
        <v>33</v>
      </c>
      <c r="M22">
        <v>29</v>
      </c>
      <c r="N22">
        <v>67</v>
      </c>
      <c r="O22">
        <v>71</v>
      </c>
      <c r="P22" s="3">
        <v>7</v>
      </c>
      <c r="Q22" s="3">
        <v>7</v>
      </c>
      <c r="R22" s="3">
        <v>7</v>
      </c>
      <c r="S22" s="3">
        <v>5</v>
      </c>
      <c r="T22" s="3">
        <v>7</v>
      </c>
      <c r="U22" s="3">
        <v>7</v>
      </c>
      <c r="V22" t="s">
        <v>20</v>
      </c>
      <c r="W22" s="3">
        <v>10</v>
      </c>
      <c r="X22" s="3">
        <v>10</v>
      </c>
      <c r="Y22">
        <v>38</v>
      </c>
      <c r="Z22">
        <v>19</v>
      </c>
      <c r="AA22">
        <v>43</v>
      </c>
      <c r="AB22">
        <v>9</v>
      </c>
      <c r="AC22">
        <v>21.5</v>
      </c>
      <c r="AD22">
        <v>55</v>
      </c>
      <c r="AE22">
        <v>5</v>
      </c>
      <c r="AF22">
        <v>25</v>
      </c>
      <c r="AG22" s="3">
        <v>5</v>
      </c>
      <c r="AH22" s="3">
        <v>42862</v>
      </c>
      <c r="AI22" t="s">
        <v>36</v>
      </c>
      <c r="AJ22" t="s">
        <v>22</v>
      </c>
      <c r="AK22" t="s">
        <v>22</v>
      </c>
      <c r="AL22">
        <v>1265</v>
      </c>
    </row>
    <row r="23" spans="1:38" x14ac:dyDescent="0.3">
      <c r="A23" t="str">
        <f>UPPER(TEXT(Tabela1[[#This Row],[Data]],"MMM"))</f>
        <v>AGO</v>
      </c>
      <c r="B23" t="s">
        <v>42</v>
      </c>
      <c r="C23" s="1" t="s">
        <v>43</v>
      </c>
      <c r="D23" s="1" t="s">
        <v>39</v>
      </c>
      <c r="E23" t="s">
        <v>18</v>
      </c>
      <c r="F23" s="2" t="s">
        <v>35</v>
      </c>
      <c r="G23" s="3">
        <v>2</v>
      </c>
      <c r="H23" s="3">
        <v>7</v>
      </c>
      <c r="I23" s="3">
        <v>7</v>
      </c>
      <c r="J23" s="3">
        <v>7</v>
      </c>
      <c r="K23" s="3">
        <v>5</v>
      </c>
      <c r="L23">
        <v>33</v>
      </c>
      <c r="M23">
        <v>35</v>
      </c>
      <c r="N23">
        <v>67</v>
      </c>
      <c r="O23">
        <v>65</v>
      </c>
      <c r="P23" s="3">
        <v>7</v>
      </c>
      <c r="Q23" s="3">
        <v>5</v>
      </c>
      <c r="R23" s="3">
        <v>7</v>
      </c>
      <c r="S23" s="3">
        <v>7</v>
      </c>
      <c r="T23" s="3">
        <v>7</v>
      </c>
      <c r="U23" s="3">
        <v>5</v>
      </c>
      <c r="V23" t="s">
        <v>20</v>
      </c>
      <c r="W23" s="3">
        <v>10</v>
      </c>
      <c r="X23" s="3">
        <v>10</v>
      </c>
      <c r="Y23">
        <v>37</v>
      </c>
      <c r="Z23">
        <v>18.5</v>
      </c>
      <c r="AA23">
        <v>41</v>
      </c>
      <c r="AB23">
        <v>7</v>
      </c>
      <c r="AC23">
        <v>20.5</v>
      </c>
      <c r="AD23">
        <v>65</v>
      </c>
      <c r="AE23">
        <v>5</v>
      </c>
      <c r="AF23">
        <v>25</v>
      </c>
      <c r="AG23" s="3">
        <v>5</v>
      </c>
      <c r="AH23" s="3">
        <v>42846</v>
      </c>
      <c r="AI23" t="s">
        <v>44</v>
      </c>
      <c r="AJ23" t="s">
        <v>22</v>
      </c>
      <c r="AK23" t="s">
        <v>22</v>
      </c>
      <c r="AL23">
        <v>3987</v>
      </c>
    </row>
    <row r="24" spans="1:38" x14ac:dyDescent="0.3">
      <c r="A24" t="str">
        <f>UPPER(TEXT(Tabela1[[#This Row],[Data]],"MMM"))</f>
        <v>AGO</v>
      </c>
      <c r="B24" t="s">
        <v>45</v>
      </c>
      <c r="C24" s="1" t="s">
        <v>46</v>
      </c>
      <c r="D24" s="1" t="s">
        <v>47</v>
      </c>
      <c r="E24" t="s">
        <v>18</v>
      </c>
      <c r="F24" s="2" t="s">
        <v>48</v>
      </c>
      <c r="G24" s="3">
        <v>2</v>
      </c>
      <c r="H24" s="3">
        <v>5</v>
      </c>
      <c r="I24" s="3">
        <v>7</v>
      </c>
      <c r="J24" s="3">
        <v>7</v>
      </c>
      <c r="K24" s="3">
        <v>5</v>
      </c>
      <c r="L24">
        <v>39</v>
      </c>
      <c r="M24">
        <v>38</v>
      </c>
      <c r="N24">
        <v>61</v>
      </c>
      <c r="O24">
        <v>62</v>
      </c>
      <c r="P24" s="3">
        <v>7</v>
      </c>
      <c r="Q24" s="3">
        <v>7</v>
      </c>
      <c r="R24" s="3">
        <v>7</v>
      </c>
      <c r="S24" s="3">
        <v>7</v>
      </c>
      <c r="T24" s="3">
        <v>7</v>
      </c>
      <c r="U24" s="3">
        <v>7</v>
      </c>
      <c r="V24" t="s">
        <v>20</v>
      </c>
      <c r="W24" s="3">
        <v>7</v>
      </c>
      <c r="X24" s="3">
        <v>7</v>
      </c>
      <c r="Y24">
        <v>38</v>
      </c>
      <c r="Z24">
        <v>19</v>
      </c>
      <c r="AA24">
        <v>42</v>
      </c>
      <c r="AB24">
        <v>4</v>
      </c>
      <c r="AC24">
        <v>21</v>
      </c>
      <c r="AD24">
        <v>80</v>
      </c>
      <c r="AE24">
        <v>4</v>
      </c>
      <c r="AF24">
        <v>20</v>
      </c>
      <c r="AG24" s="3">
        <v>5</v>
      </c>
      <c r="AH24" s="3">
        <v>42820</v>
      </c>
      <c r="AI24" t="s">
        <v>21</v>
      </c>
      <c r="AJ24" t="s">
        <v>22</v>
      </c>
      <c r="AK24" t="s">
        <v>22</v>
      </c>
      <c r="AL24">
        <v>1786</v>
      </c>
    </row>
    <row r="25" spans="1:38" x14ac:dyDescent="0.3">
      <c r="A25" t="str">
        <f>UPPER(TEXT(Tabela1[[#This Row],[Data]],"MMM"))</f>
        <v>AGO</v>
      </c>
      <c r="B25" t="s">
        <v>49</v>
      </c>
      <c r="C25" s="1" t="s">
        <v>50</v>
      </c>
      <c r="D25" s="1" t="s">
        <v>47</v>
      </c>
      <c r="E25" t="s">
        <v>18</v>
      </c>
      <c r="F25" s="2" t="s">
        <v>51</v>
      </c>
      <c r="G25" s="3">
        <v>2</v>
      </c>
      <c r="H25" s="3">
        <v>7</v>
      </c>
      <c r="I25" s="3">
        <v>7</v>
      </c>
      <c r="J25" s="3">
        <v>7</v>
      </c>
      <c r="K25" s="3">
        <v>5</v>
      </c>
      <c r="L25">
        <v>27</v>
      </c>
      <c r="M25">
        <v>28</v>
      </c>
      <c r="N25">
        <v>73</v>
      </c>
      <c r="O25">
        <v>72</v>
      </c>
      <c r="P25" s="3">
        <v>5</v>
      </c>
      <c r="Q25" s="3">
        <v>7</v>
      </c>
      <c r="R25" s="3">
        <v>7</v>
      </c>
      <c r="S25" s="3">
        <v>7</v>
      </c>
      <c r="T25" s="3">
        <v>7</v>
      </c>
      <c r="U25" s="3">
        <v>10</v>
      </c>
      <c r="V25" t="s">
        <v>20</v>
      </c>
      <c r="W25" s="3">
        <v>7</v>
      </c>
      <c r="X25" s="3">
        <v>7</v>
      </c>
      <c r="Y25">
        <v>69</v>
      </c>
      <c r="Z25">
        <v>34.5</v>
      </c>
      <c r="AA25">
        <v>40</v>
      </c>
      <c r="AB25">
        <v>4</v>
      </c>
      <c r="AC25">
        <v>20</v>
      </c>
      <c r="AD25">
        <v>80</v>
      </c>
      <c r="AE25">
        <v>4</v>
      </c>
      <c r="AF25">
        <v>20</v>
      </c>
      <c r="AG25" s="3">
        <v>5</v>
      </c>
      <c r="AH25" s="3">
        <v>42854</v>
      </c>
      <c r="AI25" t="s">
        <v>21</v>
      </c>
      <c r="AJ25" t="s">
        <v>22</v>
      </c>
      <c r="AK25" t="s">
        <v>22</v>
      </c>
      <c r="AL25">
        <v>4603</v>
      </c>
    </row>
    <row r="26" spans="1:38" x14ac:dyDescent="0.3">
      <c r="A26" t="str">
        <f>UPPER(TEXT(Tabela1[[#This Row],[Data]],"MMM"))</f>
        <v>AGO</v>
      </c>
      <c r="B26" t="s">
        <v>52</v>
      </c>
      <c r="C26" s="1" t="s">
        <v>53</v>
      </c>
      <c r="D26" s="1" t="s">
        <v>47</v>
      </c>
      <c r="E26" t="s">
        <v>18</v>
      </c>
      <c r="F26" s="2" t="s">
        <v>48</v>
      </c>
      <c r="G26" s="3">
        <v>2</v>
      </c>
      <c r="H26" s="3">
        <v>7</v>
      </c>
      <c r="I26" s="3">
        <v>7</v>
      </c>
      <c r="J26" s="3">
        <v>7</v>
      </c>
      <c r="K26" s="3">
        <v>5</v>
      </c>
      <c r="L26">
        <v>35</v>
      </c>
      <c r="M26">
        <v>42</v>
      </c>
      <c r="N26">
        <v>65</v>
      </c>
      <c r="O26">
        <v>58</v>
      </c>
      <c r="P26" s="3">
        <v>7</v>
      </c>
      <c r="Q26" s="3">
        <v>5</v>
      </c>
      <c r="R26" s="3">
        <v>7</v>
      </c>
      <c r="S26" s="3">
        <v>7</v>
      </c>
      <c r="T26" s="3">
        <v>7</v>
      </c>
      <c r="U26" s="3">
        <v>7</v>
      </c>
      <c r="V26" t="s">
        <v>20</v>
      </c>
      <c r="W26" s="3">
        <v>10</v>
      </c>
      <c r="X26" s="3">
        <v>10</v>
      </c>
      <c r="Y26">
        <v>38</v>
      </c>
      <c r="Z26">
        <v>19</v>
      </c>
      <c r="AA26">
        <v>39</v>
      </c>
      <c r="AB26">
        <v>4</v>
      </c>
      <c r="AC26">
        <v>19.5</v>
      </c>
      <c r="AD26">
        <v>80</v>
      </c>
      <c r="AE26">
        <v>5</v>
      </c>
      <c r="AF26">
        <v>25</v>
      </c>
      <c r="AG26" s="3">
        <v>5</v>
      </c>
      <c r="AH26" s="3">
        <v>42862</v>
      </c>
      <c r="AI26" t="s">
        <v>21</v>
      </c>
      <c r="AJ26" t="s">
        <v>22</v>
      </c>
      <c r="AK26" t="s">
        <v>22</v>
      </c>
      <c r="AL26">
        <v>7653</v>
      </c>
    </row>
    <row r="27" spans="1:38" x14ac:dyDescent="0.3">
      <c r="A27" t="str">
        <f>UPPER(TEXT(Tabela1[[#This Row],[Data]],"MMM"))</f>
        <v>AGO</v>
      </c>
      <c r="B27" t="s">
        <v>54</v>
      </c>
      <c r="C27" s="1" t="s">
        <v>55</v>
      </c>
      <c r="D27" s="1" t="s">
        <v>56</v>
      </c>
      <c r="E27" t="s">
        <v>18</v>
      </c>
      <c r="F27" s="2" t="s">
        <v>48</v>
      </c>
      <c r="G27" s="3">
        <v>2</v>
      </c>
      <c r="H27" s="3">
        <v>7</v>
      </c>
      <c r="I27" s="3">
        <v>7</v>
      </c>
      <c r="J27" s="3">
        <v>7</v>
      </c>
      <c r="K27" s="3">
        <v>7</v>
      </c>
      <c r="L27">
        <v>32</v>
      </c>
      <c r="M27">
        <v>38</v>
      </c>
      <c r="N27">
        <v>68</v>
      </c>
      <c r="O27">
        <v>62</v>
      </c>
      <c r="P27" s="3">
        <v>7</v>
      </c>
      <c r="Q27" s="3">
        <v>5</v>
      </c>
      <c r="R27" s="3">
        <v>7</v>
      </c>
      <c r="S27" s="3">
        <v>7</v>
      </c>
      <c r="T27" s="3">
        <v>7</v>
      </c>
      <c r="U27" s="3">
        <v>7</v>
      </c>
      <c r="V27" t="s">
        <v>20</v>
      </c>
      <c r="W27" s="3">
        <v>10</v>
      </c>
      <c r="X27" s="3">
        <v>10</v>
      </c>
      <c r="Y27">
        <v>32</v>
      </c>
      <c r="Z27">
        <v>16</v>
      </c>
      <c r="AA27">
        <v>43</v>
      </c>
      <c r="AB27">
        <v>6</v>
      </c>
      <c r="AC27">
        <v>21.5</v>
      </c>
      <c r="AD27">
        <v>70</v>
      </c>
      <c r="AE27">
        <v>7</v>
      </c>
      <c r="AF27">
        <v>35</v>
      </c>
      <c r="AG27" s="3">
        <v>5</v>
      </c>
      <c r="AH27" s="3">
        <v>42854</v>
      </c>
      <c r="AI27" t="s">
        <v>21</v>
      </c>
      <c r="AJ27" t="s">
        <v>22</v>
      </c>
      <c r="AK27" t="s">
        <v>22</v>
      </c>
      <c r="AL27">
        <v>4698</v>
      </c>
    </row>
    <row r="28" spans="1:38" x14ac:dyDescent="0.3">
      <c r="A28" t="str">
        <f>UPPER(TEXT(Tabela1[[#This Row],[Data]],"MMM"))</f>
        <v>AGO</v>
      </c>
      <c r="B28" t="s">
        <v>57</v>
      </c>
      <c r="C28" s="1" t="s">
        <v>58</v>
      </c>
      <c r="D28" s="1" t="s">
        <v>59</v>
      </c>
      <c r="E28" t="s">
        <v>18</v>
      </c>
      <c r="F28" s="2" t="s">
        <v>51</v>
      </c>
      <c r="G28" s="3">
        <v>2</v>
      </c>
      <c r="H28" s="3">
        <v>7</v>
      </c>
      <c r="I28" s="3">
        <v>7</v>
      </c>
      <c r="J28" s="3">
        <v>7</v>
      </c>
      <c r="K28" s="3">
        <v>5</v>
      </c>
      <c r="L28">
        <v>35</v>
      </c>
      <c r="M28">
        <v>39</v>
      </c>
      <c r="N28">
        <v>65</v>
      </c>
      <c r="O28">
        <v>61</v>
      </c>
      <c r="P28" s="3">
        <v>7</v>
      </c>
      <c r="Q28" s="3">
        <v>7</v>
      </c>
      <c r="R28" s="3">
        <v>7</v>
      </c>
      <c r="S28" s="3">
        <v>7</v>
      </c>
      <c r="T28" s="3">
        <v>7</v>
      </c>
      <c r="U28" s="3">
        <v>7</v>
      </c>
      <c r="V28" t="s">
        <v>20</v>
      </c>
      <c r="W28" s="3">
        <v>10</v>
      </c>
      <c r="X28" s="3">
        <v>10</v>
      </c>
      <c r="Y28">
        <v>47</v>
      </c>
      <c r="Z28">
        <v>23.5</v>
      </c>
      <c r="AA28">
        <v>45</v>
      </c>
      <c r="AB28">
        <v>4</v>
      </c>
      <c r="AC28">
        <v>22.5</v>
      </c>
      <c r="AD28">
        <v>80</v>
      </c>
      <c r="AE28">
        <v>5</v>
      </c>
      <c r="AF28">
        <v>25</v>
      </c>
      <c r="AG28" s="3">
        <v>7</v>
      </c>
      <c r="AH28" s="3">
        <v>42820</v>
      </c>
      <c r="AI28" t="s">
        <v>31</v>
      </c>
      <c r="AJ28" t="s">
        <v>22</v>
      </c>
      <c r="AK28" t="s">
        <v>22</v>
      </c>
      <c r="AL28">
        <v>4014</v>
      </c>
    </row>
    <row r="29" spans="1:38" x14ac:dyDescent="0.3">
      <c r="A29" t="str">
        <f>UPPER(TEXT(Tabela1[[#This Row],[Data]],"MMM"))</f>
        <v>AGO</v>
      </c>
      <c r="B29" t="s">
        <v>60</v>
      </c>
      <c r="C29" s="1" t="s">
        <v>61</v>
      </c>
      <c r="D29" s="1" t="s">
        <v>62</v>
      </c>
      <c r="E29" t="s">
        <v>18</v>
      </c>
      <c r="F29" s="2" t="s">
        <v>51</v>
      </c>
      <c r="G29" s="3">
        <v>2</v>
      </c>
      <c r="H29" s="3">
        <v>7</v>
      </c>
      <c r="I29" s="3">
        <v>7</v>
      </c>
      <c r="J29" s="3">
        <v>7</v>
      </c>
      <c r="K29" s="3">
        <v>5</v>
      </c>
      <c r="L29">
        <v>33</v>
      </c>
      <c r="M29">
        <v>33</v>
      </c>
      <c r="N29">
        <v>67</v>
      </c>
      <c r="O29">
        <v>67</v>
      </c>
      <c r="P29" s="3">
        <v>7</v>
      </c>
      <c r="Q29" s="3">
        <v>7</v>
      </c>
      <c r="R29" s="3">
        <v>7</v>
      </c>
      <c r="S29" s="3">
        <v>7</v>
      </c>
      <c r="T29" s="3">
        <v>7</v>
      </c>
      <c r="U29" s="3">
        <v>7</v>
      </c>
      <c r="V29" t="s">
        <v>20</v>
      </c>
      <c r="W29" s="3">
        <v>10</v>
      </c>
      <c r="X29" s="3">
        <v>10</v>
      </c>
      <c r="Y29">
        <v>47</v>
      </c>
      <c r="Z29">
        <v>23.5</v>
      </c>
      <c r="AA29">
        <v>48</v>
      </c>
      <c r="AB29">
        <v>3</v>
      </c>
      <c r="AC29">
        <v>24</v>
      </c>
      <c r="AD29">
        <v>85</v>
      </c>
      <c r="AE29">
        <v>5</v>
      </c>
      <c r="AF29">
        <v>25</v>
      </c>
      <c r="AG29" s="3">
        <v>10</v>
      </c>
      <c r="AH29" s="3">
        <v>13188</v>
      </c>
      <c r="AI29" t="s">
        <v>63</v>
      </c>
      <c r="AJ29" t="s">
        <v>22</v>
      </c>
      <c r="AK29" t="s">
        <v>22</v>
      </c>
      <c r="AL29">
        <v>5115</v>
      </c>
    </row>
    <row r="30" spans="1:38" x14ac:dyDescent="0.3">
      <c r="A30" t="str">
        <f>UPPER(TEXT(Tabela1[[#This Row],[Data]],"MMM"))</f>
        <v>AGO</v>
      </c>
      <c r="B30" t="s">
        <v>64</v>
      </c>
      <c r="C30" s="1" t="s">
        <v>65</v>
      </c>
      <c r="D30" s="1" t="s">
        <v>62</v>
      </c>
      <c r="E30" t="s">
        <v>18</v>
      </c>
      <c r="F30" s="2" t="s">
        <v>51</v>
      </c>
      <c r="G30" s="3">
        <v>2</v>
      </c>
      <c r="H30" s="3">
        <v>7</v>
      </c>
      <c r="I30" s="3">
        <v>5</v>
      </c>
      <c r="J30" s="3">
        <v>7</v>
      </c>
      <c r="K30" s="3">
        <v>5</v>
      </c>
      <c r="L30">
        <v>25</v>
      </c>
      <c r="M30">
        <v>34</v>
      </c>
      <c r="N30">
        <v>75</v>
      </c>
      <c r="O30">
        <v>66</v>
      </c>
      <c r="P30" s="3">
        <v>5</v>
      </c>
      <c r="Q30" s="3">
        <v>5</v>
      </c>
      <c r="R30" s="3">
        <v>7</v>
      </c>
      <c r="S30" s="3">
        <v>7</v>
      </c>
      <c r="T30" s="3">
        <v>7</v>
      </c>
      <c r="U30" s="3">
        <v>7</v>
      </c>
      <c r="V30" t="s">
        <v>20</v>
      </c>
      <c r="W30" s="3">
        <v>10</v>
      </c>
      <c r="X30" s="3">
        <v>10</v>
      </c>
      <c r="Y30">
        <v>49</v>
      </c>
      <c r="Z30">
        <v>24.5</v>
      </c>
      <c r="AA30">
        <v>38</v>
      </c>
      <c r="AB30">
        <v>5</v>
      </c>
      <c r="AC30">
        <v>19</v>
      </c>
      <c r="AD30">
        <v>75</v>
      </c>
      <c r="AE30">
        <v>5</v>
      </c>
      <c r="AF30">
        <v>25</v>
      </c>
      <c r="AG30" t="s">
        <v>28</v>
      </c>
      <c r="AH30" s="3">
        <v>46854</v>
      </c>
      <c r="AI30" t="s">
        <v>21</v>
      </c>
      <c r="AJ30" t="s">
        <v>22</v>
      </c>
      <c r="AK30" t="s">
        <v>22</v>
      </c>
      <c r="AL30">
        <v>1083</v>
      </c>
    </row>
    <row r="31" spans="1:38" x14ac:dyDescent="0.3">
      <c r="A31" t="str">
        <f>UPPER(TEXT(Tabela1[[#This Row],[Data]],"MMM"))</f>
        <v>AGO</v>
      </c>
      <c r="B31" t="s">
        <v>66</v>
      </c>
      <c r="C31" s="1" t="s">
        <v>67</v>
      </c>
      <c r="D31" s="1" t="s">
        <v>62</v>
      </c>
      <c r="E31" t="s">
        <v>18</v>
      </c>
      <c r="F31" s="2" t="s">
        <v>51</v>
      </c>
      <c r="G31" s="3">
        <v>2</v>
      </c>
      <c r="H31" s="3">
        <v>7</v>
      </c>
      <c r="I31" s="3">
        <v>7</v>
      </c>
      <c r="J31" s="3">
        <v>7</v>
      </c>
      <c r="K31" s="3">
        <v>5</v>
      </c>
      <c r="L31">
        <v>23</v>
      </c>
      <c r="M31">
        <v>30</v>
      </c>
      <c r="N31">
        <v>77</v>
      </c>
      <c r="O31">
        <v>70</v>
      </c>
      <c r="P31" s="3">
        <v>5</v>
      </c>
      <c r="Q31" s="3">
        <v>5</v>
      </c>
      <c r="R31" s="3">
        <v>10</v>
      </c>
      <c r="S31" s="3">
        <v>7</v>
      </c>
      <c r="T31" s="3">
        <v>7</v>
      </c>
      <c r="U31" s="3">
        <v>10</v>
      </c>
      <c r="V31" t="s">
        <v>20</v>
      </c>
      <c r="W31" s="3">
        <v>10</v>
      </c>
      <c r="X31" s="3">
        <v>10</v>
      </c>
      <c r="Y31">
        <v>83</v>
      </c>
      <c r="Z31">
        <v>41.5</v>
      </c>
      <c r="AA31">
        <v>32</v>
      </c>
      <c r="AB31">
        <v>7</v>
      </c>
      <c r="AC31">
        <v>16</v>
      </c>
      <c r="AD31">
        <v>65</v>
      </c>
      <c r="AE31">
        <v>7</v>
      </c>
      <c r="AF31">
        <v>35</v>
      </c>
      <c r="AG31" s="3">
        <v>5</v>
      </c>
      <c r="AH31" s="3">
        <v>42846</v>
      </c>
      <c r="AI31" t="s">
        <v>21</v>
      </c>
      <c r="AJ31" t="s">
        <v>22</v>
      </c>
      <c r="AK31" t="s">
        <v>22</v>
      </c>
      <c r="AL31">
        <v>4821</v>
      </c>
    </row>
    <row r="32" spans="1:38" x14ac:dyDescent="0.3">
      <c r="A32" t="str">
        <f>UPPER(TEXT(Tabela1[[#This Row],[Data]],"MMM"))</f>
        <v>AGO</v>
      </c>
      <c r="B32" t="s">
        <v>68</v>
      </c>
      <c r="C32" s="1" t="s">
        <v>69</v>
      </c>
      <c r="D32" s="1" t="s">
        <v>70</v>
      </c>
      <c r="E32" t="s">
        <v>18</v>
      </c>
      <c r="F32" s="2" t="s">
        <v>71</v>
      </c>
      <c r="G32" s="3">
        <v>2</v>
      </c>
      <c r="H32" s="3">
        <v>7</v>
      </c>
      <c r="I32" s="3">
        <v>7</v>
      </c>
      <c r="J32" s="3">
        <v>7</v>
      </c>
      <c r="K32" s="3">
        <v>5</v>
      </c>
      <c r="L32">
        <v>23</v>
      </c>
      <c r="M32">
        <v>29</v>
      </c>
      <c r="N32">
        <v>77</v>
      </c>
      <c r="O32">
        <v>71</v>
      </c>
      <c r="P32" s="3">
        <v>7</v>
      </c>
      <c r="Q32" s="3">
        <v>7</v>
      </c>
      <c r="R32" s="3">
        <v>7</v>
      </c>
      <c r="S32" s="3">
        <v>7</v>
      </c>
      <c r="T32" s="3">
        <v>7</v>
      </c>
      <c r="U32" s="3">
        <v>7</v>
      </c>
      <c r="V32" t="s">
        <v>20</v>
      </c>
      <c r="W32" s="3">
        <v>10</v>
      </c>
      <c r="X32" s="3">
        <v>10</v>
      </c>
      <c r="Y32">
        <v>39</v>
      </c>
      <c r="Z32">
        <v>19.5</v>
      </c>
      <c r="AA32">
        <v>48</v>
      </c>
      <c r="AB32">
        <v>4</v>
      </c>
      <c r="AC32">
        <v>24</v>
      </c>
      <c r="AD32">
        <v>80</v>
      </c>
      <c r="AE32">
        <v>5</v>
      </c>
      <c r="AF32">
        <v>25</v>
      </c>
      <c r="AG32" s="3">
        <v>7</v>
      </c>
      <c r="AH32" s="3">
        <v>42820</v>
      </c>
      <c r="AI32" t="s">
        <v>36</v>
      </c>
      <c r="AJ32" t="s">
        <v>22</v>
      </c>
      <c r="AK32" t="s">
        <v>22</v>
      </c>
      <c r="AL32">
        <v>196</v>
      </c>
    </row>
    <row r="33" spans="1:38" x14ac:dyDescent="0.3">
      <c r="A33" t="str">
        <f>UPPER(TEXT(Tabela1[[#This Row],[Data]],"MMM"))</f>
        <v>AGO</v>
      </c>
      <c r="B33" t="s">
        <v>72</v>
      </c>
      <c r="C33" s="1" t="s">
        <v>73</v>
      </c>
      <c r="D33" s="1" t="s">
        <v>74</v>
      </c>
      <c r="E33" t="s">
        <v>18</v>
      </c>
      <c r="F33" s="2" t="s">
        <v>71</v>
      </c>
      <c r="G33" s="3">
        <v>2</v>
      </c>
      <c r="H33" s="3">
        <v>7</v>
      </c>
      <c r="I33" s="3">
        <v>7</v>
      </c>
      <c r="J33" s="3">
        <v>7</v>
      </c>
      <c r="K33" s="3">
        <v>5</v>
      </c>
      <c r="L33">
        <v>18</v>
      </c>
      <c r="M33">
        <v>34</v>
      </c>
      <c r="N33">
        <v>82</v>
      </c>
      <c r="O33">
        <v>66</v>
      </c>
      <c r="P33" t="s">
        <v>28</v>
      </c>
      <c r="Q33" s="3">
        <v>5</v>
      </c>
      <c r="R33" s="3">
        <v>7</v>
      </c>
      <c r="S33" s="3">
        <v>7</v>
      </c>
      <c r="T33" s="3">
        <v>7</v>
      </c>
      <c r="U33" s="3">
        <v>7</v>
      </c>
      <c r="V33" t="s">
        <v>20</v>
      </c>
      <c r="W33" s="3">
        <v>10</v>
      </c>
      <c r="X33" s="3">
        <v>10</v>
      </c>
      <c r="Y33">
        <v>39</v>
      </c>
      <c r="Z33">
        <v>19.5</v>
      </c>
      <c r="AA33">
        <v>48</v>
      </c>
      <c r="AB33">
        <v>5</v>
      </c>
      <c r="AC33">
        <v>24</v>
      </c>
      <c r="AD33">
        <v>75</v>
      </c>
      <c r="AE33">
        <v>6</v>
      </c>
      <c r="AF33">
        <v>30</v>
      </c>
      <c r="AG33" s="3">
        <v>7</v>
      </c>
      <c r="AH33" s="3">
        <v>42854</v>
      </c>
      <c r="AI33" t="s">
        <v>63</v>
      </c>
      <c r="AJ33" t="s">
        <v>22</v>
      </c>
      <c r="AK33" t="s">
        <v>22</v>
      </c>
      <c r="AL33">
        <v>3031</v>
      </c>
    </row>
    <row r="34" spans="1:38" x14ac:dyDescent="0.3">
      <c r="A34" t="str">
        <f>UPPER(TEXT(Tabela1[[#This Row],[Data]],"MMM"))</f>
        <v>AGO</v>
      </c>
      <c r="B34" t="s">
        <v>75</v>
      </c>
      <c r="C34" s="1" t="s">
        <v>76</v>
      </c>
      <c r="D34" s="1" t="s">
        <v>74</v>
      </c>
      <c r="E34" t="s">
        <v>18</v>
      </c>
      <c r="F34" s="2" t="s">
        <v>71</v>
      </c>
      <c r="G34" s="3">
        <v>2</v>
      </c>
      <c r="H34" s="3">
        <v>5</v>
      </c>
      <c r="I34" s="3">
        <v>7</v>
      </c>
      <c r="J34" s="3">
        <v>7</v>
      </c>
      <c r="K34" s="3">
        <v>5</v>
      </c>
      <c r="L34">
        <v>23</v>
      </c>
      <c r="M34">
        <v>35</v>
      </c>
      <c r="N34">
        <v>77</v>
      </c>
      <c r="O34">
        <v>65</v>
      </c>
      <c r="P34" s="3">
        <v>7</v>
      </c>
      <c r="Q34" s="3">
        <v>7</v>
      </c>
      <c r="R34" s="3">
        <v>7</v>
      </c>
      <c r="S34" s="3">
        <v>7</v>
      </c>
      <c r="T34" s="3">
        <v>7</v>
      </c>
      <c r="U34" s="3">
        <v>5</v>
      </c>
      <c r="V34" t="s">
        <v>20</v>
      </c>
      <c r="W34" s="3">
        <v>10</v>
      </c>
      <c r="X34" s="3">
        <v>10</v>
      </c>
      <c r="Y34">
        <v>38</v>
      </c>
      <c r="Z34">
        <v>19</v>
      </c>
      <c r="AA34">
        <v>49</v>
      </c>
      <c r="AB34">
        <v>3</v>
      </c>
      <c r="AC34">
        <v>24.5</v>
      </c>
      <c r="AD34">
        <v>85</v>
      </c>
      <c r="AE34">
        <v>5</v>
      </c>
      <c r="AF34">
        <v>25</v>
      </c>
      <c r="AG34" s="3">
        <v>10</v>
      </c>
      <c r="AH34" s="3">
        <v>13188</v>
      </c>
      <c r="AI34" t="s">
        <v>63</v>
      </c>
      <c r="AJ34" t="s">
        <v>22</v>
      </c>
      <c r="AK34" t="s">
        <v>22</v>
      </c>
      <c r="AL34">
        <v>2951</v>
      </c>
    </row>
    <row r="35" spans="1:38" x14ac:dyDescent="0.3">
      <c r="A35" t="str">
        <f>UPPER(TEXT(Tabela1[[#This Row],[Data]],"MMM"))</f>
        <v>AGO</v>
      </c>
      <c r="B35" t="s">
        <v>77</v>
      </c>
      <c r="C35" s="1" t="s">
        <v>78</v>
      </c>
      <c r="D35" s="1" t="s">
        <v>74</v>
      </c>
      <c r="E35" t="s">
        <v>18</v>
      </c>
      <c r="F35" s="2" t="s">
        <v>71</v>
      </c>
      <c r="G35" s="3">
        <v>2</v>
      </c>
      <c r="H35" s="3">
        <v>5</v>
      </c>
      <c r="I35" s="3">
        <v>7</v>
      </c>
      <c r="J35" s="3">
        <v>7</v>
      </c>
      <c r="K35" s="3">
        <v>5</v>
      </c>
      <c r="L35">
        <v>25</v>
      </c>
      <c r="M35">
        <v>34</v>
      </c>
      <c r="N35">
        <v>75</v>
      </c>
      <c r="O35">
        <v>66</v>
      </c>
      <c r="P35" s="3">
        <v>7</v>
      </c>
      <c r="Q35" s="3">
        <v>7</v>
      </c>
      <c r="R35" s="3">
        <v>7</v>
      </c>
      <c r="S35" s="3">
        <v>7</v>
      </c>
      <c r="T35" s="3">
        <v>7</v>
      </c>
      <c r="U35" s="3">
        <v>5</v>
      </c>
      <c r="V35" t="s">
        <v>20</v>
      </c>
      <c r="W35" s="3">
        <v>7</v>
      </c>
      <c r="X35" s="3">
        <v>7</v>
      </c>
      <c r="Y35">
        <v>46</v>
      </c>
      <c r="Z35">
        <v>23</v>
      </c>
      <c r="AA35">
        <v>43</v>
      </c>
      <c r="AB35">
        <v>6</v>
      </c>
      <c r="AC35">
        <v>21.5</v>
      </c>
      <c r="AD35">
        <v>70</v>
      </c>
      <c r="AE35">
        <v>7</v>
      </c>
      <c r="AF35">
        <v>35</v>
      </c>
      <c r="AG35" s="3">
        <v>5</v>
      </c>
      <c r="AH35" s="3">
        <v>42838</v>
      </c>
      <c r="AI35" t="s">
        <v>36</v>
      </c>
      <c r="AJ35" t="s">
        <v>22</v>
      </c>
      <c r="AK35" t="s">
        <v>22</v>
      </c>
      <c r="AL35">
        <v>4870</v>
      </c>
    </row>
    <row r="36" spans="1:38" x14ac:dyDescent="0.3">
      <c r="A36" t="str">
        <f>UPPER(TEXT(Tabela1[[#This Row],[Data]],"MMM"))</f>
        <v>AGO</v>
      </c>
      <c r="B36" t="s">
        <v>79</v>
      </c>
      <c r="C36" s="1" t="s">
        <v>80</v>
      </c>
      <c r="D36" s="1" t="s">
        <v>81</v>
      </c>
      <c r="E36" t="s">
        <v>18</v>
      </c>
      <c r="F36" s="2" t="s">
        <v>82</v>
      </c>
      <c r="G36" s="3">
        <v>2</v>
      </c>
      <c r="H36" s="3">
        <v>5</v>
      </c>
      <c r="I36" s="3">
        <v>5</v>
      </c>
      <c r="J36" s="3">
        <v>5</v>
      </c>
      <c r="K36" s="3">
        <v>5</v>
      </c>
      <c r="L36">
        <v>30</v>
      </c>
      <c r="M36">
        <v>38</v>
      </c>
      <c r="N36">
        <v>70</v>
      </c>
      <c r="O36">
        <v>62</v>
      </c>
      <c r="P36" s="3">
        <v>5</v>
      </c>
      <c r="Q36" s="3">
        <v>5</v>
      </c>
      <c r="R36" s="3">
        <v>5</v>
      </c>
      <c r="S36" s="3">
        <v>5</v>
      </c>
      <c r="T36" s="3">
        <v>7</v>
      </c>
      <c r="U36" s="3">
        <v>5</v>
      </c>
      <c r="V36" t="s">
        <v>20</v>
      </c>
      <c r="W36" s="3">
        <v>7</v>
      </c>
      <c r="X36" s="3">
        <v>7</v>
      </c>
      <c r="Y36">
        <v>41</v>
      </c>
      <c r="Z36">
        <v>20.5</v>
      </c>
      <c r="AA36">
        <v>49</v>
      </c>
      <c r="AB36">
        <v>4</v>
      </c>
      <c r="AC36">
        <v>24.5</v>
      </c>
      <c r="AD36">
        <v>80</v>
      </c>
      <c r="AE36">
        <v>8</v>
      </c>
      <c r="AF36">
        <v>40</v>
      </c>
      <c r="AG36" s="3">
        <v>5</v>
      </c>
      <c r="AH36" s="3">
        <v>42862</v>
      </c>
      <c r="AI36" t="s">
        <v>83</v>
      </c>
      <c r="AJ36" t="s">
        <v>22</v>
      </c>
      <c r="AK36" t="s">
        <v>22</v>
      </c>
      <c r="AL36">
        <v>4717</v>
      </c>
    </row>
    <row r="37" spans="1:38" x14ac:dyDescent="0.3">
      <c r="A37" t="str">
        <f>UPPER(TEXT(Tabela1[[#This Row],[Data]],"MMM"))</f>
        <v>AGO</v>
      </c>
      <c r="B37" t="s">
        <v>84</v>
      </c>
      <c r="C37" s="1" t="s">
        <v>85</v>
      </c>
      <c r="D37" s="1" t="s">
        <v>81</v>
      </c>
      <c r="E37" t="s">
        <v>18</v>
      </c>
      <c r="F37" s="2" t="s">
        <v>82</v>
      </c>
      <c r="G37" s="3">
        <v>2</v>
      </c>
      <c r="H37" s="3">
        <v>7</v>
      </c>
      <c r="I37" s="3">
        <v>7</v>
      </c>
      <c r="J37" s="3">
        <v>7</v>
      </c>
      <c r="K37" s="3">
        <v>5</v>
      </c>
      <c r="L37">
        <v>38</v>
      </c>
      <c r="M37">
        <v>33</v>
      </c>
      <c r="N37">
        <v>62</v>
      </c>
      <c r="O37">
        <v>67</v>
      </c>
      <c r="P37" s="3">
        <v>5</v>
      </c>
      <c r="Q37" s="3">
        <v>5</v>
      </c>
      <c r="R37" s="3">
        <v>5</v>
      </c>
      <c r="S37" s="3">
        <v>7</v>
      </c>
      <c r="T37" s="3">
        <v>7</v>
      </c>
      <c r="U37" s="3">
        <v>5</v>
      </c>
      <c r="V37" t="s">
        <v>20</v>
      </c>
      <c r="W37" s="3">
        <v>7</v>
      </c>
      <c r="X37" s="3">
        <v>7</v>
      </c>
      <c r="Y37">
        <v>47</v>
      </c>
      <c r="Z37">
        <v>23.5</v>
      </c>
      <c r="AA37">
        <v>46</v>
      </c>
      <c r="AB37">
        <v>4</v>
      </c>
      <c r="AC37">
        <v>23</v>
      </c>
      <c r="AD37">
        <v>80</v>
      </c>
      <c r="AE37">
        <v>9</v>
      </c>
      <c r="AF37">
        <v>45</v>
      </c>
      <c r="AG37" s="3">
        <v>5</v>
      </c>
      <c r="AH37" s="3">
        <v>42838</v>
      </c>
      <c r="AI37" t="s">
        <v>31</v>
      </c>
      <c r="AJ37" t="s">
        <v>22</v>
      </c>
      <c r="AK37" t="s">
        <v>22</v>
      </c>
      <c r="AL37">
        <v>3007</v>
      </c>
    </row>
    <row r="38" spans="1:38" x14ac:dyDescent="0.3">
      <c r="A38" t="str">
        <f>UPPER(TEXT(Tabela1[[#This Row],[Data]],"MMM"))</f>
        <v>AGO</v>
      </c>
      <c r="B38" t="s">
        <v>86</v>
      </c>
      <c r="C38" s="1" t="s">
        <v>87</v>
      </c>
      <c r="D38" s="1" t="s">
        <v>81</v>
      </c>
      <c r="E38" t="s">
        <v>18</v>
      </c>
      <c r="F38" s="2" t="s">
        <v>82</v>
      </c>
      <c r="G38" s="3">
        <v>2</v>
      </c>
      <c r="H38" s="3">
        <v>5</v>
      </c>
      <c r="I38" s="3">
        <v>7</v>
      </c>
      <c r="J38" s="3">
        <v>7</v>
      </c>
      <c r="K38" s="3">
        <v>5</v>
      </c>
      <c r="L38">
        <v>26</v>
      </c>
      <c r="M38">
        <v>28</v>
      </c>
      <c r="N38">
        <v>74</v>
      </c>
      <c r="O38">
        <v>72</v>
      </c>
      <c r="P38" s="3">
        <v>5</v>
      </c>
      <c r="Q38" s="3">
        <v>7</v>
      </c>
      <c r="R38" s="3">
        <v>7</v>
      </c>
      <c r="S38" s="3">
        <v>7</v>
      </c>
      <c r="T38" s="3">
        <v>7</v>
      </c>
      <c r="U38" s="3">
        <v>7</v>
      </c>
      <c r="V38" t="s">
        <v>20</v>
      </c>
      <c r="W38" s="3">
        <v>10</v>
      </c>
      <c r="X38" s="3">
        <v>10</v>
      </c>
      <c r="Y38">
        <v>39</v>
      </c>
      <c r="Z38">
        <v>19.5</v>
      </c>
      <c r="AA38">
        <v>48</v>
      </c>
      <c r="AB38">
        <v>5</v>
      </c>
      <c r="AC38">
        <v>24</v>
      </c>
      <c r="AD38">
        <v>75</v>
      </c>
      <c r="AE38">
        <v>8</v>
      </c>
      <c r="AF38">
        <v>40</v>
      </c>
      <c r="AG38" s="3">
        <v>5</v>
      </c>
      <c r="AH38" s="3">
        <v>42854</v>
      </c>
      <c r="AI38" t="s">
        <v>21</v>
      </c>
      <c r="AJ38" t="s">
        <v>22</v>
      </c>
      <c r="AK38" t="s">
        <v>22</v>
      </c>
      <c r="AL38">
        <v>206</v>
      </c>
    </row>
    <row r="39" spans="1:38" x14ac:dyDescent="0.3">
      <c r="A39" t="str">
        <f>UPPER(TEXT(Tabela1[[#This Row],[Data]],"MMM"))</f>
        <v>AGO</v>
      </c>
      <c r="B39" t="s">
        <v>88</v>
      </c>
      <c r="C39" s="1" t="s">
        <v>89</v>
      </c>
      <c r="D39" s="1" t="s">
        <v>90</v>
      </c>
      <c r="E39" t="s">
        <v>18</v>
      </c>
      <c r="F39" s="2" t="s">
        <v>82</v>
      </c>
      <c r="G39" s="3">
        <v>2</v>
      </c>
      <c r="H39" s="3">
        <v>5</v>
      </c>
      <c r="I39" s="3">
        <v>7</v>
      </c>
      <c r="J39" s="3">
        <v>7</v>
      </c>
      <c r="K39" s="3">
        <v>5</v>
      </c>
      <c r="L39">
        <v>23</v>
      </c>
      <c r="M39">
        <v>30</v>
      </c>
      <c r="N39">
        <v>77</v>
      </c>
      <c r="O39">
        <v>70</v>
      </c>
      <c r="P39" s="3">
        <v>5</v>
      </c>
      <c r="Q39" s="3">
        <v>7</v>
      </c>
      <c r="R39" s="3">
        <v>7</v>
      </c>
      <c r="S39" s="3">
        <v>7</v>
      </c>
      <c r="T39" s="3">
        <v>7</v>
      </c>
      <c r="U39" s="3">
        <v>7</v>
      </c>
      <c r="V39" t="s">
        <v>20</v>
      </c>
      <c r="W39" s="3">
        <v>10</v>
      </c>
      <c r="X39" s="3">
        <v>10</v>
      </c>
      <c r="Y39">
        <v>43</v>
      </c>
      <c r="Z39">
        <v>21.5</v>
      </c>
      <c r="AA39">
        <v>46</v>
      </c>
      <c r="AB39">
        <v>5</v>
      </c>
      <c r="AC39">
        <v>23</v>
      </c>
      <c r="AD39">
        <v>75</v>
      </c>
      <c r="AE39">
        <v>8</v>
      </c>
      <c r="AF39">
        <v>40</v>
      </c>
      <c r="AG39" s="3">
        <v>5</v>
      </c>
      <c r="AH39" s="3">
        <v>42562</v>
      </c>
      <c r="AI39" t="s">
        <v>21</v>
      </c>
      <c r="AJ39" t="s">
        <v>22</v>
      </c>
      <c r="AK39" t="s">
        <v>22</v>
      </c>
      <c r="AL39">
        <v>3950</v>
      </c>
    </row>
    <row r="40" spans="1:38" x14ac:dyDescent="0.3">
      <c r="A40" t="str">
        <f>UPPER(TEXT(Tabela1[[#This Row],[Data]],"MMM"))</f>
        <v>AGO</v>
      </c>
      <c r="B40" t="s">
        <v>91</v>
      </c>
      <c r="C40" s="1" t="s">
        <v>92</v>
      </c>
      <c r="D40" s="1" t="s">
        <v>93</v>
      </c>
      <c r="E40" t="s">
        <v>94</v>
      </c>
      <c r="F40" s="2" t="s">
        <v>95</v>
      </c>
      <c r="G40" s="3">
        <v>2</v>
      </c>
      <c r="H40" s="3">
        <v>7</v>
      </c>
      <c r="I40" s="3">
        <v>5</v>
      </c>
      <c r="J40" s="3">
        <v>7</v>
      </c>
      <c r="K40" t="s">
        <v>28</v>
      </c>
      <c r="L40">
        <v>29</v>
      </c>
      <c r="M40">
        <v>35</v>
      </c>
      <c r="N40">
        <v>71</v>
      </c>
      <c r="O40">
        <v>65</v>
      </c>
      <c r="P40" s="3">
        <v>7</v>
      </c>
      <c r="Q40" s="3">
        <v>5</v>
      </c>
      <c r="R40" s="3">
        <v>7</v>
      </c>
      <c r="S40" s="3">
        <v>5</v>
      </c>
      <c r="T40" s="3">
        <v>7</v>
      </c>
      <c r="U40" s="3">
        <v>5</v>
      </c>
      <c r="V40" t="s">
        <v>20</v>
      </c>
      <c r="W40" s="3">
        <v>7</v>
      </c>
      <c r="X40" s="3">
        <v>7</v>
      </c>
      <c r="Y40">
        <v>39</v>
      </c>
      <c r="Z40">
        <v>19.5</v>
      </c>
      <c r="AA40">
        <v>55</v>
      </c>
      <c r="AB40">
        <v>4</v>
      </c>
      <c r="AC40">
        <v>27.500000000000004</v>
      </c>
      <c r="AD40">
        <v>80</v>
      </c>
      <c r="AE40">
        <v>8</v>
      </c>
      <c r="AF40">
        <v>40</v>
      </c>
      <c r="AG40" s="3">
        <v>7</v>
      </c>
      <c r="AH40" s="3">
        <v>42862</v>
      </c>
      <c r="AI40" t="s">
        <v>31</v>
      </c>
      <c r="AJ40" t="s">
        <v>22</v>
      </c>
      <c r="AK40" t="s">
        <v>22</v>
      </c>
      <c r="AL40">
        <v>245</v>
      </c>
    </row>
    <row r="41" spans="1:38" x14ac:dyDescent="0.3">
      <c r="A41" t="str">
        <f>UPPER(TEXT(Tabela1[[#This Row],[Data]],"MMM"))</f>
        <v>AGO</v>
      </c>
      <c r="B41" t="s">
        <v>96</v>
      </c>
      <c r="C41" s="1" t="s">
        <v>97</v>
      </c>
      <c r="D41" s="1" t="s">
        <v>98</v>
      </c>
      <c r="E41" t="s">
        <v>94</v>
      </c>
      <c r="F41" s="2" t="s">
        <v>95</v>
      </c>
      <c r="G41" s="3">
        <v>2</v>
      </c>
      <c r="H41" s="3">
        <v>5</v>
      </c>
      <c r="I41" s="3">
        <v>7</v>
      </c>
      <c r="J41" s="3">
        <v>7</v>
      </c>
      <c r="K41" s="3">
        <v>7</v>
      </c>
      <c r="L41">
        <v>29</v>
      </c>
      <c r="M41">
        <v>36</v>
      </c>
      <c r="N41">
        <v>71</v>
      </c>
      <c r="O41">
        <v>64</v>
      </c>
      <c r="P41" s="3">
        <v>5</v>
      </c>
      <c r="Q41" s="3">
        <v>7</v>
      </c>
      <c r="R41" s="3">
        <v>7</v>
      </c>
      <c r="S41" s="3">
        <v>7</v>
      </c>
      <c r="T41" s="3">
        <v>7</v>
      </c>
      <c r="U41" s="3">
        <v>5</v>
      </c>
      <c r="V41" t="s">
        <v>99</v>
      </c>
      <c r="W41" s="3">
        <v>7</v>
      </c>
      <c r="X41" s="3">
        <v>7</v>
      </c>
      <c r="Y41">
        <v>43</v>
      </c>
      <c r="Z41">
        <v>21.5</v>
      </c>
      <c r="AA41">
        <v>49</v>
      </c>
      <c r="AB41">
        <v>5</v>
      </c>
      <c r="AC41">
        <v>24.5</v>
      </c>
      <c r="AD41">
        <v>75</v>
      </c>
      <c r="AE41">
        <v>6</v>
      </c>
      <c r="AF41">
        <v>30</v>
      </c>
      <c r="AG41" s="3">
        <v>7</v>
      </c>
      <c r="AH41" s="3">
        <v>42838</v>
      </c>
      <c r="AI41" t="s">
        <v>31</v>
      </c>
      <c r="AJ41" t="s">
        <v>22</v>
      </c>
      <c r="AK41" t="s">
        <v>22</v>
      </c>
      <c r="AL41">
        <v>492</v>
      </c>
    </row>
    <row r="42" spans="1:38" x14ac:dyDescent="0.3">
      <c r="A42" t="str">
        <f>UPPER(TEXT(Tabela1[[#This Row],[Data]],"MMM"))</f>
        <v>AGO</v>
      </c>
      <c r="B42" t="s">
        <v>100</v>
      </c>
      <c r="C42" s="1" t="s">
        <v>101</v>
      </c>
      <c r="D42" s="1" t="s">
        <v>102</v>
      </c>
      <c r="E42" t="s">
        <v>94</v>
      </c>
      <c r="F42" s="2" t="s">
        <v>95</v>
      </c>
      <c r="G42" s="3">
        <v>2</v>
      </c>
      <c r="H42" s="3">
        <v>7</v>
      </c>
      <c r="I42" s="3">
        <v>5</v>
      </c>
      <c r="J42" s="3">
        <v>5</v>
      </c>
      <c r="K42" s="3">
        <v>7</v>
      </c>
      <c r="L42">
        <v>34</v>
      </c>
      <c r="M42">
        <v>28</v>
      </c>
      <c r="N42">
        <v>66</v>
      </c>
      <c r="O42">
        <v>72</v>
      </c>
      <c r="P42" s="3">
        <v>5</v>
      </c>
      <c r="Q42" s="3">
        <v>7</v>
      </c>
      <c r="R42" s="3">
        <v>5</v>
      </c>
      <c r="S42" s="3">
        <v>5</v>
      </c>
      <c r="T42" s="3">
        <v>5</v>
      </c>
      <c r="U42" s="3">
        <v>7</v>
      </c>
      <c r="V42" t="s">
        <v>20</v>
      </c>
      <c r="W42" s="3">
        <v>7</v>
      </c>
      <c r="X42" s="3">
        <v>7</v>
      </c>
      <c r="Y42">
        <v>28</v>
      </c>
      <c r="Z42">
        <v>14.000000000000002</v>
      </c>
      <c r="AA42">
        <v>62</v>
      </c>
      <c r="AB42">
        <v>4</v>
      </c>
      <c r="AC42">
        <v>31</v>
      </c>
      <c r="AD42">
        <v>80</v>
      </c>
      <c r="AE42">
        <v>6</v>
      </c>
      <c r="AF42">
        <v>30</v>
      </c>
      <c r="AG42" t="s">
        <v>28</v>
      </c>
      <c r="AH42" t="s">
        <v>28</v>
      </c>
      <c r="AI42" t="s">
        <v>31</v>
      </c>
      <c r="AJ42" t="s">
        <v>22</v>
      </c>
      <c r="AK42" t="s">
        <v>22</v>
      </c>
      <c r="AL42">
        <v>206</v>
      </c>
    </row>
    <row r="43" spans="1:38" x14ac:dyDescent="0.3">
      <c r="A43" t="str">
        <f>UPPER(TEXT(Tabela1[[#This Row],[Data]],"MMM"))</f>
        <v>AGO</v>
      </c>
      <c r="B43" t="s">
        <v>103</v>
      </c>
      <c r="C43" s="1" t="s">
        <v>104</v>
      </c>
      <c r="D43" s="1" t="s">
        <v>105</v>
      </c>
      <c r="E43" t="s">
        <v>94</v>
      </c>
      <c r="F43" s="2" t="s">
        <v>106</v>
      </c>
      <c r="G43" s="3">
        <v>2</v>
      </c>
      <c r="H43" t="s">
        <v>28</v>
      </c>
      <c r="I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28</v>
      </c>
      <c r="S43" t="s">
        <v>28</v>
      </c>
      <c r="T43" t="s">
        <v>28</v>
      </c>
      <c r="U43" t="s">
        <v>28</v>
      </c>
      <c r="V43" t="s">
        <v>28</v>
      </c>
      <c r="W43" t="s">
        <v>28</v>
      </c>
      <c r="X43" t="s">
        <v>28</v>
      </c>
      <c r="Y43" t="s">
        <v>28</v>
      </c>
      <c r="Z43" t="s">
        <v>28</v>
      </c>
      <c r="AA43">
        <v>54</v>
      </c>
      <c r="AB43">
        <v>6</v>
      </c>
      <c r="AC43">
        <v>27</v>
      </c>
      <c r="AD43">
        <v>70</v>
      </c>
      <c r="AE43" t="s">
        <v>28</v>
      </c>
      <c r="AF43" t="s">
        <v>28</v>
      </c>
      <c r="AG43" t="s">
        <v>28</v>
      </c>
      <c r="AH43" t="s">
        <v>28</v>
      </c>
      <c r="AI43" t="s">
        <v>28</v>
      </c>
      <c r="AJ43" t="s">
        <v>22</v>
      </c>
      <c r="AK43" t="s">
        <v>22</v>
      </c>
      <c r="AL43">
        <v>263</v>
      </c>
    </row>
    <row r="44" spans="1:38" x14ac:dyDescent="0.3">
      <c r="A44" t="str">
        <f>UPPER(TEXT(Tabela1[[#This Row],[Data]],"MMM"))</f>
        <v>AGO</v>
      </c>
      <c r="B44" t="s">
        <v>107</v>
      </c>
      <c r="C44" s="1" t="s">
        <v>108</v>
      </c>
      <c r="D44" s="1" t="s">
        <v>109</v>
      </c>
      <c r="E44" t="s">
        <v>94</v>
      </c>
      <c r="F44" s="2" t="s">
        <v>106</v>
      </c>
      <c r="G44" s="3">
        <v>2</v>
      </c>
      <c r="H44" s="3">
        <v>7</v>
      </c>
      <c r="I44" s="3">
        <v>7</v>
      </c>
      <c r="J44" s="3">
        <v>7</v>
      </c>
      <c r="K44" s="3">
        <v>5</v>
      </c>
      <c r="L44">
        <v>21</v>
      </c>
      <c r="M44">
        <v>26</v>
      </c>
      <c r="N44">
        <v>79</v>
      </c>
      <c r="O44">
        <v>74</v>
      </c>
      <c r="P44" s="3">
        <v>5</v>
      </c>
      <c r="Q44" s="3">
        <v>5</v>
      </c>
      <c r="R44" s="3">
        <v>7</v>
      </c>
      <c r="S44" s="3">
        <v>5</v>
      </c>
      <c r="T44" s="3">
        <v>7</v>
      </c>
      <c r="U44" s="3">
        <v>7</v>
      </c>
      <c r="V44" t="s">
        <v>110</v>
      </c>
      <c r="W44" s="3">
        <v>10</v>
      </c>
      <c r="X44" s="3">
        <v>10</v>
      </c>
      <c r="Y44">
        <v>32</v>
      </c>
      <c r="Z44">
        <v>16</v>
      </c>
      <c r="AA44">
        <v>51</v>
      </c>
      <c r="AB44">
        <v>15</v>
      </c>
      <c r="AC44">
        <v>25.5</v>
      </c>
      <c r="AD44">
        <v>25</v>
      </c>
      <c r="AE44">
        <v>9</v>
      </c>
      <c r="AF44">
        <v>45</v>
      </c>
      <c r="AG44" t="s">
        <v>28</v>
      </c>
      <c r="AH44" s="3">
        <v>13188</v>
      </c>
      <c r="AI44" t="s">
        <v>63</v>
      </c>
      <c r="AJ44" t="s">
        <v>22</v>
      </c>
      <c r="AK44" t="s">
        <v>22</v>
      </c>
      <c r="AL44">
        <v>442</v>
      </c>
    </row>
    <row r="45" spans="1:38" x14ac:dyDescent="0.3">
      <c r="A45" t="str">
        <f>UPPER(TEXT(Tabela1[[#This Row],[Data]],"MMM"))</f>
        <v>AGO</v>
      </c>
      <c r="B45" t="s">
        <v>111</v>
      </c>
      <c r="C45" s="1" t="s">
        <v>112</v>
      </c>
      <c r="D45" s="1" t="s">
        <v>113</v>
      </c>
      <c r="E45" t="s">
        <v>94</v>
      </c>
      <c r="F45" s="2" t="s">
        <v>106</v>
      </c>
      <c r="G45" s="3">
        <v>2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28</v>
      </c>
      <c r="P45" t="s">
        <v>28</v>
      </c>
      <c r="Q45" t="s">
        <v>28</v>
      </c>
      <c r="R45" t="s">
        <v>28</v>
      </c>
      <c r="S45" t="s">
        <v>28</v>
      </c>
      <c r="T45" t="s">
        <v>28</v>
      </c>
      <c r="U45" t="s">
        <v>28</v>
      </c>
      <c r="V45" t="s">
        <v>28</v>
      </c>
      <c r="W45" t="s">
        <v>28</v>
      </c>
      <c r="X45" t="s">
        <v>28</v>
      </c>
      <c r="Y45" t="s">
        <v>28</v>
      </c>
      <c r="Z45" t="s">
        <v>28</v>
      </c>
      <c r="AA45" t="s">
        <v>28</v>
      </c>
      <c r="AB45" t="s">
        <v>28</v>
      </c>
      <c r="AC45" t="s">
        <v>28</v>
      </c>
      <c r="AD45" t="s">
        <v>28</v>
      </c>
      <c r="AE45" t="s">
        <v>28</v>
      </c>
      <c r="AF45" t="s">
        <v>28</v>
      </c>
      <c r="AG45" t="s">
        <v>28</v>
      </c>
      <c r="AH45" t="s">
        <v>28</v>
      </c>
      <c r="AI45" t="s">
        <v>28</v>
      </c>
      <c r="AJ45" t="s">
        <v>28</v>
      </c>
      <c r="AK45" t="s">
        <v>28</v>
      </c>
      <c r="AL45">
        <v>115</v>
      </c>
    </row>
    <row r="46" spans="1:38" x14ac:dyDescent="0.3">
      <c r="A46" t="str">
        <f>UPPER(TEXT(Tabela1[[#This Row],[Data]],"MMM"))</f>
        <v>AGO</v>
      </c>
      <c r="B46" t="s">
        <v>114</v>
      </c>
      <c r="C46" s="1" t="s">
        <v>115</v>
      </c>
      <c r="D46" s="1" t="s">
        <v>116</v>
      </c>
      <c r="E46" t="s">
        <v>94</v>
      </c>
      <c r="F46" s="2" t="s">
        <v>106</v>
      </c>
      <c r="G46" s="3">
        <v>2</v>
      </c>
      <c r="H46" s="3">
        <v>7</v>
      </c>
      <c r="I46" s="3">
        <v>7</v>
      </c>
      <c r="J46" s="3">
        <v>7</v>
      </c>
      <c r="K46" s="3">
        <v>5</v>
      </c>
      <c r="L46">
        <v>20</v>
      </c>
      <c r="M46">
        <v>33</v>
      </c>
      <c r="N46">
        <v>80</v>
      </c>
      <c r="O46">
        <v>67</v>
      </c>
      <c r="P46" s="3">
        <v>5</v>
      </c>
      <c r="Q46" s="3">
        <v>5</v>
      </c>
      <c r="R46" s="3">
        <v>5</v>
      </c>
      <c r="S46" s="3">
        <v>7</v>
      </c>
      <c r="T46" s="3">
        <v>7</v>
      </c>
      <c r="U46" s="3">
        <v>7</v>
      </c>
      <c r="V46" t="s">
        <v>110</v>
      </c>
      <c r="W46" s="3">
        <v>10</v>
      </c>
      <c r="X46" s="3">
        <v>10</v>
      </c>
      <c r="Y46">
        <v>30</v>
      </c>
      <c r="Z46">
        <v>15</v>
      </c>
      <c r="AA46">
        <v>42</v>
      </c>
      <c r="AB46">
        <v>5</v>
      </c>
      <c r="AC46">
        <v>21</v>
      </c>
      <c r="AD46">
        <v>75</v>
      </c>
      <c r="AE46">
        <v>5</v>
      </c>
      <c r="AF46">
        <v>25</v>
      </c>
      <c r="AG46" s="3">
        <v>5</v>
      </c>
      <c r="AH46" s="3">
        <v>42862</v>
      </c>
      <c r="AI46" t="s">
        <v>21</v>
      </c>
      <c r="AJ46" t="s">
        <v>22</v>
      </c>
      <c r="AK46" t="s">
        <v>28</v>
      </c>
      <c r="AL46">
        <v>2207</v>
      </c>
    </row>
    <row r="47" spans="1:38" x14ac:dyDescent="0.3">
      <c r="A47" s="3" t="str">
        <f>UPPER(TEXT(Tabela1[[#This Row],[Data]],"MMM"))</f>
        <v>AGO</v>
      </c>
      <c r="B47" t="s">
        <v>165</v>
      </c>
      <c r="C47" s="1" t="s">
        <v>166</v>
      </c>
      <c r="D47" s="1" t="s">
        <v>167</v>
      </c>
      <c r="E47" t="s">
        <v>18</v>
      </c>
      <c r="F47" s="2" t="s">
        <v>168</v>
      </c>
      <c r="G47" s="3">
        <v>2</v>
      </c>
      <c r="H47" s="3">
        <v>7</v>
      </c>
      <c r="I47" s="3">
        <v>7</v>
      </c>
      <c r="J47" s="3">
        <v>7</v>
      </c>
      <c r="K47" s="3">
        <v>7</v>
      </c>
      <c r="L47">
        <v>29</v>
      </c>
      <c r="M47">
        <v>33</v>
      </c>
      <c r="N47">
        <v>71</v>
      </c>
      <c r="O47">
        <v>67</v>
      </c>
      <c r="P47" s="3">
        <v>7</v>
      </c>
      <c r="Q47" s="3">
        <v>7</v>
      </c>
      <c r="R47" s="3">
        <v>7</v>
      </c>
      <c r="S47" s="3">
        <v>7</v>
      </c>
      <c r="T47" s="3">
        <v>7</v>
      </c>
      <c r="U47" s="3" t="s">
        <v>28</v>
      </c>
      <c r="V47" t="s">
        <v>169</v>
      </c>
      <c r="W47" s="3" t="s">
        <v>28</v>
      </c>
      <c r="X47" s="3" t="s">
        <v>28</v>
      </c>
      <c r="Y47">
        <v>39</v>
      </c>
      <c r="Z47">
        <v>19.5</v>
      </c>
      <c r="AA47">
        <v>43</v>
      </c>
      <c r="AB47">
        <v>4</v>
      </c>
      <c r="AC47">
        <v>21.5</v>
      </c>
      <c r="AD47">
        <v>80</v>
      </c>
      <c r="AE47">
        <v>6</v>
      </c>
      <c r="AF47">
        <v>30</v>
      </c>
      <c r="AG47" s="3">
        <v>5</v>
      </c>
      <c r="AH47" s="3">
        <v>42846</v>
      </c>
      <c r="AI47" t="s">
        <v>36</v>
      </c>
      <c r="AJ47" t="s">
        <v>22</v>
      </c>
      <c r="AK47" t="s">
        <v>22</v>
      </c>
      <c r="AL47">
        <v>1622</v>
      </c>
    </row>
    <row r="48" spans="1:38" x14ac:dyDescent="0.3">
      <c r="A48" s="3" t="str">
        <f>UPPER(TEXT(Tabela1[[#This Row],[Data]],"MMM"))</f>
        <v>AGO</v>
      </c>
      <c r="B48" t="s">
        <v>170</v>
      </c>
      <c r="C48" s="1" t="s">
        <v>171</v>
      </c>
      <c r="D48" s="1" t="s">
        <v>167</v>
      </c>
      <c r="E48" t="s">
        <v>18</v>
      </c>
      <c r="F48" s="2" t="s">
        <v>168</v>
      </c>
      <c r="G48" s="3">
        <v>2</v>
      </c>
      <c r="H48" s="3">
        <v>7</v>
      </c>
      <c r="I48" s="3">
        <v>7</v>
      </c>
      <c r="J48" s="3">
        <v>5</v>
      </c>
      <c r="K48" s="3">
        <v>5</v>
      </c>
      <c r="L48">
        <v>23</v>
      </c>
      <c r="M48">
        <v>31</v>
      </c>
      <c r="N48">
        <v>77</v>
      </c>
      <c r="O48">
        <v>69</v>
      </c>
      <c r="P48" s="3">
        <v>7</v>
      </c>
      <c r="Q48" s="3">
        <v>7</v>
      </c>
      <c r="R48" s="3">
        <v>7</v>
      </c>
      <c r="S48" s="3">
        <v>7</v>
      </c>
      <c r="T48" s="3">
        <v>7</v>
      </c>
      <c r="U48" s="3">
        <v>5</v>
      </c>
      <c r="V48" t="s">
        <v>20</v>
      </c>
      <c r="W48" s="3" t="s">
        <v>28</v>
      </c>
      <c r="X48" s="3" t="s">
        <v>28</v>
      </c>
      <c r="Y48">
        <v>33</v>
      </c>
      <c r="Z48">
        <v>16.5</v>
      </c>
      <c r="AA48">
        <v>40</v>
      </c>
      <c r="AB48">
        <v>6</v>
      </c>
      <c r="AC48">
        <v>20</v>
      </c>
      <c r="AD48">
        <v>70</v>
      </c>
      <c r="AE48">
        <v>6</v>
      </c>
      <c r="AF48">
        <v>30</v>
      </c>
      <c r="AG48" s="3">
        <v>7</v>
      </c>
      <c r="AH48" s="3">
        <v>42838</v>
      </c>
      <c r="AI48" t="s">
        <v>172</v>
      </c>
      <c r="AJ48" t="s">
        <v>22</v>
      </c>
      <c r="AK48" t="s">
        <v>22</v>
      </c>
      <c r="AL48">
        <v>4922</v>
      </c>
    </row>
    <row r="49" spans="1:38" x14ac:dyDescent="0.3">
      <c r="A49" s="3" t="str">
        <f>UPPER(TEXT(Tabela1[[#This Row],[Data]],"MMM"))</f>
        <v>AGO</v>
      </c>
      <c r="B49" t="s">
        <v>173</v>
      </c>
      <c r="C49" s="1" t="s">
        <v>174</v>
      </c>
      <c r="D49" s="1" t="s">
        <v>167</v>
      </c>
      <c r="E49" t="s">
        <v>18</v>
      </c>
      <c r="F49" s="2" t="s">
        <v>175</v>
      </c>
      <c r="G49" s="3">
        <v>2</v>
      </c>
      <c r="H49" s="3">
        <v>7</v>
      </c>
      <c r="I49" s="3">
        <v>10</v>
      </c>
      <c r="J49" s="3">
        <v>7</v>
      </c>
      <c r="K49" s="3">
        <v>7</v>
      </c>
      <c r="L49">
        <v>33</v>
      </c>
      <c r="M49">
        <v>29</v>
      </c>
      <c r="N49">
        <v>67</v>
      </c>
      <c r="O49">
        <v>71</v>
      </c>
      <c r="P49" s="3">
        <v>7</v>
      </c>
      <c r="Q49" s="3">
        <v>7</v>
      </c>
      <c r="R49" s="3">
        <v>7</v>
      </c>
      <c r="S49" s="3">
        <v>7</v>
      </c>
      <c r="T49" s="3">
        <v>7</v>
      </c>
      <c r="U49" s="3" t="s">
        <v>28</v>
      </c>
      <c r="V49" t="s">
        <v>20</v>
      </c>
      <c r="W49" s="3">
        <v>7</v>
      </c>
      <c r="X49" s="3">
        <v>7</v>
      </c>
      <c r="Y49">
        <v>87</v>
      </c>
      <c r="Z49">
        <v>43.5</v>
      </c>
      <c r="AA49">
        <v>48</v>
      </c>
      <c r="AB49">
        <v>2</v>
      </c>
      <c r="AC49">
        <v>24</v>
      </c>
      <c r="AD49">
        <v>90</v>
      </c>
      <c r="AE49">
        <v>6</v>
      </c>
      <c r="AF49">
        <v>30</v>
      </c>
      <c r="AG49" s="3">
        <v>7</v>
      </c>
      <c r="AH49" s="3">
        <v>42838</v>
      </c>
      <c r="AI49" t="s">
        <v>63</v>
      </c>
      <c r="AJ49" t="s">
        <v>22</v>
      </c>
      <c r="AK49" t="s">
        <v>22</v>
      </c>
      <c r="AL49">
        <v>2303</v>
      </c>
    </row>
    <row r="50" spans="1:38" x14ac:dyDescent="0.3">
      <c r="A50" s="3" t="str">
        <f>UPPER(TEXT(Tabela1[[#This Row],[Data]],"MMM"))</f>
        <v>AGO</v>
      </c>
      <c r="B50" t="s">
        <v>176</v>
      </c>
      <c r="C50" s="1" t="s">
        <v>177</v>
      </c>
      <c r="D50" s="1" t="s">
        <v>178</v>
      </c>
      <c r="E50" t="s">
        <v>18</v>
      </c>
      <c r="F50" s="2" t="s">
        <v>168</v>
      </c>
      <c r="G50" s="3">
        <v>2</v>
      </c>
      <c r="H50" s="3">
        <v>7</v>
      </c>
      <c r="I50" s="3">
        <v>10</v>
      </c>
      <c r="J50" s="3">
        <v>7</v>
      </c>
      <c r="K50" s="3">
        <v>5</v>
      </c>
      <c r="L50">
        <v>16</v>
      </c>
      <c r="M50">
        <v>26</v>
      </c>
      <c r="N50">
        <v>84</v>
      </c>
      <c r="O50">
        <v>74</v>
      </c>
      <c r="P50" s="3">
        <v>5</v>
      </c>
      <c r="Q50" s="3">
        <v>7</v>
      </c>
      <c r="R50" s="3">
        <v>7</v>
      </c>
      <c r="S50" s="3">
        <v>7</v>
      </c>
      <c r="T50" s="3">
        <v>7</v>
      </c>
      <c r="U50" s="3">
        <v>5</v>
      </c>
      <c r="V50" t="s">
        <v>20</v>
      </c>
      <c r="W50" s="3">
        <v>7</v>
      </c>
      <c r="X50" s="3">
        <v>7</v>
      </c>
      <c r="Y50">
        <v>58</v>
      </c>
      <c r="Z50">
        <v>28.999999999999996</v>
      </c>
      <c r="AA50">
        <v>33</v>
      </c>
      <c r="AB50">
        <v>5</v>
      </c>
      <c r="AC50">
        <v>16.5</v>
      </c>
      <c r="AD50">
        <v>75</v>
      </c>
      <c r="AE50">
        <v>9</v>
      </c>
      <c r="AF50">
        <v>45</v>
      </c>
      <c r="AG50" s="3">
        <v>7</v>
      </c>
      <c r="AH50" s="3">
        <v>42862</v>
      </c>
      <c r="AI50" t="s">
        <v>63</v>
      </c>
      <c r="AJ50" t="s">
        <v>22</v>
      </c>
      <c r="AK50" t="s">
        <v>22</v>
      </c>
      <c r="AL50">
        <v>4831</v>
      </c>
    </row>
    <row r="51" spans="1:38" x14ac:dyDescent="0.3">
      <c r="A51" s="3" t="str">
        <f>UPPER(TEXT(Tabela1[[#This Row],[Data]],"MMM"))</f>
        <v>AGO</v>
      </c>
      <c r="B51" t="s">
        <v>179</v>
      </c>
      <c r="C51" s="1" t="s">
        <v>180</v>
      </c>
      <c r="D51" s="1" t="s">
        <v>181</v>
      </c>
      <c r="E51" t="s">
        <v>18</v>
      </c>
      <c r="F51" s="2" t="s">
        <v>175</v>
      </c>
      <c r="G51" s="3">
        <v>2</v>
      </c>
      <c r="H51" s="3">
        <v>7</v>
      </c>
      <c r="I51" s="3">
        <v>7</v>
      </c>
      <c r="J51" s="3">
        <v>7</v>
      </c>
      <c r="K51" s="3">
        <v>5</v>
      </c>
      <c r="L51">
        <v>18</v>
      </c>
      <c r="M51">
        <v>29</v>
      </c>
      <c r="N51">
        <v>82</v>
      </c>
      <c r="O51">
        <v>71</v>
      </c>
      <c r="P51" s="3">
        <v>7</v>
      </c>
      <c r="Q51" s="3">
        <v>7</v>
      </c>
      <c r="R51" s="3">
        <v>7</v>
      </c>
      <c r="S51" s="3">
        <v>7</v>
      </c>
      <c r="T51" s="3">
        <v>7</v>
      </c>
      <c r="U51" s="3">
        <v>5</v>
      </c>
      <c r="V51" t="s">
        <v>20</v>
      </c>
      <c r="W51" s="3">
        <v>7</v>
      </c>
      <c r="X51" s="3">
        <v>7</v>
      </c>
      <c r="Y51">
        <v>41</v>
      </c>
      <c r="Z51">
        <v>20.5</v>
      </c>
      <c r="AA51">
        <v>39</v>
      </c>
      <c r="AB51">
        <v>4</v>
      </c>
      <c r="AC51">
        <v>19.5</v>
      </c>
      <c r="AD51">
        <v>80</v>
      </c>
      <c r="AE51">
        <v>8</v>
      </c>
      <c r="AF51">
        <v>40</v>
      </c>
      <c r="AG51" s="3">
        <v>5</v>
      </c>
      <c r="AH51" s="3">
        <v>42862</v>
      </c>
      <c r="AI51" t="s">
        <v>36</v>
      </c>
      <c r="AJ51" t="s">
        <v>22</v>
      </c>
      <c r="AK51" t="s">
        <v>22</v>
      </c>
      <c r="AL51">
        <v>5215</v>
      </c>
    </row>
    <row r="52" spans="1:38" x14ac:dyDescent="0.3">
      <c r="A52" s="3" t="str">
        <f>UPPER(TEXT(Tabela1[[#This Row],[Data]],"MMM"))</f>
        <v>AGO</v>
      </c>
      <c r="B52" t="s">
        <v>182</v>
      </c>
      <c r="C52" s="1" t="s">
        <v>183</v>
      </c>
      <c r="D52" s="1" t="s">
        <v>181</v>
      </c>
      <c r="E52" t="s">
        <v>18</v>
      </c>
      <c r="F52" s="2" t="s">
        <v>175</v>
      </c>
      <c r="G52" s="3">
        <v>2</v>
      </c>
      <c r="H52" s="3">
        <v>7</v>
      </c>
      <c r="I52" s="3">
        <v>7</v>
      </c>
      <c r="J52" s="3">
        <v>7</v>
      </c>
      <c r="K52" s="3">
        <v>5</v>
      </c>
      <c r="L52">
        <v>16</v>
      </c>
      <c r="M52">
        <v>37</v>
      </c>
      <c r="N52">
        <v>84</v>
      </c>
      <c r="O52">
        <v>63</v>
      </c>
      <c r="P52" s="3">
        <v>7</v>
      </c>
      <c r="Q52" s="3">
        <v>7</v>
      </c>
      <c r="R52" s="3">
        <v>7</v>
      </c>
      <c r="S52" s="3">
        <v>7</v>
      </c>
      <c r="T52" s="3">
        <v>7</v>
      </c>
      <c r="U52" s="3">
        <v>5</v>
      </c>
      <c r="V52" t="s">
        <v>20</v>
      </c>
      <c r="W52" s="3">
        <v>7</v>
      </c>
      <c r="X52" s="3">
        <v>7</v>
      </c>
      <c r="Y52">
        <v>40</v>
      </c>
      <c r="Z52">
        <v>20</v>
      </c>
      <c r="AA52">
        <v>37</v>
      </c>
      <c r="AB52">
        <v>4</v>
      </c>
      <c r="AC52">
        <v>18.5</v>
      </c>
      <c r="AD52">
        <v>80</v>
      </c>
      <c r="AE52">
        <v>9</v>
      </c>
      <c r="AF52">
        <v>45</v>
      </c>
      <c r="AG52" s="3">
        <v>5</v>
      </c>
      <c r="AH52" s="3">
        <v>42846</v>
      </c>
      <c r="AI52" t="s">
        <v>36</v>
      </c>
      <c r="AJ52" t="s">
        <v>22</v>
      </c>
      <c r="AK52" t="s">
        <v>22</v>
      </c>
      <c r="AL52">
        <v>3408</v>
      </c>
    </row>
    <row r="53" spans="1:38" x14ac:dyDescent="0.3">
      <c r="A53" s="3" t="str">
        <f>UPPER(TEXT(Tabela1[[#This Row],[Data]],"MMM"))</f>
        <v>AGO</v>
      </c>
      <c r="B53" t="s">
        <v>184</v>
      </c>
      <c r="C53" s="1" t="s">
        <v>185</v>
      </c>
      <c r="D53" s="1" t="s">
        <v>181</v>
      </c>
      <c r="E53" t="s">
        <v>18</v>
      </c>
      <c r="F53" s="2" t="s">
        <v>175</v>
      </c>
      <c r="G53" s="3">
        <v>2</v>
      </c>
      <c r="H53" s="3">
        <v>7</v>
      </c>
      <c r="I53" s="3">
        <v>7</v>
      </c>
      <c r="J53" s="3">
        <v>7</v>
      </c>
      <c r="K53" s="3">
        <v>5</v>
      </c>
      <c r="L53">
        <v>17</v>
      </c>
      <c r="M53">
        <v>26</v>
      </c>
      <c r="N53">
        <v>83</v>
      </c>
      <c r="O53">
        <v>74</v>
      </c>
      <c r="P53" s="3">
        <v>7</v>
      </c>
      <c r="Q53" s="3" t="s">
        <v>28</v>
      </c>
      <c r="R53" s="3">
        <v>7</v>
      </c>
      <c r="S53" s="3">
        <v>5</v>
      </c>
      <c r="T53" s="3">
        <v>7</v>
      </c>
      <c r="U53" s="3">
        <v>5</v>
      </c>
      <c r="V53" t="s">
        <v>20</v>
      </c>
      <c r="W53" s="3">
        <v>7</v>
      </c>
      <c r="X53" s="3">
        <v>7</v>
      </c>
      <c r="Y53">
        <v>46</v>
      </c>
      <c r="Z53">
        <v>23</v>
      </c>
      <c r="AA53">
        <v>36</v>
      </c>
      <c r="AB53">
        <v>5</v>
      </c>
      <c r="AC53">
        <v>18</v>
      </c>
      <c r="AD53">
        <v>75</v>
      </c>
      <c r="AE53">
        <v>8</v>
      </c>
      <c r="AF53">
        <v>40</v>
      </c>
      <c r="AG53" s="3">
        <v>7</v>
      </c>
      <c r="AH53" s="3">
        <v>42820</v>
      </c>
      <c r="AI53" t="s">
        <v>186</v>
      </c>
      <c r="AJ53" t="s">
        <v>22</v>
      </c>
      <c r="AK53" t="s">
        <v>22</v>
      </c>
      <c r="AL53">
        <v>2493</v>
      </c>
    </row>
    <row r="54" spans="1:38" x14ac:dyDescent="0.3">
      <c r="A54" s="3" t="str">
        <f>UPPER(TEXT(Tabela1[[#This Row],[Data]],"MMM"))</f>
        <v>AGO</v>
      </c>
      <c r="B54" t="s">
        <v>187</v>
      </c>
      <c r="C54" s="1" t="s">
        <v>188</v>
      </c>
      <c r="D54" s="1" t="s">
        <v>189</v>
      </c>
      <c r="E54" t="s">
        <v>18</v>
      </c>
      <c r="F54" s="2" t="s">
        <v>175</v>
      </c>
      <c r="G54" s="3">
        <v>2</v>
      </c>
      <c r="H54" s="3">
        <v>7</v>
      </c>
      <c r="I54" s="3">
        <v>10</v>
      </c>
      <c r="J54" s="3">
        <v>7</v>
      </c>
      <c r="K54" s="3">
        <v>5</v>
      </c>
      <c r="L54">
        <v>17</v>
      </c>
      <c r="M54">
        <v>32</v>
      </c>
      <c r="N54">
        <v>83</v>
      </c>
      <c r="O54">
        <v>68</v>
      </c>
      <c r="P54" s="3">
        <v>7</v>
      </c>
      <c r="Q54" s="3">
        <v>7</v>
      </c>
      <c r="R54" s="3">
        <v>7</v>
      </c>
      <c r="S54" s="3">
        <v>7</v>
      </c>
      <c r="T54" s="3">
        <v>7</v>
      </c>
      <c r="U54" s="3">
        <v>5</v>
      </c>
      <c r="V54" t="s">
        <v>20</v>
      </c>
      <c r="W54" s="3">
        <v>7</v>
      </c>
      <c r="X54" s="3">
        <v>7</v>
      </c>
      <c r="Y54">
        <v>43</v>
      </c>
      <c r="Z54">
        <v>21.5</v>
      </c>
      <c r="AA54">
        <v>32</v>
      </c>
      <c r="AB54">
        <v>5</v>
      </c>
      <c r="AC54">
        <v>16</v>
      </c>
      <c r="AD54">
        <v>75</v>
      </c>
      <c r="AE54">
        <v>4</v>
      </c>
      <c r="AF54">
        <v>20</v>
      </c>
      <c r="AG54" s="3">
        <v>7</v>
      </c>
      <c r="AH54" s="3">
        <v>42862</v>
      </c>
      <c r="AI54" t="s">
        <v>36</v>
      </c>
      <c r="AJ54" t="s">
        <v>22</v>
      </c>
      <c r="AK54" t="s">
        <v>22</v>
      </c>
      <c r="AL54">
        <v>3899</v>
      </c>
    </row>
    <row r="55" spans="1:38" x14ac:dyDescent="0.3">
      <c r="A55" s="3" t="str">
        <f>UPPER(TEXT(Tabela1[[#This Row],[Data]],"MMM"))</f>
        <v>AGO</v>
      </c>
      <c r="B55" t="s">
        <v>190</v>
      </c>
      <c r="C55" s="1" t="s">
        <v>191</v>
      </c>
      <c r="D55" s="1" t="s">
        <v>192</v>
      </c>
      <c r="E55" t="s">
        <v>18</v>
      </c>
      <c r="F55" s="2" t="s">
        <v>193</v>
      </c>
      <c r="G55" s="3">
        <v>2</v>
      </c>
      <c r="H55" s="3">
        <v>7</v>
      </c>
      <c r="I55" s="3">
        <v>7</v>
      </c>
      <c r="J55" s="3">
        <v>7</v>
      </c>
      <c r="K55" s="3">
        <v>5</v>
      </c>
      <c r="L55">
        <v>29</v>
      </c>
      <c r="M55">
        <v>34</v>
      </c>
      <c r="N55">
        <v>71</v>
      </c>
      <c r="O55">
        <v>66</v>
      </c>
      <c r="P55" s="3">
        <v>7</v>
      </c>
      <c r="Q55" s="3">
        <v>7</v>
      </c>
      <c r="R55" s="3">
        <v>7</v>
      </c>
      <c r="S55" s="3">
        <v>7</v>
      </c>
      <c r="T55" s="3">
        <v>7</v>
      </c>
      <c r="U55" s="3">
        <v>5</v>
      </c>
      <c r="V55" t="s">
        <v>20</v>
      </c>
      <c r="W55" s="3">
        <v>7</v>
      </c>
      <c r="X55" s="3">
        <v>7</v>
      </c>
      <c r="Y55">
        <v>41</v>
      </c>
      <c r="Z55">
        <v>20.5</v>
      </c>
      <c r="AA55">
        <v>49</v>
      </c>
      <c r="AB55">
        <v>7</v>
      </c>
      <c r="AC55">
        <v>24.5</v>
      </c>
      <c r="AD55">
        <v>65</v>
      </c>
      <c r="AE55">
        <v>6</v>
      </c>
      <c r="AF55">
        <v>30</v>
      </c>
      <c r="AG55" s="3">
        <v>7</v>
      </c>
      <c r="AH55" s="3">
        <v>42846</v>
      </c>
      <c r="AI55" t="s">
        <v>36</v>
      </c>
      <c r="AJ55" t="s">
        <v>22</v>
      </c>
      <c r="AK55" t="s">
        <v>22</v>
      </c>
      <c r="AL55">
        <v>3477</v>
      </c>
    </row>
    <row r="56" spans="1:38" x14ac:dyDescent="0.3">
      <c r="A56" s="3" t="str">
        <f>UPPER(TEXT(Tabela1[[#This Row],[Data]],"MMM"))</f>
        <v>AGO</v>
      </c>
      <c r="B56" t="s">
        <v>194</v>
      </c>
      <c r="C56" s="1" t="s">
        <v>195</v>
      </c>
      <c r="D56" s="1" t="s">
        <v>196</v>
      </c>
      <c r="E56" t="s">
        <v>18</v>
      </c>
      <c r="F56" s="2" t="s">
        <v>193</v>
      </c>
      <c r="G56" s="3">
        <v>2</v>
      </c>
      <c r="H56" s="3">
        <v>7</v>
      </c>
      <c r="I56" s="3">
        <v>7</v>
      </c>
      <c r="J56" s="3">
        <v>7</v>
      </c>
      <c r="K56" s="3">
        <v>5</v>
      </c>
      <c r="L56">
        <v>16</v>
      </c>
      <c r="M56">
        <v>29</v>
      </c>
      <c r="N56">
        <v>84</v>
      </c>
      <c r="O56">
        <v>71</v>
      </c>
      <c r="P56" s="3">
        <v>7</v>
      </c>
      <c r="Q56" s="3">
        <v>7</v>
      </c>
      <c r="R56" s="3">
        <v>7</v>
      </c>
      <c r="S56" s="3">
        <v>7</v>
      </c>
      <c r="T56" s="3">
        <v>7</v>
      </c>
      <c r="U56" s="3">
        <v>5</v>
      </c>
      <c r="V56" t="s">
        <v>20</v>
      </c>
      <c r="W56" s="3">
        <v>7</v>
      </c>
      <c r="X56" s="3">
        <v>7</v>
      </c>
      <c r="Y56">
        <v>42</v>
      </c>
      <c r="Z56">
        <v>21</v>
      </c>
      <c r="AA56">
        <v>49</v>
      </c>
      <c r="AB56">
        <v>7</v>
      </c>
      <c r="AC56">
        <v>24.5</v>
      </c>
      <c r="AD56">
        <v>65</v>
      </c>
      <c r="AE56">
        <v>6</v>
      </c>
      <c r="AF56">
        <v>30</v>
      </c>
      <c r="AG56" s="3">
        <v>7</v>
      </c>
      <c r="AH56" s="3">
        <v>42854</v>
      </c>
      <c r="AI56" t="s">
        <v>36</v>
      </c>
      <c r="AJ56" t="s">
        <v>22</v>
      </c>
      <c r="AK56" t="s">
        <v>22</v>
      </c>
      <c r="AL56">
        <v>5198</v>
      </c>
    </row>
    <row r="57" spans="1:38" x14ac:dyDescent="0.3">
      <c r="A57" s="3" t="str">
        <f>UPPER(TEXT(Tabela1[[#This Row],[Data]],"MMM"))</f>
        <v>AGO</v>
      </c>
      <c r="B57" t="s">
        <v>197</v>
      </c>
      <c r="C57" s="1" t="s">
        <v>198</v>
      </c>
      <c r="D57" s="1" t="s">
        <v>196</v>
      </c>
      <c r="E57" t="s">
        <v>18</v>
      </c>
      <c r="F57" s="2" t="s">
        <v>193</v>
      </c>
      <c r="G57" s="3">
        <v>2</v>
      </c>
      <c r="H57" s="3">
        <v>5</v>
      </c>
      <c r="I57" s="3">
        <v>7</v>
      </c>
      <c r="J57" s="3">
        <v>7</v>
      </c>
      <c r="K57" s="3">
        <v>5</v>
      </c>
      <c r="L57">
        <v>29</v>
      </c>
      <c r="M57">
        <v>33</v>
      </c>
      <c r="N57">
        <v>71</v>
      </c>
      <c r="O57">
        <v>67</v>
      </c>
      <c r="P57" s="3">
        <v>7</v>
      </c>
      <c r="Q57" s="3">
        <v>7</v>
      </c>
      <c r="R57" s="3">
        <v>7</v>
      </c>
      <c r="S57" s="3">
        <v>7</v>
      </c>
      <c r="T57" s="3">
        <v>7</v>
      </c>
      <c r="U57" s="3">
        <v>5</v>
      </c>
      <c r="V57" t="s">
        <v>99</v>
      </c>
      <c r="W57" s="3" t="s">
        <v>28</v>
      </c>
      <c r="X57" s="3" t="s">
        <v>28</v>
      </c>
      <c r="Y57">
        <v>37</v>
      </c>
      <c r="Z57">
        <v>18.5</v>
      </c>
      <c r="AA57">
        <v>41</v>
      </c>
      <c r="AB57">
        <v>5</v>
      </c>
      <c r="AC57">
        <v>20.5</v>
      </c>
      <c r="AD57">
        <v>75</v>
      </c>
      <c r="AE57">
        <v>5</v>
      </c>
      <c r="AF57">
        <v>25</v>
      </c>
      <c r="AG57" s="3">
        <v>7</v>
      </c>
      <c r="AH57" s="3">
        <v>42862</v>
      </c>
      <c r="AI57" t="s">
        <v>36</v>
      </c>
      <c r="AJ57" t="s">
        <v>22</v>
      </c>
      <c r="AK57" t="s">
        <v>22</v>
      </c>
      <c r="AL57">
        <v>1509</v>
      </c>
    </row>
    <row r="58" spans="1:38" x14ac:dyDescent="0.3">
      <c r="A58" s="3" t="str">
        <f>UPPER(TEXT(Tabela1[[#This Row],[Data]],"MMM"))</f>
        <v>AGO</v>
      </c>
      <c r="B58" t="s">
        <v>199</v>
      </c>
      <c r="C58" s="1" t="s">
        <v>200</v>
      </c>
      <c r="D58" s="1" t="s">
        <v>196</v>
      </c>
      <c r="E58" t="s">
        <v>18</v>
      </c>
      <c r="F58" s="2" t="s">
        <v>193</v>
      </c>
      <c r="G58" s="3">
        <v>2</v>
      </c>
      <c r="H58" s="3">
        <v>7</v>
      </c>
      <c r="I58" s="3">
        <v>10</v>
      </c>
      <c r="J58" s="3">
        <v>7</v>
      </c>
      <c r="K58" s="3">
        <v>5</v>
      </c>
      <c r="L58">
        <v>23</v>
      </c>
      <c r="M58">
        <v>35</v>
      </c>
      <c r="N58">
        <v>77</v>
      </c>
      <c r="O58">
        <v>65</v>
      </c>
      <c r="P58" s="3">
        <v>7</v>
      </c>
      <c r="Q58" s="3">
        <v>7</v>
      </c>
      <c r="R58" s="3">
        <v>7</v>
      </c>
      <c r="S58" s="3">
        <v>7</v>
      </c>
      <c r="T58" s="3">
        <v>7</v>
      </c>
      <c r="U58" s="3">
        <v>5</v>
      </c>
      <c r="V58" t="s">
        <v>20</v>
      </c>
      <c r="W58" s="3">
        <v>7</v>
      </c>
      <c r="X58" s="3">
        <v>7</v>
      </c>
      <c r="Y58">
        <v>33</v>
      </c>
      <c r="Z58">
        <v>16.5</v>
      </c>
      <c r="AA58">
        <v>33</v>
      </c>
      <c r="AB58">
        <v>6</v>
      </c>
      <c r="AC58">
        <v>16.5</v>
      </c>
      <c r="AD58">
        <v>70</v>
      </c>
      <c r="AE58">
        <v>6</v>
      </c>
      <c r="AF58">
        <v>30</v>
      </c>
      <c r="AG58" s="3">
        <v>7</v>
      </c>
      <c r="AH58" s="3">
        <v>42862</v>
      </c>
      <c r="AI58" t="s">
        <v>36</v>
      </c>
      <c r="AJ58" t="s">
        <v>22</v>
      </c>
      <c r="AK58" t="s">
        <v>22</v>
      </c>
      <c r="AL58">
        <v>6366</v>
      </c>
    </row>
    <row r="59" spans="1:38" x14ac:dyDescent="0.3">
      <c r="A59" s="3" t="str">
        <f>UPPER(TEXT(Tabela1[[#This Row],[Data]],"MMM"))</f>
        <v>AGO</v>
      </c>
      <c r="B59" t="s">
        <v>201</v>
      </c>
      <c r="C59" s="1" t="s">
        <v>202</v>
      </c>
      <c r="D59" s="1" t="s">
        <v>203</v>
      </c>
      <c r="E59" t="s">
        <v>18</v>
      </c>
      <c r="F59" s="2" t="s">
        <v>204</v>
      </c>
      <c r="G59" s="3">
        <v>2</v>
      </c>
      <c r="H59" s="3">
        <v>7</v>
      </c>
      <c r="I59" s="3">
        <v>7</v>
      </c>
      <c r="J59" s="3">
        <v>7</v>
      </c>
      <c r="K59" s="3">
        <v>5</v>
      </c>
      <c r="L59">
        <v>19</v>
      </c>
      <c r="M59">
        <v>31</v>
      </c>
      <c r="N59">
        <v>81</v>
      </c>
      <c r="O59">
        <v>69</v>
      </c>
      <c r="P59" s="3">
        <v>7</v>
      </c>
      <c r="Q59" s="3">
        <v>7</v>
      </c>
      <c r="R59" s="3">
        <v>7</v>
      </c>
      <c r="S59" s="3">
        <v>7</v>
      </c>
      <c r="T59" s="3">
        <v>7</v>
      </c>
      <c r="U59" s="3">
        <v>5</v>
      </c>
      <c r="V59" t="s">
        <v>20</v>
      </c>
      <c r="W59" s="3">
        <v>10</v>
      </c>
      <c r="X59" s="3">
        <v>10</v>
      </c>
      <c r="Y59">
        <v>40</v>
      </c>
      <c r="Z59">
        <v>20</v>
      </c>
      <c r="AA59">
        <v>47</v>
      </c>
      <c r="AB59">
        <v>5</v>
      </c>
      <c r="AC59">
        <v>23.5</v>
      </c>
      <c r="AD59">
        <v>75</v>
      </c>
      <c r="AE59">
        <v>6</v>
      </c>
      <c r="AF59">
        <v>30</v>
      </c>
      <c r="AG59" s="3">
        <v>5</v>
      </c>
      <c r="AH59" s="3">
        <v>42838</v>
      </c>
      <c r="AI59" t="s">
        <v>205</v>
      </c>
      <c r="AJ59" t="s">
        <v>22</v>
      </c>
      <c r="AK59" t="s">
        <v>22</v>
      </c>
      <c r="AL59">
        <v>1520</v>
      </c>
    </row>
    <row r="60" spans="1:38" x14ac:dyDescent="0.3">
      <c r="A60" s="3" t="str">
        <f>UPPER(TEXT(Tabela1[[#This Row],[Data]],"MMM"))</f>
        <v>AGO</v>
      </c>
      <c r="B60" t="s">
        <v>206</v>
      </c>
      <c r="C60" s="1" t="s">
        <v>207</v>
      </c>
      <c r="D60" s="1" t="s">
        <v>203</v>
      </c>
      <c r="E60" t="s">
        <v>18</v>
      </c>
      <c r="F60" s="2" t="s">
        <v>204</v>
      </c>
      <c r="G60" s="3">
        <v>2</v>
      </c>
      <c r="H60" s="3">
        <v>7</v>
      </c>
      <c r="I60" s="3">
        <v>10</v>
      </c>
      <c r="J60" s="3">
        <v>7</v>
      </c>
      <c r="K60" s="3">
        <v>5</v>
      </c>
      <c r="L60">
        <v>17</v>
      </c>
      <c r="M60">
        <v>36</v>
      </c>
      <c r="N60">
        <v>83</v>
      </c>
      <c r="O60">
        <v>64</v>
      </c>
      <c r="P60" s="3">
        <v>7</v>
      </c>
      <c r="Q60" s="3">
        <v>5</v>
      </c>
      <c r="R60" s="3">
        <v>7</v>
      </c>
      <c r="S60" s="3">
        <v>5</v>
      </c>
      <c r="T60" s="3">
        <v>7</v>
      </c>
      <c r="U60" s="3" t="s">
        <v>28</v>
      </c>
      <c r="V60" t="s">
        <v>20</v>
      </c>
      <c r="W60" s="3">
        <v>10</v>
      </c>
      <c r="X60" s="3">
        <v>10</v>
      </c>
      <c r="Y60">
        <v>46</v>
      </c>
      <c r="Z60">
        <v>23</v>
      </c>
      <c r="AA60">
        <v>32</v>
      </c>
      <c r="AB60">
        <v>5</v>
      </c>
      <c r="AC60">
        <v>16</v>
      </c>
      <c r="AD60">
        <v>75</v>
      </c>
      <c r="AE60">
        <v>6</v>
      </c>
      <c r="AF60">
        <v>30</v>
      </c>
      <c r="AG60" s="3">
        <v>7</v>
      </c>
      <c r="AH60" s="3">
        <v>42862</v>
      </c>
      <c r="AI60" t="s">
        <v>36</v>
      </c>
      <c r="AJ60" t="s">
        <v>22</v>
      </c>
      <c r="AK60" t="s">
        <v>22</v>
      </c>
      <c r="AL60">
        <v>5935</v>
      </c>
    </row>
    <row r="61" spans="1:38" x14ac:dyDescent="0.3">
      <c r="A61" s="3" t="str">
        <f>UPPER(TEXT(Tabela1[[#This Row],[Data]],"MMM"))</f>
        <v>AGO</v>
      </c>
      <c r="B61" t="s">
        <v>208</v>
      </c>
      <c r="C61" s="1" t="s">
        <v>209</v>
      </c>
      <c r="D61" s="1" t="s">
        <v>203</v>
      </c>
      <c r="E61" t="s">
        <v>18</v>
      </c>
      <c r="F61" s="2" t="s">
        <v>204</v>
      </c>
      <c r="G61" s="3">
        <v>2</v>
      </c>
      <c r="H61" s="3">
        <v>7</v>
      </c>
      <c r="I61" s="3">
        <v>7</v>
      </c>
      <c r="J61" s="3">
        <v>7</v>
      </c>
      <c r="K61" s="3">
        <v>5</v>
      </c>
      <c r="L61">
        <v>23</v>
      </c>
      <c r="M61">
        <v>33</v>
      </c>
      <c r="N61">
        <v>77</v>
      </c>
      <c r="O61">
        <v>67</v>
      </c>
      <c r="P61" s="3">
        <v>7</v>
      </c>
      <c r="Q61" s="3">
        <v>7</v>
      </c>
      <c r="R61" s="3">
        <v>7</v>
      </c>
      <c r="S61" s="3">
        <v>7</v>
      </c>
      <c r="T61" s="3">
        <v>7</v>
      </c>
      <c r="U61" s="3">
        <v>5</v>
      </c>
      <c r="V61" t="s">
        <v>20</v>
      </c>
      <c r="W61" s="3">
        <v>7</v>
      </c>
      <c r="X61" s="3">
        <v>7</v>
      </c>
      <c r="Y61">
        <v>40</v>
      </c>
      <c r="Z61">
        <v>20</v>
      </c>
      <c r="AA61">
        <v>43</v>
      </c>
      <c r="AB61">
        <v>5</v>
      </c>
      <c r="AC61">
        <v>21.5</v>
      </c>
      <c r="AD61">
        <v>75</v>
      </c>
      <c r="AE61">
        <v>5</v>
      </c>
      <c r="AF61">
        <v>25</v>
      </c>
      <c r="AG61" t="s">
        <v>28</v>
      </c>
      <c r="AH61" t="s">
        <v>28</v>
      </c>
      <c r="AI61" t="s">
        <v>28</v>
      </c>
      <c r="AJ61" t="s">
        <v>22</v>
      </c>
      <c r="AK61" t="s">
        <v>22</v>
      </c>
      <c r="AL61">
        <v>1360</v>
      </c>
    </row>
    <row r="62" spans="1:38" x14ac:dyDescent="0.3">
      <c r="A62" s="3" t="str">
        <f>UPPER(TEXT(Tabela1[[#This Row],[Data]],"MMM"))</f>
        <v>AGO</v>
      </c>
      <c r="B62" t="s">
        <v>210</v>
      </c>
      <c r="C62" s="1" t="s">
        <v>211</v>
      </c>
      <c r="D62" s="1" t="s">
        <v>212</v>
      </c>
      <c r="E62" t="s">
        <v>18</v>
      </c>
      <c r="F62" s="2" t="s">
        <v>204</v>
      </c>
      <c r="G62" s="3">
        <v>2</v>
      </c>
      <c r="H62" s="3">
        <v>7</v>
      </c>
      <c r="I62" s="3">
        <v>7</v>
      </c>
      <c r="J62" s="3">
        <v>7</v>
      </c>
      <c r="K62" s="3">
        <v>5</v>
      </c>
      <c r="L62">
        <v>16</v>
      </c>
      <c r="M62">
        <v>30</v>
      </c>
      <c r="N62">
        <v>84</v>
      </c>
      <c r="O62">
        <v>70</v>
      </c>
      <c r="P62" s="3">
        <v>7</v>
      </c>
      <c r="Q62" s="3">
        <v>7</v>
      </c>
      <c r="R62" s="3">
        <v>7</v>
      </c>
      <c r="S62" s="3">
        <v>7</v>
      </c>
      <c r="T62" s="3">
        <v>7</v>
      </c>
      <c r="U62" s="3">
        <v>5</v>
      </c>
      <c r="V62" t="s">
        <v>20</v>
      </c>
      <c r="W62" s="3">
        <v>7</v>
      </c>
      <c r="X62" s="3">
        <v>7</v>
      </c>
      <c r="Y62">
        <v>35</v>
      </c>
      <c r="Z62">
        <v>17.5</v>
      </c>
      <c r="AA62">
        <v>48</v>
      </c>
      <c r="AB62">
        <v>3</v>
      </c>
      <c r="AC62">
        <v>24</v>
      </c>
      <c r="AD62">
        <v>85</v>
      </c>
      <c r="AE62">
        <v>6</v>
      </c>
      <c r="AF62">
        <v>30</v>
      </c>
      <c r="AG62" s="3">
        <v>10</v>
      </c>
      <c r="AH62" s="3">
        <v>13188</v>
      </c>
      <c r="AI62" t="s">
        <v>63</v>
      </c>
      <c r="AJ62" t="s">
        <v>22</v>
      </c>
      <c r="AK62" t="s">
        <v>22</v>
      </c>
      <c r="AL62">
        <v>5628</v>
      </c>
    </row>
    <row r="63" spans="1:38" x14ac:dyDescent="0.3">
      <c r="A63" s="3" t="str">
        <f>UPPER(TEXT(Tabela1[[#This Row],[Data]],"MMM"))</f>
        <v>AGO</v>
      </c>
      <c r="B63" t="s">
        <v>213</v>
      </c>
      <c r="C63" s="1" t="s">
        <v>214</v>
      </c>
      <c r="D63" s="1" t="s">
        <v>215</v>
      </c>
      <c r="E63" t="s">
        <v>18</v>
      </c>
      <c r="F63" s="2" t="s">
        <v>216</v>
      </c>
      <c r="G63" s="3" t="s">
        <v>28</v>
      </c>
      <c r="H63" s="3">
        <v>7</v>
      </c>
      <c r="I63" s="3">
        <v>7</v>
      </c>
      <c r="J63" s="3">
        <v>7</v>
      </c>
      <c r="K63" s="3">
        <v>5</v>
      </c>
      <c r="L63">
        <v>23</v>
      </c>
      <c r="M63">
        <v>29</v>
      </c>
      <c r="N63">
        <v>77</v>
      </c>
      <c r="O63">
        <v>71</v>
      </c>
      <c r="P63" s="3">
        <v>7</v>
      </c>
      <c r="Q63" s="3">
        <v>7</v>
      </c>
      <c r="R63" s="3">
        <v>7</v>
      </c>
      <c r="S63" s="3">
        <v>7</v>
      </c>
      <c r="T63" s="3">
        <v>7</v>
      </c>
      <c r="U63" s="3">
        <v>7</v>
      </c>
      <c r="V63" t="s">
        <v>99</v>
      </c>
      <c r="W63" s="3">
        <v>7</v>
      </c>
      <c r="X63" s="3">
        <v>7</v>
      </c>
      <c r="Y63">
        <v>55</v>
      </c>
      <c r="Z63">
        <v>27.500000000000004</v>
      </c>
      <c r="AA63">
        <v>42</v>
      </c>
      <c r="AB63">
        <v>5</v>
      </c>
      <c r="AC63">
        <v>21</v>
      </c>
      <c r="AD63">
        <v>75</v>
      </c>
      <c r="AE63">
        <v>5</v>
      </c>
      <c r="AF63">
        <v>25</v>
      </c>
      <c r="AG63" s="3">
        <v>10</v>
      </c>
      <c r="AH63" s="3">
        <v>42838</v>
      </c>
      <c r="AI63" t="s">
        <v>63</v>
      </c>
      <c r="AJ63" t="s">
        <v>22</v>
      </c>
      <c r="AK63" t="s">
        <v>22</v>
      </c>
      <c r="AL63">
        <v>5091</v>
      </c>
    </row>
    <row r="64" spans="1:38" x14ac:dyDescent="0.3">
      <c r="A64" s="3" t="str">
        <f>UPPER(TEXT(Tabela1[[#This Row],[Data]],"MMM"))</f>
        <v>AGO</v>
      </c>
      <c r="B64" t="s">
        <v>217</v>
      </c>
      <c r="C64" s="1" t="s">
        <v>218</v>
      </c>
      <c r="D64" s="1" t="s">
        <v>215</v>
      </c>
      <c r="E64" t="s">
        <v>18</v>
      </c>
      <c r="F64" s="2" t="s">
        <v>216</v>
      </c>
      <c r="G64" s="3">
        <v>2</v>
      </c>
      <c r="H64" s="3">
        <v>7</v>
      </c>
      <c r="I64" s="3">
        <v>7</v>
      </c>
      <c r="J64" s="3">
        <v>7</v>
      </c>
      <c r="K64" s="3">
        <v>5</v>
      </c>
      <c r="L64">
        <v>23</v>
      </c>
      <c r="M64">
        <v>27</v>
      </c>
      <c r="N64">
        <v>77</v>
      </c>
      <c r="O64">
        <v>73</v>
      </c>
      <c r="P64" s="3">
        <v>7</v>
      </c>
      <c r="Q64" s="3">
        <v>7</v>
      </c>
      <c r="R64" s="3">
        <v>7</v>
      </c>
      <c r="S64" s="3">
        <v>7</v>
      </c>
      <c r="T64" s="3">
        <v>7</v>
      </c>
      <c r="U64" s="3">
        <v>7</v>
      </c>
      <c r="V64" t="s">
        <v>20</v>
      </c>
      <c r="W64" s="3">
        <v>5</v>
      </c>
      <c r="X64" s="3">
        <v>5</v>
      </c>
      <c r="Y64">
        <v>61</v>
      </c>
      <c r="Z64">
        <v>30.5</v>
      </c>
      <c r="AA64">
        <v>37</v>
      </c>
      <c r="AB64">
        <v>5</v>
      </c>
      <c r="AC64">
        <v>18.5</v>
      </c>
      <c r="AD64">
        <v>75</v>
      </c>
      <c r="AE64">
        <v>4</v>
      </c>
      <c r="AF64">
        <v>20</v>
      </c>
      <c r="AG64" s="3">
        <v>10</v>
      </c>
      <c r="AH64" s="3">
        <v>42862</v>
      </c>
      <c r="AI64" t="s">
        <v>63</v>
      </c>
      <c r="AJ64" t="s">
        <v>22</v>
      </c>
      <c r="AK64" t="s">
        <v>22</v>
      </c>
      <c r="AL64">
        <v>3029</v>
      </c>
    </row>
    <row r="65" spans="1:38" x14ac:dyDescent="0.3">
      <c r="A65" s="3" t="str">
        <f>UPPER(TEXT(Tabela1[[#This Row],[Data]],"MMM"))</f>
        <v>AGO</v>
      </c>
      <c r="B65" t="s">
        <v>219</v>
      </c>
      <c r="C65" s="1" t="s">
        <v>220</v>
      </c>
      <c r="D65" s="1" t="s">
        <v>221</v>
      </c>
      <c r="E65" t="s">
        <v>18</v>
      </c>
      <c r="F65" s="2" t="s">
        <v>216</v>
      </c>
      <c r="G65" s="3">
        <v>2</v>
      </c>
      <c r="H65" s="3">
        <v>7</v>
      </c>
      <c r="I65" s="3">
        <v>7</v>
      </c>
      <c r="J65" s="3">
        <v>7</v>
      </c>
      <c r="K65" s="3">
        <v>5</v>
      </c>
      <c r="L65">
        <v>20</v>
      </c>
      <c r="M65">
        <v>28</v>
      </c>
      <c r="N65">
        <v>80</v>
      </c>
      <c r="O65">
        <v>72</v>
      </c>
      <c r="P65" s="3">
        <v>5</v>
      </c>
      <c r="Q65" s="3">
        <v>10</v>
      </c>
      <c r="R65" s="3">
        <v>7</v>
      </c>
      <c r="S65" s="3">
        <v>10</v>
      </c>
      <c r="T65" s="3">
        <v>7</v>
      </c>
      <c r="U65" s="3">
        <v>7</v>
      </c>
      <c r="V65" t="s">
        <v>169</v>
      </c>
      <c r="W65" s="3" t="s">
        <v>28</v>
      </c>
      <c r="X65" s="3" t="s">
        <v>28</v>
      </c>
      <c r="Y65">
        <v>44</v>
      </c>
      <c r="Z65">
        <v>22</v>
      </c>
      <c r="AA65">
        <v>35</v>
      </c>
      <c r="AB65">
        <v>4</v>
      </c>
      <c r="AC65">
        <v>17.5</v>
      </c>
      <c r="AD65">
        <v>80</v>
      </c>
      <c r="AE65">
        <v>9</v>
      </c>
      <c r="AF65">
        <v>45</v>
      </c>
      <c r="AG65" s="3">
        <v>10</v>
      </c>
      <c r="AH65" s="3">
        <v>242838</v>
      </c>
      <c r="AI65" t="s">
        <v>63</v>
      </c>
      <c r="AJ65" t="s">
        <v>22</v>
      </c>
      <c r="AK65" t="s">
        <v>22</v>
      </c>
      <c r="AL65">
        <v>6515</v>
      </c>
    </row>
    <row r="66" spans="1:38" x14ac:dyDescent="0.3">
      <c r="A66" s="3" t="str">
        <f>UPPER(TEXT(Tabela1[[#This Row],[Data]],"MMM"))</f>
        <v>AGO</v>
      </c>
      <c r="B66" t="s">
        <v>222</v>
      </c>
      <c r="C66" s="1" t="s">
        <v>223</v>
      </c>
      <c r="D66" s="1" t="s">
        <v>224</v>
      </c>
      <c r="E66" t="s">
        <v>18</v>
      </c>
      <c r="F66" s="2" t="s">
        <v>225</v>
      </c>
      <c r="G66" s="3">
        <v>2</v>
      </c>
      <c r="H66" s="3">
        <v>7</v>
      </c>
      <c r="I66" s="3">
        <v>7</v>
      </c>
      <c r="J66" s="3">
        <v>7</v>
      </c>
      <c r="K66" s="3">
        <v>5</v>
      </c>
      <c r="L66">
        <v>38</v>
      </c>
      <c r="M66">
        <v>40</v>
      </c>
      <c r="N66">
        <v>62</v>
      </c>
      <c r="O66">
        <v>60</v>
      </c>
      <c r="P66" s="3">
        <v>5</v>
      </c>
      <c r="Q66" s="3">
        <v>7</v>
      </c>
      <c r="R66" s="3">
        <v>7</v>
      </c>
      <c r="S66" s="3">
        <v>7</v>
      </c>
      <c r="T66" s="3">
        <v>7</v>
      </c>
      <c r="U66" s="3">
        <v>5</v>
      </c>
      <c r="V66" t="s">
        <v>169</v>
      </c>
      <c r="W66" s="3">
        <v>10</v>
      </c>
      <c r="X66" s="3">
        <v>10</v>
      </c>
      <c r="Y66">
        <v>42</v>
      </c>
      <c r="Z66">
        <v>21</v>
      </c>
      <c r="AA66">
        <v>41</v>
      </c>
      <c r="AB66">
        <v>6</v>
      </c>
      <c r="AC66">
        <v>20.5</v>
      </c>
      <c r="AD66">
        <v>70</v>
      </c>
      <c r="AE66">
        <v>4</v>
      </c>
      <c r="AF66">
        <v>20</v>
      </c>
      <c r="AG66" s="3">
        <v>5</v>
      </c>
      <c r="AH66" s="3">
        <v>42862</v>
      </c>
      <c r="AI66" t="s">
        <v>36</v>
      </c>
      <c r="AJ66" t="s">
        <v>22</v>
      </c>
      <c r="AK66" t="s">
        <v>22</v>
      </c>
      <c r="AL66">
        <v>4307</v>
      </c>
    </row>
    <row r="67" spans="1:38" x14ac:dyDescent="0.3">
      <c r="A67" s="3" t="str">
        <f>UPPER(TEXT(Tabela1[[#This Row],[Data]],"MMM"))</f>
        <v>AGO</v>
      </c>
      <c r="B67" t="s">
        <v>226</v>
      </c>
      <c r="C67" s="1" t="s">
        <v>227</v>
      </c>
      <c r="D67" s="1" t="s">
        <v>224</v>
      </c>
      <c r="E67" t="s">
        <v>18</v>
      </c>
      <c r="F67" s="2" t="s">
        <v>225</v>
      </c>
      <c r="G67" s="3">
        <v>2</v>
      </c>
      <c r="H67" s="3">
        <v>5</v>
      </c>
      <c r="I67" s="3">
        <v>7</v>
      </c>
      <c r="J67" s="3">
        <v>7</v>
      </c>
      <c r="K67" s="3">
        <v>5</v>
      </c>
      <c r="L67">
        <v>28</v>
      </c>
      <c r="M67">
        <v>33</v>
      </c>
      <c r="N67">
        <v>72</v>
      </c>
      <c r="O67">
        <v>67</v>
      </c>
      <c r="P67" s="3">
        <v>5</v>
      </c>
      <c r="Q67" s="3">
        <v>7</v>
      </c>
      <c r="R67" s="3">
        <v>7</v>
      </c>
      <c r="S67" s="3">
        <v>7</v>
      </c>
      <c r="T67" s="3">
        <v>7</v>
      </c>
      <c r="U67" s="3">
        <v>5</v>
      </c>
      <c r="V67" t="s">
        <v>20</v>
      </c>
      <c r="W67" s="3">
        <v>10</v>
      </c>
      <c r="X67" s="3">
        <v>10</v>
      </c>
      <c r="Y67">
        <v>41</v>
      </c>
      <c r="Z67">
        <v>20.5</v>
      </c>
      <c r="AA67">
        <v>35</v>
      </c>
      <c r="AB67">
        <v>8</v>
      </c>
      <c r="AC67">
        <v>17.5</v>
      </c>
      <c r="AD67">
        <v>60</v>
      </c>
      <c r="AE67">
        <v>4</v>
      </c>
      <c r="AF67">
        <v>20</v>
      </c>
      <c r="AG67" s="3">
        <v>7</v>
      </c>
      <c r="AH67" s="3">
        <v>42862</v>
      </c>
      <c r="AI67" t="s">
        <v>36</v>
      </c>
      <c r="AJ67" t="s">
        <v>22</v>
      </c>
      <c r="AK67" t="s">
        <v>22</v>
      </c>
      <c r="AL67">
        <v>5885</v>
      </c>
    </row>
    <row r="68" spans="1:38" x14ac:dyDescent="0.3">
      <c r="A68" s="3" t="str">
        <f>UPPER(TEXT(Tabela1[[#This Row],[Data]],"MMM"))</f>
        <v>AGO</v>
      </c>
      <c r="B68" t="s">
        <v>228</v>
      </c>
      <c r="C68" s="1" t="s">
        <v>229</v>
      </c>
      <c r="D68" s="1" t="s">
        <v>230</v>
      </c>
      <c r="E68" t="s">
        <v>18</v>
      </c>
      <c r="F68" s="2" t="s">
        <v>225</v>
      </c>
      <c r="G68" s="3">
        <v>2</v>
      </c>
      <c r="H68" s="3">
        <v>7</v>
      </c>
      <c r="I68" s="3">
        <v>7</v>
      </c>
      <c r="J68" s="3">
        <v>7</v>
      </c>
      <c r="K68" s="3">
        <v>5</v>
      </c>
      <c r="L68">
        <v>25</v>
      </c>
      <c r="M68">
        <v>32</v>
      </c>
      <c r="N68">
        <v>75</v>
      </c>
      <c r="O68">
        <v>68</v>
      </c>
      <c r="P68" s="3">
        <v>5</v>
      </c>
      <c r="Q68" s="3">
        <v>5</v>
      </c>
      <c r="R68" s="3">
        <v>7</v>
      </c>
      <c r="S68" s="3">
        <v>7</v>
      </c>
      <c r="T68" s="3">
        <v>7</v>
      </c>
      <c r="U68" s="3" t="s">
        <v>28</v>
      </c>
      <c r="V68" t="s">
        <v>20</v>
      </c>
      <c r="W68" s="3">
        <v>7</v>
      </c>
      <c r="X68" s="3">
        <v>7</v>
      </c>
      <c r="Y68">
        <v>39</v>
      </c>
      <c r="Z68">
        <v>19.5</v>
      </c>
      <c r="AA68">
        <v>30</v>
      </c>
      <c r="AB68">
        <v>6</v>
      </c>
      <c r="AC68">
        <v>15</v>
      </c>
      <c r="AD68">
        <v>70</v>
      </c>
      <c r="AE68">
        <v>4</v>
      </c>
      <c r="AF68">
        <v>20</v>
      </c>
      <c r="AG68" s="3">
        <v>7</v>
      </c>
      <c r="AH68" s="3">
        <v>42854</v>
      </c>
      <c r="AI68" t="s">
        <v>36</v>
      </c>
      <c r="AJ68" t="s">
        <v>22</v>
      </c>
      <c r="AK68" t="s">
        <v>22</v>
      </c>
      <c r="AL68">
        <v>14571</v>
      </c>
    </row>
    <row r="69" spans="1:38" x14ac:dyDescent="0.3">
      <c r="A69" s="3" t="str">
        <f>UPPER(TEXT(Tabela1[[#This Row],[Data]],"MMM"))</f>
        <v>AGO</v>
      </c>
      <c r="B69" t="s">
        <v>231</v>
      </c>
      <c r="C69" s="1" t="s">
        <v>232</v>
      </c>
      <c r="D69" s="1" t="s">
        <v>233</v>
      </c>
      <c r="E69" t="s">
        <v>18</v>
      </c>
      <c r="F69" s="2" t="s">
        <v>234</v>
      </c>
      <c r="G69" s="3">
        <v>2</v>
      </c>
      <c r="H69" s="3">
        <v>7</v>
      </c>
      <c r="I69" s="3">
        <v>10</v>
      </c>
      <c r="J69" s="3">
        <v>7</v>
      </c>
      <c r="K69" s="3">
        <v>5</v>
      </c>
      <c r="L69">
        <v>18</v>
      </c>
      <c r="M69">
        <v>33</v>
      </c>
      <c r="N69">
        <v>82</v>
      </c>
      <c r="O69">
        <v>67</v>
      </c>
      <c r="P69" s="3">
        <v>7</v>
      </c>
      <c r="Q69" s="3">
        <v>7</v>
      </c>
      <c r="R69" s="3">
        <v>7</v>
      </c>
      <c r="S69" s="3">
        <v>7</v>
      </c>
      <c r="T69" s="3">
        <v>7</v>
      </c>
      <c r="U69" s="3">
        <v>7</v>
      </c>
      <c r="V69" t="s">
        <v>20</v>
      </c>
      <c r="W69" s="3">
        <v>7</v>
      </c>
      <c r="X69" s="3">
        <v>7</v>
      </c>
      <c r="Y69">
        <v>30</v>
      </c>
      <c r="Z69">
        <v>15</v>
      </c>
      <c r="AA69">
        <v>46</v>
      </c>
      <c r="AB69">
        <v>5</v>
      </c>
      <c r="AC69">
        <v>23</v>
      </c>
      <c r="AD69">
        <v>75</v>
      </c>
      <c r="AE69">
        <v>5</v>
      </c>
      <c r="AF69">
        <v>25</v>
      </c>
      <c r="AG69" s="3">
        <v>10</v>
      </c>
      <c r="AH69" s="3">
        <v>13188</v>
      </c>
      <c r="AI69" t="s">
        <v>63</v>
      </c>
      <c r="AJ69" t="s">
        <v>22</v>
      </c>
      <c r="AK69" t="s">
        <v>22</v>
      </c>
      <c r="AL69">
        <v>3558</v>
      </c>
    </row>
    <row r="70" spans="1:38" x14ac:dyDescent="0.3">
      <c r="A70" s="3" t="str">
        <f>UPPER(TEXT(Tabela1[[#This Row],[Data]],"MMM"))</f>
        <v>AGO</v>
      </c>
      <c r="B70" t="s">
        <v>235</v>
      </c>
      <c r="C70" s="1" t="s">
        <v>236</v>
      </c>
      <c r="D70" s="1" t="s">
        <v>233</v>
      </c>
      <c r="E70" t="s">
        <v>18</v>
      </c>
      <c r="F70" s="2" t="s">
        <v>234</v>
      </c>
      <c r="G70" s="3">
        <v>2</v>
      </c>
      <c r="H70" s="3">
        <v>7</v>
      </c>
      <c r="I70" s="3">
        <v>10</v>
      </c>
      <c r="J70" s="3">
        <v>7</v>
      </c>
      <c r="K70" s="3">
        <v>5</v>
      </c>
      <c r="L70">
        <v>16</v>
      </c>
      <c r="M70">
        <v>30</v>
      </c>
      <c r="N70">
        <v>84</v>
      </c>
      <c r="O70">
        <v>70</v>
      </c>
      <c r="P70" s="3">
        <v>7</v>
      </c>
      <c r="Q70" s="3">
        <v>7</v>
      </c>
      <c r="R70" s="3">
        <v>7</v>
      </c>
      <c r="S70" s="3">
        <v>7</v>
      </c>
      <c r="T70" s="3">
        <v>7</v>
      </c>
      <c r="U70" s="3">
        <v>5</v>
      </c>
      <c r="V70" t="s">
        <v>169</v>
      </c>
      <c r="W70" s="3">
        <v>10</v>
      </c>
      <c r="X70" s="3">
        <v>10</v>
      </c>
      <c r="Y70">
        <v>21</v>
      </c>
      <c r="Z70">
        <v>10.5</v>
      </c>
      <c r="AA70">
        <v>45</v>
      </c>
      <c r="AB70">
        <v>6</v>
      </c>
      <c r="AC70">
        <v>22.5</v>
      </c>
      <c r="AD70">
        <v>70</v>
      </c>
      <c r="AE70">
        <v>6</v>
      </c>
      <c r="AF70">
        <v>30</v>
      </c>
      <c r="AG70" s="3">
        <v>10</v>
      </c>
      <c r="AH70" s="3">
        <v>15105</v>
      </c>
      <c r="AI70" t="s">
        <v>63</v>
      </c>
      <c r="AJ70" t="s">
        <v>22</v>
      </c>
      <c r="AK70" t="s">
        <v>22</v>
      </c>
      <c r="AL70">
        <v>2746</v>
      </c>
    </row>
    <row r="71" spans="1:38" x14ac:dyDescent="0.3">
      <c r="A71" s="3" t="str">
        <f>UPPER(TEXT(Tabela1[[#This Row],[Data]],"MMM"))</f>
        <v>AGO</v>
      </c>
      <c r="B71" t="s">
        <v>237</v>
      </c>
      <c r="C71" s="1" t="s">
        <v>238</v>
      </c>
      <c r="D71" s="1" t="s">
        <v>233</v>
      </c>
      <c r="E71" t="s">
        <v>18</v>
      </c>
      <c r="F71" s="2" t="s">
        <v>234</v>
      </c>
      <c r="G71" s="3">
        <v>2</v>
      </c>
      <c r="H71" s="3">
        <v>7</v>
      </c>
      <c r="I71" s="3">
        <v>7</v>
      </c>
      <c r="J71" s="3">
        <v>7</v>
      </c>
      <c r="K71" s="3">
        <v>5</v>
      </c>
      <c r="L71">
        <v>13</v>
      </c>
      <c r="M71">
        <v>38</v>
      </c>
      <c r="N71">
        <v>87</v>
      </c>
      <c r="O71">
        <v>62</v>
      </c>
      <c r="P71" s="3">
        <v>7</v>
      </c>
      <c r="Q71" s="3">
        <v>7</v>
      </c>
      <c r="R71" s="3">
        <v>7</v>
      </c>
      <c r="S71" s="3">
        <v>7</v>
      </c>
      <c r="T71" s="3">
        <v>7</v>
      </c>
      <c r="U71" s="3">
        <v>7</v>
      </c>
      <c r="V71" t="s">
        <v>169</v>
      </c>
      <c r="W71" s="3">
        <v>7</v>
      </c>
      <c r="X71" s="3">
        <v>7</v>
      </c>
      <c r="Y71">
        <v>34</v>
      </c>
      <c r="Z71">
        <v>17</v>
      </c>
      <c r="AA71">
        <v>4</v>
      </c>
      <c r="AB71">
        <v>33</v>
      </c>
      <c r="AC71">
        <v>2</v>
      </c>
      <c r="AE71">
        <v>3</v>
      </c>
      <c r="AF71">
        <v>15</v>
      </c>
      <c r="AG71" s="3">
        <v>7</v>
      </c>
      <c r="AH71" s="3">
        <v>40207</v>
      </c>
      <c r="AI71" t="s">
        <v>21</v>
      </c>
      <c r="AJ71" t="s">
        <v>22</v>
      </c>
      <c r="AK71" t="s">
        <v>22</v>
      </c>
      <c r="AL71">
        <v>1945</v>
      </c>
    </row>
    <row r="72" spans="1:38" x14ac:dyDescent="0.3">
      <c r="A72" s="3" t="str">
        <f>UPPER(TEXT(Tabela1[[#This Row],[Data]],"MMM"))</f>
        <v>AGO</v>
      </c>
      <c r="B72" t="s">
        <v>239</v>
      </c>
      <c r="C72" s="1" t="s">
        <v>240</v>
      </c>
      <c r="D72" s="1" t="s">
        <v>241</v>
      </c>
      <c r="E72" t="s">
        <v>18</v>
      </c>
      <c r="F72" s="2" t="s">
        <v>234</v>
      </c>
      <c r="G72" s="3">
        <v>2</v>
      </c>
      <c r="H72" s="3">
        <v>7</v>
      </c>
      <c r="I72" s="3">
        <v>10</v>
      </c>
      <c r="J72" s="3">
        <v>7</v>
      </c>
      <c r="K72" s="3">
        <v>5</v>
      </c>
      <c r="L72">
        <v>12</v>
      </c>
      <c r="M72">
        <v>38</v>
      </c>
      <c r="N72">
        <v>88</v>
      </c>
      <c r="O72">
        <v>62</v>
      </c>
      <c r="P72" s="3">
        <v>7</v>
      </c>
      <c r="Q72" s="3">
        <v>5</v>
      </c>
      <c r="R72" s="3">
        <v>7</v>
      </c>
      <c r="S72" s="3">
        <v>7</v>
      </c>
      <c r="T72" s="3">
        <v>7</v>
      </c>
      <c r="U72" s="3">
        <v>7</v>
      </c>
      <c r="V72" t="s">
        <v>20</v>
      </c>
      <c r="W72" s="3">
        <v>10</v>
      </c>
      <c r="X72" s="3">
        <v>10</v>
      </c>
      <c r="Y72">
        <v>44</v>
      </c>
      <c r="Z72">
        <v>22</v>
      </c>
      <c r="AA72">
        <v>29</v>
      </c>
      <c r="AB72">
        <v>4</v>
      </c>
      <c r="AC72">
        <v>14.499999999999998</v>
      </c>
      <c r="AD72">
        <v>80</v>
      </c>
      <c r="AE72">
        <v>2</v>
      </c>
      <c r="AF72">
        <v>10</v>
      </c>
      <c r="AG72" s="3">
        <v>7</v>
      </c>
      <c r="AH72" s="3">
        <v>42862</v>
      </c>
      <c r="AI72" t="s">
        <v>36</v>
      </c>
      <c r="AJ72" t="s">
        <v>22</v>
      </c>
      <c r="AK72" t="s">
        <v>22</v>
      </c>
      <c r="AL72">
        <v>4632</v>
      </c>
    </row>
    <row r="73" spans="1:38" x14ac:dyDescent="0.3">
      <c r="A73" s="3" t="str">
        <f>UPPER(TEXT(Tabela1[[#This Row],[Data]],"MMM"))</f>
        <v>AGO</v>
      </c>
      <c r="B73" t="s">
        <v>242</v>
      </c>
      <c r="C73" s="1" t="s">
        <v>243</v>
      </c>
      <c r="D73" s="1" t="s">
        <v>244</v>
      </c>
      <c r="E73" t="s">
        <v>18</v>
      </c>
      <c r="F73" s="2" t="s">
        <v>245</v>
      </c>
      <c r="G73" s="3">
        <v>2</v>
      </c>
      <c r="H73" s="3">
        <v>7</v>
      </c>
      <c r="I73" s="3">
        <v>7</v>
      </c>
      <c r="J73" s="3">
        <v>7</v>
      </c>
      <c r="K73" s="3">
        <v>5</v>
      </c>
      <c r="L73">
        <v>22</v>
      </c>
      <c r="M73">
        <v>31</v>
      </c>
      <c r="N73">
        <v>78</v>
      </c>
      <c r="O73">
        <v>69</v>
      </c>
      <c r="P73" s="3">
        <v>7</v>
      </c>
      <c r="Q73" s="3">
        <v>5</v>
      </c>
      <c r="R73" s="3">
        <v>7</v>
      </c>
      <c r="S73" s="3">
        <v>7</v>
      </c>
      <c r="T73" s="3">
        <v>7</v>
      </c>
      <c r="U73" s="3">
        <v>7</v>
      </c>
      <c r="V73" t="s">
        <v>20</v>
      </c>
      <c r="W73" s="3">
        <v>10</v>
      </c>
      <c r="X73" s="3">
        <v>10</v>
      </c>
      <c r="Y73">
        <v>50</v>
      </c>
      <c r="Z73">
        <v>25</v>
      </c>
      <c r="AA73">
        <v>49</v>
      </c>
      <c r="AB73">
        <v>6</v>
      </c>
      <c r="AC73">
        <v>24.5</v>
      </c>
      <c r="AD73">
        <v>70</v>
      </c>
      <c r="AE73">
        <v>4</v>
      </c>
      <c r="AF73">
        <v>20</v>
      </c>
      <c r="AG73" s="3">
        <v>10</v>
      </c>
      <c r="AH73" s="3">
        <v>13188</v>
      </c>
      <c r="AI73" t="s">
        <v>63</v>
      </c>
      <c r="AJ73" t="s">
        <v>22</v>
      </c>
      <c r="AK73" t="s">
        <v>22</v>
      </c>
      <c r="AL73">
        <v>9620</v>
      </c>
    </row>
    <row r="74" spans="1:38" x14ac:dyDescent="0.3">
      <c r="A74" s="3" t="str">
        <f>UPPER(TEXT(Tabela1[[#This Row],[Data]],"MMM"))</f>
        <v>AGO</v>
      </c>
      <c r="B74" t="s">
        <v>246</v>
      </c>
      <c r="C74" s="1" t="s">
        <v>247</v>
      </c>
      <c r="D74" s="1" t="s">
        <v>244</v>
      </c>
      <c r="E74" t="s">
        <v>18</v>
      </c>
      <c r="F74" s="2" t="s">
        <v>245</v>
      </c>
      <c r="G74" s="3">
        <v>2</v>
      </c>
      <c r="H74" s="3" t="s">
        <v>28</v>
      </c>
      <c r="I74" s="3">
        <v>7</v>
      </c>
      <c r="J74" s="3">
        <v>7</v>
      </c>
      <c r="K74" s="3">
        <v>5</v>
      </c>
      <c r="L74">
        <v>18</v>
      </c>
      <c r="M74">
        <v>28</v>
      </c>
      <c r="N74">
        <v>82</v>
      </c>
      <c r="O74">
        <v>72</v>
      </c>
      <c r="P74" s="3">
        <v>7</v>
      </c>
      <c r="Q74" s="3">
        <v>7</v>
      </c>
      <c r="R74" s="3">
        <v>7</v>
      </c>
      <c r="S74" s="3">
        <v>7</v>
      </c>
      <c r="T74" s="3">
        <v>7</v>
      </c>
      <c r="U74" s="3">
        <v>7</v>
      </c>
      <c r="V74" t="s">
        <v>20</v>
      </c>
      <c r="W74" s="3">
        <v>7</v>
      </c>
      <c r="X74" s="3">
        <v>7</v>
      </c>
      <c r="Y74">
        <v>40</v>
      </c>
      <c r="Z74">
        <v>20</v>
      </c>
      <c r="AA74">
        <v>4</v>
      </c>
      <c r="AB74">
        <v>33</v>
      </c>
      <c r="AC74">
        <v>2</v>
      </c>
      <c r="AE74">
        <v>4</v>
      </c>
      <c r="AF74">
        <v>20</v>
      </c>
      <c r="AG74" s="3">
        <v>7</v>
      </c>
      <c r="AH74" s="3">
        <v>42862</v>
      </c>
      <c r="AI74" t="s">
        <v>36</v>
      </c>
      <c r="AJ74" t="s">
        <v>22</v>
      </c>
      <c r="AK74" t="s">
        <v>22</v>
      </c>
      <c r="AL74">
        <v>3632</v>
      </c>
    </row>
    <row r="75" spans="1:38" x14ac:dyDescent="0.3">
      <c r="A75" s="3" t="str">
        <f>UPPER(TEXT(Tabela1[[#This Row],[Data]],"MMM"))</f>
        <v>AGO</v>
      </c>
      <c r="B75" t="s">
        <v>248</v>
      </c>
      <c r="C75" s="1" t="s">
        <v>249</v>
      </c>
      <c r="D75" s="1" t="s">
        <v>244</v>
      </c>
      <c r="E75" t="s">
        <v>18</v>
      </c>
      <c r="F75" s="2" t="s">
        <v>245</v>
      </c>
      <c r="G75" s="3">
        <v>2</v>
      </c>
      <c r="H75" s="3">
        <v>7</v>
      </c>
      <c r="I75" s="3">
        <v>7</v>
      </c>
      <c r="J75" s="3">
        <v>7</v>
      </c>
      <c r="K75" s="3">
        <v>5</v>
      </c>
      <c r="L75">
        <v>22</v>
      </c>
      <c r="M75">
        <v>30</v>
      </c>
      <c r="N75">
        <v>78</v>
      </c>
      <c r="O75">
        <v>70</v>
      </c>
      <c r="P75" s="3">
        <v>7</v>
      </c>
      <c r="Q75" s="3">
        <v>7</v>
      </c>
      <c r="R75" s="3">
        <v>7</v>
      </c>
      <c r="S75" s="3" t="s">
        <v>28</v>
      </c>
      <c r="T75" s="3">
        <v>7</v>
      </c>
      <c r="U75" s="3">
        <v>7</v>
      </c>
      <c r="V75" t="s">
        <v>20</v>
      </c>
      <c r="W75" s="3">
        <v>10</v>
      </c>
      <c r="X75" s="3">
        <v>10</v>
      </c>
      <c r="Y75">
        <v>30</v>
      </c>
      <c r="Z75">
        <v>15</v>
      </c>
      <c r="AA75">
        <v>41</v>
      </c>
      <c r="AB75">
        <v>4</v>
      </c>
      <c r="AC75">
        <v>20.5</v>
      </c>
      <c r="AD75">
        <v>80</v>
      </c>
      <c r="AE75">
        <v>4</v>
      </c>
      <c r="AF75">
        <v>20</v>
      </c>
      <c r="AG75" s="3">
        <v>7</v>
      </c>
      <c r="AH75" s="3">
        <v>992093</v>
      </c>
      <c r="AI75" t="s">
        <v>36</v>
      </c>
      <c r="AJ75" t="s">
        <v>22</v>
      </c>
      <c r="AK75" t="s">
        <v>22</v>
      </c>
      <c r="AL75">
        <v>3347</v>
      </c>
    </row>
    <row r="76" spans="1:38" x14ac:dyDescent="0.3">
      <c r="A76" s="3" t="str">
        <f>UPPER(TEXT(Tabela1[[#This Row],[Data]],"MMM"))</f>
        <v>AGO</v>
      </c>
      <c r="B76" t="s">
        <v>250</v>
      </c>
      <c r="C76" s="1" t="s">
        <v>251</v>
      </c>
      <c r="D76" s="1" t="s">
        <v>252</v>
      </c>
      <c r="E76" t="s">
        <v>18</v>
      </c>
      <c r="F76" s="2" t="s">
        <v>245</v>
      </c>
      <c r="G76" s="3">
        <v>2</v>
      </c>
      <c r="H76" s="3">
        <v>7</v>
      </c>
      <c r="I76" s="3">
        <v>7</v>
      </c>
      <c r="J76" s="3">
        <v>7</v>
      </c>
      <c r="K76" s="3">
        <v>5</v>
      </c>
      <c r="L76">
        <v>22</v>
      </c>
      <c r="M76">
        <v>29</v>
      </c>
      <c r="N76">
        <v>78</v>
      </c>
      <c r="O76">
        <v>71</v>
      </c>
      <c r="P76" s="3">
        <v>7</v>
      </c>
      <c r="Q76" s="3">
        <v>7</v>
      </c>
      <c r="R76" s="3">
        <v>7</v>
      </c>
      <c r="S76" s="3">
        <v>7</v>
      </c>
      <c r="T76" s="3">
        <v>7</v>
      </c>
      <c r="U76" s="3">
        <v>7</v>
      </c>
      <c r="V76" t="s">
        <v>169</v>
      </c>
      <c r="W76" s="3">
        <v>10</v>
      </c>
      <c r="X76" s="3">
        <v>10</v>
      </c>
      <c r="Y76">
        <v>45</v>
      </c>
      <c r="Z76">
        <v>22.5</v>
      </c>
      <c r="AA76">
        <v>38</v>
      </c>
      <c r="AB76">
        <v>4</v>
      </c>
      <c r="AC76">
        <v>19</v>
      </c>
      <c r="AD76">
        <v>80</v>
      </c>
      <c r="AE76">
        <v>3</v>
      </c>
      <c r="AF76">
        <v>15</v>
      </c>
      <c r="AG76" s="3">
        <v>10</v>
      </c>
      <c r="AH76" s="3">
        <v>15105</v>
      </c>
      <c r="AI76" t="s">
        <v>63</v>
      </c>
      <c r="AJ76" t="s">
        <v>22</v>
      </c>
      <c r="AK76" t="s">
        <v>22</v>
      </c>
      <c r="AL76">
        <v>5223</v>
      </c>
    </row>
    <row r="77" spans="1:38" x14ac:dyDescent="0.3">
      <c r="A77" s="3" t="str">
        <f>UPPER(TEXT(Tabela1[[#This Row],[Data]],"MMM"))</f>
        <v>AGO</v>
      </c>
      <c r="B77" t="s">
        <v>253</v>
      </c>
      <c r="C77" s="1" t="s">
        <v>254</v>
      </c>
      <c r="D77" s="1" t="s">
        <v>255</v>
      </c>
      <c r="E77" t="s">
        <v>18</v>
      </c>
      <c r="F77" s="2" t="s">
        <v>256</v>
      </c>
      <c r="G77" s="3">
        <v>2</v>
      </c>
      <c r="H77" s="3" t="s">
        <v>28</v>
      </c>
      <c r="I77" s="3">
        <v>7</v>
      </c>
      <c r="J77" s="3">
        <v>7</v>
      </c>
      <c r="K77" s="3">
        <v>5</v>
      </c>
      <c r="L77">
        <v>26</v>
      </c>
      <c r="M77">
        <v>33</v>
      </c>
      <c r="N77">
        <v>74</v>
      </c>
      <c r="O77">
        <v>67</v>
      </c>
      <c r="P77" s="3">
        <v>7</v>
      </c>
      <c r="Q77" s="3">
        <v>7</v>
      </c>
      <c r="R77" s="3">
        <v>7</v>
      </c>
      <c r="S77" s="3">
        <v>7</v>
      </c>
      <c r="T77" s="3">
        <v>7</v>
      </c>
      <c r="U77" s="3">
        <v>7</v>
      </c>
      <c r="V77" t="s">
        <v>257</v>
      </c>
      <c r="W77" s="3">
        <v>7</v>
      </c>
      <c r="X77" s="3">
        <v>7</v>
      </c>
      <c r="Y77">
        <v>37</v>
      </c>
      <c r="Z77">
        <v>18.5</v>
      </c>
      <c r="AA77">
        <v>38</v>
      </c>
      <c r="AB77">
        <v>5</v>
      </c>
      <c r="AC77">
        <v>19</v>
      </c>
      <c r="AD77">
        <v>75</v>
      </c>
      <c r="AE77">
        <v>4</v>
      </c>
      <c r="AF77">
        <v>20</v>
      </c>
      <c r="AG77" s="3">
        <v>7</v>
      </c>
      <c r="AH77" s="3">
        <v>42862</v>
      </c>
      <c r="AI77" t="s">
        <v>36</v>
      </c>
      <c r="AJ77" t="s">
        <v>22</v>
      </c>
      <c r="AK77" t="s">
        <v>22</v>
      </c>
      <c r="AL77">
        <v>3410</v>
      </c>
    </row>
    <row r="78" spans="1:38" x14ac:dyDescent="0.3">
      <c r="A78" s="3" t="str">
        <f>UPPER(TEXT(Tabela1[[#This Row],[Data]],"MMM"))</f>
        <v>AGO</v>
      </c>
      <c r="B78" t="s">
        <v>258</v>
      </c>
      <c r="C78" s="1" t="s">
        <v>259</v>
      </c>
      <c r="D78" s="1" t="s">
        <v>255</v>
      </c>
      <c r="E78" t="s">
        <v>18</v>
      </c>
      <c r="F78" s="2" t="s">
        <v>256</v>
      </c>
      <c r="G78" s="3">
        <v>2</v>
      </c>
      <c r="H78" s="3">
        <v>7</v>
      </c>
      <c r="I78" s="3">
        <v>10</v>
      </c>
      <c r="J78" s="3">
        <v>7</v>
      </c>
      <c r="K78" s="3">
        <v>5</v>
      </c>
      <c r="L78">
        <v>33</v>
      </c>
      <c r="M78">
        <v>30</v>
      </c>
      <c r="N78">
        <v>67</v>
      </c>
      <c r="O78">
        <v>70</v>
      </c>
      <c r="P78" s="3">
        <v>7</v>
      </c>
      <c r="Q78" s="3">
        <v>7</v>
      </c>
      <c r="R78" s="3">
        <v>7</v>
      </c>
      <c r="S78" s="3">
        <v>10</v>
      </c>
      <c r="T78" s="3">
        <v>7</v>
      </c>
      <c r="U78" s="3">
        <v>7</v>
      </c>
      <c r="V78" t="s">
        <v>20</v>
      </c>
      <c r="W78" s="3">
        <v>10</v>
      </c>
      <c r="X78" s="3">
        <v>10</v>
      </c>
      <c r="Y78">
        <v>54</v>
      </c>
      <c r="Z78">
        <v>27</v>
      </c>
      <c r="AA78">
        <v>39</v>
      </c>
      <c r="AB78">
        <v>4</v>
      </c>
      <c r="AC78">
        <v>19.5</v>
      </c>
      <c r="AD78">
        <v>80</v>
      </c>
      <c r="AE78">
        <v>6</v>
      </c>
      <c r="AF78">
        <v>30</v>
      </c>
      <c r="AG78" t="s">
        <v>28</v>
      </c>
      <c r="AH78" s="3">
        <v>15105</v>
      </c>
      <c r="AI78" t="s">
        <v>63</v>
      </c>
      <c r="AJ78" t="s">
        <v>22</v>
      </c>
      <c r="AK78" t="s">
        <v>22</v>
      </c>
      <c r="AL78">
        <v>3465</v>
      </c>
    </row>
    <row r="79" spans="1:38" x14ac:dyDescent="0.3">
      <c r="A79" s="3" t="str">
        <f>UPPER(TEXT(Tabela1[[#This Row],[Data]],"MMM"))</f>
        <v>AGO</v>
      </c>
      <c r="B79" t="s">
        <v>260</v>
      </c>
      <c r="C79" s="1" t="s">
        <v>261</v>
      </c>
      <c r="D79" s="1" t="s">
        <v>255</v>
      </c>
      <c r="E79" t="s">
        <v>18</v>
      </c>
      <c r="F79" s="2" t="s">
        <v>256</v>
      </c>
      <c r="G79" s="3">
        <v>2</v>
      </c>
      <c r="H79" s="3">
        <v>7</v>
      </c>
      <c r="I79" s="3">
        <v>10</v>
      </c>
      <c r="J79" s="3">
        <v>7</v>
      </c>
      <c r="K79" s="3">
        <v>7</v>
      </c>
      <c r="L79">
        <v>33</v>
      </c>
      <c r="M79">
        <v>24</v>
      </c>
      <c r="N79">
        <v>67</v>
      </c>
      <c r="O79">
        <v>76</v>
      </c>
      <c r="P79" s="3">
        <v>7</v>
      </c>
      <c r="Q79" s="3">
        <v>7</v>
      </c>
      <c r="R79" s="3">
        <v>7</v>
      </c>
      <c r="S79" s="3">
        <v>7</v>
      </c>
      <c r="T79" s="3">
        <v>7</v>
      </c>
      <c r="U79" s="3">
        <v>7</v>
      </c>
      <c r="V79" t="s">
        <v>169</v>
      </c>
      <c r="W79" s="3">
        <v>7</v>
      </c>
      <c r="X79" s="3">
        <v>7</v>
      </c>
      <c r="Y79">
        <v>39</v>
      </c>
      <c r="Z79">
        <v>19.5</v>
      </c>
      <c r="AA79">
        <v>37</v>
      </c>
      <c r="AB79">
        <v>5</v>
      </c>
      <c r="AC79">
        <v>18.5</v>
      </c>
      <c r="AD79">
        <v>75</v>
      </c>
      <c r="AE79">
        <v>6</v>
      </c>
      <c r="AF79">
        <v>30</v>
      </c>
      <c r="AG79" s="3">
        <v>10</v>
      </c>
      <c r="AH79" s="3">
        <v>992093</v>
      </c>
      <c r="AI79" t="s">
        <v>262</v>
      </c>
      <c r="AJ79" t="s">
        <v>22</v>
      </c>
      <c r="AK79" t="s">
        <v>22</v>
      </c>
      <c r="AL79">
        <v>4047</v>
      </c>
    </row>
    <row r="80" spans="1:38" x14ac:dyDescent="0.3">
      <c r="A80" s="3" t="str">
        <f>UPPER(TEXT(Tabela1[[#This Row],[Data]],"MMM"))</f>
        <v>AGO</v>
      </c>
      <c r="B80" t="s">
        <v>263</v>
      </c>
      <c r="C80" s="1" t="s">
        <v>264</v>
      </c>
      <c r="D80" s="1" t="s">
        <v>265</v>
      </c>
      <c r="E80" t="s">
        <v>18</v>
      </c>
      <c r="F80" s="2" t="s">
        <v>256</v>
      </c>
      <c r="G80" s="3">
        <v>2</v>
      </c>
      <c r="H80" s="3">
        <v>7</v>
      </c>
      <c r="I80" s="3">
        <v>7</v>
      </c>
      <c r="J80" s="3">
        <v>7</v>
      </c>
      <c r="K80" s="3">
        <v>5</v>
      </c>
      <c r="L80">
        <v>19</v>
      </c>
      <c r="M80">
        <v>32</v>
      </c>
      <c r="N80">
        <v>81</v>
      </c>
      <c r="O80">
        <v>68</v>
      </c>
      <c r="P80" s="3">
        <v>7</v>
      </c>
      <c r="Q80" s="3">
        <v>7</v>
      </c>
      <c r="R80" s="3">
        <v>7</v>
      </c>
      <c r="S80" s="3">
        <v>7</v>
      </c>
      <c r="T80" s="3">
        <v>7</v>
      </c>
      <c r="U80" s="3">
        <v>7</v>
      </c>
      <c r="V80" t="s">
        <v>169</v>
      </c>
      <c r="W80" s="3">
        <v>10</v>
      </c>
      <c r="X80" s="3">
        <v>10</v>
      </c>
      <c r="Y80">
        <v>31</v>
      </c>
      <c r="Z80">
        <v>15.5</v>
      </c>
      <c r="AA80">
        <v>290</v>
      </c>
      <c r="AB80">
        <v>7</v>
      </c>
      <c r="AC80">
        <v>145</v>
      </c>
      <c r="AD80">
        <v>65</v>
      </c>
      <c r="AE80">
        <v>4</v>
      </c>
      <c r="AF80">
        <v>20</v>
      </c>
      <c r="AG80" s="3">
        <v>7</v>
      </c>
      <c r="AH80" t="s">
        <v>28</v>
      </c>
      <c r="AI80" t="s">
        <v>36</v>
      </c>
      <c r="AJ80" t="s">
        <v>22</v>
      </c>
      <c r="AK80" t="s">
        <v>22</v>
      </c>
      <c r="AL80">
        <v>3842</v>
      </c>
    </row>
    <row r="81" spans="1:38" x14ac:dyDescent="0.3">
      <c r="A81" s="3" t="str">
        <f>UPPER(TEXT(Tabela1[[#This Row],[Data]],"MMM"))</f>
        <v>AGO</v>
      </c>
      <c r="B81" t="s">
        <v>266</v>
      </c>
      <c r="C81" s="1" t="s">
        <v>267</v>
      </c>
      <c r="D81" s="1" t="s">
        <v>268</v>
      </c>
      <c r="E81" t="s">
        <v>18</v>
      </c>
      <c r="F81" s="2" t="s">
        <v>269</v>
      </c>
      <c r="G81" s="3">
        <v>2</v>
      </c>
      <c r="H81" s="3">
        <v>7</v>
      </c>
      <c r="I81" s="3">
        <v>7</v>
      </c>
      <c r="J81" s="3">
        <v>7</v>
      </c>
      <c r="K81" s="3">
        <v>7</v>
      </c>
      <c r="L81">
        <v>24</v>
      </c>
      <c r="M81">
        <v>25</v>
      </c>
      <c r="N81">
        <v>76</v>
      </c>
      <c r="O81">
        <v>75</v>
      </c>
      <c r="P81" s="3">
        <v>7</v>
      </c>
      <c r="Q81" s="3">
        <v>7</v>
      </c>
      <c r="R81" s="3">
        <v>7</v>
      </c>
      <c r="S81" s="3">
        <v>7</v>
      </c>
      <c r="T81" s="3">
        <v>7</v>
      </c>
      <c r="U81" s="3">
        <v>5</v>
      </c>
      <c r="V81" t="s">
        <v>20</v>
      </c>
      <c r="W81" s="3">
        <v>7</v>
      </c>
      <c r="X81" s="3">
        <v>7</v>
      </c>
      <c r="Y81">
        <v>43</v>
      </c>
      <c r="Z81">
        <v>21.5</v>
      </c>
      <c r="AA81">
        <v>52</v>
      </c>
      <c r="AB81">
        <v>3</v>
      </c>
      <c r="AC81">
        <v>26</v>
      </c>
      <c r="AD81">
        <v>85</v>
      </c>
      <c r="AE81">
        <v>4</v>
      </c>
      <c r="AF81">
        <v>20</v>
      </c>
      <c r="AG81" s="3">
        <v>10</v>
      </c>
      <c r="AH81" s="3">
        <v>15229</v>
      </c>
      <c r="AI81" t="s">
        <v>63</v>
      </c>
      <c r="AJ81" t="s">
        <v>22</v>
      </c>
      <c r="AK81" t="s">
        <v>22</v>
      </c>
      <c r="AL81">
        <v>7667</v>
      </c>
    </row>
    <row r="82" spans="1:38" x14ac:dyDescent="0.3">
      <c r="A82" s="3" t="str">
        <f>UPPER(TEXT(Tabela1[[#This Row],[Data]],"MMM"))</f>
        <v>AGO</v>
      </c>
      <c r="B82" t="s">
        <v>270</v>
      </c>
      <c r="C82" s="1" t="s">
        <v>271</v>
      </c>
      <c r="D82" s="1" t="s">
        <v>268</v>
      </c>
      <c r="E82" t="s">
        <v>18</v>
      </c>
      <c r="F82" s="2" t="s">
        <v>269</v>
      </c>
      <c r="G82" s="3">
        <v>2</v>
      </c>
      <c r="H82" s="3">
        <v>7</v>
      </c>
      <c r="I82" s="3">
        <v>7</v>
      </c>
      <c r="J82" s="3">
        <v>7</v>
      </c>
      <c r="K82" s="3">
        <v>7</v>
      </c>
      <c r="L82">
        <v>33</v>
      </c>
      <c r="M82">
        <v>24</v>
      </c>
      <c r="N82">
        <v>67</v>
      </c>
      <c r="O82">
        <v>76</v>
      </c>
      <c r="P82" s="3">
        <v>7</v>
      </c>
      <c r="Q82" s="3">
        <v>7</v>
      </c>
      <c r="R82" s="3">
        <v>7</v>
      </c>
      <c r="S82" s="3">
        <v>7</v>
      </c>
      <c r="T82" s="3">
        <v>7</v>
      </c>
      <c r="U82" s="3">
        <v>7</v>
      </c>
      <c r="V82" t="s">
        <v>20</v>
      </c>
      <c r="W82" s="3">
        <v>7</v>
      </c>
      <c r="X82" s="3">
        <v>7</v>
      </c>
      <c r="Y82">
        <v>51</v>
      </c>
      <c r="Z82">
        <v>25.5</v>
      </c>
      <c r="AA82">
        <v>46</v>
      </c>
      <c r="AB82">
        <v>5</v>
      </c>
      <c r="AC82">
        <v>23</v>
      </c>
      <c r="AD82">
        <v>75</v>
      </c>
      <c r="AE82">
        <v>4</v>
      </c>
      <c r="AF82">
        <v>20</v>
      </c>
      <c r="AG82" s="3">
        <v>7</v>
      </c>
      <c r="AH82" s="3">
        <v>42846</v>
      </c>
      <c r="AI82" t="s">
        <v>63</v>
      </c>
      <c r="AJ82" t="s">
        <v>22</v>
      </c>
      <c r="AK82" t="s">
        <v>22</v>
      </c>
      <c r="AL82">
        <v>5095</v>
      </c>
    </row>
    <row r="83" spans="1:38" x14ac:dyDescent="0.3">
      <c r="A83" s="3" t="str">
        <f>UPPER(TEXT(Tabela1[[#This Row],[Data]],"MMM"))</f>
        <v>AGO</v>
      </c>
      <c r="B83" t="s">
        <v>272</v>
      </c>
      <c r="C83" s="1" t="s">
        <v>273</v>
      </c>
      <c r="D83" s="1" t="s">
        <v>274</v>
      </c>
      <c r="E83" t="s">
        <v>18</v>
      </c>
      <c r="F83" s="2" t="s">
        <v>269</v>
      </c>
      <c r="G83" s="3">
        <v>2</v>
      </c>
      <c r="H83" s="3">
        <v>5</v>
      </c>
      <c r="I83" s="3">
        <v>7</v>
      </c>
      <c r="J83" s="3">
        <v>7</v>
      </c>
      <c r="K83" s="3">
        <v>5</v>
      </c>
      <c r="L83">
        <v>23</v>
      </c>
      <c r="M83">
        <v>21</v>
      </c>
      <c r="N83">
        <v>77</v>
      </c>
      <c r="O83">
        <v>79</v>
      </c>
      <c r="P83" s="3">
        <v>7</v>
      </c>
      <c r="Q83" s="3">
        <v>7</v>
      </c>
      <c r="R83" s="3">
        <v>7</v>
      </c>
      <c r="S83" s="3">
        <v>10</v>
      </c>
      <c r="T83" s="3">
        <v>7</v>
      </c>
      <c r="U83" s="3">
        <v>7</v>
      </c>
      <c r="V83" t="s">
        <v>20</v>
      </c>
      <c r="W83" s="3">
        <v>10</v>
      </c>
      <c r="X83" s="3">
        <v>10</v>
      </c>
      <c r="Y83">
        <v>37</v>
      </c>
      <c r="Z83">
        <v>18.5</v>
      </c>
      <c r="AA83">
        <v>46</v>
      </c>
      <c r="AB83">
        <v>4</v>
      </c>
      <c r="AC83">
        <v>23</v>
      </c>
      <c r="AD83">
        <v>80</v>
      </c>
      <c r="AE83">
        <v>5</v>
      </c>
      <c r="AF83">
        <v>25</v>
      </c>
      <c r="AG83" s="3">
        <v>10</v>
      </c>
      <c r="AH83" s="3">
        <v>15105</v>
      </c>
      <c r="AI83" t="s">
        <v>275</v>
      </c>
      <c r="AJ83" t="s">
        <v>22</v>
      </c>
      <c r="AK83" t="s">
        <v>22</v>
      </c>
      <c r="AL83">
        <v>4250</v>
      </c>
    </row>
    <row r="84" spans="1:38" x14ac:dyDescent="0.3">
      <c r="A84" s="3" t="str">
        <f>UPPER(TEXT(Tabela1[[#This Row],[Data]],"MMM"))</f>
        <v>AGO</v>
      </c>
      <c r="B84" t="s">
        <v>276</v>
      </c>
      <c r="C84" s="1" t="s">
        <v>277</v>
      </c>
      <c r="D84" s="1" t="s">
        <v>278</v>
      </c>
      <c r="E84" t="s">
        <v>18</v>
      </c>
      <c r="F84" s="2" t="s">
        <v>279</v>
      </c>
      <c r="G84" s="3">
        <v>2</v>
      </c>
      <c r="H84" s="3">
        <v>7</v>
      </c>
      <c r="I84" s="3">
        <v>7</v>
      </c>
      <c r="J84" s="3">
        <v>7</v>
      </c>
      <c r="K84" s="3">
        <v>5</v>
      </c>
      <c r="L84">
        <v>22</v>
      </c>
      <c r="M84">
        <v>29</v>
      </c>
      <c r="N84">
        <v>78</v>
      </c>
      <c r="O84">
        <v>71</v>
      </c>
      <c r="P84" s="3">
        <v>7</v>
      </c>
      <c r="Q84" s="3">
        <v>7</v>
      </c>
      <c r="R84" s="3">
        <v>7</v>
      </c>
      <c r="S84" s="3">
        <v>7</v>
      </c>
      <c r="T84" s="3">
        <v>7</v>
      </c>
      <c r="U84" s="3">
        <v>5</v>
      </c>
      <c r="V84" t="s">
        <v>20</v>
      </c>
      <c r="W84" s="3">
        <v>7</v>
      </c>
      <c r="X84" s="3">
        <v>7</v>
      </c>
      <c r="Y84">
        <v>41</v>
      </c>
      <c r="Z84">
        <v>20.5</v>
      </c>
      <c r="AA84">
        <v>39</v>
      </c>
      <c r="AB84">
        <v>5</v>
      </c>
      <c r="AC84">
        <v>19.5</v>
      </c>
      <c r="AD84">
        <v>75</v>
      </c>
      <c r="AE84">
        <v>5</v>
      </c>
      <c r="AF84">
        <v>25</v>
      </c>
      <c r="AG84" s="3">
        <v>10</v>
      </c>
      <c r="AH84" s="3">
        <v>15105</v>
      </c>
      <c r="AI84" t="s">
        <v>63</v>
      </c>
      <c r="AJ84" t="s">
        <v>22</v>
      </c>
      <c r="AK84" t="s">
        <v>22</v>
      </c>
      <c r="AL84">
        <v>704</v>
      </c>
    </row>
    <row r="85" spans="1:38" x14ac:dyDescent="0.3">
      <c r="A85" s="3" t="str">
        <f>UPPER(TEXT(Tabela1[[#This Row],[Data]],"MMM"))</f>
        <v>AGO</v>
      </c>
      <c r="B85" t="s">
        <v>280</v>
      </c>
      <c r="C85" s="1" t="s">
        <v>281</v>
      </c>
      <c r="D85" s="1" t="s">
        <v>278</v>
      </c>
      <c r="E85" t="s">
        <v>18</v>
      </c>
      <c r="F85" s="2" t="s">
        <v>279</v>
      </c>
      <c r="G85" s="3">
        <v>2</v>
      </c>
      <c r="H85" s="3">
        <v>7</v>
      </c>
      <c r="I85" s="3">
        <v>7</v>
      </c>
      <c r="J85" s="3">
        <v>7</v>
      </c>
      <c r="K85" s="3">
        <v>5</v>
      </c>
      <c r="L85">
        <v>11</v>
      </c>
      <c r="M85">
        <v>18</v>
      </c>
      <c r="N85">
        <v>89</v>
      </c>
      <c r="O85">
        <v>82</v>
      </c>
      <c r="P85" s="3">
        <v>7</v>
      </c>
      <c r="Q85" s="3">
        <v>7</v>
      </c>
      <c r="R85" s="3">
        <v>7</v>
      </c>
      <c r="S85" s="3">
        <v>7</v>
      </c>
      <c r="T85" s="3">
        <v>7</v>
      </c>
      <c r="U85" s="3" t="s">
        <v>28</v>
      </c>
      <c r="V85" t="s">
        <v>20</v>
      </c>
      <c r="W85" s="3">
        <v>7</v>
      </c>
      <c r="X85" s="3">
        <v>7</v>
      </c>
      <c r="Y85">
        <v>30</v>
      </c>
      <c r="Z85">
        <v>15</v>
      </c>
      <c r="AA85">
        <v>37</v>
      </c>
      <c r="AB85">
        <v>5</v>
      </c>
      <c r="AC85">
        <v>18.5</v>
      </c>
      <c r="AD85">
        <v>75</v>
      </c>
      <c r="AE85">
        <v>6</v>
      </c>
      <c r="AF85">
        <v>30</v>
      </c>
      <c r="AG85" s="3">
        <v>7</v>
      </c>
      <c r="AH85" s="3">
        <v>929883</v>
      </c>
      <c r="AI85" t="s">
        <v>36</v>
      </c>
      <c r="AJ85" t="s">
        <v>22</v>
      </c>
      <c r="AK85" t="s">
        <v>22</v>
      </c>
      <c r="AL85">
        <v>3225</v>
      </c>
    </row>
    <row r="86" spans="1:38" x14ac:dyDescent="0.3">
      <c r="A86" s="3" t="str">
        <f>UPPER(TEXT(Tabela1[[#This Row],[Data]],"MMM"))</f>
        <v>AGO</v>
      </c>
      <c r="B86" t="s">
        <v>282</v>
      </c>
      <c r="C86" s="1" t="s">
        <v>283</v>
      </c>
      <c r="D86" s="1" t="s">
        <v>284</v>
      </c>
      <c r="E86" t="s">
        <v>18</v>
      </c>
      <c r="F86" s="2" t="s">
        <v>279</v>
      </c>
      <c r="G86" s="3">
        <v>2</v>
      </c>
      <c r="H86" s="3">
        <v>7</v>
      </c>
      <c r="I86" s="3">
        <v>7</v>
      </c>
      <c r="J86" s="3">
        <v>5</v>
      </c>
      <c r="K86" s="3">
        <v>5</v>
      </c>
      <c r="L86">
        <v>16</v>
      </c>
      <c r="M86">
        <v>26</v>
      </c>
      <c r="N86">
        <v>84</v>
      </c>
      <c r="O86">
        <v>74</v>
      </c>
      <c r="P86" s="3">
        <v>7</v>
      </c>
      <c r="Q86" s="3">
        <v>7</v>
      </c>
      <c r="R86" s="3">
        <v>7</v>
      </c>
      <c r="S86" s="3">
        <v>7</v>
      </c>
      <c r="T86" s="3">
        <v>7</v>
      </c>
      <c r="U86" s="3">
        <v>5</v>
      </c>
      <c r="V86" t="s">
        <v>20</v>
      </c>
      <c r="W86" s="3">
        <v>7</v>
      </c>
      <c r="X86" s="3">
        <v>7</v>
      </c>
      <c r="Y86">
        <v>42</v>
      </c>
      <c r="Z86">
        <v>21</v>
      </c>
      <c r="AA86">
        <v>36</v>
      </c>
      <c r="AB86">
        <v>4</v>
      </c>
      <c r="AC86">
        <v>18</v>
      </c>
      <c r="AD86">
        <v>80</v>
      </c>
      <c r="AE86">
        <v>3</v>
      </c>
      <c r="AF86">
        <v>15</v>
      </c>
      <c r="AG86" s="3">
        <v>5</v>
      </c>
      <c r="AH86" s="3">
        <v>42854</v>
      </c>
      <c r="AI86" t="s">
        <v>36</v>
      </c>
      <c r="AJ86" t="s">
        <v>22</v>
      </c>
      <c r="AK86" t="s">
        <v>22</v>
      </c>
      <c r="AL86">
        <v>3915</v>
      </c>
    </row>
    <row r="87" spans="1:38" x14ac:dyDescent="0.3">
      <c r="A87" s="3" t="str">
        <f>UPPER(TEXT(Tabela1[[#This Row],[Data]],"MMM"))</f>
        <v>AGO</v>
      </c>
      <c r="B87" t="s">
        <v>285</v>
      </c>
      <c r="C87" s="1" t="s">
        <v>286</v>
      </c>
      <c r="D87" s="1" t="s">
        <v>284</v>
      </c>
      <c r="E87" t="s">
        <v>18</v>
      </c>
      <c r="F87" s="2" t="s">
        <v>279</v>
      </c>
      <c r="G87" s="3">
        <v>2</v>
      </c>
      <c r="H87" s="3">
        <v>7</v>
      </c>
      <c r="I87" s="3">
        <v>7</v>
      </c>
      <c r="J87" s="3">
        <v>7</v>
      </c>
      <c r="K87" s="3">
        <v>5</v>
      </c>
      <c r="L87">
        <v>20</v>
      </c>
      <c r="M87">
        <v>22</v>
      </c>
      <c r="N87">
        <v>80</v>
      </c>
      <c r="O87">
        <v>78</v>
      </c>
      <c r="P87" s="3">
        <v>7</v>
      </c>
      <c r="Q87" s="3">
        <v>7</v>
      </c>
      <c r="R87" s="3">
        <v>7</v>
      </c>
      <c r="S87" s="3">
        <v>7</v>
      </c>
      <c r="T87" s="3">
        <v>7</v>
      </c>
      <c r="U87" s="3">
        <v>7</v>
      </c>
      <c r="V87" t="s">
        <v>20</v>
      </c>
      <c r="W87" s="3">
        <v>10</v>
      </c>
      <c r="X87" s="3">
        <v>10</v>
      </c>
      <c r="Y87">
        <v>44</v>
      </c>
      <c r="Z87">
        <v>22</v>
      </c>
      <c r="AA87">
        <v>34</v>
      </c>
      <c r="AB87">
        <v>3</v>
      </c>
      <c r="AC87">
        <v>17</v>
      </c>
      <c r="AD87">
        <v>85</v>
      </c>
      <c r="AE87">
        <v>3</v>
      </c>
      <c r="AF87">
        <v>15</v>
      </c>
      <c r="AG87" s="3">
        <v>10</v>
      </c>
      <c r="AH87" s="3">
        <v>15105</v>
      </c>
      <c r="AI87" t="s">
        <v>63</v>
      </c>
      <c r="AJ87" t="s">
        <v>22</v>
      </c>
      <c r="AK87" t="s">
        <v>22</v>
      </c>
      <c r="AL87">
        <v>4896</v>
      </c>
    </row>
    <row r="88" spans="1:38" x14ac:dyDescent="0.3">
      <c r="A88" s="3" t="str">
        <f>UPPER(TEXT(Tabela1[[#This Row],[Data]],"MMM"))</f>
        <v>SET</v>
      </c>
      <c r="B88" t="s">
        <v>287</v>
      </c>
      <c r="C88" s="1" t="s">
        <v>288</v>
      </c>
      <c r="D88" s="1" t="s">
        <v>289</v>
      </c>
      <c r="E88" t="s">
        <v>18</v>
      </c>
      <c r="F88" s="2" t="s">
        <v>290</v>
      </c>
      <c r="G88" s="3">
        <v>2</v>
      </c>
      <c r="H88" s="3">
        <v>7</v>
      </c>
      <c r="I88" s="3">
        <v>7</v>
      </c>
      <c r="J88" s="3">
        <v>7</v>
      </c>
      <c r="K88" s="3">
        <v>5</v>
      </c>
      <c r="L88">
        <v>19</v>
      </c>
      <c r="M88">
        <v>42</v>
      </c>
      <c r="N88">
        <v>81</v>
      </c>
      <c r="O88">
        <v>58</v>
      </c>
      <c r="P88" s="3">
        <v>7</v>
      </c>
      <c r="Q88" s="3">
        <v>7</v>
      </c>
      <c r="R88" s="3">
        <v>7</v>
      </c>
      <c r="S88" s="3">
        <v>5</v>
      </c>
      <c r="T88" s="3">
        <v>7</v>
      </c>
      <c r="U88" s="3">
        <v>5</v>
      </c>
      <c r="V88" t="s">
        <v>169</v>
      </c>
      <c r="W88" s="3">
        <v>10</v>
      </c>
      <c r="X88" s="3">
        <v>10</v>
      </c>
      <c r="Y88">
        <v>43</v>
      </c>
      <c r="Z88">
        <v>21.5</v>
      </c>
      <c r="AA88">
        <v>54</v>
      </c>
      <c r="AB88">
        <v>5</v>
      </c>
      <c r="AC88">
        <v>27</v>
      </c>
      <c r="AD88">
        <v>75</v>
      </c>
      <c r="AE88">
        <v>4</v>
      </c>
      <c r="AF88">
        <v>20</v>
      </c>
      <c r="AG88" s="3">
        <v>7</v>
      </c>
      <c r="AH88" s="3">
        <v>864048</v>
      </c>
      <c r="AI88" t="s">
        <v>36</v>
      </c>
      <c r="AJ88" t="s">
        <v>22</v>
      </c>
      <c r="AK88" t="s">
        <v>22</v>
      </c>
      <c r="AL88">
        <v>3620</v>
      </c>
    </row>
    <row r="89" spans="1:38" x14ac:dyDescent="0.3">
      <c r="A89" s="3" t="str">
        <f>UPPER(TEXT(Tabela1[[#This Row],[Data]],"MMM"))</f>
        <v>SET</v>
      </c>
      <c r="B89" t="s">
        <v>291</v>
      </c>
      <c r="C89" s="1" t="s">
        <v>292</v>
      </c>
      <c r="D89" s="1" t="s">
        <v>293</v>
      </c>
      <c r="E89" t="s">
        <v>18</v>
      </c>
      <c r="F89" s="2" t="s">
        <v>290</v>
      </c>
      <c r="G89" s="3">
        <v>2</v>
      </c>
      <c r="H89" s="3">
        <v>7</v>
      </c>
      <c r="I89" s="3">
        <v>7</v>
      </c>
      <c r="J89" s="3">
        <v>7</v>
      </c>
      <c r="K89" s="3">
        <v>5</v>
      </c>
      <c r="L89">
        <v>25</v>
      </c>
      <c r="M89">
        <v>36</v>
      </c>
      <c r="N89">
        <v>75</v>
      </c>
      <c r="O89">
        <v>64</v>
      </c>
      <c r="P89" s="3">
        <v>5</v>
      </c>
      <c r="Q89" s="3">
        <v>7</v>
      </c>
      <c r="R89" s="3">
        <v>7</v>
      </c>
      <c r="S89" s="3">
        <v>7</v>
      </c>
      <c r="T89" s="3">
        <v>7</v>
      </c>
      <c r="U89" s="3">
        <v>5</v>
      </c>
      <c r="V89" t="s">
        <v>20</v>
      </c>
      <c r="W89" s="3">
        <v>10</v>
      </c>
      <c r="X89" s="3">
        <v>10</v>
      </c>
      <c r="Y89">
        <v>36</v>
      </c>
      <c r="Z89">
        <v>18</v>
      </c>
      <c r="AA89">
        <v>41</v>
      </c>
      <c r="AB89">
        <v>3</v>
      </c>
      <c r="AC89">
        <v>20.5</v>
      </c>
      <c r="AD89">
        <v>85</v>
      </c>
      <c r="AE89">
        <v>5</v>
      </c>
      <c r="AF89">
        <v>25</v>
      </c>
      <c r="AG89" s="3">
        <v>7</v>
      </c>
      <c r="AH89" s="3">
        <v>42846</v>
      </c>
      <c r="AI89" t="s">
        <v>36</v>
      </c>
      <c r="AJ89" t="s">
        <v>22</v>
      </c>
      <c r="AK89" t="s">
        <v>22</v>
      </c>
      <c r="AL89">
        <v>3009</v>
      </c>
    </row>
    <row r="90" spans="1:38" x14ac:dyDescent="0.3">
      <c r="A90" s="3" t="str">
        <f>UPPER(TEXT(Tabela1[[#This Row],[Data]],"MMM"))</f>
        <v>SET</v>
      </c>
      <c r="B90" t="s">
        <v>294</v>
      </c>
      <c r="C90" s="1" t="s">
        <v>295</v>
      </c>
      <c r="D90" s="1" t="s">
        <v>293</v>
      </c>
      <c r="E90" t="s">
        <v>18</v>
      </c>
      <c r="F90" s="2" t="s">
        <v>290</v>
      </c>
      <c r="G90" s="3">
        <v>2</v>
      </c>
      <c r="H90" s="3">
        <v>7</v>
      </c>
      <c r="I90" s="3">
        <v>7</v>
      </c>
      <c r="J90" s="3">
        <v>7</v>
      </c>
      <c r="K90" s="3">
        <v>7</v>
      </c>
      <c r="L90">
        <v>24</v>
      </c>
      <c r="M90">
        <v>28</v>
      </c>
      <c r="N90">
        <v>76</v>
      </c>
      <c r="O90">
        <v>72</v>
      </c>
      <c r="P90" s="3">
        <v>7</v>
      </c>
      <c r="Q90" s="3">
        <v>7</v>
      </c>
      <c r="R90" s="3">
        <v>7</v>
      </c>
      <c r="S90" s="3">
        <v>7</v>
      </c>
      <c r="T90" s="3">
        <v>7</v>
      </c>
      <c r="U90" s="3">
        <v>5</v>
      </c>
      <c r="V90" t="s">
        <v>169</v>
      </c>
      <c r="W90" s="3" t="s">
        <v>28</v>
      </c>
      <c r="X90" s="3" t="s">
        <v>28</v>
      </c>
      <c r="Y90">
        <v>41</v>
      </c>
      <c r="Z90">
        <v>20.5</v>
      </c>
      <c r="AA90">
        <v>36</v>
      </c>
      <c r="AB90">
        <v>6</v>
      </c>
      <c r="AC90">
        <v>18</v>
      </c>
      <c r="AD90">
        <v>70</v>
      </c>
      <c r="AE90">
        <v>6</v>
      </c>
      <c r="AF90">
        <v>30</v>
      </c>
      <c r="AG90" s="3">
        <v>10</v>
      </c>
      <c r="AH90" s="3">
        <v>15106</v>
      </c>
      <c r="AI90" t="s">
        <v>63</v>
      </c>
      <c r="AJ90" t="s">
        <v>22</v>
      </c>
      <c r="AK90" t="s">
        <v>22</v>
      </c>
      <c r="AL90">
        <v>4343</v>
      </c>
    </row>
    <row r="91" spans="1:38" x14ac:dyDescent="0.3">
      <c r="A91" s="3" t="str">
        <f>UPPER(TEXT(Tabela1[[#This Row],[Data]],"MMM"))</f>
        <v>SET</v>
      </c>
      <c r="B91" t="s">
        <v>296</v>
      </c>
      <c r="C91" s="1" t="s">
        <v>297</v>
      </c>
      <c r="D91" s="1" t="s">
        <v>298</v>
      </c>
      <c r="E91" t="s">
        <v>18</v>
      </c>
      <c r="F91" s="2" t="s">
        <v>290</v>
      </c>
      <c r="G91" s="3">
        <v>2</v>
      </c>
      <c r="H91" s="3">
        <v>7</v>
      </c>
      <c r="I91" s="3">
        <v>7</v>
      </c>
      <c r="J91" s="3">
        <v>7</v>
      </c>
      <c r="K91" s="3">
        <v>5</v>
      </c>
      <c r="L91">
        <v>19</v>
      </c>
      <c r="M91">
        <v>32</v>
      </c>
      <c r="N91">
        <v>81</v>
      </c>
      <c r="O91">
        <v>68</v>
      </c>
      <c r="P91" s="3">
        <v>7</v>
      </c>
      <c r="Q91" s="3">
        <v>7</v>
      </c>
      <c r="R91" s="3">
        <v>7</v>
      </c>
      <c r="S91" s="3">
        <v>7</v>
      </c>
      <c r="T91" s="3">
        <v>7</v>
      </c>
      <c r="U91" s="3">
        <v>5</v>
      </c>
      <c r="V91" t="s">
        <v>169</v>
      </c>
      <c r="W91" s="3">
        <v>7</v>
      </c>
      <c r="X91" s="3">
        <v>7</v>
      </c>
      <c r="Y91">
        <v>48</v>
      </c>
      <c r="Z91">
        <v>24</v>
      </c>
      <c r="AA91">
        <v>34</v>
      </c>
      <c r="AB91">
        <v>5</v>
      </c>
      <c r="AC91">
        <v>17</v>
      </c>
      <c r="AD91">
        <v>75</v>
      </c>
      <c r="AE91">
        <v>7</v>
      </c>
      <c r="AF91">
        <v>35</v>
      </c>
      <c r="AG91" s="3">
        <v>7</v>
      </c>
      <c r="AH91" s="3">
        <v>40762</v>
      </c>
      <c r="AI91" t="s">
        <v>36</v>
      </c>
      <c r="AJ91" t="s">
        <v>22</v>
      </c>
      <c r="AK91" t="s">
        <v>22</v>
      </c>
      <c r="AL91">
        <v>3231</v>
      </c>
    </row>
    <row r="92" spans="1:38" x14ac:dyDescent="0.3">
      <c r="A92" s="3" t="str">
        <f>UPPER(TEXT(Tabela1[[#This Row],[Data]],"MMM"))</f>
        <v>AGO</v>
      </c>
      <c r="B92" t="s">
        <v>300</v>
      </c>
      <c r="C92" s="1"/>
      <c r="D92" s="1"/>
      <c r="E92" t="s">
        <v>299</v>
      </c>
      <c r="F92" s="2" t="s">
        <v>279</v>
      </c>
      <c r="G92" s="3">
        <v>1</v>
      </c>
      <c r="H92" s="3">
        <v>10</v>
      </c>
      <c r="I92" s="3">
        <v>10</v>
      </c>
      <c r="J92" s="3">
        <v>7</v>
      </c>
      <c r="K92" s="3">
        <v>7</v>
      </c>
      <c r="L92">
        <v>17</v>
      </c>
      <c r="M92">
        <v>12</v>
      </c>
      <c r="N92">
        <v>83</v>
      </c>
      <c r="O92">
        <v>88</v>
      </c>
      <c r="P92" s="3">
        <v>7</v>
      </c>
      <c r="Q92" s="3">
        <v>10</v>
      </c>
      <c r="R92" s="3">
        <v>10</v>
      </c>
      <c r="S92" s="3">
        <v>7</v>
      </c>
      <c r="T92" s="3">
        <v>7</v>
      </c>
      <c r="U92" s="3">
        <v>10</v>
      </c>
      <c r="V92" t="s">
        <v>28</v>
      </c>
      <c r="W92" s="3">
        <v>10</v>
      </c>
      <c r="X92" s="3">
        <v>10</v>
      </c>
      <c r="Y92">
        <v>86</v>
      </c>
      <c r="Z92">
        <v>43</v>
      </c>
      <c r="AA92">
        <v>43</v>
      </c>
      <c r="AB92">
        <v>11</v>
      </c>
      <c r="AC92">
        <v>21.5</v>
      </c>
      <c r="AD92">
        <v>44.999999999999993</v>
      </c>
      <c r="AE92">
        <v>2</v>
      </c>
      <c r="AF92">
        <v>10</v>
      </c>
    </row>
    <row r="93" spans="1:38" x14ac:dyDescent="0.3">
      <c r="A93" s="3" t="str">
        <f>UPPER(TEXT(Tabela1[[#This Row],[Data]],"MMM"))</f>
        <v>AGO</v>
      </c>
      <c r="B93" t="s">
        <v>301</v>
      </c>
      <c r="C93" s="1"/>
      <c r="D93" s="1"/>
      <c r="E93" t="s">
        <v>299</v>
      </c>
      <c r="F93" s="2" t="s">
        <v>269</v>
      </c>
      <c r="G93" s="3">
        <v>1</v>
      </c>
      <c r="H93" s="3">
        <v>10</v>
      </c>
      <c r="I93" s="3">
        <v>10</v>
      </c>
      <c r="J93" s="3">
        <v>7</v>
      </c>
      <c r="K93" s="3">
        <v>5</v>
      </c>
      <c r="L93">
        <v>21</v>
      </c>
      <c r="M93">
        <v>39</v>
      </c>
      <c r="N93">
        <v>79</v>
      </c>
      <c r="O93">
        <v>61</v>
      </c>
      <c r="P93" s="3">
        <v>10</v>
      </c>
      <c r="Q93" s="3">
        <v>10</v>
      </c>
      <c r="R93" s="3">
        <v>7</v>
      </c>
      <c r="S93" s="3">
        <v>10</v>
      </c>
      <c r="T93" s="3">
        <v>5</v>
      </c>
      <c r="U93" s="3">
        <v>7</v>
      </c>
      <c r="V93" t="s">
        <v>28</v>
      </c>
      <c r="W93" s="3">
        <v>7</v>
      </c>
      <c r="X93" s="3">
        <v>7</v>
      </c>
      <c r="Y93">
        <v>71</v>
      </c>
      <c r="Z93">
        <v>35.5</v>
      </c>
      <c r="AA93">
        <v>78</v>
      </c>
      <c r="AB93">
        <v>15</v>
      </c>
      <c r="AC93">
        <v>39</v>
      </c>
      <c r="AD93">
        <v>25</v>
      </c>
      <c r="AE93">
        <v>4</v>
      </c>
      <c r="AF93">
        <v>20</v>
      </c>
    </row>
    <row r="94" spans="1:38" x14ac:dyDescent="0.3">
      <c r="A94" s="3" t="str">
        <f>UPPER(TEXT(Tabela1[[#This Row],[Data]],"MMM"))</f>
        <v>AGO</v>
      </c>
      <c r="B94" t="s">
        <v>302</v>
      </c>
      <c r="C94" s="1"/>
      <c r="D94" s="1"/>
      <c r="E94" t="s">
        <v>299</v>
      </c>
      <c r="F94" s="2" t="s">
        <v>245</v>
      </c>
      <c r="G94" s="3">
        <v>1</v>
      </c>
      <c r="H94" s="3">
        <v>10</v>
      </c>
      <c r="I94" s="3">
        <v>10</v>
      </c>
      <c r="J94" s="3">
        <v>7</v>
      </c>
      <c r="K94" s="3">
        <v>10</v>
      </c>
      <c r="L94">
        <v>9</v>
      </c>
      <c r="M94">
        <v>44</v>
      </c>
      <c r="N94">
        <v>91</v>
      </c>
      <c r="O94">
        <v>56</v>
      </c>
      <c r="P94" s="3">
        <v>7</v>
      </c>
      <c r="Q94" s="3">
        <v>10</v>
      </c>
      <c r="R94" s="3">
        <v>7</v>
      </c>
      <c r="S94" s="3">
        <v>10</v>
      </c>
      <c r="T94" s="3">
        <v>10</v>
      </c>
      <c r="U94" s="3">
        <v>5</v>
      </c>
      <c r="V94" t="s">
        <v>28</v>
      </c>
      <c r="W94" s="3">
        <v>10</v>
      </c>
      <c r="X94" s="3">
        <v>10</v>
      </c>
      <c r="Y94">
        <v>50</v>
      </c>
      <c r="Z94">
        <v>25</v>
      </c>
      <c r="AA94">
        <v>57</v>
      </c>
      <c r="AB94">
        <v>6</v>
      </c>
      <c r="AC94">
        <v>28.499999999999996</v>
      </c>
      <c r="AD94">
        <v>70</v>
      </c>
      <c r="AE94">
        <v>2</v>
      </c>
      <c r="AF94">
        <v>10</v>
      </c>
    </row>
    <row r="95" spans="1:38" x14ac:dyDescent="0.3">
      <c r="A95" s="3" t="str">
        <f>UPPER(TEXT(Tabela1[[#This Row],[Data]],"MMM"))</f>
        <v>AGO</v>
      </c>
      <c r="B95" t="s">
        <v>303</v>
      </c>
      <c r="C95" s="1"/>
      <c r="D95" s="1"/>
      <c r="E95" t="s">
        <v>299</v>
      </c>
      <c r="F95" s="2" t="s">
        <v>234</v>
      </c>
      <c r="G95" s="3">
        <v>1</v>
      </c>
      <c r="H95" s="3">
        <v>7</v>
      </c>
      <c r="I95" s="3">
        <v>10</v>
      </c>
      <c r="J95" s="3">
        <v>7</v>
      </c>
      <c r="K95" s="3">
        <v>5</v>
      </c>
      <c r="L95">
        <v>14</v>
      </c>
      <c r="M95">
        <v>36</v>
      </c>
      <c r="N95">
        <v>86</v>
      </c>
      <c r="O95">
        <v>64</v>
      </c>
      <c r="P95" s="3">
        <v>7</v>
      </c>
      <c r="Q95" s="3">
        <v>10</v>
      </c>
      <c r="R95" s="3">
        <v>7</v>
      </c>
      <c r="S95" s="3">
        <v>7</v>
      </c>
      <c r="T95" s="3">
        <v>7</v>
      </c>
      <c r="U95" s="3">
        <v>5</v>
      </c>
      <c r="V95" t="s">
        <v>28</v>
      </c>
      <c r="W95" s="3">
        <v>10</v>
      </c>
      <c r="X95" s="3">
        <v>10</v>
      </c>
      <c r="Y95" t="s">
        <v>28</v>
      </c>
      <c r="Z95" t="s">
        <v>28</v>
      </c>
      <c r="AB95">
        <v>8</v>
      </c>
      <c r="AC95" t="s">
        <v>28</v>
      </c>
      <c r="AD95">
        <v>60</v>
      </c>
      <c r="AE95">
        <v>1</v>
      </c>
      <c r="AF95">
        <v>5</v>
      </c>
    </row>
    <row r="96" spans="1:38" x14ac:dyDescent="0.3">
      <c r="A96" s="3" t="str">
        <f>UPPER(TEXT(Tabela1[[#This Row],[Data]],"MMM"))</f>
        <v>AGO</v>
      </c>
      <c r="B96" t="s">
        <v>304</v>
      </c>
      <c r="C96" s="1"/>
      <c r="D96" s="1"/>
      <c r="E96" t="s">
        <v>299</v>
      </c>
      <c r="F96" s="2" t="s">
        <v>225</v>
      </c>
      <c r="G96" s="3">
        <v>1</v>
      </c>
      <c r="H96" s="3">
        <v>5</v>
      </c>
      <c r="I96" s="3">
        <v>10</v>
      </c>
      <c r="J96" s="3">
        <v>7</v>
      </c>
      <c r="K96" s="3">
        <v>5</v>
      </c>
      <c r="L96">
        <v>17</v>
      </c>
      <c r="M96">
        <v>31</v>
      </c>
      <c r="N96">
        <v>83</v>
      </c>
      <c r="O96">
        <v>69</v>
      </c>
      <c r="P96" s="3">
        <v>10</v>
      </c>
      <c r="Q96" s="3">
        <v>7</v>
      </c>
      <c r="R96" s="3">
        <v>10</v>
      </c>
      <c r="S96" s="3">
        <v>5</v>
      </c>
      <c r="T96" s="3">
        <v>7</v>
      </c>
      <c r="U96" s="3">
        <v>5</v>
      </c>
      <c r="V96">
        <v>37</v>
      </c>
      <c r="W96" s="3">
        <v>7</v>
      </c>
      <c r="X96" s="3">
        <v>7</v>
      </c>
      <c r="Y96">
        <v>44</v>
      </c>
      <c r="Z96">
        <v>22</v>
      </c>
      <c r="AB96">
        <v>13</v>
      </c>
      <c r="AC96" t="s">
        <v>28</v>
      </c>
      <c r="AD96">
        <v>35</v>
      </c>
      <c r="AE96">
        <v>1</v>
      </c>
      <c r="AF96">
        <v>5</v>
      </c>
    </row>
    <row r="97" spans="1:38" x14ac:dyDescent="0.3">
      <c r="A97" s="3" t="str">
        <f>UPPER(TEXT(Tabela1[[#This Row],[Data]],"MMM"))</f>
        <v>SET</v>
      </c>
      <c r="B97" t="s">
        <v>287</v>
      </c>
      <c r="C97" s="1" t="s">
        <v>288</v>
      </c>
      <c r="D97" s="1" t="s">
        <v>289</v>
      </c>
      <c r="E97" t="s">
        <v>18</v>
      </c>
      <c r="F97" s="2" t="s">
        <v>290</v>
      </c>
      <c r="G97" s="3">
        <v>2</v>
      </c>
      <c r="H97" s="3">
        <v>7</v>
      </c>
      <c r="I97" s="3">
        <v>7</v>
      </c>
      <c r="J97" s="3">
        <v>7</v>
      </c>
      <c r="K97" s="3">
        <v>5</v>
      </c>
      <c r="L97">
        <v>19</v>
      </c>
      <c r="M97">
        <v>42</v>
      </c>
      <c r="N97">
        <v>81</v>
      </c>
      <c r="O97">
        <v>58</v>
      </c>
      <c r="P97" s="3">
        <v>7</v>
      </c>
      <c r="Q97" s="3">
        <v>7</v>
      </c>
      <c r="R97" s="3">
        <v>7</v>
      </c>
      <c r="S97" s="3">
        <v>5</v>
      </c>
      <c r="T97" s="3">
        <v>7</v>
      </c>
      <c r="U97" s="3">
        <v>5</v>
      </c>
      <c r="V97" t="s">
        <v>169</v>
      </c>
      <c r="W97" s="3">
        <v>10</v>
      </c>
      <c r="X97" s="3">
        <v>10</v>
      </c>
      <c r="Y97">
        <v>43</v>
      </c>
      <c r="Z97">
        <v>21.5</v>
      </c>
      <c r="AA97">
        <v>54</v>
      </c>
      <c r="AB97">
        <v>5</v>
      </c>
      <c r="AC97">
        <v>27</v>
      </c>
      <c r="AD97">
        <v>75</v>
      </c>
      <c r="AE97">
        <v>4</v>
      </c>
      <c r="AF97">
        <v>20</v>
      </c>
      <c r="AG97" s="3">
        <v>7</v>
      </c>
      <c r="AH97" s="3">
        <v>864048</v>
      </c>
      <c r="AI97" t="s">
        <v>36</v>
      </c>
      <c r="AJ97" t="s">
        <v>22</v>
      </c>
      <c r="AK97" t="s">
        <v>22</v>
      </c>
      <c r="AL97">
        <v>3620</v>
      </c>
    </row>
    <row r="98" spans="1:38" x14ac:dyDescent="0.3">
      <c r="A98" s="3" t="str">
        <f>UPPER(TEXT(Tabela1[[#This Row],[Data]],"MMM"))</f>
        <v>SET</v>
      </c>
      <c r="B98" t="s">
        <v>291</v>
      </c>
      <c r="C98" s="1" t="s">
        <v>292</v>
      </c>
      <c r="D98" s="1" t="s">
        <v>293</v>
      </c>
      <c r="E98" t="s">
        <v>18</v>
      </c>
      <c r="F98" s="2" t="s">
        <v>290</v>
      </c>
      <c r="G98" s="3">
        <v>2</v>
      </c>
      <c r="H98" s="3">
        <v>7</v>
      </c>
      <c r="I98" s="3">
        <v>7</v>
      </c>
      <c r="J98" s="3">
        <v>7</v>
      </c>
      <c r="K98" s="3">
        <v>5</v>
      </c>
      <c r="L98">
        <v>25</v>
      </c>
      <c r="M98">
        <v>36</v>
      </c>
      <c r="N98">
        <v>75</v>
      </c>
      <c r="O98">
        <v>64</v>
      </c>
      <c r="P98" s="3">
        <v>5</v>
      </c>
      <c r="Q98" s="3">
        <v>7</v>
      </c>
      <c r="R98" s="3">
        <v>7</v>
      </c>
      <c r="S98" s="3">
        <v>7</v>
      </c>
      <c r="T98" s="3">
        <v>7</v>
      </c>
      <c r="U98" s="3">
        <v>5</v>
      </c>
      <c r="V98" t="s">
        <v>20</v>
      </c>
      <c r="W98" s="3">
        <v>10</v>
      </c>
      <c r="X98" s="3">
        <v>10</v>
      </c>
      <c r="Y98">
        <v>36</v>
      </c>
      <c r="Z98">
        <v>18</v>
      </c>
      <c r="AA98">
        <v>41</v>
      </c>
      <c r="AB98">
        <v>3</v>
      </c>
      <c r="AC98">
        <v>20.5</v>
      </c>
      <c r="AD98">
        <v>85</v>
      </c>
      <c r="AE98">
        <v>5</v>
      </c>
      <c r="AF98">
        <v>25</v>
      </c>
      <c r="AG98" s="3">
        <v>7</v>
      </c>
      <c r="AH98" s="3">
        <v>42846</v>
      </c>
      <c r="AI98" t="s">
        <v>36</v>
      </c>
      <c r="AJ98" t="s">
        <v>22</v>
      </c>
      <c r="AK98" t="s">
        <v>22</v>
      </c>
      <c r="AL98">
        <v>3009</v>
      </c>
    </row>
    <row r="99" spans="1:38" x14ac:dyDescent="0.3">
      <c r="A99" s="3" t="str">
        <f>UPPER(TEXT(Tabela1[[#This Row],[Data]],"MMM"))</f>
        <v>SET</v>
      </c>
      <c r="B99" t="s">
        <v>294</v>
      </c>
      <c r="C99" s="1" t="s">
        <v>295</v>
      </c>
      <c r="D99" s="1" t="s">
        <v>293</v>
      </c>
      <c r="E99" t="s">
        <v>18</v>
      </c>
      <c r="F99" s="2" t="s">
        <v>290</v>
      </c>
      <c r="G99" s="3">
        <v>2</v>
      </c>
      <c r="H99" s="3">
        <v>7</v>
      </c>
      <c r="I99" s="3">
        <v>7</v>
      </c>
      <c r="J99" s="3">
        <v>7</v>
      </c>
      <c r="K99" s="3">
        <v>7</v>
      </c>
      <c r="L99">
        <v>24</v>
      </c>
      <c r="M99">
        <v>28</v>
      </c>
      <c r="N99">
        <v>76</v>
      </c>
      <c r="O99">
        <v>72</v>
      </c>
      <c r="P99" s="3">
        <v>7</v>
      </c>
      <c r="Q99" s="3">
        <v>7</v>
      </c>
      <c r="R99" s="3">
        <v>7</v>
      </c>
      <c r="S99" s="3">
        <v>7</v>
      </c>
      <c r="T99" s="3">
        <v>7</v>
      </c>
      <c r="U99" s="3">
        <v>5</v>
      </c>
      <c r="V99" t="s">
        <v>169</v>
      </c>
      <c r="W99" s="3" t="s">
        <v>28</v>
      </c>
      <c r="X99" s="3" t="s">
        <v>28</v>
      </c>
      <c r="Y99">
        <v>41</v>
      </c>
      <c r="Z99">
        <v>20.5</v>
      </c>
      <c r="AA99">
        <v>36</v>
      </c>
      <c r="AB99">
        <v>6</v>
      </c>
      <c r="AC99">
        <v>18</v>
      </c>
      <c r="AD99">
        <v>70</v>
      </c>
      <c r="AE99">
        <v>6</v>
      </c>
      <c r="AF99">
        <v>30</v>
      </c>
      <c r="AG99" s="3">
        <v>10</v>
      </c>
      <c r="AH99" s="3">
        <v>15106</v>
      </c>
      <c r="AI99" t="s">
        <v>63</v>
      </c>
      <c r="AJ99" t="s">
        <v>22</v>
      </c>
      <c r="AK99" t="s">
        <v>22</v>
      </c>
      <c r="AL99">
        <v>4343</v>
      </c>
    </row>
    <row r="100" spans="1:38" x14ac:dyDescent="0.3">
      <c r="A100" s="3" t="str">
        <f>UPPER(TEXT(Tabela1[[#This Row],[Data]],"MMM"))</f>
        <v>SET</v>
      </c>
      <c r="B100" t="s">
        <v>296</v>
      </c>
      <c r="C100" s="1" t="s">
        <v>297</v>
      </c>
      <c r="D100" s="1" t="s">
        <v>298</v>
      </c>
      <c r="E100" t="s">
        <v>18</v>
      </c>
      <c r="F100" s="2" t="s">
        <v>290</v>
      </c>
      <c r="G100" s="3">
        <v>2</v>
      </c>
      <c r="H100" s="3">
        <v>7</v>
      </c>
      <c r="I100" s="3">
        <v>7</v>
      </c>
      <c r="J100" s="3">
        <v>7</v>
      </c>
      <c r="K100" s="3">
        <v>5</v>
      </c>
      <c r="L100">
        <v>19</v>
      </c>
      <c r="M100">
        <v>32</v>
      </c>
      <c r="N100">
        <v>81</v>
      </c>
      <c r="O100">
        <v>68</v>
      </c>
      <c r="P100" s="3">
        <v>7</v>
      </c>
      <c r="Q100" s="3">
        <v>7</v>
      </c>
      <c r="R100" s="3">
        <v>7</v>
      </c>
      <c r="S100" s="3">
        <v>7</v>
      </c>
      <c r="T100" s="3">
        <v>7</v>
      </c>
      <c r="U100" s="3">
        <v>5</v>
      </c>
      <c r="V100" t="s">
        <v>169</v>
      </c>
      <c r="W100" s="3">
        <v>7</v>
      </c>
      <c r="X100" s="3">
        <v>7</v>
      </c>
      <c r="Y100">
        <v>48</v>
      </c>
      <c r="Z100">
        <v>24</v>
      </c>
      <c r="AA100">
        <v>34</v>
      </c>
      <c r="AB100">
        <v>5</v>
      </c>
      <c r="AC100">
        <v>17</v>
      </c>
      <c r="AD100">
        <v>75</v>
      </c>
      <c r="AE100">
        <v>7</v>
      </c>
      <c r="AF100">
        <v>35</v>
      </c>
      <c r="AG100" s="3">
        <v>7</v>
      </c>
      <c r="AH100" s="3">
        <v>40762</v>
      </c>
      <c r="AI100" t="s">
        <v>36</v>
      </c>
      <c r="AJ100" t="s">
        <v>22</v>
      </c>
      <c r="AK100" t="s">
        <v>22</v>
      </c>
      <c r="AL100">
        <v>3231</v>
      </c>
    </row>
    <row r="101" spans="1:38" x14ac:dyDescent="0.3">
      <c r="A101" s="3" t="str">
        <f>UPPER(TEXT(Tabela1[[#This Row],[Data]],"MMM"))</f>
        <v>AGO</v>
      </c>
      <c r="B101" t="s">
        <v>276</v>
      </c>
      <c r="C101" s="1" t="s">
        <v>277</v>
      </c>
      <c r="D101" s="1" t="s">
        <v>278</v>
      </c>
      <c r="E101" t="s">
        <v>18</v>
      </c>
      <c r="F101" s="2" t="s">
        <v>279</v>
      </c>
      <c r="G101" s="3">
        <v>2</v>
      </c>
      <c r="H101" s="3">
        <v>7</v>
      </c>
      <c r="I101" s="3">
        <v>7</v>
      </c>
      <c r="J101" s="3">
        <v>7</v>
      </c>
      <c r="K101" s="3">
        <v>5</v>
      </c>
      <c r="L101">
        <v>22</v>
      </c>
      <c r="M101">
        <v>29</v>
      </c>
      <c r="N101">
        <v>78</v>
      </c>
      <c r="O101">
        <v>71</v>
      </c>
      <c r="P101" s="3">
        <v>7</v>
      </c>
      <c r="Q101" s="3">
        <v>7</v>
      </c>
      <c r="R101" s="3">
        <v>7</v>
      </c>
      <c r="S101" s="3">
        <v>7</v>
      </c>
      <c r="T101" s="3">
        <v>7</v>
      </c>
      <c r="U101" s="3">
        <v>5</v>
      </c>
      <c r="V101" t="s">
        <v>20</v>
      </c>
      <c r="W101" s="3">
        <v>7</v>
      </c>
      <c r="X101" s="3">
        <v>7</v>
      </c>
      <c r="Y101">
        <v>41</v>
      </c>
      <c r="Z101">
        <v>20.5</v>
      </c>
      <c r="AA101">
        <v>39</v>
      </c>
      <c r="AB101">
        <v>5</v>
      </c>
      <c r="AC101">
        <v>19.5</v>
      </c>
      <c r="AD101">
        <v>75</v>
      </c>
      <c r="AE101">
        <v>5</v>
      </c>
      <c r="AF101">
        <v>25</v>
      </c>
      <c r="AG101" s="3">
        <v>10</v>
      </c>
      <c r="AH101" s="3">
        <v>15105</v>
      </c>
      <c r="AI101" t="s">
        <v>63</v>
      </c>
      <c r="AJ101" t="s">
        <v>22</v>
      </c>
      <c r="AK101" t="s">
        <v>22</v>
      </c>
      <c r="AL101">
        <v>704</v>
      </c>
    </row>
    <row r="102" spans="1:38" x14ac:dyDescent="0.3">
      <c r="A102" s="3" t="str">
        <f>UPPER(TEXT(Tabela1[[#This Row],[Data]],"MMM"))</f>
        <v>SET</v>
      </c>
      <c r="B102" t="s">
        <v>307</v>
      </c>
      <c r="C102" s="1" t="s">
        <v>308</v>
      </c>
      <c r="D102" s="1" t="s">
        <v>309</v>
      </c>
      <c r="E102" t="s">
        <v>18</v>
      </c>
      <c r="F102" s="2" t="s">
        <v>310</v>
      </c>
      <c r="G102" s="3">
        <v>2</v>
      </c>
      <c r="H102" s="3">
        <v>7</v>
      </c>
      <c r="I102" s="3">
        <v>7</v>
      </c>
      <c r="J102" s="3">
        <v>7</v>
      </c>
      <c r="K102" s="3">
        <v>5</v>
      </c>
      <c r="L102">
        <v>15</v>
      </c>
      <c r="M102">
        <v>26</v>
      </c>
      <c r="N102">
        <v>85</v>
      </c>
      <c r="O102">
        <v>74</v>
      </c>
      <c r="P102" s="3">
        <v>7</v>
      </c>
      <c r="Q102" s="3">
        <v>7</v>
      </c>
      <c r="R102" s="3">
        <v>7</v>
      </c>
      <c r="S102" s="3">
        <v>7</v>
      </c>
      <c r="T102" s="3">
        <v>7</v>
      </c>
      <c r="U102" s="3">
        <v>7</v>
      </c>
      <c r="V102" t="s">
        <v>20</v>
      </c>
      <c r="W102" s="3">
        <v>10</v>
      </c>
      <c r="X102" s="3">
        <v>10</v>
      </c>
      <c r="Y102">
        <v>56</v>
      </c>
      <c r="Z102">
        <v>28.000000000000004</v>
      </c>
      <c r="AA102">
        <v>41</v>
      </c>
      <c r="AB102">
        <v>6</v>
      </c>
      <c r="AC102">
        <v>20.5</v>
      </c>
      <c r="AD102">
        <v>70</v>
      </c>
      <c r="AE102">
        <v>9</v>
      </c>
      <c r="AF102">
        <v>45</v>
      </c>
      <c r="AG102" s="3">
        <v>7</v>
      </c>
      <c r="AH102" s="3">
        <v>992093</v>
      </c>
      <c r="AI102" t="s">
        <v>186</v>
      </c>
      <c r="AJ102" t="s">
        <v>22</v>
      </c>
      <c r="AK102" t="s">
        <v>22</v>
      </c>
      <c r="AL102">
        <v>6804</v>
      </c>
    </row>
    <row r="103" spans="1:38" x14ac:dyDescent="0.3">
      <c r="A103" s="3" t="str">
        <f>UPPER(TEXT(Tabela1[[#This Row],[Data]],"MMM"))</f>
        <v>SET</v>
      </c>
      <c r="B103" t="s">
        <v>311</v>
      </c>
      <c r="C103" s="1" t="s">
        <v>312</v>
      </c>
      <c r="D103" s="1" t="s">
        <v>309</v>
      </c>
      <c r="E103" t="s">
        <v>18</v>
      </c>
      <c r="F103" s="2" t="s">
        <v>310</v>
      </c>
      <c r="G103" s="3">
        <v>2</v>
      </c>
      <c r="H103" s="3">
        <v>5</v>
      </c>
      <c r="I103" s="3">
        <v>7</v>
      </c>
      <c r="J103" s="3">
        <v>7</v>
      </c>
      <c r="K103" s="3">
        <v>5</v>
      </c>
      <c r="L103">
        <v>23</v>
      </c>
      <c r="M103">
        <v>33</v>
      </c>
      <c r="N103">
        <v>77</v>
      </c>
      <c r="O103">
        <v>67</v>
      </c>
      <c r="P103" s="3">
        <v>7</v>
      </c>
      <c r="Q103" s="3">
        <v>7</v>
      </c>
      <c r="R103" s="3">
        <v>7</v>
      </c>
      <c r="S103" s="3">
        <v>7</v>
      </c>
      <c r="T103" s="3">
        <v>7</v>
      </c>
      <c r="U103" s="3">
        <v>7</v>
      </c>
      <c r="V103" t="s">
        <v>169</v>
      </c>
      <c r="W103" s="3" t="s">
        <v>28</v>
      </c>
      <c r="X103" s="3" t="s">
        <v>28</v>
      </c>
      <c r="Y103">
        <v>39</v>
      </c>
      <c r="Z103">
        <v>19.5</v>
      </c>
      <c r="AA103">
        <v>33</v>
      </c>
      <c r="AB103">
        <v>6</v>
      </c>
      <c r="AC103">
        <v>16.5</v>
      </c>
      <c r="AD103">
        <v>70</v>
      </c>
      <c r="AE103">
        <v>9</v>
      </c>
      <c r="AF103">
        <v>45</v>
      </c>
      <c r="AG103" s="3">
        <v>7</v>
      </c>
      <c r="AH103" s="3">
        <v>962925</v>
      </c>
      <c r="AI103" t="s">
        <v>36</v>
      </c>
      <c r="AJ103" t="s">
        <v>22</v>
      </c>
      <c r="AK103" t="s">
        <v>22</v>
      </c>
      <c r="AL103">
        <v>2362</v>
      </c>
    </row>
    <row r="104" spans="1:38" x14ac:dyDescent="0.3">
      <c r="A104" s="3" t="str">
        <f>UPPER(TEXT(Tabela1[[#This Row],[Data]],"MMM"))</f>
        <v>SET</v>
      </c>
      <c r="B104" t="s">
        <v>313</v>
      </c>
      <c r="C104" s="1" t="s">
        <v>314</v>
      </c>
      <c r="D104" s="1" t="s">
        <v>309</v>
      </c>
      <c r="E104" t="s">
        <v>18</v>
      </c>
      <c r="F104" s="2" t="s">
        <v>310</v>
      </c>
      <c r="G104" s="3">
        <v>2</v>
      </c>
      <c r="H104" s="3">
        <v>7</v>
      </c>
      <c r="I104" s="3">
        <v>7</v>
      </c>
      <c r="J104" s="3">
        <v>7</v>
      </c>
      <c r="K104" s="3">
        <v>5</v>
      </c>
      <c r="L104">
        <v>18</v>
      </c>
      <c r="M104">
        <v>39</v>
      </c>
      <c r="N104">
        <v>82</v>
      </c>
      <c r="O104">
        <v>61</v>
      </c>
      <c r="P104" s="3">
        <v>7</v>
      </c>
      <c r="Q104" s="3">
        <v>7</v>
      </c>
      <c r="R104" s="3">
        <v>7</v>
      </c>
      <c r="S104" s="3">
        <v>7</v>
      </c>
      <c r="T104" s="3">
        <v>7</v>
      </c>
      <c r="U104" s="3">
        <v>7</v>
      </c>
      <c r="V104" t="s">
        <v>99</v>
      </c>
      <c r="W104" s="3">
        <v>10</v>
      </c>
      <c r="X104" s="3">
        <v>10</v>
      </c>
      <c r="Y104">
        <v>41</v>
      </c>
      <c r="Z104">
        <v>20.5</v>
      </c>
      <c r="AA104">
        <v>41</v>
      </c>
      <c r="AB104">
        <v>4</v>
      </c>
      <c r="AC104">
        <v>20.5</v>
      </c>
      <c r="AD104">
        <v>80</v>
      </c>
      <c r="AE104">
        <v>6</v>
      </c>
      <c r="AF104">
        <v>30</v>
      </c>
      <c r="AG104" s="3">
        <v>7</v>
      </c>
      <c r="AH104" s="3">
        <v>42862</v>
      </c>
      <c r="AI104" t="s">
        <v>36</v>
      </c>
      <c r="AJ104" t="s">
        <v>22</v>
      </c>
      <c r="AK104" t="s">
        <v>22</v>
      </c>
      <c r="AL104">
        <v>4338</v>
      </c>
    </row>
    <row r="105" spans="1:38" x14ac:dyDescent="0.3">
      <c r="A105" s="3" t="str">
        <f>UPPER(TEXT(Tabela1[[#This Row],[Data]],"MMM"))</f>
        <v>SET</v>
      </c>
      <c r="B105" t="s">
        <v>315</v>
      </c>
      <c r="C105" s="1" t="s">
        <v>316</v>
      </c>
      <c r="D105" s="1" t="s">
        <v>317</v>
      </c>
      <c r="E105" t="s">
        <v>18</v>
      </c>
      <c r="F105" s="2" t="s">
        <v>310</v>
      </c>
      <c r="G105" s="3">
        <v>2</v>
      </c>
      <c r="H105" s="3">
        <v>7</v>
      </c>
      <c r="I105" s="3">
        <v>7</v>
      </c>
      <c r="J105" s="3">
        <v>7</v>
      </c>
      <c r="K105" s="3">
        <v>5</v>
      </c>
      <c r="L105">
        <v>18</v>
      </c>
      <c r="M105">
        <v>44</v>
      </c>
      <c r="N105">
        <v>82</v>
      </c>
      <c r="O105">
        <v>56</v>
      </c>
      <c r="P105" s="3">
        <v>7</v>
      </c>
      <c r="Q105" s="3">
        <v>7</v>
      </c>
      <c r="R105" s="3">
        <v>7</v>
      </c>
      <c r="S105" s="3">
        <v>7</v>
      </c>
      <c r="T105" s="3">
        <v>7</v>
      </c>
      <c r="U105" s="3">
        <v>7</v>
      </c>
      <c r="V105" t="s">
        <v>169</v>
      </c>
      <c r="W105" s="3">
        <v>10</v>
      </c>
      <c r="X105" s="3">
        <v>10</v>
      </c>
      <c r="Y105">
        <v>52</v>
      </c>
      <c r="Z105">
        <v>26</v>
      </c>
      <c r="AA105">
        <v>38</v>
      </c>
      <c r="AB105">
        <v>7</v>
      </c>
      <c r="AC105">
        <v>19</v>
      </c>
      <c r="AD105">
        <v>65</v>
      </c>
      <c r="AE105">
        <v>6</v>
      </c>
      <c r="AF105">
        <v>30</v>
      </c>
      <c r="AG105" s="3">
        <v>10</v>
      </c>
      <c r="AH105" s="3">
        <v>15105</v>
      </c>
      <c r="AI105" t="s">
        <v>318</v>
      </c>
      <c r="AJ105" t="s">
        <v>22</v>
      </c>
      <c r="AK105" t="s">
        <v>22</v>
      </c>
      <c r="AL105">
        <v>3285</v>
      </c>
    </row>
    <row r="106" spans="1:38" x14ac:dyDescent="0.3">
      <c r="A106" s="3" t="str">
        <f>UPPER(TEXT(Tabela1[[#This Row],[Data]],"MMM"))</f>
        <v>SET</v>
      </c>
      <c r="B106" t="s">
        <v>319</v>
      </c>
      <c r="C106" s="1" t="s">
        <v>320</v>
      </c>
      <c r="D106" s="1" t="s">
        <v>321</v>
      </c>
      <c r="E106" t="s">
        <v>18</v>
      </c>
      <c r="F106" s="2" t="s">
        <v>322</v>
      </c>
      <c r="G106" s="3">
        <v>2</v>
      </c>
      <c r="H106" s="3">
        <v>5</v>
      </c>
      <c r="I106" s="3">
        <v>10</v>
      </c>
      <c r="J106" s="3">
        <v>7</v>
      </c>
      <c r="K106" s="3">
        <v>5</v>
      </c>
      <c r="L106">
        <v>8</v>
      </c>
      <c r="M106">
        <v>23</v>
      </c>
      <c r="N106">
        <v>92</v>
      </c>
      <c r="O106">
        <v>77</v>
      </c>
      <c r="P106" s="3">
        <v>7</v>
      </c>
      <c r="Q106" s="3">
        <v>7</v>
      </c>
      <c r="R106" s="3">
        <v>7</v>
      </c>
      <c r="S106" s="3">
        <v>7</v>
      </c>
      <c r="T106" s="3">
        <v>7</v>
      </c>
      <c r="U106" s="3">
        <v>5</v>
      </c>
      <c r="V106" t="s">
        <v>169</v>
      </c>
      <c r="W106" s="3">
        <v>10</v>
      </c>
      <c r="X106" s="3">
        <v>10</v>
      </c>
      <c r="Y106">
        <v>25</v>
      </c>
      <c r="Z106">
        <v>12.5</v>
      </c>
      <c r="AA106">
        <v>37</v>
      </c>
      <c r="AB106">
        <v>5</v>
      </c>
      <c r="AC106">
        <v>18.5</v>
      </c>
      <c r="AD106">
        <v>75</v>
      </c>
      <c r="AE106">
        <v>5</v>
      </c>
      <c r="AF106">
        <v>25</v>
      </c>
      <c r="AG106" s="3">
        <v>7</v>
      </c>
      <c r="AH106" s="3">
        <v>42838</v>
      </c>
      <c r="AI106" t="s">
        <v>323</v>
      </c>
      <c r="AJ106" t="s">
        <v>22</v>
      </c>
      <c r="AK106" t="s">
        <v>22</v>
      </c>
      <c r="AL106">
        <v>3498</v>
      </c>
    </row>
    <row r="107" spans="1:38" x14ac:dyDescent="0.3">
      <c r="A107" s="3" t="str">
        <f>UPPER(TEXT(Tabela1[[#This Row],[Data]],"MMM"))</f>
        <v>SET</v>
      </c>
      <c r="B107" t="s">
        <v>324</v>
      </c>
      <c r="C107" s="1" t="s">
        <v>325</v>
      </c>
      <c r="D107" s="1" t="s">
        <v>326</v>
      </c>
      <c r="E107" t="s">
        <v>18</v>
      </c>
      <c r="F107" s="2" t="s">
        <v>322</v>
      </c>
      <c r="G107" s="3">
        <v>2</v>
      </c>
      <c r="H107" s="3">
        <v>7</v>
      </c>
      <c r="I107" s="3">
        <v>7</v>
      </c>
      <c r="J107" s="3">
        <v>7</v>
      </c>
      <c r="K107" s="3">
        <v>5</v>
      </c>
      <c r="L107">
        <v>17</v>
      </c>
      <c r="M107">
        <v>27</v>
      </c>
      <c r="N107">
        <v>83</v>
      </c>
      <c r="O107">
        <v>73</v>
      </c>
      <c r="P107" s="3">
        <v>7</v>
      </c>
      <c r="Q107" s="3">
        <v>7</v>
      </c>
      <c r="R107" s="3">
        <v>7</v>
      </c>
      <c r="S107" s="3">
        <v>7</v>
      </c>
      <c r="T107" s="3">
        <v>7</v>
      </c>
      <c r="U107" s="3">
        <v>5</v>
      </c>
      <c r="V107" t="s">
        <v>169</v>
      </c>
      <c r="W107" s="3">
        <v>10</v>
      </c>
      <c r="X107" s="3">
        <v>10</v>
      </c>
      <c r="Y107">
        <v>56</v>
      </c>
      <c r="Z107">
        <v>28.000000000000004</v>
      </c>
      <c r="AA107">
        <v>48</v>
      </c>
      <c r="AB107">
        <v>6</v>
      </c>
      <c r="AC107">
        <v>24</v>
      </c>
      <c r="AD107">
        <v>70</v>
      </c>
      <c r="AE107">
        <v>5</v>
      </c>
      <c r="AF107">
        <v>25</v>
      </c>
      <c r="AG107" s="3">
        <v>10</v>
      </c>
      <c r="AH107" s="3">
        <v>992093</v>
      </c>
      <c r="AI107" t="s">
        <v>63</v>
      </c>
      <c r="AJ107" t="s">
        <v>22</v>
      </c>
      <c r="AK107" t="s">
        <v>22</v>
      </c>
      <c r="AL107">
        <v>1639</v>
      </c>
    </row>
    <row r="108" spans="1:38" x14ac:dyDescent="0.3">
      <c r="A108" s="3" t="str">
        <f>UPPER(TEXT(Tabela1[[#This Row],[Data]],"MMM"))</f>
        <v>SET</v>
      </c>
      <c r="B108" t="s">
        <v>327</v>
      </c>
      <c r="C108" s="1" t="s">
        <v>328</v>
      </c>
      <c r="D108" s="1" t="s">
        <v>329</v>
      </c>
      <c r="E108" t="s">
        <v>18</v>
      </c>
      <c r="F108" s="2" t="s">
        <v>322</v>
      </c>
      <c r="G108" s="3">
        <v>2</v>
      </c>
      <c r="H108" s="3">
        <v>7</v>
      </c>
      <c r="I108" s="3">
        <v>7</v>
      </c>
      <c r="J108" s="3">
        <v>7</v>
      </c>
      <c r="K108" s="3">
        <v>7</v>
      </c>
      <c r="L108">
        <v>16</v>
      </c>
      <c r="M108">
        <v>29</v>
      </c>
      <c r="N108">
        <v>84</v>
      </c>
      <c r="O108">
        <v>71</v>
      </c>
      <c r="P108" s="3">
        <v>7</v>
      </c>
      <c r="Q108" s="3">
        <v>5</v>
      </c>
      <c r="R108" s="3">
        <v>7</v>
      </c>
      <c r="S108" s="3">
        <v>7</v>
      </c>
      <c r="T108" s="3">
        <v>7</v>
      </c>
      <c r="U108" s="3">
        <v>5</v>
      </c>
      <c r="V108" t="s">
        <v>330</v>
      </c>
      <c r="W108" s="3">
        <v>7</v>
      </c>
      <c r="X108" s="3">
        <v>7</v>
      </c>
      <c r="Y108">
        <v>47</v>
      </c>
      <c r="Z108">
        <v>23.5</v>
      </c>
      <c r="AA108">
        <v>44</v>
      </c>
      <c r="AB108">
        <v>44</v>
      </c>
      <c r="AC108">
        <v>22</v>
      </c>
      <c r="AE108">
        <v>3</v>
      </c>
      <c r="AF108">
        <v>15</v>
      </c>
      <c r="AG108" s="3">
        <v>7</v>
      </c>
      <c r="AH108" s="3">
        <v>42838</v>
      </c>
      <c r="AI108" t="s">
        <v>36</v>
      </c>
      <c r="AJ108" t="s">
        <v>22</v>
      </c>
      <c r="AK108" t="s">
        <v>22</v>
      </c>
      <c r="AL108">
        <v>4464</v>
      </c>
    </row>
    <row r="109" spans="1:38" x14ac:dyDescent="0.3">
      <c r="A109" s="3" t="str">
        <f>UPPER(TEXT(Tabela1[[#This Row],[Data]],"MMM"))</f>
        <v>SET</v>
      </c>
      <c r="B109" t="s">
        <v>331</v>
      </c>
      <c r="C109" s="1" t="s">
        <v>332</v>
      </c>
      <c r="D109" s="1" t="s">
        <v>329</v>
      </c>
      <c r="E109" t="s">
        <v>18</v>
      </c>
      <c r="F109" s="2" t="s">
        <v>322</v>
      </c>
      <c r="G109" s="3">
        <v>2</v>
      </c>
      <c r="H109" s="3">
        <v>7</v>
      </c>
      <c r="I109" s="3">
        <v>7</v>
      </c>
      <c r="J109" s="3">
        <v>7</v>
      </c>
      <c r="K109" s="3">
        <v>5</v>
      </c>
      <c r="L109">
        <v>19</v>
      </c>
      <c r="M109">
        <v>36</v>
      </c>
      <c r="N109">
        <v>81</v>
      </c>
      <c r="O109">
        <v>64</v>
      </c>
      <c r="P109" s="3">
        <v>7</v>
      </c>
      <c r="Q109" s="3">
        <v>5</v>
      </c>
      <c r="R109" s="3">
        <v>7</v>
      </c>
      <c r="S109" s="3">
        <v>7</v>
      </c>
      <c r="T109" s="3">
        <v>7</v>
      </c>
      <c r="U109" s="3">
        <v>5</v>
      </c>
      <c r="V109" t="s">
        <v>169</v>
      </c>
      <c r="W109" s="3">
        <v>10</v>
      </c>
      <c r="X109" s="3">
        <v>10</v>
      </c>
      <c r="Y109">
        <v>43</v>
      </c>
      <c r="Z109">
        <v>21.5</v>
      </c>
      <c r="AA109">
        <v>41</v>
      </c>
      <c r="AB109">
        <v>3</v>
      </c>
      <c r="AC109">
        <v>20.5</v>
      </c>
      <c r="AD109">
        <v>85</v>
      </c>
      <c r="AE109">
        <v>4</v>
      </c>
      <c r="AF109">
        <v>20</v>
      </c>
      <c r="AG109" s="3">
        <v>10</v>
      </c>
      <c r="AH109" s="3">
        <v>15105</v>
      </c>
      <c r="AI109" t="s">
        <v>63</v>
      </c>
      <c r="AJ109" t="s">
        <v>28</v>
      </c>
      <c r="AK109" t="s">
        <v>28</v>
      </c>
      <c r="AL109">
        <v>776</v>
      </c>
    </row>
    <row r="110" spans="1:38" x14ac:dyDescent="0.3">
      <c r="A110" s="3" t="str">
        <f>UPPER(TEXT(Tabela1[[#This Row],[Data]],"MMM"))</f>
        <v>SET</v>
      </c>
      <c r="B110" t="s">
        <v>333</v>
      </c>
      <c r="C110" s="1" t="s">
        <v>334</v>
      </c>
      <c r="D110" s="1" t="s">
        <v>335</v>
      </c>
      <c r="E110" t="s">
        <v>299</v>
      </c>
      <c r="F110" s="2" t="s">
        <v>310</v>
      </c>
      <c r="G110" s="3">
        <v>1</v>
      </c>
      <c r="H110" s="3">
        <v>7</v>
      </c>
      <c r="I110" s="3">
        <v>10</v>
      </c>
      <c r="J110" s="3">
        <v>7</v>
      </c>
      <c r="K110" s="3">
        <v>7</v>
      </c>
      <c r="L110">
        <v>21</v>
      </c>
      <c r="M110">
        <v>38</v>
      </c>
      <c r="N110">
        <v>79</v>
      </c>
      <c r="O110">
        <v>62</v>
      </c>
      <c r="P110" s="3">
        <v>5</v>
      </c>
      <c r="Q110" s="3">
        <v>10</v>
      </c>
      <c r="R110" s="3">
        <v>10</v>
      </c>
      <c r="S110" s="3">
        <v>10</v>
      </c>
      <c r="T110" s="3">
        <v>7</v>
      </c>
      <c r="U110" s="3">
        <v>10</v>
      </c>
      <c r="W110" s="3">
        <v>7</v>
      </c>
      <c r="X110" s="3">
        <v>7</v>
      </c>
      <c r="Y110">
        <v>52</v>
      </c>
      <c r="Z110">
        <v>26</v>
      </c>
      <c r="AA110">
        <v>51</v>
      </c>
      <c r="AB110">
        <v>14</v>
      </c>
      <c r="AC110">
        <v>25.5</v>
      </c>
      <c r="AD110">
        <v>30</v>
      </c>
      <c r="AE110">
        <v>0</v>
      </c>
    </row>
    <row r="111" spans="1:38" x14ac:dyDescent="0.3">
      <c r="A111" s="3" t="str">
        <f>UPPER(TEXT(Tabela1[[#This Row],[Data]],"MMM"))</f>
        <v>SET</v>
      </c>
      <c r="B111" s="33" t="s">
        <v>336</v>
      </c>
      <c r="C111" s="1" t="s">
        <v>337</v>
      </c>
      <c r="D111" s="1" t="s">
        <v>338</v>
      </c>
      <c r="E111" t="s">
        <v>18</v>
      </c>
      <c r="F111" s="2" t="s">
        <v>339</v>
      </c>
      <c r="G111" s="3">
        <v>2</v>
      </c>
      <c r="H111" s="3">
        <v>7</v>
      </c>
      <c r="I111" s="3">
        <v>7</v>
      </c>
      <c r="J111" s="3">
        <v>7</v>
      </c>
      <c r="K111" s="3">
        <v>5</v>
      </c>
      <c r="L111">
        <v>27</v>
      </c>
      <c r="M111">
        <v>19</v>
      </c>
      <c r="N111">
        <v>73</v>
      </c>
      <c r="O111">
        <v>81</v>
      </c>
      <c r="P111" s="3">
        <v>7</v>
      </c>
      <c r="Q111" s="3">
        <v>7</v>
      </c>
      <c r="R111" s="3">
        <v>7</v>
      </c>
      <c r="S111" s="3">
        <v>7</v>
      </c>
      <c r="T111" s="3">
        <v>7</v>
      </c>
      <c r="U111" s="3">
        <v>7</v>
      </c>
      <c r="V111" t="s">
        <v>169</v>
      </c>
      <c r="W111" s="3">
        <v>7</v>
      </c>
      <c r="X111" s="3">
        <v>7</v>
      </c>
      <c r="Y111">
        <v>53</v>
      </c>
      <c r="Z111">
        <v>26.5</v>
      </c>
      <c r="AA111">
        <v>34</v>
      </c>
      <c r="AB111">
        <v>4</v>
      </c>
      <c r="AC111">
        <v>17</v>
      </c>
      <c r="AD111">
        <v>80</v>
      </c>
      <c r="AE111">
        <v>4</v>
      </c>
      <c r="AF111">
        <v>20</v>
      </c>
      <c r="AG111" s="3">
        <v>7</v>
      </c>
      <c r="AH111" s="3">
        <v>42838</v>
      </c>
      <c r="AI111" t="s">
        <v>36</v>
      </c>
      <c r="AJ111" t="s">
        <v>22</v>
      </c>
      <c r="AK111" t="s">
        <v>22</v>
      </c>
      <c r="AL111">
        <v>4823</v>
      </c>
    </row>
    <row r="112" spans="1:38" x14ac:dyDescent="0.3">
      <c r="A112" s="3" t="str">
        <f>UPPER(TEXT(Tabela1[[#This Row],[Data]],"MMM"))</f>
        <v>SET</v>
      </c>
      <c r="B112" t="s">
        <v>340</v>
      </c>
      <c r="C112" s="1" t="s">
        <v>341</v>
      </c>
      <c r="D112" s="1" t="s">
        <v>338</v>
      </c>
      <c r="E112" t="s">
        <v>18</v>
      </c>
      <c r="F112" s="2" t="s">
        <v>339</v>
      </c>
      <c r="G112" s="3">
        <v>2</v>
      </c>
      <c r="H112" s="3">
        <v>7</v>
      </c>
      <c r="I112" s="3">
        <v>7</v>
      </c>
      <c r="J112" s="3">
        <v>7</v>
      </c>
      <c r="K112" s="3">
        <v>5</v>
      </c>
      <c r="L112">
        <v>25</v>
      </c>
      <c r="M112">
        <v>28</v>
      </c>
      <c r="N112">
        <v>75</v>
      </c>
      <c r="O112">
        <v>72</v>
      </c>
      <c r="P112" s="3">
        <v>7</v>
      </c>
      <c r="Q112" s="3">
        <v>7</v>
      </c>
      <c r="R112" s="3">
        <v>7</v>
      </c>
      <c r="S112" s="3">
        <v>7</v>
      </c>
      <c r="T112" s="3">
        <v>7</v>
      </c>
      <c r="U112" s="3">
        <v>7</v>
      </c>
      <c r="V112" t="s">
        <v>169</v>
      </c>
      <c r="W112" s="3">
        <v>7</v>
      </c>
      <c r="X112" s="3">
        <v>7</v>
      </c>
      <c r="Y112">
        <v>41</v>
      </c>
      <c r="Z112">
        <v>20.5</v>
      </c>
      <c r="AA112">
        <v>31</v>
      </c>
      <c r="AB112">
        <v>9</v>
      </c>
      <c r="AC112">
        <v>15.5</v>
      </c>
      <c r="AD112">
        <v>55</v>
      </c>
      <c r="AE112">
        <v>4</v>
      </c>
      <c r="AF112">
        <v>20</v>
      </c>
      <c r="AG112" s="3">
        <v>10</v>
      </c>
      <c r="AH112" s="3">
        <v>15105</v>
      </c>
      <c r="AI112" t="s">
        <v>63</v>
      </c>
      <c r="AJ112" t="s">
        <v>22</v>
      </c>
      <c r="AK112" t="s">
        <v>22</v>
      </c>
      <c r="AL112">
        <v>2572</v>
      </c>
    </row>
    <row r="113" spans="1:38" x14ac:dyDescent="0.3">
      <c r="A113" s="3" t="str">
        <f>UPPER(TEXT(Tabela1[[#This Row],[Data]],"MMM"))</f>
        <v>SET</v>
      </c>
      <c r="B113" t="s">
        <v>342</v>
      </c>
      <c r="C113" s="1" t="s">
        <v>343</v>
      </c>
      <c r="D113" s="1" t="s">
        <v>344</v>
      </c>
      <c r="E113" t="s">
        <v>18</v>
      </c>
      <c r="F113" s="2" t="s">
        <v>339</v>
      </c>
      <c r="G113" s="3">
        <v>2</v>
      </c>
      <c r="H113" s="3" t="s">
        <v>28</v>
      </c>
      <c r="I113" s="3">
        <v>7</v>
      </c>
      <c r="J113" s="3">
        <v>7</v>
      </c>
      <c r="K113" s="3">
        <v>7</v>
      </c>
      <c r="L113">
        <v>31</v>
      </c>
      <c r="M113">
        <v>18</v>
      </c>
      <c r="N113">
        <v>69</v>
      </c>
      <c r="O113">
        <v>82</v>
      </c>
      <c r="P113" s="3">
        <v>5</v>
      </c>
      <c r="Q113" s="3">
        <v>7</v>
      </c>
      <c r="R113" s="3">
        <v>7</v>
      </c>
      <c r="S113" s="3">
        <v>7</v>
      </c>
      <c r="T113" s="3">
        <v>7</v>
      </c>
      <c r="U113" s="3">
        <v>5</v>
      </c>
      <c r="V113" t="s">
        <v>169</v>
      </c>
      <c r="W113" s="3">
        <v>7</v>
      </c>
      <c r="X113" s="3">
        <v>7</v>
      </c>
      <c r="Y113">
        <v>30</v>
      </c>
      <c r="Z113">
        <v>15</v>
      </c>
      <c r="AA113">
        <v>36</v>
      </c>
      <c r="AB113">
        <v>3</v>
      </c>
      <c r="AC113">
        <v>18</v>
      </c>
      <c r="AD113">
        <v>85</v>
      </c>
      <c r="AE113">
        <v>5</v>
      </c>
      <c r="AF113">
        <v>25</v>
      </c>
      <c r="AG113" s="3">
        <v>5</v>
      </c>
      <c r="AH113" s="3">
        <v>42846</v>
      </c>
      <c r="AI113" t="s">
        <v>36</v>
      </c>
      <c r="AJ113" t="s">
        <v>22</v>
      </c>
      <c r="AK113" t="s">
        <v>22</v>
      </c>
      <c r="AL113">
        <v>3632</v>
      </c>
    </row>
    <row r="114" spans="1:38" x14ac:dyDescent="0.3">
      <c r="A114" s="3" t="str">
        <f>UPPER(TEXT(Tabela1[[#This Row],[Data]],"MMM"))</f>
        <v>SET</v>
      </c>
      <c r="B114" t="s">
        <v>345</v>
      </c>
      <c r="C114" s="1" t="s">
        <v>346</v>
      </c>
      <c r="D114" s="1" t="s">
        <v>347</v>
      </c>
      <c r="E114" t="s">
        <v>18</v>
      </c>
      <c r="F114" s="2" t="s">
        <v>339</v>
      </c>
      <c r="G114" s="3">
        <v>2</v>
      </c>
      <c r="H114" s="3">
        <v>10</v>
      </c>
      <c r="I114" s="3">
        <v>7</v>
      </c>
      <c r="J114" s="3">
        <v>7</v>
      </c>
      <c r="K114" s="3">
        <v>5</v>
      </c>
      <c r="L114">
        <v>19</v>
      </c>
      <c r="M114">
        <v>31</v>
      </c>
      <c r="N114">
        <v>81</v>
      </c>
      <c r="O114">
        <v>69</v>
      </c>
      <c r="P114" s="3">
        <v>7</v>
      </c>
      <c r="Q114" s="3">
        <v>7</v>
      </c>
      <c r="R114" s="3">
        <v>7</v>
      </c>
      <c r="S114" s="3">
        <v>7</v>
      </c>
      <c r="T114" s="3">
        <v>7</v>
      </c>
      <c r="U114" s="3">
        <v>7</v>
      </c>
      <c r="V114" t="s">
        <v>20</v>
      </c>
      <c r="W114" s="3">
        <v>7</v>
      </c>
      <c r="X114" s="3">
        <v>7</v>
      </c>
      <c r="Y114">
        <v>71</v>
      </c>
      <c r="Z114">
        <v>35.5</v>
      </c>
      <c r="AA114">
        <v>40</v>
      </c>
      <c r="AB114">
        <v>2</v>
      </c>
      <c r="AC114">
        <v>20</v>
      </c>
      <c r="AD114">
        <v>90</v>
      </c>
      <c r="AE114">
        <v>6</v>
      </c>
      <c r="AF114">
        <v>30</v>
      </c>
      <c r="AG114" s="3">
        <v>10</v>
      </c>
      <c r="AH114" s="3">
        <v>995638</v>
      </c>
      <c r="AI114" t="s">
        <v>63</v>
      </c>
      <c r="AJ114" t="s">
        <v>22</v>
      </c>
      <c r="AK114" t="s">
        <v>22</v>
      </c>
      <c r="AL114">
        <v>3127</v>
      </c>
    </row>
    <row r="115" spans="1:38" x14ac:dyDescent="0.3">
      <c r="A115" s="3" t="str">
        <f>UPPER(TEXT(Tabela1[[#This Row],[Data]],"MMM"))</f>
        <v>SET</v>
      </c>
      <c r="B115" t="s">
        <v>348</v>
      </c>
      <c r="C115" s="1" t="s">
        <v>349</v>
      </c>
      <c r="D115" s="1" t="s">
        <v>350</v>
      </c>
      <c r="E115" t="s">
        <v>299</v>
      </c>
      <c r="F115" s="2" t="s">
        <v>339</v>
      </c>
      <c r="G115" s="3">
        <v>1</v>
      </c>
      <c r="H115" s="3">
        <v>7</v>
      </c>
      <c r="I115" s="3">
        <v>7</v>
      </c>
      <c r="J115" s="3">
        <v>7</v>
      </c>
      <c r="K115" s="3">
        <v>7</v>
      </c>
      <c r="L115">
        <v>19</v>
      </c>
      <c r="M115">
        <v>32</v>
      </c>
      <c r="N115">
        <v>81</v>
      </c>
      <c r="O115">
        <v>68</v>
      </c>
      <c r="P115" s="3">
        <v>7</v>
      </c>
      <c r="Q115" s="3">
        <v>10</v>
      </c>
      <c r="R115" s="3">
        <v>10</v>
      </c>
      <c r="S115" s="3">
        <v>10</v>
      </c>
      <c r="T115" s="3">
        <v>7</v>
      </c>
      <c r="U115" s="3">
        <v>5</v>
      </c>
      <c r="W115" s="3">
        <v>10</v>
      </c>
      <c r="X115" s="3">
        <v>10</v>
      </c>
      <c r="Y115">
        <v>155</v>
      </c>
      <c r="Z115">
        <v>77.5</v>
      </c>
      <c r="AA115">
        <v>48</v>
      </c>
      <c r="AB115">
        <v>15</v>
      </c>
      <c r="AC115">
        <v>24</v>
      </c>
      <c r="AD115">
        <v>25</v>
      </c>
      <c r="AE115">
        <v>0</v>
      </c>
    </row>
    <row r="116" spans="1:38" x14ac:dyDescent="0.3">
      <c r="A116" s="3" t="str">
        <f>UPPER(TEXT(Tabela1[[#This Row],[Data]],"MMM"))</f>
        <v>SET</v>
      </c>
      <c r="B116" s="33" t="s">
        <v>351</v>
      </c>
      <c r="C116" s="1" t="s">
        <v>352</v>
      </c>
      <c r="D116" s="1" t="s">
        <v>353</v>
      </c>
      <c r="E116" t="s">
        <v>18</v>
      </c>
      <c r="F116" s="2" t="s">
        <v>354</v>
      </c>
      <c r="G116" s="3">
        <v>2</v>
      </c>
      <c r="H116" s="3">
        <v>7</v>
      </c>
      <c r="I116" s="3">
        <v>7</v>
      </c>
      <c r="J116" s="3">
        <v>7</v>
      </c>
      <c r="K116" s="3">
        <v>5</v>
      </c>
      <c r="L116">
        <v>20</v>
      </c>
      <c r="M116">
        <v>30</v>
      </c>
      <c r="N116">
        <v>80</v>
      </c>
      <c r="O116">
        <v>70</v>
      </c>
      <c r="P116" s="3">
        <v>5</v>
      </c>
      <c r="Q116" s="3">
        <v>7</v>
      </c>
      <c r="R116" s="3">
        <v>7</v>
      </c>
      <c r="S116" s="3">
        <v>5</v>
      </c>
      <c r="T116" s="3">
        <v>7</v>
      </c>
      <c r="U116" s="3">
        <v>7</v>
      </c>
      <c r="V116" t="s">
        <v>169</v>
      </c>
      <c r="W116" s="3">
        <v>7</v>
      </c>
      <c r="X116" s="3">
        <v>10</v>
      </c>
      <c r="Y116">
        <v>50</v>
      </c>
      <c r="Z116">
        <v>25</v>
      </c>
      <c r="AA116">
        <v>39</v>
      </c>
      <c r="AB116">
        <v>4</v>
      </c>
      <c r="AC116">
        <v>19.5</v>
      </c>
      <c r="AD116">
        <v>80</v>
      </c>
      <c r="AE116">
        <v>6</v>
      </c>
      <c r="AF116">
        <v>30</v>
      </c>
      <c r="AG116" s="3">
        <v>10</v>
      </c>
      <c r="AH116" s="3">
        <v>13188</v>
      </c>
      <c r="AI116" t="s">
        <v>355</v>
      </c>
      <c r="AJ116" t="s">
        <v>22</v>
      </c>
      <c r="AK116" t="s">
        <v>22</v>
      </c>
      <c r="AL116">
        <v>4308</v>
      </c>
    </row>
    <row r="117" spans="1:38" x14ac:dyDescent="0.3">
      <c r="A117" s="3" t="str">
        <f>UPPER(TEXT(Tabela1[[#This Row],[Data]],"MMM"))</f>
        <v>SET</v>
      </c>
      <c r="B117" t="s">
        <v>356</v>
      </c>
      <c r="C117" s="1" t="s">
        <v>357</v>
      </c>
      <c r="D117" s="1" t="s">
        <v>358</v>
      </c>
      <c r="E117" t="s">
        <v>18</v>
      </c>
      <c r="F117" s="2" t="s">
        <v>354</v>
      </c>
      <c r="G117" s="3">
        <v>2</v>
      </c>
      <c r="H117" s="3">
        <v>7</v>
      </c>
      <c r="I117" s="3">
        <v>7</v>
      </c>
      <c r="J117" s="3">
        <v>7</v>
      </c>
      <c r="K117" s="3">
        <v>5</v>
      </c>
      <c r="L117">
        <v>12</v>
      </c>
      <c r="M117">
        <v>35</v>
      </c>
      <c r="N117">
        <v>88</v>
      </c>
      <c r="O117">
        <v>65</v>
      </c>
      <c r="P117" s="3">
        <v>7</v>
      </c>
      <c r="Q117" s="3">
        <v>7</v>
      </c>
      <c r="R117" s="3">
        <v>7</v>
      </c>
      <c r="S117" s="3">
        <v>7</v>
      </c>
      <c r="T117" s="3">
        <v>7</v>
      </c>
      <c r="U117" s="3">
        <v>7</v>
      </c>
      <c r="V117" t="s">
        <v>20</v>
      </c>
      <c r="W117" s="3">
        <v>7</v>
      </c>
      <c r="X117" s="3">
        <v>7</v>
      </c>
      <c r="Y117">
        <v>54</v>
      </c>
      <c r="Z117">
        <v>27</v>
      </c>
      <c r="AA117">
        <v>32</v>
      </c>
      <c r="AB117">
        <v>3</v>
      </c>
      <c r="AC117">
        <v>16</v>
      </c>
      <c r="AD117">
        <v>85</v>
      </c>
      <c r="AE117">
        <v>4</v>
      </c>
      <c r="AF117">
        <v>20</v>
      </c>
      <c r="AG117" s="3">
        <v>10</v>
      </c>
      <c r="AH117" s="3">
        <v>792799</v>
      </c>
      <c r="AI117" t="s">
        <v>63</v>
      </c>
      <c r="AJ117" t="s">
        <v>22</v>
      </c>
      <c r="AK117" t="s">
        <v>22</v>
      </c>
      <c r="AL117">
        <v>3262</v>
      </c>
    </row>
    <row r="118" spans="1:38" x14ac:dyDescent="0.3">
      <c r="A118" s="3" t="str">
        <f>UPPER(TEXT(Tabela1[[#This Row],[Data]],"MMM"))</f>
        <v>SET</v>
      </c>
      <c r="B118" t="s">
        <v>359</v>
      </c>
      <c r="C118" s="1" t="s">
        <v>360</v>
      </c>
      <c r="D118" s="1" t="s">
        <v>358</v>
      </c>
      <c r="E118" t="s">
        <v>18</v>
      </c>
      <c r="F118" s="2" t="s">
        <v>354</v>
      </c>
      <c r="G118" s="3">
        <v>2</v>
      </c>
      <c r="H118" s="3">
        <v>7</v>
      </c>
      <c r="I118" s="3">
        <v>7</v>
      </c>
      <c r="J118" s="3">
        <v>7</v>
      </c>
      <c r="K118" s="3">
        <v>5</v>
      </c>
      <c r="L118">
        <v>9</v>
      </c>
      <c r="M118">
        <v>27</v>
      </c>
      <c r="N118">
        <v>91</v>
      </c>
      <c r="O118">
        <v>73</v>
      </c>
      <c r="P118" s="3">
        <v>7</v>
      </c>
      <c r="Q118" s="3">
        <v>7</v>
      </c>
      <c r="R118" s="3">
        <v>7</v>
      </c>
      <c r="S118" s="3">
        <v>7</v>
      </c>
      <c r="T118" s="3">
        <v>7</v>
      </c>
      <c r="U118" s="3">
        <v>7</v>
      </c>
      <c r="V118" t="s">
        <v>169</v>
      </c>
      <c r="W118" s="3">
        <v>10</v>
      </c>
      <c r="X118" s="3">
        <v>10</v>
      </c>
      <c r="Y118">
        <v>37</v>
      </c>
      <c r="Z118">
        <v>18.5</v>
      </c>
      <c r="AA118">
        <v>37</v>
      </c>
      <c r="AB118">
        <v>3</v>
      </c>
      <c r="AC118">
        <v>18.5</v>
      </c>
      <c r="AD118">
        <v>85</v>
      </c>
      <c r="AE118">
        <v>8</v>
      </c>
      <c r="AF118">
        <v>40</v>
      </c>
      <c r="AG118" s="3">
        <v>7</v>
      </c>
      <c r="AH118" s="3">
        <v>42862</v>
      </c>
      <c r="AI118" t="s">
        <v>323</v>
      </c>
      <c r="AJ118" t="s">
        <v>22</v>
      </c>
      <c r="AK118" t="s">
        <v>22</v>
      </c>
      <c r="AL118">
        <v>3790</v>
      </c>
    </row>
    <row r="119" spans="1:38" x14ac:dyDescent="0.3">
      <c r="A119" s="3" t="str">
        <f>UPPER(TEXT(Tabela1[[#This Row],[Data]],"MMM"))</f>
        <v>SET</v>
      </c>
      <c r="B119" t="s">
        <v>361</v>
      </c>
      <c r="C119" s="1" t="s">
        <v>362</v>
      </c>
      <c r="D119" s="1" t="s">
        <v>363</v>
      </c>
      <c r="E119" t="s">
        <v>18</v>
      </c>
      <c r="F119" s="2" t="s">
        <v>354</v>
      </c>
      <c r="G119" s="3">
        <v>2</v>
      </c>
      <c r="H119" s="3">
        <v>7</v>
      </c>
      <c r="I119" s="3">
        <v>7</v>
      </c>
      <c r="J119" s="3">
        <v>7</v>
      </c>
      <c r="K119" s="3">
        <v>7</v>
      </c>
      <c r="L119">
        <v>14</v>
      </c>
      <c r="M119">
        <v>32</v>
      </c>
      <c r="N119">
        <v>86</v>
      </c>
      <c r="O119">
        <v>68</v>
      </c>
      <c r="P119" s="3">
        <v>7</v>
      </c>
      <c r="Q119" s="3">
        <v>7</v>
      </c>
      <c r="R119" s="3">
        <v>7</v>
      </c>
      <c r="S119" s="3">
        <v>7</v>
      </c>
      <c r="T119" s="3">
        <v>7</v>
      </c>
      <c r="U119" s="3">
        <v>10</v>
      </c>
      <c r="V119" t="s">
        <v>169</v>
      </c>
      <c r="W119" s="3" t="s">
        <v>28</v>
      </c>
      <c r="X119" s="3" t="s">
        <v>28</v>
      </c>
      <c r="Y119">
        <v>62</v>
      </c>
      <c r="Z119">
        <v>31</v>
      </c>
      <c r="AA119">
        <v>35</v>
      </c>
      <c r="AB119">
        <v>4</v>
      </c>
      <c r="AC119">
        <v>17.5</v>
      </c>
      <c r="AD119">
        <v>80</v>
      </c>
      <c r="AE119">
        <v>5</v>
      </c>
      <c r="AF119">
        <v>25</v>
      </c>
      <c r="AG119" s="3">
        <v>10</v>
      </c>
      <c r="AH119" s="3">
        <v>15105</v>
      </c>
      <c r="AI119" t="s">
        <v>63</v>
      </c>
      <c r="AJ119" t="s">
        <v>22</v>
      </c>
      <c r="AK119" t="s">
        <v>22</v>
      </c>
      <c r="AL119">
        <v>2666</v>
      </c>
    </row>
    <row r="120" spans="1:38" x14ac:dyDescent="0.3">
      <c r="A120" s="3" t="str">
        <f>UPPER(TEXT(Tabela1[[#This Row],[Data]],"MMM"))</f>
        <v>SET</v>
      </c>
      <c r="B120" t="s">
        <v>364</v>
      </c>
      <c r="C120" s="1" t="s">
        <v>365</v>
      </c>
      <c r="D120" s="1" t="s">
        <v>366</v>
      </c>
      <c r="E120" t="s">
        <v>18</v>
      </c>
      <c r="F120" s="2" t="s">
        <v>367</v>
      </c>
      <c r="G120" s="3">
        <v>2</v>
      </c>
      <c r="H120" s="3">
        <v>7</v>
      </c>
      <c r="I120" s="3">
        <v>7</v>
      </c>
      <c r="J120" s="3">
        <v>7</v>
      </c>
      <c r="K120" s="3">
        <v>5</v>
      </c>
      <c r="L120">
        <v>11</v>
      </c>
      <c r="M120">
        <v>31</v>
      </c>
      <c r="N120">
        <v>89</v>
      </c>
      <c r="O120">
        <v>69</v>
      </c>
      <c r="P120" s="3">
        <v>7</v>
      </c>
      <c r="Q120" s="3">
        <v>7</v>
      </c>
      <c r="R120" s="3">
        <v>7</v>
      </c>
      <c r="S120" s="3">
        <v>7</v>
      </c>
      <c r="T120" s="3">
        <v>7</v>
      </c>
      <c r="U120" s="3">
        <v>7</v>
      </c>
      <c r="V120" t="s">
        <v>330</v>
      </c>
      <c r="W120" s="3" t="s">
        <v>28</v>
      </c>
      <c r="X120" s="3" t="s">
        <v>28</v>
      </c>
      <c r="Y120">
        <v>44</v>
      </c>
      <c r="Z120">
        <v>22</v>
      </c>
      <c r="AA120">
        <v>35</v>
      </c>
      <c r="AB120">
        <v>5</v>
      </c>
      <c r="AC120">
        <v>17.5</v>
      </c>
      <c r="AD120">
        <v>75</v>
      </c>
      <c r="AE120">
        <v>5</v>
      </c>
      <c r="AF120">
        <v>25</v>
      </c>
      <c r="AG120" s="3">
        <v>10</v>
      </c>
      <c r="AH120" s="3">
        <v>15849</v>
      </c>
      <c r="AI120" t="s">
        <v>63</v>
      </c>
      <c r="AJ120" t="s">
        <v>22</v>
      </c>
      <c r="AK120" t="s">
        <v>22</v>
      </c>
      <c r="AL120">
        <v>5276</v>
      </c>
    </row>
    <row r="121" spans="1:38" x14ac:dyDescent="0.3">
      <c r="A121" s="3" t="str">
        <f>UPPER(TEXT(Tabela1[[#This Row],[Data]],"MMM"))</f>
        <v>SET</v>
      </c>
      <c r="B121" t="s">
        <v>368</v>
      </c>
      <c r="C121" s="1" t="s">
        <v>369</v>
      </c>
      <c r="D121" s="1" t="s">
        <v>366</v>
      </c>
      <c r="E121" t="s">
        <v>18</v>
      </c>
      <c r="F121" s="2" t="s">
        <v>367</v>
      </c>
      <c r="G121" s="3">
        <v>2</v>
      </c>
      <c r="H121" s="3">
        <v>7</v>
      </c>
      <c r="I121" s="3">
        <v>7</v>
      </c>
      <c r="J121" s="3">
        <v>7</v>
      </c>
      <c r="K121" s="3">
        <v>7</v>
      </c>
      <c r="L121">
        <v>13</v>
      </c>
      <c r="M121">
        <v>29</v>
      </c>
      <c r="N121">
        <v>87</v>
      </c>
      <c r="O121">
        <v>71</v>
      </c>
      <c r="P121" s="3">
        <v>7</v>
      </c>
      <c r="Q121" s="3">
        <v>7</v>
      </c>
      <c r="R121" s="3">
        <v>7</v>
      </c>
      <c r="S121" s="3">
        <v>7</v>
      </c>
      <c r="T121" s="3">
        <v>7</v>
      </c>
      <c r="U121" s="3">
        <v>7</v>
      </c>
      <c r="V121" t="s">
        <v>169</v>
      </c>
      <c r="W121" s="3">
        <v>10</v>
      </c>
      <c r="X121" s="3">
        <v>7</v>
      </c>
      <c r="Y121">
        <v>55</v>
      </c>
      <c r="Z121">
        <v>27.500000000000004</v>
      </c>
      <c r="AA121">
        <v>39</v>
      </c>
      <c r="AB121">
        <v>9</v>
      </c>
      <c r="AC121">
        <v>19.5</v>
      </c>
      <c r="AD121">
        <v>55</v>
      </c>
      <c r="AE121">
        <v>6</v>
      </c>
      <c r="AF121">
        <v>30</v>
      </c>
      <c r="AG121" s="3">
        <v>5</v>
      </c>
      <c r="AH121" s="3">
        <v>929883</v>
      </c>
      <c r="AI121" t="s">
        <v>205</v>
      </c>
      <c r="AJ121" t="s">
        <v>22</v>
      </c>
      <c r="AK121" t="s">
        <v>22</v>
      </c>
      <c r="AL121">
        <v>3767</v>
      </c>
    </row>
    <row r="122" spans="1:38" x14ac:dyDescent="0.3">
      <c r="A122" s="3" t="str">
        <f>UPPER(TEXT(Tabela1[[#This Row],[Data]],"MMM"))</f>
        <v>SET</v>
      </c>
      <c r="B122" t="s">
        <v>370</v>
      </c>
      <c r="C122" s="1" t="s">
        <v>371</v>
      </c>
      <c r="D122" s="1" t="s">
        <v>372</v>
      </c>
      <c r="E122" t="s">
        <v>18</v>
      </c>
      <c r="F122" s="2" t="s">
        <v>367</v>
      </c>
      <c r="G122" s="3">
        <v>2</v>
      </c>
      <c r="H122" s="3">
        <v>7</v>
      </c>
      <c r="I122" s="3">
        <v>7</v>
      </c>
      <c r="J122" s="3">
        <v>7</v>
      </c>
      <c r="K122" s="3">
        <v>5</v>
      </c>
      <c r="L122">
        <v>13</v>
      </c>
      <c r="M122">
        <v>28</v>
      </c>
      <c r="N122">
        <v>87</v>
      </c>
      <c r="O122">
        <v>72</v>
      </c>
      <c r="P122" s="3">
        <v>7</v>
      </c>
      <c r="Q122" s="3">
        <v>7</v>
      </c>
      <c r="R122" s="3">
        <v>7</v>
      </c>
      <c r="S122" s="3">
        <v>7</v>
      </c>
      <c r="T122" s="3">
        <v>7</v>
      </c>
      <c r="U122" s="3">
        <v>7</v>
      </c>
      <c r="V122" t="s">
        <v>169</v>
      </c>
      <c r="W122" s="3">
        <v>10</v>
      </c>
      <c r="X122" s="3">
        <v>10</v>
      </c>
      <c r="Y122">
        <v>39</v>
      </c>
      <c r="Z122">
        <v>19.5</v>
      </c>
      <c r="AA122">
        <v>46</v>
      </c>
      <c r="AB122">
        <v>2</v>
      </c>
      <c r="AC122">
        <v>23</v>
      </c>
      <c r="AD122">
        <v>90</v>
      </c>
      <c r="AE122">
        <v>3</v>
      </c>
      <c r="AF122">
        <v>15</v>
      </c>
      <c r="AG122" s="3">
        <v>7</v>
      </c>
      <c r="AH122" s="3">
        <v>42846</v>
      </c>
      <c r="AI122" t="s">
        <v>36</v>
      </c>
      <c r="AJ122" t="s">
        <v>22</v>
      </c>
      <c r="AK122" t="s">
        <v>22</v>
      </c>
      <c r="AL122">
        <v>5049</v>
      </c>
    </row>
    <row r="123" spans="1:38" x14ac:dyDescent="0.3">
      <c r="A123" s="3" t="str">
        <f>UPPER(TEXT(Tabela1[[#This Row],[Data]],"MMM"))</f>
        <v>SET</v>
      </c>
      <c r="B123" t="s">
        <v>373</v>
      </c>
      <c r="C123" s="1" t="s">
        <v>374</v>
      </c>
      <c r="D123" s="1" t="s">
        <v>375</v>
      </c>
      <c r="E123" t="s">
        <v>18</v>
      </c>
      <c r="F123" s="2" t="s">
        <v>367</v>
      </c>
      <c r="G123" s="3">
        <v>2</v>
      </c>
      <c r="H123" s="3">
        <v>7</v>
      </c>
      <c r="I123" s="3">
        <v>7</v>
      </c>
      <c r="J123" s="3">
        <v>7</v>
      </c>
      <c r="K123" s="3">
        <v>7</v>
      </c>
      <c r="L123">
        <v>15</v>
      </c>
      <c r="M123">
        <v>34</v>
      </c>
      <c r="N123">
        <v>85</v>
      </c>
      <c r="O123">
        <v>66</v>
      </c>
      <c r="P123" s="3">
        <v>7</v>
      </c>
      <c r="Q123" s="3">
        <v>7</v>
      </c>
      <c r="R123" s="3">
        <v>7</v>
      </c>
      <c r="S123" s="3">
        <v>7</v>
      </c>
      <c r="T123" s="3">
        <v>7</v>
      </c>
      <c r="U123" s="3">
        <v>10</v>
      </c>
      <c r="V123" t="s">
        <v>169</v>
      </c>
      <c r="W123" s="3">
        <v>7</v>
      </c>
      <c r="X123" s="3">
        <v>7</v>
      </c>
      <c r="Y123">
        <v>40</v>
      </c>
      <c r="Z123">
        <v>20</v>
      </c>
      <c r="AA123">
        <v>33</v>
      </c>
      <c r="AB123">
        <v>5</v>
      </c>
      <c r="AC123">
        <v>16.5</v>
      </c>
      <c r="AD123">
        <v>75</v>
      </c>
      <c r="AE123">
        <v>6</v>
      </c>
      <c r="AF123">
        <v>30</v>
      </c>
      <c r="AG123" t="s">
        <v>28</v>
      </c>
      <c r="AH123" s="3">
        <v>15105</v>
      </c>
      <c r="AI123" t="s">
        <v>63</v>
      </c>
      <c r="AJ123" t="s">
        <v>22</v>
      </c>
      <c r="AK123" t="s">
        <v>22</v>
      </c>
      <c r="AL123">
        <v>2657</v>
      </c>
    </row>
    <row r="124" spans="1:38" x14ac:dyDescent="0.3">
      <c r="A124" s="3" t="str">
        <f>UPPER(TEXT(Tabela1[[#This Row],[Data]],"MMM"))</f>
        <v>SET</v>
      </c>
      <c r="B124" t="s">
        <v>376</v>
      </c>
      <c r="C124" s="1" t="s">
        <v>377</v>
      </c>
      <c r="D124" s="1" t="s">
        <v>378</v>
      </c>
      <c r="E124" t="s">
        <v>18</v>
      </c>
      <c r="F124" s="2" t="s">
        <v>379</v>
      </c>
      <c r="G124" s="3">
        <v>2</v>
      </c>
      <c r="H124" s="3">
        <v>5</v>
      </c>
      <c r="I124" s="3">
        <v>7</v>
      </c>
      <c r="J124" s="3">
        <v>7</v>
      </c>
      <c r="K124" s="3">
        <v>5</v>
      </c>
      <c r="L124">
        <v>15</v>
      </c>
      <c r="M124">
        <v>18</v>
      </c>
      <c r="N124">
        <v>85</v>
      </c>
      <c r="O124">
        <v>82</v>
      </c>
      <c r="P124" s="3">
        <v>7</v>
      </c>
      <c r="Q124" s="3" t="s">
        <v>28</v>
      </c>
      <c r="R124" s="3">
        <v>7</v>
      </c>
      <c r="S124" s="3">
        <v>7</v>
      </c>
      <c r="T124" s="3">
        <v>7</v>
      </c>
      <c r="U124" s="3">
        <v>7</v>
      </c>
      <c r="V124" t="s">
        <v>20</v>
      </c>
      <c r="W124" s="3">
        <v>10</v>
      </c>
      <c r="X124" s="3">
        <v>10</v>
      </c>
      <c r="Y124">
        <v>42</v>
      </c>
      <c r="Z124">
        <v>21</v>
      </c>
      <c r="AA124">
        <v>38</v>
      </c>
      <c r="AB124">
        <v>5</v>
      </c>
      <c r="AC124">
        <v>19</v>
      </c>
      <c r="AD124">
        <v>75</v>
      </c>
      <c r="AE124">
        <v>5</v>
      </c>
      <c r="AF124">
        <v>25</v>
      </c>
      <c r="AG124" s="3">
        <v>10</v>
      </c>
      <c r="AH124" s="3">
        <v>15105</v>
      </c>
      <c r="AI124" t="s">
        <v>63</v>
      </c>
      <c r="AJ124" t="s">
        <v>22</v>
      </c>
      <c r="AK124" t="s">
        <v>22</v>
      </c>
      <c r="AL124">
        <v>1649</v>
      </c>
    </row>
    <row r="125" spans="1:38" x14ac:dyDescent="0.3">
      <c r="A125" s="3" t="str">
        <f>UPPER(TEXT(Tabela1[[#This Row],[Data]],"MMM"))</f>
        <v>SET</v>
      </c>
      <c r="B125" t="s">
        <v>380</v>
      </c>
      <c r="C125" s="1" t="s">
        <v>381</v>
      </c>
      <c r="D125" s="1" t="s">
        <v>382</v>
      </c>
      <c r="E125" t="s">
        <v>18</v>
      </c>
      <c r="F125" s="2" t="s">
        <v>379</v>
      </c>
      <c r="G125" s="3">
        <v>2</v>
      </c>
      <c r="H125" s="3">
        <v>7</v>
      </c>
      <c r="I125" s="3">
        <v>7</v>
      </c>
      <c r="J125" s="3">
        <v>7</v>
      </c>
      <c r="K125" s="3">
        <v>5</v>
      </c>
      <c r="L125">
        <v>18</v>
      </c>
      <c r="M125">
        <v>15</v>
      </c>
      <c r="N125">
        <v>82</v>
      </c>
      <c r="O125">
        <v>85</v>
      </c>
      <c r="P125" s="3">
        <v>7</v>
      </c>
      <c r="Q125" s="3">
        <v>10</v>
      </c>
      <c r="R125" s="3">
        <v>7</v>
      </c>
      <c r="S125" s="3">
        <v>7</v>
      </c>
      <c r="T125" s="3">
        <v>7</v>
      </c>
      <c r="U125" s="3">
        <v>7</v>
      </c>
      <c r="V125" t="s">
        <v>169</v>
      </c>
      <c r="W125" s="3">
        <v>10</v>
      </c>
      <c r="X125" s="3">
        <v>10</v>
      </c>
      <c r="Y125">
        <v>30</v>
      </c>
      <c r="Z125">
        <v>15</v>
      </c>
      <c r="AA125">
        <v>32</v>
      </c>
      <c r="AB125">
        <v>4</v>
      </c>
      <c r="AC125">
        <v>16</v>
      </c>
      <c r="AD125">
        <v>80</v>
      </c>
      <c r="AE125">
        <v>5</v>
      </c>
      <c r="AF125">
        <v>25</v>
      </c>
      <c r="AG125" s="3">
        <v>10</v>
      </c>
      <c r="AH125" s="3">
        <v>992093</v>
      </c>
      <c r="AI125" t="s">
        <v>63</v>
      </c>
      <c r="AJ125" t="s">
        <v>22</v>
      </c>
      <c r="AK125" t="s">
        <v>22</v>
      </c>
      <c r="AL125">
        <v>3334</v>
      </c>
    </row>
    <row r="126" spans="1:38" x14ac:dyDescent="0.3">
      <c r="A126" s="3" t="str">
        <f>UPPER(TEXT(Tabela1[[#This Row],[Data]],"MMM"))</f>
        <v>SET</v>
      </c>
      <c r="B126" t="s">
        <v>383</v>
      </c>
      <c r="C126" s="1" t="s">
        <v>384</v>
      </c>
      <c r="D126" s="1" t="s">
        <v>382</v>
      </c>
      <c r="E126" t="s">
        <v>18</v>
      </c>
      <c r="F126" s="2" t="s">
        <v>379</v>
      </c>
      <c r="G126" s="3">
        <v>2</v>
      </c>
      <c r="H126" s="3">
        <v>7</v>
      </c>
      <c r="I126" s="3">
        <v>7</v>
      </c>
      <c r="J126" s="3">
        <v>7</v>
      </c>
      <c r="K126" s="3">
        <v>5</v>
      </c>
      <c r="L126">
        <v>17</v>
      </c>
      <c r="M126">
        <v>18</v>
      </c>
      <c r="N126">
        <v>83</v>
      </c>
      <c r="O126">
        <v>82</v>
      </c>
      <c r="P126" s="3">
        <v>5</v>
      </c>
      <c r="Q126" s="3">
        <v>7</v>
      </c>
      <c r="R126" s="3">
        <v>7</v>
      </c>
      <c r="S126" s="3">
        <v>7</v>
      </c>
      <c r="T126" s="3">
        <v>7</v>
      </c>
      <c r="U126" s="3" t="s">
        <v>28</v>
      </c>
      <c r="V126" t="s">
        <v>20</v>
      </c>
      <c r="W126" s="3">
        <v>7</v>
      </c>
      <c r="X126" s="3">
        <v>5</v>
      </c>
      <c r="Y126">
        <v>34</v>
      </c>
      <c r="Z126">
        <v>17</v>
      </c>
      <c r="AA126">
        <v>52</v>
      </c>
      <c r="AB126">
        <v>4</v>
      </c>
      <c r="AC126">
        <v>26</v>
      </c>
      <c r="AD126">
        <v>80</v>
      </c>
      <c r="AE126">
        <v>6</v>
      </c>
      <c r="AF126">
        <v>30</v>
      </c>
      <c r="AG126" s="3">
        <v>7</v>
      </c>
      <c r="AH126" s="3">
        <v>42862</v>
      </c>
      <c r="AI126" t="s">
        <v>36</v>
      </c>
      <c r="AJ126" t="s">
        <v>22</v>
      </c>
      <c r="AK126" t="s">
        <v>22</v>
      </c>
      <c r="AL126">
        <v>4090</v>
      </c>
    </row>
    <row r="127" spans="1:38" x14ac:dyDescent="0.3">
      <c r="A127" s="3" t="str">
        <f>UPPER(TEXT(Tabela1[[#This Row],[Data]],"MMM"))</f>
        <v>SET</v>
      </c>
      <c r="B127" t="s">
        <v>385</v>
      </c>
      <c r="C127" s="1" t="s">
        <v>386</v>
      </c>
      <c r="D127" s="1" t="s">
        <v>387</v>
      </c>
      <c r="E127" t="s">
        <v>18</v>
      </c>
      <c r="F127" s="2" t="s">
        <v>379</v>
      </c>
      <c r="G127" s="3">
        <v>2</v>
      </c>
      <c r="H127" s="3">
        <v>7</v>
      </c>
      <c r="I127" s="3">
        <v>7</v>
      </c>
      <c r="J127" s="3">
        <v>7</v>
      </c>
      <c r="K127" s="3">
        <v>7</v>
      </c>
      <c r="L127">
        <v>14</v>
      </c>
      <c r="M127">
        <v>25</v>
      </c>
      <c r="N127">
        <v>86</v>
      </c>
      <c r="O127">
        <v>75</v>
      </c>
      <c r="P127" s="3">
        <v>5</v>
      </c>
      <c r="Q127" s="3">
        <v>7</v>
      </c>
      <c r="R127" s="3">
        <v>7</v>
      </c>
      <c r="S127" s="3">
        <v>7</v>
      </c>
      <c r="T127" s="3">
        <v>7</v>
      </c>
      <c r="U127" s="3">
        <v>7</v>
      </c>
      <c r="V127" t="s">
        <v>169</v>
      </c>
      <c r="W127" s="3">
        <v>7</v>
      </c>
      <c r="X127" s="3">
        <v>10</v>
      </c>
      <c r="Y127">
        <v>61</v>
      </c>
      <c r="Z127">
        <v>30.5</v>
      </c>
      <c r="AA127">
        <v>43</v>
      </c>
      <c r="AB127">
        <v>5</v>
      </c>
      <c r="AC127">
        <v>21.5</v>
      </c>
      <c r="AD127">
        <v>75</v>
      </c>
      <c r="AE127">
        <v>6</v>
      </c>
      <c r="AF127">
        <v>30</v>
      </c>
      <c r="AG127" t="s">
        <v>28</v>
      </c>
      <c r="AH127" s="3">
        <v>15105</v>
      </c>
      <c r="AI127" t="s">
        <v>63</v>
      </c>
      <c r="AJ127" t="s">
        <v>22</v>
      </c>
      <c r="AK127" t="s">
        <v>22</v>
      </c>
      <c r="AL127">
        <v>3242</v>
      </c>
    </row>
    <row r="128" spans="1:38" x14ac:dyDescent="0.3">
      <c r="A128" s="3" t="str">
        <f>UPPER(TEXT(Tabela1[[#This Row],[Data]],"MMM"))</f>
        <v>SET</v>
      </c>
      <c r="B128" s="33" t="s">
        <v>388</v>
      </c>
      <c r="C128" s="1" t="s">
        <v>389</v>
      </c>
      <c r="D128" s="1" t="s">
        <v>390</v>
      </c>
      <c r="E128" t="s">
        <v>18</v>
      </c>
      <c r="F128" s="2" t="s">
        <v>391</v>
      </c>
      <c r="G128" s="3">
        <v>2</v>
      </c>
      <c r="H128" s="3">
        <v>7</v>
      </c>
      <c r="I128" s="3">
        <v>7</v>
      </c>
      <c r="J128" s="3">
        <v>7</v>
      </c>
      <c r="K128" s="3">
        <v>5</v>
      </c>
      <c r="L128">
        <v>18</v>
      </c>
      <c r="M128">
        <v>33</v>
      </c>
      <c r="N128">
        <v>82</v>
      </c>
      <c r="O128">
        <v>67</v>
      </c>
      <c r="P128" s="3">
        <v>7</v>
      </c>
      <c r="Q128" s="3">
        <v>7</v>
      </c>
      <c r="R128" s="3">
        <v>7</v>
      </c>
      <c r="S128" s="3">
        <v>7</v>
      </c>
      <c r="T128" s="3">
        <v>7</v>
      </c>
      <c r="U128" s="3">
        <v>7</v>
      </c>
      <c r="V128" t="s">
        <v>20</v>
      </c>
      <c r="W128" s="3">
        <v>7</v>
      </c>
      <c r="X128" s="3">
        <v>5</v>
      </c>
      <c r="Y128">
        <v>62</v>
      </c>
      <c r="Z128">
        <v>31</v>
      </c>
      <c r="AA128">
        <v>43</v>
      </c>
      <c r="AB128">
        <v>5</v>
      </c>
      <c r="AC128">
        <v>21.5</v>
      </c>
      <c r="AD128">
        <v>75</v>
      </c>
      <c r="AE128">
        <v>5</v>
      </c>
      <c r="AF128">
        <v>25</v>
      </c>
      <c r="AG128" s="3">
        <v>7</v>
      </c>
      <c r="AH128" s="3">
        <v>40762</v>
      </c>
      <c r="AI128" t="s">
        <v>36</v>
      </c>
      <c r="AJ128" t="s">
        <v>22</v>
      </c>
      <c r="AK128" t="s">
        <v>22</v>
      </c>
      <c r="AL128">
        <v>3671</v>
      </c>
    </row>
    <row r="129" spans="1:38" x14ac:dyDescent="0.3">
      <c r="A129" s="3" t="str">
        <f>UPPER(TEXT(Tabela1[[#This Row],[Data]],"MMM"))</f>
        <v>SET</v>
      </c>
      <c r="B129" t="s">
        <v>392</v>
      </c>
      <c r="C129" s="1" t="s">
        <v>393</v>
      </c>
      <c r="D129" s="1" t="s">
        <v>390</v>
      </c>
      <c r="E129" t="s">
        <v>18</v>
      </c>
      <c r="F129" s="2" t="s">
        <v>391</v>
      </c>
      <c r="G129" s="3">
        <v>2</v>
      </c>
      <c r="H129" s="3">
        <v>7</v>
      </c>
      <c r="I129" s="3">
        <v>10</v>
      </c>
      <c r="J129" s="3">
        <v>7</v>
      </c>
      <c r="K129" s="3">
        <v>7</v>
      </c>
      <c r="L129">
        <v>12</v>
      </c>
      <c r="M129">
        <v>28</v>
      </c>
      <c r="N129">
        <v>88</v>
      </c>
      <c r="O129">
        <v>72</v>
      </c>
      <c r="P129" s="3">
        <v>7</v>
      </c>
      <c r="Q129" s="3">
        <v>7</v>
      </c>
      <c r="R129" s="3">
        <v>7</v>
      </c>
      <c r="S129" s="3">
        <v>7</v>
      </c>
      <c r="T129" s="3">
        <v>7</v>
      </c>
      <c r="U129" s="3">
        <v>7</v>
      </c>
      <c r="V129" t="s">
        <v>20</v>
      </c>
      <c r="W129" s="3">
        <v>7</v>
      </c>
      <c r="X129" s="3">
        <v>7</v>
      </c>
      <c r="Y129">
        <v>33</v>
      </c>
      <c r="Z129">
        <v>16.5</v>
      </c>
      <c r="AA129">
        <v>34</v>
      </c>
      <c r="AB129">
        <v>6</v>
      </c>
      <c r="AC129">
        <v>17</v>
      </c>
      <c r="AD129">
        <v>70</v>
      </c>
      <c r="AE129">
        <v>7</v>
      </c>
      <c r="AF129">
        <v>35</v>
      </c>
      <c r="AG129" s="3">
        <v>7</v>
      </c>
      <c r="AH129" s="3">
        <v>42862</v>
      </c>
      <c r="AI129" t="s">
        <v>36</v>
      </c>
      <c r="AJ129" t="s">
        <v>22</v>
      </c>
      <c r="AK129" t="s">
        <v>22</v>
      </c>
      <c r="AL129">
        <v>6007</v>
      </c>
    </row>
    <row r="130" spans="1:38" x14ac:dyDescent="0.3">
      <c r="A130" s="3" t="str">
        <f>UPPER(TEXT(Tabela1[[#This Row],[Data]],"MMM"))</f>
        <v>SET</v>
      </c>
      <c r="B130" t="s">
        <v>394</v>
      </c>
      <c r="C130" s="1" t="s">
        <v>395</v>
      </c>
      <c r="D130" s="1" t="s">
        <v>390</v>
      </c>
      <c r="E130" t="s">
        <v>18</v>
      </c>
      <c r="F130" s="2" t="s">
        <v>391</v>
      </c>
      <c r="G130" s="3">
        <v>2</v>
      </c>
      <c r="H130" s="3">
        <v>7</v>
      </c>
      <c r="I130" s="3">
        <v>7</v>
      </c>
      <c r="J130" s="3">
        <v>7</v>
      </c>
      <c r="K130" s="3">
        <v>5</v>
      </c>
      <c r="L130">
        <v>13</v>
      </c>
      <c r="M130">
        <v>22</v>
      </c>
      <c r="N130">
        <v>87</v>
      </c>
      <c r="O130">
        <v>78</v>
      </c>
      <c r="P130" s="3">
        <v>7</v>
      </c>
      <c r="Q130" s="3">
        <v>7</v>
      </c>
      <c r="R130" s="3">
        <v>7</v>
      </c>
      <c r="S130" s="3">
        <v>7</v>
      </c>
      <c r="T130" s="3">
        <v>7</v>
      </c>
      <c r="U130" s="3">
        <v>7</v>
      </c>
      <c r="V130" t="s">
        <v>20</v>
      </c>
      <c r="W130" s="3">
        <v>7</v>
      </c>
      <c r="X130" s="3">
        <v>7</v>
      </c>
      <c r="Y130">
        <v>66</v>
      </c>
      <c r="Z130">
        <v>33</v>
      </c>
      <c r="AA130">
        <v>39</v>
      </c>
      <c r="AB130">
        <v>3</v>
      </c>
      <c r="AC130">
        <v>19.5</v>
      </c>
      <c r="AD130">
        <v>85</v>
      </c>
      <c r="AE130">
        <v>4</v>
      </c>
      <c r="AF130">
        <v>20</v>
      </c>
      <c r="AG130" s="3">
        <v>10</v>
      </c>
      <c r="AH130" s="3">
        <v>995638</v>
      </c>
      <c r="AI130" t="s">
        <v>63</v>
      </c>
      <c r="AJ130" t="s">
        <v>22</v>
      </c>
      <c r="AK130" t="s">
        <v>22</v>
      </c>
      <c r="AL130">
        <v>8320</v>
      </c>
    </row>
    <row r="131" spans="1:38" x14ac:dyDescent="0.3">
      <c r="A131" s="3" t="str">
        <f>UPPER(TEXT(Tabela1[[#This Row],[Data]],"MMM"))</f>
        <v>SET</v>
      </c>
      <c r="B131" t="s">
        <v>396</v>
      </c>
      <c r="C131" s="1" t="s">
        <v>397</v>
      </c>
      <c r="D131" s="1" t="s">
        <v>398</v>
      </c>
      <c r="E131" t="s">
        <v>18</v>
      </c>
      <c r="F131" s="2" t="s">
        <v>391</v>
      </c>
      <c r="G131" s="3">
        <v>2</v>
      </c>
      <c r="H131" s="3">
        <v>7</v>
      </c>
      <c r="I131" s="3">
        <v>7</v>
      </c>
      <c r="J131" s="3">
        <v>7</v>
      </c>
      <c r="K131" s="3">
        <v>5</v>
      </c>
      <c r="L131">
        <v>6</v>
      </c>
      <c r="M131">
        <v>30</v>
      </c>
      <c r="N131">
        <v>94</v>
      </c>
      <c r="O131">
        <v>70</v>
      </c>
      <c r="P131" s="3">
        <v>7</v>
      </c>
      <c r="Q131" s="3">
        <v>7</v>
      </c>
      <c r="R131" s="3">
        <v>7</v>
      </c>
      <c r="S131" s="3">
        <v>7</v>
      </c>
      <c r="T131" s="3">
        <v>7</v>
      </c>
      <c r="U131" s="3">
        <v>10</v>
      </c>
      <c r="V131" t="s">
        <v>169</v>
      </c>
      <c r="W131" s="3" t="s">
        <v>28</v>
      </c>
      <c r="X131" s="3" t="s">
        <v>28</v>
      </c>
      <c r="Y131" t="s">
        <v>28</v>
      </c>
      <c r="Z131" t="s">
        <v>28</v>
      </c>
      <c r="AA131">
        <v>32</v>
      </c>
      <c r="AB131">
        <v>4</v>
      </c>
      <c r="AC131">
        <v>16</v>
      </c>
      <c r="AD131">
        <v>80</v>
      </c>
      <c r="AE131">
        <v>3</v>
      </c>
      <c r="AF131">
        <v>15</v>
      </c>
      <c r="AG131" s="3">
        <v>10</v>
      </c>
      <c r="AH131" s="3">
        <v>15105</v>
      </c>
      <c r="AI131" t="s">
        <v>63</v>
      </c>
      <c r="AJ131" t="s">
        <v>22</v>
      </c>
      <c r="AK131" t="s">
        <v>22</v>
      </c>
      <c r="AL131">
        <v>3757</v>
      </c>
    </row>
    <row r="132" spans="1:38" x14ac:dyDescent="0.3">
      <c r="A132" s="3" t="str">
        <f>UPPER(TEXT(Tabela1[[#This Row],[Data]],"MMM"))</f>
        <v>SET</v>
      </c>
      <c r="B132" t="s">
        <v>399</v>
      </c>
      <c r="C132" s="1" t="s">
        <v>400</v>
      </c>
      <c r="D132" s="1" t="s">
        <v>401</v>
      </c>
      <c r="E132" t="s">
        <v>18</v>
      </c>
      <c r="F132" s="2" t="s">
        <v>402</v>
      </c>
      <c r="G132" s="3">
        <v>2</v>
      </c>
      <c r="H132" s="3">
        <v>7</v>
      </c>
      <c r="I132" s="3">
        <v>7</v>
      </c>
      <c r="J132" s="3">
        <v>7</v>
      </c>
      <c r="K132" s="3">
        <v>5</v>
      </c>
      <c r="L132">
        <v>8</v>
      </c>
      <c r="M132">
        <v>27</v>
      </c>
      <c r="N132">
        <v>92</v>
      </c>
      <c r="O132">
        <v>73</v>
      </c>
      <c r="P132" s="3">
        <v>5</v>
      </c>
      <c r="Q132" s="3">
        <v>5</v>
      </c>
      <c r="R132" s="3">
        <v>7</v>
      </c>
      <c r="S132" s="3">
        <v>7</v>
      </c>
      <c r="T132" s="3">
        <v>7</v>
      </c>
      <c r="U132" s="3">
        <v>7</v>
      </c>
      <c r="V132" t="s">
        <v>169</v>
      </c>
      <c r="W132" s="3">
        <v>7</v>
      </c>
      <c r="X132" s="3">
        <v>7</v>
      </c>
      <c r="Y132">
        <v>57</v>
      </c>
      <c r="Z132">
        <v>28.499999999999996</v>
      </c>
      <c r="AA132">
        <v>44</v>
      </c>
      <c r="AB132">
        <v>6</v>
      </c>
      <c r="AC132">
        <v>22</v>
      </c>
      <c r="AD132">
        <v>70</v>
      </c>
      <c r="AE132">
        <v>7</v>
      </c>
      <c r="AF132">
        <v>35</v>
      </c>
      <c r="AG132" s="3">
        <v>5</v>
      </c>
      <c r="AH132" s="3">
        <v>42820</v>
      </c>
      <c r="AI132" t="s">
        <v>36</v>
      </c>
      <c r="AJ132" t="s">
        <v>22</v>
      </c>
      <c r="AK132" t="s">
        <v>22</v>
      </c>
      <c r="AL132">
        <v>4107</v>
      </c>
    </row>
    <row r="133" spans="1:38" x14ac:dyDescent="0.3">
      <c r="A133" s="3" t="str">
        <f>UPPER(TEXT(Tabela1[[#This Row],[Data]],"MMM"))</f>
        <v>SET</v>
      </c>
      <c r="B133" t="s">
        <v>403</v>
      </c>
      <c r="C133" s="1" t="s">
        <v>404</v>
      </c>
      <c r="D133" s="1" t="s">
        <v>405</v>
      </c>
      <c r="E133" t="s">
        <v>18</v>
      </c>
      <c r="F133" s="2" t="s">
        <v>402</v>
      </c>
      <c r="G133" s="3">
        <v>2</v>
      </c>
      <c r="H133" s="3">
        <v>7</v>
      </c>
      <c r="I133" s="3">
        <v>7</v>
      </c>
      <c r="J133" s="3">
        <v>7</v>
      </c>
      <c r="K133" s="3">
        <v>5</v>
      </c>
      <c r="L133">
        <v>12</v>
      </c>
      <c r="M133">
        <v>38</v>
      </c>
      <c r="N133">
        <v>88</v>
      </c>
      <c r="O133">
        <v>62</v>
      </c>
      <c r="P133" s="3">
        <v>7</v>
      </c>
      <c r="Q133" s="3">
        <v>7</v>
      </c>
      <c r="R133" s="3">
        <v>7</v>
      </c>
      <c r="S133" s="3">
        <v>7</v>
      </c>
      <c r="T133" s="3">
        <v>7</v>
      </c>
      <c r="U133" s="3">
        <v>7</v>
      </c>
      <c r="V133" t="s">
        <v>20</v>
      </c>
      <c r="W133" s="3">
        <v>10</v>
      </c>
      <c r="X133" s="3">
        <v>7</v>
      </c>
      <c r="Y133">
        <v>54</v>
      </c>
      <c r="Z133">
        <v>27</v>
      </c>
      <c r="AA133">
        <v>40</v>
      </c>
      <c r="AB133">
        <v>4</v>
      </c>
      <c r="AC133">
        <v>20</v>
      </c>
      <c r="AD133">
        <v>80</v>
      </c>
      <c r="AE133">
        <v>4</v>
      </c>
      <c r="AF133">
        <v>20</v>
      </c>
      <c r="AG133" s="3">
        <v>10</v>
      </c>
      <c r="AH133" s="3">
        <v>995684</v>
      </c>
      <c r="AI133" t="s">
        <v>355</v>
      </c>
      <c r="AJ133" t="s">
        <v>22</v>
      </c>
      <c r="AK133" t="s">
        <v>22</v>
      </c>
      <c r="AL133">
        <v>5114</v>
      </c>
    </row>
    <row r="134" spans="1:38" x14ac:dyDescent="0.3">
      <c r="A134" s="3" t="str">
        <f>UPPER(TEXT(Tabela1[[#This Row],[Data]],"MMM"))</f>
        <v>SET</v>
      </c>
      <c r="B134" t="s">
        <v>406</v>
      </c>
      <c r="C134" s="1" t="s">
        <v>407</v>
      </c>
      <c r="D134" s="1" t="s">
        <v>405</v>
      </c>
      <c r="E134" t="s">
        <v>18</v>
      </c>
      <c r="F134" s="2" t="s">
        <v>402</v>
      </c>
      <c r="G134" s="3">
        <v>2</v>
      </c>
      <c r="H134" s="3">
        <v>7</v>
      </c>
      <c r="I134" s="3">
        <v>7</v>
      </c>
      <c r="J134" s="3">
        <v>7</v>
      </c>
      <c r="K134" s="3">
        <v>5</v>
      </c>
      <c r="L134">
        <v>10</v>
      </c>
      <c r="M134">
        <v>33</v>
      </c>
      <c r="N134">
        <v>90</v>
      </c>
      <c r="O134">
        <v>67</v>
      </c>
      <c r="P134" s="3">
        <v>7</v>
      </c>
      <c r="Q134" s="3">
        <v>7</v>
      </c>
      <c r="R134" s="3">
        <v>7</v>
      </c>
      <c r="S134" s="3">
        <v>7</v>
      </c>
      <c r="T134" s="3">
        <v>7</v>
      </c>
      <c r="U134" s="3">
        <v>7</v>
      </c>
      <c r="V134" t="s">
        <v>169</v>
      </c>
      <c r="W134" s="3">
        <v>7</v>
      </c>
      <c r="X134" s="3">
        <v>7</v>
      </c>
      <c r="Y134">
        <v>42</v>
      </c>
      <c r="Z134">
        <v>21</v>
      </c>
      <c r="AA134">
        <v>32</v>
      </c>
      <c r="AB134">
        <v>5</v>
      </c>
      <c r="AC134">
        <v>16</v>
      </c>
      <c r="AD134">
        <v>75</v>
      </c>
      <c r="AE134">
        <v>5</v>
      </c>
      <c r="AF134">
        <v>25</v>
      </c>
      <c r="AG134" s="3">
        <v>10</v>
      </c>
      <c r="AH134" s="3">
        <v>10105</v>
      </c>
      <c r="AI134" t="s">
        <v>63</v>
      </c>
      <c r="AJ134" t="s">
        <v>22</v>
      </c>
      <c r="AK134" t="s">
        <v>22</v>
      </c>
      <c r="AL134">
        <v>3150</v>
      </c>
    </row>
    <row r="135" spans="1:38" x14ac:dyDescent="0.3">
      <c r="A135" s="3" t="str">
        <f>UPPER(TEXT(Tabela1[[#This Row],[Data]],"MMM"))</f>
        <v>SET</v>
      </c>
      <c r="B135" t="s">
        <v>408</v>
      </c>
      <c r="C135" s="1" t="s">
        <v>409</v>
      </c>
      <c r="D135" s="1" t="s">
        <v>410</v>
      </c>
      <c r="E135" t="s">
        <v>18</v>
      </c>
      <c r="F135" s="2" t="s">
        <v>322</v>
      </c>
      <c r="G135" s="3">
        <v>2</v>
      </c>
      <c r="H135" s="3">
        <v>7</v>
      </c>
      <c r="I135" s="3">
        <v>7</v>
      </c>
      <c r="J135" s="3">
        <v>7</v>
      </c>
      <c r="K135" s="3">
        <v>5</v>
      </c>
      <c r="L135">
        <v>16</v>
      </c>
      <c r="M135">
        <v>30</v>
      </c>
      <c r="N135">
        <v>84</v>
      </c>
      <c r="O135">
        <v>70</v>
      </c>
      <c r="P135" s="3">
        <v>7</v>
      </c>
      <c r="Q135" s="3">
        <v>7</v>
      </c>
      <c r="R135" s="3">
        <v>7</v>
      </c>
      <c r="S135" s="3">
        <v>7</v>
      </c>
      <c r="T135" s="3">
        <v>7</v>
      </c>
      <c r="U135" s="3">
        <v>5</v>
      </c>
      <c r="V135" t="s">
        <v>169</v>
      </c>
      <c r="W135" s="3">
        <v>7</v>
      </c>
      <c r="X135" s="3">
        <v>7</v>
      </c>
      <c r="Y135">
        <v>70</v>
      </c>
      <c r="Z135">
        <v>35</v>
      </c>
      <c r="AA135">
        <v>37</v>
      </c>
      <c r="AB135">
        <v>4</v>
      </c>
      <c r="AC135">
        <v>18.5</v>
      </c>
      <c r="AD135">
        <v>80</v>
      </c>
      <c r="AE135">
        <v>4</v>
      </c>
      <c r="AF135">
        <v>20</v>
      </c>
      <c r="AG135" s="3">
        <v>10</v>
      </c>
      <c r="AH135" s="3">
        <v>13188</v>
      </c>
      <c r="AI135" t="s">
        <v>63</v>
      </c>
      <c r="AJ135" t="s">
        <v>22</v>
      </c>
      <c r="AK135" t="s">
        <v>22</v>
      </c>
      <c r="AL135">
        <v>1141881</v>
      </c>
    </row>
    <row r="136" spans="1:38" x14ac:dyDescent="0.3">
      <c r="A136" s="3" t="str">
        <f>UPPER(TEXT(Tabela1[[#This Row],[Data]],"MMM"))</f>
        <v>SET</v>
      </c>
      <c r="B136" t="s">
        <v>411</v>
      </c>
      <c r="C136" s="1" t="s">
        <v>412</v>
      </c>
      <c r="D136" s="1" t="s">
        <v>413</v>
      </c>
      <c r="E136" t="s">
        <v>299</v>
      </c>
      <c r="F136" s="2" t="s">
        <v>402</v>
      </c>
      <c r="G136" s="3">
        <v>1</v>
      </c>
      <c r="H136" s="3">
        <v>5</v>
      </c>
      <c r="I136" s="3">
        <v>10</v>
      </c>
      <c r="J136" s="3">
        <v>10</v>
      </c>
      <c r="K136" s="3">
        <v>5</v>
      </c>
      <c r="L136">
        <v>22</v>
      </c>
      <c r="M136">
        <v>37</v>
      </c>
      <c r="N136">
        <v>78</v>
      </c>
      <c r="O136">
        <v>63</v>
      </c>
      <c r="P136" s="3">
        <v>10</v>
      </c>
      <c r="Q136" s="3">
        <v>10</v>
      </c>
      <c r="R136" s="3">
        <v>10</v>
      </c>
      <c r="S136" s="3">
        <v>7</v>
      </c>
      <c r="T136" s="3">
        <v>10</v>
      </c>
      <c r="U136" s="3">
        <v>5</v>
      </c>
      <c r="W136" s="3">
        <v>7</v>
      </c>
      <c r="X136" s="3"/>
      <c r="Y136">
        <v>61.5</v>
      </c>
      <c r="Z136">
        <v>66</v>
      </c>
      <c r="AA136">
        <v>13</v>
      </c>
      <c r="AB136">
        <v>33</v>
      </c>
      <c r="AC136">
        <v>35</v>
      </c>
      <c r="AE136">
        <v>0</v>
      </c>
    </row>
    <row r="137" spans="1:38" x14ac:dyDescent="0.3">
      <c r="A137" s="3" t="str">
        <f>UPPER(TEXT(Tabela1[[#This Row],[Data]],"MMM"))</f>
        <v>SET</v>
      </c>
      <c r="B137" t="s">
        <v>414</v>
      </c>
      <c r="C137" s="1" t="s">
        <v>415</v>
      </c>
      <c r="D137" s="1" t="s">
        <v>416</v>
      </c>
      <c r="E137" t="s">
        <v>299</v>
      </c>
      <c r="F137" s="2" t="s">
        <v>354</v>
      </c>
      <c r="G137" s="3">
        <v>1</v>
      </c>
      <c r="H137" s="3">
        <v>7</v>
      </c>
      <c r="I137" s="3">
        <v>10</v>
      </c>
      <c r="J137" s="3">
        <v>10</v>
      </c>
      <c r="K137" s="3">
        <v>7</v>
      </c>
      <c r="L137">
        <v>24</v>
      </c>
      <c r="M137">
        <v>36</v>
      </c>
      <c r="N137">
        <v>76</v>
      </c>
      <c r="O137">
        <v>64</v>
      </c>
      <c r="P137" s="3">
        <v>10</v>
      </c>
      <c r="Q137" s="3">
        <v>7</v>
      </c>
      <c r="R137" s="3">
        <v>10</v>
      </c>
      <c r="S137" s="3">
        <v>7</v>
      </c>
      <c r="T137" s="3">
        <v>7</v>
      </c>
      <c r="U137" s="3">
        <v>10</v>
      </c>
      <c r="W137" s="3">
        <v>10</v>
      </c>
      <c r="X137" s="3"/>
      <c r="Y137">
        <v>53.5</v>
      </c>
      <c r="Z137">
        <v>91</v>
      </c>
      <c r="AA137">
        <v>14</v>
      </c>
      <c r="AB137">
        <v>45.5</v>
      </c>
      <c r="AC137">
        <v>30</v>
      </c>
      <c r="AE137">
        <v>30</v>
      </c>
    </row>
    <row r="138" spans="1:38" x14ac:dyDescent="0.3">
      <c r="A138" s="3" t="str">
        <f>UPPER(TEXT(Tabela1[[#This Row],[Data]],"MMM"))</f>
        <v>SET</v>
      </c>
      <c r="B138" t="s">
        <v>417</v>
      </c>
      <c r="C138" s="1" t="s">
        <v>418</v>
      </c>
      <c r="D138" s="1" t="s">
        <v>419</v>
      </c>
      <c r="E138" t="s">
        <v>299</v>
      </c>
      <c r="F138" s="2" t="s">
        <v>367</v>
      </c>
      <c r="G138" s="3">
        <v>1</v>
      </c>
      <c r="H138" s="3">
        <v>5</v>
      </c>
      <c r="I138" s="3">
        <v>7</v>
      </c>
      <c r="J138" s="3">
        <v>7</v>
      </c>
      <c r="K138" s="3">
        <v>7</v>
      </c>
      <c r="L138">
        <v>27</v>
      </c>
      <c r="M138">
        <v>36</v>
      </c>
      <c r="N138">
        <v>73</v>
      </c>
      <c r="O138">
        <v>64</v>
      </c>
      <c r="P138" s="3">
        <v>10</v>
      </c>
      <c r="Q138" s="3">
        <v>10</v>
      </c>
      <c r="R138" s="3">
        <v>10</v>
      </c>
      <c r="S138" s="3">
        <v>10</v>
      </c>
      <c r="T138" s="3">
        <v>10</v>
      </c>
      <c r="U138" s="3">
        <v>5</v>
      </c>
      <c r="W138" s="3">
        <v>7</v>
      </c>
      <c r="X138" s="3"/>
      <c r="Y138">
        <v>52.5</v>
      </c>
      <c r="Z138">
        <v>48</v>
      </c>
      <c r="AA138">
        <v>14</v>
      </c>
      <c r="AB138">
        <v>24</v>
      </c>
      <c r="AC138">
        <v>30</v>
      </c>
      <c r="AE138">
        <v>30</v>
      </c>
    </row>
    <row r="139" spans="1:38" x14ac:dyDescent="0.3">
      <c r="A139" s="3" t="str">
        <f>UPPER(TEXT(Tabela1[[#This Row],[Data]],"MMM"))</f>
        <v>SET</v>
      </c>
      <c r="B139" t="s">
        <v>420</v>
      </c>
      <c r="C139" s="1" t="s">
        <v>421</v>
      </c>
      <c r="D139" s="1" t="s">
        <v>422</v>
      </c>
      <c r="E139" t="s">
        <v>299</v>
      </c>
      <c r="F139" s="2" t="s">
        <v>379</v>
      </c>
      <c r="G139" s="3">
        <v>1</v>
      </c>
      <c r="H139" s="3">
        <v>5</v>
      </c>
      <c r="I139" s="3">
        <v>10</v>
      </c>
      <c r="J139" s="3">
        <v>7</v>
      </c>
      <c r="K139" s="3">
        <v>5</v>
      </c>
      <c r="L139">
        <v>17</v>
      </c>
      <c r="M139">
        <v>28</v>
      </c>
      <c r="N139">
        <v>83</v>
      </c>
      <c r="O139">
        <v>72</v>
      </c>
      <c r="P139" s="3">
        <v>5</v>
      </c>
      <c r="Q139" s="3">
        <v>7</v>
      </c>
      <c r="R139" s="3">
        <v>10</v>
      </c>
      <c r="S139" s="3">
        <v>7</v>
      </c>
      <c r="T139" s="3">
        <v>10</v>
      </c>
      <c r="U139" s="3">
        <v>5</v>
      </c>
      <c r="W139" s="3">
        <v>7</v>
      </c>
      <c r="X139" s="3"/>
      <c r="Y139">
        <v>73.5</v>
      </c>
      <c r="Z139">
        <v>68</v>
      </c>
      <c r="AA139">
        <v>10</v>
      </c>
      <c r="AB139">
        <v>34</v>
      </c>
      <c r="AC139">
        <v>50</v>
      </c>
      <c r="AE139">
        <v>0</v>
      </c>
    </row>
    <row r="140" spans="1:38" x14ac:dyDescent="0.3">
      <c r="A140" s="3" t="str">
        <f>UPPER(TEXT(Tabela1[[#This Row],[Data]],"MMM"))</f>
        <v>SET</v>
      </c>
      <c r="B140" s="33" t="s">
        <v>423</v>
      </c>
      <c r="C140" s="1" t="s">
        <v>424</v>
      </c>
      <c r="D140" s="1" t="s">
        <v>425</v>
      </c>
      <c r="E140" t="s">
        <v>18</v>
      </c>
      <c r="F140" s="2" t="s">
        <v>426</v>
      </c>
      <c r="G140" s="3">
        <v>2</v>
      </c>
      <c r="H140" s="3">
        <v>7</v>
      </c>
      <c r="I140" s="3">
        <v>7</v>
      </c>
      <c r="J140" s="3">
        <v>7</v>
      </c>
      <c r="K140" s="3">
        <v>5</v>
      </c>
      <c r="L140">
        <v>19</v>
      </c>
      <c r="M140">
        <v>33</v>
      </c>
      <c r="N140">
        <v>81</v>
      </c>
      <c r="O140">
        <v>67</v>
      </c>
      <c r="P140" s="3">
        <v>7</v>
      </c>
      <c r="Q140" s="3">
        <v>7</v>
      </c>
      <c r="R140" s="3">
        <v>7</v>
      </c>
      <c r="S140" s="3">
        <v>7</v>
      </c>
      <c r="T140" s="3">
        <v>7</v>
      </c>
      <c r="U140" s="3">
        <v>7</v>
      </c>
      <c r="V140" t="s">
        <v>20</v>
      </c>
      <c r="W140" s="3">
        <v>10</v>
      </c>
      <c r="X140" s="3">
        <v>10</v>
      </c>
      <c r="Y140">
        <v>42</v>
      </c>
      <c r="Z140">
        <v>21</v>
      </c>
      <c r="AA140">
        <v>35</v>
      </c>
      <c r="AB140">
        <v>4</v>
      </c>
      <c r="AC140">
        <v>17.5</v>
      </c>
      <c r="AD140">
        <v>80</v>
      </c>
      <c r="AE140">
        <v>8</v>
      </c>
      <c r="AF140">
        <v>40</v>
      </c>
      <c r="AG140" s="3">
        <v>7</v>
      </c>
      <c r="AH140" s="3">
        <v>40762</v>
      </c>
      <c r="AI140" t="s">
        <v>36</v>
      </c>
      <c r="AJ140" t="s">
        <v>22</v>
      </c>
      <c r="AK140" t="s">
        <v>22</v>
      </c>
      <c r="AL140">
        <v>2134</v>
      </c>
    </row>
    <row r="141" spans="1:38" x14ac:dyDescent="0.3">
      <c r="A141" s="3" t="str">
        <f>UPPER(TEXT(Tabela1[[#This Row],[Data]],"MMM"))</f>
        <v>SET</v>
      </c>
      <c r="B141" t="s">
        <v>427</v>
      </c>
      <c r="C141" s="1" t="s">
        <v>428</v>
      </c>
      <c r="D141" s="1" t="s">
        <v>429</v>
      </c>
      <c r="E141" t="s">
        <v>18</v>
      </c>
      <c r="F141" s="2" t="s">
        <v>426</v>
      </c>
      <c r="G141" s="3">
        <v>2</v>
      </c>
      <c r="H141" s="3">
        <v>7</v>
      </c>
      <c r="I141" s="3">
        <v>7</v>
      </c>
      <c r="J141" s="3">
        <v>7</v>
      </c>
      <c r="K141" s="3">
        <v>5</v>
      </c>
      <c r="L141">
        <v>15</v>
      </c>
      <c r="M141">
        <v>29</v>
      </c>
      <c r="N141">
        <v>85</v>
      </c>
      <c r="O141">
        <v>71</v>
      </c>
      <c r="P141" s="3">
        <v>7</v>
      </c>
      <c r="Q141" s="3">
        <v>7</v>
      </c>
      <c r="R141" s="3">
        <v>7</v>
      </c>
      <c r="S141" s="3">
        <v>7</v>
      </c>
      <c r="T141" s="3">
        <v>7</v>
      </c>
      <c r="U141" s="3" t="s">
        <v>28</v>
      </c>
      <c r="V141" t="s">
        <v>20</v>
      </c>
      <c r="W141" s="3">
        <v>10</v>
      </c>
      <c r="X141" s="3">
        <v>7</v>
      </c>
      <c r="Y141">
        <v>31</v>
      </c>
      <c r="Z141">
        <v>15.5</v>
      </c>
      <c r="AA141">
        <v>44</v>
      </c>
      <c r="AB141">
        <v>3</v>
      </c>
      <c r="AC141">
        <v>22</v>
      </c>
      <c r="AD141">
        <v>85</v>
      </c>
      <c r="AE141">
        <v>6</v>
      </c>
      <c r="AF141">
        <v>30</v>
      </c>
      <c r="AG141" s="3">
        <v>10</v>
      </c>
      <c r="AH141" s="3">
        <v>792799</v>
      </c>
      <c r="AI141" t="s">
        <v>63</v>
      </c>
      <c r="AJ141" t="s">
        <v>22</v>
      </c>
      <c r="AK141" t="s">
        <v>22</v>
      </c>
      <c r="AL141">
        <v>4833</v>
      </c>
    </row>
    <row r="142" spans="1:38" x14ac:dyDescent="0.3">
      <c r="A142" s="3" t="str">
        <f>UPPER(TEXT(Tabela1[[#This Row],[Data]],"MMM"))</f>
        <v>SET</v>
      </c>
      <c r="B142" t="s">
        <v>430</v>
      </c>
      <c r="C142" s="1" t="s">
        <v>431</v>
      </c>
      <c r="D142" s="1" t="s">
        <v>429</v>
      </c>
      <c r="E142" t="s">
        <v>18</v>
      </c>
      <c r="F142" s="2" t="s">
        <v>426</v>
      </c>
      <c r="G142" s="3">
        <v>2</v>
      </c>
      <c r="H142" s="3">
        <v>7</v>
      </c>
      <c r="I142" s="3">
        <v>7</v>
      </c>
      <c r="J142" s="3">
        <v>7</v>
      </c>
      <c r="K142" s="3">
        <v>5</v>
      </c>
      <c r="L142">
        <v>17</v>
      </c>
      <c r="M142">
        <v>31</v>
      </c>
      <c r="N142">
        <v>83</v>
      </c>
      <c r="O142">
        <v>69</v>
      </c>
      <c r="P142" s="3">
        <v>5</v>
      </c>
      <c r="Q142" s="3">
        <v>7</v>
      </c>
      <c r="R142" s="3">
        <v>7</v>
      </c>
      <c r="S142" s="3">
        <v>7</v>
      </c>
      <c r="T142" s="3">
        <v>7</v>
      </c>
      <c r="U142" s="3">
        <v>7</v>
      </c>
      <c r="V142" t="s">
        <v>20</v>
      </c>
      <c r="W142" s="3">
        <v>10</v>
      </c>
      <c r="X142" s="3">
        <v>10</v>
      </c>
      <c r="Y142">
        <v>65</v>
      </c>
      <c r="Z142">
        <v>32.5</v>
      </c>
      <c r="AA142">
        <v>36</v>
      </c>
      <c r="AB142">
        <v>5</v>
      </c>
      <c r="AC142">
        <v>18</v>
      </c>
      <c r="AD142">
        <v>75</v>
      </c>
      <c r="AE142">
        <v>11</v>
      </c>
      <c r="AF142">
        <v>55.000000000000007</v>
      </c>
      <c r="AG142" s="3">
        <v>7</v>
      </c>
      <c r="AH142" s="3">
        <v>42862</v>
      </c>
      <c r="AI142" t="s">
        <v>36</v>
      </c>
      <c r="AJ142" t="s">
        <v>22</v>
      </c>
      <c r="AK142" t="s">
        <v>22</v>
      </c>
      <c r="AL142">
        <v>2560</v>
      </c>
    </row>
    <row r="143" spans="1:38" x14ac:dyDescent="0.3">
      <c r="A143" s="3" t="str">
        <f>UPPER(TEXT(Tabela1[[#This Row],[Data]],"MMM"))</f>
        <v>SET</v>
      </c>
      <c r="B143" t="s">
        <v>432</v>
      </c>
      <c r="C143" s="1" t="s">
        <v>433</v>
      </c>
      <c r="D143" s="1" t="s">
        <v>434</v>
      </c>
      <c r="E143" t="s">
        <v>18</v>
      </c>
      <c r="F143" s="2" t="s">
        <v>426</v>
      </c>
      <c r="G143" s="3">
        <v>2</v>
      </c>
      <c r="H143" s="3">
        <v>7</v>
      </c>
      <c r="I143" s="3">
        <v>7</v>
      </c>
      <c r="J143" s="3">
        <v>7</v>
      </c>
      <c r="K143" s="3">
        <v>5</v>
      </c>
      <c r="L143">
        <v>15</v>
      </c>
      <c r="M143">
        <v>31</v>
      </c>
      <c r="N143">
        <v>85</v>
      </c>
      <c r="O143">
        <v>69</v>
      </c>
      <c r="P143" s="3">
        <v>7</v>
      </c>
      <c r="Q143" s="3">
        <v>7</v>
      </c>
      <c r="R143" s="3">
        <v>7</v>
      </c>
      <c r="S143" s="3">
        <v>7</v>
      </c>
      <c r="T143" s="3">
        <v>10</v>
      </c>
      <c r="U143" s="3" t="s">
        <v>28</v>
      </c>
      <c r="V143" t="s">
        <v>169</v>
      </c>
      <c r="W143" s="3">
        <v>7</v>
      </c>
      <c r="X143" s="3">
        <v>7</v>
      </c>
      <c r="Y143">
        <v>60</v>
      </c>
      <c r="Z143">
        <v>30</v>
      </c>
      <c r="AA143">
        <v>32</v>
      </c>
      <c r="AB143">
        <v>4</v>
      </c>
      <c r="AC143">
        <v>16</v>
      </c>
      <c r="AD143">
        <v>80</v>
      </c>
      <c r="AE143">
        <v>6</v>
      </c>
      <c r="AF143">
        <v>30</v>
      </c>
      <c r="AG143" s="3">
        <v>10</v>
      </c>
      <c r="AH143" s="3">
        <v>15105</v>
      </c>
      <c r="AI143" t="s">
        <v>63</v>
      </c>
      <c r="AJ143" t="s">
        <v>22</v>
      </c>
      <c r="AK143" t="s">
        <v>22</v>
      </c>
      <c r="AL143">
        <v>5054</v>
      </c>
    </row>
    <row r="144" spans="1:38" x14ac:dyDescent="0.3">
      <c r="A144" s="3" t="str">
        <f>UPPER(TEXT(Tabela1[[#This Row],[Data]],"MMM"))</f>
        <v>SET</v>
      </c>
      <c r="B144" t="s">
        <v>399</v>
      </c>
      <c r="C144" s="1" t="s">
        <v>400</v>
      </c>
      <c r="D144" s="1" t="s">
        <v>401</v>
      </c>
      <c r="E144" t="s">
        <v>18</v>
      </c>
      <c r="F144" s="2" t="s">
        <v>402</v>
      </c>
      <c r="G144" s="3">
        <v>2</v>
      </c>
      <c r="H144" s="3">
        <v>7</v>
      </c>
      <c r="I144" s="3">
        <v>7</v>
      </c>
      <c r="J144" s="3">
        <v>7</v>
      </c>
      <c r="K144" s="3">
        <v>5</v>
      </c>
      <c r="L144">
        <v>8</v>
      </c>
      <c r="M144">
        <v>27</v>
      </c>
      <c r="N144">
        <v>92</v>
      </c>
      <c r="O144">
        <v>73</v>
      </c>
      <c r="P144" s="3">
        <v>5</v>
      </c>
      <c r="Q144" s="3">
        <v>5</v>
      </c>
      <c r="R144" s="3">
        <v>7</v>
      </c>
      <c r="S144" s="3">
        <v>7</v>
      </c>
      <c r="T144" s="3">
        <v>7</v>
      </c>
      <c r="U144" s="3">
        <v>7</v>
      </c>
      <c r="V144" t="s">
        <v>169</v>
      </c>
      <c r="W144" s="3">
        <v>7</v>
      </c>
      <c r="X144" s="3">
        <v>7</v>
      </c>
      <c r="Y144">
        <v>57</v>
      </c>
      <c r="Z144">
        <v>28.499999999999996</v>
      </c>
      <c r="AA144">
        <v>44</v>
      </c>
      <c r="AB144">
        <v>6</v>
      </c>
      <c r="AC144">
        <v>22</v>
      </c>
      <c r="AD144">
        <v>70</v>
      </c>
      <c r="AE144">
        <v>7</v>
      </c>
      <c r="AF144">
        <v>35</v>
      </c>
      <c r="AG144" s="3">
        <v>5</v>
      </c>
      <c r="AH144" s="3">
        <v>42820</v>
      </c>
      <c r="AI144" t="s">
        <v>36</v>
      </c>
      <c r="AJ144" t="s">
        <v>22</v>
      </c>
      <c r="AK144" t="s">
        <v>22</v>
      </c>
      <c r="AL144">
        <v>4107</v>
      </c>
    </row>
    <row r="145" spans="1:38" x14ac:dyDescent="0.3">
      <c r="A145" s="3" t="str">
        <f>UPPER(TEXT(Tabela1[[#This Row],[Data]],"MMM"))</f>
        <v>SET</v>
      </c>
      <c r="B145" t="s">
        <v>403</v>
      </c>
      <c r="C145" s="1" t="s">
        <v>404</v>
      </c>
      <c r="D145" s="1" t="s">
        <v>405</v>
      </c>
      <c r="E145" t="s">
        <v>18</v>
      </c>
      <c r="F145" s="2" t="s">
        <v>402</v>
      </c>
      <c r="G145" s="3">
        <v>2</v>
      </c>
      <c r="H145" s="3">
        <v>7</v>
      </c>
      <c r="I145" s="3">
        <v>7</v>
      </c>
      <c r="J145" s="3">
        <v>7</v>
      </c>
      <c r="K145" s="3">
        <v>5</v>
      </c>
      <c r="L145">
        <v>12</v>
      </c>
      <c r="M145">
        <v>380</v>
      </c>
      <c r="N145">
        <v>88</v>
      </c>
      <c r="O145">
        <v>-280</v>
      </c>
      <c r="P145" s="3">
        <v>7</v>
      </c>
      <c r="Q145" s="3">
        <v>7</v>
      </c>
      <c r="R145" s="3">
        <v>7</v>
      </c>
      <c r="S145" s="3">
        <v>7</v>
      </c>
      <c r="T145" s="3">
        <v>7</v>
      </c>
      <c r="U145" s="3">
        <v>7</v>
      </c>
      <c r="V145" t="s">
        <v>20</v>
      </c>
      <c r="W145" s="3">
        <v>10</v>
      </c>
      <c r="X145" s="3">
        <v>7</v>
      </c>
      <c r="Y145">
        <v>54</v>
      </c>
      <c r="Z145">
        <v>27</v>
      </c>
      <c r="AA145">
        <v>40</v>
      </c>
      <c r="AB145">
        <v>4</v>
      </c>
      <c r="AC145">
        <v>20</v>
      </c>
      <c r="AD145">
        <v>80</v>
      </c>
      <c r="AE145">
        <v>4</v>
      </c>
      <c r="AF145">
        <v>20</v>
      </c>
      <c r="AG145" s="3">
        <v>10</v>
      </c>
      <c r="AH145" s="3">
        <v>995684</v>
      </c>
      <c r="AI145" t="s">
        <v>355</v>
      </c>
      <c r="AJ145" t="s">
        <v>22</v>
      </c>
      <c r="AK145" t="s">
        <v>22</v>
      </c>
      <c r="AL145">
        <v>5114</v>
      </c>
    </row>
    <row r="146" spans="1:38" x14ac:dyDescent="0.3">
      <c r="A146" s="3" t="str">
        <f>UPPER(TEXT(Tabela1[[#This Row],[Data]],"MMM"))</f>
        <v>SET</v>
      </c>
      <c r="B146" t="s">
        <v>406</v>
      </c>
      <c r="C146" s="1" t="s">
        <v>407</v>
      </c>
      <c r="D146" s="1" t="s">
        <v>405</v>
      </c>
      <c r="E146" t="s">
        <v>18</v>
      </c>
      <c r="F146" s="2" t="s">
        <v>402</v>
      </c>
      <c r="G146" s="3">
        <v>2</v>
      </c>
      <c r="H146" s="3">
        <v>7</v>
      </c>
      <c r="I146" s="3">
        <v>7</v>
      </c>
      <c r="J146" s="3">
        <v>7</v>
      </c>
      <c r="K146" s="3">
        <v>5</v>
      </c>
      <c r="L146">
        <v>10</v>
      </c>
      <c r="M146">
        <v>33</v>
      </c>
      <c r="N146">
        <v>90</v>
      </c>
      <c r="O146">
        <v>67</v>
      </c>
      <c r="P146" s="3">
        <v>7</v>
      </c>
      <c r="Q146" s="3">
        <v>7</v>
      </c>
      <c r="R146" s="3">
        <v>7</v>
      </c>
      <c r="S146" s="3">
        <v>7</v>
      </c>
      <c r="T146" s="3">
        <v>7</v>
      </c>
      <c r="U146" s="3">
        <v>7</v>
      </c>
      <c r="V146" t="s">
        <v>169</v>
      </c>
      <c r="W146" s="3">
        <v>7</v>
      </c>
      <c r="X146" s="3">
        <v>7</v>
      </c>
      <c r="Y146">
        <v>42</v>
      </c>
      <c r="Z146">
        <v>21</v>
      </c>
      <c r="AA146">
        <v>32</v>
      </c>
      <c r="AB146">
        <v>5</v>
      </c>
      <c r="AC146">
        <v>16</v>
      </c>
      <c r="AD146">
        <v>75</v>
      </c>
      <c r="AE146">
        <v>5</v>
      </c>
      <c r="AF146">
        <v>25</v>
      </c>
      <c r="AG146" s="3">
        <v>10</v>
      </c>
      <c r="AH146" s="3">
        <v>10105</v>
      </c>
      <c r="AI146" t="s">
        <v>63</v>
      </c>
      <c r="AJ146" t="s">
        <v>22</v>
      </c>
      <c r="AK146" t="s">
        <v>22</v>
      </c>
      <c r="AL146">
        <v>3150</v>
      </c>
    </row>
    <row r="147" spans="1:38" x14ac:dyDescent="0.3">
      <c r="A147" s="3" t="str">
        <f>UPPER(TEXT(Tabela1[[#This Row],[Data]],"MMM"))</f>
        <v>SET</v>
      </c>
      <c r="B147" t="s">
        <v>408</v>
      </c>
      <c r="C147" s="1" t="s">
        <v>409</v>
      </c>
      <c r="D147" s="1" t="s">
        <v>410</v>
      </c>
      <c r="E147" t="s">
        <v>18</v>
      </c>
      <c r="F147" s="2" t="s">
        <v>322</v>
      </c>
      <c r="G147" s="3">
        <v>2</v>
      </c>
      <c r="H147" s="3">
        <v>7</v>
      </c>
      <c r="I147" s="3">
        <v>7</v>
      </c>
      <c r="J147" s="3">
        <v>7</v>
      </c>
      <c r="K147" s="3">
        <v>5</v>
      </c>
      <c r="L147">
        <v>16</v>
      </c>
      <c r="M147">
        <v>30</v>
      </c>
      <c r="N147">
        <v>84</v>
      </c>
      <c r="O147">
        <v>70</v>
      </c>
      <c r="P147" s="3">
        <v>7</v>
      </c>
      <c r="Q147" s="3">
        <v>7</v>
      </c>
      <c r="R147" s="3">
        <v>7</v>
      </c>
      <c r="S147" s="3">
        <v>7</v>
      </c>
      <c r="T147" s="3">
        <v>7</v>
      </c>
      <c r="U147" s="3">
        <v>5</v>
      </c>
      <c r="V147" t="s">
        <v>169</v>
      </c>
      <c r="W147" s="3">
        <v>7</v>
      </c>
      <c r="X147" s="3">
        <v>7</v>
      </c>
      <c r="Y147">
        <v>70</v>
      </c>
      <c r="Z147">
        <v>35</v>
      </c>
      <c r="AA147">
        <v>37</v>
      </c>
      <c r="AB147">
        <v>4</v>
      </c>
      <c r="AC147">
        <v>18.5</v>
      </c>
      <c r="AD147">
        <v>80</v>
      </c>
      <c r="AE147">
        <v>4</v>
      </c>
      <c r="AF147">
        <v>20</v>
      </c>
      <c r="AG147" s="3">
        <v>10</v>
      </c>
      <c r="AH147" s="3">
        <v>13188</v>
      </c>
      <c r="AI147" t="s">
        <v>63</v>
      </c>
      <c r="AJ147" t="s">
        <v>22</v>
      </c>
      <c r="AK147" t="s">
        <v>22</v>
      </c>
      <c r="AL147">
        <v>1141881</v>
      </c>
    </row>
    <row r="148" spans="1:38" x14ac:dyDescent="0.3">
      <c r="A148" s="3" t="str">
        <f>UPPER(TEXT(Tabela1[[#This Row],[Data]],"MMM"))</f>
        <v>SET</v>
      </c>
      <c r="B148" s="33" t="s">
        <v>435</v>
      </c>
      <c r="C148" s="1" t="s">
        <v>436</v>
      </c>
      <c r="D148" s="1" t="s">
        <v>437</v>
      </c>
      <c r="E148" t="s">
        <v>18</v>
      </c>
      <c r="F148" s="2" t="s">
        <v>438</v>
      </c>
      <c r="G148" s="3">
        <v>2</v>
      </c>
      <c r="H148" s="3">
        <v>7</v>
      </c>
      <c r="I148" s="3">
        <v>7</v>
      </c>
      <c r="J148" s="3">
        <v>7</v>
      </c>
      <c r="K148" s="3">
        <v>7</v>
      </c>
      <c r="L148">
        <v>18</v>
      </c>
      <c r="M148">
        <v>30</v>
      </c>
      <c r="N148">
        <v>82</v>
      </c>
      <c r="O148">
        <v>70</v>
      </c>
      <c r="P148" s="3">
        <v>7</v>
      </c>
      <c r="Q148" s="3">
        <v>7</v>
      </c>
      <c r="R148" s="3">
        <v>7</v>
      </c>
      <c r="S148" s="3">
        <v>7</v>
      </c>
      <c r="T148" s="3">
        <v>7</v>
      </c>
      <c r="U148" s="3">
        <v>5</v>
      </c>
      <c r="V148" t="s">
        <v>169</v>
      </c>
      <c r="W148" s="3" t="s">
        <v>28</v>
      </c>
      <c r="X148" s="3" t="s">
        <v>28</v>
      </c>
      <c r="Y148">
        <v>45</v>
      </c>
      <c r="Z148">
        <v>22.5</v>
      </c>
      <c r="AA148">
        <v>45</v>
      </c>
      <c r="AB148">
        <v>4</v>
      </c>
      <c r="AC148">
        <v>22.5</v>
      </c>
      <c r="AD148">
        <v>80</v>
      </c>
      <c r="AE148">
        <v>5</v>
      </c>
      <c r="AF148">
        <v>25</v>
      </c>
      <c r="AG148" s="3">
        <v>10</v>
      </c>
      <c r="AH148" s="3">
        <v>992093</v>
      </c>
      <c r="AI148" t="s">
        <v>63</v>
      </c>
      <c r="AJ148" t="s">
        <v>22</v>
      </c>
      <c r="AK148" t="s">
        <v>22</v>
      </c>
      <c r="AL148">
        <v>2739</v>
      </c>
    </row>
    <row r="149" spans="1:38" x14ac:dyDescent="0.3">
      <c r="A149" s="3" t="str">
        <f>UPPER(TEXT(Tabela1[[#This Row],[Data]],"MMM"))</f>
        <v>SET</v>
      </c>
      <c r="B149" t="s">
        <v>439</v>
      </c>
      <c r="C149" s="1" t="s">
        <v>440</v>
      </c>
      <c r="D149" s="1" t="s">
        <v>437</v>
      </c>
      <c r="E149" t="s">
        <v>18</v>
      </c>
      <c r="F149" s="2" t="s">
        <v>438</v>
      </c>
      <c r="G149" s="3">
        <v>2</v>
      </c>
      <c r="H149" s="3">
        <v>7</v>
      </c>
      <c r="I149" s="3">
        <v>7</v>
      </c>
      <c r="J149" s="3">
        <v>7</v>
      </c>
      <c r="K149" s="3">
        <v>5</v>
      </c>
      <c r="L149">
        <v>11</v>
      </c>
      <c r="M149">
        <v>31</v>
      </c>
      <c r="N149">
        <v>89</v>
      </c>
      <c r="O149">
        <v>69</v>
      </c>
      <c r="P149" s="3">
        <v>7</v>
      </c>
      <c r="Q149" s="3">
        <v>7</v>
      </c>
      <c r="R149" s="3">
        <v>7</v>
      </c>
      <c r="S149" s="3">
        <v>7</v>
      </c>
      <c r="T149" s="3">
        <v>7</v>
      </c>
      <c r="U149" s="3">
        <v>7</v>
      </c>
      <c r="V149" t="s">
        <v>169</v>
      </c>
      <c r="W149" s="3">
        <v>10</v>
      </c>
      <c r="X149" s="3">
        <v>10</v>
      </c>
      <c r="Y149">
        <v>47</v>
      </c>
      <c r="Z149">
        <v>23.5</v>
      </c>
      <c r="AA149">
        <v>31</v>
      </c>
      <c r="AB149">
        <v>5</v>
      </c>
      <c r="AC149">
        <v>15.5</v>
      </c>
      <c r="AD149">
        <v>75</v>
      </c>
      <c r="AE149">
        <v>11</v>
      </c>
      <c r="AF149">
        <v>55.000000000000007</v>
      </c>
      <c r="AG149" s="3">
        <v>7</v>
      </c>
      <c r="AH149" s="3">
        <v>42846</v>
      </c>
      <c r="AI149" t="s">
        <v>36</v>
      </c>
      <c r="AJ149" t="s">
        <v>22</v>
      </c>
      <c r="AK149" t="s">
        <v>22</v>
      </c>
      <c r="AL149">
        <v>4017</v>
      </c>
    </row>
    <row r="150" spans="1:38" x14ac:dyDescent="0.3">
      <c r="A150" s="3" t="str">
        <f>UPPER(TEXT(Tabela1[[#This Row],[Data]],"MMM"))</f>
        <v>SET</v>
      </c>
      <c r="B150" t="s">
        <v>441</v>
      </c>
      <c r="C150" s="1" t="s">
        <v>442</v>
      </c>
      <c r="D150" s="1" t="s">
        <v>443</v>
      </c>
      <c r="E150" t="s">
        <v>18</v>
      </c>
      <c r="F150" s="2" t="s">
        <v>438</v>
      </c>
      <c r="G150" s="3">
        <v>2</v>
      </c>
      <c r="H150" s="3">
        <v>7</v>
      </c>
      <c r="I150" s="3">
        <v>7</v>
      </c>
      <c r="J150" s="3">
        <v>7</v>
      </c>
      <c r="K150" s="3">
        <v>5</v>
      </c>
      <c r="L150">
        <v>15</v>
      </c>
      <c r="M150">
        <v>29</v>
      </c>
      <c r="N150">
        <v>85</v>
      </c>
      <c r="O150">
        <v>71</v>
      </c>
      <c r="P150" s="3">
        <v>7</v>
      </c>
      <c r="Q150" s="3">
        <v>7</v>
      </c>
      <c r="R150" s="3">
        <v>7</v>
      </c>
      <c r="S150" s="3">
        <v>7</v>
      </c>
      <c r="T150" s="3">
        <v>7</v>
      </c>
      <c r="U150" s="3">
        <v>7</v>
      </c>
      <c r="V150" t="s">
        <v>169</v>
      </c>
      <c r="W150" s="3" t="s">
        <v>28</v>
      </c>
      <c r="X150" s="3" t="s">
        <v>28</v>
      </c>
      <c r="Y150">
        <v>50</v>
      </c>
      <c r="Z150">
        <v>25</v>
      </c>
      <c r="AA150">
        <v>41</v>
      </c>
      <c r="AB150">
        <v>5</v>
      </c>
      <c r="AC150">
        <v>20.5</v>
      </c>
      <c r="AD150">
        <v>75</v>
      </c>
      <c r="AE150">
        <v>6</v>
      </c>
      <c r="AF150">
        <v>30</v>
      </c>
      <c r="AG150" s="3">
        <v>10</v>
      </c>
      <c r="AH150" s="3">
        <v>13188</v>
      </c>
      <c r="AI150" t="s">
        <v>355</v>
      </c>
      <c r="AJ150" t="s">
        <v>22</v>
      </c>
      <c r="AK150" t="s">
        <v>22</v>
      </c>
      <c r="AL150">
        <v>3592</v>
      </c>
    </row>
    <row r="151" spans="1:38" x14ac:dyDescent="0.3">
      <c r="A151" s="3" t="str">
        <f>UPPER(TEXT(Tabela1[[#This Row],[Data]],"MMM"))</f>
        <v>SET</v>
      </c>
      <c r="B151" t="s">
        <v>444</v>
      </c>
      <c r="C151" s="1" t="s">
        <v>445</v>
      </c>
      <c r="D151" s="1" t="s">
        <v>443</v>
      </c>
      <c r="E151" t="s">
        <v>18</v>
      </c>
      <c r="F151" s="2" t="s">
        <v>438</v>
      </c>
      <c r="G151" s="3">
        <v>2</v>
      </c>
      <c r="H151" s="3">
        <v>7</v>
      </c>
      <c r="I151" s="3">
        <v>7</v>
      </c>
      <c r="J151" s="3">
        <v>7</v>
      </c>
      <c r="K151" s="3">
        <v>5</v>
      </c>
      <c r="L151">
        <v>11</v>
      </c>
      <c r="M151">
        <v>31</v>
      </c>
      <c r="N151">
        <v>89</v>
      </c>
      <c r="O151">
        <v>69</v>
      </c>
      <c r="P151" s="3">
        <v>7</v>
      </c>
      <c r="Q151" s="3">
        <v>7</v>
      </c>
      <c r="R151" s="3">
        <v>7</v>
      </c>
      <c r="S151" s="3">
        <v>7</v>
      </c>
      <c r="T151" s="3">
        <v>7</v>
      </c>
      <c r="U151" s="3" t="s">
        <v>28</v>
      </c>
      <c r="V151" t="s">
        <v>169</v>
      </c>
      <c r="W151" s="3">
        <v>10</v>
      </c>
      <c r="X151" s="3">
        <v>10</v>
      </c>
      <c r="Y151">
        <v>52</v>
      </c>
      <c r="Z151">
        <v>26</v>
      </c>
      <c r="AA151">
        <v>34</v>
      </c>
      <c r="AB151">
        <v>4</v>
      </c>
      <c r="AC151">
        <v>17</v>
      </c>
      <c r="AD151">
        <v>80</v>
      </c>
      <c r="AE151">
        <v>8</v>
      </c>
      <c r="AF151">
        <v>40</v>
      </c>
      <c r="AG151" s="3">
        <v>10</v>
      </c>
      <c r="AH151" s="3">
        <v>15105</v>
      </c>
      <c r="AI151" t="s">
        <v>446</v>
      </c>
      <c r="AJ151" t="s">
        <v>22</v>
      </c>
      <c r="AK151" t="s">
        <v>22</v>
      </c>
      <c r="AL151">
        <v>2783</v>
      </c>
    </row>
    <row r="152" spans="1:38" x14ac:dyDescent="0.3">
      <c r="A152" s="3" t="str">
        <f>UPPER(TEXT(Tabela1[[#This Row],[Data]],"MMM"))</f>
        <v>SET</v>
      </c>
      <c r="B152" t="s">
        <v>447</v>
      </c>
      <c r="C152" s="1" t="s">
        <v>448</v>
      </c>
      <c r="D152" s="1" t="s">
        <v>449</v>
      </c>
      <c r="E152" t="s">
        <v>18</v>
      </c>
      <c r="F152" s="2" t="s">
        <v>450</v>
      </c>
      <c r="G152" s="3">
        <v>2</v>
      </c>
      <c r="H152" s="3">
        <v>7</v>
      </c>
      <c r="I152" s="3">
        <v>7</v>
      </c>
      <c r="J152" s="3">
        <v>7</v>
      </c>
      <c r="K152" s="3">
        <v>5</v>
      </c>
      <c r="L152">
        <v>30</v>
      </c>
      <c r="M152">
        <v>33</v>
      </c>
      <c r="N152">
        <v>70</v>
      </c>
      <c r="O152">
        <v>67</v>
      </c>
      <c r="P152" s="3">
        <v>7</v>
      </c>
      <c r="Q152" s="3">
        <v>5</v>
      </c>
      <c r="R152" s="3">
        <v>7</v>
      </c>
      <c r="S152" s="3">
        <v>7</v>
      </c>
      <c r="T152" s="3">
        <v>7</v>
      </c>
      <c r="U152" s="3">
        <v>5</v>
      </c>
      <c r="V152" t="s">
        <v>169</v>
      </c>
      <c r="W152" s="3">
        <v>10</v>
      </c>
      <c r="X152" s="3">
        <v>10</v>
      </c>
      <c r="Y152">
        <v>70</v>
      </c>
      <c r="Z152">
        <v>35</v>
      </c>
      <c r="AA152">
        <v>38</v>
      </c>
      <c r="AB152">
        <v>6</v>
      </c>
      <c r="AC152">
        <v>19</v>
      </c>
      <c r="AD152">
        <v>70</v>
      </c>
      <c r="AE152">
        <v>5</v>
      </c>
      <c r="AF152">
        <v>25</v>
      </c>
      <c r="AG152" s="3">
        <v>5</v>
      </c>
      <c r="AH152" s="3">
        <v>40762</v>
      </c>
      <c r="AI152" t="s">
        <v>36</v>
      </c>
      <c r="AJ152" t="s">
        <v>22</v>
      </c>
      <c r="AK152" t="s">
        <v>22</v>
      </c>
      <c r="AL152">
        <v>2442</v>
      </c>
    </row>
    <row r="153" spans="1:38" x14ac:dyDescent="0.3">
      <c r="A153" s="3" t="str">
        <f>UPPER(TEXT(Tabela1[[#This Row],[Data]],"MMM"))</f>
        <v>SET</v>
      </c>
      <c r="B153" t="s">
        <v>451</v>
      </c>
      <c r="C153" s="1" t="s">
        <v>452</v>
      </c>
      <c r="D153" s="1" t="s">
        <v>449</v>
      </c>
      <c r="E153" t="s">
        <v>18</v>
      </c>
      <c r="F153" s="2" t="s">
        <v>450</v>
      </c>
      <c r="G153" s="3">
        <v>2</v>
      </c>
      <c r="H153" s="3">
        <v>7</v>
      </c>
      <c r="I153" s="3">
        <v>7</v>
      </c>
      <c r="J153" s="3">
        <v>7</v>
      </c>
      <c r="K153" s="3">
        <v>5</v>
      </c>
      <c r="L153">
        <v>28</v>
      </c>
      <c r="M153">
        <v>32</v>
      </c>
      <c r="N153">
        <v>72</v>
      </c>
      <c r="O153">
        <v>68</v>
      </c>
      <c r="P153" s="3">
        <v>7</v>
      </c>
      <c r="Q153" s="3">
        <v>7</v>
      </c>
      <c r="R153" s="3">
        <v>7</v>
      </c>
      <c r="S153" s="3">
        <v>7</v>
      </c>
      <c r="T153" s="3">
        <v>7</v>
      </c>
      <c r="U153" s="3">
        <v>5</v>
      </c>
      <c r="V153" t="s">
        <v>169</v>
      </c>
      <c r="W153" s="3" t="s">
        <v>28</v>
      </c>
      <c r="X153" s="3" t="s">
        <v>28</v>
      </c>
      <c r="Y153">
        <v>46</v>
      </c>
      <c r="Z153">
        <v>23</v>
      </c>
      <c r="AA153">
        <v>42</v>
      </c>
      <c r="AB153">
        <v>4</v>
      </c>
      <c r="AC153">
        <v>21</v>
      </c>
      <c r="AD153">
        <v>80</v>
      </c>
      <c r="AE153">
        <v>8</v>
      </c>
      <c r="AF153">
        <v>40</v>
      </c>
      <c r="AG153" s="3">
        <v>7</v>
      </c>
      <c r="AH153" s="3">
        <v>792799</v>
      </c>
      <c r="AI153" t="s">
        <v>36</v>
      </c>
      <c r="AJ153" t="s">
        <v>22</v>
      </c>
      <c r="AK153" t="s">
        <v>22</v>
      </c>
      <c r="AL153">
        <v>5010</v>
      </c>
    </row>
    <row r="154" spans="1:38" x14ac:dyDescent="0.3">
      <c r="A154" s="3" t="str">
        <f>UPPER(TEXT(Tabela1[[#This Row],[Data]],"MMM"))</f>
        <v>SET</v>
      </c>
      <c r="B154" t="s">
        <v>453</v>
      </c>
      <c r="C154" s="1" t="s">
        <v>454</v>
      </c>
      <c r="D154" s="1" t="s">
        <v>455</v>
      </c>
      <c r="E154" t="s">
        <v>18</v>
      </c>
      <c r="F154" s="2" t="s">
        <v>450</v>
      </c>
      <c r="G154" s="3">
        <v>2</v>
      </c>
      <c r="H154" s="3">
        <v>7</v>
      </c>
      <c r="I154" s="3">
        <v>7</v>
      </c>
      <c r="J154" s="3">
        <v>7</v>
      </c>
      <c r="K154" s="3">
        <v>5</v>
      </c>
      <c r="L154">
        <v>33</v>
      </c>
      <c r="M154">
        <v>25</v>
      </c>
      <c r="N154">
        <v>67</v>
      </c>
      <c r="O154">
        <v>75</v>
      </c>
      <c r="P154" s="3">
        <v>7</v>
      </c>
      <c r="Q154" s="3">
        <v>7</v>
      </c>
      <c r="R154" s="3">
        <v>7</v>
      </c>
      <c r="S154" s="3">
        <v>7</v>
      </c>
      <c r="T154" s="3">
        <v>7</v>
      </c>
      <c r="U154" s="3">
        <v>5</v>
      </c>
      <c r="V154" t="s">
        <v>169</v>
      </c>
      <c r="W154" s="3">
        <v>10</v>
      </c>
      <c r="X154" s="3">
        <v>10</v>
      </c>
      <c r="Y154">
        <v>41</v>
      </c>
      <c r="Z154">
        <v>20.5</v>
      </c>
      <c r="AA154">
        <v>41</v>
      </c>
      <c r="AB154">
        <v>5</v>
      </c>
      <c r="AC154">
        <v>20.5</v>
      </c>
      <c r="AD154">
        <v>75</v>
      </c>
      <c r="AE154">
        <v>5</v>
      </c>
      <c r="AF154">
        <v>25</v>
      </c>
      <c r="AG154" s="3">
        <v>5</v>
      </c>
      <c r="AH154" s="3">
        <v>42846</v>
      </c>
      <c r="AI154" t="s">
        <v>36</v>
      </c>
      <c r="AJ154" t="s">
        <v>22</v>
      </c>
      <c r="AK154" t="s">
        <v>22</v>
      </c>
      <c r="AL154">
        <v>6688</v>
      </c>
    </row>
    <row r="155" spans="1:38" x14ac:dyDescent="0.3">
      <c r="A155" s="3" t="str">
        <f>UPPER(TEXT(Tabela1[[#This Row],[Data]],"MMM"))</f>
        <v>SET</v>
      </c>
      <c r="B155" t="s">
        <v>456</v>
      </c>
      <c r="C155" s="1" t="s">
        <v>457</v>
      </c>
      <c r="D155" s="1" t="s">
        <v>455</v>
      </c>
      <c r="E155" t="s">
        <v>18</v>
      </c>
      <c r="F155" s="2" t="s">
        <v>450</v>
      </c>
      <c r="G155" s="3">
        <v>2</v>
      </c>
      <c r="H155" s="3">
        <v>7</v>
      </c>
      <c r="I155" s="3">
        <v>10</v>
      </c>
      <c r="J155" s="3">
        <v>7</v>
      </c>
      <c r="K155" s="3">
        <v>7</v>
      </c>
      <c r="L155">
        <v>17</v>
      </c>
      <c r="M155">
        <v>30</v>
      </c>
      <c r="N155">
        <v>83</v>
      </c>
      <c r="O155">
        <v>70</v>
      </c>
      <c r="P155" s="3">
        <v>7</v>
      </c>
      <c r="Q155" s="3">
        <v>7</v>
      </c>
      <c r="R155" s="3">
        <v>7</v>
      </c>
      <c r="S155" s="3">
        <v>7</v>
      </c>
      <c r="T155" s="3">
        <v>7</v>
      </c>
      <c r="U155" s="3">
        <v>7</v>
      </c>
      <c r="V155" t="s">
        <v>169</v>
      </c>
      <c r="W155" s="3">
        <v>7</v>
      </c>
      <c r="X155" s="3">
        <v>10</v>
      </c>
      <c r="Y155">
        <v>59</v>
      </c>
      <c r="Z155">
        <v>29.5</v>
      </c>
      <c r="AA155">
        <v>33</v>
      </c>
      <c r="AB155">
        <v>4</v>
      </c>
      <c r="AC155">
        <v>16.5</v>
      </c>
      <c r="AD155">
        <v>80</v>
      </c>
      <c r="AE155">
        <v>10</v>
      </c>
      <c r="AF155">
        <v>50</v>
      </c>
      <c r="AG155" s="3">
        <v>10</v>
      </c>
      <c r="AH155" s="3">
        <v>15105</v>
      </c>
      <c r="AI155" t="s">
        <v>63</v>
      </c>
      <c r="AJ155" t="s">
        <v>22</v>
      </c>
      <c r="AK155" t="s">
        <v>22</v>
      </c>
      <c r="AL155">
        <v>3341</v>
      </c>
    </row>
    <row r="156" spans="1:38" x14ac:dyDescent="0.3">
      <c r="A156" s="3" t="str">
        <f>UPPER(TEXT(Tabela1[[#This Row],[Data]],"MMM"))</f>
        <v>SET</v>
      </c>
      <c r="B156" s="33" t="s">
        <v>458</v>
      </c>
      <c r="C156" s="1" t="s">
        <v>459</v>
      </c>
      <c r="D156" s="1" t="s">
        <v>460</v>
      </c>
      <c r="E156" t="s">
        <v>18</v>
      </c>
      <c r="F156" s="2" t="s">
        <v>461</v>
      </c>
      <c r="G156" s="3">
        <v>2</v>
      </c>
      <c r="H156" s="3">
        <v>7</v>
      </c>
      <c r="I156" s="3">
        <v>7</v>
      </c>
      <c r="J156" s="3">
        <v>7</v>
      </c>
      <c r="K156" s="3">
        <v>5</v>
      </c>
      <c r="L156">
        <v>28</v>
      </c>
      <c r="M156">
        <v>51</v>
      </c>
      <c r="N156">
        <v>72</v>
      </c>
      <c r="O156">
        <v>49</v>
      </c>
      <c r="P156" s="3">
        <v>7</v>
      </c>
      <c r="Q156" s="3">
        <v>7</v>
      </c>
      <c r="R156" s="3">
        <v>7</v>
      </c>
      <c r="S156" s="3">
        <v>7</v>
      </c>
      <c r="T156" s="3">
        <v>7</v>
      </c>
      <c r="U156" s="3">
        <v>5</v>
      </c>
      <c r="V156" t="s">
        <v>20</v>
      </c>
      <c r="W156" s="3" t="s">
        <v>28</v>
      </c>
      <c r="X156" s="3" t="s">
        <v>28</v>
      </c>
      <c r="Y156">
        <v>47</v>
      </c>
      <c r="Z156">
        <v>23.5</v>
      </c>
      <c r="AA156">
        <v>41</v>
      </c>
      <c r="AB156">
        <v>4</v>
      </c>
      <c r="AC156">
        <v>20.5</v>
      </c>
      <c r="AD156">
        <v>80</v>
      </c>
      <c r="AE156">
        <v>7</v>
      </c>
      <c r="AF156">
        <v>35</v>
      </c>
      <c r="AG156" s="3">
        <v>7</v>
      </c>
      <c r="AH156" s="3">
        <v>40762</v>
      </c>
      <c r="AI156" t="s">
        <v>36</v>
      </c>
      <c r="AJ156" t="s">
        <v>22</v>
      </c>
      <c r="AK156" t="s">
        <v>22</v>
      </c>
      <c r="AL156">
        <v>5707</v>
      </c>
    </row>
    <row r="157" spans="1:38" x14ac:dyDescent="0.3">
      <c r="A157" s="3" t="str">
        <f>UPPER(TEXT(Tabela1[[#This Row],[Data]],"MMM"))</f>
        <v>SET</v>
      </c>
      <c r="B157" t="s">
        <v>462</v>
      </c>
      <c r="C157" s="1" t="s">
        <v>463</v>
      </c>
      <c r="D157" s="1" t="s">
        <v>464</v>
      </c>
      <c r="E157" t="s">
        <v>18</v>
      </c>
      <c r="F157" s="2" t="s">
        <v>461</v>
      </c>
      <c r="G157" s="3">
        <v>2</v>
      </c>
      <c r="H157" s="3">
        <v>7</v>
      </c>
      <c r="I157" s="3">
        <v>7</v>
      </c>
      <c r="J157" s="3">
        <v>7</v>
      </c>
      <c r="K157" s="3">
        <v>7</v>
      </c>
      <c r="L157">
        <v>35</v>
      </c>
      <c r="M157">
        <v>41</v>
      </c>
      <c r="N157">
        <v>65</v>
      </c>
      <c r="O157">
        <v>59</v>
      </c>
      <c r="P157" s="3">
        <v>7</v>
      </c>
      <c r="Q157" s="3">
        <v>7</v>
      </c>
      <c r="R157" s="3">
        <v>7</v>
      </c>
      <c r="S157" s="3">
        <v>7</v>
      </c>
      <c r="T157" s="3">
        <v>7</v>
      </c>
      <c r="U157" s="3">
        <v>5</v>
      </c>
      <c r="V157" t="s">
        <v>20</v>
      </c>
      <c r="W157" s="3">
        <v>10</v>
      </c>
      <c r="X157" s="3">
        <v>10</v>
      </c>
      <c r="Y157">
        <v>50</v>
      </c>
      <c r="Z157">
        <v>25</v>
      </c>
      <c r="AA157">
        <v>35</v>
      </c>
      <c r="AB157">
        <v>8</v>
      </c>
      <c r="AC157">
        <v>17.5</v>
      </c>
      <c r="AD157">
        <v>60</v>
      </c>
      <c r="AE157">
        <v>8</v>
      </c>
      <c r="AF157">
        <v>40</v>
      </c>
      <c r="AG157" s="3">
        <v>10</v>
      </c>
      <c r="AH157" s="3">
        <v>15105</v>
      </c>
      <c r="AI157" t="s">
        <v>63</v>
      </c>
      <c r="AJ157" t="s">
        <v>22</v>
      </c>
      <c r="AK157" t="s">
        <v>22</v>
      </c>
      <c r="AL157">
        <v>3358</v>
      </c>
    </row>
    <row r="158" spans="1:38" x14ac:dyDescent="0.3">
      <c r="A158" s="3" t="str">
        <f>UPPER(TEXT(Tabela1[[#This Row],[Data]],"MMM"))</f>
        <v>SET</v>
      </c>
      <c r="B158" t="s">
        <v>465</v>
      </c>
      <c r="C158" s="1" t="s">
        <v>466</v>
      </c>
      <c r="D158" s="1" t="s">
        <v>464</v>
      </c>
      <c r="E158" t="s">
        <v>18</v>
      </c>
      <c r="F158" s="2" t="s">
        <v>461</v>
      </c>
      <c r="G158" s="3">
        <v>2</v>
      </c>
      <c r="H158" s="3">
        <v>7</v>
      </c>
      <c r="I158" s="3">
        <v>7</v>
      </c>
      <c r="J158" s="3">
        <v>7</v>
      </c>
      <c r="K158" s="3">
        <v>5</v>
      </c>
      <c r="L158">
        <v>30</v>
      </c>
      <c r="M158">
        <v>22</v>
      </c>
      <c r="N158">
        <v>70</v>
      </c>
      <c r="O158">
        <v>78</v>
      </c>
      <c r="P158" s="3">
        <v>7</v>
      </c>
      <c r="Q158" s="3">
        <v>7</v>
      </c>
      <c r="R158" s="3">
        <v>7</v>
      </c>
      <c r="S158" s="3">
        <v>7</v>
      </c>
      <c r="T158" s="3">
        <v>7</v>
      </c>
      <c r="U158" s="3">
        <v>7</v>
      </c>
      <c r="V158" t="s">
        <v>20</v>
      </c>
      <c r="W158" s="3" t="s">
        <v>28</v>
      </c>
      <c r="X158" s="3" t="s">
        <v>28</v>
      </c>
      <c r="Y158">
        <v>58</v>
      </c>
      <c r="Z158">
        <v>28.999999999999996</v>
      </c>
      <c r="AA158">
        <v>34</v>
      </c>
      <c r="AB158">
        <v>9</v>
      </c>
      <c r="AC158">
        <v>17</v>
      </c>
      <c r="AD158">
        <v>55</v>
      </c>
      <c r="AE158">
        <v>6</v>
      </c>
      <c r="AF158">
        <v>30</v>
      </c>
      <c r="AG158" s="3">
        <v>7</v>
      </c>
      <c r="AH158" s="3">
        <v>42854</v>
      </c>
      <c r="AI158" t="s">
        <v>36</v>
      </c>
      <c r="AJ158" t="s">
        <v>22</v>
      </c>
      <c r="AK158" t="s">
        <v>22</v>
      </c>
      <c r="AL158">
        <v>4382</v>
      </c>
    </row>
    <row r="159" spans="1:38" x14ac:dyDescent="0.3">
      <c r="A159" s="3" t="str">
        <f>UPPER(TEXT(Tabela1[[#This Row],[Data]],"MMM"))</f>
        <v>SET</v>
      </c>
      <c r="B159" t="s">
        <v>467</v>
      </c>
      <c r="C159" s="1" t="s">
        <v>468</v>
      </c>
      <c r="D159" s="1" t="s">
        <v>469</v>
      </c>
      <c r="E159" t="s">
        <v>18</v>
      </c>
      <c r="F159" s="2" t="s">
        <v>461</v>
      </c>
      <c r="G159" s="3">
        <v>2</v>
      </c>
      <c r="H159" s="3">
        <v>7</v>
      </c>
      <c r="I159" s="3">
        <v>7</v>
      </c>
      <c r="J159" s="3">
        <v>7</v>
      </c>
      <c r="K159" s="3">
        <v>5</v>
      </c>
      <c r="L159">
        <v>38</v>
      </c>
      <c r="M159">
        <v>54</v>
      </c>
      <c r="N159">
        <v>62</v>
      </c>
      <c r="O159">
        <v>46</v>
      </c>
      <c r="P159" s="3">
        <v>7</v>
      </c>
      <c r="Q159" s="3">
        <v>7</v>
      </c>
      <c r="R159" s="3">
        <v>7</v>
      </c>
      <c r="S159" s="3">
        <v>7</v>
      </c>
      <c r="T159" s="3">
        <v>7</v>
      </c>
      <c r="U159" s="3">
        <v>7</v>
      </c>
      <c r="V159" t="s">
        <v>169</v>
      </c>
      <c r="W159" s="3">
        <v>7</v>
      </c>
      <c r="X159" s="3">
        <v>10</v>
      </c>
      <c r="Y159">
        <v>37</v>
      </c>
      <c r="Z159">
        <v>18.5</v>
      </c>
      <c r="AA159">
        <v>31</v>
      </c>
      <c r="AB159">
        <v>8</v>
      </c>
      <c r="AC159">
        <v>15.5</v>
      </c>
      <c r="AD159">
        <v>60</v>
      </c>
      <c r="AE159">
        <v>8</v>
      </c>
      <c r="AF159">
        <v>40</v>
      </c>
      <c r="AG159" s="3">
        <v>10</v>
      </c>
      <c r="AH159" s="3">
        <v>220359</v>
      </c>
      <c r="AI159" t="s">
        <v>63</v>
      </c>
      <c r="AJ159" t="s">
        <v>22</v>
      </c>
      <c r="AK159" t="s">
        <v>22</v>
      </c>
      <c r="AL159">
        <v>3127</v>
      </c>
    </row>
    <row r="160" spans="1:38" x14ac:dyDescent="0.3">
      <c r="A160" s="3" t="str">
        <f>UPPER(TEXT(Tabela1[[#This Row],[Data]],"MMM"))</f>
        <v>SET</v>
      </c>
      <c r="B160" s="33" t="s">
        <v>470</v>
      </c>
      <c r="C160" s="1" t="s">
        <v>471</v>
      </c>
      <c r="D160" s="1" t="s">
        <v>472</v>
      </c>
      <c r="E160" t="s">
        <v>18</v>
      </c>
      <c r="F160" s="2" t="s">
        <v>473</v>
      </c>
      <c r="G160" s="3">
        <v>2</v>
      </c>
      <c r="H160" s="3">
        <v>7</v>
      </c>
      <c r="I160" s="3">
        <v>7</v>
      </c>
      <c r="J160" s="3">
        <v>7</v>
      </c>
      <c r="K160" s="3">
        <v>5</v>
      </c>
      <c r="L160">
        <v>19</v>
      </c>
      <c r="M160">
        <v>29</v>
      </c>
      <c r="N160">
        <v>81</v>
      </c>
      <c r="O160">
        <v>71</v>
      </c>
      <c r="P160" s="3">
        <v>5</v>
      </c>
      <c r="Q160" s="3">
        <v>7</v>
      </c>
      <c r="R160" s="3">
        <v>7</v>
      </c>
      <c r="S160" s="3">
        <v>7</v>
      </c>
      <c r="T160" s="3">
        <v>7</v>
      </c>
      <c r="U160" s="3">
        <v>5</v>
      </c>
      <c r="V160" t="s">
        <v>20</v>
      </c>
      <c r="W160" s="3">
        <v>7</v>
      </c>
      <c r="X160" s="3">
        <v>7</v>
      </c>
      <c r="Y160">
        <v>65</v>
      </c>
      <c r="Z160">
        <v>32.5</v>
      </c>
      <c r="AA160">
        <v>48</v>
      </c>
      <c r="AB160">
        <v>3</v>
      </c>
      <c r="AC160">
        <v>24</v>
      </c>
      <c r="AD160">
        <v>85</v>
      </c>
      <c r="AE160">
        <v>5</v>
      </c>
      <c r="AF160">
        <v>25</v>
      </c>
      <c r="AG160" s="3">
        <v>10</v>
      </c>
      <c r="AH160" t="s">
        <v>474</v>
      </c>
      <c r="AI160" t="s">
        <v>63</v>
      </c>
      <c r="AJ160" t="s">
        <v>22</v>
      </c>
      <c r="AK160" t="s">
        <v>22</v>
      </c>
      <c r="AL160">
        <v>5908</v>
      </c>
    </row>
    <row r="161" spans="1:38" x14ac:dyDescent="0.3">
      <c r="A161" s="3" t="str">
        <f>UPPER(TEXT(Tabela1[[#This Row],[Data]],"MMM"))</f>
        <v>SET</v>
      </c>
      <c r="B161" t="s">
        <v>475</v>
      </c>
      <c r="C161" s="1" t="s">
        <v>476</v>
      </c>
      <c r="D161" s="1" t="s">
        <v>477</v>
      </c>
      <c r="E161" t="s">
        <v>18</v>
      </c>
      <c r="F161" s="2" t="s">
        <v>473</v>
      </c>
      <c r="G161" s="3">
        <v>2</v>
      </c>
      <c r="H161" s="3">
        <v>7</v>
      </c>
      <c r="I161" s="3">
        <v>7</v>
      </c>
      <c r="J161" s="3">
        <v>7</v>
      </c>
      <c r="K161" s="3">
        <v>5</v>
      </c>
      <c r="L161">
        <v>21</v>
      </c>
      <c r="M161">
        <v>27</v>
      </c>
      <c r="N161">
        <v>79</v>
      </c>
      <c r="O161">
        <v>73</v>
      </c>
      <c r="P161" s="3">
        <v>7</v>
      </c>
      <c r="Q161" s="3">
        <v>7</v>
      </c>
      <c r="R161" s="3">
        <v>7</v>
      </c>
      <c r="S161" s="3">
        <v>7</v>
      </c>
      <c r="T161" s="3">
        <v>7</v>
      </c>
      <c r="U161" s="3">
        <v>5</v>
      </c>
      <c r="V161" t="s">
        <v>169</v>
      </c>
      <c r="W161" s="3">
        <v>10</v>
      </c>
      <c r="X161" s="3">
        <v>10</v>
      </c>
      <c r="Y161">
        <v>59</v>
      </c>
      <c r="Z161">
        <v>29.5</v>
      </c>
      <c r="AA161">
        <v>42</v>
      </c>
      <c r="AB161">
        <v>7</v>
      </c>
      <c r="AC161">
        <v>21</v>
      </c>
      <c r="AD161">
        <v>65</v>
      </c>
      <c r="AE161">
        <v>10</v>
      </c>
      <c r="AF161">
        <v>50</v>
      </c>
      <c r="AG161" s="3">
        <v>5</v>
      </c>
      <c r="AH161" s="3">
        <v>42862</v>
      </c>
      <c r="AI161" t="s">
        <v>36</v>
      </c>
      <c r="AJ161" t="s">
        <v>22</v>
      </c>
      <c r="AK161" t="s">
        <v>22</v>
      </c>
      <c r="AL161">
        <v>3322</v>
      </c>
    </row>
    <row r="162" spans="1:38" x14ac:dyDescent="0.3">
      <c r="A162" s="3" t="str">
        <f>UPPER(TEXT(Tabela1[[#This Row],[Data]],"MMM"))</f>
        <v>SET</v>
      </c>
      <c r="B162" t="s">
        <v>478</v>
      </c>
      <c r="C162" s="1" t="s">
        <v>479</v>
      </c>
      <c r="D162" s="1" t="s">
        <v>477</v>
      </c>
      <c r="E162" t="s">
        <v>18</v>
      </c>
      <c r="F162" s="2" t="s">
        <v>473</v>
      </c>
      <c r="G162" s="3">
        <v>2</v>
      </c>
      <c r="H162" s="3">
        <v>7</v>
      </c>
      <c r="I162" s="3">
        <v>7</v>
      </c>
      <c r="J162" s="3">
        <v>7</v>
      </c>
      <c r="K162" s="3">
        <v>5</v>
      </c>
      <c r="L162">
        <v>21</v>
      </c>
      <c r="M162">
        <v>52</v>
      </c>
      <c r="N162">
        <v>79</v>
      </c>
      <c r="O162">
        <v>48</v>
      </c>
      <c r="P162" s="3">
        <v>7</v>
      </c>
      <c r="Q162" s="3">
        <v>7</v>
      </c>
      <c r="R162" s="3">
        <v>7</v>
      </c>
      <c r="S162" s="3">
        <v>7</v>
      </c>
      <c r="T162" s="3">
        <v>7</v>
      </c>
      <c r="U162" s="3" t="s">
        <v>28</v>
      </c>
      <c r="V162" t="s">
        <v>169</v>
      </c>
      <c r="W162" s="3" t="s">
        <v>28</v>
      </c>
      <c r="X162" s="3" t="s">
        <v>28</v>
      </c>
      <c r="Y162">
        <v>46</v>
      </c>
      <c r="Z162">
        <v>23</v>
      </c>
      <c r="AA162">
        <v>36</v>
      </c>
      <c r="AB162">
        <v>5</v>
      </c>
      <c r="AC162">
        <v>18</v>
      </c>
      <c r="AD162">
        <v>75</v>
      </c>
      <c r="AE162">
        <v>5</v>
      </c>
      <c r="AF162">
        <v>25</v>
      </c>
      <c r="AG162" s="3">
        <v>10</v>
      </c>
      <c r="AH162" s="3">
        <v>15105</v>
      </c>
      <c r="AI162" t="s">
        <v>63</v>
      </c>
      <c r="AJ162" t="s">
        <v>22</v>
      </c>
      <c r="AK162" t="s">
        <v>22</v>
      </c>
      <c r="AL162">
        <v>4032</v>
      </c>
    </row>
    <row r="163" spans="1:38" x14ac:dyDescent="0.3">
      <c r="A163" s="3" t="str">
        <f>UPPER(TEXT(Tabela1[[#This Row],[Data]],"MMM"))</f>
        <v>SET</v>
      </c>
      <c r="B163" t="s">
        <v>480</v>
      </c>
      <c r="C163" s="1" t="s">
        <v>481</v>
      </c>
      <c r="D163" s="1" t="s">
        <v>482</v>
      </c>
      <c r="E163" t="s">
        <v>18</v>
      </c>
      <c r="F163" s="2" t="s">
        <v>473</v>
      </c>
      <c r="G163" s="3">
        <v>2</v>
      </c>
      <c r="H163" s="3">
        <v>7</v>
      </c>
      <c r="I163" s="3">
        <v>7</v>
      </c>
      <c r="J163" s="3">
        <v>7</v>
      </c>
      <c r="K163" s="3">
        <v>5</v>
      </c>
      <c r="L163">
        <v>17</v>
      </c>
      <c r="M163">
        <v>50</v>
      </c>
      <c r="N163">
        <v>83</v>
      </c>
      <c r="O163">
        <v>50</v>
      </c>
      <c r="P163" s="3">
        <v>7</v>
      </c>
      <c r="Q163" s="3">
        <v>7</v>
      </c>
      <c r="R163" s="3">
        <v>7</v>
      </c>
      <c r="S163" s="3">
        <v>7</v>
      </c>
      <c r="T163" s="3">
        <v>7</v>
      </c>
      <c r="U163" s="3">
        <v>7</v>
      </c>
      <c r="V163" t="s">
        <v>169</v>
      </c>
      <c r="W163" s="3" t="s">
        <v>28</v>
      </c>
      <c r="X163" s="3" t="s">
        <v>28</v>
      </c>
      <c r="Y163" t="s">
        <v>28</v>
      </c>
      <c r="Z163" t="s">
        <v>28</v>
      </c>
      <c r="AA163">
        <v>44</v>
      </c>
      <c r="AB163">
        <v>3</v>
      </c>
      <c r="AC163">
        <v>22</v>
      </c>
      <c r="AD163">
        <v>85</v>
      </c>
      <c r="AE163">
        <v>7</v>
      </c>
      <c r="AF163">
        <v>35</v>
      </c>
      <c r="AG163" s="3">
        <v>10</v>
      </c>
      <c r="AH163" s="3">
        <v>995638</v>
      </c>
      <c r="AI163" t="s">
        <v>63</v>
      </c>
      <c r="AJ163" t="s">
        <v>22</v>
      </c>
      <c r="AK163" t="s">
        <v>22</v>
      </c>
      <c r="AL163">
        <v>2478</v>
      </c>
    </row>
    <row r="164" spans="1:38" x14ac:dyDescent="0.3">
      <c r="A164" s="3" t="str">
        <f>UPPER(TEXT(Tabela1[[#This Row],[Data]],"MMM"))</f>
        <v>SET</v>
      </c>
      <c r="B164" s="33" t="s">
        <v>485</v>
      </c>
      <c r="C164" s="1" t="s">
        <v>486</v>
      </c>
      <c r="D164" s="1" t="s">
        <v>487</v>
      </c>
      <c r="E164" t="s">
        <v>18</v>
      </c>
      <c r="F164" s="2" t="s">
        <v>488</v>
      </c>
      <c r="G164" s="3">
        <v>2</v>
      </c>
      <c r="H164" s="3">
        <v>7</v>
      </c>
      <c r="I164" s="3">
        <v>7</v>
      </c>
      <c r="J164" s="3">
        <v>7</v>
      </c>
      <c r="K164" s="3">
        <v>7</v>
      </c>
      <c r="L164">
        <v>38</v>
      </c>
      <c r="M164">
        <v>17</v>
      </c>
      <c r="N164">
        <v>62</v>
      </c>
      <c r="O164">
        <v>83</v>
      </c>
      <c r="P164" s="3">
        <v>7</v>
      </c>
      <c r="Q164" s="3">
        <v>7</v>
      </c>
      <c r="R164" s="3">
        <v>7</v>
      </c>
      <c r="S164" s="3">
        <v>7</v>
      </c>
      <c r="T164" s="3">
        <v>7</v>
      </c>
      <c r="U164" s="3">
        <v>5</v>
      </c>
      <c r="V164" t="s">
        <v>169</v>
      </c>
      <c r="W164" s="3">
        <v>7</v>
      </c>
      <c r="X164" s="3">
        <v>7</v>
      </c>
      <c r="Y164">
        <v>54</v>
      </c>
      <c r="Z164">
        <v>27</v>
      </c>
      <c r="AA164">
        <v>44</v>
      </c>
      <c r="AB164">
        <v>3</v>
      </c>
      <c r="AC164">
        <v>22</v>
      </c>
      <c r="AD164">
        <v>85</v>
      </c>
      <c r="AE164">
        <v>3</v>
      </c>
      <c r="AF164">
        <v>15</v>
      </c>
      <c r="AG164" s="3">
        <v>7</v>
      </c>
      <c r="AH164" s="3">
        <v>42762</v>
      </c>
      <c r="AI164" t="s">
        <v>36</v>
      </c>
      <c r="AJ164" t="s">
        <v>22</v>
      </c>
      <c r="AK164" t="s">
        <v>22</v>
      </c>
      <c r="AL164">
        <v>3844</v>
      </c>
    </row>
    <row r="165" spans="1:38" x14ac:dyDescent="0.3">
      <c r="A165" s="3" t="str">
        <f>UPPER(TEXT(Tabela1[[#This Row],[Data]],"MMM"))</f>
        <v>SET</v>
      </c>
      <c r="B165" t="s">
        <v>489</v>
      </c>
      <c r="C165" s="1" t="s">
        <v>490</v>
      </c>
      <c r="D165" s="1" t="s">
        <v>491</v>
      </c>
      <c r="E165" t="s">
        <v>18</v>
      </c>
      <c r="F165" s="2" t="s">
        <v>488</v>
      </c>
      <c r="G165" s="3">
        <v>2</v>
      </c>
      <c r="H165" s="3">
        <v>7</v>
      </c>
      <c r="I165" s="3">
        <v>7</v>
      </c>
      <c r="J165" s="3">
        <v>7</v>
      </c>
      <c r="K165" s="3">
        <v>5</v>
      </c>
      <c r="L165">
        <v>25</v>
      </c>
      <c r="M165">
        <v>28</v>
      </c>
      <c r="N165">
        <v>75</v>
      </c>
      <c r="O165">
        <v>72</v>
      </c>
      <c r="P165" s="3">
        <v>7</v>
      </c>
      <c r="Q165" s="3">
        <v>7</v>
      </c>
      <c r="R165" s="3">
        <v>7</v>
      </c>
      <c r="S165" s="3">
        <v>7</v>
      </c>
      <c r="T165" s="3">
        <v>7</v>
      </c>
      <c r="U165" s="3">
        <v>5</v>
      </c>
      <c r="V165" t="s">
        <v>169</v>
      </c>
      <c r="W165" s="3" t="s">
        <v>28</v>
      </c>
      <c r="X165" s="3" t="s">
        <v>28</v>
      </c>
      <c r="Y165">
        <v>69</v>
      </c>
      <c r="Z165">
        <v>34.5</v>
      </c>
      <c r="AA165">
        <v>42</v>
      </c>
      <c r="AB165">
        <v>7</v>
      </c>
      <c r="AC165">
        <v>21</v>
      </c>
      <c r="AD165">
        <v>65</v>
      </c>
      <c r="AE165">
        <v>6</v>
      </c>
      <c r="AF165">
        <v>30</v>
      </c>
      <c r="AG165" s="3">
        <v>7</v>
      </c>
      <c r="AH165" s="3">
        <v>42846</v>
      </c>
      <c r="AI165" t="s">
        <v>36</v>
      </c>
      <c r="AJ165" t="s">
        <v>22</v>
      </c>
      <c r="AK165" t="s">
        <v>22</v>
      </c>
      <c r="AL165">
        <v>2053</v>
      </c>
    </row>
    <row r="166" spans="1:38" x14ac:dyDescent="0.3">
      <c r="A166" s="3" t="str">
        <f>UPPER(TEXT(Tabela1[[#This Row],[Data]],"MMM"))</f>
        <v>SET</v>
      </c>
      <c r="B166" t="s">
        <v>492</v>
      </c>
      <c r="C166" s="1" t="s">
        <v>493</v>
      </c>
      <c r="D166" s="1" t="s">
        <v>491</v>
      </c>
      <c r="E166" t="s">
        <v>18</v>
      </c>
      <c r="F166" s="2" t="s">
        <v>488</v>
      </c>
      <c r="G166" s="3">
        <v>2</v>
      </c>
      <c r="H166" s="3">
        <v>7</v>
      </c>
      <c r="I166" s="3">
        <v>7</v>
      </c>
      <c r="J166" s="3">
        <v>7</v>
      </c>
      <c r="K166" s="3">
        <v>5</v>
      </c>
      <c r="L166">
        <v>17</v>
      </c>
      <c r="M166">
        <v>39</v>
      </c>
      <c r="N166">
        <v>83</v>
      </c>
      <c r="O166">
        <v>61</v>
      </c>
      <c r="P166" s="3">
        <v>7</v>
      </c>
      <c r="Q166" s="3">
        <v>7</v>
      </c>
      <c r="R166" s="3">
        <v>7</v>
      </c>
      <c r="S166" s="3">
        <v>7</v>
      </c>
      <c r="T166" s="3">
        <v>7</v>
      </c>
      <c r="U166" s="3">
        <v>7</v>
      </c>
      <c r="V166" t="s">
        <v>169</v>
      </c>
      <c r="W166" s="3">
        <v>7</v>
      </c>
      <c r="X166" s="3">
        <v>10</v>
      </c>
      <c r="Y166">
        <v>53</v>
      </c>
      <c r="Z166">
        <v>26.5</v>
      </c>
      <c r="AA166">
        <v>33</v>
      </c>
      <c r="AB166">
        <v>5</v>
      </c>
      <c r="AC166">
        <v>16.5</v>
      </c>
      <c r="AD166">
        <v>75</v>
      </c>
      <c r="AE166">
        <v>6</v>
      </c>
      <c r="AF166">
        <v>30</v>
      </c>
      <c r="AG166" s="3">
        <v>10</v>
      </c>
      <c r="AH166" s="3">
        <v>15105</v>
      </c>
      <c r="AI166" t="s">
        <v>63</v>
      </c>
      <c r="AJ166" t="s">
        <v>22</v>
      </c>
      <c r="AK166" t="s">
        <v>22</v>
      </c>
      <c r="AL166">
        <v>4578</v>
      </c>
    </row>
    <row r="167" spans="1:38" x14ac:dyDescent="0.3">
      <c r="A167" s="3" t="str">
        <f>UPPER(TEXT(Tabela1[[#This Row],[Data]],"MMM"))</f>
        <v>SET</v>
      </c>
      <c r="B167" t="s">
        <v>494</v>
      </c>
      <c r="C167" s="1" t="s">
        <v>495</v>
      </c>
      <c r="D167" s="1" t="s">
        <v>496</v>
      </c>
      <c r="E167" t="s">
        <v>18</v>
      </c>
      <c r="F167" s="2" t="s">
        <v>488</v>
      </c>
      <c r="G167" s="3">
        <v>2</v>
      </c>
      <c r="H167" s="3">
        <v>7</v>
      </c>
      <c r="I167" s="3">
        <v>7</v>
      </c>
      <c r="J167" s="3">
        <v>7</v>
      </c>
      <c r="K167" s="3">
        <v>5</v>
      </c>
      <c r="L167">
        <v>27</v>
      </c>
      <c r="M167">
        <v>16</v>
      </c>
      <c r="N167">
        <v>73</v>
      </c>
      <c r="O167">
        <v>84</v>
      </c>
      <c r="P167" s="3">
        <v>7</v>
      </c>
      <c r="Q167" s="3">
        <v>7</v>
      </c>
      <c r="R167" s="3">
        <v>7</v>
      </c>
      <c r="S167" s="3">
        <v>7</v>
      </c>
      <c r="T167" s="3">
        <v>7</v>
      </c>
      <c r="U167" s="3">
        <v>7</v>
      </c>
      <c r="V167" t="s">
        <v>169</v>
      </c>
      <c r="W167" s="3" t="s">
        <v>28</v>
      </c>
      <c r="X167" s="3" t="s">
        <v>28</v>
      </c>
      <c r="Y167" t="s">
        <v>28</v>
      </c>
      <c r="Z167" t="s">
        <v>28</v>
      </c>
      <c r="AA167">
        <v>34</v>
      </c>
      <c r="AB167">
        <v>3</v>
      </c>
      <c r="AC167">
        <v>17</v>
      </c>
      <c r="AD167">
        <v>85</v>
      </c>
      <c r="AE167">
        <v>3</v>
      </c>
      <c r="AF167">
        <v>15</v>
      </c>
      <c r="AG167" s="3">
        <v>10</v>
      </c>
      <c r="AH167" s="3">
        <v>13188</v>
      </c>
      <c r="AI167" t="s">
        <v>63</v>
      </c>
      <c r="AJ167" t="s">
        <v>22</v>
      </c>
      <c r="AK167" t="s">
        <v>22</v>
      </c>
      <c r="AL167">
        <v>5257</v>
      </c>
    </row>
    <row r="168" spans="1:38" x14ac:dyDescent="0.3">
      <c r="A168" s="3" t="str">
        <f>UPPER(TEXT(Tabela1[[#This Row],[Data]],"MMM"))</f>
        <v>SET</v>
      </c>
      <c r="B168" t="s">
        <v>497</v>
      </c>
      <c r="C168" s="1" t="s">
        <v>498</v>
      </c>
      <c r="D168" s="1" t="s">
        <v>499</v>
      </c>
      <c r="E168" t="s">
        <v>299</v>
      </c>
      <c r="F168" s="2" t="s">
        <v>488</v>
      </c>
      <c r="G168" s="3">
        <v>1</v>
      </c>
      <c r="H168" s="3">
        <v>5</v>
      </c>
      <c r="I168" s="3">
        <v>7</v>
      </c>
      <c r="J168" s="3">
        <v>10</v>
      </c>
      <c r="K168" s="3">
        <v>7</v>
      </c>
      <c r="L168">
        <v>20</v>
      </c>
      <c r="M168">
        <v>33</v>
      </c>
      <c r="N168">
        <v>80</v>
      </c>
      <c r="O168">
        <v>67</v>
      </c>
      <c r="P168" s="3">
        <v>7</v>
      </c>
      <c r="Q168" s="3">
        <v>10</v>
      </c>
      <c r="R168" s="3">
        <v>10</v>
      </c>
      <c r="S168" s="3">
        <v>7</v>
      </c>
      <c r="T168" s="3">
        <v>7</v>
      </c>
      <c r="U168" s="3">
        <v>10</v>
      </c>
      <c r="W168" s="3"/>
      <c r="X168" s="3"/>
      <c r="Y168">
        <v>35</v>
      </c>
      <c r="Z168">
        <v>17.5</v>
      </c>
      <c r="AA168">
        <v>28</v>
      </c>
      <c r="AB168">
        <v>14</v>
      </c>
      <c r="AC168">
        <v>14.000000000000002</v>
      </c>
      <c r="AD168">
        <v>30</v>
      </c>
      <c r="AE168">
        <v>3</v>
      </c>
      <c r="AF168">
        <v>15</v>
      </c>
    </row>
    <row r="169" spans="1:38" x14ac:dyDescent="0.3">
      <c r="A169" s="3" t="str">
        <f>UPPER(TEXT(Tabela1[[#This Row],[Data]],"MMM"))</f>
        <v>SET</v>
      </c>
      <c r="B169" t="s">
        <v>500</v>
      </c>
      <c r="C169" s="1" t="s">
        <v>501</v>
      </c>
      <c r="D169" s="1" t="s">
        <v>502</v>
      </c>
      <c r="E169" t="s">
        <v>299</v>
      </c>
      <c r="F169" s="2" t="s">
        <v>473</v>
      </c>
      <c r="G169" s="3">
        <v>1</v>
      </c>
      <c r="H169" s="3">
        <v>7</v>
      </c>
      <c r="I169" s="3">
        <v>7</v>
      </c>
      <c r="J169" s="3">
        <v>10</v>
      </c>
      <c r="K169" s="3">
        <v>5</v>
      </c>
      <c r="L169">
        <v>26</v>
      </c>
      <c r="M169">
        <v>38</v>
      </c>
      <c r="N169">
        <v>74</v>
      </c>
      <c r="O169">
        <v>62</v>
      </c>
      <c r="P169" s="3">
        <v>7</v>
      </c>
      <c r="Q169" s="3">
        <v>10</v>
      </c>
      <c r="R169" s="3">
        <v>10</v>
      </c>
      <c r="S169" s="3">
        <v>10</v>
      </c>
      <c r="T169" s="3">
        <v>7</v>
      </c>
      <c r="U169" s="3">
        <v>7</v>
      </c>
      <c r="W169" s="3"/>
      <c r="X169" s="3"/>
      <c r="Y169">
        <v>68</v>
      </c>
      <c r="Z169">
        <v>34</v>
      </c>
      <c r="AA169">
        <v>17</v>
      </c>
      <c r="AB169">
        <v>17</v>
      </c>
      <c r="AC169">
        <v>8.5</v>
      </c>
      <c r="AD169">
        <v>15</v>
      </c>
      <c r="AE169">
        <v>1</v>
      </c>
      <c r="AF169">
        <v>5</v>
      </c>
    </row>
    <row r="170" spans="1:38" x14ac:dyDescent="0.3">
      <c r="A170" s="3" t="str">
        <f>UPPER(TEXT(Tabela1[[#This Row],[Data]],"MMM"))</f>
        <v>SET</v>
      </c>
      <c r="B170" t="s">
        <v>503</v>
      </c>
      <c r="C170" s="1" t="s">
        <v>504</v>
      </c>
      <c r="D170" s="1" t="s">
        <v>505</v>
      </c>
      <c r="E170" t="s">
        <v>299</v>
      </c>
      <c r="F170" s="2" t="s">
        <v>461</v>
      </c>
      <c r="G170" s="3">
        <v>1</v>
      </c>
      <c r="H170" s="3">
        <v>10</v>
      </c>
      <c r="I170" s="3">
        <v>7</v>
      </c>
      <c r="J170" s="3">
        <v>10</v>
      </c>
      <c r="K170" s="3">
        <v>5</v>
      </c>
      <c r="L170">
        <v>19</v>
      </c>
      <c r="M170">
        <v>37</v>
      </c>
      <c r="N170">
        <v>81</v>
      </c>
      <c r="O170">
        <v>63</v>
      </c>
      <c r="P170" s="3">
        <v>5</v>
      </c>
      <c r="Q170" s="3">
        <v>10</v>
      </c>
      <c r="R170" s="3">
        <v>10</v>
      </c>
      <c r="S170" s="3">
        <v>7</v>
      </c>
      <c r="T170" s="3">
        <v>7</v>
      </c>
      <c r="U170" s="3">
        <v>5</v>
      </c>
      <c r="W170" s="3"/>
      <c r="X170" s="3"/>
      <c r="Y170">
        <v>52</v>
      </c>
      <c r="Z170">
        <v>26</v>
      </c>
      <c r="AA170">
        <v>101</v>
      </c>
      <c r="AB170">
        <v>13</v>
      </c>
      <c r="AC170">
        <v>50.5</v>
      </c>
      <c r="AD170">
        <v>35</v>
      </c>
      <c r="AE170">
        <v>3</v>
      </c>
      <c r="AF170">
        <v>15</v>
      </c>
    </row>
    <row r="171" spans="1:38" x14ac:dyDescent="0.3">
      <c r="A171" s="3" t="str">
        <f>UPPER(TEXT(Tabela1[[#This Row],[Data]],"MMM"))</f>
        <v>SET</v>
      </c>
      <c r="B171" t="s">
        <v>506</v>
      </c>
      <c r="C171" s="1" t="s">
        <v>507</v>
      </c>
      <c r="D171" s="1" t="s">
        <v>508</v>
      </c>
      <c r="E171" t="s">
        <v>299</v>
      </c>
      <c r="F171" s="2" t="s">
        <v>450</v>
      </c>
      <c r="G171" s="3">
        <v>1</v>
      </c>
      <c r="H171" s="3" t="s">
        <v>28</v>
      </c>
      <c r="I171" s="3">
        <v>5</v>
      </c>
      <c r="J171" s="3">
        <v>7</v>
      </c>
      <c r="K171" s="3">
        <v>7</v>
      </c>
      <c r="L171">
        <v>12</v>
      </c>
      <c r="M171">
        <v>39</v>
      </c>
      <c r="N171">
        <v>88</v>
      </c>
      <c r="O171">
        <v>61</v>
      </c>
      <c r="P171" s="3">
        <v>7</v>
      </c>
      <c r="Q171" s="3">
        <v>10</v>
      </c>
      <c r="R171" s="3">
        <v>10</v>
      </c>
      <c r="S171" s="3">
        <v>7</v>
      </c>
      <c r="T171" s="3">
        <v>7</v>
      </c>
      <c r="U171" s="3">
        <v>5</v>
      </c>
      <c r="W171" s="3"/>
      <c r="X171" s="3"/>
      <c r="Y171">
        <v>80</v>
      </c>
      <c r="Z171">
        <v>40</v>
      </c>
      <c r="AA171">
        <v>12</v>
      </c>
      <c r="AB171">
        <v>5</v>
      </c>
      <c r="AC171">
        <v>6</v>
      </c>
      <c r="AD171">
        <v>75</v>
      </c>
      <c r="AE171">
        <v>0</v>
      </c>
      <c r="AF171">
        <v>0</v>
      </c>
    </row>
    <row r="172" spans="1:38" x14ac:dyDescent="0.3">
      <c r="A172" s="3" t="str">
        <f>UPPER(TEXT(Tabela1[[#This Row],[Data]],"MMM"))</f>
        <v>SET</v>
      </c>
      <c r="B172" t="s">
        <v>509</v>
      </c>
      <c r="C172" s="1" t="s">
        <v>510</v>
      </c>
      <c r="D172" s="1" t="s">
        <v>511</v>
      </c>
      <c r="E172" t="s">
        <v>299</v>
      </c>
      <c r="F172" s="2" t="s">
        <v>426</v>
      </c>
      <c r="G172" s="3">
        <v>1</v>
      </c>
      <c r="H172" s="3">
        <v>10</v>
      </c>
      <c r="I172" s="3">
        <v>10</v>
      </c>
      <c r="J172" s="3">
        <v>7</v>
      </c>
      <c r="K172" s="3">
        <v>10</v>
      </c>
      <c r="L172">
        <v>15</v>
      </c>
      <c r="M172">
        <v>25</v>
      </c>
      <c r="N172">
        <v>85</v>
      </c>
      <c r="O172">
        <v>75</v>
      </c>
      <c r="P172" s="3">
        <v>7</v>
      </c>
      <c r="Q172" s="3">
        <v>10</v>
      </c>
      <c r="R172" s="3">
        <v>10</v>
      </c>
      <c r="S172" s="3">
        <v>7</v>
      </c>
      <c r="T172" s="3">
        <v>10</v>
      </c>
      <c r="U172" s="3">
        <v>10</v>
      </c>
      <c r="W172" s="3"/>
      <c r="X172" s="3"/>
      <c r="Y172">
        <v>121</v>
      </c>
      <c r="Z172">
        <v>60.5</v>
      </c>
      <c r="AA172" t="s">
        <v>28</v>
      </c>
      <c r="AB172" t="s">
        <v>28</v>
      </c>
      <c r="AC172" t="s">
        <v>28</v>
      </c>
      <c r="AD172" t="s">
        <v>28</v>
      </c>
      <c r="AE172" t="s">
        <v>28</v>
      </c>
      <c r="AF172" t="s">
        <v>28</v>
      </c>
    </row>
    <row r="173" spans="1:38" x14ac:dyDescent="0.3">
      <c r="A173" s="3" t="str">
        <f>UPPER(TEXT(Tabela1[[#This Row],[Data]],"MMM"))</f>
        <v>SET</v>
      </c>
      <c r="B173" s="33" t="s">
        <v>512</v>
      </c>
      <c r="C173" s="1" t="s">
        <v>513</v>
      </c>
      <c r="D173" s="1" t="s">
        <v>514</v>
      </c>
      <c r="E173" t="s">
        <v>18</v>
      </c>
      <c r="F173" s="2" t="s">
        <v>515</v>
      </c>
      <c r="G173" s="3">
        <v>2</v>
      </c>
      <c r="H173" s="3" t="s">
        <v>28</v>
      </c>
      <c r="I173" s="3">
        <v>7</v>
      </c>
      <c r="J173" s="3">
        <v>7</v>
      </c>
      <c r="K173" s="3">
        <v>5</v>
      </c>
      <c r="L173">
        <v>37</v>
      </c>
      <c r="M173">
        <v>75</v>
      </c>
      <c r="N173">
        <v>63</v>
      </c>
      <c r="O173">
        <v>25</v>
      </c>
      <c r="P173" s="3">
        <v>7</v>
      </c>
      <c r="Q173" s="3">
        <v>7</v>
      </c>
      <c r="R173" s="3">
        <v>7</v>
      </c>
      <c r="S173" s="3">
        <v>7</v>
      </c>
      <c r="T173" s="3">
        <v>7</v>
      </c>
      <c r="U173" s="3">
        <v>5</v>
      </c>
      <c r="V173" t="s">
        <v>169</v>
      </c>
      <c r="W173" s="3" t="s">
        <v>28</v>
      </c>
      <c r="X173" s="3" t="s">
        <v>28</v>
      </c>
      <c r="Y173" t="s">
        <v>28</v>
      </c>
      <c r="Z173" t="s">
        <v>28</v>
      </c>
      <c r="AA173">
        <v>55</v>
      </c>
      <c r="AB173">
        <v>5</v>
      </c>
      <c r="AC173">
        <v>27.500000000000004</v>
      </c>
      <c r="AD173">
        <v>75</v>
      </c>
      <c r="AE173">
        <v>4</v>
      </c>
      <c r="AF173">
        <v>20</v>
      </c>
      <c r="AG173" s="3">
        <v>5</v>
      </c>
      <c r="AH173" s="3">
        <v>40762</v>
      </c>
      <c r="AI173" t="s">
        <v>516</v>
      </c>
      <c r="AJ173" t="s">
        <v>22</v>
      </c>
      <c r="AK173" t="s">
        <v>22</v>
      </c>
      <c r="AL173">
        <v>6547</v>
      </c>
    </row>
    <row r="174" spans="1:38" x14ac:dyDescent="0.3">
      <c r="A174" s="3" t="str">
        <f>UPPER(TEXT(Tabela1[[#This Row],[Data]],"MMM"))</f>
        <v>SET</v>
      </c>
      <c r="B174" t="s">
        <v>517</v>
      </c>
      <c r="C174" s="1" t="s">
        <v>518</v>
      </c>
      <c r="D174" s="1" t="s">
        <v>514</v>
      </c>
      <c r="E174" t="s">
        <v>18</v>
      </c>
      <c r="F174" s="2" t="s">
        <v>515</v>
      </c>
      <c r="G174" s="3">
        <v>2</v>
      </c>
      <c r="H174" s="3" t="s">
        <v>28</v>
      </c>
      <c r="I174" s="3">
        <v>7</v>
      </c>
      <c r="J174" s="3">
        <v>5</v>
      </c>
      <c r="K174" s="3">
        <v>5</v>
      </c>
      <c r="L174">
        <v>27</v>
      </c>
      <c r="M174">
        <v>53</v>
      </c>
      <c r="N174">
        <v>73</v>
      </c>
      <c r="O174">
        <v>47</v>
      </c>
      <c r="P174" s="3">
        <v>7</v>
      </c>
      <c r="Q174" s="3">
        <v>7</v>
      </c>
      <c r="R174" s="3">
        <v>7</v>
      </c>
      <c r="S174" s="3">
        <v>7</v>
      </c>
      <c r="T174" s="3">
        <v>7</v>
      </c>
      <c r="U174" s="3">
        <v>7</v>
      </c>
      <c r="V174" t="s">
        <v>169</v>
      </c>
      <c r="W174" s="3" t="s">
        <v>28</v>
      </c>
      <c r="X174" s="3" t="s">
        <v>28</v>
      </c>
      <c r="Y174" t="s">
        <v>28</v>
      </c>
      <c r="Z174" t="s">
        <v>28</v>
      </c>
      <c r="AA174">
        <v>47</v>
      </c>
      <c r="AB174">
        <v>4</v>
      </c>
      <c r="AC174">
        <v>23.5</v>
      </c>
      <c r="AD174">
        <v>80</v>
      </c>
      <c r="AE174">
        <v>5</v>
      </c>
      <c r="AF174">
        <v>25</v>
      </c>
      <c r="AG174" s="3">
        <v>10</v>
      </c>
      <c r="AH174" s="3">
        <v>992093</v>
      </c>
      <c r="AI174" t="s">
        <v>63</v>
      </c>
      <c r="AJ174" t="s">
        <v>22</v>
      </c>
      <c r="AK174" t="s">
        <v>22</v>
      </c>
      <c r="AL174">
        <v>2678</v>
      </c>
    </row>
    <row r="175" spans="1:38" x14ac:dyDescent="0.3">
      <c r="A175" s="3" t="str">
        <f>UPPER(TEXT(Tabela1[[#This Row],[Data]],"MMM"))</f>
        <v>SET</v>
      </c>
      <c r="B175" t="s">
        <v>519</v>
      </c>
      <c r="C175" s="1" t="s">
        <v>520</v>
      </c>
      <c r="D175" s="1" t="s">
        <v>514</v>
      </c>
      <c r="E175" t="s">
        <v>18</v>
      </c>
      <c r="F175" s="2" t="s">
        <v>515</v>
      </c>
      <c r="G175" s="3">
        <v>2</v>
      </c>
      <c r="H175" s="3">
        <v>7</v>
      </c>
      <c r="I175" s="3">
        <v>7</v>
      </c>
      <c r="J175" s="3">
        <v>7</v>
      </c>
      <c r="K175" s="3">
        <v>5</v>
      </c>
      <c r="L175">
        <v>19</v>
      </c>
      <c r="M175">
        <v>52</v>
      </c>
      <c r="N175">
        <v>81</v>
      </c>
      <c r="O175">
        <v>48</v>
      </c>
      <c r="P175" s="3">
        <v>5</v>
      </c>
      <c r="Q175" s="3">
        <v>7</v>
      </c>
      <c r="R175" s="3">
        <v>7</v>
      </c>
      <c r="S175" s="3">
        <v>7</v>
      </c>
      <c r="T175" s="3">
        <v>7</v>
      </c>
      <c r="U175" s="3">
        <v>5</v>
      </c>
      <c r="V175" t="s">
        <v>521</v>
      </c>
      <c r="W175" s="3" t="s">
        <v>28</v>
      </c>
      <c r="X175" s="3" t="s">
        <v>28</v>
      </c>
      <c r="Y175" t="s">
        <v>28</v>
      </c>
      <c r="Z175" t="s">
        <v>28</v>
      </c>
      <c r="AA175">
        <v>46</v>
      </c>
      <c r="AB175">
        <v>4</v>
      </c>
      <c r="AC175">
        <v>23</v>
      </c>
      <c r="AD175">
        <v>80</v>
      </c>
      <c r="AE175">
        <v>4</v>
      </c>
      <c r="AF175">
        <v>20</v>
      </c>
      <c r="AG175" s="3">
        <v>10</v>
      </c>
      <c r="AH175" s="3">
        <v>15105</v>
      </c>
      <c r="AI175" t="s">
        <v>63</v>
      </c>
      <c r="AJ175" t="s">
        <v>22</v>
      </c>
      <c r="AK175" t="s">
        <v>22</v>
      </c>
      <c r="AL175">
        <v>5803</v>
      </c>
    </row>
    <row r="176" spans="1:38" x14ac:dyDescent="0.3">
      <c r="A176" s="3" t="str">
        <f>UPPER(TEXT(Tabela1[[#This Row],[Data]],"MMM"))</f>
        <v>SET</v>
      </c>
      <c r="B176" t="s">
        <v>522</v>
      </c>
      <c r="C176" s="1" t="s">
        <v>523</v>
      </c>
      <c r="D176" s="1" t="s">
        <v>524</v>
      </c>
      <c r="E176" t="s">
        <v>18</v>
      </c>
      <c r="F176" s="2" t="s">
        <v>515</v>
      </c>
      <c r="G176" s="3">
        <v>2</v>
      </c>
      <c r="H176" s="3">
        <v>7</v>
      </c>
      <c r="I176" s="3">
        <v>7</v>
      </c>
      <c r="J176" s="3">
        <v>5</v>
      </c>
      <c r="K176" s="3">
        <v>5</v>
      </c>
      <c r="L176">
        <v>9</v>
      </c>
      <c r="M176">
        <v>49</v>
      </c>
      <c r="N176">
        <v>91</v>
      </c>
      <c r="O176">
        <v>51</v>
      </c>
      <c r="P176" s="3">
        <v>7</v>
      </c>
      <c r="Q176" s="3">
        <v>7</v>
      </c>
      <c r="R176" s="3">
        <v>7</v>
      </c>
      <c r="S176" s="3">
        <v>7</v>
      </c>
      <c r="T176" s="3">
        <v>7</v>
      </c>
      <c r="U176" s="3">
        <v>5</v>
      </c>
      <c r="V176" t="s">
        <v>169</v>
      </c>
      <c r="W176" s="3">
        <v>5</v>
      </c>
      <c r="X176" s="3">
        <v>7</v>
      </c>
      <c r="Y176">
        <v>65</v>
      </c>
      <c r="Z176">
        <v>32.5</v>
      </c>
      <c r="AA176">
        <v>46</v>
      </c>
      <c r="AB176">
        <v>6</v>
      </c>
      <c r="AC176">
        <v>23</v>
      </c>
      <c r="AD176">
        <v>70</v>
      </c>
      <c r="AE176">
        <v>5</v>
      </c>
      <c r="AF176">
        <v>25</v>
      </c>
      <c r="AG176" t="s">
        <v>28</v>
      </c>
      <c r="AH176" s="3">
        <v>15105</v>
      </c>
      <c r="AI176" t="s">
        <v>63</v>
      </c>
      <c r="AJ176" t="s">
        <v>22</v>
      </c>
      <c r="AK176" t="s">
        <v>22</v>
      </c>
      <c r="AL176">
        <v>2814</v>
      </c>
    </row>
    <row r="177" spans="1:38" x14ac:dyDescent="0.3">
      <c r="A177" s="3" t="str">
        <f>UPPER(TEXT(Tabela1[[#This Row],[Data]],"MMM"))</f>
        <v>SET</v>
      </c>
      <c r="B177" s="33" t="s">
        <v>525</v>
      </c>
      <c r="C177" s="1" t="s">
        <v>526</v>
      </c>
      <c r="D177" s="1" t="s">
        <v>527</v>
      </c>
      <c r="E177" t="s">
        <v>18</v>
      </c>
      <c r="F177" s="2" t="s">
        <v>528</v>
      </c>
      <c r="G177" s="3">
        <v>2</v>
      </c>
      <c r="H177" s="3">
        <v>7</v>
      </c>
      <c r="I177" s="3">
        <v>7</v>
      </c>
      <c r="J177" s="3">
        <v>7</v>
      </c>
      <c r="K177" s="3">
        <v>5</v>
      </c>
      <c r="L177">
        <v>38</v>
      </c>
      <c r="M177">
        <v>27</v>
      </c>
      <c r="N177">
        <v>62</v>
      </c>
      <c r="O177">
        <v>73</v>
      </c>
      <c r="P177" s="3">
        <v>7</v>
      </c>
      <c r="Q177" s="3">
        <v>7</v>
      </c>
      <c r="R177" s="3">
        <v>7</v>
      </c>
      <c r="S177" s="3">
        <v>7</v>
      </c>
      <c r="T177" s="3">
        <v>7</v>
      </c>
      <c r="U177" s="3">
        <v>7</v>
      </c>
      <c r="V177" t="s">
        <v>20</v>
      </c>
      <c r="W177" s="3">
        <v>7</v>
      </c>
      <c r="X177" s="3">
        <v>7</v>
      </c>
      <c r="Y177">
        <v>73</v>
      </c>
      <c r="Z177">
        <v>36.5</v>
      </c>
      <c r="AA177">
        <v>57</v>
      </c>
      <c r="AB177">
        <v>6</v>
      </c>
      <c r="AC177">
        <v>28.499999999999996</v>
      </c>
      <c r="AD177">
        <v>70</v>
      </c>
      <c r="AE177">
        <v>4</v>
      </c>
      <c r="AF177">
        <v>20</v>
      </c>
      <c r="AG177" t="s">
        <v>28</v>
      </c>
      <c r="AH177" s="3">
        <v>992093</v>
      </c>
      <c r="AI177" t="s">
        <v>63</v>
      </c>
      <c r="AJ177" t="s">
        <v>22</v>
      </c>
      <c r="AK177" t="s">
        <v>22</v>
      </c>
      <c r="AL177">
        <v>6358</v>
      </c>
    </row>
    <row r="178" spans="1:38" x14ac:dyDescent="0.3">
      <c r="A178" s="3" t="str">
        <f>UPPER(TEXT(Tabela1[[#This Row],[Data]],"MMM"))</f>
        <v>SET</v>
      </c>
      <c r="B178" t="s">
        <v>529</v>
      </c>
      <c r="C178" s="1" t="s">
        <v>530</v>
      </c>
      <c r="D178" s="1" t="s">
        <v>527</v>
      </c>
      <c r="E178" t="s">
        <v>18</v>
      </c>
      <c r="F178" s="2" t="s">
        <v>528</v>
      </c>
      <c r="G178" s="3">
        <v>2</v>
      </c>
      <c r="H178" s="3">
        <v>7</v>
      </c>
      <c r="I178" s="3">
        <v>7</v>
      </c>
      <c r="J178" s="3">
        <v>7</v>
      </c>
      <c r="K178" s="3">
        <v>7</v>
      </c>
      <c r="L178">
        <v>18</v>
      </c>
      <c r="M178">
        <v>24</v>
      </c>
      <c r="N178">
        <v>82</v>
      </c>
      <c r="O178">
        <v>76</v>
      </c>
      <c r="P178" s="3">
        <v>7</v>
      </c>
      <c r="Q178" s="3">
        <v>7</v>
      </c>
      <c r="R178" s="3">
        <v>7</v>
      </c>
      <c r="S178" s="3">
        <v>7</v>
      </c>
      <c r="T178" s="3">
        <v>7</v>
      </c>
      <c r="U178" s="3">
        <v>7</v>
      </c>
      <c r="V178" t="s">
        <v>20</v>
      </c>
      <c r="W178" s="3">
        <v>7</v>
      </c>
      <c r="X178" s="3">
        <v>7</v>
      </c>
      <c r="Y178">
        <v>70</v>
      </c>
      <c r="Z178">
        <v>35</v>
      </c>
      <c r="AA178">
        <v>38</v>
      </c>
      <c r="AB178">
        <v>5</v>
      </c>
      <c r="AC178">
        <v>19</v>
      </c>
      <c r="AD178">
        <v>75</v>
      </c>
      <c r="AE178">
        <v>5</v>
      </c>
      <c r="AF178">
        <v>25</v>
      </c>
      <c r="AG178" s="3">
        <v>7</v>
      </c>
      <c r="AH178" t="s">
        <v>28</v>
      </c>
      <c r="AI178" t="s">
        <v>36</v>
      </c>
      <c r="AJ178" t="s">
        <v>22</v>
      </c>
      <c r="AK178" t="s">
        <v>22</v>
      </c>
      <c r="AL178">
        <v>3221</v>
      </c>
    </row>
    <row r="179" spans="1:38" x14ac:dyDescent="0.3">
      <c r="A179" s="3" t="str">
        <f>UPPER(TEXT(Tabela1[[#This Row],[Data]],"MMM"))</f>
        <v>SET</v>
      </c>
      <c r="B179" t="s">
        <v>531</v>
      </c>
      <c r="C179" s="1" t="s">
        <v>532</v>
      </c>
      <c r="D179" s="1" t="s">
        <v>533</v>
      </c>
      <c r="E179" t="s">
        <v>18</v>
      </c>
      <c r="F179" s="2" t="s">
        <v>528</v>
      </c>
      <c r="G179" s="3">
        <v>2</v>
      </c>
      <c r="H179" s="3">
        <v>7</v>
      </c>
      <c r="I179" s="3">
        <v>7</v>
      </c>
      <c r="J179" s="3">
        <v>7</v>
      </c>
      <c r="K179" s="3">
        <v>5</v>
      </c>
      <c r="L179">
        <v>28</v>
      </c>
      <c r="M179">
        <v>14</v>
      </c>
      <c r="N179">
        <v>72</v>
      </c>
      <c r="O179">
        <v>86</v>
      </c>
      <c r="P179" s="3">
        <v>7</v>
      </c>
      <c r="Q179" s="3">
        <v>7</v>
      </c>
      <c r="R179" s="3">
        <v>7</v>
      </c>
      <c r="S179" s="3">
        <v>7</v>
      </c>
      <c r="T179" s="3">
        <v>7</v>
      </c>
      <c r="U179" s="3" t="s">
        <v>28</v>
      </c>
      <c r="V179" t="s">
        <v>169</v>
      </c>
      <c r="W179" s="3">
        <v>7</v>
      </c>
      <c r="X179" s="3">
        <v>7</v>
      </c>
      <c r="Y179">
        <v>55</v>
      </c>
      <c r="Z179">
        <v>27.500000000000004</v>
      </c>
      <c r="AA179">
        <v>44</v>
      </c>
      <c r="AB179">
        <v>4</v>
      </c>
      <c r="AC179">
        <v>22</v>
      </c>
      <c r="AD179">
        <v>80</v>
      </c>
      <c r="AE179">
        <v>5</v>
      </c>
      <c r="AF179">
        <v>25</v>
      </c>
      <c r="AG179" s="3">
        <v>10</v>
      </c>
      <c r="AH179" s="3">
        <v>13188</v>
      </c>
      <c r="AI179" t="s">
        <v>63</v>
      </c>
      <c r="AJ179" t="s">
        <v>22</v>
      </c>
      <c r="AK179" t="s">
        <v>22</v>
      </c>
      <c r="AL179">
        <v>3211</v>
      </c>
    </row>
    <row r="180" spans="1:38" x14ac:dyDescent="0.3">
      <c r="A180" s="3" t="str">
        <f>UPPER(TEXT(Tabela1[[#This Row],[Data]],"MMM"))</f>
        <v>SET</v>
      </c>
      <c r="B180" t="s">
        <v>534</v>
      </c>
      <c r="C180" s="1" t="s">
        <v>535</v>
      </c>
      <c r="D180" s="1" t="s">
        <v>533</v>
      </c>
      <c r="E180" t="s">
        <v>18</v>
      </c>
      <c r="F180" s="2" t="s">
        <v>528</v>
      </c>
      <c r="G180" s="3">
        <v>2</v>
      </c>
      <c r="H180" s="3">
        <v>7</v>
      </c>
      <c r="I180" s="3">
        <v>7</v>
      </c>
      <c r="J180" s="3">
        <v>7</v>
      </c>
      <c r="K180" s="3">
        <v>5</v>
      </c>
      <c r="L180">
        <v>18</v>
      </c>
      <c r="M180">
        <v>24</v>
      </c>
      <c r="N180">
        <v>82</v>
      </c>
      <c r="O180">
        <v>76</v>
      </c>
      <c r="P180" s="3">
        <v>7</v>
      </c>
      <c r="Q180" s="3">
        <v>7</v>
      </c>
      <c r="R180" s="3">
        <v>5</v>
      </c>
      <c r="S180" s="3">
        <v>7</v>
      </c>
      <c r="T180" s="3">
        <v>7</v>
      </c>
      <c r="U180" s="3">
        <v>7</v>
      </c>
      <c r="V180" t="s">
        <v>169</v>
      </c>
      <c r="W180" s="3" t="s">
        <v>28</v>
      </c>
      <c r="X180" s="3" t="s">
        <v>28</v>
      </c>
      <c r="Y180" t="s">
        <v>28</v>
      </c>
      <c r="Z180" t="s">
        <v>28</v>
      </c>
      <c r="AA180">
        <v>37</v>
      </c>
      <c r="AB180">
        <v>6</v>
      </c>
      <c r="AC180">
        <v>18.5</v>
      </c>
      <c r="AD180">
        <v>70</v>
      </c>
      <c r="AE180">
        <v>3</v>
      </c>
      <c r="AF180">
        <v>15</v>
      </c>
      <c r="AG180" s="3">
        <v>10</v>
      </c>
      <c r="AH180" s="3">
        <v>15105</v>
      </c>
      <c r="AI180" t="s">
        <v>63</v>
      </c>
      <c r="AJ180" t="s">
        <v>22</v>
      </c>
      <c r="AK180" t="s">
        <v>22</v>
      </c>
      <c r="AL180">
        <v>4926</v>
      </c>
    </row>
    <row r="181" spans="1:38" x14ac:dyDescent="0.3">
      <c r="A181" s="3" t="str">
        <f>UPPER(TEXT(Tabela1[[#This Row],[Data]],"MMM"))</f>
        <v>SET</v>
      </c>
      <c r="B181" s="33" t="s">
        <v>536</v>
      </c>
      <c r="C181" s="1" t="s">
        <v>537</v>
      </c>
      <c r="D181" s="1" t="s">
        <v>538</v>
      </c>
      <c r="E181" t="s">
        <v>18</v>
      </c>
      <c r="F181" s="2" t="s">
        <v>539</v>
      </c>
      <c r="G181" s="3">
        <v>2</v>
      </c>
      <c r="H181" s="3">
        <v>5</v>
      </c>
      <c r="I181" s="3">
        <v>10</v>
      </c>
      <c r="J181" s="3">
        <v>7</v>
      </c>
      <c r="K181" s="3">
        <v>5</v>
      </c>
      <c r="L181">
        <v>21</v>
      </c>
      <c r="M181">
        <v>33</v>
      </c>
      <c r="N181">
        <v>79</v>
      </c>
      <c r="O181">
        <v>67</v>
      </c>
      <c r="P181" s="3">
        <v>7</v>
      </c>
      <c r="Q181" s="3">
        <v>7</v>
      </c>
      <c r="R181" s="3">
        <v>7</v>
      </c>
      <c r="S181" s="3">
        <v>7</v>
      </c>
      <c r="T181" s="3">
        <v>7</v>
      </c>
      <c r="U181" s="3">
        <v>7</v>
      </c>
      <c r="V181" t="s">
        <v>169</v>
      </c>
      <c r="W181" s="3">
        <v>7</v>
      </c>
      <c r="X181" s="3">
        <v>7</v>
      </c>
      <c r="Y181">
        <v>45</v>
      </c>
      <c r="Z181">
        <v>22.5</v>
      </c>
      <c r="AA181">
        <v>44</v>
      </c>
      <c r="AB181">
        <v>8</v>
      </c>
      <c r="AC181">
        <v>22</v>
      </c>
      <c r="AD181">
        <v>60</v>
      </c>
      <c r="AE181">
        <v>4</v>
      </c>
      <c r="AF181">
        <v>20</v>
      </c>
      <c r="AG181" s="3">
        <v>5</v>
      </c>
      <c r="AH181" s="3">
        <v>42854</v>
      </c>
      <c r="AI181" t="s">
        <v>36</v>
      </c>
      <c r="AJ181" t="s">
        <v>22</v>
      </c>
      <c r="AK181" t="s">
        <v>22</v>
      </c>
      <c r="AL181">
        <v>8964</v>
      </c>
    </row>
    <row r="182" spans="1:38" x14ac:dyDescent="0.3">
      <c r="A182" s="3" t="str">
        <f>UPPER(TEXT(Tabela1[[#This Row],[Data]],"MMM"))</f>
        <v>SET</v>
      </c>
      <c r="B182" t="s">
        <v>540</v>
      </c>
      <c r="C182" s="1" t="s">
        <v>541</v>
      </c>
      <c r="D182" s="1" t="s">
        <v>538</v>
      </c>
      <c r="E182" t="s">
        <v>18</v>
      </c>
      <c r="F182" s="2" t="s">
        <v>539</v>
      </c>
      <c r="G182" s="3">
        <v>2</v>
      </c>
      <c r="H182" s="3">
        <v>5</v>
      </c>
      <c r="I182" s="3">
        <v>10</v>
      </c>
      <c r="J182" s="3">
        <v>7</v>
      </c>
      <c r="K182" s="3">
        <v>5</v>
      </c>
      <c r="L182">
        <v>29</v>
      </c>
      <c r="M182">
        <v>70</v>
      </c>
      <c r="N182">
        <v>71</v>
      </c>
      <c r="O182">
        <v>30</v>
      </c>
      <c r="P182" s="3">
        <v>7</v>
      </c>
      <c r="Q182" s="3">
        <v>7</v>
      </c>
      <c r="R182" s="3">
        <v>7</v>
      </c>
      <c r="S182" s="3">
        <v>7</v>
      </c>
      <c r="T182" s="3">
        <v>7</v>
      </c>
      <c r="U182" s="3">
        <v>5</v>
      </c>
      <c r="V182" t="s">
        <v>521</v>
      </c>
      <c r="W182" s="3">
        <v>7</v>
      </c>
      <c r="X182" s="3">
        <v>7</v>
      </c>
      <c r="Y182">
        <v>36</v>
      </c>
      <c r="Z182">
        <v>18</v>
      </c>
      <c r="AA182">
        <v>49</v>
      </c>
      <c r="AB182">
        <v>5</v>
      </c>
      <c r="AC182">
        <v>24.5</v>
      </c>
      <c r="AD182">
        <v>75</v>
      </c>
      <c r="AE182">
        <v>3</v>
      </c>
      <c r="AF182">
        <v>15</v>
      </c>
      <c r="AG182" s="3">
        <v>7</v>
      </c>
      <c r="AH182" s="3">
        <v>40762</v>
      </c>
      <c r="AI182" t="s">
        <v>36</v>
      </c>
      <c r="AJ182" t="s">
        <v>22</v>
      </c>
      <c r="AK182" t="s">
        <v>22</v>
      </c>
      <c r="AL182">
        <v>14121</v>
      </c>
    </row>
    <row r="183" spans="1:38" x14ac:dyDescent="0.3">
      <c r="A183" s="3" t="str">
        <f>UPPER(TEXT(Tabela1[[#This Row],[Data]],"MMM"))</f>
        <v>SET</v>
      </c>
      <c r="B183" t="s">
        <v>542</v>
      </c>
      <c r="C183" s="1" t="s">
        <v>543</v>
      </c>
      <c r="D183" s="1" t="s">
        <v>544</v>
      </c>
      <c r="E183" t="s">
        <v>18</v>
      </c>
      <c r="F183" s="2" t="s">
        <v>539</v>
      </c>
      <c r="G183" s="3">
        <v>2</v>
      </c>
      <c r="H183" s="3">
        <v>7</v>
      </c>
      <c r="I183" s="3">
        <v>10</v>
      </c>
      <c r="J183" s="3">
        <v>7</v>
      </c>
      <c r="K183" s="3">
        <v>5</v>
      </c>
      <c r="L183">
        <v>19</v>
      </c>
      <c r="M183">
        <v>31</v>
      </c>
      <c r="N183">
        <v>81</v>
      </c>
      <c r="O183">
        <v>69</v>
      </c>
      <c r="P183" s="3">
        <v>5</v>
      </c>
      <c r="Q183" s="3">
        <v>7</v>
      </c>
      <c r="R183" s="3">
        <v>7</v>
      </c>
      <c r="S183" s="3">
        <v>7</v>
      </c>
      <c r="T183" s="3">
        <v>7</v>
      </c>
      <c r="U183" s="3">
        <v>7</v>
      </c>
      <c r="V183" t="s">
        <v>20</v>
      </c>
      <c r="W183" s="3" t="s">
        <v>28</v>
      </c>
      <c r="X183" s="3" t="s">
        <v>28</v>
      </c>
      <c r="Y183">
        <v>56</v>
      </c>
      <c r="Z183">
        <v>28.000000000000004</v>
      </c>
      <c r="AA183">
        <v>45</v>
      </c>
      <c r="AB183">
        <v>8</v>
      </c>
      <c r="AC183">
        <v>22.5</v>
      </c>
      <c r="AD183">
        <v>60</v>
      </c>
      <c r="AE183">
        <v>3</v>
      </c>
      <c r="AF183">
        <v>15</v>
      </c>
      <c r="AG183" s="3">
        <v>7</v>
      </c>
      <c r="AH183" s="3">
        <v>42846</v>
      </c>
      <c r="AI183" t="s">
        <v>63</v>
      </c>
      <c r="AJ183" t="s">
        <v>22</v>
      </c>
      <c r="AK183" t="s">
        <v>22</v>
      </c>
      <c r="AL183">
        <v>24877</v>
      </c>
    </row>
    <row r="184" spans="1:38" x14ac:dyDescent="0.3">
      <c r="A184" s="3" t="str">
        <f>UPPER(TEXT(Tabela1[[#This Row],[Data]],"MMM"))</f>
        <v>SET</v>
      </c>
      <c r="B184" t="s">
        <v>545</v>
      </c>
      <c r="C184" s="1" t="s">
        <v>546</v>
      </c>
      <c r="D184" s="1" t="s">
        <v>544</v>
      </c>
      <c r="E184" t="s">
        <v>18</v>
      </c>
      <c r="F184" s="2" t="s">
        <v>539</v>
      </c>
      <c r="G184" s="3">
        <v>2</v>
      </c>
      <c r="H184" s="3">
        <v>7</v>
      </c>
      <c r="I184" s="3">
        <v>10</v>
      </c>
      <c r="J184" s="3">
        <v>5</v>
      </c>
      <c r="K184" s="3">
        <v>5</v>
      </c>
      <c r="L184">
        <v>43</v>
      </c>
      <c r="M184">
        <v>14</v>
      </c>
      <c r="N184">
        <v>57</v>
      </c>
      <c r="O184">
        <v>86</v>
      </c>
      <c r="P184" s="3">
        <v>7</v>
      </c>
      <c r="Q184" s="3">
        <v>7</v>
      </c>
      <c r="R184" s="3">
        <v>7</v>
      </c>
      <c r="S184" s="3">
        <v>7</v>
      </c>
      <c r="T184" s="3">
        <v>7</v>
      </c>
      <c r="U184" s="3">
        <v>7</v>
      </c>
      <c r="V184" t="s">
        <v>169</v>
      </c>
      <c r="W184" s="3">
        <v>10</v>
      </c>
      <c r="X184" s="3">
        <v>7</v>
      </c>
      <c r="Y184">
        <v>44</v>
      </c>
      <c r="Z184">
        <v>22</v>
      </c>
      <c r="AA184">
        <v>34</v>
      </c>
      <c r="AB184">
        <v>7</v>
      </c>
      <c r="AC184">
        <v>17</v>
      </c>
      <c r="AD184">
        <v>65</v>
      </c>
      <c r="AE184">
        <v>4</v>
      </c>
      <c r="AF184">
        <v>20</v>
      </c>
      <c r="AG184" s="3">
        <v>10</v>
      </c>
      <c r="AH184" s="3">
        <v>15105</v>
      </c>
      <c r="AI184" t="s">
        <v>63</v>
      </c>
      <c r="AJ184" t="s">
        <v>22</v>
      </c>
      <c r="AK184" t="s">
        <v>22</v>
      </c>
      <c r="AL184">
        <v>31477</v>
      </c>
    </row>
    <row r="185" spans="1:38" x14ac:dyDescent="0.3">
      <c r="A185" s="3" t="str">
        <f>UPPER(TEXT(Tabela1[[#This Row],[Data]],"MMM"))</f>
        <v>SET</v>
      </c>
      <c r="B185" s="33" t="s">
        <v>547</v>
      </c>
      <c r="C185" s="1" t="s">
        <v>548</v>
      </c>
      <c r="D185" s="1" t="s">
        <v>549</v>
      </c>
      <c r="E185" t="s">
        <v>18</v>
      </c>
      <c r="F185" s="2" t="s">
        <v>550</v>
      </c>
      <c r="G185" s="3">
        <v>2</v>
      </c>
      <c r="H185" s="3">
        <v>7</v>
      </c>
      <c r="I185" s="3">
        <v>7</v>
      </c>
      <c r="J185" s="3">
        <v>7</v>
      </c>
      <c r="K185" s="3">
        <v>5</v>
      </c>
      <c r="L185">
        <v>29</v>
      </c>
      <c r="M185">
        <v>38</v>
      </c>
      <c r="N185">
        <v>71</v>
      </c>
      <c r="O185">
        <v>62</v>
      </c>
      <c r="P185" s="3">
        <v>7</v>
      </c>
      <c r="Q185" s="3">
        <v>7</v>
      </c>
      <c r="R185" s="3">
        <v>7</v>
      </c>
      <c r="S185" s="3">
        <v>7</v>
      </c>
      <c r="T185" s="3">
        <v>7</v>
      </c>
      <c r="U185" s="3">
        <v>7</v>
      </c>
      <c r="V185" t="s">
        <v>20</v>
      </c>
      <c r="W185" s="3">
        <v>7</v>
      </c>
      <c r="X185" s="3">
        <v>7</v>
      </c>
      <c r="Y185">
        <v>52</v>
      </c>
      <c r="Z185">
        <v>26</v>
      </c>
      <c r="AA185">
        <v>57</v>
      </c>
      <c r="AB185">
        <v>6</v>
      </c>
      <c r="AC185">
        <v>28.499999999999996</v>
      </c>
      <c r="AD185">
        <v>70</v>
      </c>
      <c r="AE185">
        <v>4</v>
      </c>
      <c r="AF185">
        <v>20</v>
      </c>
      <c r="AG185" s="3">
        <v>7</v>
      </c>
      <c r="AH185" s="3">
        <v>40762</v>
      </c>
      <c r="AI185" t="s">
        <v>36</v>
      </c>
      <c r="AJ185" t="s">
        <v>22</v>
      </c>
      <c r="AK185" t="s">
        <v>22</v>
      </c>
      <c r="AL185">
        <v>8910</v>
      </c>
    </row>
    <row r="186" spans="1:38" x14ac:dyDescent="0.3">
      <c r="A186" s="3" t="str">
        <f>UPPER(TEXT(Tabela1[[#This Row],[Data]],"MMM"))</f>
        <v>SET</v>
      </c>
      <c r="B186" t="s">
        <v>551</v>
      </c>
      <c r="C186" s="1" t="s">
        <v>552</v>
      </c>
      <c r="D186" s="1" t="s">
        <v>549</v>
      </c>
      <c r="E186" t="s">
        <v>18</v>
      </c>
      <c r="F186" s="2" t="s">
        <v>550</v>
      </c>
      <c r="G186" s="3">
        <v>2</v>
      </c>
      <c r="H186" s="3">
        <v>7</v>
      </c>
      <c r="I186" s="3">
        <v>7</v>
      </c>
      <c r="J186" s="3">
        <v>7</v>
      </c>
      <c r="K186" s="3">
        <v>5</v>
      </c>
      <c r="L186">
        <v>25</v>
      </c>
      <c r="M186">
        <v>46</v>
      </c>
      <c r="N186">
        <v>75</v>
      </c>
      <c r="O186">
        <v>54</v>
      </c>
      <c r="P186" s="3">
        <v>5</v>
      </c>
      <c r="Q186" s="3">
        <v>7</v>
      </c>
      <c r="R186" s="3">
        <v>7</v>
      </c>
      <c r="S186" s="3">
        <v>7</v>
      </c>
      <c r="T186" s="3">
        <v>7</v>
      </c>
      <c r="U186" s="3" t="s">
        <v>28</v>
      </c>
      <c r="V186" t="s">
        <v>20</v>
      </c>
      <c r="W186" s="3" t="s">
        <v>28</v>
      </c>
      <c r="X186" s="3" t="s">
        <v>28</v>
      </c>
      <c r="Y186">
        <v>60</v>
      </c>
      <c r="Z186">
        <v>30</v>
      </c>
      <c r="AA186">
        <v>46</v>
      </c>
      <c r="AB186">
        <v>4</v>
      </c>
      <c r="AC186">
        <v>23</v>
      </c>
      <c r="AD186">
        <v>80</v>
      </c>
      <c r="AE186">
        <v>3</v>
      </c>
      <c r="AF186">
        <v>15</v>
      </c>
      <c r="AG186" s="3">
        <v>10</v>
      </c>
      <c r="AH186" s="3">
        <v>13188</v>
      </c>
      <c r="AI186" t="s">
        <v>63</v>
      </c>
      <c r="AJ186" t="s">
        <v>22</v>
      </c>
      <c r="AK186" t="s">
        <v>22</v>
      </c>
      <c r="AL186">
        <v>13013</v>
      </c>
    </row>
    <row r="187" spans="1:38" x14ac:dyDescent="0.3">
      <c r="A187" s="3" t="str">
        <f>UPPER(TEXT(Tabela1[[#This Row],[Data]],"MMM"))</f>
        <v>SET</v>
      </c>
      <c r="B187" t="s">
        <v>553</v>
      </c>
      <c r="C187" s="1" t="s">
        <v>554</v>
      </c>
      <c r="D187" s="1" t="s">
        <v>555</v>
      </c>
      <c r="E187" t="s">
        <v>18</v>
      </c>
      <c r="F187" s="2" t="s">
        <v>550</v>
      </c>
      <c r="G187" s="3">
        <v>2</v>
      </c>
      <c r="H187" s="3">
        <v>7</v>
      </c>
      <c r="I187" s="3">
        <v>7</v>
      </c>
      <c r="J187" s="3">
        <v>7</v>
      </c>
      <c r="K187" s="3">
        <v>5</v>
      </c>
      <c r="L187">
        <v>29</v>
      </c>
      <c r="M187">
        <v>46</v>
      </c>
      <c r="N187">
        <v>71</v>
      </c>
      <c r="O187">
        <v>54</v>
      </c>
      <c r="P187" s="3">
        <v>5</v>
      </c>
      <c r="Q187" s="3">
        <v>7</v>
      </c>
      <c r="R187" s="3">
        <v>7</v>
      </c>
      <c r="S187" s="3">
        <v>7</v>
      </c>
      <c r="T187" s="3">
        <v>7</v>
      </c>
      <c r="U187" s="3">
        <v>7</v>
      </c>
      <c r="V187" t="s">
        <v>20</v>
      </c>
      <c r="W187" s="3">
        <v>7</v>
      </c>
      <c r="X187" s="3">
        <v>7</v>
      </c>
      <c r="Y187">
        <v>47</v>
      </c>
      <c r="Z187">
        <v>23.5</v>
      </c>
      <c r="AA187">
        <v>44</v>
      </c>
      <c r="AB187">
        <v>5</v>
      </c>
      <c r="AC187">
        <v>22</v>
      </c>
      <c r="AD187">
        <v>75</v>
      </c>
      <c r="AE187">
        <v>4</v>
      </c>
      <c r="AF187">
        <v>20</v>
      </c>
      <c r="AG187" s="3">
        <v>7</v>
      </c>
      <c r="AH187" s="3">
        <v>42846</v>
      </c>
      <c r="AI187" t="s">
        <v>36</v>
      </c>
      <c r="AJ187" t="s">
        <v>22</v>
      </c>
      <c r="AK187" t="s">
        <v>22</v>
      </c>
      <c r="AL187">
        <v>24684</v>
      </c>
    </row>
    <row r="188" spans="1:38" x14ac:dyDescent="0.3">
      <c r="A188" s="3" t="str">
        <f>UPPER(TEXT(Tabela1[[#This Row],[Data]],"MMM"))</f>
        <v>SET</v>
      </c>
      <c r="B188" t="s">
        <v>556</v>
      </c>
      <c r="C188" s="1" t="s">
        <v>557</v>
      </c>
      <c r="D188" s="1" t="s">
        <v>558</v>
      </c>
      <c r="E188" t="s">
        <v>18</v>
      </c>
      <c r="F188" s="2" t="s">
        <v>550</v>
      </c>
      <c r="G188" s="3">
        <v>2</v>
      </c>
      <c r="H188" s="3">
        <v>7</v>
      </c>
      <c r="I188" s="3">
        <v>10</v>
      </c>
      <c r="J188" s="3">
        <v>5</v>
      </c>
      <c r="K188" s="3">
        <v>5</v>
      </c>
      <c r="L188">
        <v>22</v>
      </c>
      <c r="M188">
        <v>53</v>
      </c>
      <c r="N188">
        <v>78</v>
      </c>
      <c r="O188">
        <v>47</v>
      </c>
      <c r="P188" s="3">
        <v>5</v>
      </c>
      <c r="Q188" s="3">
        <v>7</v>
      </c>
      <c r="R188" s="3">
        <v>7</v>
      </c>
      <c r="S188" s="3">
        <v>7</v>
      </c>
      <c r="T188" s="3">
        <v>7</v>
      </c>
      <c r="U188" s="3">
        <v>7</v>
      </c>
      <c r="V188" t="s">
        <v>20</v>
      </c>
      <c r="W188" s="3">
        <v>7</v>
      </c>
      <c r="X188" s="3">
        <v>10</v>
      </c>
      <c r="Y188">
        <v>53</v>
      </c>
      <c r="Z188">
        <v>26.5</v>
      </c>
      <c r="AA188">
        <v>49</v>
      </c>
      <c r="AB188">
        <v>6</v>
      </c>
      <c r="AC188">
        <v>24.5</v>
      </c>
      <c r="AD188">
        <v>70</v>
      </c>
      <c r="AE188">
        <v>3</v>
      </c>
      <c r="AF188">
        <v>15</v>
      </c>
      <c r="AG188" s="3">
        <v>10</v>
      </c>
      <c r="AH188" s="3">
        <v>995638</v>
      </c>
      <c r="AI188" t="s">
        <v>63</v>
      </c>
      <c r="AJ188" t="s">
        <v>22</v>
      </c>
      <c r="AK188" t="s">
        <v>22</v>
      </c>
      <c r="AL188">
        <v>31981</v>
      </c>
    </row>
    <row r="189" spans="1:38" x14ac:dyDescent="0.3">
      <c r="A189" s="3" t="str">
        <f>UPPER(TEXT(Tabela1[[#This Row],[Data]],"MMM"))</f>
        <v>OUT</v>
      </c>
      <c r="B189" s="33" t="s">
        <v>559</v>
      </c>
      <c r="C189" s="1" t="s">
        <v>560</v>
      </c>
      <c r="D189" s="1" t="s">
        <v>561</v>
      </c>
      <c r="E189" t="s">
        <v>18</v>
      </c>
      <c r="F189" s="2" t="s">
        <v>562</v>
      </c>
      <c r="G189" s="3">
        <v>2</v>
      </c>
      <c r="H189" s="3">
        <v>7</v>
      </c>
      <c r="I189" s="3">
        <v>7</v>
      </c>
      <c r="J189" s="3">
        <v>7</v>
      </c>
      <c r="K189" s="3">
        <v>5</v>
      </c>
      <c r="L189">
        <v>22</v>
      </c>
      <c r="M189">
        <v>37</v>
      </c>
      <c r="N189">
        <v>78</v>
      </c>
      <c r="O189">
        <v>63</v>
      </c>
      <c r="P189" s="3">
        <v>5</v>
      </c>
      <c r="Q189" s="3">
        <v>7</v>
      </c>
      <c r="R189" s="3">
        <v>7</v>
      </c>
      <c r="S189" s="3">
        <v>7</v>
      </c>
      <c r="T189" s="3">
        <v>7</v>
      </c>
      <c r="U189" s="3">
        <v>7</v>
      </c>
      <c r="V189" t="s">
        <v>563</v>
      </c>
      <c r="W189" s="3" t="s">
        <v>28</v>
      </c>
      <c r="X189" s="3" t="s">
        <v>28</v>
      </c>
      <c r="Y189">
        <v>45</v>
      </c>
      <c r="Z189">
        <v>22.5</v>
      </c>
      <c r="AA189">
        <v>53</v>
      </c>
      <c r="AB189">
        <v>6</v>
      </c>
      <c r="AC189">
        <v>26.5</v>
      </c>
      <c r="AD189">
        <v>70</v>
      </c>
      <c r="AE189">
        <v>2</v>
      </c>
      <c r="AF189">
        <v>10</v>
      </c>
      <c r="AG189" s="3">
        <v>10</v>
      </c>
      <c r="AH189" s="3">
        <v>995638</v>
      </c>
      <c r="AI189" t="s">
        <v>63</v>
      </c>
      <c r="AJ189" t="s">
        <v>22</v>
      </c>
      <c r="AK189" t="s">
        <v>22</v>
      </c>
      <c r="AL189">
        <v>27921</v>
      </c>
    </row>
    <row r="190" spans="1:38" x14ac:dyDescent="0.3">
      <c r="A190" s="3" t="str">
        <f>UPPER(TEXT(Tabela1[[#This Row],[Data]],"MMM"))</f>
        <v>OUT</v>
      </c>
      <c r="B190" t="s">
        <v>564</v>
      </c>
      <c r="C190" s="1" t="s">
        <v>565</v>
      </c>
      <c r="D190" s="1" t="s">
        <v>566</v>
      </c>
      <c r="E190" t="s">
        <v>18</v>
      </c>
      <c r="F190" s="2" t="s">
        <v>562</v>
      </c>
      <c r="G190" s="3">
        <v>2</v>
      </c>
      <c r="H190" s="3">
        <v>7</v>
      </c>
      <c r="I190" s="3">
        <v>10</v>
      </c>
      <c r="J190" s="3">
        <v>7</v>
      </c>
      <c r="K190" s="3">
        <v>5</v>
      </c>
      <c r="L190">
        <v>14</v>
      </c>
      <c r="M190">
        <v>10</v>
      </c>
      <c r="N190">
        <v>86</v>
      </c>
      <c r="O190">
        <v>90</v>
      </c>
      <c r="P190" s="3">
        <v>5</v>
      </c>
      <c r="Q190" s="3">
        <v>10</v>
      </c>
      <c r="R190" s="3">
        <v>7</v>
      </c>
      <c r="S190" s="3">
        <v>7</v>
      </c>
      <c r="T190" s="3">
        <v>7</v>
      </c>
      <c r="U190" s="3">
        <v>7</v>
      </c>
      <c r="V190" t="s">
        <v>20</v>
      </c>
      <c r="W190" s="3">
        <v>7</v>
      </c>
      <c r="X190" s="3">
        <v>7</v>
      </c>
      <c r="Y190">
        <v>60</v>
      </c>
      <c r="Z190">
        <v>30</v>
      </c>
      <c r="AA190">
        <v>56</v>
      </c>
      <c r="AB190">
        <v>6</v>
      </c>
      <c r="AC190">
        <v>28.000000000000004</v>
      </c>
      <c r="AD190">
        <v>70</v>
      </c>
      <c r="AE190">
        <v>3</v>
      </c>
      <c r="AF190">
        <v>15</v>
      </c>
      <c r="AG190" s="3">
        <v>7</v>
      </c>
      <c r="AH190" s="3">
        <v>42846</v>
      </c>
      <c r="AI190" t="s">
        <v>83</v>
      </c>
      <c r="AJ190" t="s">
        <v>22</v>
      </c>
      <c r="AK190" t="s">
        <v>22</v>
      </c>
      <c r="AL190">
        <v>11519</v>
      </c>
    </row>
    <row r="191" spans="1:38" x14ac:dyDescent="0.3">
      <c r="A191" s="3" t="str">
        <f>UPPER(TEXT(Tabela1[[#This Row],[Data]],"MMM"))</f>
        <v>OUT</v>
      </c>
      <c r="B191" t="s">
        <v>567</v>
      </c>
      <c r="C191" s="1" t="s">
        <v>568</v>
      </c>
      <c r="D191" s="1" t="s">
        <v>569</v>
      </c>
      <c r="E191" t="s">
        <v>18</v>
      </c>
      <c r="F191" s="2" t="s">
        <v>562</v>
      </c>
      <c r="G191" s="3">
        <v>2</v>
      </c>
      <c r="H191" s="3">
        <v>7</v>
      </c>
      <c r="I191" s="3">
        <v>10</v>
      </c>
      <c r="J191" s="3">
        <v>7</v>
      </c>
      <c r="K191" s="3">
        <v>7</v>
      </c>
      <c r="L191">
        <v>22</v>
      </c>
      <c r="M191">
        <v>19</v>
      </c>
      <c r="N191">
        <v>78</v>
      </c>
      <c r="O191">
        <v>81</v>
      </c>
      <c r="P191" s="3">
        <v>7</v>
      </c>
      <c r="Q191" s="3">
        <v>7</v>
      </c>
      <c r="R191" s="3">
        <v>7</v>
      </c>
      <c r="S191" s="3">
        <v>7</v>
      </c>
      <c r="T191" s="3">
        <v>7</v>
      </c>
      <c r="U191" s="3">
        <v>5</v>
      </c>
      <c r="V191" t="s">
        <v>20</v>
      </c>
      <c r="W191" s="3">
        <v>10</v>
      </c>
      <c r="X191" s="3">
        <v>7</v>
      </c>
      <c r="Y191">
        <v>76</v>
      </c>
      <c r="Z191">
        <v>38</v>
      </c>
      <c r="AA191">
        <v>51</v>
      </c>
      <c r="AB191">
        <v>6</v>
      </c>
      <c r="AC191">
        <v>25.5</v>
      </c>
      <c r="AD191">
        <v>70</v>
      </c>
      <c r="AE191">
        <v>3</v>
      </c>
      <c r="AF191">
        <v>15</v>
      </c>
      <c r="AG191" t="s">
        <v>28</v>
      </c>
      <c r="AH191" s="3">
        <v>13188</v>
      </c>
      <c r="AI191" t="s">
        <v>63</v>
      </c>
      <c r="AJ191" t="s">
        <v>22</v>
      </c>
      <c r="AK191" t="s">
        <v>22</v>
      </c>
      <c r="AL191">
        <v>4144</v>
      </c>
    </row>
    <row r="192" spans="1:38" x14ac:dyDescent="0.3">
      <c r="A192" s="3" t="str">
        <f>UPPER(TEXT(Tabela1[[#This Row],[Data]],"MMM"))</f>
        <v>OUT</v>
      </c>
      <c r="B192" t="s">
        <v>570</v>
      </c>
      <c r="C192" s="1" t="s">
        <v>571</v>
      </c>
      <c r="D192" s="1" t="s">
        <v>569</v>
      </c>
      <c r="E192" t="s">
        <v>18</v>
      </c>
      <c r="F192" s="2" t="s">
        <v>562</v>
      </c>
      <c r="G192" s="3">
        <v>2</v>
      </c>
      <c r="H192" s="3">
        <v>7</v>
      </c>
      <c r="I192" s="3">
        <v>7</v>
      </c>
      <c r="J192" s="3">
        <v>7</v>
      </c>
      <c r="K192" s="3">
        <v>5</v>
      </c>
      <c r="L192">
        <v>19</v>
      </c>
      <c r="M192">
        <v>33</v>
      </c>
      <c r="N192">
        <v>81</v>
      </c>
      <c r="O192">
        <v>67</v>
      </c>
      <c r="P192" s="3">
        <v>7</v>
      </c>
      <c r="Q192" s="3">
        <v>7</v>
      </c>
      <c r="R192" s="3">
        <v>7</v>
      </c>
      <c r="S192" s="3">
        <v>7</v>
      </c>
      <c r="T192" s="3">
        <v>7</v>
      </c>
      <c r="U192" s="3">
        <v>7</v>
      </c>
      <c r="V192" t="s">
        <v>20</v>
      </c>
      <c r="W192" s="3" t="s">
        <v>28</v>
      </c>
      <c r="X192" s="3" t="s">
        <v>28</v>
      </c>
      <c r="Y192" t="s">
        <v>28</v>
      </c>
      <c r="Z192" t="s">
        <v>28</v>
      </c>
      <c r="AA192">
        <v>51</v>
      </c>
      <c r="AB192">
        <v>8</v>
      </c>
      <c r="AC192">
        <v>25.5</v>
      </c>
      <c r="AD192">
        <v>60</v>
      </c>
      <c r="AE192">
        <v>4</v>
      </c>
      <c r="AF192">
        <v>20</v>
      </c>
      <c r="AG192" s="3">
        <v>10</v>
      </c>
      <c r="AH192" s="3">
        <v>15105</v>
      </c>
      <c r="AI192" t="s">
        <v>63</v>
      </c>
      <c r="AJ192" t="s">
        <v>22</v>
      </c>
      <c r="AK192" t="s">
        <v>22</v>
      </c>
      <c r="AL192">
        <v>34249</v>
      </c>
    </row>
    <row r="193" spans="1:38" x14ac:dyDescent="0.3">
      <c r="A193" s="3" t="str">
        <f>UPPER(TEXT(Tabela1[[#This Row],[Data]],"MMM"))</f>
        <v>OUT</v>
      </c>
      <c r="B193" s="33" t="s">
        <v>572</v>
      </c>
      <c r="C193" s="1" t="s">
        <v>573</v>
      </c>
      <c r="D193" s="1" t="s">
        <v>574</v>
      </c>
      <c r="E193" t="s">
        <v>18</v>
      </c>
      <c r="F193" s="2" t="s">
        <v>575</v>
      </c>
      <c r="G193" s="3">
        <v>2</v>
      </c>
      <c r="H193" s="3">
        <v>7</v>
      </c>
      <c r="I193" s="3">
        <v>7</v>
      </c>
      <c r="J193" s="3">
        <v>7</v>
      </c>
      <c r="K193" s="3">
        <v>5</v>
      </c>
      <c r="L193">
        <v>22</v>
      </c>
      <c r="M193">
        <v>19</v>
      </c>
      <c r="N193">
        <v>78</v>
      </c>
      <c r="O193">
        <v>81</v>
      </c>
      <c r="P193" s="3">
        <v>7</v>
      </c>
      <c r="Q193" s="3">
        <v>7</v>
      </c>
      <c r="R193" s="3">
        <v>7</v>
      </c>
      <c r="S193" s="3">
        <v>7</v>
      </c>
      <c r="T193" s="3">
        <v>7</v>
      </c>
      <c r="U193" s="3">
        <v>7</v>
      </c>
      <c r="V193" t="s">
        <v>169</v>
      </c>
      <c r="W193" s="3">
        <v>7</v>
      </c>
      <c r="X193" s="3">
        <v>7</v>
      </c>
      <c r="Y193">
        <v>39</v>
      </c>
      <c r="Z193">
        <v>19.5</v>
      </c>
      <c r="AA193">
        <v>48</v>
      </c>
      <c r="AB193">
        <v>6</v>
      </c>
      <c r="AC193">
        <v>24</v>
      </c>
      <c r="AD193">
        <v>70</v>
      </c>
      <c r="AE193">
        <v>3</v>
      </c>
      <c r="AF193">
        <v>15</v>
      </c>
      <c r="AG193" s="3">
        <v>7</v>
      </c>
      <c r="AH193" s="3">
        <v>42641</v>
      </c>
      <c r="AI193" t="s">
        <v>275</v>
      </c>
      <c r="AJ193" t="s">
        <v>22</v>
      </c>
      <c r="AK193" t="s">
        <v>22</v>
      </c>
      <c r="AL193">
        <v>11403</v>
      </c>
    </row>
    <row r="194" spans="1:38" x14ac:dyDescent="0.3">
      <c r="A194" s="3" t="str">
        <f>UPPER(TEXT(Tabela1[[#This Row],[Data]],"MMM"))</f>
        <v>OUT</v>
      </c>
      <c r="B194" t="s">
        <v>576</v>
      </c>
      <c r="C194" s="1" t="s">
        <v>577</v>
      </c>
      <c r="D194" s="1" t="s">
        <v>578</v>
      </c>
      <c r="E194" t="s">
        <v>18</v>
      </c>
      <c r="F194" s="2" t="s">
        <v>575</v>
      </c>
      <c r="G194" s="3">
        <v>2</v>
      </c>
      <c r="H194" s="3">
        <v>7</v>
      </c>
      <c r="I194" s="3">
        <v>7</v>
      </c>
      <c r="J194" s="3">
        <v>7</v>
      </c>
      <c r="K194" s="3">
        <v>5</v>
      </c>
      <c r="L194">
        <v>10</v>
      </c>
      <c r="M194">
        <v>17</v>
      </c>
      <c r="N194">
        <v>90</v>
      </c>
      <c r="O194">
        <v>83</v>
      </c>
      <c r="P194" s="3">
        <v>7</v>
      </c>
      <c r="Q194" s="3">
        <v>7</v>
      </c>
      <c r="R194" s="3">
        <v>7</v>
      </c>
      <c r="S194" s="3">
        <v>7</v>
      </c>
      <c r="T194" s="3">
        <v>7</v>
      </c>
      <c r="U194" s="3">
        <v>7</v>
      </c>
      <c r="V194" t="s">
        <v>169</v>
      </c>
      <c r="W194" s="3">
        <v>10</v>
      </c>
      <c r="X194" s="3">
        <v>7</v>
      </c>
      <c r="Y194">
        <v>46</v>
      </c>
      <c r="Z194">
        <v>23</v>
      </c>
      <c r="AA194">
        <v>39</v>
      </c>
      <c r="AB194">
        <v>9</v>
      </c>
      <c r="AC194">
        <v>19.5</v>
      </c>
      <c r="AD194">
        <v>55</v>
      </c>
      <c r="AE194">
        <v>3</v>
      </c>
      <c r="AF194">
        <v>15</v>
      </c>
      <c r="AG194" s="3">
        <v>7</v>
      </c>
      <c r="AH194" s="3">
        <v>42862</v>
      </c>
      <c r="AI194" t="s">
        <v>36</v>
      </c>
      <c r="AJ194" t="s">
        <v>22</v>
      </c>
      <c r="AK194" t="s">
        <v>22</v>
      </c>
      <c r="AL194">
        <v>13958</v>
      </c>
    </row>
    <row r="195" spans="1:38" x14ac:dyDescent="0.3">
      <c r="A195" s="3" t="str">
        <f>UPPER(TEXT(Tabela1[[#This Row],[Data]],"MMM"))</f>
        <v>OUT</v>
      </c>
      <c r="B195" t="s">
        <v>579</v>
      </c>
      <c r="C195" s="1" t="s">
        <v>580</v>
      </c>
      <c r="D195" s="1" t="s">
        <v>578</v>
      </c>
      <c r="E195" t="s">
        <v>18</v>
      </c>
      <c r="F195" s="2" t="s">
        <v>575</v>
      </c>
      <c r="G195" s="3">
        <v>2</v>
      </c>
      <c r="H195" s="3">
        <v>7</v>
      </c>
      <c r="I195" s="3">
        <v>7</v>
      </c>
      <c r="J195" s="3">
        <v>7</v>
      </c>
      <c r="K195" s="3">
        <v>5</v>
      </c>
      <c r="L195">
        <v>16</v>
      </c>
      <c r="M195">
        <v>13</v>
      </c>
      <c r="N195">
        <v>84</v>
      </c>
      <c r="O195">
        <v>87</v>
      </c>
      <c r="P195" s="3">
        <v>5</v>
      </c>
      <c r="Q195" s="3">
        <v>7</v>
      </c>
      <c r="R195" s="3">
        <v>7</v>
      </c>
      <c r="S195" s="3">
        <v>5</v>
      </c>
      <c r="T195" s="3">
        <v>7</v>
      </c>
      <c r="U195" s="3">
        <v>5</v>
      </c>
      <c r="V195" t="s">
        <v>20</v>
      </c>
      <c r="W195" s="3">
        <v>10</v>
      </c>
      <c r="X195" s="3">
        <v>10</v>
      </c>
      <c r="Y195">
        <v>50</v>
      </c>
      <c r="Z195">
        <v>25</v>
      </c>
      <c r="AA195">
        <v>41</v>
      </c>
      <c r="AB195">
        <v>6</v>
      </c>
      <c r="AC195">
        <v>20.5</v>
      </c>
      <c r="AD195">
        <v>70</v>
      </c>
      <c r="AE195">
        <v>3</v>
      </c>
      <c r="AF195">
        <v>15</v>
      </c>
      <c r="AG195" s="3">
        <v>10</v>
      </c>
      <c r="AH195" s="3">
        <v>15105</v>
      </c>
      <c r="AI195" t="s">
        <v>63</v>
      </c>
      <c r="AJ195" t="s">
        <v>22</v>
      </c>
      <c r="AK195" t="s">
        <v>22</v>
      </c>
      <c r="AL195">
        <v>33065</v>
      </c>
    </row>
    <row r="196" spans="1:38" x14ac:dyDescent="0.3">
      <c r="A196" s="3" t="str">
        <f>UPPER(TEXT(Tabela1[[#This Row],[Data]],"MMM"))</f>
        <v>OUT</v>
      </c>
      <c r="B196" t="s">
        <v>581</v>
      </c>
      <c r="C196" s="1" t="s">
        <v>582</v>
      </c>
      <c r="D196" s="1" t="s">
        <v>583</v>
      </c>
      <c r="E196" t="s">
        <v>18</v>
      </c>
      <c r="F196" s="2" t="s">
        <v>584</v>
      </c>
      <c r="G196" s="3">
        <v>2</v>
      </c>
      <c r="H196" s="3">
        <v>7</v>
      </c>
      <c r="I196" s="3">
        <v>7</v>
      </c>
      <c r="J196" s="3">
        <v>7</v>
      </c>
      <c r="K196" s="3">
        <v>5</v>
      </c>
      <c r="L196">
        <v>22</v>
      </c>
      <c r="M196">
        <v>13</v>
      </c>
      <c r="N196">
        <v>78</v>
      </c>
      <c r="O196">
        <v>87</v>
      </c>
      <c r="P196" s="3">
        <v>5</v>
      </c>
      <c r="Q196" s="3">
        <v>7</v>
      </c>
      <c r="R196" s="3">
        <v>7</v>
      </c>
      <c r="S196" s="3">
        <v>7</v>
      </c>
      <c r="T196" s="3">
        <v>7</v>
      </c>
      <c r="U196" s="3">
        <v>5</v>
      </c>
      <c r="V196" t="s">
        <v>20</v>
      </c>
      <c r="W196" s="3" t="s">
        <v>28</v>
      </c>
      <c r="X196" s="3" t="s">
        <v>28</v>
      </c>
      <c r="Y196">
        <v>49</v>
      </c>
      <c r="Z196">
        <v>24.5</v>
      </c>
      <c r="AA196">
        <v>49</v>
      </c>
      <c r="AB196">
        <v>6</v>
      </c>
      <c r="AC196">
        <v>24.5</v>
      </c>
      <c r="AD196">
        <v>70</v>
      </c>
      <c r="AE196">
        <v>4</v>
      </c>
      <c r="AF196">
        <v>20</v>
      </c>
      <c r="AG196" s="3">
        <v>10</v>
      </c>
      <c r="AH196" s="3">
        <v>992093</v>
      </c>
      <c r="AI196" t="s">
        <v>63</v>
      </c>
      <c r="AJ196" t="s">
        <v>22</v>
      </c>
      <c r="AK196" t="s">
        <v>22</v>
      </c>
      <c r="AL196">
        <v>12892</v>
      </c>
    </row>
    <row r="197" spans="1:38" x14ac:dyDescent="0.3">
      <c r="A197" s="3" t="str">
        <f>UPPER(TEXT(Tabela1[[#This Row],[Data]],"MMM"))</f>
        <v>OUT</v>
      </c>
      <c r="B197" t="s">
        <v>585</v>
      </c>
      <c r="C197" s="1" t="s">
        <v>586</v>
      </c>
      <c r="D197" s="1" t="s">
        <v>583</v>
      </c>
      <c r="E197" t="s">
        <v>18</v>
      </c>
      <c r="F197" s="2" t="s">
        <v>584</v>
      </c>
      <c r="G197" s="3">
        <v>2</v>
      </c>
      <c r="H197" s="3">
        <v>7</v>
      </c>
      <c r="I197" s="3">
        <v>7</v>
      </c>
      <c r="J197" s="3">
        <v>7</v>
      </c>
      <c r="K197" s="3">
        <v>7</v>
      </c>
      <c r="L197">
        <v>27</v>
      </c>
      <c r="M197">
        <v>10</v>
      </c>
      <c r="N197">
        <v>73</v>
      </c>
      <c r="O197">
        <v>90</v>
      </c>
      <c r="P197" s="3">
        <v>5</v>
      </c>
      <c r="Q197" s="3">
        <v>7</v>
      </c>
      <c r="R197" s="3">
        <v>7</v>
      </c>
      <c r="S197" s="3">
        <v>7</v>
      </c>
      <c r="T197" s="3">
        <v>7</v>
      </c>
      <c r="U197" s="3">
        <v>7</v>
      </c>
      <c r="V197" t="s">
        <v>20</v>
      </c>
      <c r="W197" s="3">
        <v>7</v>
      </c>
      <c r="X197" s="3" t="s">
        <v>28</v>
      </c>
      <c r="Y197">
        <v>45</v>
      </c>
      <c r="Z197">
        <v>22.5</v>
      </c>
      <c r="AA197">
        <v>40</v>
      </c>
      <c r="AB197">
        <v>7</v>
      </c>
      <c r="AC197">
        <v>20</v>
      </c>
      <c r="AD197">
        <v>65</v>
      </c>
      <c r="AE197">
        <v>3</v>
      </c>
      <c r="AF197">
        <v>15</v>
      </c>
      <c r="AG197" s="3">
        <v>7</v>
      </c>
      <c r="AH197" s="3">
        <v>42838</v>
      </c>
      <c r="AI197" t="s">
        <v>36</v>
      </c>
      <c r="AJ197" t="s">
        <v>22</v>
      </c>
      <c r="AK197" t="s">
        <v>22</v>
      </c>
      <c r="AL197">
        <v>19457</v>
      </c>
    </row>
    <row r="198" spans="1:38" x14ac:dyDescent="0.3">
      <c r="A198" s="3" t="str">
        <f>UPPER(TEXT(Tabela1[[#This Row],[Data]],"MMM"))</f>
        <v>OUT</v>
      </c>
      <c r="B198" t="s">
        <v>587</v>
      </c>
      <c r="C198" s="1" t="s">
        <v>588</v>
      </c>
      <c r="D198" s="1" t="s">
        <v>589</v>
      </c>
      <c r="E198" t="s">
        <v>18</v>
      </c>
      <c r="F198" s="2" t="s">
        <v>584</v>
      </c>
      <c r="G198" s="3">
        <v>2</v>
      </c>
      <c r="H198" s="3">
        <v>7</v>
      </c>
      <c r="I198" s="3">
        <v>7</v>
      </c>
      <c r="J198" s="3">
        <v>7</v>
      </c>
      <c r="K198" s="3">
        <v>7</v>
      </c>
      <c r="L198">
        <v>19</v>
      </c>
      <c r="M198">
        <v>17</v>
      </c>
      <c r="N198">
        <v>81</v>
      </c>
      <c r="O198">
        <v>83</v>
      </c>
      <c r="P198" s="3">
        <v>7</v>
      </c>
      <c r="Q198" s="3">
        <v>7</v>
      </c>
      <c r="R198" s="3">
        <v>7</v>
      </c>
      <c r="S198" s="3">
        <v>7</v>
      </c>
      <c r="T198" s="3">
        <v>7</v>
      </c>
      <c r="U198" s="3">
        <v>5</v>
      </c>
      <c r="V198" t="s">
        <v>20</v>
      </c>
      <c r="W198" s="3">
        <v>7</v>
      </c>
      <c r="X198" s="3">
        <v>7</v>
      </c>
      <c r="Y198">
        <v>43</v>
      </c>
      <c r="Z198">
        <v>21.5</v>
      </c>
      <c r="AA198">
        <v>65</v>
      </c>
      <c r="AB198">
        <v>7</v>
      </c>
      <c r="AC198">
        <v>32.5</v>
      </c>
      <c r="AD198">
        <v>65</v>
      </c>
      <c r="AE198">
        <v>2</v>
      </c>
      <c r="AF198">
        <v>10</v>
      </c>
      <c r="AG198" s="3">
        <v>10</v>
      </c>
      <c r="AH198" s="3">
        <v>13188</v>
      </c>
      <c r="AI198" t="s">
        <v>63</v>
      </c>
      <c r="AJ198" t="s">
        <v>22</v>
      </c>
      <c r="AK198" t="s">
        <v>22</v>
      </c>
      <c r="AL198">
        <v>2044</v>
      </c>
    </row>
    <row r="199" spans="1:38" x14ac:dyDescent="0.3">
      <c r="A199" s="3" t="str">
        <f>UPPER(TEXT(Tabela1[[#This Row],[Data]],"MMM"))</f>
        <v>OUT</v>
      </c>
      <c r="B199" t="s">
        <v>590</v>
      </c>
      <c r="C199" s="1" t="s">
        <v>591</v>
      </c>
      <c r="D199" s="1" t="s">
        <v>589</v>
      </c>
      <c r="E199" t="s">
        <v>18</v>
      </c>
      <c r="F199" s="2" t="s">
        <v>584</v>
      </c>
      <c r="G199" s="3">
        <v>2</v>
      </c>
      <c r="H199" s="3">
        <v>7</v>
      </c>
      <c r="I199" s="3">
        <v>7</v>
      </c>
      <c r="J199" s="3">
        <v>7</v>
      </c>
      <c r="K199" s="3">
        <v>5</v>
      </c>
      <c r="L199">
        <v>24</v>
      </c>
      <c r="M199">
        <v>14</v>
      </c>
      <c r="N199">
        <v>76</v>
      </c>
      <c r="O199">
        <v>86</v>
      </c>
      <c r="P199" s="3">
        <v>7</v>
      </c>
      <c r="Q199" s="3">
        <v>7</v>
      </c>
      <c r="R199" s="3">
        <v>7</v>
      </c>
      <c r="S199" s="3">
        <v>7</v>
      </c>
      <c r="T199" s="3">
        <v>7</v>
      </c>
      <c r="U199" s="3" t="s">
        <v>28</v>
      </c>
      <c r="V199" t="s">
        <v>20</v>
      </c>
      <c r="W199" s="3">
        <v>7</v>
      </c>
      <c r="X199" s="3">
        <v>7</v>
      </c>
      <c r="Y199">
        <v>51</v>
      </c>
      <c r="Z199">
        <v>25.5</v>
      </c>
      <c r="AA199">
        <v>50</v>
      </c>
      <c r="AB199">
        <v>9</v>
      </c>
      <c r="AC199">
        <v>25</v>
      </c>
      <c r="AD199">
        <v>55</v>
      </c>
      <c r="AE199">
        <v>2</v>
      </c>
      <c r="AF199">
        <v>10</v>
      </c>
      <c r="AG199" s="3">
        <v>10</v>
      </c>
      <c r="AH199" s="3">
        <v>15105</v>
      </c>
      <c r="AI199" t="s">
        <v>63</v>
      </c>
      <c r="AJ199" t="s">
        <v>22</v>
      </c>
      <c r="AK199" t="s">
        <v>22</v>
      </c>
      <c r="AL199">
        <v>10073</v>
      </c>
    </row>
    <row r="200" spans="1:38" x14ac:dyDescent="0.3">
      <c r="A200" s="3" t="str">
        <f>UPPER(TEXT(Tabela1[[#This Row],[Data]],"MMM"))</f>
        <v>OUT</v>
      </c>
      <c r="B200" s="33" t="s">
        <v>592</v>
      </c>
      <c r="C200" s="1" t="s">
        <v>593</v>
      </c>
      <c r="D200" s="1" t="s">
        <v>594</v>
      </c>
      <c r="E200" t="s">
        <v>18</v>
      </c>
      <c r="F200" s="2" t="s">
        <v>595</v>
      </c>
      <c r="G200" s="3">
        <v>2</v>
      </c>
      <c r="H200" s="3">
        <v>7</v>
      </c>
      <c r="I200" s="3">
        <v>7</v>
      </c>
      <c r="J200" s="3">
        <v>7</v>
      </c>
      <c r="K200" s="3">
        <v>5</v>
      </c>
      <c r="L200">
        <v>37</v>
      </c>
      <c r="M200">
        <v>22</v>
      </c>
      <c r="N200">
        <v>63</v>
      </c>
      <c r="O200">
        <v>78</v>
      </c>
      <c r="P200" s="3">
        <v>7</v>
      </c>
      <c r="Q200" s="3">
        <v>7</v>
      </c>
      <c r="R200" s="3">
        <v>7</v>
      </c>
      <c r="S200" s="3">
        <v>7</v>
      </c>
      <c r="T200" s="3">
        <v>7</v>
      </c>
      <c r="U200" s="3">
        <v>7</v>
      </c>
      <c r="V200" t="s">
        <v>169</v>
      </c>
      <c r="W200" s="3" t="s">
        <v>28</v>
      </c>
      <c r="X200" s="3" t="s">
        <v>28</v>
      </c>
      <c r="Y200">
        <v>59</v>
      </c>
      <c r="Z200">
        <v>29.5</v>
      </c>
      <c r="AA200">
        <v>40</v>
      </c>
      <c r="AB200">
        <v>7</v>
      </c>
      <c r="AC200">
        <v>20</v>
      </c>
      <c r="AD200">
        <v>65</v>
      </c>
      <c r="AE200">
        <v>6</v>
      </c>
      <c r="AF200">
        <v>30</v>
      </c>
      <c r="AG200" s="3">
        <v>7</v>
      </c>
      <c r="AH200" s="3">
        <v>40762</v>
      </c>
      <c r="AI200" t="s">
        <v>36</v>
      </c>
      <c r="AJ200" t="s">
        <v>22</v>
      </c>
      <c r="AK200" t="s">
        <v>22</v>
      </c>
      <c r="AL200">
        <v>15353</v>
      </c>
    </row>
    <row r="201" spans="1:38" x14ac:dyDescent="0.3">
      <c r="A201" s="3" t="str">
        <f>UPPER(TEXT(Tabela1[[#This Row],[Data]],"MMM"))</f>
        <v>OUT</v>
      </c>
      <c r="B201" t="s">
        <v>596</v>
      </c>
      <c r="C201" s="1" t="s">
        <v>597</v>
      </c>
      <c r="D201" s="1" t="s">
        <v>598</v>
      </c>
      <c r="E201" t="s">
        <v>18</v>
      </c>
      <c r="F201" s="2" t="s">
        <v>595</v>
      </c>
      <c r="G201" s="3">
        <v>2</v>
      </c>
      <c r="H201" s="3">
        <v>7</v>
      </c>
      <c r="I201" s="3">
        <v>7</v>
      </c>
      <c r="J201" s="3">
        <v>7</v>
      </c>
      <c r="K201" s="3">
        <v>5</v>
      </c>
      <c r="L201">
        <v>36</v>
      </c>
      <c r="M201">
        <v>27</v>
      </c>
      <c r="N201">
        <v>64</v>
      </c>
      <c r="O201">
        <v>73</v>
      </c>
      <c r="P201" s="3">
        <v>7</v>
      </c>
      <c r="Q201" s="3">
        <v>7</v>
      </c>
      <c r="R201" s="3">
        <v>7</v>
      </c>
      <c r="S201" s="3">
        <v>7</v>
      </c>
      <c r="T201" s="3">
        <v>7</v>
      </c>
      <c r="U201" s="3">
        <v>7</v>
      </c>
      <c r="V201" t="s">
        <v>169</v>
      </c>
      <c r="W201" s="3">
        <v>10</v>
      </c>
      <c r="X201" s="3">
        <v>7</v>
      </c>
      <c r="Y201">
        <v>51</v>
      </c>
      <c r="Z201">
        <v>25.5</v>
      </c>
      <c r="AA201">
        <v>37</v>
      </c>
      <c r="AB201">
        <v>6</v>
      </c>
      <c r="AC201">
        <v>18.5</v>
      </c>
      <c r="AD201">
        <v>70</v>
      </c>
      <c r="AE201">
        <v>4</v>
      </c>
      <c r="AF201">
        <v>20</v>
      </c>
      <c r="AG201" s="3">
        <v>7</v>
      </c>
      <c r="AH201" s="3">
        <v>42862</v>
      </c>
      <c r="AI201" t="s">
        <v>323</v>
      </c>
      <c r="AJ201" t="s">
        <v>22</v>
      </c>
      <c r="AK201" t="s">
        <v>22</v>
      </c>
      <c r="AL201">
        <v>11342</v>
      </c>
    </row>
    <row r="202" spans="1:38" x14ac:dyDescent="0.3">
      <c r="A202" s="3" t="str">
        <f>UPPER(TEXT(Tabela1[[#This Row],[Data]],"MMM"))</f>
        <v>OUT</v>
      </c>
      <c r="B202" t="s">
        <v>599</v>
      </c>
      <c r="C202" s="1" t="s">
        <v>600</v>
      </c>
      <c r="D202" s="1" t="s">
        <v>601</v>
      </c>
      <c r="E202" t="s">
        <v>18</v>
      </c>
      <c r="F202" s="2" t="s">
        <v>595</v>
      </c>
      <c r="G202" s="3">
        <v>2</v>
      </c>
      <c r="H202" s="3" t="s">
        <v>28</v>
      </c>
      <c r="I202" s="3">
        <v>7</v>
      </c>
      <c r="J202" s="3">
        <v>7</v>
      </c>
      <c r="K202" s="3">
        <v>5</v>
      </c>
      <c r="L202">
        <v>43</v>
      </c>
      <c r="M202">
        <v>25</v>
      </c>
      <c r="N202">
        <v>57</v>
      </c>
      <c r="O202">
        <v>75</v>
      </c>
      <c r="P202" s="3">
        <v>7</v>
      </c>
      <c r="Q202" s="3">
        <v>7</v>
      </c>
      <c r="R202" s="3">
        <v>7</v>
      </c>
      <c r="S202" s="3">
        <v>7</v>
      </c>
      <c r="T202" s="3">
        <v>7</v>
      </c>
      <c r="U202" s="3">
        <v>5</v>
      </c>
      <c r="V202" t="s">
        <v>20</v>
      </c>
      <c r="W202" s="3" t="s">
        <v>28</v>
      </c>
      <c r="X202" s="3" t="s">
        <v>28</v>
      </c>
      <c r="Y202">
        <v>31</v>
      </c>
      <c r="Z202">
        <v>15.5</v>
      </c>
      <c r="AA202">
        <v>44</v>
      </c>
      <c r="AB202">
        <v>7</v>
      </c>
      <c r="AC202">
        <v>22</v>
      </c>
      <c r="AD202">
        <v>65</v>
      </c>
      <c r="AE202">
        <v>5</v>
      </c>
      <c r="AF202">
        <v>25</v>
      </c>
      <c r="AG202" s="3">
        <v>10</v>
      </c>
      <c r="AH202" s="3">
        <v>992039</v>
      </c>
      <c r="AI202" t="s">
        <v>63</v>
      </c>
      <c r="AJ202" t="s">
        <v>22</v>
      </c>
      <c r="AK202" t="s">
        <v>22</v>
      </c>
      <c r="AL202">
        <v>4965</v>
      </c>
    </row>
    <row r="203" spans="1:38" x14ac:dyDescent="0.3">
      <c r="A203" s="3" t="str">
        <f>UPPER(TEXT(Tabela1[[#This Row],[Data]],"MMM"))</f>
        <v>OUT</v>
      </c>
      <c r="B203" t="s">
        <v>602</v>
      </c>
      <c r="C203" s="1" t="s">
        <v>603</v>
      </c>
      <c r="D203" s="1" t="s">
        <v>601</v>
      </c>
      <c r="E203" t="s">
        <v>18</v>
      </c>
      <c r="F203" s="2" t="s">
        <v>595</v>
      </c>
      <c r="G203" s="3">
        <v>2</v>
      </c>
      <c r="H203" s="3">
        <v>7</v>
      </c>
      <c r="I203" s="3">
        <v>7</v>
      </c>
      <c r="J203" s="3">
        <v>7</v>
      </c>
      <c r="K203" s="3">
        <v>5</v>
      </c>
      <c r="L203">
        <v>29</v>
      </c>
      <c r="M203">
        <v>21</v>
      </c>
      <c r="N203">
        <v>71</v>
      </c>
      <c r="O203">
        <v>79</v>
      </c>
      <c r="P203" s="3">
        <v>7</v>
      </c>
      <c r="Q203" s="3">
        <v>7</v>
      </c>
      <c r="R203" s="3">
        <v>7</v>
      </c>
      <c r="S203" s="3">
        <v>7</v>
      </c>
      <c r="T203" s="3">
        <v>7</v>
      </c>
      <c r="U203" s="3">
        <v>7</v>
      </c>
      <c r="V203" t="s">
        <v>169</v>
      </c>
      <c r="W203" s="3">
        <v>7</v>
      </c>
      <c r="X203" s="3">
        <v>7</v>
      </c>
      <c r="Y203">
        <v>40</v>
      </c>
      <c r="Z203">
        <v>20</v>
      </c>
      <c r="AA203">
        <v>41</v>
      </c>
      <c r="AB203">
        <v>6</v>
      </c>
      <c r="AC203">
        <v>20.5</v>
      </c>
      <c r="AD203">
        <v>70</v>
      </c>
      <c r="AE203">
        <v>5</v>
      </c>
      <c r="AF203">
        <v>25</v>
      </c>
      <c r="AG203" s="3">
        <v>10</v>
      </c>
      <c r="AH203" s="3">
        <v>15105</v>
      </c>
      <c r="AI203" t="s">
        <v>36</v>
      </c>
      <c r="AJ203" t="s">
        <v>22</v>
      </c>
      <c r="AK203" t="s">
        <v>22</v>
      </c>
      <c r="AL203">
        <v>35072</v>
      </c>
    </row>
    <row r="204" spans="1:38" x14ac:dyDescent="0.3">
      <c r="A204" s="3" t="str">
        <f>UPPER(TEXT(Tabela1[[#This Row],[Data]],"MMM"))</f>
        <v>OUT</v>
      </c>
      <c r="B204" t="s">
        <v>604</v>
      </c>
      <c r="C204" s="1" t="s">
        <v>605</v>
      </c>
      <c r="D204" s="1" t="s">
        <v>606</v>
      </c>
      <c r="E204" t="s">
        <v>18</v>
      </c>
      <c r="F204" s="2" t="s">
        <v>607</v>
      </c>
      <c r="G204" s="3">
        <v>2</v>
      </c>
      <c r="H204" s="3">
        <v>7</v>
      </c>
      <c r="I204" s="3">
        <v>7</v>
      </c>
      <c r="J204" s="3">
        <v>7</v>
      </c>
      <c r="K204" s="3">
        <v>5</v>
      </c>
      <c r="L204">
        <v>38</v>
      </c>
      <c r="M204">
        <v>12</v>
      </c>
      <c r="N204">
        <v>62</v>
      </c>
      <c r="O204">
        <v>88</v>
      </c>
      <c r="P204" s="3">
        <v>7</v>
      </c>
      <c r="Q204" s="3">
        <v>7</v>
      </c>
      <c r="R204" s="3">
        <v>7</v>
      </c>
      <c r="S204" s="3">
        <v>7</v>
      </c>
      <c r="T204" s="3">
        <v>7</v>
      </c>
      <c r="U204" s="3">
        <v>7</v>
      </c>
      <c r="V204" t="s">
        <v>169</v>
      </c>
      <c r="W204" s="3">
        <v>10</v>
      </c>
      <c r="X204" s="3">
        <v>7</v>
      </c>
      <c r="Y204">
        <v>37</v>
      </c>
      <c r="Z204">
        <v>18.5</v>
      </c>
      <c r="AA204">
        <v>47</v>
      </c>
      <c r="AB204">
        <v>6</v>
      </c>
      <c r="AC204">
        <v>23.5</v>
      </c>
      <c r="AD204">
        <v>70</v>
      </c>
      <c r="AE204">
        <v>4</v>
      </c>
      <c r="AF204">
        <v>20</v>
      </c>
      <c r="AG204" s="3">
        <v>7</v>
      </c>
      <c r="AH204" s="3">
        <v>40762</v>
      </c>
      <c r="AI204" t="s">
        <v>36</v>
      </c>
      <c r="AJ204" t="s">
        <v>22</v>
      </c>
      <c r="AK204" t="s">
        <v>22</v>
      </c>
      <c r="AL204">
        <v>13753</v>
      </c>
    </row>
    <row r="205" spans="1:38" x14ac:dyDescent="0.3">
      <c r="A205" s="3" t="str">
        <f>UPPER(TEXT(Tabela1[[#This Row],[Data]],"MMM"))</f>
        <v>OUT</v>
      </c>
      <c r="B205" t="s">
        <v>608</v>
      </c>
      <c r="C205" s="1" t="s">
        <v>609</v>
      </c>
      <c r="D205" s="1" t="s">
        <v>606</v>
      </c>
      <c r="E205" t="s">
        <v>18</v>
      </c>
      <c r="F205" s="2" t="s">
        <v>607</v>
      </c>
      <c r="G205" s="3">
        <v>2</v>
      </c>
      <c r="H205" s="3">
        <v>7</v>
      </c>
      <c r="I205" s="3">
        <v>7</v>
      </c>
      <c r="J205" s="3">
        <v>7</v>
      </c>
      <c r="K205" s="3">
        <v>7</v>
      </c>
      <c r="L205">
        <v>32</v>
      </c>
      <c r="M205">
        <v>16</v>
      </c>
      <c r="N205">
        <v>68</v>
      </c>
      <c r="O205">
        <v>84</v>
      </c>
      <c r="P205" s="3">
        <v>7</v>
      </c>
      <c r="Q205" s="3">
        <v>7</v>
      </c>
      <c r="R205" s="3">
        <v>7</v>
      </c>
      <c r="S205" s="3">
        <v>7</v>
      </c>
      <c r="T205" s="3">
        <v>7</v>
      </c>
      <c r="U205" s="3">
        <v>7</v>
      </c>
      <c r="V205" t="s">
        <v>169</v>
      </c>
      <c r="W205" s="3">
        <v>7</v>
      </c>
      <c r="X205" s="3">
        <v>7</v>
      </c>
      <c r="Y205">
        <v>48</v>
      </c>
      <c r="Z205">
        <v>24</v>
      </c>
      <c r="AA205">
        <v>44</v>
      </c>
      <c r="AB205">
        <v>8</v>
      </c>
      <c r="AC205">
        <v>22</v>
      </c>
      <c r="AD205">
        <v>60</v>
      </c>
      <c r="AE205">
        <v>5</v>
      </c>
      <c r="AF205">
        <v>25</v>
      </c>
      <c r="AG205" s="3">
        <v>10</v>
      </c>
      <c r="AH205" s="3">
        <v>995638</v>
      </c>
      <c r="AI205" t="s">
        <v>63</v>
      </c>
      <c r="AJ205" t="s">
        <v>22</v>
      </c>
      <c r="AK205" t="s">
        <v>22</v>
      </c>
      <c r="AL205">
        <v>15998</v>
      </c>
    </row>
    <row r="206" spans="1:38" x14ac:dyDescent="0.3">
      <c r="A206" s="3" t="str">
        <f>UPPER(TEXT(Tabela1[[#This Row],[Data]],"MMM"))</f>
        <v>OUT</v>
      </c>
      <c r="B206" t="s">
        <v>610</v>
      </c>
      <c r="C206" s="1" t="s">
        <v>611</v>
      </c>
      <c r="D206" s="1" t="s">
        <v>612</v>
      </c>
      <c r="E206" t="s">
        <v>18</v>
      </c>
      <c r="F206" s="2" t="s">
        <v>607</v>
      </c>
      <c r="G206" s="3">
        <v>2</v>
      </c>
      <c r="H206" s="3">
        <v>7</v>
      </c>
      <c r="I206" s="3">
        <v>7</v>
      </c>
      <c r="J206" s="3">
        <v>7</v>
      </c>
      <c r="K206" s="3">
        <v>5</v>
      </c>
      <c r="L206">
        <v>37</v>
      </c>
      <c r="M206">
        <v>24</v>
      </c>
      <c r="N206">
        <v>63</v>
      </c>
      <c r="O206">
        <v>76</v>
      </c>
      <c r="P206" s="3">
        <v>7</v>
      </c>
      <c r="Q206" s="3">
        <v>7</v>
      </c>
      <c r="R206" s="3">
        <v>7</v>
      </c>
      <c r="S206" s="3">
        <v>7</v>
      </c>
      <c r="T206" s="3">
        <v>7</v>
      </c>
      <c r="U206" s="3">
        <v>7</v>
      </c>
      <c r="V206" t="s">
        <v>169</v>
      </c>
      <c r="W206" s="3" t="s">
        <v>28</v>
      </c>
      <c r="X206" s="3" t="s">
        <v>28</v>
      </c>
      <c r="Y206">
        <v>33</v>
      </c>
      <c r="Z206">
        <v>16.5</v>
      </c>
      <c r="AA206">
        <v>55</v>
      </c>
      <c r="AB206">
        <v>8</v>
      </c>
      <c r="AC206">
        <v>27.500000000000004</v>
      </c>
      <c r="AD206">
        <v>60</v>
      </c>
      <c r="AE206">
        <v>7</v>
      </c>
      <c r="AF206">
        <v>35</v>
      </c>
      <c r="AG206" s="3">
        <v>7</v>
      </c>
      <c r="AH206" s="3">
        <v>42838</v>
      </c>
      <c r="AI206" t="s">
        <v>36</v>
      </c>
      <c r="AJ206" t="s">
        <v>22</v>
      </c>
      <c r="AK206" t="s">
        <v>22</v>
      </c>
      <c r="AL206">
        <v>29574</v>
      </c>
    </row>
    <row r="207" spans="1:38" x14ac:dyDescent="0.3">
      <c r="A207" s="3" t="str">
        <f>UPPER(TEXT(Tabela1[[#This Row],[Data]],"MMM"))</f>
        <v>OUT</v>
      </c>
      <c r="B207" t="s">
        <v>613</v>
      </c>
      <c r="C207" s="1" t="s">
        <v>614</v>
      </c>
      <c r="D207" s="1" t="s">
        <v>612</v>
      </c>
      <c r="E207" t="s">
        <v>18</v>
      </c>
      <c r="F207" s="2" t="s">
        <v>607</v>
      </c>
      <c r="G207" s="3">
        <v>2</v>
      </c>
      <c r="H207" s="3">
        <v>7</v>
      </c>
      <c r="I207" s="3">
        <v>7</v>
      </c>
      <c r="J207" s="3">
        <v>7</v>
      </c>
      <c r="K207" s="3">
        <v>5</v>
      </c>
      <c r="L207">
        <v>22</v>
      </c>
      <c r="M207">
        <v>17</v>
      </c>
      <c r="N207">
        <v>78</v>
      </c>
      <c r="O207">
        <v>83</v>
      </c>
      <c r="P207" s="3">
        <v>7</v>
      </c>
      <c r="Q207" s="3">
        <v>7</v>
      </c>
      <c r="R207" s="3">
        <v>7</v>
      </c>
      <c r="S207" s="3">
        <v>7</v>
      </c>
      <c r="T207" s="3">
        <v>7</v>
      </c>
      <c r="U207" s="3">
        <v>7</v>
      </c>
      <c r="V207" t="s">
        <v>169</v>
      </c>
      <c r="W207" s="3">
        <v>10</v>
      </c>
      <c r="X207" s="3">
        <v>7</v>
      </c>
      <c r="Y207">
        <v>57</v>
      </c>
      <c r="Z207">
        <v>28.499999999999996</v>
      </c>
      <c r="AA207">
        <v>38</v>
      </c>
      <c r="AB207">
        <v>7</v>
      </c>
      <c r="AC207">
        <v>19</v>
      </c>
      <c r="AD207">
        <v>65</v>
      </c>
      <c r="AE207">
        <v>2</v>
      </c>
      <c r="AF207">
        <v>10</v>
      </c>
      <c r="AG207" s="3">
        <v>10</v>
      </c>
      <c r="AH207" s="3">
        <v>15105</v>
      </c>
      <c r="AI207" t="s">
        <v>63</v>
      </c>
      <c r="AJ207" t="s">
        <v>22</v>
      </c>
      <c r="AK207" t="s">
        <v>22</v>
      </c>
      <c r="AL207">
        <v>33762</v>
      </c>
    </row>
    <row r="208" spans="1:38" x14ac:dyDescent="0.3">
      <c r="A208" s="3" t="str">
        <f>UPPER(TEXT(Tabela1[[#This Row],[Data]],"MMM"))</f>
        <v>OUT</v>
      </c>
      <c r="B208" s="33" t="s">
        <v>615</v>
      </c>
      <c r="C208" s="1" t="s">
        <v>616</v>
      </c>
      <c r="D208" s="1" t="s">
        <v>617</v>
      </c>
      <c r="E208" t="s">
        <v>18</v>
      </c>
      <c r="F208" s="2" t="s">
        <v>618</v>
      </c>
      <c r="G208" s="3">
        <v>2</v>
      </c>
      <c r="H208" s="3">
        <v>7</v>
      </c>
      <c r="I208" s="3">
        <v>7</v>
      </c>
      <c r="J208" s="3">
        <v>7</v>
      </c>
      <c r="K208" s="3">
        <v>7</v>
      </c>
      <c r="L208">
        <v>22</v>
      </c>
      <c r="M208">
        <v>19</v>
      </c>
      <c r="N208">
        <v>78</v>
      </c>
      <c r="O208">
        <v>81</v>
      </c>
      <c r="P208" s="3">
        <v>7</v>
      </c>
      <c r="Q208" s="3">
        <v>7</v>
      </c>
      <c r="R208" s="3">
        <v>7</v>
      </c>
      <c r="S208" s="3">
        <v>7</v>
      </c>
      <c r="T208" s="3">
        <v>7</v>
      </c>
      <c r="U208" s="3">
        <v>7</v>
      </c>
      <c r="V208" t="s">
        <v>169</v>
      </c>
      <c r="W208" s="3">
        <v>10</v>
      </c>
      <c r="X208" s="3" t="s">
        <v>28</v>
      </c>
      <c r="Y208">
        <v>49</v>
      </c>
      <c r="Z208">
        <v>24.5</v>
      </c>
      <c r="AA208">
        <v>57</v>
      </c>
      <c r="AB208">
        <v>7</v>
      </c>
      <c r="AC208">
        <v>28.499999999999996</v>
      </c>
      <c r="AD208">
        <v>65</v>
      </c>
      <c r="AE208">
        <v>6</v>
      </c>
      <c r="AF208">
        <v>30</v>
      </c>
      <c r="AG208" s="3">
        <v>7</v>
      </c>
      <c r="AH208" s="3">
        <v>40762</v>
      </c>
      <c r="AI208" t="s">
        <v>36</v>
      </c>
      <c r="AJ208" t="s">
        <v>22</v>
      </c>
      <c r="AK208" t="s">
        <v>22</v>
      </c>
      <c r="AL208">
        <v>16087</v>
      </c>
    </row>
    <row r="209" spans="1:38" x14ac:dyDescent="0.3">
      <c r="A209" s="3" t="str">
        <f>UPPER(TEXT(Tabela1[[#This Row],[Data]],"MMM"))</f>
        <v>OUT</v>
      </c>
      <c r="B209" t="s">
        <v>619</v>
      </c>
      <c r="C209" s="1" t="s">
        <v>620</v>
      </c>
      <c r="D209" s="1" t="s">
        <v>621</v>
      </c>
      <c r="E209" t="s">
        <v>18</v>
      </c>
      <c r="F209" s="2" t="s">
        <v>618</v>
      </c>
      <c r="G209" s="3">
        <v>2</v>
      </c>
      <c r="H209" s="3">
        <v>7</v>
      </c>
      <c r="I209" s="3">
        <v>7</v>
      </c>
      <c r="J209" s="3">
        <v>7</v>
      </c>
      <c r="K209" s="3">
        <v>5</v>
      </c>
      <c r="L209">
        <v>22</v>
      </c>
      <c r="M209">
        <v>15</v>
      </c>
      <c r="N209">
        <v>78</v>
      </c>
      <c r="O209">
        <v>85</v>
      </c>
      <c r="P209" s="3">
        <v>5</v>
      </c>
      <c r="Q209" s="3">
        <v>7</v>
      </c>
      <c r="R209" s="3">
        <v>7</v>
      </c>
      <c r="S209" s="3">
        <v>7</v>
      </c>
      <c r="T209" s="3">
        <v>7</v>
      </c>
      <c r="U209" s="3">
        <v>7</v>
      </c>
      <c r="V209" t="s">
        <v>169</v>
      </c>
      <c r="W209" s="3">
        <v>7</v>
      </c>
      <c r="X209" s="3">
        <v>7</v>
      </c>
      <c r="Y209">
        <v>49</v>
      </c>
      <c r="Z209">
        <v>24.5</v>
      </c>
      <c r="AA209">
        <v>61</v>
      </c>
      <c r="AB209">
        <v>7</v>
      </c>
      <c r="AC209">
        <v>30.5</v>
      </c>
      <c r="AD209">
        <v>65</v>
      </c>
      <c r="AE209">
        <v>4</v>
      </c>
      <c r="AF209">
        <v>20</v>
      </c>
      <c r="AG209" s="3">
        <v>10</v>
      </c>
      <c r="AH209" s="3">
        <v>995638</v>
      </c>
      <c r="AI209" t="s">
        <v>63</v>
      </c>
      <c r="AJ209" t="s">
        <v>22</v>
      </c>
      <c r="AK209" t="s">
        <v>22</v>
      </c>
      <c r="AL209">
        <v>22924</v>
      </c>
    </row>
    <row r="210" spans="1:38" x14ac:dyDescent="0.3">
      <c r="A210" s="3" t="str">
        <f>UPPER(TEXT(Tabela1[[#This Row],[Data]],"MMM"))</f>
        <v>OUT</v>
      </c>
      <c r="B210" t="s">
        <v>622</v>
      </c>
      <c r="C210" s="1" t="s">
        <v>623</v>
      </c>
      <c r="D210" s="1" t="s">
        <v>621</v>
      </c>
      <c r="E210" t="s">
        <v>18</v>
      </c>
      <c r="F210" s="2" t="s">
        <v>618</v>
      </c>
      <c r="G210" s="3">
        <v>2</v>
      </c>
      <c r="H210" s="3">
        <v>7</v>
      </c>
      <c r="I210" s="3">
        <v>7</v>
      </c>
      <c r="J210" s="3">
        <v>7</v>
      </c>
      <c r="K210" s="3">
        <v>5</v>
      </c>
      <c r="L210">
        <v>38</v>
      </c>
      <c r="M210">
        <v>23</v>
      </c>
      <c r="N210">
        <v>62</v>
      </c>
      <c r="O210">
        <v>77</v>
      </c>
      <c r="P210" s="3">
        <v>7</v>
      </c>
      <c r="Q210" s="3">
        <v>7</v>
      </c>
      <c r="R210" s="3">
        <v>7</v>
      </c>
      <c r="S210" s="3">
        <v>7</v>
      </c>
      <c r="T210" s="3">
        <v>7</v>
      </c>
      <c r="U210" s="3">
        <v>7</v>
      </c>
      <c r="V210" t="s">
        <v>169</v>
      </c>
      <c r="W210" s="3" t="s">
        <v>28</v>
      </c>
      <c r="X210" s="3" t="s">
        <v>28</v>
      </c>
      <c r="Y210">
        <v>66</v>
      </c>
      <c r="Z210">
        <v>33</v>
      </c>
      <c r="AA210">
        <v>64</v>
      </c>
      <c r="AB210">
        <v>5</v>
      </c>
      <c r="AC210">
        <v>32</v>
      </c>
      <c r="AD210">
        <v>75</v>
      </c>
      <c r="AE210">
        <v>5</v>
      </c>
      <c r="AF210">
        <v>25</v>
      </c>
      <c r="AG210" s="3">
        <v>7</v>
      </c>
      <c r="AH210" s="3">
        <v>42854</v>
      </c>
      <c r="AI210" t="s">
        <v>36</v>
      </c>
      <c r="AJ210" t="s">
        <v>22</v>
      </c>
      <c r="AK210" t="s">
        <v>22</v>
      </c>
      <c r="AL210">
        <v>32373</v>
      </c>
    </row>
    <row r="211" spans="1:38" x14ac:dyDescent="0.3">
      <c r="A211" s="3" t="str">
        <f>UPPER(TEXT(Tabela1[[#This Row],[Data]],"MMM"))</f>
        <v>OUT</v>
      </c>
      <c r="B211" t="s">
        <v>624</v>
      </c>
      <c r="C211" s="1" t="s">
        <v>625</v>
      </c>
      <c r="D211" s="1" t="s">
        <v>626</v>
      </c>
      <c r="E211" t="s">
        <v>18</v>
      </c>
      <c r="F211" s="2" t="s">
        <v>618</v>
      </c>
      <c r="G211" s="3">
        <v>2</v>
      </c>
      <c r="H211" s="3">
        <v>7</v>
      </c>
      <c r="I211" s="3">
        <v>7</v>
      </c>
      <c r="J211" s="3">
        <v>7</v>
      </c>
      <c r="K211" s="3">
        <v>7</v>
      </c>
      <c r="L211">
        <v>30</v>
      </c>
      <c r="M211">
        <v>22</v>
      </c>
      <c r="N211">
        <v>70</v>
      </c>
      <c r="O211">
        <v>78</v>
      </c>
      <c r="P211" s="3">
        <v>7</v>
      </c>
      <c r="Q211" s="3">
        <v>7</v>
      </c>
      <c r="R211" s="3">
        <v>7</v>
      </c>
      <c r="S211" s="3">
        <v>7</v>
      </c>
      <c r="T211" s="3">
        <v>7</v>
      </c>
      <c r="U211" s="3">
        <v>7</v>
      </c>
      <c r="V211" t="s">
        <v>169</v>
      </c>
      <c r="W211" s="3">
        <v>7</v>
      </c>
      <c r="X211" s="3">
        <v>7</v>
      </c>
      <c r="Y211">
        <v>49</v>
      </c>
      <c r="Z211">
        <v>24.5</v>
      </c>
      <c r="AA211">
        <v>61</v>
      </c>
      <c r="AB211">
        <v>5</v>
      </c>
      <c r="AC211">
        <v>30.5</v>
      </c>
      <c r="AD211">
        <v>75</v>
      </c>
      <c r="AE211">
        <v>4</v>
      </c>
      <c r="AF211">
        <v>20</v>
      </c>
      <c r="AG211" s="3">
        <v>10</v>
      </c>
      <c r="AH211" s="3">
        <v>15105</v>
      </c>
      <c r="AI211" t="s">
        <v>63</v>
      </c>
      <c r="AJ211" t="s">
        <v>22</v>
      </c>
      <c r="AK211" t="s">
        <v>22</v>
      </c>
      <c r="AL211">
        <v>36253</v>
      </c>
    </row>
    <row r="212" spans="1:38" x14ac:dyDescent="0.3">
      <c r="A212" s="3" t="str">
        <f>UPPER(TEXT(Tabela1[[#This Row],[Data]],"MMM"))</f>
        <v>OUT</v>
      </c>
      <c r="B212" t="s">
        <v>627</v>
      </c>
      <c r="C212" s="1" t="s">
        <v>628</v>
      </c>
      <c r="D212" s="1" t="s">
        <v>629</v>
      </c>
      <c r="E212" t="s">
        <v>18</v>
      </c>
      <c r="F212" s="2" t="s">
        <v>630</v>
      </c>
      <c r="G212" s="3">
        <v>2</v>
      </c>
      <c r="H212" s="3">
        <v>7</v>
      </c>
      <c r="I212" s="3">
        <v>10</v>
      </c>
      <c r="J212" s="3">
        <v>7</v>
      </c>
      <c r="K212" s="3">
        <v>5</v>
      </c>
      <c r="L212">
        <v>23</v>
      </c>
      <c r="M212">
        <v>29</v>
      </c>
      <c r="N212">
        <v>77</v>
      </c>
      <c r="O212">
        <v>71</v>
      </c>
      <c r="P212" s="3">
        <v>7</v>
      </c>
      <c r="Q212" s="3">
        <v>7</v>
      </c>
      <c r="R212" s="3">
        <v>7</v>
      </c>
      <c r="S212" s="3">
        <v>7</v>
      </c>
      <c r="T212" s="3">
        <v>7</v>
      </c>
      <c r="U212" s="3" t="s">
        <v>28</v>
      </c>
      <c r="V212" t="s">
        <v>169</v>
      </c>
      <c r="W212" s="3">
        <v>10</v>
      </c>
      <c r="X212" s="3">
        <v>7</v>
      </c>
      <c r="Y212">
        <v>62</v>
      </c>
      <c r="Z212">
        <v>31</v>
      </c>
      <c r="AA212">
        <v>49</v>
      </c>
      <c r="AB212">
        <v>5</v>
      </c>
      <c r="AC212">
        <v>24.5</v>
      </c>
      <c r="AD212">
        <v>75</v>
      </c>
      <c r="AE212">
        <v>3</v>
      </c>
      <c r="AF212">
        <v>15</v>
      </c>
      <c r="AG212" s="3">
        <v>7</v>
      </c>
      <c r="AH212" s="3">
        <v>40762</v>
      </c>
      <c r="AI212" t="s">
        <v>205</v>
      </c>
      <c r="AJ212" t="s">
        <v>22</v>
      </c>
      <c r="AK212" t="s">
        <v>22</v>
      </c>
      <c r="AL212">
        <v>13342</v>
      </c>
    </row>
    <row r="213" spans="1:38" x14ac:dyDescent="0.3">
      <c r="A213" s="3" t="str">
        <f>UPPER(TEXT(Tabela1[[#This Row],[Data]],"MMM"))</f>
        <v>OUT</v>
      </c>
      <c r="B213" t="s">
        <v>631</v>
      </c>
      <c r="C213" s="1" t="s">
        <v>632</v>
      </c>
      <c r="D213" s="1" t="s">
        <v>633</v>
      </c>
      <c r="E213" t="s">
        <v>18</v>
      </c>
      <c r="F213" s="2" t="s">
        <v>630</v>
      </c>
      <c r="G213" s="3">
        <v>2</v>
      </c>
      <c r="H213" s="3">
        <v>7</v>
      </c>
      <c r="I213" s="3">
        <v>7</v>
      </c>
      <c r="J213" s="3">
        <v>7</v>
      </c>
      <c r="K213" s="3">
        <v>7</v>
      </c>
      <c r="L213">
        <v>22</v>
      </c>
      <c r="M213">
        <v>23</v>
      </c>
      <c r="N213">
        <v>78</v>
      </c>
      <c r="O213">
        <v>77</v>
      </c>
      <c r="P213" s="3">
        <v>7</v>
      </c>
      <c r="Q213" s="3">
        <v>7</v>
      </c>
      <c r="R213" s="3">
        <v>7</v>
      </c>
      <c r="S213" s="3">
        <v>7</v>
      </c>
      <c r="T213" s="3">
        <v>7</v>
      </c>
      <c r="U213" s="3" t="s">
        <v>28</v>
      </c>
      <c r="V213" t="s">
        <v>169</v>
      </c>
      <c r="W213" s="3">
        <v>10</v>
      </c>
      <c r="X213" s="3">
        <v>10</v>
      </c>
      <c r="Y213">
        <v>42</v>
      </c>
      <c r="Z213">
        <v>21</v>
      </c>
      <c r="AA213">
        <v>47</v>
      </c>
      <c r="AB213">
        <v>8</v>
      </c>
      <c r="AC213">
        <v>23.5</v>
      </c>
      <c r="AD213">
        <v>60</v>
      </c>
      <c r="AE213">
        <v>4</v>
      </c>
      <c r="AF213">
        <v>20</v>
      </c>
      <c r="AG213" s="3">
        <v>7</v>
      </c>
      <c r="AH213" s="3">
        <v>42846</v>
      </c>
      <c r="AI213" t="s">
        <v>36</v>
      </c>
      <c r="AJ213" t="s">
        <v>22</v>
      </c>
      <c r="AK213" t="s">
        <v>22</v>
      </c>
      <c r="AL213">
        <v>16090</v>
      </c>
    </row>
    <row r="214" spans="1:38" x14ac:dyDescent="0.3">
      <c r="A214" s="3" t="str">
        <f>UPPER(TEXT(Tabela1[[#This Row],[Data]],"MMM"))</f>
        <v>OUT</v>
      </c>
      <c r="B214" t="s">
        <v>634</v>
      </c>
      <c r="C214" s="1" t="s">
        <v>635</v>
      </c>
      <c r="D214" s="1" t="s">
        <v>633</v>
      </c>
      <c r="E214" t="s">
        <v>18</v>
      </c>
      <c r="F214" s="2" t="s">
        <v>630</v>
      </c>
      <c r="G214" s="3">
        <v>2</v>
      </c>
      <c r="H214" s="3">
        <v>7</v>
      </c>
      <c r="I214" s="3">
        <v>7</v>
      </c>
      <c r="J214" s="3">
        <v>7</v>
      </c>
      <c r="K214" s="3">
        <v>5</v>
      </c>
      <c r="L214">
        <v>21</v>
      </c>
      <c r="M214">
        <v>25</v>
      </c>
      <c r="N214">
        <v>79</v>
      </c>
      <c r="O214">
        <v>75</v>
      </c>
      <c r="P214" s="3">
        <v>7</v>
      </c>
      <c r="Q214" s="3">
        <v>7</v>
      </c>
      <c r="R214" s="3">
        <v>7</v>
      </c>
      <c r="S214" s="3">
        <v>7</v>
      </c>
      <c r="T214" s="3">
        <v>7</v>
      </c>
      <c r="U214" s="3" t="s">
        <v>28</v>
      </c>
      <c r="V214" t="s">
        <v>20</v>
      </c>
      <c r="W214" s="3" t="s">
        <v>28</v>
      </c>
      <c r="X214" s="3" t="s">
        <v>28</v>
      </c>
      <c r="Y214">
        <v>44</v>
      </c>
      <c r="Z214">
        <v>22</v>
      </c>
      <c r="AA214">
        <v>43</v>
      </c>
      <c r="AB214">
        <v>5</v>
      </c>
      <c r="AC214">
        <v>21.5</v>
      </c>
      <c r="AD214">
        <v>75</v>
      </c>
      <c r="AE214">
        <v>5</v>
      </c>
      <c r="AF214">
        <v>25</v>
      </c>
      <c r="AG214" s="3">
        <v>10</v>
      </c>
      <c r="AH214" s="3">
        <v>995638</v>
      </c>
      <c r="AI214" t="s">
        <v>355</v>
      </c>
      <c r="AJ214" t="s">
        <v>22</v>
      </c>
      <c r="AK214" t="s">
        <v>22</v>
      </c>
      <c r="AL214">
        <v>27178</v>
      </c>
    </row>
    <row r="215" spans="1:38" x14ac:dyDescent="0.3">
      <c r="A215" s="3" t="str">
        <f>UPPER(TEXT(Tabela1[[#This Row],[Data]],"MMM"))</f>
        <v>OUT</v>
      </c>
      <c r="B215" t="s">
        <v>636</v>
      </c>
      <c r="C215" s="1" t="s">
        <v>637</v>
      </c>
      <c r="D215" s="1" t="s">
        <v>633</v>
      </c>
      <c r="E215" t="s">
        <v>18</v>
      </c>
      <c r="F215" s="2" t="s">
        <v>630</v>
      </c>
      <c r="G215" s="3">
        <v>2</v>
      </c>
      <c r="H215" s="3">
        <v>7</v>
      </c>
      <c r="I215" s="3">
        <v>7</v>
      </c>
      <c r="J215" s="3">
        <v>7</v>
      </c>
      <c r="K215" s="3">
        <v>5</v>
      </c>
      <c r="L215">
        <v>37</v>
      </c>
      <c r="M215">
        <v>23</v>
      </c>
      <c r="N215">
        <v>63</v>
      </c>
      <c r="O215">
        <v>77</v>
      </c>
      <c r="P215" s="3">
        <v>7</v>
      </c>
      <c r="Q215" s="3">
        <v>7</v>
      </c>
      <c r="R215" s="3">
        <v>7</v>
      </c>
      <c r="S215" s="3">
        <v>7</v>
      </c>
      <c r="T215" s="3">
        <v>7</v>
      </c>
      <c r="U215" s="3">
        <v>7</v>
      </c>
      <c r="V215" t="s">
        <v>169</v>
      </c>
      <c r="W215" s="3">
        <v>10</v>
      </c>
      <c r="X215" s="3">
        <v>7</v>
      </c>
      <c r="Y215">
        <v>56</v>
      </c>
      <c r="Z215">
        <v>28.000000000000004</v>
      </c>
      <c r="AA215">
        <v>50</v>
      </c>
      <c r="AB215">
        <v>4</v>
      </c>
      <c r="AC215">
        <v>25</v>
      </c>
      <c r="AD215">
        <v>80</v>
      </c>
      <c r="AE215">
        <v>5</v>
      </c>
      <c r="AF215">
        <v>25</v>
      </c>
      <c r="AG215" s="3">
        <v>10</v>
      </c>
      <c r="AH215" s="3">
        <v>15105</v>
      </c>
      <c r="AI215" t="s">
        <v>63</v>
      </c>
      <c r="AJ215" t="s">
        <v>28</v>
      </c>
      <c r="AK215" t="s">
        <v>28</v>
      </c>
      <c r="AL215">
        <v>34480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IC Cortes</vt:lpstr>
      <vt:lpstr>Coleta</vt:lpstr>
      <vt:lpstr>'IC Cortes'!Area_de_impressao</vt:lpstr>
      <vt:lpstr>'IC Cortes'!Titulos_de_impressao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2026-08-17T17:21:59Z</dcterms:created>
  <dcterms:modified xsi:type="dcterms:W3CDTF">2026-10-13T16:31:36Z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