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216" i="1" l="1"/>
  <c r="A217" i="1"/>
  <c r="A208" i="1" l="1"/>
  <c r="A209" i="1"/>
  <c r="A210" i="1"/>
  <c r="A211" i="1"/>
  <c r="A212" i="1"/>
  <c r="A213" i="1"/>
  <c r="A214" i="1"/>
  <c r="A215" i="1"/>
  <c r="A200" i="1" l="1"/>
  <c r="A201" i="1"/>
  <c r="A202" i="1"/>
  <c r="A203" i="1"/>
  <c r="A204" i="1"/>
  <c r="A205" i="1"/>
  <c r="A206" i="1"/>
  <c r="A207" i="1"/>
  <c r="A193" i="1" l="1"/>
  <c r="A194" i="1"/>
  <c r="A195" i="1"/>
  <c r="A196" i="1"/>
  <c r="A197" i="1"/>
  <c r="A198" i="1"/>
  <c r="A199" i="1"/>
  <c r="A189" i="1" l="1"/>
  <c r="A190" i="1"/>
  <c r="A191" i="1"/>
  <c r="A192" i="1"/>
  <c r="AC47" i="2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AN34" i="2"/>
  <c r="I15" i="2"/>
  <c r="AR56" i="2"/>
  <c r="N25" i="2"/>
  <c r="AG36" i="2"/>
  <c r="Z30" i="2"/>
  <c r="AI55" i="2"/>
  <c r="M10" i="2"/>
  <c r="O35" i="2"/>
  <c r="U18" i="2"/>
  <c r="AO46" i="2"/>
  <c r="V31" i="2"/>
  <c r="W51" i="2"/>
  <c r="K7" i="2"/>
  <c r="G6" i="2"/>
  <c r="G17" i="2"/>
  <c r="R52" i="2"/>
  <c r="AA32" i="2"/>
  <c r="AM52" i="2"/>
  <c r="AA24" i="2"/>
  <c r="M43" i="2"/>
  <c r="AR60" i="2"/>
  <c r="M51" i="2"/>
  <c r="AM25" i="2"/>
  <c r="AR26" i="2"/>
  <c r="AK24" i="2"/>
  <c r="Q18" i="2"/>
  <c r="K40" i="2"/>
  <c r="M52" i="2"/>
  <c r="V9" i="2"/>
  <c r="K21" i="2"/>
  <c r="AQ30" i="2"/>
  <c r="N44" i="2"/>
  <c r="V10" i="2"/>
  <c r="J38" i="2"/>
  <c r="K19" i="2"/>
  <c r="H35" i="2"/>
  <c r="X57" i="2"/>
  <c r="AG43" i="2"/>
  <c r="L54" i="2"/>
  <c r="AG25" i="2"/>
  <c r="AB39" i="2"/>
  <c r="AP28" i="2"/>
  <c r="AR47" i="2"/>
  <c r="X21" i="2"/>
  <c r="J26" i="2"/>
  <c r="AJ41" i="2"/>
  <c r="AR39" i="2"/>
  <c r="AO29" i="2"/>
  <c r="AI29" i="2"/>
  <c r="AP40" i="2"/>
  <c r="AD41" i="2"/>
  <c r="AA14" i="2"/>
  <c r="O48" i="2"/>
  <c r="AG17" i="2"/>
  <c r="Y11" i="2"/>
  <c r="Q32" i="2"/>
  <c r="AB56" i="2"/>
  <c r="L60" i="2"/>
  <c r="AB4" i="2"/>
  <c r="P26" i="2"/>
  <c r="AO60" i="2"/>
  <c r="AD51" i="2"/>
  <c r="W31" i="2"/>
  <c r="R12" i="2"/>
  <c r="AM20" i="2"/>
  <c r="AO34" i="2"/>
  <c r="I8" i="2"/>
  <c r="AE38" i="2"/>
  <c r="P43" i="2"/>
  <c r="P18" i="2"/>
  <c r="AK49" i="2"/>
  <c r="K49" i="2"/>
  <c r="J57" i="2"/>
  <c r="X10" i="2"/>
  <c r="AG20" i="2"/>
  <c r="I57" i="2"/>
  <c r="AK44" i="2"/>
  <c r="X56" i="2"/>
  <c r="AR27" i="2"/>
  <c r="AE58" i="2"/>
  <c r="AM24" i="2"/>
  <c r="W46" i="2"/>
  <c r="G7" i="2"/>
  <c r="AE32" i="2"/>
  <c r="L6" i="2"/>
  <c r="H22" i="2"/>
  <c r="U53" i="2"/>
  <c r="AQ31" i="2"/>
  <c r="G29" i="2"/>
  <c r="K23" i="2"/>
  <c r="I33" i="2"/>
  <c r="M19" i="2"/>
  <c r="AM53" i="2"/>
  <c r="U10" i="2"/>
  <c r="AR13" i="2"/>
  <c r="AQ44" i="2"/>
  <c r="AJ53" i="2"/>
  <c r="AD45" i="2"/>
  <c r="AQ28" i="2"/>
  <c r="K12" i="2"/>
  <c r="AK12" i="2"/>
  <c r="L30" i="2"/>
  <c r="I42" i="2"/>
  <c r="AD48" i="2"/>
  <c r="H57" i="2"/>
  <c r="AB35" i="2"/>
  <c r="AN38" i="2"/>
  <c r="Y52" i="2"/>
  <c r="AL46" i="2"/>
  <c r="AI43" i="2"/>
  <c r="R53" i="2"/>
  <c r="AM35" i="2"/>
  <c r="P39" i="2"/>
  <c r="I27" i="2"/>
  <c r="AE17" i="2"/>
  <c r="K58" i="2"/>
  <c r="R35" i="2"/>
  <c r="AF28" i="2"/>
  <c r="V53" i="2"/>
  <c r="AA26" i="2"/>
  <c r="J42" i="2"/>
  <c r="Q24" i="2"/>
  <c r="H20" i="2"/>
  <c r="Y47" i="2"/>
  <c r="N46" i="2"/>
  <c r="I10" i="2"/>
  <c r="L26" i="2"/>
  <c r="I12" i="2"/>
  <c r="AB59" i="2"/>
  <c r="Q57" i="2"/>
  <c r="AL13" i="2"/>
  <c r="AQ49" i="2"/>
  <c r="AH17" i="2"/>
  <c r="AP27" i="2"/>
  <c r="AG19" i="2"/>
  <c r="J56" i="2"/>
  <c r="AH40" i="2"/>
  <c r="AN46" i="2"/>
  <c r="X8" i="2"/>
  <c r="AF49" i="2"/>
  <c r="AJ32" i="2"/>
  <c r="N24" i="2"/>
  <c r="AO28" i="2"/>
  <c r="AG46" i="2"/>
  <c r="H32" i="2"/>
  <c r="Y50" i="2"/>
  <c r="Q43" i="2"/>
  <c r="Y39" i="2"/>
  <c r="AQ26" i="2"/>
  <c r="AM46" i="2"/>
  <c r="AJ37" i="2"/>
  <c r="AN58" i="2"/>
  <c r="G45" i="2"/>
  <c r="AH14" i="2"/>
  <c r="AR40" i="2"/>
  <c r="AD22" i="2"/>
  <c r="N55" i="2"/>
  <c r="L21" i="2"/>
  <c r="AC42" i="2"/>
  <c r="AD5" i="2"/>
  <c r="AL37" i="2"/>
  <c r="N28" i="2"/>
  <c r="H19" i="2"/>
  <c r="AQ7" i="2"/>
  <c r="AM60" i="2"/>
  <c r="AC37" i="2"/>
  <c r="M54" i="2"/>
  <c r="M29" i="2"/>
  <c r="AK59" i="2"/>
  <c r="X17" i="2"/>
  <c r="P37" i="2"/>
  <c r="AM37" i="2"/>
  <c r="AL7" i="2"/>
  <c r="AI21" i="2"/>
  <c r="J5" i="2"/>
  <c r="N59" i="2"/>
  <c r="AD34" i="2"/>
  <c r="V52" i="2"/>
  <c r="AN5" i="2"/>
  <c r="W60" i="2"/>
  <c r="Q16" i="2"/>
  <c r="V27" i="2"/>
  <c r="AK4" i="2"/>
  <c r="P44" i="2"/>
  <c r="J58" i="2"/>
  <c r="K15" i="2"/>
  <c r="AL36" i="2"/>
  <c r="AD23" i="2"/>
  <c r="AJ42" i="2"/>
  <c r="AI60" i="2"/>
  <c r="H18" i="2"/>
  <c r="AM10" i="2"/>
  <c r="W50" i="2"/>
  <c r="H11" i="2"/>
  <c r="V23" i="2"/>
  <c r="Z15" i="2"/>
  <c r="K31" i="2"/>
  <c r="AQ4" i="2"/>
  <c r="AH23" i="2"/>
  <c r="P56" i="2"/>
  <c r="AP59" i="2"/>
  <c r="U58" i="2"/>
  <c r="N23" i="2"/>
  <c r="AN19" i="2"/>
  <c r="AL26" i="2"/>
  <c r="O45" i="2"/>
  <c r="AL25" i="2"/>
  <c r="AE60" i="2"/>
  <c r="I39" i="2"/>
  <c r="Y48" i="2"/>
  <c r="V16" i="2"/>
  <c r="AR32" i="2"/>
  <c r="H46" i="2"/>
  <c r="R50" i="2"/>
  <c r="G38" i="2"/>
  <c r="L34" i="2"/>
  <c r="AP60" i="2"/>
  <c r="Y58" i="2"/>
  <c r="AH4" i="2"/>
  <c r="AB33" i="2"/>
  <c r="AB30" i="2"/>
  <c r="AD6" i="2"/>
  <c r="AB10" i="2"/>
  <c r="Y43" i="2"/>
  <c r="AM41" i="2"/>
  <c r="AG57" i="2"/>
  <c r="AM59" i="2"/>
  <c r="G41" i="2"/>
  <c r="AQ13" i="2"/>
  <c r="Y31" i="2"/>
  <c r="AP12" i="2"/>
  <c r="AG6" i="2"/>
  <c r="AK21" i="2"/>
  <c r="H10" i="2"/>
  <c r="K25" i="2"/>
  <c r="I49" i="2"/>
  <c r="AC21" i="2"/>
  <c r="M27" i="2"/>
  <c r="AR37" i="2"/>
  <c r="AQ15" i="2"/>
  <c r="AQ11" i="2"/>
  <c r="N50" i="2"/>
  <c r="AH13" i="2"/>
  <c r="AC54" i="2"/>
  <c r="AH50" i="2"/>
  <c r="AB52" i="2"/>
  <c r="X13" i="2"/>
  <c r="AA43" i="2"/>
  <c r="AI38" i="2"/>
  <c r="AK58" i="2"/>
  <c r="AD20" i="2"/>
  <c r="AJ28" i="2"/>
  <c r="AA28" i="2"/>
  <c r="AF59" i="2"/>
  <c r="AJ58" i="2"/>
  <c r="AH11" i="2"/>
  <c r="AR44" i="2"/>
  <c r="O36" i="2"/>
  <c r="N34" i="2"/>
  <c r="I22" i="2"/>
  <c r="AB32" i="2"/>
  <c r="AQ5" i="2"/>
  <c r="AH32" i="2"/>
  <c r="Y13" i="2"/>
  <c r="AH46" i="2"/>
  <c r="AC14" i="2"/>
  <c r="V6" i="2"/>
  <c r="Y10" i="2"/>
  <c r="AD54" i="2"/>
  <c r="AP41" i="2"/>
  <c r="AO27" i="2"/>
  <c r="AH24" i="2"/>
  <c r="AJ38" i="2"/>
  <c r="L42" i="2"/>
  <c r="Z36" i="2"/>
  <c r="AP20" i="2"/>
  <c r="AN18" i="2"/>
  <c r="AG59" i="2"/>
  <c r="Q9" i="2"/>
  <c r="J19" i="2"/>
  <c r="AE12" i="2"/>
  <c r="M31" i="2"/>
  <c r="AA21" i="2"/>
  <c r="AB49" i="2"/>
  <c r="AQ22" i="2"/>
  <c r="AG14" i="2"/>
  <c r="AF37" i="2"/>
  <c r="K50" i="2"/>
  <c r="O12" i="2"/>
  <c r="AF39" i="2"/>
  <c r="AH60" i="2"/>
  <c r="AD37" i="2"/>
  <c r="Q40" i="2"/>
  <c r="AP55" i="2"/>
  <c r="O42" i="2"/>
  <c r="AH16" i="2"/>
  <c r="AO54" i="2"/>
  <c r="AR22" i="2"/>
  <c r="AR14" i="2"/>
  <c r="J48" i="2"/>
  <c r="AN59" i="2"/>
  <c r="H37" i="2"/>
  <c r="AI26" i="2"/>
  <c r="G54" i="2"/>
  <c r="X32" i="2"/>
  <c r="AR48" i="2"/>
  <c r="AN30" i="2"/>
  <c r="V55" i="2"/>
  <c r="AL30" i="2"/>
  <c r="L58" i="2"/>
  <c r="AH42" i="2"/>
  <c r="X18" i="2"/>
  <c r="P19" i="2"/>
  <c r="H23" i="2"/>
  <c r="U43" i="2"/>
  <c r="H27" i="2"/>
  <c r="AA38" i="2"/>
  <c r="P31" i="2"/>
  <c r="M30" i="2"/>
  <c r="J12" i="2"/>
  <c r="AE41" i="2"/>
  <c r="AL40" i="2"/>
  <c r="G49" i="2"/>
  <c r="P20" i="2"/>
  <c r="AE9" i="2"/>
  <c r="AH22" i="2"/>
  <c r="AN13" i="2"/>
  <c r="R38" i="2"/>
  <c r="AA23" i="2"/>
  <c r="AL9" i="2"/>
  <c r="AH31" i="2"/>
  <c r="J36" i="2"/>
  <c r="AD26" i="2"/>
  <c r="P17" i="2"/>
  <c r="O20" i="2"/>
  <c r="L59" i="2"/>
  <c r="AA7" i="2"/>
  <c r="K47" i="2"/>
  <c r="AF31" i="2"/>
  <c r="Z8" i="2"/>
  <c r="U23" i="2"/>
  <c r="Q29" i="2"/>
  <c r="G53" i="2"/>
  <c r="AR35" i="2"/>
  <c r="Q8" i="2"/>
  <c r="N11" i="2"/>
  <c r="AL54" i="2"/>
  <c r="G24" i="2"/>
  <c r="P53" i="2"/>
  <c r="AC56" i="2"/>
  <c r="AE18" i="2"/>
  <c r="AB54" i="2"/>
  <c r="M45" i="2"/>
  <c r="L41" i="2"/>
  <c r="AK38" i="2"/>
  <c r="Q45" i="2"/>
  <c r="K55" i="2"/>
  <c r="K10" i="2"/>
  <c r="I5" i="2"/>
  <c r="J22" i="2"/>
  <c r="AJ31" i="2"/>
  <c r="AP10" i="2"/>
  <c r="W54" i="2"/>
  <c r="U32" i="2"/>
  <c r="AI54" i="2"/>
  <c r="AD60" i="2"/>
  <c r="AA51" i="2"/>
  <c r="AB21" i="2"/>
  <c r="L43" i="2"/>
  <c r="AE59" i="2"/>
  <c r="AA39" i="2"/>
  <c r="AH21" i="2"/>
  <c r="K18" i="2"/>
  <c r="Y26" i="2"/>
  <c r="AI23" i="2"/>
  <c r="K30" i="2"/>
  <c r="Z58" i="2"/>
  <c r="H59" i="2"/>
  <c r="AR50" i="2"/>
  <c r="L50" i="2"/>
  <c r="AP14" i="2"/>
  <c r="J34" i="2"/>
  <c r="AO4" i="2"/>
  <c r="AH43" i="2"/>
  <c r="AC18" i="2"/>
  <c r="AA41" i="2"/>
  <c r="AK39" i="2"/>
  <c r="P10" i="2"/>
  <c r="AL16" i="2"/>
  <c r="Z14" i="2"/>
  <c r="AI19" i="2"/>
  <c r="AR15" i="2"/>
  <c r="AL8" i="2"/>
  <c r="R56" i="2"/>
  <c r="AH38" i="2"/>
  <c r="AP7" i="2"/>
  <c r="AP48" i="2"/>
  <c r="R36" i="2"/>
  <c r="Y27" i="2"/>
  <c r="AJ60" i="2"/>
  <c r="AP51" i="2"/>
  <c r="P12" i="2"/>
  <c r="AO52" i="2"/>
  <c r="H7" i="2"/>
  <c r="N42" i="2"/>
  <c r="G13" i="2"/>
  <c r="AO47" i="2"/>
  <c r="O14" i="2"/>
  <c r="N9" i="2"/>
  <c r="H24" i="2"/>
  <c r="AH10" i="2"/>
  <c r="AD44" i="2"/>
  <c r="AC57" i="2"/>
  <c r="AA20" i="2"/>
  <c r="G8" i="2"/>
  <c r="O39" i="2"/>
  <c r="Q38" i="2"/>
  <c r="H50" i="2"/>
  <c r="AF55" i="2"/>
  <c r="AF7" i="2"/>
  <c r="AL39" i="2"/>
  <c r="AD39" i="2"/>
  <c r="AE28" i="2"/>
  <c r="O7" i="2"/>
  <c r="V7" i="2"/>
  <c r="AP46" i="2"/>
  <c r="AR25" i="2"/>
  <c r="Y32" i="2"/>
  <c r="AL47" i="2"/>
  <c r="AP45" i="2"/>
  <c r="AC58" i="2"/>
  <c r="AL60" i="2"/>
  <c r="AN33" i="2"/>
  <c r="L52" i="2"/>
  <c r="I17" i="2"/>
  <c r="L27" i="2"/>
  <c r="R42" i="2"/>
  <c r="AP32" i="2"/>
  <c r="AA10" i="2"/>
  <c r="W20" i="2"/>
  <c r="Z16" i="2"/>
  <c r="AO40" i="2"/>
  <c r="AQ58" i="2"/>
  <c r="P52" i="2"/>
  <c r="AC20" i="2"/>
  <c r="V18" i="2"/>
  <c r="P32" i="2"/>
  <c r="AP17" i="2"/>
  <c r="U22" i="2"/>
  <c r="AF60" i="2"/>
  <c r="AO57" i="2"/>
  <c r="AE14" i="2"/>
  <c r="U45" i="2"/>
  <c r="K38" i="2"/>
  <c r="AH56" i="2"/>
  <c r="AI33" i="2"/>
  <c r="M38" i="2"/>
  <c r="V14" i="2"/>
  <c r="G34" i="2"/>
  <c r="W7" i="2"/>
  <c r="N7" i="2"/>
  <c r="H8" i="2"/>
  <c r="Q33" i="2"/>
  <c r="L38" i="2"/>
  <c r="AF43" i="2"/>
  <c r="AF17" i="2"/>
  <c r="J8" i="2"/>
  <c r="AE15" i="2"/>
  <c r="AJ4" i="2"/>
  <c r="AR34" i="2"/>
  <c r="J33" i="2"/>
  <c r="AM11" i="2"/>
  <c r="AF25" i="2"/>
  <c r="H47" i="2"/>
  <c r="AC35" i="2"/>
  <c r="AE31" i="2"/>
  <c r="AI22" i="2"/>
  <c r="AA54" i="2"/>
  <c r="AB24" i="2"/>
  <c r="K13" i="2"/>
  <c r="AI36" i="2"/>
  <c r="K17" i="2"/>
  <c r="AP6" i="2"/>
  <c r="AR49" i="2"/>
  <c r="J11" i="2"/>
  <c r="V56" i="2"/>
  <c r="V49" i="2"/>
  <c r="AC53" i="2"/>
  <c r="L29" i="2"/>
  <c r="X59" i="2"/>
  <c r="J46" i="2"/>
  <c r="AJ39" i="2"/>
  <c r="Y30" i="2"/>
  <c r="AN45" i="2"/>
  <c r="AF45" i="2"/>
  <c r="AA56" i="2"/>
  <c r="AK41" i="2"/>
  <c r="AC27" i="2"/>
  <c r="O53" i="2"/>
  <c r="Z40" i="2"/>
  <c r="AG30" i="2"/>
  <c r="J29" i="2"/>
  <c r="AN6" i="2"/>
  <c r="AM38" i="2"/>
  <c r="W37" i="2"/>
  <c r="Y53" i="2"/>
  <c r="AC12" i="2"/>
  <c r="AE4" i="2"/>
  <c r="P59" i="2"/>
  <c r="AQ48" i="2"/>
  <c r="L55" i="2"/>
  <c r="AN7" i="2"/>
  <c r="P42" i="2"/>
  <c r="Y4" i="2"/>
  <c r="AH58" i="2"/>
  <c r="Z54" i="2"/>
  <c r="AO35" i="2"/>
  <c r="AJ29" i="2"/>
  <c r="P23" i="2"/>
  <c r="AC60" i="2"/>
  <c r="AM9" i="2"/>
  <c r="AD33" i="2"/>
  <c r="Z11" i="2"/>
  <c r="Q7" i="2"/>
  <c r="J25" i="2"/>
  <c r="L33" i="2"/>
  <c r="AF41" i="2"/>
  <c r="O58" i="2"/>
  <c r="R25" i="2"/>
  <c r="U26" i="2"/>
  <c r="N27" i="2"/>
  <c r="O10" i="2"/>
  <c r="W35" i="2"/>
  <c r="Q10" i="2"/>
  <c r="AF21" i="2"/>
  <c r="R44" i="2"/>
  <c r="M48" i="2"/>
  <c r="J30" i="2"/>
  <c r="Q36" i="2"/>
  <c r="AN20" i="2"/>
  <c r="AA8" i="2"/>
  <c r="Z48" i="2"/>
  <c r="AB5" i="2"/>
  <c r="AH57" i="2"/>
  <c r="AD4" i="2"/>
  <c r="AE48" i="2"/>
  <c r="AB15" i="2"/>
  <c r="AQ19" i="2"/>
  <c r="AQ33" i="2"/>
  <c r="AG11" i="2"/>
  <c r="AG52" i="2"/>
  <c r="V29" i="2"/>
  <c r="V50" i="2"/>
  <c r="U30" i="2"/>
  <c r="AQ20" i="2"/>
  <c r="O6" i="2"/>
  <c r="O38" i="2"/>
  <c r="AM58" i="2"/>
  <c r="AQ27" i="2"/>
  <c r="AG31" i="2"/>
  <c r="AC4" i="2"/>
  <c r="Z55" i="2"/>
  <c r="AA48" i="2"/>
  <c r="P7" i="2"/>
  <c r="AD38" i="2"/>
  <c r="AE24" i="2"/>
  <c r="AH52" i="2"/>
  <c r="AE37" i="2"/>
  <c r="U11" i="2"/>
  <c r="AL19" i="2"/>
  <c r="P13" i="2"/>
  <c r="AM32" i="2"/>
  <c r="H13" i="2"/>
  <c r="AK33" i="2"/>
  <c r="I44" i="2"/>
  <c r="U13" i="2"/>
  <c r="N14" i="2"/>
  <c r="AF22" i="2"/>
  <c r="V51" i="2"/>
  <c r="K37" i="2"/>
  <c r="J18" i="2"/>
  <c r="Q12" i="2"/>
  <c r="AI58" i="2"/>
  <c r="I59" i="2"/>
  <c r="Z41" i="2"/>
  <c r="H43" i="2"/>
  <c r="G60" i="2"/>
  <c r="AQ41" i="2"/>
  <c r="W22" i="2"/>
  <c r="P8" i="2"/>
  <c r="AO20" i="2"/>
  <c r="AL5" i="2"/>
  <c r="AK9" i="2"/>
  <c r="AD47" i="2"/>
  <c r="AL50" i="2"/>
  <c r="G58" i="2"/>
  <c r="I45" i="2"/>
  <c r="AC45" i="2"/>
  <c r="Z22" i="2"/>
  <c r="R26" i="2"/>
  <c r="J7" i="2"/>
  <c r="AG47" i="2"/>
  <c r="Z45" i="2"/>
  <c r="AQ14" i="2"/>
  <c r="AB53" i="2"/>
  <c r="AI32" i="2"/>
  <c r="R40" i="2"/>
  <c r="Q17" i="2"/>
  <c r="O50" i="2"/>
  <c r="N29" i="2"/>
  <c r="I50" i="2"/>
  <c r="H5" i="2"/>
  <c r="V60" i="2"/>
  <c r="J37" i="2"/>
  <c r="AD31" i="2"/>
  <c r="AR31" i="2"/>
  <c r="Q34" i="2"/>
  <c r="J21" i="2"/>
  <c r="AO53" i="2"/>
  <c r="N54" i="2"/>
  <c r="U21" i="2"/>
  <c r="J55" i="2"/>
  <c r="R47" i="2"/>
  <c r="Q48" i="2"/>
  <c r="AP49" i="2"/>
  <c r="N56" i="2"/>
  <c r="AE57" i="2"/>
  <c r="I43" i="2"/>
  <c r="V28" i="2"/>
  <c r="AF19" i="2"/>
  <c r="Z56" i="2"/>
  <c r="R11" i="2"/>
  <c r="AD24" i="2"/>
  <c r="P4" i="2"/>
  <c r="AD50" i="2"/>
  <c r="Z5" i="2"/>
  <c r="R17" i="2"/>
  <c r="AL41" i="2"/>
  <c r="G43" i="2"/>
  <c r="AG29" i="2"/>
  <c r="R5" i="2"/>
  <c r="U40" i="2"/>
  <c r="AR11" i="2"/>
  <c r="W55" i="2"/>
  <c r="G27" i="2"/>
  <c r="V19" i="2"/>
  <c r="AJ45" i="2"/>
  <c r="Q15" i="2"/>
  <c r="Y59" i="2"/>
  <c r="AL10" i="2"/>
  <c r="K11" i="2"/>
  <c r="AC48" i="2"/>
  <c r="G9" i="2"/>
  <c r="AB28" i="2"/>
  <c r="W49" i="2"/>
  <c r="R46" i="2"/>
  <c r="AA30" i="2"/>
  <c r="V47" i="2"/>
  <c r="AF15" i="2"/>
  <c r="V22" i="2"/>
  <c r="M25" i="2"/>
  <c r="AK60" i="2"/>
  <c r="I19" i="2"/>
  <c r="AP26" i="2"/>
  <c r="AG26" i="2"/>
  <c r="R59" i="2"/>
  <c r="AN21" i="2"/>
  <c r="X34" i="2"/>
  <c r="Q42" i="2"/>
  <c r="AA42" i="2"/>
  <c r="K59" i="2"/>
  <c r="H17" i="2"/>
  <c r="AE22" i="2"/>
  <c r="AO41" i="2"/>
  <c r="P21" i="2"/>
  <c r="W56" i="2"/>
  <c r="AJ51" i="2"/>
  <c r="Y38" i="2"/>
  <c r="I38" i="2"/>
  <c r="AL31" i="2"/>
  <c r="P11" i="2"/>
  <c r="Q35" i="2"/>
  <c r="AJ8" i="2"/>
  <c r="Z6" i="2"/>
  <c r="V32" i="2"/>
  <c r="AH44" i="2"/>
  <c r="AN42" i="2"/>
  <c r="AF29" i="2"/>
  <c r="V26" i="2"/>
  <c r="AK40" i="2"/>
  <c r="AD42" i="2"/>
  <c r="W25" i="2"/>
  <c r="P60" i="2"/>
  <c r="AD29" i="2"/>
  <c r="Z35" i="2"/>
  <c r="V12" i="2"/>
  <c r="AH27" i="2"/>
  <c r="AP38" i="2"/>
  <c r="N21" i="2"/>
  <c r="AE7" i="2"/>
  <c r="AG8" i="2"/>
  <c r="U52" i="2"/>
  <c r="Q6" i="2"/>
  <c r="AJ44" i="2"/>
  <c r="K8" i="2"/>
  <c r="W4" i="2"/>
  <c r="L8" i="2"/>
  <c r="M7" i="2"/>
  <c r="W6" i="2"/>
  <c r="N33" i="2"/>
  <c r="AB37" i="2"/>
  <c r="AC17" i="2"/>
  <c r="AJ14" i="2"/>
  <c r="AL29" i="2"/>
  <c r="AC7" i="2"/>
  <c r="AQ21" i="2"/>
  <c r="AA49" i="2"/>
  <c r="AI34" i="2"/>
  <c r="P41" i="2"/>
  <c r="AL28" i="2"/>
  <c r="R54" i="2"/>
  <c r="AR23" i="2"/>
  <c r="U36" i="2"/>
  <c r="AD16" i="2"/>
  <c r="AQ57" i="2"/>
  <c r="AN41" i="2"/>
  <c r="AP42" i="2"/>
  <c r="L19" i="2"/>
  <c r="Y54" i="2"/>
  <c r="V34" i="2"/>
  <c r="V21" i="2"/>
  <c r="AO59" i="2"/>
  <c r="R22" i="2"/>
  <c r="AL32" i="2"/>
  <c r="V33" i="2"/>
  <c r="AF53" i="2"/>
  <c r="V57" i="2"/>
  <c r="AE30" i="2"/>
  <c r="AN23" i="2"/>
  <c r="AO24" i="2"/>
  <c r="AR9" i="2"/>
  <c r="G31" i="2"/>
  <c r="I30" i="2"/>
  <c r="AL20" i="2"/>
  <c r="W24" i="2"/>
  <c r="AK22" i="2"/>
  <c r="AL4" i="2"/>
  <c r="J16" i="2"/>
  <c r="AH54" i="2"/>
  <c r="Y42" i="2"/>
  <c r="Z33" i="2"/>
  <c r="AM17" i="2"/>
  <c r="AM50" i="2"/>
  <c r="AO15" i="2"/>
  <c r="Q49" i="2"/>
  <c r="K51" i="2"/>
  <c r="O55" i="2"/>
  <c r="AH37" i="2"/>
  <c r="L10" i="2"/>
  <c r="AK48" i="2"/>
  <c r="AG53" i="2"/>
  <c r="K9" i="2"/>
  <c r="J50" i="2"/>
  <c r="R58" i="2"/>
  <c r="AQ37" i="2"/>
  <c r="AH53" i="2"/>
  <c r="AG32" i="2"/>
  <c r="AK23" i="2"/>
  <c r="R4" i="2"/>
  <c r="M32" i="2"/>
  <c r="X39" i="2"/>
  <c r="AD36" i="2"/>
  <c r="Z20" i="2"/>
  <c r="H40" i="2"/>
  <c r="AK11" i="2"/>
  <c r="AQ56" i="2"/>
  <c r="AC25" i="2"/>
  <c r="AQ53" i="2"/>
  <c r="O51" i="2"/>
  <c r="AD59" i="2"/>
  <c r="W15" i="2"/>
  <c r="G28" i="2"/>
  <c r="AG48" i="2"/>
  <c r="G5" i="2"/>
  <c r="Q23" i="2"/>
  <c r="R33" i="2"/>
  <c r="Z47" i="2"/>
  <c r="AJ10" i="2"/>
  <c r="I25" i="2"/>
  <c r="I32" i="2"/>
  <c r="M15" i="2"/>
  <c r="L46" i="2"/>
  <c r="AJ33" i="2"/>
  <c r="R20" i="2"/>
  <c r="AB40" i="2"/>
  <c r="M11" i="2"/>
  <c r="AM48" i="2"/>
  <c r="AB29" i="2"/>
  <c r="AO26" i="2"/>
  <c r="X30" i="2"/>
  <c r="AA50" i="2"/>
  <c r="AI37" i="2"/>
  <c r="J31" i="2"/>
  <c r="M12" i="2"/>
  <c r="AE33" i="2"/>
  <c r="K28" i="2"/>
  <c r="AO31" i="2"/>
  <c r="K33" i="2"/>
  <c r="Z25" i="2"/>
  <c r="V46" i="2"/>
  <c r="AM36" i="2"/>
  <c r="I34" i="2"/>
  <c r="M21" i="2"/>
  <c r="AK14" i="2"/>
  <c r="N15" i="2"/>
  <c r="G21" i="2"/>
  <c r="U31" i="2"/>
  <c r="AL11" i="2"/>
  <c r="AF10" i="2"/>
  <c r="AM28" i="2"/>
  <c r="AF26" i="2"/>
  <c r="Z9" i="2"/>
  <c r="AN44" i="2"/>
  <c r="W57" i="2"/>
  <c r="M6" i="2"/>
  <c r="M39" i="2"/>
  <c r="AG5" i="2"/>
  <c r="AI50" i="2"/>
  <c r="Q14" i="2"/>
  <c r="X15" i="2"/>
  <c r="X47" i="2"/>
  <c r="AM45" i="2"/>
  <c r="L14" i="2"/>
  <c r="AA58" i="2"/>
  <c r="Y23" i="2"/>
  <c r="L45" i="2"/>
  <c r="AA59" i="2"/>
  <c r="AH7" i="2"/>
  <c r="K52" i="2"/>
  <c r="AC46" i="2"/>
  <c r="J20" i="2"/>
  <c r="G4" i="2"/>
  <c r="AF57" i="2"/>
  <c r="AP18" i="2"/>
  <c r="AM51" i="2"/>
  <c r="R32" i="2"/>
  <c r="I4" i="2"/>
  <c r="R57" i="2"/>
  <c r="AL23" i="2"/>
  <c r="AI11" i="2"/>
  <c r="V36" i="2"/>
  <c r="AR59" i="2"/>
  <c r="AI15" i="2"/>
  <c r="AH41" i="2"/>
  <c r="AE52" i="2"/>
  <c r="AL14" i="2"/>
  <c r="AB25" i="2"/>
  <c r="AC28" i="2"/>
  <c r="P50" i="2"/>
  <c r="Z59" i="2"/>
  <c r="X31" i="2"/>
  <c r="X50" i="2"/>
  <c r="O54" i="2"/>
  <c r="G57" i="2"/>
  <c r="X36" i="2"/>
  <c r="M57" i="2"/>
  <c r="Q19" i="2"/>
  <c r="V20" i="2"/>
  <c r="AJ15" i="2"/>
  <c r="AI8" i="2"/>
  <c r="P35" i="2"/>
  <c r="AJ59" i="2"/>
  <c r="AE5" i="2"/>
  <c r="X12" i="2"/>
  <c r="L16" i="2"/>
  <c r="J60" i="2"/>
  <c r="X19" i="2"/>
  <c r="AJ21" i="2"/>
  <c r="AE23" i="2"/>
  <c r="J43" i="2"/>
  <c r="O29" i="2"/>
  <c r="AC8" i="2"/>
  <c r="AI40" i="2"/>
  <c r="AE34" i="2"/>
  <c r="G36" i="2"/>
  <c r="N49" i="2"/>
  <c r="AL57" i="2"/>
  <c r="AK13" i="2"/>
  <c r="U51" i="2"/>
  <c r="AK31" i="2"/>
  <c r="G22" i="2"/>
  <c r="U46" i="2"/>
  <c r="AK10" i="2"/>
  <c r="AR58" i="2"/>
  <c r="AI17" i="2"/>
  <c r="J23" i="2"/>
  <c r="AM16" i="2"/>
  <c r="O26" i="2"/>
  <c r="Y14" i="2"/>
  <c r="AE47" i="2"/>
  <c r="AI5" i="2"/>
  <c r="V48" i="2"/>
  <c r="AI16" i="2"/>
  <c r="W32" i="2"/>
  <c r="Q26" i="2"/>
  <c r="G14" i="2"/>
  <c r="H42" i="2"/>
  <c r="AC23" i="2"/>
  <c r="AC41" i="2"/>
  <c r="O23" i="2"/>
  <c r="P24" i="2"/>
  <c r="AC10" i="2"/>
  <c r="AN24" i="2"/>
  <c r="H6" i="2"/>
  <c r="AP4" i="2"/>
  <c r="U56" i="2"/>
  <c r="O21" i="2"/>
  <c r="AA17" i="2"/>
  <c r="AN57" i="2"/>
  <c r="AG24" i="2"/>
  <c r="M55" i="2"/>
  <c r="Z7" i="2"/>
  <c r="AC33" i="2"/>
  <c r="AQ29" i="2"/>
  <c r="AB55" i="2"/>
  <c r="AG39" i="2"/>
  <c r="J40" i="2"/>
  <c r="AB50" i="2"/>
  <c r="H56" i="2"/>
  <c r="AA47" i="2"/>
  <c r="O34" i="2"/>
  <c r="R55" i="2"/>
  <c r="U28" i="2"/>
  <c r="AD14" i="2"/>
  <c r="AM54" i="2"/>
  <c r="G25" i="2"/>
  <c r="X26" i="2"/>
  <c r="R19" i="2"/>
  <c r="AP35" i="2"/>
  <c r="AF27" i="2"/>
  <c r="L23" i="2"/>
  <c r="L28" i="2"/>
  <c r="G20" i="2"/>
  <c r="V45" i="2"/>
  <c r="U5" i="2"/>
  <c r="AN22" i="2"/>
  <c r="AF58" i="2"/>
  <c r="AH33" i="2"/>
  <c r="U35" i="2"/>
  <c r="Z37" i="2"/>
  <c r="V42" i="2"/>
  <c r="M8" i="2"/>
  <c r="I14" i="2"/>
  <c r="K39" i="2"/>
  <c r="X49" i="2"/>
  <c r="U50" i="2"/>
  <c r="AL45" i="2"/>
  <c r="AB22" i="2"/>
  <c r="AO33" i="2"/>
  <c r="AE8" i="2"/>
  <c r="Y55" i="2"/>
  <c r="H33" i="2"/>
  <c r="W14" i="2"/>
  <c r="Z24" i="2"/>
  <c r="AJ12" i="2"/>
  <c r="AD46" i="2"/>
  <c r="P51" i="2"/>
  <c r="V5" i="2"/>
  <c r="P5" i="2"/>
  <c r="R23" i="2"/>
  <c r="AP36" i="2"/>
  <c r="AH48" i="2"/>
  <c r="AJ26" i="2"/>
  <c r="AC30" i="2"/>
  <c r="AL43" i="2"/>
  <c r="AP21" i="2"/>
  <c r="AM6" i="2"/>
  <c r="AC55" i="2"/>
  <c r="AA25" i="2"/>
  <c r="U29" i="2"/>
  <c r="AM21" i="2"/>
  <c r="AO11" i="2"/>
  <c r="AR54" i="2"/>
  <c r="AL12" i="2"/>
  <c r="AK52" i="2"/>
  <c r="X5" i="2"/>
  <c r="X37" i="2"/>
  <c r="AJ9" i="2"/>
  <c r="AM57" i="2"/>
  <c r="AH18" i="2"/>
  <c r="W23" i="2"/>
  <c r="AA15" i="2"/>
  <c r="M13" i="2"/>
  <c r="AN9" i="2"/>
  <c r="N20" i="2"/>
  <c r="U54" i="2"/>
  <c r="H49" i="2"/>
  <c r="AD7" i="2"/>
  <c r="AL59" i="2"/>
  <c r="AI41" i="2"/>
  <c r="AO19" i="2"/>
  <c r="L15" i="2"/>
  <c r="AP23" i="2"/>
  <c r="W44" i="2"/>
  <c r="AJ57" i="2"/>
  <c r="H25" i="2"/>
  <c r="N18" i="2"/>
  <c r="O49" i="2"/>
  <c r="N57" i="2"/>
  <c r="AM5" i="2"/>
  <c r="AK25" i="2"/>
  <c r="G39" i="2"/>
  <c r="AF33" i="2"/>
  <c r="AK47" i="2"/>
  <c r="AG37" i="2"/>
  <c r="AE51" i="2"/>
  <c r="N22" i="2"/>
  <c r="AG22" i="2"/>
  <c r="M33" i="2"/>
  <c r="K45" i="2"/>
  <c r="G37" i="2"/>
  <c r="AI57" i="2"/>
  <c r="AQ47" i="2"/>
  <c r="Z38" i="2"/>
  <c r="O9" i="2"/>
  <c r="M37" i="2"/>
  <c r="P54" i="2"/>
  <c r="G12" i="2"/>
  <c r="AB58" i="2"/>
  <c r="AE53" i="2"/>
  <c r="O19" i="2"/>
  <c r="W52" i="2"/>
  <c r="AH49" i="2"/>
  <c r="V59" i="2"/>
  <c r="Q52" i="2"/>
  <c r="AC11" i="2"/>
  <c r="X42" i="2"/>
  <c r="J4" i="2"/>
  <c r="AK37" i="2"/>
  <c r="AA44" i="2"/>
  <c r="X35" i="2"/>
  <c r="AA36" i="2"/>
  <c r="AK18" i="2"/>
  <c r="AG35" i="2"/>
  <c r="I40" i="2"/>
  <c r="AJ49" i="2"/>
  <c r="Q22" i="2"/>
  <c r="O32" i="2"/>
  <c r="Z52" i="2"/>
  <c r="H29" i="2"/>
  <c r="AD11" i="2"/>
  <c r="AM13" i="2"/>
  <c r="K6" i="2"/>
  <c r="AD30" i="2"/>
  <c r="G55" i="2"/>
  <c r="AR46" i="2"/>
  <c r="P34" i="2"/>
  <c r="X24" i="2"/>
  <c r="AB8" i="2"/>
  <c r="Y41" i="2"/>
  <c r="O40" i="2"/>
  <c r="Z57" i="2"/>
  <c r="V38" i="2"/>
  <c r="M46" i="2"/>
  <c r="R60" i="2"/>
  <c r="AL35" i="2"/>
  <c r="P15" i="2"/>
  <c r="P57" i="2"/>
  <c r="AQ36" i="2"/>
  <c r="AK35" i="2"/>
  <c r="Q21" i="2"/>
  <c r="X20" i="2"/>
  <c r="AQ16" i="2"/>
  <c r="AB46" i="2"/>
  <c r="M36" i="2"/>
  <c r="Z34" i="2"/>
  <c r="AM12" i="2"/>
  <c r="AN54" i="2"/>
  <c r="O56" i="2"/>
  <c r="AK26" i="2"/>
  <c r="V40" i="2"/>
  <c r="AQ45" i="2"/>
  <c r="AI48" i="2"/>
  <c r="AF23" i="2"/>
  <c r="W47" i="2"/>
  <c r="AD8" i="2"/>
  <c r="J24" i="2"/>
  <c r="AR18" i="2"/>
  <c r="AF13" i="2"/>
  <c r="AA60" i="2"/>
  <c r="AD25" i="2"/>
  <c r="J47" i="2"/>
  <c r="L32" i="2"/>
  <c r="AF9" i="2"/>
  <c r="AG38" i="2"/>
  <c r="AC43" i="2"/>
  <c r="AF16" i="2"/>
  <c r="AI51" i="2"/>
  <c r="AN11" i="2"/>
  <c r="P27" i="2"/>
  <c r="AH35" i="2"/>
  <c r="AB19" i="2"/>
  <c r="G59" i="2"/>
  <c r="U7" i="2"/>
  <c r="AJ40" i="2"/>
  <c r="AJ50" i="2"/>
  <c r="R41" i="2"/>
  <c r="AD52" i="2"/>
  <c r="N53" i="2"/>
  <c r="P55" i="2"/>
  <c r="AH8" i="2"/>
  <c r="I53" i="2"/>
  <c r="AG40" i="2"/>
  <c r="AO25" i="2"/>
  <c r="G35" i="2"/>
  <c r="AE39" i="2"/>
  <c r="R13" i="2"/>
  <c r="L22" i="2"/>
  <c r="AG44" i="2"/>
  <c r="AN32" i="2"/>
  <c r="AI24" i="2"/>
  <c r="K24" i="2"/>
  <c r="K46" i="2"/>
  <c r="N48" i="2"/>
  <c r="AE19" i="2"/>
  <c r="AJ34" i="2"/>
  <c r="AG27" i="2"/>
  <c r="AF11" i="2"/>
  <c r="I37" i="2"/>
  <c r="AJ55" i="2"/>
  <c r="AB43" i="2"/>
  <c r="AE13" i="2"/>
  <c r="Z27" i="2"/>
  <c r="I6" i="2"/>
  <c r="AK8" i="2"/>
  <c r="P49" i="2"/>
  <c r="H54" i="2"/>
  <c r="AM18" i="2"/>
  <c r="Y49" i="2"/>
  <c r="AR38" i="2"/>
  <c r="AM19" i="2"/>
  <c r="AJ48" i="2"/>
  <c r="Z21" i="2"/>
  <c r="W17" i="2"/>
  <c r="AA33" i="2"/>
  <c r="AO51" i="2"/>
  <c r="AA52" i="2"/>
  <c r="AR8" i="2"/>
  <c r="U15" i="2"/>
  <c r="AJ20" i="2"/>
  <c r="AI18" i="2"/>
  <c r="U44" i="2"/>
  <c r="AC6" i="2"/>
  <c r="AD35" i="2"/>
  <c r="I28" i="2"/>
  <c r="AG51" i="2"/>
  <c r="AL42" i="2"/>
  <c r="AJ43" i="2"/>
  <c r="AE50" i="2"/>
  <c r="AI28" i="2"/>
  <c r="X29" i="2"/>
  <c r="L5" i="2"/>
  <c r="AJ17" i="2"/>
  <c r="P48" i="2"/>
  <c r="AO13" i="2"/>
  <c r="Q31" i="2"/>
  <c r="I21" i="2"/>
  <c r="AD15" i="2"/>
  <c r="X54" i="2"/>
  <c r="W18" i="2"/>
  <c r="AP13" i="2"/>
  <c r="AF30" i="2"/>
  <c r="AK54" i="2"/>
  <c r="Y57" i="2"/>
  <c r="N8" i="2"/>
  <c r="K53" i="2"/>
  <c r="X6" i="2"/>
  <c r="AD27" i="2"/>
  <c r="I35" i="2"/>
  <c r="X14" i="2"/>
  <c r="H38" i="2"/>
  <c r="W42" i="2"/>
  <c r="U16" i="2"/>
  <c r="O27" i="2"/>
  <c r="I58" i="2"/>
  <c r="M42" i="2"/>
  <c r="K22" i="2"/>
  <c r="AC19" i="2"/>
  <c r="AL56" i="2"/>
  <c r="AG23" i="2"/>
  <c r="G50" i="2"/>
  <c r="H30" i="2"/>
  <c r="AK34" i="2"/>
  <c r="AD9" i="2"/>
  <c r="K14" i="2"/>
  <c r="L47" i="2"/>
  <c r="U12" i="2"/>
  <c r="H16" i="2"/>
  <c r="X44" i="2"/>
  <c r="AQ35" i="2"/>
  <c r="AN28" i="2"/>
  <c r="AQ10" i="2"/>
  <c r="AC38" i="2"/>
  <c r="W30" i="2"/>
  <c r="N35" i="2"/>
  <c r="AD57" i="2"/>
  <c r="V13" i="2"/>
  <c r="X4" i="2"/>
  <c r="AB57" i="2"/>
  <c r="J45" i="2"/>
  <c r="AJ11" i="2"/>
  <c r="AK51" i="2"/>
  <c r="AF24" i="2"/>
  <c r="O41" i="2"/>
  <c r="O25" i="2"/>
  <c r="AB13" i="2"/>
  <c r="AC51" i="2"/>
  <c r="AK15" i="2"/>
  <c r="AR29" i="2"/>
  <c r="Y12" i="2"/>
  <c r="Q46" i="2"/>
  <c r="O5" i="2"/>
  <c r="O44" i="2"/>
  <c r="O60" i="2"/>
  <c r="Y51" i="2"/>
  <c r="H39" i="2"/>
  <c r="AQ25" i="2"/>
  <c r="W27" i="2"/>
  <c r="J13" i="2"/>
  <c r="AD12" i="2"/>
  <c r="AE10" i="2"/>
  <c r="P25" i="2"/>
  <c r="AA34" i="2"/>
  <c r="U42" i="2"/>
  <c r="Q4" i="2"/>
  <c r="AJ7" i="2"/>
  <c r="G23" i="2"/>
  <c r="I18" i="2"/>
  <c r="H58" i="2"/>
  <c r="N4" i="2"/>
  <c r="J15" i="2"/>
  <c r="AK43" i="2"/>
  <c r="AP39" i="2"/>
  <c r="AA55" i="2"/>
  <c r="Y16" i="2"/>
  <c r="U9" i="2"/>
  <c r="X53" i="2"/>
  <c r="AL53" i="2"/>
  <c r="AF50" i="2"/>
  <c r="AH5" i="2"/>
  <c r="AB17" i="2"/>
  <c r="R6" i="2"/>
  <c r="P40" i="2"/>
  <c r="O31" i="2"/>
  <c r="Z51" i="2"/>
  <c r="L57" i="2"/>
  <c r="Z43" i="2"/>
  <c r="AO18" i="2"/>
  <c r="Z29" i="2"/>
  <c r="M49" i="2"/>
  <c r="AN36" i="2"/>
  <c r="Y19" i="2"/>
  <c r="AD55" i="2"/>
  <c r="AC34" i="2"/>
  <c r="AB9" i="2"/>
  <c r="O22" i="2"/>
  <c r="AO8" i="2"/>
  <c r="AI52" i="2"/>
  <c r="AB18" i="2"/>
  <c r="AH51" i="2"/>
  <c r="Z12" i="2"/>
  <c r="AP29" i="2"/>
  <c r="AL48" i="2"/>
  <c r="O24" i="2"/>
  <c r="AP24" i="2"/>
  <c r="Y25" i="2"/>
  <c r="AO10" i="2"/>
  <c r="AP37" i="2"/>
  <c r="O17" i="2"/>
  <c r="AC49" i="2"/>
  <c r="L12" i="2"/>
  <c r="AM34" i="2"/>
  <c r="AP8" i="2"/>
  <c r="U39" i="2"/>
  <c r="AN53" i="2"/>
  <c r="P16" i="2"/>
  <c r="AL55" i="2"/>
  <c r="AD13" i="2"/>
  <c r="P46" i="2"/>
  <c r="AH15" i="2"/>
  <c r="AJ18" i="2"/>
  <c r="AL58" i="2"/>
  <c r="X23" i="2"/>
  <c r="K5" i="2"/>
  <c r="K44" i="2"/>
  <c r="J49" i="2"/>
  <c r="L49" i="2"/>
  <c r="AB20" i="2"/>
  <c r="X22" i="2"/>
  <c r="AO23" i="2"/>
  <c r="AP44" i="2"/>
  <c r="AR30" i="2"/>
  <c r="Y40" i="2"/>
  <c r="H44" i="2"/>
  <c r="AA53" i="2"/>
  <c r="K60" i="2"/>
  <c r="AO58" i="2"/>
  <c r="AF51" i="2"/>
  <c r="Y37" i="2"/>
  <c r="AE56" i="2"/>
  <c r="AA31" i="2"/>
  <c r="AK27" i="2"/>
  <c r="W38" i="2"/>
  <c r="AN35" i="2"/>
  <c r="AC59" i="2"/>
  <c r="AM33" i="2"/>
  <c r="Q39" i="2"/>
  <c r="X9" i="2"/>
  <c r="AQ24" i="2"/>
  <c r="AP43" i="2"/>
  <c r="P38" i="2"/>
  <c r="W33" i="2"/>
  <c r="AD21" i="2"/>
  <c r="AP34" i="2"/>
  <c r="U48" i="2"/>
  <c r="I23" i="2"/>
  <c r="AK57" i="2"/>
  <c r="U57" i="2"/>
  <c r="AN17" i="2"/>
  <c r="AB26" i="2"/>
  <c r="Q20" i="2"/>
  <c r="Z42" i="2"/>
  <c r="AB41" i="2"/>
  <c r="AB42" i="2"/>
  <c r="AQ55" i="2"/>
  <c r="AE27" i="2"/>
  <c r="AG54" i="2"/>
  <c r="AP25" i="2"/>
  <c r="M34" i="2"/>
  <c r="R21" i="2"/>
  <c r="AR43" i="2"/>
  <c r="V15" i="2"/>
  <c r="L37" i="2"/>
  <c r="AJ22" i="2"/>
  <c r="AM31" i="2"/>
  <c r="N13" i="2"/>
  <c r="AP58" i="2"/>
  <c r="O47" i="2"/>
  <c r="K36" i="2"/>
  <c r="G11" i="2"/>
  <c r="AP15" i="2"/>
  <c r="M59" i="2"/>
  <c r="AM14" i="2"/>
  <c r="I47" i="2"/>
  <c r="G52" i="2"/>
  <c r="X11" i="2"/>
  <c r="L39" i="2"/>
  <c r="Y24" i="2"/>
  <c r="AF35" i="2"/>
  <c r="Z44" i="2"/>
  <c r="AA5" i="2"/>
  <c r="K48" i="2"/>
  <c r="Q47" i="2"/>
  <c r="J44" i="2"/>
  <c r="AA11" i="2"/>
  <c r="AG55" i="2"/>
  <c r="G10" i="2"/>
  <c r="I54" i="2"/>
  <c r="AK6" i="2"/>
  <c r="AN37" i="2"/>
  <c r="AR42" i="2"/>
  <c r="AK42" i="2"/>
  <c r="N31" i="2"/>
  <c r="AQ46" i="2"/>
  <c r="AP52" i="2"/>
  <c r="O57" i="2"/>
  <c r="AP11" i="2"/>
  <c r="AF36" i="2"/>
  <c r="Q13" i="2"/>
  <c r="AR45" i="2"/>
  <c r="I11" i="2"/>
  <c r="X51" i="2"/>
  <c r="I9" i="2"/>
  <c r="AI53" i="2"/>
  <c r="U27" i="2"/>
  <c r="AH9" i="2"/>
  <c r="J54" i="2"/>
  <c r="AN55" i="2"/>
  <c r="M4" i="2"/>
  <c r="Y36" i="2"/>
  <c r="W26" i="2"/>
  <c r="AM44" i="2"/>
  <c r="N40" i="2"/>
  <c r="Y28" i="2"/>
  <c r="J14" i="2"/>
  <c r="AI47" i="2"/>
  <c r="AL22" i="2"/>
  <c r="AH30" i="2"/>
  <c r="AR24" i="2"/>
  <c r="AI9" i="2"/>
  <c r="Z28" i="2"/>
  <c r="U17" i="2"/>
  <c r="G18" i="2"/>
  <c r="AR12" i="2"/>
  <c r="W21" i="2"/>
  <c r="O59" i="2"/>
  <c r="AP22" i="2"/>
  <c r="H12" i="2"/>
  <c r="AD53" i="2"/>
  <c r="P33" i="2"/>
  <c r="X55" i="2"/>
  <c r="N16" i="2"/>
  <c r="AO42" i="2"/>
  <c r="AE46" i="2"/>
  <c r="AJ54" i="2"/>
  <c r="AI45" i="2"/>
  <c r="AL27" i="2"/>
  <c r="AA37" i="2"/>
  <c r="Q58" i="2"/>
  <c r="AG60" i="2"/>
  <c r="AG4" i="2"/>
  <c r="M24" i="2"/>
  <c r="K43" i="2"/>
  <c r="U20" i="2"/>
  <c r="AC26" i="2"/>
  <c r="Y44" i="2"/>
  <c r="L7" i="2"/>
  <c r="AN50" i="2"/>
  <c r="J53" i="2"/>
  <c r="Q51" i="2"/>
  <c r="AM39" i="2"/>
  <c r="AR10" i="2"/>
  <c r="AP19" i="2"/>
  <c r="J39" i="2"/>
  <c r="AL52" i="2"/>
  <c r="AP53" i="2"/>
  <c r="AH45" i="2"/>
  <c r="AO12" i="2"/>
  <c r="AI20" i="2"/>
  <c r="AP47" i="2"/>
  <c r="X40" i="2"/>
  <c r="H15" i="2"/>
  <c r="V8" i="2"/>
  <c r="AG42" i="2"/>
  <c r="W39" i="2"/>
  <c r="W58" i="2"/>
  <c r="G44" i="2"/>
  <c r="W53" i="2"/>
  <c r="U25" i="2"/>
  <c r="AI4" i="2"/>
  <c r="U55" i="2"/>
  <c r="AI46" i="2"/>
  <c r="AR7" i="2"/>
  <c r="AQ34" i="2"/>
  <c r="X41" i="2"/>
  <c r="W45" i="2"/>
  <c r="AI59" i="2"/>
  <c r="AK30" i="2"/>
  <c r="Y6" i="2"/>
  <c r="AL15" i="2"/>
  <c r="Q54" i="2"/>
  <c r="AE29" i="2"/>
  <c r="AG41" i="2"/>
  <c r="AL34" i="2"/>
  <c r="U47" i="2"/>
  <c r="AE21" i="2"/>
  <c r="AK56" i="2"/>
  <c r="AO14" i="2"/>
  <c r="AI44" i="2"/>
  <c r="L36" i="2"/>
  <c r="AM56" i="2"/>
  <c r="AC13" i="2"/>
  <c r="O46" i="2"/>
  <c r="AA27" i="2"/>
  <c r="R24" i="2"/>
  <c r="AK19" i="2"/>
  <c r="AQ38" i="2"/>
  <c r="Q25" i="2"/>
  <c r="AJ36" i="2"/>
  <c r="AD18" i="2"/>
  <c r="W12" i="2"/>
  <c r="M5" i="2"/>
  <c r="I36" i="2"/>
  <c r="AN27" i="2"/>
  <c r="L24" i="2"/>
  <c r="L35" i="2"/>
  <c r="N41" i="2"/>
  <c r="X60" i="2"/>
  <c r="N51" i="2"/>
  <c r="M20" i="2"/>
  <c r="AH19" i="2"/>
  <c r="AO32" i="2"/>
  <c r="AF5" i="2"/>
  <c r="W10" i="2"/>
  <c r="AE40" i="2"/>
  <c r="AK46" i="2"/>
  <c r="H51" i="2"/>
  <c r="M47" i="2"/>
  <c r="AA29" i="2"/>
  <c r="AH47" i="2"/>
  <c r="AA19" i="2"/>
  <c r="AI27" i="2"/>
  <c r="M44" i="2"/>
  <c r="V17" i="2"/>
  <c r="K35" i="2"/>
  <c r="O8" i="2"/>
  <c r="AR17" i="2"/>
  <c r="N6" i="2"/>
  <c r="R18" i="2"/>
  <c r="N52" i="2"/>
  <c r="N10" i="2"/>
  <c r="Z19" i="2"/>
  <c r="W36" i="2"/>
  <c r="Y60" i="2"/>
  <c r="M23" i="2"/>
  <c r="K32" i="2"/>
  <c r="AL6" i="2"/>
  <c r="AL18" i="2"/>
  <c r="AI25" i="2"/>
  <c r="AQ59" i="2"/>
  <c r="AF52" i="2"/>
  <c r="AH36" i="2"/>
  <c r="AC9" i="2"/>
  <c r="AI10" i="2"/>
  <c r="AQ12" i="2"/>
  <c r="J28" i="2"/>
  <c r="AN25" i="2"/>
  <c r="AK7" i="2"/>
  <c r="AG49" i="2"/>
  <c r="AR57" i="2"/>
  <c r="P58" i="2"/>
  <c r="L13" i="2"/>
  <c r="AJ24" i="2"/>
  <c r="L17" i="2"/>
  <c r="L18" i="2"/>
  <c r="V35" i="2"/>
  <c r="K54" i="2"/>
  <c r="AL33" i="2"/>
  <c r="W28" i="2"/>
  <c r="AL24" i="2"/>
  <c r="Y35" i="2"/>
  <c r="AC52" i="2"/>
  <c r="AE54" i="2"/>
  <c r="M40" i="2"/>
  <c r="J10" i="2"/>
  <c r="AI6" i="2"/>
  <c r="AO5" i="2"/>
  <c r="AR55" i="2"/>
  <c r="V41" i="2"/>
  <c r="AC36" i="2"/>
  <c r="AA6" i="2"/>
  <c r="AQ23" i="2"/>
  <c r="AR20" i="2"/>
  <c r="I24" i="2"/>
  <c r="AE25" i="2"/>
  <c r="AB6" i="2"/>
  <c r="U37" i="2"/>
  <c r="H53" i="2"/>
  <c r="X28" i="2"/>
  <c r="AM49" i="2"/>
  <c r="R28" i="2"/>
  <c r="L25" i="2"/>
  <c r="AO9" i="2"/>
  <c r="I31" i="2"/>
  <c r="G16" i="2"/>
  <c r="AG45" i="2"/>
  <c r="Z18" i="2"/>
  <c r="AK45" i="2"/>
  <c r="AF32" i="2"/>
  <c r="AF20" i="2"/>
  <c r="AC16" i="2"/>
  <c r="W40" i="2"/>
  <c r="AN12" i="2"/>
  <c r="H55" i="2"/>
  <c r="X38" i="2"/>
  <c r="AI14" i="2"/>
  <c r="AK5" i="2"/>
  <c r="L51" i="2"/>
  <c r="W11" i="2"/>
  <c r="V39" i="2"/>
  <c r="H34" i="2"/>
  <c r="AA40" i="2"/>
  <c r="AF6" i="2"/>
  <c r="R34" i="2"/>
  <c r="K34" i="2"/>
  <c r="AI13" i="2"/>
  <c r="U8" i="2"/>
  <c r="AF54" i="2"/>
  <c r="X58" i="2"/>
  <c r="Z60" i="2"/>
  <c r="AO56" i="2"/>
  <c r="K29" i="2"/>
  <c r="AG34" i="2"/>
  <c r="W48" i="2"/>
  <c r="AP30" i="2"/>
  <c r="AP5" i="2"/>
  <c r="AO17" i="2"/>
  <c r="Q41" i="2"/>
  <c r="R29" i="2"/>
  <c r="AO43" i="2"/>
  <c r="R30" i="2"/>
  <c r="L11" i="2"/>
  <c r="U19" i="2"/>
  <c r="O37" i="2"/>
  <c r="AC39" i="2"/>
  <c r="AN60" i="2"/>
  <c r="AA46" i="2"/>
  <c r="G56" i="2"/>
  <c r="AN48" i="2"/>
  <c r="X52" i="2"/>
  <c r="O11" i="2"/>
  <c r="N45" i="2"/>
  <c r="AM22" i="2"/>
  <c r="AI56" i="2"/>
  <c r="AL49" i="2"/>
  <c r="AF18" i="2"/>
  <c r="P30" i="2"/>
  <c r="AH59" i="2"/>
  <c r="AI39" i="2"/>
  <c r="AP9" i="2"/>
  <c r="AC31" i="2"/>
  <c r="AE16" i="2"/>
  <c r="AR16" i="2"/>
  <c r="G42" i="2"/>
  <c r="Z4" i="2"/>
  <c r="Y46" i="2"/>
  <c r="R9" i="2"/>
  <c r="AF8" i="2"/>
  <c r="AO45" i="2"/>
  <c r="N32" i="2"/>
  <c r="AN29" i="2"/>
  <c r="Q11" i="2"/>
  <c r="AB23" i="2"/>
  <c r="G46" i="2"/>
  <c r="U59" i="2"/>
  <c r="H36" i="2"/>
  <c r="AA57" i="2"/>
  <c r="N5" i="2"/>
  <c r="N58" i="2"/>
  <c r="G26" i="2"/>
  <c r="AC44" i="2"/>
  <c r="Q37" i="2"/>
  <c r="AA4" i="2"/>
  <c r="AR36" i="2"/>
  <c r="M28" i="2"/>
  <c r="AB12" i="2"/>
  <c r="AQ50" i="2"/>
  <c r="L44" i="2"/>
  <c r="M50" i="2"/>
  <c r="AL17" i="2"/>
  <c r="AF42" i="2"/>
  <c r="AB47" i="2"/>
  <c r="J6" i="2"/>
  <c r="P36" i="2"/>
  <c r="X43" i="2"/>
  <c r="Q53" i="2"/>
  <c r="AD10" i="2"/>
  <c r="X7" i="2"/>
  <c r="AN47" i="2"/>
  <c r="Y29" i="2"/>
  <c r="W43" i="2"/>
  <c r="Q55" i="2"/>
  <c r="AO38" i="2"/>
  <c r="V11" i="2"/>
  <c r="AQ18" i="2"/>
  <c r="H21" i="2"/>
  <c r="AQ17" i="2"/>
  <c r="N30" i="2"/>
  <c r="AK53" i="2"/>
  <c r="Z50" i="2"/>
  <c r="Z13" i="2"/>
  <c r="I7" i="2"/>
  <c r="N60" i="2"/>
  <c r="H31" i="2"/>
  <c r="N37" i="2"/>
  <c r="U14" i="2"/>
  <c r="U6" i="2"/>
  <c r="N43" i="2"/>
  <c r="G19" i="2"/>
  <c r="AC32" i="2"/>
  <c r="R7" i="2"/>
  <c r="AP16" i="2"/>
  <c r="O13" i="2"/>
  <c r="AR53" i="2"/>
  <c r="AB11" i="2"/>
  <c r="G48" i="2"/>
  <c r="AQ40" i="2"/>
  <c r="AN15" i="2"/>
  <c r="I41" i="2"/>
  <c r="Z46" i="2"/>
  <c r="U34" i="2"/>
  <c r="W34" i="2"/>
  <c r="AB31" i="2"/>
  <c r="AO44" i="2"/>
  <c r="AP50" i="2"/>
  <c r="AR52" i="2"/>
  <c r="L20" i="2"/>
  <c r="M56" i="2"/>
  <c r="AA22" i="2"/>
  <c r="AQ9" i="2"/>
  <c r="K26" i="2"/>
  <c r="Y45" i="2"/>
  <c r="Z10" i="2"/>
  <c r="AL51" i="2"/>
  <c r="I52" i="2"/>
  <c r="AG15" i="2"/>
  <c r="AR4" i="2"/>
  <c r="AQ39" i="2"/>
  <c r="AG18" i="2"/>
  <c r="AE45" i="2"/>
  <c r="AO7" i="2"/>
  <c r="Y18" i="2"/>
  <c r="AN43" i="2"/>
  <c r="AM15" i="2"/>
  <c r="N47" i="2"/>
  <c r="AE36" i="2"/>
  <c r="M53" i="2"/>
  <c r="P6" i="2"/>
  <c r="AO30" i="2"/>
  <c r="AC24" i="2"/>
  <c r="AO21" i="2"/>
  <c r="AD49" i="2"/>
  <c r="M41" i="2"/>
  <c r="AE6" i="2"/>
  <c r="AF40" i="2"/>
  <c r="AE26" i="2"/>
  <c r="Q30" i="2"/>
  <c r="H4" i="2"/>
  <c r="Y7" i="2"/>
  <c r="AO39" i="2"/>
  <c r="O43" i="2"/>
  <c r="AA18" i="2"/>
  <c r="Y33" i="2"/>
  <c r="AQ8" i="2"/>
  <c r="AB7" i="2"/>
  <c r="M16" i="2"/>
  <c r="AL21" i="2"/>
  <c r="AH34" i="2"/>
  <c r="AM27" i="2"/>
  <c r="G32" i="2"/>
  <c r="M14" i="2"/>
  <c r="O52" i="2"/>
  <c r="AK20" i="2"/>
  <c r="AA16" i="2"/>
  <c r="M17" i="2"/>
  <c r="R27" i="2"/>
  <c r="J52" i="2"/>
  <c r="AH29" i="2"/>
  <c r="AR28" i="2"/>
  <c r="W13" i="2"/>
  <c r="N26" i="2"/>
  <c r="AE44" i="2"/>
  <c r="AH20" i="2"/>
  <c r="AO37" i="2"/>
  <c r="AG16" i="2"/>
  <c r="R8" i="2"/>
  <c r="W41" i="2"/>
  <c r="O30" i="2"/>
  <c r="I13" i="2"/>
  <c r="AG12" i="2"/>
  <c r="H48" i="2"/>
  <c r="P45" i="2"/>
  <c r="AR19" i="2"/>
  <c r="O16" i="2"/>
  <c r="AC50" i="2"/>
  <c r="AM8" i="2"/>
  <c r="X33" i="2"/>
  <c r="AR5" i="2"/>
  <c r="H26" i="2"/>
  <c r="AD58" i="2"/>
  <c r="J32" i="2"/>
  <c r="AJ35" i="2"/>
  <c r="Q59" i="2"/>
  <c r="AD19" i="2"/>
  <c r="K20" i="2"/>
  <c r="AM4" i="2"/>
  <c r="W8" i="2"/>
  <c r="AM29" i="2"/>
  <c r="AB48" i="2"/>
  <c r="X45" i="2"/>
  <c r="U38" i="2"/>
  <c r="AO36" i="2"/>
  <c r="AK16" i="2"/>
  <c r="AQ6" i="2"/>
  <c r="AH12" i="2"/>
  <c r="M22" i="2"/>
  <c r="AQ60" i="2"/>
  <c r="W59" i="2"/>
  <c r="I48" i="2"/>
  <c r="AJ13" i="2"/>
  <c r="K56" i="2"/>
  <c r="AE35" i="2"/>
  <c r="AH39" i="2"/>
  <c r="AK17" i="2"/>
  <c r="K27" i="2"/>
  <c r="AO22" i="2"/>
  <c r="AG33" i="2"/>
  <c r="Y20" i="2"/>
  <c r="I46" i="2"/>
  <c r="H60" i="2"/>
  <c r="AM26" i="2"/>
  <c r="P29" i="2"/>
  <c r="K4" i="2"/>
  <c r="AQ51" i="2"/>
  <c r="AR33" i="2"/>
  <c r="Y17" i="2"/>
  <c r="AR51" i="2"/>
  <c r="L48" i="2"/>
  <c r="J27" i="2"/>
  <c r="AG56" i="2"/>
  <c r="X25" i="2"/>
  <c r="AE42" i="2"/>
  <c r="AG13" i="2"/>
  <c r="AF14" i="2"/>
  <c r="AF34" i="2"/>
  <c r="AK28" i="2"/>
  <c r="AF56" i="2"/>
  <c r="AJ30" i="2"/>
  <c r="AI35" i="2"/>
  <c r="AF38" i="2"/>
  <c r="W16" i="2"/>
  <c r="AR41" i="2"/>
  <c r="Z39" i="2"/>
  <c r="R14" i="2"/>
  <c r="AG9" i="2"/>
  <c r="Z17" i="2"/>
  <c r="H41" i="2"/>
  <c r="AE43" i="2"/>
  <c r="AJ47" i="2"/>
  <c r="Q56" i="2"/>
  <c r="AA35" i="2"/>
  <c r="AH26" i="2"/>
  <c r="AJ6" i="2"/>
  <c r="AG10" i="2"/>
  <c r="AP31" i="2"/>
  <c r="V25" i="2"/>
  <c r="K16" i="2"/>
  <c r="I26" i="2"/>
  <c r="AO6" i="2"/>
  <c r="R10" i="2"/>
  <c r="P47" i="2"/>
  <c r="AK36" i="2"/>
  <c r="AK29" i="2"/>
  <c r="M26" i="2"/>
  <c r="AC40" i="2"/>
  <c r="O18" i="2"/>
  <c r="P28" i="2"/>
  <c r="AF12" i="2"/>
  <c r="O15" i="2"/>
  <c r="AB14" i="2"/>
  <c r="I29" i="2"/>
  <c r="AI31" i="2"/>
  <c r="O33" i="2"/>
  <c r="AR21" i="2"/>
  <c r="Z32" i="2"/>
  <c r="AP54" i="2"/>
  <c r="AB27" i="2"/>
  <c r="AO49" i="2"/>
  <c r="W5" i="2"/>
  <c r="W9" i="2"/>
  <c r="AJ52" i="2"/>
  <c r="H9" i="2"/>
  <c r="Y5" i="2"/>
  <c r="AD56" i="2"/>
  <c r="U49" i="2"/>
  <c r="AC22" i="2"/>
  <c r="H28" i="2"/>
  <c r="J41" i="2"/>
  <c r="AQ54" i="2"/>
  <c r="W29" i="2"/>
  <c r="AC15" i="2"/>
  <c r="AG7" i="2"/>
  <c r="V37" i="2"/>
  <c r="Y21" i="2"/>
  <c r="AA13" i="2"/>
  <c r="AC29" i="2"/>
  <c r="U60" i="2"/>
  <c r="N19" i="2"/>
  <c r="AA12" i="2"/>
  <c r="I56" i="2"/>
  <c r="AP57" i="2"/>
  <c r="AI7" i="2"/>
  <c r="V4" i="2"/>
  <c r="AB44" i="2"/>
  <c r="Y22" i="2"/>
  <c r="N39" i="2"/>
  <c r="L4" i="2"/>
  <c r="V58" i="2"/>
  <c r="AI12" i="2"/>
  <c r="AA45" i="2"/>
  <c r="V24" i="2"/>
  <c r="AO55" i="2"/>
  <c r="R43" i="2"/>
  <c r="AF48" i="2"/>
  <c r="AQ52" i="2"/>
  <c r="AB36" i="2"/>
  <c r="AR6" i="2"/>
  <c r="O28" i="2"/>
  <c r="AD17" i="2"/>
  <c r="AB45" i="2"/>
  <c r="AM43" i="2"/>
  <c r="AQ32" i="2"/>
  <c r="V44" i="2"/>
  <c r="AH55" i="2"/>
  <c r="AB38" i="2"/>
  <c r="AJ16" i="2"/>
  <c r="AB51" i="2"/>
  <c r="AQ42" i="2"/>
  <c r="M35" i="2"/>
  <c r="AK55" i="2"/>
  <c r="AN4" i="2"/>
  <c r="Y56" i="2"/>
  <c r="AP56" i="2"/>
  <c r="AI42" i="2"/>
  <c r="AP33" i="2"/>
  <c r="R49" i="2"/>
  <c r="V30" i="2"/>
  <c r="AJ5" i="2"/>
  <c r="AN10" i="2"/>
  <c r="AE55" i="2"/>
  <c r="AD32" i="2"/>
  <c r="J35" i="2"/>
  <c r="AJ27" i="2"/>
  <c r="AM42" i="2"/>
  <c r="I55" i="2"/>
  <c r="G40" i="2"/>
  <c r="Y34" i="2"/>
  <c r="G15" i="2"/>
  <c r="AN52" i="2"/>
  <c r="AG28" i="2"/>
  <c r="AD40" i="2"/>
  <c r="AD28" i="2"/>
  <c r="G33" i="2"/>
  <c r="AH6" i="2"/>
  <c r="AL44" i="2"/>
  <c r="N36" i="2"/>
  <c r="Q27" i="2"/>
  <c r="K57" i="2"/>
  <c r="J51" i="2"/>
  <c r="AJ25" i="2"/>
  <c r="L53" i="2"/>
  <c r="AM23" i="2"/>
  <c r="AJ19" i="2"/>
  <c r="R45" i="2"/>
  <c r="M58" i="2"/>
  <c r="U33" i="2"/>
  <c r="Q28" i="2"/>
  <c r="AN16" i="2"/>
  <c r="AE49" i="2"/>
  <c r="M18" i="2"/>
  <c r="K42" i="2"/>
  <c r="Z26" i="2"/>
  <c r="AG21" i="2"/>
  <c r="P14" i="2"/>
  <c r="N17" i="2"/>
  <c r="R39" i="2"/>
  <c r="AN26" i="2"/>
  <c r="R48" i="2"/>
  <c r="Z49" i="2"/>
  <c r="Y15" i="2"/>
  <c r="G30" i="2"/>
  <c r="AB34" i="2"/>
  <c r="N12" i="2"/>
  <c r="AB16" i="2"/>
  <c r="AN31" i="2"/>
  <c r="R31" i="2"/>
  <c r="AK50" i="2"/>
  <c r="Q44" i="2"/>
  <c r="W19" i="2"/>
  <c r="U4" i="2"/>
  <c r="V54" i="2"/>
  <c r="X27" i="2"/>
  <c r="O4" i="2"/>
  <c r="L40" i="2"/>
  <c r="AM47" i="2"/>
  <c r="AG58" i="2"/>
  <c r="R15" i="2"/>
  <c r="J59" i="2"/>
  <c r="Y8" i="2"/>
  <c r="AQ43" i="2"/>
  <c r="AM7" i="2"/>
  <c r="AO50" i="2"/>
  <c r="X48" i="2"/>
  <c r="N38" i="2"/>
  <c r="K41" i="2"/>
  <c r="AI49" i="2"/>
  <c r="AO48" i="2"/>
  <c r="L9" i="2"/>
  <c r="AN39" i="2"/>
  <c r="Q5" i="2"/>
  <c r="AJ56" i="2"/>
  <c r="AC5" i="2"/>
  <c r="AH25" i="2"/>
  <c r="U24" i="2"/>
  <c r="AN14" i="2"/>
  <c r="AK32" i="2"/>
  <c r="R16" i="2"/>
  <c r="AE20" i="2"/>
  <c r="AN8" i="2"/>
  <c r="Z23" i="2"/>
  <c r="I51" i="2"/>
  <c r="X16" i="2"/>
  <c r="AM55" i="2"/>
  <c r="Z31" i="2"/>
  <c r="M9" i="2"/>
  <c r="H14" i="2"/>
  <c r="AM30" i="2"/>
  <c r="AL38" i="2"/>
  <c r="R37" i="2"/>
  <c r="Q60" i="2"/>
  <c r="Q50" i="2"/>
  <c r="AN56" i="2"/>
  <c r="AF44" i="2"/>
  <c r="Z53" i="2"/>
  <c r="R51" i="2"/>
  <c r="AN49" i="2"/>
  <c r="AN40" i="2"/>
  <c r="I20" i="2"/>
  <c r="L56" i="2"/>
  <c r="AJ23" i="2"/>
  <c r="X46" i="2"/>
  <c r="G51" i="2"/>
  <c r="AM40" i="2"/>
  <c r="AF4" i="2"/>
  <c r="P22" i="2"/>
  <c r="V43" i="2"/>
  <c r="G47" i="2"/>
  <c r="AI30" i="2"/>
  <c r="AF46" i="2"/>
  <c r="Y9" i="2"/>
  <c r="H45" i="2"/>
  <c r="AJ46" i="2"/>
  <c r="M60" i="2"/>
  <c r="J17" i="2"/>
  <c r="U41" i="2"/>
  <c r="I16" i="2"/>
  <c r="AN51" i="2"/>
  <c r="P9" i="2"/>
  <c r="J9" i="2"/>
  <c r="AH28" i="2"/>
  <c r="AE11" i="2"/>
  <c r="AA9" i="2"/>
  <c r="AO16" i="2"/>
  <c r="L31" i="2"/>
  <c r="AB60" i="2"/>
  <c r="AF47" i="2"/>
  <c r="I60" i="2"/>
  <c r="AG50" i="2"/>
  <c r="AD43" i="2"/>
  <c r="H52" i="2"/>
</calcChain>
</file>

<file path=xl/sharedStrings.xml><?xml version="1.0" encoding="utf-8"?>
<sst xmlns="http://schemas.openxmlformats.org/spreadsheetml/2006/main" count="2147" uniqueCount="646">
  <si>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</si>
  <si>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</si>
  <si>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</si>
  <si>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</si>
  <si>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</si>
  <si>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</si>
  <si>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</si>
  <si>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</si>
  <si>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</si>
  <si>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</si>
  <si>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</si>
  <si>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</si>
  <si>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</si>
  <si>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</si>
  <si>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</si>
  <si>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</si>
  <si>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</si>
  <si>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</si>
  <si>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</si>
  <si>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</si>
  <si>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</si>
  <si>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</si>
  <si>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</si>
  <si>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</si>
  <si>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</si>
  <si>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</si>
  <si>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</si>
  <si>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</si>
  <si>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</si>
  <si>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</si>
  <si>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</si>
  <si>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</si>
  <si>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</si>
  <si>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</si>
  <si>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</si>
  <si>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</si>
  <si>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</si>
  <si>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</si>
  <si>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</si>
  <si>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</si>
  <si>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</si>
  <si>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</si>
  <si>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</si>
  <si>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</si>
  <si>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</si>
  <si>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</si>
  <si>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</si>
  <si>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</si>
  <si>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</si>
  <si>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</si>
  <si>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</si>
  <si>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</si>
  <si>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</si>
  <si>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</si>
  <si>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</si>
  <si>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</si>
  <si>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</si>
  <si>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</si>
  <si>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</si>
  <si>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</si>
  <si>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</si>
  <si>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</si>
  <si>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</si>
  <si>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</si>
  <si>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</si>
  <si>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</si>
  <si>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</si>
  <si>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</si>
  <si>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</si>
  <si>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</si>
  <si>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</si>
  <si>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</si>
  <si>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</si>
  <si>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</si>
  <si>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</si>
  <si>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</si>
  <si>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</si>
  <si>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</si>
  <si>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</si>
  <si>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</si>
  <si>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</si>
  <si>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</si>
  <si>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</si>
  <si>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</si>
  <si>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</si>
  <si>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</si>
  <si>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</si>
  <si>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</si>
  <si>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</si>
  <si>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</si>
  <si>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</si>
  <si>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</si>
  <si>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</si>
  <si>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</si>
  <si>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</si>
  <si>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</si>
  <si>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</si>
  <si>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</si>
  <si>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</si>
  <si>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</si>
  <si>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</si>
  <si>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</si>
  <si>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</si>
  <si>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</si>
  <si>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</si>
  <si>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</si>
  <si>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</si>
  <si>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</si>
  <si>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</si>
  <si>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</si>
  <si>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</si>
  <si>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</si>
  <si>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</si>
  <si>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</si>
  <si>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</si>
  <si>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</si>
  <si>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</si>
  <si>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</si>
  <si>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</si>
  <si>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</si>
  <si>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</si>
  <si>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</si>
  <si>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</si>
  <si>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</si>
  <si>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</si>
  <si>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</si>
  <si>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</si>
  <si>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</si>
  <si>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</si>
  <si>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</si>
  <si>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</si>
  <si>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</si>
  <si>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</si>
  <si>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</si>
  <si>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</si>
  <si>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</si>
  <si>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</si>
  <si>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</si>
  <si>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</si>
  <si>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</si>
  <si>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</si>
  <si>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</si>
  <si>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</si>
  <si>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</si>
  <si>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</si>
  <si>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</si>
  <si>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</si>
  <si>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</si>
  <si>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</si>
  <si>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</si>
  <si>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</si>
  <si>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</si>
  <si>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</si>
  <si>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</si>
  <si>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</si>
  <si>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</si>
  <si>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</si>
  <si>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</si>
  <si>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</si>
  <si>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</si>
  <si>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</si>
  <si>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</si>
  <si>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</si>
  <si>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</si>
  <si>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</si>
  <si>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</si>
  <si>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</si>
  <si>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</si>
  <si>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</si>
  <si>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</si>
  <si>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</si>
  <si>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</si>
  <si>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</si>
  <si>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</si>
  <si>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</si>
  <si>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</si>
  <si>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</si>
  <si>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</si>
  <si>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</si>
  <si>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</si>
  <si>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</si>
  <si>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</si>
  <si>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</si>
  <si>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</si>
  <si>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</si>
  <si>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</si>
  <si>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</si>
  <si>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</si>
  <si>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</si>
  <si>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</si>
  <si>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</si>
  <si>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</si>
  <si>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</si>
  <si>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</si>
  <si>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</si>
  <si>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</si>
  <si>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</si>
  <si>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</si>
  <si>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</si>
  <si>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</si>
  <si>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</si>
  <si>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</si>
  <si>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</si>
  <si>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</si>
  <si>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</si>
  <si>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</si>
  <si>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</si>
  <si>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</si>
  <si>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</si>
  <si>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</si>
  <si>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</si>
  <si>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</si>
  <si>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</si>
  <si>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</si>
  <si>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</si>
  <si>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</si>
  <si>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</si>
  <si>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</si>
  <si>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</si>
  <si>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</si>
  <si>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</si>
  <si>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</si>
  <si>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</si>
  <si>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</si>
  <si>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</si>
  <si>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</si>
  <si>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</si>
  <si>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</si>
  <si>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</si>
  <si>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</si>
  <si>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</si>
  <si>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</si>
  <si>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</si>
  <si>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</si>
  <si>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</si>
  <si>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</si>
  <si>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</si>
  <si>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</si>
  <si>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</si>
  <si>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</si>
  <si>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</si>
  <si>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</si>
  <si>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</si>
  <si>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</si>
  <si>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</si>
  <si>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</si>
  <si>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</si>
  <si>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</si>
  <si>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</si>
  <si>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</si>
  <si>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</si>
  <si>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</si>
  <si>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</si>
  <si>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</si>
  <si>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</si>
  <si>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</si>
  <si>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</si>
  <si>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</si>
  <si>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</si>
  <si>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</si>
  <si>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</si>
  <si>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</si>
  <si>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</si>
  <si>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</si>
  <si>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</si>
  <si>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</si>
  <si>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</si>
  <si>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</si>
  <si>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</si>
  <si>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</si>
  <si>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</si>
  <si>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</si>
  <si>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</si>
  <si>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</si>
  <si>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</si>
  <si>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</si>
  <si>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</si>
  <si>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</si>
  <si>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</si>
  <si>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</si>
  <si>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</si>
  <si>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</si>
  <si>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</si>
  <si>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</si>
  <si>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</si>
  <si>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</si>
  <si>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</si>
  <si>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</si>
  <si>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</si>
  <si>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</si>
  <si>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</si>
  <si>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</si>
  <si>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</si>
  <si>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</si>
  <si>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</si>
  <si>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</si>
  <si>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</si>
  <si>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</si>
  <si>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</si>
  <si>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</si>
  <si>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</si>
  <si>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</si>
  <si>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</si>
  <si>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</si>
  <si>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</si>
  <si>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</si>
  <si>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</si>
  <si>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</si>
  <si>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</si>
  <si>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</si>
  <si>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</si>
  <si>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</si>
  <si>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</si>
  <si>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</si>
  <si>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</si>
  <si>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</si>
  <si>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</si>
  <si>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</si>
  <si>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</si>
  <si>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</si>
  <si>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</si>
  <si>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</si>
  <si>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</si>
  <si>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</si>
  <si>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</si>
  <si>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</si>
  <si>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</si>
  <si>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</si>
  <si>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</si>
  <si>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</si>
  <si>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</si>
  <si>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</si>
  <si>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</si>
  <si>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</si>
  <si>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</si>
  <si>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</si>
  <si>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</si>
  <si>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</si>
  <si>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</si>
  <si>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</si>
  <si>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</si>
  <si>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</si>
  <si>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</si>
  <si>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</si>
  <si>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</si>
  <si>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</si>
  <si>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</si>
  <si>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</si>
  <si>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</si>
  <si>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</si>
  <si>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</si>
  <si>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</si>
  <si>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</si>
  <si>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</si>
  <si>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</si>
  <si>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</si>
  <si>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</si>
  <si>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</si>
  <si>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</si>
  <si>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</si>
  <si>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</si>
  <si>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</si>
  <si>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</si>
  <si>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</si>
  <si>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</si>
  <si>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</si>
  <si>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</si>
  <si>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</si>
  <si>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</si>
  <si>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</si>
  <si>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</si>
  <si>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</si>
  <si>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</si>
  <si>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</si>
  <si>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</si>
  <si>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</si>
  <si>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</si>
  <si>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</si>
  <si>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</si>
  <si>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</si>
  <si>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</si>
  <si>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</si>
  <si>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</si>
  <si>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</si>
  <si>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</si>
  <si>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</si>
  <si>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</si>
  <si>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</si>
  <si>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</si>
  <si>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</si>
  <si>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</si>
  <si>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</si>
  <si>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</si>
  <si>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</si>
  <si>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</si>
  <si>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</si>
  <si>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</si>
  <si>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</si>
  <si>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</si>
  <si>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</si>
  <si>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</si>
  <si>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</si>
  <si>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</si>
  <si>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</si>
  <si>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</si>
  <si>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</si>
  <si>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</si>
  <si>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</si>
  <si>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</si>
  <si>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</si>
  <si>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</si>
  <si>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</si>
  <si>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</si>
  <si>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</si>
  <si>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</si>
  <si>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</si>
  <si>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</si>
  <si>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</si>
  <si>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</si>
  <si>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</si>
  <si>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</si>
  <si>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</si>
  <si>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</si>
  <si>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</si>
  <si>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</si>
  <si>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</si>
  <si>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</si>
  <si>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</si>
  <si>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</si>
  <si>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</si>
  <si>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</si>
  <si>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</si>
  <si>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</si>
  <si>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</si>
  <si>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</si>
  <si>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</si>
  <si>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</si>
  <si>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</si>
  <si>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</si>
  <si>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</si>
  <si>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</si>
  <si>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</si>
  <si>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</si>
  <si>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</si>
  <si>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</si>
  <si>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</si>
  <si>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</si>
  <si>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</si>
  <si>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</si>
  <si>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</si>
  <si>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</si>
  <si>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</si>
  <si>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</si>
  <si>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</si>
  <si>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</si>
  <si>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</si>
  <si>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</si>
  <si>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</si>
  <si>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</si>
  <si>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</si>
  <si>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</si>
  <si>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</si>
  <si>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</si>
  <si>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</si>
  <si>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</si>
  <si>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</si>
  <si>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</si>
  <si>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</si>
  <si>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</si>
  <si>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</si>
  <si>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</si>
  <si>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</si>
  <si>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</si>
  <si>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</si>
  <si>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</si>
  <si>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</si>
  <si>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</si>
  <si>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</si>
  <si>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</si>
  <si>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</si>
  <si>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</si>
  <si>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</si>
  <si>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</si>
  <si>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</si>
  <si>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</si>
  <si>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</si>
  <si>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</si>
  <si>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</si>
  <si>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</si>
  <si>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</si>
  <si>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</si>
  <si>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</si>
  <si>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</si>
  <si>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</si>
  <si>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</si>
  <si>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</si>
  <si>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</si>
  <si>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</si>
  <si>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</si>
  <si>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</si>
  <si>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</si>
  <si>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</si>
  <si>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</si>
  <si>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</si>
  <si>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</si>
  <si>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</si>
  <si>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</si>
  <si>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</si>
  <si>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</si>
  <si>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</si>
  <si>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</si>
  <si>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</si>
  <si>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</si>
  <si>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</si>
  <si>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</si>
  <si>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</si>
  <si>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</si>
  <si>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</si>
  <si>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</si>
  <si>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</si>
  <si>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</si>
  <si>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</si>
  <si>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</si>
  <si>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</si>
  <si>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</si>
  <si>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</si>
  <si>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</si>
  <si>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</si>
  <si>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</si>
  <si>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</si>
  <si>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</si>
  <si>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</si>
  <si>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</si>
  <si>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</si>
  <si>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</si>
  <si>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</si>
  <si>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</si>
  <si>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</si>
  <si>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</si>
  <si>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</si>
  <si>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</si>
  <si>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</si>
  <si>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</si>
  <si>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</si>
  <si>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</si>
  <si>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</si>
  <si>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</si>
  <si>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</si>
  <si>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</si>
  <si>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</si>
  <si>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</si>
  <si>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</si>
  <si>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</si>
  <si>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</si>
  <si>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</si>
  <si>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</si>
  <si>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</si>
  <si>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</si>
  <si>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</si>
  <si>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</si>
  <si>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</si>
  <si>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</si>
  <si>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</si>
  <si>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</si>
  <si>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</si>
  <si>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</si>
  <si>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</si>
  <si>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</si>
  <si>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</si>
  <si>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</si>
  <si>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</si>
  <si>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</si>
  <si>
    <t>6ac486f64854db7e48d93b2c</t>
  </si>
  <si>
    <t>05/10/2026 22:12:51</t>
  </si>
  <si>
    <t>06/10/2026 02:28:22</t>
  </si>
  <si>
    <t>05/10/2026</t>
  </si>
  <si>
    <t>6ac486f54854db7e48d93b26</t>
  </si>
  <si>
    <t>05/10/2026 21:29:15</t>
  </si>
  <si>
    <t>06/10/2026 02:28:21</t>
  </si>
  <si>
    <t>6ac486f54854db7e48d93ad0</t>
  </si>
  <si>
    <t>05/10/2026 16:07:05</t>
  </si>
  <si>
    <t>6ac093aadb68f2f72a0ff083</t>
  </si>
  <si>
    <t>02/10/2026 22:34:52</t>
  </si>
  <si>
    <t>03/10/2026 02:33:30</t>
  </si>
  <si>
    <t>02/10/2026</t>
  </si>
  <si>
    <t>6ac093aadb68f2f72a0ff053</t>
  </si>
  <si>
    <t>02/10/2026 20:46:53</t>
  </si>
  <si>
    <t>6ac093a9db68f2f72a0ff047</t>
  </si>
  <si>
    <t>02/10/2026 18:34:53</t>
  </si>
  <si>
    <t>03/10/2026 02:33:29</t>
  </si>
  <si>
    <t>6ac093a9db68f2f72a0ff01d</t>
  </si>
  <si>
    <t>02/10/2026 16:21:35</t>
  </si>
  <si>
    <t>6ac7793df6baa94e5914b017</t>
  </si>
  <si>
    <t>07/10/2026 21:53:55</t>
  </si>
  <si>
    <t>08/10/2026 08:06:37</t>
  </si>
  <si>
    <t>07/10/2026</t>
  </si>
  <si>
    <t>6ac7793cf6baa94e5914b011</t>
  </si>
  <si>
    <t>07/10/2026 17:30:47</t>
  </si>
  <si>
    <t>08/10/2026 08:06:36</t>
  </si>
  <si>
    <t>6ac77861486c261c1cacc928</t>
  </si>
  <si>
    <t>07/10/2026 20:40:30</t>
  </si>
  <si>
    <t>08/10/2026 08:02:57</t>
  </si>
  <si>
    <t>6ac77861486c261c1cacc916</t>
  </si>
  <si>
    <t>07/10/2026 16:21:03</t>
  </si>
  <si>
    <t>6ac5da49636e383ab3c2e97e</t>
  </si>
  <si>
    <t>06/10/2026 22:00:17</t>
  </si>
  <si>
    <t>07/10/2026 02:36:09</t>
  </si>
  <si>
    <t>06/10/2026</t>
  </si>
  <si>
    <t>6ac5da49636e383ab3c2e978</t>
  </si>
  <si>
    <t>06/10/2026 21:22:17</t>
  </si>
  <si>
    <t>6ac5da48636e383ab3c2e948</t>
  </si>
  <si>
    <t>06/10/2026 17:33:08</t>
  </si>
  <si>
    <t>07/10/2026 02:36:08</t>
  </si>
  <si>
    <t>6ac5da48636e383ab3c2e92a</t>
  </si>
  <si>
    <t>06/10/2026 16:22:08</t>
  </si>
  <si>
    <t>6ac9cdb20fd30db1b9055a0f</t>
  </si>
  <si>
    <t>09/10/2026 21:59:05</t>
  </si>
  <si>
    <t>10/10/2026 02:31:30</t>
  </si>
  <si>
    <t>09/10/2026</t>
  </si>
  <si>
    <t>6ac9cdb10fd30db1b90559c7</t>
  </si>
  <si>
    <t>09/10/2026 20:02:07</t>
  </si>
  <si>
    <t>10/10/2026 02:31:29</t>
  </si>
  <si>
    <t>6ac9cdb10fd30db1b90559c1</t>
  </si>
  <si>
    <t>09/10/2026 17:24:19</t>
  </si>
  <si>
    <t>6ac9cdb00fd30db1b90559af</t>
  </si>
  <si>
    <t>09/10/2026 16:19:11</t>
  </si>
  <si>
    <t>10/10/2026 02:31:28</t>
  </si>
  <si>
    <t>6ac877fc898c48a2f44ba6df</t>
  </si>
  <si>
    <t>08/10/2026 22:09:42</t>
  </si>
  <si>
    <t>09/10/2026 02:13:32</t>
  </si>
  <si>
    <t>08/10/2026</t>
  </si>
  <si>
    <t>6ac877fb898c48a2f44ba6d9</t>
  </si>
  <si>
    <t>08/10/2026 21:24:19</t>
  </si>
  <si>
    <t>09/10/2026 02:13:31</t>
  </si>
  <si>
    <t>6ac877fb898c48a2f44ba6b3</t>
  </si>
  <si>
    <t>08/10/2026 18:21:26</t>
  </si>
  <si>
    <t>6ac877fb898c48a2f44ba695</t>
  </si>
  <si>
    <t>08/10/2026 16:37:53</t>
  </si>
  <si>
    <t>6acf1420493a357f397acf4c</t>
  </si>
  <si>
    <t>13/10/2026 21:48:46</t>
  </si>
  <si>
    <t>14/10/2026 02:33:20</t>
  </si>
  <si>
    <t>13/10/2026</t>
  </si>
  <si>
    <t>6acf141f493a357f397acf34</t>
  </si>
  <si>
    <t>13/10/2026 16:31:23</t>
  </si>
  <si>
    <t>14/10/2026 02:33:19</t>
  </si>
  <si>
    <t>Selagem está conforme,
Data  de validade e produção estão de acordo,
Caixa está sem rasgos e seca,
Acomodação do produto está conforme especificação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</si>
</sst>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309.407449305552" createdVersion="5" refreshedVersion="5" minRefreshableVersion="3" recordCount="216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53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  <s v="05/10/2026"/>
        <s v="02/10/2026"/>
        <s v="07/10/2026"/>
        <s v="06/10/2026"/>
        <s v="09/10/2026"/>
        <s v="08/10/2026"/>
        <s v="13/10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6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  <r>
    <x v="9"/>
    <s v="6ac486f64854db7e48d93b2c"/>
    <s v="05/10/2026 22:12:51"/>
    <s v="06/10/2026 02:28:22"/>
    <s v="Ranieli"/>
    <x v="46"/>
    <n v="2"/>
    <n v="7"/>
    <n v="7"/>
    <n v="7"/>
    <n v="5"/>
    <n v="22"/>
    <n v="19"/>
    <n v="78"/>
    <n v="81"/>
    <n v="7"/>
    <n v="7"/>
    <n v="7"/>
    <n v="7"/>
    <n v="7"/>
    <n v="7"/>
    <s v="Riscou o Sassami em X,_x000a_Usou o garfo na retirada de Sassami,_x000a_Retirou a Cartilagem"/>
    <n v="7"/>
    <n v="7"/>
    <n v="39"/>
    <n v="19.5"/>
    <n v="48"/>
    <n v="6"/>
    <n v="24"/>
    <n v="70"/>
    <n v="3"/>
    <n v="15"/>
    <n v="7"/>
    <n v="42641"/>
    <s v="Acomodação do produto está conforme especificação,_x000a_Selagem está conforme,_x000a_Data  de validade e produção estão de acordo,_x000a_Caixa está sem rasgos e seca"/>
    <s v="assinatura"/>
    <s v="assinatura"/>
    <n v="11403"/>
  </r>
  <r>
    <x v="9"/>
    <s v="6ac486f54854db7e48d93b26"/>
    <s v="05/10/2026 21:29:15"/>
    <s v="06/10/2026 02:28:21"/>
    <s v="Ranieli"/>
    <x v="46"/>
    <n v="2"/>
    <n v="7"/>
    <n v="7"/>
    <n v="7"/>
    <n v="5"/>
    <n v="10"/>
    <n v="17"/>
    <n v="90"/>
    <n v="83"/>
    <n v="7"/>
    <n v="7"/>
    <n v="7"/>
    <n v="7"/>
    <n v="7"/>
    <n v="7"/>
    <s v="Riscou o Sassami em X,_x000a_Usou o garfo na retirada de Sassami,_x000a_Retirou a Cartilagem"/>
    <n v="10"/>
    <n v="7"/>
    <n v="46"/>
    <n v="23"/>
    <n v="39"/>
    <n v="9"/>
    <n v="19.5"/>
    <n v="55"/>
    <n v="3"/>
    <n v="15"/>
    <n v="7"/>
    <n v="42862"/>
    <s v="Caixa está sem rasgos e seca,_x000a_Data  de validade e produção estão de acordo,_x000a_Selagem está conforme"/>
    <s v="assinatura"/>
    <s v="assinatura"/>
    <n v="13958"/>
  </r>
  <r>
    <x v="9"/>
    <s v="6ac486f54854db7e48d93ad0"/>
    <s v="05/10/2026 16:07:05"/>
    <s v="06/10/2026 02:28:21"/>
    <s v="Ranieli"/>
    <x v="46"/>
    <n v="2"/>
    <n v="7"/>
    <n v="7"/>
    <n v="7"/>
    <n v="5"/>
    <n v="16"/>
    <n v="13"/>
    <n v="84"/>
    <n v="87"/>
    <n v="5"/>
    <n v="7"/>
    <n v="7"/>
    <n v="5"/>
    <n v="7"/>
    <n v="5"/>
    <s v="Riscou o Sassami em X,_x000a_Retirou a Cartilagem"/>
    <n v="10"/>
    <n v="10"/>
    <n v="50"/>
    <n v="25"/>
    <n v="41"/>
    <n v="6"/>
    <n v="20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065"/>
  </r>
  <r>
    <x v="9"/>
    <s v="6ac093aadb68f2f72a0ff083"/>
    <s v="02/10/2026 22:34:52"/>
    <s v="03/10/2026 02:33:30"/>
    <s v="Ranieli"/>
    <x v="47"/>
    <n v="2"/>
    <n v="7"/>
    <n v="7"/>
    <n v="7"/>
    <n v="5"/>
    <n v="22"/>
    <n v="13"/>
    <n v="78"/>
    <n v="87"/>
    <n v="5"/>
    <n v="7"/>
    <n v="7"/>
    <n v="7"/>
    <n v="7"/>
    <n v="5"/>
    <s v="Riscou o Sassami em X,_x000a_Retirou a Cartilagem"/>
    <s v=""/>
    <s v=""/>
    <n v="49"/>
    <n v="24.5"/>
    <n v="49"/>
    <n v="6"/>
    <n v="24.5"/>
    <n v="70"/>
    <n v="4"/>
    <n v="20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2892"/>
  </r>
  <r>
    <x v="9"/>
    <s v="6ac093aadb68f2f72a0ff053"/>
    <s v="02/10/2026 20:46:53"/>
    <s v="03/10/2026 02:33:30"/>
    <s v="Ranieli"/>
    <x v="47"/>
    <n v="2"/>
    <n v="7"/>
    <n v="7"/>
    <n v="7"/>
    <n v="7"/>
    <n v="27"/>
    <n v="10"/>
    <n v="73"/>
    <n v="90"/>
    <n v="5"/>
    <n v="7"/>
    <n v="7"/>
    <n v="7"/>
    <n v="7"/>
    <n v="7"/>
    <s v="Riscou o Sassami em X,_x000a_Retirou a Cartilagem"/>
    <n v="7"/>
    <s v=""/>
    <n v="45"/>
    <n v="22.5"/>
    <n v="40"/>
    <n v="7"/>
    <n v="20"/>
    <n v="65"/>
    <n v="3"/>
    <n v="15"/>
    <n v="7"/>
    <n v="42838"/>
    <s v="Caixa está sem rasgos e seca,_x000a_Data  de validade e produção estão de acordo,_x000a_Selagem está conforme"/>
    <s v="assinatura"/>
    <s v="assinatura"/>
    <n v="19457"/>
  </r>
  <r>
    <x v="9"/>
    <s v="6ac093a9db68f2f72a0ff047"/>
    <s v="02/10/2026 18:34:53"/>
    <s v="03/10/2026 02:33:29"/>
    <s v="Ranieli"/>
    <x v="47"/>
    <n v="2"/>
    <n v="7"/>
    <n v="7"/>
    <n v="7"/>
    <n v="7"/>
    <n v="19"/>
    <n v="17"/>
    <n v="81"/>
    <n v="83"/>
    <n v="7"/>
    <n v="7"/>
    <n v="7"/>
    <n v="7"/>
    <n v="7"/>
    <n v="5"/>
    <s v="Riscou o Sassami em X,_x000a_Retirou a Cartilagem"/>
    <n v="7"/>
    <n v="7"/>
    <n v="43"/>
    <n v="21.5"/>
    <n v="65"/>
    <n v="7"/>
    <n v="32.5"/>
    <n v="65"/>
    <n v="2"/>
    <n v="1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044"/>
  </r>
  <r>
    <x v="9"/>
    <s v="6ac093a9db68f2f72a0ff01d"/>
    <s v="02/10/2026 16:21:35"/>
    <s v="03/10/2026 02:33:29"/>
    <s v="Ranieli"/>
    <x v="47"/>
    <n v="2"/>
    <n v="7"/>
    <n v="7"/>
    <n v="7"/>
    <n v="5"/>
    <n v="24"/>
    <n v="14"/>
    <n v="76"/>
    <n v="86"/>
    <n v="7"/>
    <n v="7"/>
    <n v="7"/>
    <n v="7"/>
    <n v="7"/>
    <s v=""/>
    <s v="Riscou o Sassami em X,_x000a_Retirou a Cartilagem"/>
    <n v="7"/>
    <n v="7"/>
    <n v="51"/>
    <n v="25.5"/>
    <n v="50"/>
    <n v="9"/>
    <n v="25"/>
    <n v="5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0073"/>
  </r>
  <r>
    <x v="9"/>
    <s v="6ac7793df6baa94e5914b017"/>
    <s v="07/10/2026 21:53:55"/>
    <s v="08/10/2026 08:06:37"/>
    <s v="Ranieli"/>
    <x v="48"/>
    <n v="2"/>
    <n v="7"/>
    <n v="7"/>
    <n v="7"/>
    <n v="5"/>
    <n v="37"/>
    <n v="22"/>
    <n v="63"/>
    <n v="78"/>
    <n v="7"/>
    <n v="7"/>
    <n v="7"/>
    <n v="7"/>
    <n v="7"/>
    <n v="7"/>
    <s v="Riscou o Sassami em X,_x000a_Usou o garfo na retirada de Sassami,_x000a_Retirou a Cartilagem"/>
    <s v=""/>
    <s v=""/>
    <n v="59"/>
    <n v="29.5"/>
    <n v="40"/>
    <n v="7"/>
    <n v="20"/>
    <n v="65"/>
    <n v="6"/>
    <n v="30"/>
    <n v="7"/>
    <n v="40762"/>
    <s v="Caixa está sem rasgos e seca,_x000a_Data  de validade e produção estão de acordo,_x000a_Selagem está conforme"/>
    <s v="assinatura"/>
    <s v="assinatura"/>
    <n v="15353"/>
  </r>
  <r>
    <x v="9"/>
    <s v="6ac7793cf6baa94e5914b011"/>
    <s v="07/10/2026 17:30:47"/>
    <s v="08/10/2026 08:06:36"/>
    <s v="Ranieli"/>
    <x v="48"/>
    <n v="2"/>
    <n v="7"/>
    <n v="7"/>
    <n v="7"/>
    <n v="5"/>
    <n v="36"/>
    <n v="27"/>
    <n v="64"/>
    <n v="73"/>
    <n v="7"/>
    <n v="7"/>
    <n v="7"/>
    <n v="7"/>
    <n v="7"/>
    <n v="7"/>
    <s v="Riscou o Sassami em X,_x000a_Usou o garfo na retirada de Sassami,_x000a_Retirou a Cartilagem"/>
    <n v="10"/>
    <n v="7"/>
    <n v="51"/>
    <n v="25.5"/>
    <n v="37"/>
    <n v="6"/>
    <n v="18.5"/>
    <n v="70"/>
    <n v="4"/>
    <n v="20"/>
    <n v="7"/>
    <n v="42862"/>
    <s v="Caixa está sem rasgos e seca,_x000a_Selagem está conforme,_x000a_Data  de validade e produção estão de acordo"/>
    <s v="assinatura"/>
    <s v="assinatura"/>
    <n v="11342"/>
  </r>
  <r>
    <x v="9"/>
    <s v="6ac77861486c261c1cacc928"/>
    <s v="07/10/2026 20:40:30"/>
    <s v="08/10/2026 08:02:57"/>
    <s v="Ranieli"/>
    <x v="48"/>
    <n v="2"/>
    <s v=""/>
    <n v="7"/>
    <n v="7"/>
    <n v="5"/>
    <n v="43"/>
    <n v="25"/>
    <n v="57"/>
    <n v="75"/>
    <n v="7"/>
    <n v="7"/>
    <n v="7"/>
    <n v="7"/>
    <n v="7"/>
    <n v="5"/>
    <s v="Riscou o Sassami em X,_x000a_Retirou a Cartilagem"/>
    <s v=""/>
    <s v=""/>
    <n v="31"/>
    <n v="15.5"/>
    <n v="44"/>
    <n v="7"/>
    <n v="22"/>
    <n v="65"/>
    <n v="5"/>
    <n v="25"/>
    <n v="10"/>
    <n v="992039"/>
    <s v="Acomodação do produto está conforme especificação,_x000a_Caixa está sem rasgos e seca,_x000a_Data  de validade e produção estão de acordo,_x000a_Selagem está conforme"/>
    <s v="assinatura"/>
    <s v="assinatura"/>
    <n v="4965"/>
  </r>
  <r>
    <x v="9"/>
    <s v="6ac77861486c261c1cacc916"/>
    <s v="07/10/2026 16:21:03"/>
    <s v="08/10/2026 08:02:57"/>
    <s v="Ranieli"/>
    <x v="48"/>
    <n v="2"/>
    <n v="7"/>
    <n v="7"/>
    <n v="7"/>
    <n v="5"/>
    <n v="29"/>
    <n v="21"/>
    <n v="71"/>
    <n v="79"/>
    <n v="7"/>
    <n v="7"/>
    <n v="7"/>
    <n v="7"/>
    <n v="7"/>
    <n v="7"/>
    <s v="Riscou o Sassami em X,_x000a_Usou o garfo na retirada de Sassami,_x000a_Retirou a Cartilagem"/>
    <n v="7"/>
    <n v="7"/>
    <n v="40"/>
    <n v="20"/>
    <n v="41"/>
    <n v="6"/>
    <n v="20.5"/>
    <n v="70"/>
    <n v="5"/>
    <n v="25"/>
    <n v="10"/>
    <n v="15105"/>
    <s v="Caixa está sem rasgos e seca,_x000a_Data  de validade e produção estão de acordo,_x000a_Selagem está conforme"/>
    <s v="assinatura"/>
    <s v="assinatura"/>
    <n v="35072"/>
  </r>
  <r>
    <x v="9"/>
    <s v="6ac5da49636e383ab3c2e97e"/>
    <s v="06/10/2026 22:00:17"/>
    <s v="07/10/2026 02:36:09"/>
    <s v="Ranieli"/>
    <x v="49"/>
    <n v="2"/>
    <n v="7"/>
    <n v="7"/>
    <n v="7"/>
    <n v="5"/>
    <n v="38"/>
    <n v="12"/>
    <n v="62"/>
    <n v="88"/>
    <n v="7"/>
    <n v="7"/>
    <n v="7"/>
    <n v="7"/>
    <n v="7"/>
    <n v="7"/>
    <s v="Riscou o Sassami em X,_x000a_Usou o garfo na retirada de Sassami,_x000a_Retirou a Cartilagem"/>
    <n v="10"/>
    <n v="7"/>
    <n v="37"/>
    <n v="18.5"/>
    <n v="47"/>
    <n v="6"/>
    <n v="23.5"/>
    <n v="70"/>
    <n v="4"/>
    <n v="20"/>
    <n v="7"/>
    <n v="40762"/>
    <s v="Caixa está sem rasgos e seca,_x000a_Data  de validade e produção estão de acordo,_x000a_Selagem está conforme"/>
    <s v="assinatura"/>
    <s v="assinatura"/>
    <n v="13753"/>
  </r>
  <r>
    <x v="9"/>
    <s v="6ac5da49636e383ab3c2e978"/>
    <s v="06/10/2026 21:22:17"/>
    <s v="07/10/2026 02:36:09"/>
    <s v="Ranieli"/>
    <x v="49"/>
    <n v="2"/>
    <n v="7"/>
    <n v="7"/>
    <n v="7"/>
    <n v="7"/>
    <n v="32"/>
    <n v="16"/>
    <n v="68"/>
    <n v="84"/>
    <n v="7"/>
    <n v="7"/>
    <n v="7"/>
    <n v="7"/>
    <n v="7"/>
    <n v="7"/>
    <s v="Riscou o Sassami em X,_x000a_Usou o garfo na retirada de Sassami,_x000a_Retirou a Cartilagem"/>
    <n v="7"/>
    <n v="7"/>
    <n v="48"/>
    <n v="24"/>
    <n v="44"/>
    <n v="8"/>
    <n v="22"/>
    <n v="60"/>
    <n v="5"/>
    <n v="2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15998"/>
  </r>
  <r>
    <x v="9"/>
    <s v="6ac5da48636e383ab3c2e948"/>
    <s v="06/10/2026 17:33:08"/>
    <s v="07/10/2026 02:36:08"/>
    <s v="Ranieli"/>
    <x v="49"/>
    <n v="2"/>
    <n v="7"/>
    <n v="7"/>
    <n v="7"/>
    <n v="5"/>
    <n v="37"/>
    <n v="24"/>
    <n v="63"/>
    <n v="76"/>
    <n v="7"/>
    <n v="7"/>
    <n v="7"/>
    <n v="7"/>
    <n v="7"/>
    <n v="7"/>
    <s v="Riscou o Sassami em X,_x000a_Usou o garfo na retirada de Sassami,_x000a_Retirou a Cartilagem"/>
    <s v=""/>
    <s v=""/>
    <n v="33"/>
    <n v="16.5"/>
    <n v="55"/>
    <n v="8"/>
    <n v="27.500000000000004"/>
    <n v="60"/>
    <n v="7"/>
    <n v="35"/>
    <n v="7"/>
    <n v="42838"/>
    <s v="Caixa está sem rasgos e seca,_x000a_Data  de validade e produção estão de acordo,_x000a_Selagem está conforme"/>
    <s v="assinatura"/>
    <s v="assinatura"/>
    <n v="29574"/>
  </r>
  <r>
    <x v="9"/>
    <s v="6ac5da48636e383ab3c2e92a"/>
    <s v="06/10/2026 16:22:08"/>
    <s v="07/10/2026 02:36:08"/>
    <s v="Ranieli"/>
    <x v="49"/>
    <n v="2"/>
    <n v="7"/>
    <n v="7"/>
    <n v="7"/>
    <n v="5"/>
    <n v="22"/>
    <n v="17"/>
    <n v="78"/>
    <n v="83"/>
    <n v="7"/>
    <n v="7"/>
    <n v="7"/>
    <n v="7"/>
    <n v="7"/>
    <n v="7"/>
    <s v="Riscou o Sassami em X,_x000a_Usou o garfo na retirada de Sassami,_x000a_Retirou a Cartilagem"/>
    <n v="10"/>
    <n v="7"/>
    <n v="57"/>
    <n v="28.499999999999996"/>
    <n v="38"/>
    <n v="7"/>
    <n v="19"/>
    <n v="6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762"/>
  </r>
  <r>
    <x v="9"/>
    <s v="6ac9cdb20fd30db1b9055a0f"/>
    <s v="09/10/2026 21:59:05"/>
    <s v="10/10/2026 02:31:30"/>
    <s v="Ranieli"/>
    <x v="50"/>
    <n v="2"/>
    <n v="7"/>
    <n v="7"/>
    <n v="7"/>
    <n v="7"/>
    <n v="22"/>
    <n v="19"/>
    <n v="78"/>
    <n v="81"/>
    <n v="7"/>
    <n v="7"/>
    <n v="7"/>
    <n v="7"/>
    <n v="7"/>
    <n v="7"/>
    <s v="Riscou o Sassami em X,_x000a_Usou o garfo na retirada de Sassami,_x000a_Retirou a Cartilagem"/>
    <n v="10"/>
    <s v=""/>
    <n v="49"/>
    <n v="24.5"/>
    <n v="57"/>
    <n v="7"/>
    <n v="28.499999999999996"/>
    <n v="65"/>
    <n v="6"/>
    <n v="30"/>
    <n v="7"/>
    <n v="40762"/>
    <s v="Caixa está sem rasgos e seca,_x000a_Data  de validade e produção estão de acordo,_x000a_Selagem está conforme"/>
    <s v="assinatura"/>
    <s v="assinatura"/>
    <n v="16087"/>
  </r>
  <r>
    <x v="9"/>
    <s v="6ac9cdb10fd30db1b90559c7"/>
    <s v="09/10/2026 20:02:07"/>
    <s v="10/10/2026 02:31:29"/>
    <s v="Ranieli"/>
    <x v="50"/>
    <n v="2"/>
    <n v="7"/>
    <n v="7"/>
    <n v="7"/>
    <n v="5"/>
    <n v="22"/>
    <n v="15"/>
    <n v="78"/>
    <n v="85"/>
    <n v="5"/>
    <n v="7"/>
    <n v="7"/>
    <n v="7"/>
    <n v="7"/>
    <n v="7"/>
    <s v="Riscou o Sassami em X,_x000a_Usou o garfo na retirada de Sassami,_x000a_Retirou a Cartilagem"/>
    <n v="7"/>
    <n v="7"/>
    <n v="49"/>
    <n v="24.5"/>
    <n v="61"/>
    <n v="7"/>
    <n v="30.5"/>
    <n v="6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2924"/>
  </r>
  <r>
    <x v="9"/>
    <s v="6ac9cdb10fd30db1b90559c1"/>
    <s v="09/10/2026 17:24:19"/>
    <s v="10/10/2026 02:31:29"/>
    <s v="Ranieli"/>
    <x v="50"/>
    <n v="2"/>
    <n v="7"/>
    <n v="7"/>
    <n v="7"/>
    <n v="5"/>
    <n v="38"/>
    <n v="23"/>
    <n v="62"/>
    <n v="77"/>
    <n v="7"/>
    <n v="7"/>
    <n v="7"/>
    <n v="7"/>
    <n v="7"/>
    <n v="7"/>
    <s v="Riscou o Sassami em X,_x000a_Usou o garfo na retirada de Sassami,_x000a_Retirou a Cartilagem"/>
    <s v=""/>
    <s v=""/>
    <n v="66"/>
    <n v="33"/>
    <n v="64"/>
    <n v="5"/>
    <n v="32"/>
    <n v="75"/>
    <n v="5"/>
    <n v="25"/>
    <n v="7"/>
    <n v="42854"/>
    <s v="Caixa está sem rasgos e seca,_x000a_Data  de validade e produção estão de acordo,_x000a_Selagem está conforme"/>
    <s v="assinatura"/>
    <s v="assinatura"/>
    <n v="32373"/>
  </r>
  <r>
    <x v="9"/>
    <s v="6ac9cdb00fd30db1b90559af"/>
    <s v="09/10/2026 16:19:11"/>
    <s v="10/10/2026 02:31:28"/>
    <s v="Ranieli"/>
    <x v="50"/>
    <n v="2"/>
    <n v="7"/>
    <n v="7"/>
    <n v="7"/>
    <n v="7"/>
    <n v="30"/>
    <n v="22"/>
    <n v="70"/>
    <n v="78"/>
    <n v="7"/>
    <n v="7"/>
    <n v="7"/>
    <n v="7"/>
    <n v="7"/>
    <n v="7"/>
    <s v="Riscou o Sassami em X,_x000a_Usou o garfo na retirada de Sassami,_x000a_Retirou a Cartilagem"/>
    <n v="7"/>
    <n v="7"/>
    <n v="49"/>
    <n v="24.5"/>
    <n v="61"/>
    <n v="5"/>
    <n v="30.5"/>
    <n v="7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6253"/>
  </r>
  <r>
    <x v="9"/>
    <s v="6ac877fc898c48a2f44ba6df"/>
    <s v="08/10/2026 22:09:42"/>
    <s v="09/10/2026 02:13:32"/>
    <s v="Ranieli"/>
    <x v="51"/>
    <n v="2"/>
    <n v="7"/>
    <n v="10"/>
    <n v="7"/>
    <n v="5"/>
    <n v="23"/>
    <n v="29"/>
    <n v="77"/>
    <n v="71"/>
    <n v="7"/>
    <n v="7"/>
    <n v="7"/>
    <n v="7"/>
    <n v="7"/>
    <s v=""/>
    <s v="Riscou o Sassami em X,_x000a_Usou o garfo na retirada de Sassami,_x000a_Retirou a Cartilagem"/>
    <n v="10"/>
    <n v="7"/>
    <n v="62"/>
    <n v="31"/>
    <n v="49"/>
    <n v="5"/>
    <n v="24.5"/>
    <n v="75"/>
    <n v="3"/>
    <n v="15"/>
    <n v="7"/>
    <n v="40762"/>
    <s v="Data  de validade e produção estão de acordo,_x000a_Caixa está sem rasgos e seca,_x000a_Selagem está conforme"/>
    <s v="assinatura"/>
    <s v="assinatura"/>
    <n v="13342"/>
  </r>
  <r>
    <x v="9"/>
    <s v="6ac877fb898c48a2f44ba6d9"/>
    <s v="08/10/2026 21:24:19"/>
    <s v="09/10/2026 02:13:31"/>
    <s v="Ranieli"/>
    <x v="51"/>
    <n v="2"/>
    <n v="7"/>
    <n v="7"/>
    <n v="7"/>
    <n v="7"/>
    <n v="22"/>
    <n v="23"/>
    <n v="78"/>
    <n v="77"/>
    <n v="7"/>
    <n v="7"/>
    <n v="7"/>
    <n v="7"/>
    <n v="7"/>
    <s v=""/>
    <s v="Riscou o Sassami em X,_x000a_Usou o garfo na retirada de Sassami,_x000a_Retirou a Cartilagem"/>
    <n v="10"/>
    <n v="10"/>
    <n v="42"/>
    <n v="21"/>
    <n v="47"/>
    <n v="8"/>
    <n v="23.5"/>
    <n v="60"/>
    <n v="4"/>
    <n v="20"/>
    <n v="7"/>
    <n v="42846"/>
    <s v="Caixa está sem rasgos e seca,_x000a_Data  de validade e produção estão de acordo,_x000a_Selagem está conforme"/>
    <s v="assinatura"/>
    <s v="assinatura"/>
    <n v="16090"/>
  </r>
  <r>
    <x v="9"/>
    <s v="6ac877fb898c48a2f44ba6b3"/>
    <s v="08/10/2026 18:21:26"/>
    <s v="09/10/2026 02:13:31"/>
    <s v="Ranieli"/>
    <x v="51"/>
    <n v="2"/>
    <n v="7"/>
    <n v="7"/>
    <n v="7"/>
    <n v="5"/>
    <n v="21"/>
    <n v="25"/>
    <n v="79"/>
    <n v="75"/>
    <n v="7"/>
    <n v="7"/>
    <n v="7"/>
    <n v="7"/>
    <n v="7"/>
    <s v=""/>
    <s v="Riscou o Sassami em X,_x000a_Retirou a Cartilagem"/>
    <s v=""/>
    <s v=""/>
    <n v="44"/>
    <n v="22"/>
    <n v="43"/>
    <n v="5"/>
    <n v="21.5"/>
    <n v="75"/>
    <n v="5"/>
    <n v="25"/>
    <n v="10"/>
    <n v="995638"/>
    <s v="Acomodação do produto está conforme especificação,_x000a_Data  de validade e produção estão de acordo,_x000a_Selagem está conforme,_x000a_Caixa está sem rasgos e seca"/>
    <s v="assinatura"/>
    <s v="assinatura"/>
    <n v="27178"/>
  </r>
  <r>
    <x v="9"/>
    <s v="6ac877fb898c48a2f44ba695"/>
    <s v="08/10/2026 16:37:53"/>
    <s v="09/10/2026 02:13:31"/>
    <s v="Ranieli"/>
    <x v="51"/>
    <n v="2"/>
    <n v="7"/>
    <n v="7"/>
    <n v="7"/>
    <n v="5"/>
    <n v="37"/>
    <n v="23"/>
    <n v="63"/>
    <n v="77"/>
    <n v="7"/>
    <n v="7"/>
    <n v="7"/>
    <n v="7"/>
    <n v="7"/>
    <n v="7"/>
    <s v="Riscou o Sassami em X,_x000a_Usou o garfo na retirada de Sassami,_x000a_Retirou a Cartilagem"/>
    <n v="10"/>
    <n v="7"/>
    <n v="56"/>
    <n v="28.000000000000004"/>
    <n v="50"/>
    <n v="4"/>
    <n v="2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"/>
    <s v=""/>
    <n v="34480"/>
  </r>
  <r>
    <x v="9"/>
    <s v="6acf1420493a357f397acf4c"/>
    <s v="13/10/2026 21:48:46"/>
    <s v="14/10/2026 02:33:20"/>
    <s v="Ranieli"/>
    <x v="52"/>
    <n v="2"/>
    <n v="7"/>
    <n v="10"/>
    <n v="7"/>
    <n v="5"/>
    <n v="32"/>
    <n v="33"/>
    <n v="68"/>
    <n v="67"/>
    <n v="7"/>
    <n v="7"/>
    <n v="7"/>
    <n v="7"/>
    <n v="7"/>
    <n v="5"/>
    <s v="Riscou o Sassami em X,_x000a_Retirou a Cartilagem"/>
    <n v="7"/>
    <n v="7"/>
    <n v="48"/>
    <n v="24"/>
    <n v="47"/>
    <n v="9"/>
    <n v="23.5"/>
    <n v="55"/>
    <n v="4"/>
    <n v="20"/>
    <n v="10"/>
    <n v="995638"/>
    <s v="Acomodação do produto está conforme especificação,_x000a_Data  de validade e produção estão de acordo,_x000a_Caixa está sem rasgos e seca,_x000a_Selagem está conforme"/>
    <s v="assinatura"/>
    <s v="assinatura"/>
    <n v="7341"/>
  </r>
  <r>
    <x v="9"/>
    <s v="6acf141f493a357f397acf34"/>
    <s v="13/10/2026 16:31:23"/>
    <s v="14/10/2026 02:33:19"/>
    <s v="Ranieli"/>
    <x v="52"/>
    <n v="2"/>
    <n v="7"/>
    <n v="10"/>
    <n v="10"/>
    <n v="7"/>
    <n v="33"/>
    <n v="39"/>
    <n v="67"/>
    <n v="61"/>
    <n v="5"/>
    <n v="7"/>
    <n v="7"/>
    <n v="7"/>
    <n v="7"/>
    <n v="7"/>
    <s v="Riscou o Sassami em X,_x000a_Retirou a Cartilagem"/>
    <n v="7"/>
    <n v="7"/>
    <n v="66"/>
    <n v="33"/>
    <n v="46"/>
    <n v="9"/>
    <n v="23"/>
    <n v="55"/>
    <n v="2"/>
    <n v="10"/>
    <n v="10"/>
    <n v="15105"/>
    <s v="Selagem está conforme,_x000a_Data  de validade e produção estão de acordo,_x000a_Caixa está sem rasgos e seca,_x000a_Acomodação do produto está conforme especificação"/>
    <s v="assinatura"/>
    <s v="assinatura"/>
    <n v="262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B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54">
        <item x="26"/>
        <item x="45"/>
        <item x="28"/>
        <item x="47"/>
        <item x="27"/>
        <item x="14"/>
        <item x="46"/>
        <item x="13"/>
        <item x="49"/>
        <item x="12"/>
        <item x="48"/>
        <item x="29"/>
        <item x="51"/>
        <item x="32"/>
        <item x="50"/>
        <item x="11"/>
        <item x="31"/>
        <item x="10"/>
        <item x="30"/>
        <item x="9"/>
        <item x="8"/>
        <item x="52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8">
    <i>
      <x v="1"/>
    </i>
    <i>
      <x v="3"/>
    </i>
    <i>
      <x v="6"/>
    </i>
    <i>
      <x v="8"/>
    </i>
    <i>
      <x v="10"/>
    </i>
    <i>
      <x v="12"/>
    </i>
    <i>
      <x v="14"/>
    </i>
    <i>
      <x v="2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217" totalsRowShown="0">
  <autoFilter ref="A1:AL217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O13" sqref="O13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01/10/2026</v>
      </c>
      <c r="V3" s="20" t="str">
        <f t="shared" ref="V3:AR3" si="0">IF(V118="","",V118)</f>
        <v>02/10/2026</v>
      </c>
      <c r="W3" s="20" t="str">
        <f t="shared" si="0"/>
        <v>05/10/2026</v>
      </c>
      <c r="X3" s="20" t="str">
        <f t="shared" si="0"/>
        <v>06/10/2026</v>
      </c>
      <c r="Y3" s="20" t="str">
        <f t="shared" si="0"/>
        <v>07/10/2026</v>
      </c>
      <c r="Z3" s="20" t="str">
        <f t="shared" si="0"/>
        <v>08/10/2026</v>
      </c>
      <c r="AA3" s="20" t="str">
        <f t="shared" si="0"/>
        <v>09/10/2026</v>
      </c>
      <c r="AB3" s="20" t="str">
        <f t="shared" si="0"/>
        <v>13/10/2026</v>
      </c>
      <c r="AC3" s="20" t="str">
        <f t="shared" si="0"/>
        <v/>
      </c>
      <c r="AD3" s="20" t="str">
        <f t="shared" si="0"/>
        <v/>
      </c>
      <c r="AE3" s="20" t="str">
        <f t="shared" si="0"/>
        <v/>
      </c>
      <c r="AF3" s="20" t="str">
        <f t="shared" si="0"/>
        <v/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 t="str">
        <f ca="1">IFERROR(AVERAGEIFS(INDIRECT("Tabela1["&amp;$D4&amp;"]"),Tabela1[Turno],$F4,Tabela1[Data],W$3),"")</f>
        <v/>
      </c>
      <c r="X4" s="26" t="str">
        <f ca="1">IFERROR(AVERAGEIFS(INDIRECT("Tabela1["&amp;$D4&amp;"]"),Tabela1[Turno],$F4,Tabela1[Data],X$3),"")</f>
        <v/>
      </c>
      <c r="Y4" s="26" t="str">
        <f ca="1">IFERROR(AVERAGEIFS(INDIRECT("Tabela1["&amp;$D4&amp;"]"),Tabela1[Turno],$F4,Tabela1[Data],Y$3),"")</f>
        <v/>
      </c>
      <c r="Z4" s="26" t="str">
        <f ca="1">IFERROR(AVERAGEIFS(INDIRECT("Tabela1["&amp;$D4&amp;"]"),Tabela1[Turno],$F4,Tabela1[Data],Z$3),"")</f>
        <v/>
      </c>
      <c r="AA4" s="26" t="str">
        <f ca="1">IFERROR(AVERAGEIFS(INDIRECT("Tabela1["&amp;$D4&amp;"]"),Tabela1[Turno],$F4,Tabela1[Data],AA$3),"")</f>
        <v/>
      </c>
      <c r="AB4" s="26" t="str">
        <f ca="1">IFERROR(AVERAGEIFS(INDIRECT("Tabela1["&amp;$D4&amp;"]"),Tabela1[Turno],$F4,Tabela1[Data],AB$3),"")</f>
        <v/>
      </c>
      <c r="AC4" s="26" t="str">
        <f ca="1">IFERROR(AVERAGEIFS(INDIRECT("Tabela1["&amp;$D4&amp;"]"),Tabela1[Turno],$F4,Tabela1[Data],AC$3),"")</f>
        <v/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>
        <f ca="1">IFERROR(AVERAGEIFS(INDIRECT("Tabela1["&amp;$D5&amp;"]"),Tabela1[Turno],$F5,Tabela1[Mês],P$3),"")</f>
        <v>7</v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7</v>
      </c>
      <c r="W5" s="12">
        <f ca="1">IFERROR(AVERAGEIFS(INDIRECT("Tabela1["&amp;$D5&amp;"]"),Tabela1[Turno],$F5,Tabela1[Data],W$3),"")</f>
        <v>7</v>
      </c>
      <c r="X5" s="12">
        <f ca="1">IFERROR(AVERAGEIFS(INDIRECT("Tabela1["&amp;$D5&amp;"]"),Tabela1[Turno],$F5,Tabela1[Data],X$3),"")</f>
        <v>7</v>
      </c>
      <c r="Y5" s="12">
        <f ca="1">IFERROR(AVERAGEIFS(INDIRECT("Tabela1["&amp;$D5&amp;"]"),Tabela1[Turno],$F5,Tabela1[Data],Y$3),"")</f>
        <v>7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 t="str">
        <f ca="1">IFERROR(AVERAGEIFS(INDIRECT("Tabela1["&amp;$D5&amp;"]"),Tabela1[Turno],$F5,Tabela1[Data],AC$3),"")</f>
        <v/>
      </c>
      <c r="AD5" s="12" t="str">
        <f ca="1">IFERROR(AVERAGEIFS(INDIRECT("Tabela1["&amp;$D5&amp;"]"),Tabela1[Turno],$F5,Tabela1[Data],AD$3),"")</f>
        <v/>
      </c>
      <c r="AE5" s="12" t="str">
        <f ca="1">IFERROR(AVERAGEIFS(INDIRECT("Tabela1["&amp;$D5&amp;"]"),Tabela1[Turno],$F5,Tabela1[Data],AE$3),"")</f>
        <v/>
      </c>
      <c r="AF5" s="12" t="str">
        <f ca="1">IFERROR(AVERAGEIFS(INDIRECT("Tabela1["&amp;$D5&amp;"]"),Tabela1[Turno],$F5,Tabela1[Data],AF$3),"")</f>
        <v/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>
        <f ca="1">IFERROR(AVERAGEIFS(INDIRECT("Tabela1["&amp;$D6&amp;"]"),Tabela1[Mês],P$3),"")</f>
        <v>7</v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7</v>
      </c>
      <c r="W6" s="9">
        <f ca="1">IFERROR(AVERAGEIFS(INDIRECT("Tabela1["&amp;$D6&amp;"]"),Tabela1[Data],W$3),"")</f>
        <v>7</v>
      </c>
      <c r="X6" s="9">
        <f ca="1">IFERROR(AVERAGEIFS(INDIRECT("Tabela1["&amp;$D6&amp;"]"),Tabela1[Data],X$3),"")</f>
        <v>7</v>
      </c>
      <c r="Y6" s="9">
        <f ca="1">IFERROR(AVERAGEIFS(INDIRECT("Tabela1["&amp;$D6&amp;"]"),Tabela1[Data],Y$3),"")</f>
        <v>7</v>
      </c>
      <c r="Z6" s="9">
        <f ca="1">IFERROR(AVERAGEIFS(INDIRECT("Tabela1["&amp;$D6&amp;"]"),Tabela1[Data],Z$3),"")</f>
        <v>7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 t="str">
        <f ca="1">IFERROR(AVERAGEIFS(INDIRECT("Tabela1["&amp;$D7&amp;"]"),Tabela1[Turno],$F7,Tabela1[Data],W$3),"")</f>
        <v/>
      </c>
      <c r="X7" s="26" t="str">
        <f ca="1">IFERROR(AVERAGEIFS(INDIRECT("Tabela1["&amp;$D7&amp;"]"),Tabela1[Turno],$F7,Tabela1[Data],X$3),"")</f>
        <v/>
      </c>
      <c r="Y7" s="26" t="str">
        <f ca="1">IFERROR(AVERAGEIFS(INDIRECT("Tabela1["&amp;$D7&amp;"]"),Tabela1[Turno],$F7,Tabela1[Data],Y$3),"")</f>
        <v/>
      </c>
      <c r="Z7" s="26" t="str">
        <f ca="1">IFERROR(AVERAGEIFS(INDIRECT("Tabela1["&amp;$D7&amp;"]"),Tabela1[Turno],$F7,Tabela1[Data],Z$3),"")</f>
        <v/>
      </c>
      <c r="AA7" s="26" t="str">
        <f ca="1">IFERROR(AVERAGEIFS(INDIRECT("Tabela1["&amp;$D7&amp;"]"),Tabela1[Turno],$F7,Tabela1[Data],AA$3),"")</f>
        <v/>
      </c>
      <c r="AB7" s="26" t="str">
        <f ca="1">IFERROR(AVERAGEIFS(INDIRECT("Tabela1["&amp;$D7&amp;"]"),Tabela1[Turno],$F7,Tabela1[Data],AB$3),"")</f>
        <v/>
      </c>
      <c r="AC7" s="26" t="str">
        <f ca="1">IFERROR(AVERAGEIFS(INDIRECT("Tabela1["&amp;$D7&amp;"]"),Tabela1[Turno],$F7,Tabela1[Data],AC$3),"")</f>
        <v/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>
        <f ca="1">IFERROR(AVERAGEIFS(INDIRECT("Tabela1["&amp;$D8&amp;"]"),Tabela1[Turno],$F8,Tabela1[Mês],P$3),"")</f>
        <v>7.5172413793103452</v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8.5</v>
      </c>
      <c r="V8" s="12">
        <f ca="1">IFERROR(AVERAGEIFS(INDIRECT("Tabela1["&amp;$D8&amp;"]"),Tabela1[Turno],$F8,Tabela1[Data],V$3),"")</f>
        <v>7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7.75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10</v>
      </c>
      <c r="AC8" s="12" t="str">
        <f ca="1">IFERROR(AVERAGEIFS(INDIRECT("Tabela1["&amp;$D8&amp;"]"),Tabela1[Turno],$F8,Tabela1[Data],AC$3),"")</f>
        <v/>
      </c>
      <c r="AD8" s="12" t="str">
        <f ca="1">IFERROR(AVERAGEIFS(INDIRECT("Tabela1["&amp;$D8&amp;"]"),Tabela1[Turno],$F8,Tabela1[Data],AD$3),"")</f>
        <v/>
      </c>
      <c r="AE8" s="12" t="str">
        <f ca="1">IFERROR(AVERAGEIFS(INDIRECT("Tabela1["&amp;$D8&amp;"]"),Tabela1[Turno],$F8,Tabela1[Data],AE$3),"")</f>
        <v/>
      </c>
      <c r="AF8" s="12" t="str">
        <f ca="1">IFERROR(AVERAGEIFS(INDIRECT("Tabela1["&amp;$D8&amp;"]"),Tabela1[Turno],$F8,Tabela1[Data],AF$3),"")</f>
        <v/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>
        <f ca="1">IFERROR(AVERAGEIFS(INDIRECT("Tabela1["&amp;$D9&amp;"]"),Tabela1[Mês],P$3),"")</f>
        <v>7.5172413793103452</v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8.5</v>
      </c>
      <c r="V9" s="9">
        <f ca="1">IFERROR(AVERAGEIFS(INDIRECT("Tabela1["&amp;$D9&amp;"]"),Tabela1[Data],V$3),"")</f>
        <v>7</v>
      </c>
      <c r="W9" s="9">
        <f ca="1">IFERROR(AVERAGEIFS(INDIRECT("Tabela1["&amp;$D9&amp;"]"),Tabela1[Data],W$3),"")</f>
        <v>7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</v>
      </c>
      <c r="Z9" s="9">
        <f ca="1">IFERROR(AVERAGEIFS(INDIRECT("Tabela1["&amp;$D9&amp;"]"),Tabela1[Data],Z$3),"")</f>
        <v>7.75</v>
      </c>
      <c r="AA9" s="9">
        <f ca="1">IFERROR(AVERAGEIFS(INDIRECT("Tabela1["&amp;$D9&amp;"]"),Tabela1[Data],AA$3),"")</f>
        <v>7</v>
      </c>
      <c r="AB9" s="9">
        <f ca="1">IFERROR(AVERAGEIFS(INDIRECT("Tabela1["&amp;$D9&amp;"]"),Tabela1[Data],AB$3),"")</f>
        <v>10</v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 t="str">
        <f ca="1">IFERROR(AVERAGEIFS(INDIRECT("Tabela1["&amp;$D10&amp;"]"),Tabela1[Turno],$F10,Tabela1[Data],W$3),"")</f>
        <v/>
      </c>
      <c r="X10" s="26" t="str">
        <f ca="1">IFERROR(AVERAGEIFS(INDIRECT("Tabela1["&amp;$D10&amp;"]"),Tabela1[Turno],$F10,Tabela1[Data],X$3),"")</f>
        <v/>
      </c>
      <c r="Y10" s="26" t="str">
        <f ca="1">IFERROR(AVERAGEIFS(INDIRECT("Tabela1["&amp;$D10&amp;"]"),Tabela1[Turno],$F10,Tabela1[Data],Y$3),"")</f>
        <v/>
      </c>
      <c r="Z10" s="26" t="str">
        <f ca="1">IFERROR(AVERAGEIFS(INDIRECT("Tabela1["&amp;$D10&amp;"]"),Tabela1[Turno],$F10,Tabela1[Data],Z$3),"")</f>
        <v/>
      </c>
      <c r="AA10" s="26" t="str">
        <f ca="1">IFERROR(AVERAGEIFS(INDIRECT("Tabela1["&amp;$D10&amp;"]"),Tabela1[Turno],$F10,Tabela1[Data],AA$3),"")</f>
        <v/>
      </c>
      <c r="AB10" s="26" t="str">
        <f ca="1">IFERROR(AVERAGEIFS(INDIRECT("Tabela1["&amp;$D10&amp;"]"),Tabela1[Turno],$F10,Tabela1[Data],AB$3),"")</f>
        <v/>
      </c>
      <c r="AC10" s="26" t="str">
        <f ca="1">IFERROR(AVERAGEIFS(INDIRECT("Tabela1["&amp;$D10&amp;"]"),Tabela1[Turno],$F10,Tabela1[Data],AC$3),"")</f>
        <v/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>
        <f ca="1">IFERROR(AVERAGEIFS(INDIRECT("Tabela1["&amp;$D11&amp;"]"),Tabela1[Turno],$F11,Tabela1[Mês],P$3),"")</f>
        <v>7.1034482758620694</v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8.5</v>
      </c>
      <c r="AC11" s="12" t="str">
        <f ca="1">IFERROR(AVERAGEIFS(INDIRECT("Tabela1["&amp;$D11&amp;"]"),Tabela1[Turno],$F11,Tabela1[Data],AC$3),"")</f>
        <v/>
      </c>
      <c r="AD11" s="12" t="str">
        <f ca="1">IFERROR(AVERAGEIFS(INDIRECT("Tabela1["&amp;$D11&amp;"]"),Tabela1[Turno],$F11,Tabela1[Data],AD$3),"")</f>
        <v/>
      </c>
      <c r="AE11" s="12" t="str">
        <f ca="1">IFERROR(AVERAGEIFS(INDIRECT("Tabela1["&amp;$D11&amp;"]"),Tabela1[Turno],$F11,Tabela1[Data],AE$3),"")</f>
        <v/>
      </c>
      <c r="AF11" s="12" t="str">
        <f ca="1">IFERROR(AVERAGEIFS(INDIRECT("Tabela1["&amp;$D11&amp;"]"),Tabela1[Turno],$F11,Tabela1[Data],AF$3),"")</f>
        <v/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>
        <f ca="1">IFERROR(AVERAGEIFS(INDIRECT("Tabela1["&amp;$D12&amp;"]"),Tabela1[Mês],P$3),"")</f>
        <v>7.1034482758620694</v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</v>
      </c>
      <c r="AB12" s="9">
        <f ca="1">IFERROR(AVERAGEIFS(INDIRECT("Tabela1["&amp;$D12&amp;"]"),Tabela1[Data],AB$3),"")</f>
        <v>8.5</v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 t="str">
        <f ca="1">IFERROR(AVERAGEIFS(INDIRECT("Tabela1["&amp;$D13&amp;"]"),Tabela1[Turno],$F13,Tabela1[Data],W$3),"")</f>
        <v/>
      </c>
      <c r="X13" s="26" t="str">
        <f ca="1">IFERROR(AVERAGEIFS(INDIRECT("Tabela1["&amp;$D13&amp;"]"),Tabela1[Turno],$F13,Tabela1[Data],X$3),"")</f>
        <v/>
      </c>
      <c r="Y13" s="26" t="str">
        <f ca="1">IFERROR(AVERAGEIFS(INDIRECT("Tabela1["&amp;$D13&amp;"]"),Tabela1[Turno],$F13,Tabela1[Data],Y$3),"")</f>
        <v/>
      </c>
      <c r="Z13" s="26" t="str">
        <f ca="1">IFERROR(AVERAGEIFS(INDIRECT("Tabela1["&amp;$D13&amp;"]"),Tabela1[Turno],$F13,Tabela1[Data],Z$3),"")</f>
        <v/>
      </c>
      <c r="AA13" s="26" t="str">
        <f ca="1">IFERROR(AVERAGEIFS(INDIRECT("Tabela1["&amp;$D13&amp;"]"),Tabela1[Turno],$F13,Tabela1[Data],AA$3),"")</f>
        <v/>
      </c>
      <c r="AB13" s="26" t="str">
        <f ca="1">IFERROR(AVERAGEIFS(INDIRECT("Tabela1["&amp;$D13&amp;"]"),Tabela1[Turno],$F13,Tabela1[Data],AB$3),"")</f>
        <v/>
      </c>
      <c r="AC13" s="26" t="str">
        <f ca="1">IFERROR(AVERAGEIFS(INDIRECT("Tabela1["&amp;$D13&amp;"]"),Tabela1[Turno],$F13,Tabela1[Data],AC$3),"")</f>
        <v/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>
        <f ca="1">IFERROR(AVERAGEIFS(INDIRECT("Tabela1["&amp;$D14&amp;"]"),Tabela1[Turno],$F14,Tabela1[Mês],P$3),"")</f>
        <v>5.5517241379310347</v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6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</v>
      </c>
      <c r="Z14" s="12">
        <f ca="1">IFERROR(AVERAGEIFS(INDIRECT("Tabela1["&amp;$D14&amp;"]"),Tabela1[Turno],$F14,Tabela1[Data],Z$3),"")</f>
        <v>5.5</v>
      </c>
      <c r="AA14" s="12">
        <f ca="1">IFERROR(AVERAGEIFS(INDIRECT("Tabela1["&amp;$D14&amp;"]"),Tabela1[Turno],$F14,Tabela1[Data],AA$3),"")</f>
        <v>6</v>
      </c>
      <c r="AB14" s="12">
        <f ca="1">IFERROR(AVERAGEIFS(INDIRECT("Tabela1["&amp;$D14&amp;"]"),Tabela1[Turno],$F14,Tabela1[Data],AB$3),"")</f>
        <v>6</v>
      </c>
      <c r="AC14" s="12" t="str">
        <f ca="1">IFERROR(AVERAGEIFS(INDIRECT("Tabela1["&amp;$D14&amp;"]"),Tabela1[Turno],$F14,Tabela1[Data],AC$3),"")</f>
        <v/>
      </c>
      <c r="AD14" s="12" t="str">
        <f ca="1">IFERROR(AVERAGEIFS(INDIRECT("Tabela1["&amp;$D14&amp;"]"),Tabela1[Turno],$F14,Tabela1[Data],AD$3),"")</f>
        <v/>
      </c>
      <c r="AE14" s="12" t="str">
        <f ca="1">IFERROR(AVERAGEIFS(INDIRECT("Tabela1["&amp;$D14&amp;"]"),Tabela1[Turno],$F14,Tabela1[Data],AE$3),"")</f>
        <v/>
      </c>
      <c r="AF14" s="12" t="str">
        <f ca="1">IFERROR(AVERAGEIFS(INDIRECT("Tabela1["&amp;$D14&amp;"]"),Tabela1[Turno],$F14,Tabela1[Data],AF$3),"")</f>
        <v/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>
        <f ca="1">IFERROR(AVERAGEIFS(INDIRECT("Tabela1["&amp;$D15&amp;"]"),Tabela1[Mês],P$3),"")</f>
        <v>5.5517241379310347</v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6</v>
      </c>
      <c r="W15" s="9">
        <f ca="1">IFERROR(AVERAGEIFS(INDIRECT("Tabela1["&amp;$D15&amp;"]"),Tabela1[Data],W$3),"")</f>
        <v>5</v>
      </c>
      <c r="X15" s="9">
        <f ca="1">IFERROR(AVERAGEIFS(INDIRECT("Tabela1["&amp;$D15&amp;"]"),Tabela1[Data],X$3),"")</f>
        <v>5.5</v>
      </c>
      <c r="Y15" s="9">
        <f ca="1">IFERROR(AVERAGEIFS(INDIRECT("Tabela1["&amp;$D15&amp;"]"),Tabela1[Data],Y$3),"")</f>
        <v>5</v>
      </c>
      <c r="Z15" s="9">
        <f ca="1">IFERROR(AVERAGEIFS(INDIRECT("Tabela1["&amp;$D15&amp;"]"),Tabela1[Data],Z$3),"")</f>
        <v>5.5</v>
      </c>
      <c r="AA15" s="9">
        <f ca="1">IFERROR(AVERAGEIFS(INDIRECT("Tabela1["&amp;$D15&amp;"]"),Tabela1[Data],AA$3),"")</f>
        <v>6</v>
      </c>
      <c r="AB15" s="9">
        <f ca="1">IFERROR(AVERAGEIFS(INDIRECT("Tabela1["&amp;$D15&amp;"]"),Tabela1[Data],AB$3),"")</f>
        <v>6</v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 t="str">
        <f ca="1">IFERROR(AVERAGEIFS(INDIRECT("Tabela1["&amp;$D16&amp;"]"),Tabela1[Turno],$F16,Tabela1[Data],W$3)/100,"")</f>
        <v/>
      </c>
      <c r="X16" s="28" t="str">
        <f ca="1">IFERROR(AVERAGEIFS(INDIRECT("Tabela1["&amp;$D16&amp;"]"),Tabela1[Turno],$F16,Tabela1[Data],X$3)/100,"")</f>
        <v/>
      </c>
      <c r="Y16" s="28" t="str">
        <f ca="1">IFERROR(AVERAGEIFS(INDIRECT("Tabela1["&amp;$D16&amp;"]"),Tabela1[Turno],$F16,Tabela1[Data],Y$3)/100,"")</f>
        <v/>
      </c>
      <c r="Z16" s="28" t="str">
        <f ca="1">IFERROR(AVERAGEIFS(INDIRECT("Tabela1["&amp;$D16&amp;"]"),Tabela1[Turno],$F16,Tabela1[Data],Z$3)/100,"")</f>
        <v/>
      </c>
      <c r="AA16" s="28" t="str">
        <f ca="1">IFERROR(AVERAGEIFS(INDIRECT("Tabela1["&amp;$D16&amp;"]"),Tabela1[Turno],$F16,Tabela1[Data],AA$3)/100,"")</f>
        <v/>
      </c>
      <c r="AB16" s="28" t="str">
        <f ca="1">IFERROR(AVERAGEIFS(INDIRECT("Tabela1["&amp;$D16&amp;"]"),Tabela1[Turno],$F16,Tabela1[Data],AB$3)/100,"")</f>
        <v/>
      </c>
      <c r="AC16" s="28" t="str">
        <f ca="1">IFERROR(AVERAGEIFS(INDIRECT("Tabela1["&amp;$D16&amp;"]"),Tabela1[Turno],$F16,Tabela1[Data],AC$3)/100,"")</f>
        <v/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>
        <f ca="1">IFERROR(AVERAGEIFS(INDIRECT("Tabela1["&amp;$D17&amp;"]"),Tabela1[Turno],$F17,Tabela1[Mês],P$3)/100,"")</f>
        <v>0.73413793103448266</v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0.8075</v>
      </c>
      <c r="V17" s="16">
        <f ca="1">IFERROR(AVERAGEIFS(INDIRECT("Tabela1["&amp;$D17&amp;"]"),Tabela1[Turno],$F17,Tabela1[Data],V$3)/100,"")</f>
        <v>0.77</v>
      </c>
      <c r="W17" s="16">
        <f ca="1">IFERROR(AVERAGEIFS(INDIRECT("Tabela1["&amp;$D17&amp;"]"),Tabela1[Turno],$F17,Tabela1[Data],W$3)/100,"")</f>
        <v>0.84</v>
      </c>
      <c r="X17" s="16">
        <f ca="1">IFERROR(AVERAGEIFS(INDIRECT("Tabela1["&amp;$D17&amp;"]"),Tabela1[Turno],$F17,Tabela1[Data],X$3)/100,"")</f>
        <v>0.67749999999999999</v>
      </c>
      <c r="Y17" s="16">
        <f ca="1">IFERROR(AVERAGEIFS(INDIRECT("Tabela1["&amp;$D17&amp;"]"),Tabela1[Turno],$F17,Tabela1[Data],Y$3)/100,"")</f>
        <v>0.63749999999999996</v>
      </c>
      <c r="Z17" s="16">
        <f ca="1">IFERROR(AVERAGEIFS(INDIRECT("Tabela1["&amp;$D17&amp;"]"),Tabela1[Turno],$F17,Tabela1[Data],Z$3)/100,"")</f>
        <v>0.74250000000000005</v>
      </c>
      <c r="AA17" s="16">
        <f ca="1">IFERROR(AVERAGEIFS(INDIRECT("Tabela1["&amp;$D17&amp;"]"),Tabela1[Turno],$F17,Tabela1[Data],AA$3)/100,"")</f>
        <v>0.72</v>
      </c>
      <c r="AB17" s="16">
        <f ca="1">IFERROR(AVERAGEIFS(INDIRECT("Tabela1["&amp;$D17&amp;"]"),Tabela1[Turno],$F17,Tabela1[Data],AB$3)/100,"")</f>
        <v>0.67500000000000004</v>
      </c>
      <c r="AC17" s="16" t="str">
        <f ca="1">IFERROR(AVERAGEIFS(INDIRECT("Tabela1["&amp;$D17&amp;"]"),Tabela1[Turno],$F17,Tabela1[Data],AC$3)/100,"")</f>
        <v/>
      </c>
      <c r="AD17" s="16" t="str">
        <f ca="1">IFERROR(AVERAGEIFS(INDIRECT("Tabela1["&amp;$D17&amp;"]"),Tabela1[Turno],$F17,Tabela1[Data],AD$3)/100,"")</f>
        <v/>
      </c>
      <c r="AE17" s="16" t="str">
        <f ca="1">IFERROR(AVERAGEIFS(INDIRECT("Tabela1["&amp;$D17&amp;"]"),Tabela1[Turno],$F17,Tabela1[Data],AE$3)/100,"")</f>
        <v/>
      </c>
      <c r="AF17" s="16" t="str">
        <f ca="1">IFERROR(AVERAGEIFS(INDIRECT("Tabela1["&amp;$D17&amp;"]"),Tabela1[Turno],$F17,Tabela1[Data],AF$3)/100,"")</f>
        <v/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>
        <f ca="1">IFERROR(AVERAGEIFS(INDIRECT("Tabela1["&amp;$D18&amp;"]"),Tabela1[Mês],P$3)/100,"")</f>
        <v>0.73413793103448266</v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0.8075</v>
      </c>
      <c r="V18" s="10">
        <f ca="1">IFERROR(AVERAGEIFS(INDIRECT("Tabela1["&amp;$D18&amp;"]"),Tabela1[Data],V$3)/100,"")</f>
        <v>0.77</v>
      </c>
      <c r="W18" s="10">
        <f ca="1">IFERROR(AVERAGEIFS(INDIRECT("Tabela1["&amp;$D18&amp;"]"),Tabela1[Data],W$3)/100,"")</f>
        <v>0.84</v>
      </c>
      <c r="X18" s="10">
        <f ca="1">IFERROR(AVERAGEIFS(INDIRECT("Tabela1["&amp;$D18&amp;"]"),Tabela1[Data],X$3)/100,"")</f>
        <v>0.67749999999999999</v>
      </c>
      <c r="Y18" s="10">
        <f ca="1">IFERROR(AVERAGEIFS(INDIRECT("Tabela1["&amp;$D18&amp;"]"),Tabela1[Data],Y$3)/100,"")</f>
        <v>0.63749999999999996</v>
      </c>
      <c r="Z18" s="10">
        <f ca="1">IFERROR(AVERAGEIFS(INDIRECT("Tabela1["&amp;$D18&amp;"]"),Tabela1[Data],Z$3)/100,"")</f>
        <v>0.74250000000000005</v>
      </c>
      <c r="AA18" s="10">
        <f ca="1">IFERROR(AVERAGEIFS(INDIRECT("Tabela1["&amp;$D18&amp;"]"),Tabela1[Data],AA$3)/100,"")</f>
        <v>0.72</v>
      </c>
      <c r="AB18" s="10">
        <f ca="1">IFERROR(AVERAGEIFS(INDIRECT("Tabela1["&amp;$D18&amp;"]"),Tabela1[Data],AB$3)/100,"")</f>
        <v>0.67500000000000004</v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 t="str">
        <f ca="1">IFERROR(AVERAGEIFS(INDIRECT("Tabela1["&amp;$D19&amp;"]"),Tabela1[Turno],$F19,Tabela1[Data],W$3)/100,"")</f>
        <v/>
      </c>
      <c r="X19" s="28" t="str">
        <f ca="1">IFERROR(AVERAGEIFS(INDIRECT("Tabela1["&amp;$D19&amp;"]"),Tabela1[Turno],$F19,Tabela1[Data],X$3)/100,"")</f>
        <v/>
      </c>
      <c r="Y19" s="28" t="str">
        <f ca="1">IFERROR(AVERAGEIFS(INDIRECT("Tabela1["&amp;$D19&amp;"]"),Tabela1[Turno],$F19,Tabela1[Data],Y$3)/100,"")</f>
        <v/>
      </c>
      <c r="Z19" s="28" t="str">
        <f ca="1">IFERROR(AVERAGEIFS(INDIRECT("Tabela1["&amp;$D19&amp;"]"),Tabela1[Turno],$F19,Tabela1[Data],Z$3)/100,"")</f>
        <v/>
      </c>
      <c r="AA19" s="28" t="str">
        <f ca="1">IFERROR(AVERAGEIFS(INDIRECT("Tabela1["&amp;$D19&amp;"]"),Tabela1[Turno],$F19,Tabela1[Data],AA$3)/100,"")</f>
        <v/>
      </c>
      <c r="AB19" s="28" t="str">
        <f ca="1">IFERROR(AVERAGEIFS(INDIRECT("Tabela1["&amp;$D19&amp;"]"),Tabela1[Turno],$F19,Tabela1[Data],AB$3)/100,"")</f>
        <v/>
      </c>
      <c r="AC19" s="28" t="str">
        <f ca="1">IFERROR(AVERAGEIFS(INDIRECT("Tabela1["&amp;$D19&amp;"]"),Tabela1[Turno],$F19,Tabela1[Data],AC$3)/100,"")</f>
        <v/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>
        <f ca="1">IFERROR(AVERAGEIFS(INDIRECT("Tabela1["&amp;$D20&amp;"]"),Tabela1[Turno],$F20,Tabela1[Mês],P$3)/100,"")</f>
        <v>0.78724137931034477</v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0.75249999999999995</v>
      </c>
      <c r="V20" s="16">
        <f ca="1">IFERROR(AVERAGEIFS(INDIRECT("Tabela1["&amp;$D20&amp;"]"),Tabela1[Turno],$F20,Tabela1[Data],V$3)/100,"")</f>
        <v>0.86499999999999999</v>
      </c>
      <c r="W20" s="16">
        <f ca="1">IFERROR(AVERAGEIFS(INDIRECT("Tabela1["&amp;$D20&amp;"]"),Tabela1[Turno],$F20,Tabela1[Data],W$3)/100,"")</f>
        <v>0.83666666666666667</v>
      </c>
      <c r="X20" s="16">
        <f ca="1">IFERROR(AVERAGEIFS(INDIRECT("Tabela1["&amp;$D20&amp;"]"),Tabela1[Turno],$F20,Tabela1[Data],X$3)/100,"")</f>
        <v>0.82750000000000001</v>
      </c>
      <c r="Y20" s="16">
        <f ca="1">IFERROR(AVERAGEIFS(INDIRECT("Tabela1["&amp;$D20&amp;"]"),Tabela1[Turno],$F20,Tabela1[Data],Y$3)/100,"")</f>
        <v>0.76249999999999996</v>
      </c>
      <c r="Z20" s="16">
        <f ca="1">IFERROR(AVERAGEIFS(INDIRECT("Tabela1["&amp;$D20&amp;"]"),Tabela1[Turno],$F20,Tabela1[Data],Z$3)/100,"")</f>
        <v>0.75</v>
      </c>
      <c r="AA20" s="16">
        <f ca="1">IFERROR(AVERAGEIFS(INDIRECT("Tabela1["&amp;$D20&amp;"]"),Tabela1[Turno],$F20,Tabela1[Data],AA$3)/100,"")</f>
        <v>0.80249999999999999</v>
      </c>
      <c r="AB20" s="16">
        <f ca="1">IFERROR(AVERAGEIFS(INDIRECT("Tabela1["&amp;$D20&amp;"]"),Tabela1[Turno],$F20,Tabela1[Data],AB$3)/100,"")</f>
        <v>0.64</v>
      </c>
      <c r="AC20" s="16" t="str">
        <f ca="1">IFERROR(AVERAGEIFS(INDIRECT("Tabela1["&amp;$D20&amp;"]"),Tabela1[Turno],$F20,Tabela1[Data],AC$3)/100,"")</f>
        <v/>
      </c>
      <c r="AD20" s="16" t="str">
        <f ca="1">IFERROR(AVERAGEIFS(INDIRECT("Tabela1["&amp;$D20&amp;"]"),Tabela1[Turno],$F20,Tabela1[Data],AD$3)/100,"")</f>
        <v/>
      </c>
      <c r="AE20" s="16" t="str">
        <f ca="1">IFERROR(AVERAGEIFS(INDIRECT("Tabela1["&amp;$D20&amp;"]"),Tabela1[Turno],$F20,Tabela1[Data],AE$3)/100,"")</f>
        <v/>
      </c>
      <c r="AF20" s="16" t="str">
        <f ca="1">IFERROR(AVERAGEIFS(INDIRECT("Tabela1["&amp;$D20&amp;"]"),Tabela1[Turno],$F20,Tabela1[Data],AF$3)/100,"")</f>
        <v/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>
        <f ca="1">IFERROR(AVERAGEIFS(INDIRECT("Tabela1["&amp;$D21&amp;"]"),Tabela1[Mês],P$3)/100,"")</f>
        <v>0.78724137931034477</v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0.75249999999999995</v>
      </c>
      <c r="V21" s="10">
        <f ca="1">IFERROR(AVERAGEIFS(INDIRECT("Tabela1["&amp;$D21&amp;"]"),Tabela1[Data],V$3)/100,"")</f>
        <v>0.86499999999999999</v>
      </c>
      <c r="W21" s="10">
        <f ca="1">IFERROR(AVERAGEIFS(INDIRECT("Tabela1["&amp;$D21&amp;"]"),Tabela1[Data],W$3)/100,"")</f>
        <v>0.83666666666666667</v>
      </c>
      <c r="X21" s="10">
        <f ca="1">IFERROR(AVERAGEIFS(INDIRECT("Tabela1["&amp;$D21&amp;"]"),Tabela1[Data],X$3)/100,"")</f>
        <v>0.82750000000000001</v>
      </c>
      <c r="Y21" s="10">
        <f ca="1">IFERROR(AVERAGEIFS(INDIRECT("Tabela1["&amp;$D21&amp;"]"),Tabela1[Data],Y$3)/100,"")</f>
        <v>0.76249999999999996</v>
      </c>
      <c r="Z21" s="10">
        <f ca="1">IFERROR(AVERAGEIFS(INDIRECT("Tabela1["&amp;$D21&amp;"]"),Tabela1[Data],Z$3)/100,"")</f>
        <v>0.75</v>
      </c>
      <c r="AA21" s="10">
        <f ca="1">IFERROR(AVERAGEIFS(INDIRECT("Tabela1["&amp;$D21&amp;"]"),Tabela1[Data],AA$3)/100,"")</f>
        <v>0.80249999999999999</v>
      </c>
      <c r="AB21" s="10">
        <f ca="1">IFERROR(AVERAGEIFS(INDIRECT("Tabela1["&amp;$D21&amp;"]"),Tabela1[Data],AB$3)/100,"")</f>
        <v>0.64</v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 t="str">
        <f ca="1">IFERROR(AVERAGEIFS(INDIRECT("Tabela1["&amp;$D22&amp;"]"),Tabela1[Turno],$F22,Tabela1[Data],W$3),"")</f>
        <v/>
      </c>
      <c r="X22" s="26" t="str">
        <f ca="1">IFERROR(AVERAGEIFS(INDIRECT("Tabela1["&amp;$D22&amp;"]"),Tabela1[Turno],$F22,Tabela1[Data],X$3),"")</f>
        <v/>
      </c>
      <c r="Y22" s="26" t="str">
        <f ca="1">IFERROR(AVERAGEIFS(INDIRECT("Tabela1["&amp;$D22&amp;"]"),Tabela1[Turno],$F22,Tabela1[Data],Y$3),"")</f>
        <v/>
      </c>
      <c r="Z22" s="26" t="str">
        <f ca="1">IFERROR(AVERAGEIFS(INDIRECT("Tabela1["&amp;$D22&amp;"]"),Tabela1[Turno],$F22,Tabela1[Data],Z$3),"")</f>
        <v/>
      </c>
      <c r="AA22" s="26" t="str">
        <f ca="1">IFERROR(AVERAGEIFS(INDIRECT("Tabela1["&amp;$D22&amp;"]"),Tabela1[Turno],$F22,Tabela1[Data],AA$3),"")</f>
        <v/>
      </c>
      <c r="AB22" s="26" t="str">
        <f ca="1">IFERROR(AVERAGEIFS(INDIRECT("Tabela1["&amp;$D22&amp;"]"),Tabela1[Turno],$F22,Tabela1[Data],AB$3),"")</f>
        <v/>
      </c>
      <c r="AC22" s="26" t="str">
        <f ca="1">IFERROR(AVERAGEIFS(INDIRECT("Tabela1["&amp;$D22&amp;"]"),Tabela1[Turno],$F22,Tabela1[Data],AC$3),"")</f>
        <v/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>
        <f ca="1">IFERROR(AVERAGEIFS(INDIRECT("Tabela1["&amp;$D23&amp;"]"),Tabela1[Turno],$F23,Tabela1[Mês],P$3),"")</f>
        <v>6.5172413793103452</v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</v>
      </c>
      <c r="V23" s="12">
        <f ca="1">IFERROR(AVERAGEIFS(INDIRECT("Tabela1["&amp;$D23&amp;"]"),Tabela1[Turno],$F23,Tabela1[Data],V$3),"")</f>
        <v>6</v>
      </c>
      <c r="W23" s="12">
        <f ca="1">IFERROR(AVERAGEIFS(INDIRECT("Tabela1["&amp;$D23&amp;"]"),Tabela1[Turno],$F23,Tabela1[Data],W$3),"")</f>
        <v>6.333333333333333</v>
      </c>
      <c r="X23" s="12">
        <f ca="1">IFERROR(AVERAGEIFS(INDIRECT("Tabela1["&amp;$D23&amp;"]"),Tabela1[Turno],$F23,Tabela1[Data],X$3),"")</f>
        <v>7</v>
      </c>
      <c r="Y23" s="12">
        <f ca="1">IFERROR(AVERAGEIFS(INDIRECT("Tabela1["&amp;$D23&amp;"]"),Tabela1[Turno],$F23,Tabela1[Data],Y$3),"")</f>
        <v>7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6</v>
      </c>
      <c r="AC23" s="12" t="str">
        <f ca="1">IFERROR(AVERAGEIFS(INDIRECT("Tabela1["&amp;$D23&amp;"]"),Tabela1[Turno],$F23,Tabela1[Data],AC$3),"")</f>
        <v/>
      </c>
      <c r="AD23" s="12" t="str">
        <f ca="1">IFERROR(AVERAGEIFS(INDIRECT("Tabela1["&amp;$D23&amp;"]"),Tabela1[Turno],$F23,Tabela1[Data],AD$3),"")</f>
        <v/>
      </c>
      <c r="AE23" s="12" t="str">
        <f ca="1">IFERROR(AVERAGEIFS(INDIRECT("Tabela1["&amp;$D23&amp;"]"),Tabela1[Turno],$F23,Tabela1[Data],AE$3),"")</f>
        <v/>
      </c>
      <c r="AF23" s="12" t="str">
        <f ca="1">IFERROR(AVERAGEIFS(INDIRECT("Tabela1["&amp;$D23&amp;"]"),Tabela1[Turno],$F23,Tabela1[Data],AF$3),"")</f>
        <v/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>
        <f ca="1">IFERROR(AVERAGEIFS(INDIRECT("Tabela1["&amp;$D24&amp;"]"),Tabela1[Mês],P$3),"")</f>
        <v>6.5172413793103452</v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</v>
      </c>
      <c r="V24" s="9">
        <f ca="1">IFERROR(AVERAGEIFS(INDIRECT("Tabela1["&amp;$D24&amp;"]"),Tabela1[Data],V$3),"")</f>
        <v>6</v>
      </c>
      <c r="W24" s="9">
        <f ca="1">IFERROR(AVERAGEIFS(INDIRECT("Tabela1["&amp;$D24&amp;"]"),Tabela1[Data],W$3),"")</f>
        <v>6.333333333333333</v>
      </c>
      <c r="X24" s="9">
        <f ca="1">IFERROR(AVERAGEIFS(INDIRECT("Tabela1["&amp;$D24&amp;"]"),Tabela1[Data],X$3),"")</f>
        <v>7</v>
      </c>
      <c r="Y24" s="9">
        <f ca="1">IFERROR(AVERAGEIFS(INDIRECT("Tabela1["&amp;$D24&amp;"]"),Tabela1[Data],Y$3),"")</f>
        <v>7</v>
      </c>
      <c r="Z24" s="9">
        <f ca="1">IFERROR(AVERAGEIFS(INDIRECT("Tabela1["&amp;$D24&amp;"]"),Tabela1[Data],Z$3),"")</f>
        <v>7</v>
      </c>
      <c r="AA24" s="9">
        <f ca="1">IFERROR(AVERAGEIFS(INDIRECT("Tabela1["&amp;$D24&amp;"]"),Tabela1[Data],AA$3),"")</f>
        <v>6.5</v>
      </c>
      <c r="AB24" s="9">
        <f ca="1">IFERROR(AVERAGEIFS(INDIRECT("Tabela1["&amp;$D24&amp;"]"),Tabela1[Data],AB$3),"")</f>
        <v>6</v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 t="str">
        <f ca="1">IFERROR(AVERAGEIFS(INDIRECT("Tabela1["&amp;$D25&amp;"]"),Tabela1[Turno],$F25,Tabela1[Data],W$3),"")</f>
        <v/>
      </c>
      <c r="X25" s="26" t="str">
        <f ca="1">IFERROR(AVERAGEIFS(INDIRECT("Tabela1["&amp;$D25&amp;"]"),Tabela1[Turno],$F25,Tabela1[Data],X$3),"")</f>
        <v/>
      </c>
      <c r="Y25" s="26" t="str">
        <f ca="1">IFERROR(AVERAGEIFS(INDIRECT("Tabela1["&amp;$D25&amp;"]"),Tabela1[Turno],$F25,Tabela1[Data],Y$3),"")</f>
        <v/>
      </c>
      <c r="Z25" s="26" t="str">
        <f ca="1">IFERROR(AVERAGEIFS(INDIRECT("Tabela1["&amp;$D25&amp;"]"),Tabela1[Turno],$F25,Tabela1[Data],Z$3),"")</f>
        <v/>
      </c>
      <c r="AA25" s="26" t="str">
        <f ca="1">IFERROR(AVERAGEIFS(INDIRECT("Tabela1["&amp;$D25&amp;"]"),Tabela1[Turno],$F25,Tabela1[Data],AA$3),"")</f>
        <v/>
      </c>
      <c r="AB25" s="26" t="str">
        <f ca="1">IFERROR(AVERAGEIFS(INDIRECT("Tabela1["&amp;$D25&amp;"]"),Tabela1[Turno],$F25,Tabela1[Data],AB$3),"")</f>
        <v/>
      </c>
      <c r="AC25" s="26" t="str">
        <f ca="1">IFERROR(AVERAGEIFS(INDIRECT("Tabela1["&amp;$D25&amp;"]"),Tabela1[Turno],$F25,Tabela1[Data],AC$3),"")</f>
        <v/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>
        <f ca="1">IFERROR(AVERAGEIFS(INDIRECT("Tabela1["&amp;$D26&amp;"]"),Tabela1[Turno],$F26,Tabela1[Mês],P$3),"")</f>
        <v>7.1034482758620694</v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7.75</v>
      </c>
      <c r="V26" s="12">
        <f ca="1">IFERROR(AVERAGEIFS(INDIRECT("Tabela1["&amp;$D26&amp;"]"),Tabela1[Turno],$F26,Tabela1[Data],V$3),"")</f>
        <v>7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7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 t="str">
        <f ca="1">IFERROR(AVERAGEIFS(INDIRECT("Tabela1["&amp;$D26&amp;"]"),Tabela1[Turno],$F26,Tabela1[Data],AC$3),"")</f>
        <v/>
      </c>
      <c r="AD26" s="12" t="str">
        <f ca="1">IFERROR(AVERAGEIFS(INDIRECT("Tabela1["&amp;$D26&amp;"]"),Tabela1[Turno],$F26,Tabela1[Data],AD$3),"")</f>
        <v/>
      </c>
      <c r="AE26" s="12" t="str">
        <f ca="1">IFERROR(AVERAGEIFS(INDIRECT("Tabela1["&amp;$D26&amp;"]"),Tabela1[Turno],$F26,Tabela1[Data],AE$3),"")</f>
        <v/>
      </c>
      <c r="AF26" s="12" t="str">
        <f ca="1">IFERROR(AVERAGEIFS(INDIRECT("Tabela1["&amp;$D26&amp;"]"),Tabela1[Turno],$F26,Tabela1[Data],AF$3),"")</f>
        <v/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>
        <f ca="1">IFERROR(AVERAGEIFS(INDIRECT("Tabela1["&amp;$D27&amp;"]"),Tabela1[Mês],P$3),"")</f>
        <v>7.1034482758620694</v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7.75</v>
      </c>
      <c r="V27" s="9">
        <f ca="1">IFERROR(AVERAGEIFS(INDIRECT("Tabela1["&amp;$D27&amp;"]"),Tabela1[Data],V$3),"")</f>
        <v>7</v>
      </c>
      <c r="W27" s="9">
        <f ca="1">IFERROR(AVERAGEIFS(INDIRECT("Tabela1["&amp;$D27&amp;"]"),Tabela1[Data],W$3),"")</f>
        <v>7</v>
      </c>
      <c r="X27" s="9">
        <f ca="1">IFERROR(AVERAGEIFS(INDIRECT("Tabela1["&amp;$D27&amp;"]"),Tabela1[Data],X$3),"")</f>
        <v>7</v>
      </c>
      <c r="Y27" s="9">
        <f ca="1">IFERROR(AVERAGEIFS(INDIRECT("Tabela1["&amp;$D27&amp;"]"),Tabela1[Data],Y$3),"")</f>
        <v>7</v>
      </c>
      <c r="Z27" s="9">
        <f ca="1">IFERROR(AVERAGEIFS(INDIRECT("Tabela1["&amp;$D27&amp;"]"),Tabela1[Data],Z$3),"")</f>
        <v>7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 t="str">
        <f ca="1">IFERROR(AVERAGEIFS(INDIRECT("Tabela1["&amp;$D28&amp;"]"),Tabela1[Turno],$F28,Tabela1[Data],W$3),"")</f>
        <v/>
      </c>
      <c r="X28" s="26" t="str">
        <f ca="1">IFERROR(AVERAGEIFS(INDIRECT("Tabela1["&amp;$D28&amp;"]"),Tabela1[Turno],$F28,Tabela1[Data],X$3),"")</f>
        <v/>
      </c>
      <c r="Y28" s="26" t="str">
        <f ca="1">IFERROR(AVERAGEIFS(INDIRECT("Tabela1["&amp;$D28&amp;"]"),Tabela1[Turno],$F28,Tabela1[Data],Y$3),"")</f>
        <v/>
      </c>
      <c r="Z28" s="26" t="str">
        <f ca="1">IFERROR(AVERAGEIFS(INDIRECT("Tabela1["&amp;$D28&amp;"]"),Tabela1[Turno],$F28,Tabela1[Data],Z$3),"")</f>
        <v/>
      </c>
      <c r="AA28" s="26" t="str">
        <f ca="1">IFERROR(AVERAGEIFS(INDIRECT("Tabela1["&amp;$D28&amp;"]"),Tabela1[Turno],$F28,Tabela1[Data],AA$3),"")</f>
        <v/>
      </c>
      <c r="AB28" s="26" t="str">
        <f ca="1">IFERROR(AVERAGEIFS(INDIRECT("Tabela1["&amp;$D28&amp;"]"),Tabela1[Turno],$F28,Tabela1[Data],AB$3),"")</f>
        <v/>
      </c>
      <c r="AC28" s="26" t="str">
        <f ca="1">IFERROR(AVERAGEIFS(INDIRECT("Tabela1["&amp;$D28&amp;"]"),Tabela1[Turno],$F28,Tabela1[Data],AC$3),"")</f>
        <v/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>
        <f ca="1">IFERROR(AVERAGEIFS(INDIRECT("Tabela1["&amp;$D29&amp;"]"),Tabela1[Turno],$F29,Tabela1[Mês],P$3),"")</f>
        <v>7</v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 t="str">
        <f ca="1">IFERROR(AVERAGEIFS(INDIRECT("Tabela1["&amp;$D29&amp;"]"),Tabela1[Turno],$F29,Tabela1[Data],AC$3),"")</f>
        <v/>
      </c>
      <c r="AD29" s="12" t="str">
        <f ca="1">IFERROR(AVERAGEIFS(INDIRECT("Tabela1["&amp;$D29&amp;"]"),Tabela1[Turno],$F29,Tabela1[Data],AD$3),"")</f>
        <v/>
      </c>
      <c r="AE29" s="12" t="str">
        <f ca="1">IFERROR(AVERAGEIFS(INDIRECT("Tabela1["&amp;$D29&amp;"]"),Tabela1[Turno],$F29,Tabela1[Data],AE$3),"")</f>
        <v/>
      </c>
      <c r="AF29" s="12" t="str">
        <f ca="1">IFERROR(AVERAGEIFS(INDIRECT("Tabela1["&amp;$D29&amp;"]"),Tabela1[Turno],$F29,Tabela1[Data],AF$3),"")</f>
        <v/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>
        <f ca="1">IFERROR(AVERAGEIFS(INDIRECT("Tabela1["&amp;$D30&amp;"]"),Tabela1[Mês],P$3),"")</f>
        <v>7</v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</v>
      </c>
      <c r="X30" s="9">
        <f ca="1">IFERROR(AVERAGEIFS(INDIRECT("Tabela1["&amp;$D30&amp;"]"),Tabela1[Data],X$3),"")</f>
        <v>7</v>
      </c>
      <c r="Y30" s="9">
        <f ca="1">IFERROR(AVERAGEIFS(INDIRECT("Tabela1["&amp;$D30&amp;"]"),Tabela1[Data],Y$3),"")</f>
        <v>7</v>
      </c>
      <c r="Z30" s="9">
        <f ca="1">IFERROR(AVERAGEIFS(INDIRECT("Tabela1["&amp;$D30&amp;"]"),Tabela1[Data],Z$3),"")</f>
        <v>7</v>
      </c>
      <c r="AA30" s="9">
        <f ca="1">IFERROR(AVERAGEIFS(INDIRECT("Tabela1["&amp;$D30&amp;"]"),Tabela1[Data],AA$3),"")</f>
        <v>7</v>
      </c>
      <c r="AB30" s="9">
        <f ca="1">IFERROR(AVERAGEIFS(INDIRECT("Tabela1["&amp;$D30&amp;"]"),Tabela1[Data],AB$3),"")</f>
        <v>7</v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 t="str">
        <f ca="1">IFERROR(AVERAGEIFS(INDIRECT("Tabela1["&amp;$D31&amp;"]"),Tabela1[Turno],$F31,Tabela1[Data],W$3),"")</f>
        <v/>
      </c>
      <c r="X31" s="26" t="str">
        <f ca="1">IFERROR(AVERAGEIFS(INDIRECT("Tabela1["&amp;$D31&amp;"]"),Tabela1[Turno],$F31,Tabela1[Data],X$3),"")</f>
        <v/>
      </c>
      <c r="Y31" s="26" t="str">
        <f ca="1">IFERROR(AVERAGEIFS(INDIRECT("Tabela1["&amp;$D31&amp;"]"),Tabela1[Turno],$F31,Tabela1[Data],Y$3),"")</f>
        <v/>
      </c>
      <c r="Z31" s="26" t="str">
        <f ca="1">IFERROR(AVERAGEIFS(INDIRECT("Tabela1["&amp;$D31&amp;"]"),Tabela1[Turno],$F31,Tabela1[Data],Z$3),"")</f>
        <v/>
      </c>
      <c r="AA31" s="26" t="str">
        <f ca="1">IFERROR(AVERAGEIFS(INDIRECT("Tabela1["&amp;$D31&amp;"]"),Tabela1[Turno],$F31,Tabela1[Data],AA$3),"")</f>
        <v/>
      </c>
      <c r="AB31" s="26" t="str">
        <f ca="1">IFERROR(AVERAGEIFS(INDIRECT("Tabela1["&amp;$D31&amp;"]"),Tabela1[Turno],$F31,Tabela1[Data],AB$3),"")</f>
        <v/>
      </c>
      <c r="AC31" s="26" t="str">
        <f ca="1">IFERROR(AVERAGEIFS(INDIRECT("Tabela1["&amp;$D31&amp;"]"),Tabela1[Turno],$F31,Tabela1[Data],AC$3),"")</f>
        <v/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>
        <f ca="1">IFERROR(AVERAGEIFS(INDIRECT("Tabela1["&amp;$D32&amp;"]"),Tabela1[Turno],$F32,Tabela1[Mês],P$3),"")</f>
        <v>6.931034482758621</v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7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6.333333333333333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7</v>
      </c>
      <c r="AB32" s="12">
        <f ca="1">IFERROR(AVERAGEIFS(INDIRECT("Tabela1["&amp;$D32&amp;"]"),Tabela1[Turno],$F32,Tabela1[Data],AB$3),"")</f>
        <v>7</v>
      </c>
      <c r="AC32" s="12" t="str">
        <f ca="1">IFERROR(AVERAGEIFS(INDIRECT("Tabela1["&amp;$D32&amp;"]"),Tabela1[Turno],$F32,Tabela1[Data],AC$3),"")</f>
        <v/>
      </c>
      <c r="AD32" s="12" t="str">
        <f ca="1">IFERROR(AVERAGEIFS(INDIRECT("Tabela1["&amp;$D32&amp;"]"),Tabela1[Turno],$F32,Tabela1[Data],AD$3),"")</f>
        <v/>
      </c>
      <c r="AE32" s="12" t="str">
        <f ca="1">IFERROR(AVERAGEIFS(INDIRECT("Tabela1["&amp;$D32&amp;"]"),Tabela1[Turno],$F32,Tabela1[Data],AE$3),"")</f>
        <v/>
      </c>
      <c r="AF32" s="12" t="str">
        <f ca="1">IFERROR(AVERAGEIFS(INDIRECT("Tabela1["&amp;$D32&amp;"]"),Tabela1[Turno],$F32,Tabela1[Data],AF$3),"")</f>
        <v/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>
        <f ca="1">IFERROR(AVERAGEIFS(INDIRECT("Tabela1["&amp;$D33&amp;"]"),Tabela1[Mês],P$3),"")</f>
        <v>6.931034482758621</v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7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6.333333333333333</v>
      </c>
      <c r="X33" s="9">
        <f ca="1">IFERROR(AVERAGEIFS(INDIRECT("Tabela1["&amp;$D33&amp;"]"),Tabela1[Data],X$3),"")</f>
        <v>7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</v>
      </c>
      <c r="AA33" s="9">
        <f ca="1">IFERROR(AVERAGEIFS(INDIRECT("Tabela1["&amp;$D33&amp;"]"),Tabela1[Data],AA$3),"")</f>
        <v>7</v>
      </c>
      <c r="AB33" s="9">
        <f ca="1">IFERROR(AVERAGEIFS(INDIRECT("Tabela1["&amp;$D33&amp;"]"),Tabela1[Data],AB$3),"")</f>
        <v>7</v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 t="str">
        <f ca="1">IFERROR(AVERAGEIFS(INDIRECT("Tabela1["&amp;$D34&amp;"]"),Tabela1[Turno],$F34,Tabela1[Data],W$3),"")</f>
        <v/>
      </c>
      <c r="X34" s="26" t="str">
        <f ca="1">IFERROR(AVERAGEIFS(INDIRECT("Tabela1["&amp;$D34&amp;"]"),Tabela1[Turno],$F34,Tabela1[Data],X$3),"")</f>
        <v/>
      </c>
      <c r="Y34" s="26" t="str">
        <f ca="1">IFERROR(AVERAGEIFS(INDIRECT("Tabela1["&amp;$D34&amp;"]"),Tabela1[Turno],$F34,Tabela1[Data],Y$3),"")</f>
        <v/>
      </c>
      <c r="Z34" s="26" t="str">
        <f ca="1">IFERROR(AVERAGEIFS(INDIRECT("Tabela1["&amp;$D34&amp;"]"),Tabela1[Turno],$F34,Tabela1[Data],Z$3),"")</f>
        <v/>
      </c>
      <c r="AA34" s="26" t="str">
        <f ca="1">IFERROR(AVERAGEIFS(INDIRECT("Tabela1["&amp;$D34&amp;"]"),Tabela1[Turno],$F34,Tabela1[Data],AA$3),"")</f>
        <v/>
      </c>
      <c r="AB34" s="26" t="str">
        <f ca="1">IFERROR(AVERAGEIFS(INDIRECT("Tabela1["&amp;$D34&amp;"]"),Tabela1[Turno],$F34,Tabela1[Data],AB$3),"")</f>
        <v/>
      </c>
      <c r="AC34" s="26" t="str">
        <f ca="1">IFERROR(AVERAGEIFS(INDIRECT("Tabela1["&amp;$D34&amp;"]"),Tabela1[Turno],$F34,Tabela1[Data],AC$3),"")</f>
        <v/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>
        <f ca="1">IFERROR(AVERAGEIFS(INDIRECT("Tabela1["&amp;$D35&amp;"]"),Tabela1[Turno],$F35,Tabela1[Mês],P$3),"")</f>
        <v>7</v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 t="str">
        <f ca="1">IFERROR(AVERAGEIFS(INDIRECT("Tabela1["&amp;$D35&amp;"]"),Tabela1[Turno],$F35,Tabela1[Data],AC$3),"")</f>
        <v/>
      </c>
      <c r="AD35" s="12" t="str">
        <f ca="1">IFERROR(AVERAGEIFS(INDIRECT("Tabela1["&amp;$D35&amp;"]"),Tabela1[Turno],$F35,Tabela1[Data],AD$3),"")</f>
        <v/>
      </c>
      <c r="AE35" s="12" t="str">
        <f ca="1">IFERROR(AVERAGEIFS(INDIRECT("Tabela1["&amp;$D35&amp;"]"),Tabela1[Turno],$F35,Tabela1[Data],AE$3),"")</f>
        <v/>
      </c>
      <c r="AF35" s="12" t="str">
        <f ca="1">IFERROR(AVERAGEIFS(INDIRECT("Tabela1["&amp;$D35&amp;"]"),Tabela1[Turno],$F35,Tabela1[Data],AF$3),"")</f>
        <v/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>
        <f ca="1">IFERROR(AVERAGEIFS(INDIRECT("Tabela1["&amp;$D36&amp;"]"),Tabela1[Mês],P$3),"")</f>
        <v>7</v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</v>
      </c>
      <c r="Z36" s="9">
        <f ca="1">IFERROR(AVERAGEIFS(INDIRECT("Tabela1["&amp;$D36&amp;"]"),Tabela1[Data],Z$3),"")</f>
        <v>7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 t="str">
        <f ca="1">IFERROR(AVERAGEIFS(INDIRECT("Tabela1["&amp;$D37&amp;"]"),Tabela1[Turno],$F37,Tabela1[Data],W$3),"")</f>
        <v/>
      </c>
      <c r="X37" s="26" t="str">
        <f ca="1">IFERROR(AVERAGEIFS(INDIRECT("Tabela1["&amp;$D37&amp;"]"),Tabela1[Turno],$F37,Tabela1[Data],X$3),"")</f>
        <v/>
      </c>
      <c r="Y37" s="26" t="str">
        <f ca="1">IFERROR(AVERAGEIFS(INDIRECT("Tabela1["&amp;$D37&amp;"]"),Tabela1[Turno],$F37,Tabela1[Data],Y$3),"")</f>
        <v/>
      </c>
      <c r="Z37" s="26" t="str">
        <f ca="1">IFERROR(AVERAGEIFS(INDIRECT("Tabela1["&amp;$D37&amp;"]"),Tabela1[Turno],$F37,Tabela1[Data],Z$3),"")</f>
        <v/>
      </c>
      <c r="AA37" s="26" t="str">
        <f ca="1">IFERROR(AVERAGEIFS(INDIRECT("Tabela1["&amp;$D37&amp;"]"),Tabela1[Turno],$F37,Tabela1[Data],AA$3),"")</f>
        <v/>
      </c>
      <c r="AB37" s="26" t="str">
        <f ca="1">IFERROR(AVERAGEIFS(INDIRECT("Tabela1["&amp;$D37&amp;"]"),Tabela1[Turno],$F37,Tabela1[Data],AB$3),"")</f>
        <v/>
      </c>
      <c r="AC37" s="26" t="str">
        <f ca="1">IFERROR(AVERAGEIFS(INDIRECT("Tabela1["&amp;$D37&amp;"]"),Tabela1[Turno],$F37,Tabela1[Data],AC$3),"")</f>
        <v/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>
        <f ca="1">IFERROR(AVERAGEIFS(INDIRECT("Tabela1["&amp;$D38&amp;"]"),Tabela1[Turno],$F38,Tabela1[Mês],P$3),"")</f>
        <v>6.52</v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6.5</v>
      </c>
      <c r="V38" s="12">
        <f ca="1">IFERROR(AVERAGEIFS(INDIRECT("Tabela1["&amp;$D38&amp;"]"),Tabela1[Turno],$F38,Tabela1[Data],V$3),"")</f>
        <v>5.666666666666667</v>
      </c>
      <c r="W38" s="12">
        <f ca="1">IFERROR(AVERAGEIFS(INDIRECT("Tabela1["&amp;$D38&amp;"]"),Tabela1[Turno],$F38,Tabela1[Data],W$3),"")</f>
        <v>6.333333333333333</v>
      </c>
      <c r="X38" s="12">
        <f ca="1">IFERROR(AVERAGEIFS(INDIRECT("Tabela1["&amp;$D38&amp;"]"),Tabela1[Turno],$F38,Tabela1[Data],X$3),"")</f>
        <v>7</v>
      </c>
      <c r="Y38" s="12">
        <f ca="1">IFERROR(AVERAGEIFS(INDIRECT("Tabela1["&amp;$D38&amp;"]"),Tabela1[Turno],$F38,Tabela1[Data],Y$3),"")</f>
        <v>6.5</v>
      </c>
      <c r="Z38" s="12">
        <f ca="1">IFERROR(AVERAGEIFS(INDIRECT("Tabela1["&amp;$D38&amp;"]"),Tabela1[Turno],$F38,Tabela1[Data],Z$3),"")</f>
        <v>7</v>
      </c>
      <c r="AA38" s="12">
        <f ca="1">IFERROR(AVERAGEIFS(INDIRECT("Tabela1["&amp;$D38&amp;"]"),Tabela1[Turno],$F38,Tabela1[Data],AA$3),"")</f>
        <v>7</v>
      </c>
      <c r="AB38" s="12">
        <f ca="1">IFERROR(AVERAGEIFS(INDIRECT("Tabela1["&amp;$D38&amp;"]"),Tabela1[Turno],$F38,Tabela1[Data],AB$3),"")</f>
        <v>6</v>
      </c>
      <c r="AC38" s="12" t="str">
        <f ca="1">IFERROR(AVERAGEIFS(INDIRECT("Tabela1["&amp;$D38&amp;"]"),Tabela1[Turno],$F38,Tabela1[Data],AC$3),"")</f>
        <v/>
      </c>
      <c r="AD38" s="12" t="str">
        <f ca="1">IFERROR(AVERAGEIFS(INDIRECT("Tabela1["&amp;$D38&amp;"]"),Tabela1[Turno],$F38,Tabela1[Data],AD$3),"")</f>
        <v/>
      </c>
      <c r="AE38" s="12" t="str">
        <f ca="1">IFERROR(AVERAGEIFS(INDIRECT("Tabela1["&amp;$D38&amp;"]"),Tabela1[Turno],$F38,Tabela1[Data],AE$3),"")</f>
        <v/>
      </c>
      <c r="AF38" s="12" t="str">
        <f ca="1">IFERROR(AVERAGEIFS(INDIRECT("Tabela1["&amp;$D38&amp;"]"),Tabela1[Turno],$F38,Tabela1[Data],AF$3),"")</f>
        <v/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>
        <f ca="1">IFERROR(AVERAGEIFS(INDIRECT("Tabela1["&amp;$D39&amp;"]"),Tabela1[Mês],P$3),"")</f>
        <v>6.52</v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6.5</v>
      </c>
      <c r="V39" s="9">
        <f ca="1">IFERROR(AVERAGEIFS(INDIRECT("Tabela1["&amp;$D39&amp;"]"),Tabela1[Data],V$3),"")</f>
        <v>5.666666666666667</v>
      </c>
      <c r="W39" s="9">
        <f ca="1">IFERROR(AVERAGEIFS(INDIRECT("Tabela1["&amp;$D39&amp;"]"),Tabela1[Data],W$3),"")</f>
        <v>6.333333333333333</v>
      </c>
      <c r="X39" s="9">
        <f ca="1">IFERROR(AVERAGEIFS(INDIRECT("Tabela1["&amp;$D39&amp;"]"),Tabela1[Data],X$3),"")</f>
        <v>7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</v>
      </c>
      <c r="AA39" s="9">
        <f ca="1">IFERROR(AVERAGEIFS(INDIRECT("Tabela1["&amp;$D39&amp;"]"),Tabela1[Data],AA$3),"")</f>
        <v>7</v>
      </c>
      <c r="AB39" s="9">
        <f ca="1">IFERROR(AVERAGEIFS(INDIRECT("Tabela1["&amp;$D39&amp;"]"),Tabela1[Data],AB$3),"")</f>
        <v>6</v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 t="str">
        <f ca="1">IFERROR(AVERAGEIFS(INDIRECT("Tabela1["&amp;$D40&amp;"]"),Tabela1[Turno],$F40,Tabela1[Data],W$3),"")</f>
        <v/>
      </c>
      <c r="X40" s="26" t="str">
        <f ca="1">IFERROR(AVERAGEIFS(INDIRECT("Tabela1["&amp;$D40&amp;"]"),Tabela1[Turno],$F40,Tabela1[Data],X$3),"")</f>
        <v/>
      </c>
      <c r="Y40" s="26" t="str">
        <f ca="1">IFERROR(AVERAGEIFS(INDIRECT("Tabela1["&amp;$D40&amp;"]"),Tabela1[Turno],$F40,Tabela1[Data],Y$3),"")</f>
        <v/>
      </c>
      <c r="Z40" s="26" t="str">
        <f ca="1">IFERROR(AVERAGEIFS(INDIRECT("Tabela1["&amp;$D40&amp;"]"),Tabela1[Turno],$F40,Tabela1[Data],Z$3),"")</f>
        <v/>
      </c>
      <c r="AA40" s="26" t="str">
        <f ca="1">IFERROR(AVERAGEIFS(INDIRECT("Tabela1["&amp;$D40&amp;"]"),Tabela1[Turno],$F40,Tabela1[Data],AA$3),"")</f>
        <v/>
      </c>
      <c r="AB40" s="26" t="str">
        <f ca="1">IFERROR(AVERAGEIFS(INDIRECT("Tabela1["&amp;$D40&amp;"]"),Tabela1[Turno],$F40,Tabela1[Data],AB$3),"")</f>
        <v/>
      </c>
      <c r="AC40" s="26" t="str">
        <f ca="1">IFERROR(AVERAGEIFS(INDIRECT("Tabela1["&amp;$D40&amp;"]"),Tabela1[Turno],$F40,Tabela1[Data],AC$3),"")</f>
        <v/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>
        <f ca="1">IFERROR(AVERAGEIFS(INDIRECT("Tabela1["&amp;$D41&amp;"]"),Tabela1[Turno],$F41,Tabela1[Mês],P$3),"")</f>
        <v>8.4285714285714288</v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8.5</v>
      </c>
      <c r="V41" s="12">
        <f ca="1">IFERROR(AVERAGEIFS(INDIRECT("Tabela1["&amp;$D41&amp;"]"),Tabela1[Turno],$F41,Tabela1[Data],V$3),"")</f>
        <v>7</v>
      </c>
      <c r="W41" s="12">
        <f ca="1">IFERROR(AVERAGEIFS(INDIRECT("Tabela1["&amp;$D41&amp;"]"),Tabela1[Turno],$F41,Tabela1[Data],W$3),"")</f>
        <v>9</v>
      </c>
      <c r="X41" s="12">
        <f ca="1">IFERROR(AVERAGEIFS(INDIRECT("Tabela1["&amp;$D41&amp;"]"),Tabela1[Turno],$F41,Tabela1[Data],X$3),"")</f>
        <v>9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10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 t="str">
        <f ca="1">IFERROR(AVERAGEIFS(INDIRECT("Tabela1["&amp;$D41&amp;"]"),Tabela1[Turno],$F41,Tabela1[Data],AC$3),"")</f>
        <v/>
      </c>
      <c r="AD41" s="12" t="str">
        <f ca="1">IFERROR(AVERAGEIFS(INDIRECT("Tabela1["&amp;$D41&amp;"]"),Tabela1[Turno],$F41,Tabela1[Data],AD$3),"")</f>
        <v/>
      </c>
      <c r="AE41" s="12" t="str">
        <f ca="1">IFERROR(AVERAGEIFS(INDIRECT("Tabela1["&amp;$D41&amp;"]"),Tabela1[Turno],$F41,Tabela1[Data],AE$3),"")</f>
        <v/>
      </c>
      <c r="AF41" s="12" t="str">
        <f ca="1">IFERROR(AVERAGEIFS(INDIRECT("Tabela1["&amp;$D41&amp;"]"),Tabela1[Turno],$F41,Tabela1[Data],AF$3),"")</f>
        <v/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>
        <f ca="1">IFERROR(AVERAGEIFS(INDIRECT("Tabela1["&amp;$D42&amp;"]"),Tabela1[Mês],P$3),"")</f>
        <v>8.4285714285714288</v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8.5</v>
      </c>
      <c r="V42" s="9">
        <f ca="1">IFERROR(AVERAGEIFS(INDIRECT("Tabela1["&amp;$D42&amp;"]"),Tabela1[Data],V$3),"")</f>
        <v>7</v>
      </c>
      <c r="W42" s="9">
        <f ca="1">IFERROR(AVERAGEIFS(INDIRECT("Tabela1["&amp;$D42&amp;"]"),Tabela1[Data],W$3),"")</f>
        <v>9</v>
      </c>
      <c r="X42" s="9">
        <f ca="1">IFERROR(AVERAGEIFS(INDIRECT("Tabela1["&amp;$D42&amp;"]"),Tabela1[Data],X$3),"")</f>
        <v>9</v>
      </c>
      <c r="Y42" s="9">
        <f ca="1">IFERROR(AVERAGEIFS(INDIRECT("Tabela1["&amp;$D42&amp;"]"),Tabela1[Data],Y$3),"")</f>
        <v>8.5</v>
      </c>
      <c r="Z42" s="9">
        <f ca="1">IFERROR(AVERAGEIFS(INDIRECT("Tabela1["&amp;$D42&amp;"]"),Tabela1[Data],Z$3),"")</f>
        <v>10</v>
      </c>
      <c r="AA42" s="9">
        <f ca="1">IFERROR(AVERAGEIFS(INDIRECT("Tabela1["&amp;$D42&amp;"]"),Tabela1[Data],AA$3),"")</f>
        <v>8</v>
      </c>
      <c r="AB42" s="9">
        <f ca="1">IFERROR(AVERAGEIFS(INDIRECT("Tabela1["&amp;$D42&amp;"]"),Tabela1[Data],AB$3),"")</f>
        <v>7</v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 t="str">
        <f ca="1">IFERROR(AVERAGEIFS(INDIRECT("Tabela1["&amp;$D43&amp;"]"),Tabela1[Turno],$F43,Tabela1[Data],W$3),"")</f>
        <v/>
      </c>
      <c r="X43" s="26" t="str">
        <f ca="1">IFERROR(AVERAGEIFS(INDIRECT("Tabela1["&amp;$D43&amp;"]"),Tabela1[Turno],$F43,Tabela1[Data],X$3),"")</f>
        <v/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>
        <f ca="1">IFERROR(AVERAGEIFS(INDIRECT("Tabela1["&amp;$D44&amp;"]"),Tabela1[Turno],$F44,Tabela1[Mês],P$3),"")</f>
        <v>7.3157894736842106</v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7</v>
      </c>
      <c r="V44" s="12">
        <f ca="1">IFERROR(AVERAGEIFS(INDIRECT("Tabela1["&amp;$D44&amp;"]"),Tabela1[Turno],$F44,Tabela1[Data],V$3),"")</f>
        <v>7</v>
      </c>
      <c r="W44" s="12">
        <f ca="1">IFERROR(AVERAGEIFS(INDIRECT("Tabela1["&amp;$D44&amp;"]"),Tabela1[Turno],$F44,Tabela1[Data],W$3),"")</f>
        <v>8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7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7</v>
      </c>
      <c r="AB44" s="12">
        <f ca="1">IFERROR(AVERAGEIFS(INDIRECT("Tabela1["&amp;$D44&amp;"]"),Tabela1[Turno],$F44,Tabela1[Data],AB$3),"")</f>
        <v>7</v>
      </c>
      <c r="AC44" s="12" t="str">
        <f ca="1">IFERROR(AVERAGEIFS(INDIRECT("Tabela1["&amp;$D44&amp;"]"),Tabela1[Turno],$F44,Tabela1[Data],AC$3),"")</f>
        <v/>
      </c>
      <c r="AD44" s="12" t="str">
        <f ca="1">IFERROR(AVERAGEIFS(INDIRECT("Tabela1["&amp;$D44&amp;"]"),Tabela1[Turno],$F44,Tabela1[Data],AD$3),"")</f>
        <v/>
      </c>
      <c r="AE44" s="12" t="str">
        <f ca="1">IFERROR(AVERAGEIFS(INDIRECT("Tabela1["&amp;$D44&amp;"]"),Tabela1[Turno],$F44,Tabela1[Data],AE$3),"")</f>
        <v/>
      </c>
      <c r="AF44" s="12" t="str">
        <f ca="1">IFERROR(AVERAGEIFS(INDIRECT("Tabela1["&amp;$D44&amp;"]"),Tabela1[Turno],$F44,Tabela1[Data],AF$3),"")</f>
        <v/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>
        <f ca="1">IFERROR(AVERAGEIFS(INDIRECT("Tabela1["&amp;$D45&amp;"]"),Tabela1[Mês],P$3),"")</f>
        <v>7.3157894736842106</v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7</v>
      </c>
      <c r="V45" s="9">
        <f ca="1">IFERROR(AVERAGEIFS(INDIRECT("Tabela1["&amp;$D45&amp;"]"),Tabela1[Data],V$3),"")</f>
        <v>7</v>
      </c>
      <c r="W45" s="9">
        <f ca="1">IFERROR(AVERAGEIFS(INDIRECT("Tabela1["&amp;$D45&amp;"]"),Tabela1[Data],W$3),"")</f>
        <v>8</v>
      </c>
      <c r="X45" s="9">
        <f ca="1">IFERROR(AVERAGEIFS(INDIRECT("Tabela1["&amp;$D45&amp;"]"),Tabela1[Data],X$3),"")</f>
        <v>7</v>
      </c>
      <c r="Y45" s="9">
        <f ca="1">IFERROR(AVERAGEIFS(INDIRECT("Tabela1["&amp;$D45&amp;"]"),Tabela1[Data],Y$3),"")</f>
        <v>7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7</v>
      </c>
      <c r="AB45" s="9">
        <f ca="1">IFERROR(AVERAGEIFS(INDIRECT("Tabela1["&amp;$D45&amp;"]"),Tabela1[Data],AB$3),"")</f>
        <v>7</v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 t="str">
        <f ca="1">IFERROR(AVERAGEIFS(INDIRECT("Tabela1["&amp;$D46&amp;"]"),Tabela1[Turno],$F46,Tabela1[Data],W$3)/100,"")</f>
        <v/>
      </c>
      <c r="X46" s="28" t="str">
        <f ca="1">IFERROR(AVERAGEIFS(INDIRECT("Tabela1["&amp;$D46&amp;"]"),Tabela1[Turno],$F46,Tabela1[Data],X$3)/100,"")</f>
        <v/>
      </c>
      <c r="Y46" s="28" t="str">
        <f ca="1">IFERROR(AVERAGEIFS(INDIRECT("Tabela1["&amp;$D46&amp;"]"),Tabela1[Turno],$F46,Tabela1[Data],Y$3)/100,"")</f>
        <v/>
      </c>
      <c r="Z46" s="28" t="str">
        <f ca="1">IFERROR(AVERAGEIFS(INDIRECT("Tabela1["&amp;$D46&amp;"]"),Tabela1[Turno],$F46,Tabela1[Data],Z$3)/100,"")</f>
        <v/>
      </c>
      <c r="AA46" s="28" t="str">
        <f ca="1">IFERROR(AVERAGEIFS(INDIRECT("Tabela1["&amp;$D46&amp;"]"),Tabela1[Turno],$F46,Tabela1[Data],AA$3)/100,"")</f>
        <v/>
      </c>
      <c r="AB46" s="28" t="str">
        <f ca="1">IFERROR(AVERAGEIFS(INDIRECT("Tabela1["&amp;$D46&amp;"]"),Tabela1[Turno],$F46,Tabela1[Data],AB$3)/100,"")</f>
        <v/>
      </c>
      <c r="AC46" s="28" t="str">
        <f ca="1">IFERROR(AVERAGEIFS(INDIRECT("Tabela1["&amp;$D46&amp;"]"),Tabela1[Turno],$F46,Tabela1[Data],AC$3)/100,"")</f>
        <v/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>
        <f ca="1">IFERROR(AVERAGEIFS(INDIRECT("Tabela1["&amp;$D47&amp;"]"),Tabela1[Turno],$F47,Tabela1[Mês],P$3)/100,"")</f>
        <v>0.24839285714285717</v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0.30166666666666669</v>
      </c>
      <c r="V47" s="16">
        <f ca="1">IFERROR(AVERAGEIFS(INDIRECT("Tabela1["&amp;$D47&amp;"]"),Tabela1[Turno],$F47,Tabela1[Data],V$3)/100,"")</f>
        <v>0.23499999999999999</v>
      </c>
      <c r="W47" s="16">
        <f ca="1">IFERROR(AVERAGEIFS(INDIRECT("Tabela1["&amp;$D47&amp;"]"),Tabela1[Turno],$F47,Tabela1[Data],W$3)/100,"")</f>
        <v>0.22500000000000001</v>
      </c>
      <c r="X47" s="16">
        <f ca="1">IFERROR(AVERAGEIFS(INDIRECT("Tabela1["&amp;$D47&amp;"]"),Tabela1[Turno],$F47,Tabela1[Data],X$3)/100,"")</f>
        <v>0.21875</v>
      </c>
      <c r="Y47" s="16">
        <f ca="1">IFERROR(AVERAGEIFS(INDIRECT("Tabela1["&amp;$D47&amp;"]"),Tabela1[Turno],$F47,Tabela1[Data],Y$3)/100,"")</f>
        <v>0.22625000000000001</v>
      </c>
      <c r="Z47" s="16">
        <f ca="1">IFERROR(AVERAGEIFS(INDIRECT("Tabela1["&amp;$D47&amp;"]"),Tabela1[Turno],$F47,Tabela1[Data],Z$3)/100,"")</f>
        <v>0.255</v>
      </c>
      <c r="AA47" s="16">
        <f ca="1">IFERROR(AVERAGEIFS(INDIRECT("Tabela1["&amp;$D47&amp;"]"),Tabela1[Turno],$F47,Tabela1[Data],AA$3)/100,"")</f>
        <v>0.26624999999999999</v>
      </c>
      <c r="AB47" s="16">
        <f ca="1">IFERROR(AVERAGEIFS(INDIRECT("Tabela1["&amp;$D47&amp;"]"),Tabela1[Turno],$F47,Tabela1[Data],AB$3)/100,"")</f>
        <v>0.28499999999999998</v>
      </c>
      <c r="AC47" s="16" t="str">
        <f ca="1">IFERROR(AVERAGEIFS(INDIRECT("Tabela1["&amp;$D47&amp;"]"),Tabela1[Turno],$F47,Tabela1[Data],AC$3)/100,"")</f>
        <v/>
      </c>
      <c r="AD47" s="16" t="str">
        <f ca="1">IFERROR(AVERAGEIFS(INDIRECT("Tabela1["&amp;$D47&amp;"]"),Tabela1[Turno],$F47,Tabela1[Data],AD$3)/100,"")</f>
        <v/>
      </c>
      <c r="AE47" s="16" t="str">
        <f ca="1">IFERROR(AVERAGEIFS(INDIRECT("Tabela1["&amp;$D47&amp;"]"),Tabela1[Turno],$F47,Tabela1[Data],AE$3)/100,"")</f>
        <v/>
      </c>
      <c r="AF47" s="16" t="str">
        <f ca="1">IFERROR(AVERAGEIFS(INDIRECT("Tabela1["&amp;$D47&amp;"]"),Tabela1[Turno],$F47,Tabela1[Data],AF$3)/100,"")</f>
        <v/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>
        <f ca="1">IFERROR(AVERAGEIFS(INDIRECT("Tabela1["&amp;$D48&amp;"]"),Tabela1[Mês],P$3)/100,"")</f>
        <v>0.24839285714285717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0.30166666666666669</v>
      </c>
      <c r="V48" s="10">
        <f ca="1">IFERROR(AVERAGEIFS(INDIRECT("Tabela1["&amp;$D48&amp;"]"),Tabela1[Data],V$3)/100,"")</f>
        <v>0.23499999999999999</v>
      </c>
      <c r="W48" s="10">
        <f ca="1">IFERROR(AVERAGEIFS(INDIRECT("Tabela1["&amp;$D48&amp;"]"),Tabela1[Data],W$3)/100,"")</f>
        <v>0.22500000000000001</v>
      </c>
      <c r="X48" s="10">
        <f ca="1">IFERROR(AVERAGEIFS(INDIRECT("Tabela1["&amp;$D48&amp;"]"),Tabela1[Data],X$3)/100,"")</f>
        <v>0.21875</v>
      </c>
      <c r="Y48" s="10">
        <f ca="1">IFERROR(AVERAGEIFS(INDIRECT("Tabela1["&amp;$D48&amp;"]"),Tabela1[Data],Y$3)/100,"")</f>
        <v>0.22625000000000001</v>
      </c>
      <c r="Z48" s="10">
        <f ca="1">IFERROR(AVERAGEIFS(INDIRECT("Tabela1["&amp;$D48&amp;"]"),Tabela1[Data],Z$3)/100,"")</f>
        <v>0.255</v>
      </c>
      <c r="AA48" s="10">
        <f ca="1">IFERROR(AVERAGEIFS(INDIRECT("Tabela1["&amp;$D48&amp;"]"),Tabela1[Data],AA$3)/100,"")</f>
        <v>0.26624999999999999</v>
      </c>
      <c r="AB48" s="10">
        <f ca="1">IFERROR(AVERAGEIFS(INDIRECT("Tabela1["&amp;$D48&amp;"]"),Tabela1[Data],AB$3)/100,"")</f>
        <v>0.28499999999999998</v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 t="str">
        <f ca="1">IFERROR(AVERAGEIFS(INDIRECT("Tabela1["&amp;$D49&amp;"]"),Tabela1[Turno],$F49,Tabela1[Data],W$3)/100,"")</f>
        <v/>
      </c>
      <c r="X49" s="28" t="str">
        <f ca="1">IFERROR(AVERAGEIFS(INDIRECT("Tabela1["&amp;$D49&amp;"]"),Tabela1[Turno],$F49,Tabela1[Data],X$3)/100,"")</f>
        <v/>
      </c>
      <c r="Y49" s="28" t="str">
        <f ca="1">IFERROR(AVERAGEIFS(INDIRECT("Tabela1["&amp;$D49&amp;"]"),Tabela1[Turno],$F49,Tabela1[Data],Y$3)/100,"")</f>
        <v/>
      </c>
      <c r="Z49" s="28" t="str">
        <f ca="1">IFERROR(AVERAGEIFS(INDIRECT("Tabela1["&amp;$D49&amp;"]"),Tabela1[Turno],$F49,Tabela1[Data],Z$3)/100,"")</f>
        <v/>
      </c>
      <c r="AA49" s="28" t="str">
        <f ca="1">IFERROR(AVERAGEIFS(INDIRECT("Tabela1["&amp;$D49&amp;"]"),Tabela1[Turno],$F49,Tabela1[Data],AA$3)/100,"")</f>
        <v/>
      </c>
      <c r="AB49" s="28" t="str">
        <f ca="1">IFERROR(AVERAGEIFS(INDIRECT("Tabela1["&amp;$D49&amp;"]"),Tabela1[Turno],$F49,Tabela1[Data],AB$3)/100,"")</f>
        <v/>
      </c>
      <c r="AC49" s="28" t="str">
        <f ca="1">IFERROR(AVERAGEIFS(INDIRECT("Tabela1["&amp;$D49&amp;"]"),Tabela1[Turno],$F49,Tabela1[Data],AC$3)/100,"")</f>
        <v/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>
        <f ca="1">IFERROR(AVERAGEIFS(INDIRECT("Tabela1["&amp;$D50&amp;"]"),Tabela1[Turno],$F50,Tabela1[Mês],P$3)/100,"")</f>
        <v>0.24379310344827587</v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0.26374999999999998</v>
      </c>
      <c r="V50" s="16">
        <f ca="1">IFERROR(AVERAGEIFS(INDIRECT("Tabela1["&amp;$D50&amp;"]"),Tabela1[Turno],$F50,Tabela1[Data],V$3)/100,"")</f>
        <v>0.255</v>
      </c>
      <c r="W50" s="16">
        <f ca="1">IFERROR(AVERAGEIFS(INDIRECT("Tabela1["&amp;$D50&amp;"]"),Tabela1[Turno],$F50,Tabela1[Data],W$3)/100,"")</f>
        <v>0.21333333333333332</v>
      </c>
      <c r="X50" s="16">
        <f ca="1">IFERROR(AVERAGEIFS(INDIRECT("Tabela1["&amp;$D50&amp;"]"),Tabela1[Turno],$F50,Tabela1[Data],X$3)/100,"")</f>
        <v>0.23</v>
      </c>
      <c r="Y50" s="16">
        <f ca="1">IFERROR(AVERAGEIFS(INDIRECT("Tabela1["&amp;$D50&amp;"]"),Tabela1[Turno],$F50,Tabela1[Data],Y$3)/100,"")</f>
        <v>0.20250000000000001</v>
      </c>
      <c r="Z50" s="16">
        <f ca="1">IFERROR(AVERAGEIFS(INDIRECT("Tabela1["&amp;$D50&amp;"]"),Tabela1[Turno],$F50,Tabela1[Data],Z$3)/100,"")</f>
        <v>0.23624999999999999</v>
      </c>
      <c r="AA50" s="16">
        <f ca="1">IFERROR(AVERAGEIFS(INDIRECT("Tabela1["&amp;$D50&amp;"]"),Tabela1[Turno],$F50,Tabela1[Data],AA$3)/100,"")</f>
        <v>0.30375000000000002</v>
      </c>
      <c r="AB50" s="16">
        <f ca="1">IFERROR(AVERAGEIFS(INDIRECT("Tabela1["&amp;$D50&amp;"]"),Tabela1[Turno],$F50,Tabela1[Data],AB$3)/100,"")</f>
        <v>0.23250000000000001</v>
      </c>
      <c r="AC50" s="16" t="str">
        <f ca="1">IFERROR(AVERAGEIFS(INDIRECT("Tabela1["&amp;$D50&amp;"]"),Tabela1[Turno],$F50,Tabela1[Data],AC$3)/100,"")</f>
        <v/>
      </c>
      <c r="AD50" s="16" t="str">
        <f ca="1">IFERROR(AVERAGEIFS(INDIRECT("Tabela1["&amp;$D50&amp;"]"),Tabela1[Turno],$F50,Tabela1[Data],AD$3)/100,"")</f>
        <v/>
      </c>
      <c r="AE50" s="16" t="str">
        <f ca="1">IFERROR(AVERAGEIFS(INDIRECT("Tabela1["&amp;$D50&amp;"]"),Tabela1[Turno],$F50,Tabela1[Data],AE$3)/100,"")</f>
        <v/>
      </c>
      <c r="AF50" s="16" t="str">
        <f ca="1">IFERROR(AVERAGEIFS(INDIRECT("Tabela1["&amp;$D50&amp;"]"),Tabela1[Turno],$F50,Tabela1[Data],AF$3)/100,"")</f>
        <v/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>
        <f ca="1">IFERROR(AVERAGEIFS(INDIRECT("Tabela1["&amp;$D51&amp;"]"),Tabela1[Mês],P$3)/100,"")</f>
        <v>0.24379310344827587</v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0.26374999999999998</v>
      </c>
      <c r="V51" s="10">
        <f ca="1">IFERROR(AVERAGEIFS(INDIRECT("Tabela1["&amp;$D51&amp;"]"),Tabela1[Data],V$3)/100,"")</f>
        <v>0.255</v>
      </c>
      <c r="W51" s="10">
        <f ca="1">IFERROR(AVERAGEIFS(INDIRECT("Tabela1["&amp;$D51&amp;"]"),Tabela1[Data],W$3)/100,"")</f>
        <v>0.21333333333333332</v>
      </c>
      <c r="X51" s="10">
        <f ca="1">IFERROR(AVERAGEIFS(INDIRECT("Tabela1["&amp;$D51&amp;"]"),Tabela1[Data],X$3)/100,"")</f>
        <v>0.23</v>
      </c>
      <c r="Y51" s="10">
        <f ca="1">IFERROR(AVERAGEIFS(INDIRECT("Tabela1["&amp;$D51&amp;"]"),Tabela1[Data],Y$3)/100,"")</f>
        <v>0.20250000000000001</v>
      </c>
      <c r="Z51" s="10">
        <f ca="1">IFERROR(AVERAGEIFS(INDIRECT("Tabela1["&amp;$D51&amp;"]"),Tabela1[Data],Z$3)/100,"")</f>
        <v>0.23624999999999999</v>
      </c>
      <c r="AA51" s="10">
        <f ca="1">IFERROR(AVERAGEIFS(INDIRECT("Tabela1["&amp;$D51&amp;"]"),Tabela1[Data],AA$3)/100,"")</f>
        <v>0.30375000000000002</v>
      </c>
      <c r="AB51" s="10">
        <f ca="1">IFERROR(AVERAGEIFS(INDIRECT("Tabela1["&amp;$D51&amp;"]"),Tabela1[Data],AB$3)/100,"")</f>
        <v>0.23250000000000001</v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 t="str">
        <f ca="1">IFERROR(AVERAGEIFS(INDIRECT("Tabela1["&amp;$D52&amp;"]"),Tabela1[Turno],$F52,Tabela1[Data],W$3)/100,"")</f>
        <v/>
      </c>
      <c r="X52" s="28" t="str">
        <f ca="1">IFERROR(AVERAGEIFS(INDIRECT("Tabela1["&amp;$D52&amp;"]"),Tabela1[Turno],$F52,Tabela1[Data],X$3)/100,"")</f>
        <v/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>
        <f ca="1">IFERROR(AVERAGEIFS(INDIRECT("Tabela1["&amp;$D53&amp;"]"),Tabela1[Turno],$F53,Tabela1[Mês],P$3)/100,"")</f>
        <v>0.66379310344827591</v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0.67500000000000004</v>
      </c>
      <c r="V53" s="16">
        <f ca="1">IFERROR(AVERAGEIFS(INDIRECT("Tabela1["&amp;$D53&amp;"]"),Tabela1[Turno],$F53,Tabela1[Data],V$3)/100,"")</f>
        <v>0.63749999999999996</v>
      </c>
      <c r="W53" s="16">
        <f ca="1">IFERROR(AVERAGEIFS(INDIRECT("Tabela1["&amp;$D53&amp;"]"),Tabela1[Turno],$F53,Tabela1[Data],W$3)/100,"")</f>
        <v>0.65</v>
      </c>
      <c r="X53" s="16">
        <f ca="1">IFERROR(AVERAGEIFS(INDIRECT("Tabela1["&amp;$D53&amp;"]"),Tabela1[Turno],$F53,Tabela1[Data],X$3)/100,"")</f>
        <v>0.63749999999999996</v>
      </c>
      <c r="Y53" s="16">
        <f ca="1">IFERROR(AVERAGEIFS(INDIRECT("Tabela1["&amp;$D53&amp;"]"),Tabela1[Turno],$F53,Tabela1[Data],Y$3)/100,"")</f>
        <v>0.67500000000000004</v>
      </c>
      <c r="Z53" s="16">
        <f ca="1">IFERROR(AVERAGEIFS(INDIRECT("Tabela1["&amp;$D53&amp;"]"),Tabela1[Turno],$F53,Tabela1[Data],Z$3)/100,"")</f>
        <v>0.72499999999999998</v>
      </c>
      <c r="AA53" s="16">
        <f ca="1">IFERROR(AVERAGEIFS(INDIRECT("Tabela1["&amp;$D53&amp;"]"),Tabela1[Turno],$F53,Tabela1[Data],AA$3)/100,"")</f>
        <v>0.7</v>
      </c>
      <c r="AB53" s="16">
        <f ca="1">IFERROR(AVERAGEIFS(INDIRECT("Tabela1["&amp;$D53&amp;"]"),Tabela1[Turno],$F53,Tabela1[Data],AB$3)/100,"")</f>
        <v>0.55000000000000004</v>
      </c>
      <c r="AC53" s="16" t="str">
        <f ca="1">IFERROR(AVERAGEIFS(INDIRECT("Tabela1["&amp;$D53&amp;"]"),Tabela1[Turno],$F53,Tabela1[Data],AC$3)/100,"")</f>
        <v/>
      </c>
      <c r="AD53" s="16" t="str">
        <f ca="1">IFERROR(AVERAGEIFS(INDIRECT("Tabela1["&amp;$D53&amp;"]"),Tabela1[Turno],$F53,Tabela1[Data],AD$3)/100,"")</f>
        <v/>
      </c>
      <c r="AE53" s="16" t="str">
        <f ca="1">IFERROR(AVERAGEIFS(INDIRECT("Tabela1["&amp;$D53&amp;"]"),Tabela1[Turno],$F53,Tabela1[Data],AE$3)/100,"")</f>
        <v/>
      </c>
      <c r="AF53" s="16" t="str">
        <f ca="1">IFERROR(AVERAGEIFS(INDIRECT("Tabela1["&amp;$D53&amp;"]"),Tabela1[Turno],$F53,Tabela1[Data],AF$3)/100,"")</f>
        <v/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>
        <f ca="1">IFERROR(AVERAGEIFS(INDIRECT("Tabela1["&amp;$D54&amp;"]"),Tabela1[Mês],P$3)/100,"")</f>
        <v>0.66379310344827591</v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0.67500000000000004</v>
      </c>
      <c r="V54" s="10">
        <f ca="1">IFERROR(AVERAGEIFS(INDIRECT("Tabela1["&amp;$D54&amp;"]"),Tabela1[Data],V$3)/100,"")</f>
        <v>0.63749999999999996</v>
      </c>
      <c r="W54" s="10">
        <f ca="1">IFERROR(AVERAGEIFS(INDIRECT("Tabela1["&amp;$D54&amp;"]"),Tabela1[Data],W$3)/100,"")</f>
        <v>0.65</v>
      </c>
      <c r="X54" s="10">
        <f ca="1">IFERROR(AVERAGEIFS(INDIRECT("Tabela1["&amp;$D54&amp;"]"),Tabela1[Data],X$3)/100,"")</f>
        <v>0.63749999999999996</v>
      </c>
      <c r="Y54" s="10">
        <f ca="1">IFERROR(AVERAGEIFS(INDIRECT("Tabela1["&amp;$D54&amp;"]"),Tabela1[Data],Y$3)/100,"")</f>
        <v>0.67500000000000004</v>
      </c>
      <c r="Z54" s="10">
        <f ca="1">IFERROR(AVERAGEIFS(INDIRECT("Tabela1["&amp;$D54&amp;"]"),Tabela1[Data],Z$3)/100,"")</f>
        <v>0.72499999999999998</v>
      </c>
      <c r="AA54" s="10">
        <f ca="1">IFERROR(AVERAGEIFS(INDIRECT("Tabela1["&amp;$D54&amp;"]"),Tabela1[Data],AA$3)/100,"")</f>
        <v>0.7</v>
      </c>
      <c r="AB54" s="10">
        <f ca="1">IFERROR(AVERAGEIFS(INDIRECT("Tabela1["&amp;$D54&amp;"]"),Tabela1[Data],AB$3)/100,"")</f>
        <v>0.55000000000000004</v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>
        <f ca="1">IFERROR(AVERAGEIFS(INDIRECT("Tabela1["&amp;$D56&amp;"]"),Tabela1[Turno],$F56,Tabela1[Mês],P$3)/100,"")</f>
        <v>0.19310344827586207</v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0.15</v>
      </c>
      <c r="V56" s="16">
        <f ca="1">IFERROR(AVERAGEIFS(INDIRECT("Tabela1["&amp;$D56&amp;"]"),Tabela1[Turno],$F56,Tabela1[Data],V$3)/100,"")</f>
        <v>0.13750000000000001</v>
      </c>
      <c r="W56" s="16">
        <f ca="1">IFERROR(AVERAGEIFS(INDIRECT("Tabela1["&amp;$D56&amp;"]"),Tabela1[Turno],$F56,Tabela1[Data],W$3)/100,"")</f>
        <v>0.15</v>
      </c>
      <c r="X56" s="16">
        <f ca="1">IFERROR(AVERAGEIFS(INDIRECT("Tabela1["&amp;$D56&amp;"]"),Tabela1[Turno],$F56,Tabela1[Data],X$3)/100,"")</f>
        <v>0.22500000000000001</v>
      </c>
      <c r="Y56" s="16">
        <f ca="1">IFERROR(AVERAGEIFS(INDIRECT("Tabela1["&amp;$D56&amp;"]"),Tabela1[Turno],$F56,Tabela1[Data],Y$3)/100,"")</f>
        <v>0.25</v>
      </c>
      <c r="Z56" s="16">
        <f ca="1">IFERROR(AVERAGEIFS(INDIRECT("Tabela1["&amp;$D56&amp;"]"),Tabela1[Turno],$F56,Tabela1[Data],Z$3)/100,"")</f>
        <v>0.21249999999999999</v>
      </c>
      <c r="AA56" s="16">
        <f ca="1">IFERROR(AVERAGEIFS(INDIRECT("Tabela1["&amp;$D56&amp;"]"),Tabela1[Turno],$F56,Tabela1[Data],AA$3)/100,"")</f>
        <v>0.23749999999999999</v>
      </c>
      <c r="AB56" s="16">
        <f ca="1">IFERROR(AVERAGEIFS(INDIRECT("Tabela1["&amp;$D56&amp;"]"),Tabela1[Turno],$F56,Tabela1[Data],AB$3)/100,"")</f>
        <v>0.15</v>
      </c>
      <c r="AC56" s="16" t="str">
        <f ca="1">IFERROR(AVERAGEIFS(INDIRECT("Tabela1["&amp;$D56&amp;"]"),Tabela1[Turno],$F56,Tabela1[Data],AC$3)/100,"")</f>
        <v/>
      </c>
      <c r="AD56" s="16" t="str">
        <f ca="1">IFERROR(AVERAGEIFS(INDIRECT("Tabela1["&amp;$D56&amp;"]"),Tabela1[Turno],$F56,Tabela1[Data],AD$3)/100,"")</f>
        <v/>
      </c>
      <c r="AE56" s="16" t="str">
        <f ca="1">IFERROR(AVERAGEIFS(INDIRECT("Tabela1["&amp;$D56&amp;"]"),Tabela1[Turno],$F56,Tabela1[Data],AE$3)/100,"")</f>
        <v/>
      </c>
      <c r="AF56" s="16" t="str">
        <f ca="1">IFERROR(AVERAGEIFS(INDIRECT("Tabela1["&amp;$D56&amp;"]"),Tabela1[Turno],$F56,Tabela1[Data],AF$3)/100,"")</f>
        <v/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>
        <f ca="1">IFERROR(AVERAGEIFS(INDIRECT("Tabela1["&amp;$D57&amp;"]"),Tabela1[Mês],P$3)/100,"")</f>
        <v>0.19310344827586207</v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0.15</v>
      </c>
      <c r="V57" s="10">
        <f ca="1">IFERROR(AVERAGEIFS(INDIRECT("Tabela1["&amp;$D57&amp;"]"),Tabela1[Data],V$3)/100,"")</f>
        <v>0.13750000000000001</v>
      </c>
      <c r="W57" s="10">
        <f ca="1">IFERROR(AVERAGEIFS(INDIRECT("Tabela1["&amp;$D57&amp;"]"),Tabela1[Data],W$3)/100,"")</f>
        <v>0.15</v>
      </c>
      <c r="X57" s="10">
        <f ca="1">IFERROR(AVERAGEIFS(INDIRECT("Tabela1["&amp;$D57&amp;"]"),Tabela1[Data],X$3)/100,"")</f>
        <v>0.22500000000000001</v>
      </c>
      <c r="Y57" s="10">
        <f ca="1">IFERROR(AVERAGEIFS(INDIRECT("Tabela1["&amp;$D57&amp;"]"),Tabela1[Data],Y$3)/100,"")</f>
        <v>0.25</v>
      </c>
      <c r="Z57" s="10">
        <f ca="1">IFERROR(AVERAGEIFS(INDIRECT("Tabela1["&amp;$D57&amp;"]"),Tabela1[Data],Z$3)/100,"")</f>
        <v>0.21249999999999999</v>
      </c>
      <c r="AA57" s="10">
        <f ca="1">IFERROR(AVERAGEIFS(INDIRECT("Tabela1["&amp;$D57&amp;"]"),Tabela1[Data],AA$3)/100,"")</f>
        <v>0.23749999999999999</v>
      </c>
      <c r="AB57" s="10">
        <f ca="1">IFERROR(AVERAGEIFS(INDIRECT("Tabela1["&amp;$D57&amp;"]"),Tabela1[Data],AB$3)/100,"")</f>
        <v>0.15</v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>
        <f ca="1">IFERROR(AVERAGEIFS(INDIRECT("Tabela1["&amp;$D59&amp;"]"),Tabela1[Turno],$F59,Tabela1[Mês],P$3),"")</f>
        <v>8.7142857142857135</v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9</v>
      </c>
      <c r="V59" s="12">
        <f ca="1">IFERROR(AVERAGEIFS(INDIRECT("Tabela1["&amp;$D59&amp;"]"),Tabela1[Turno],$F59,Tabela1[Data],V$3),"")</f>
        <v>9.25</v>
      </c>
      <c r="W59" s="12">
        <f ca="1">IFERROR(AVERAGEIFS(INDIRECT("Tabela1["&amp;$D59&amp;"]"),Tabela1[Turno],$F59,Tabela1[Data],W$3),"")</f>
        <v>8</v>
      </c>
      <c r="X59" s="12">
        <f ca="1">IFERROR(AVERAGEIFS(INDIRECT("Tabela1["&amp;$D59&amp;"]"),Tabela1[Turno],$F59,Tabela1[Data],X$3),"")</f>
        <v>8.5</v>
      </c>
      <c r="Y59" s="12">
        <f ca="1">IFERROR(AVERAGEIFS(INDIRECT("Tabela1["&amp;$D59&amp;"]"),Tabela1[Turno],$F59,Tabela1[Data],Y$3),"")</f>
        <v>8.5</v>
      </c>
      <c r="Z59" s="12">
        <f ca="1">IFERROR(AVERAGEIFS(INDIRECT("Tabela1["&amp;$D59&amp;"]"),Tabela1[Turno],$F59,Tabela1[Data],Z$3),"")</f>
        <v>8.5</v>
      </c>
      <c r="AA59" s="12">
        <f ca="1">IFERROR(AVERAGEIFS(INDIRECT("Tabela1["&amp;$D59&amp;"]"),Tabela1[Turno],$F59,Tabela1[Data],AA$3),"")</f>
        <v>8.5</v>
      </c>
      <c r="AB59" s="12">
        <f ca="1">IFERROR(AVERAGEIFS(INDIRECT("Tabela1["&amp;$D59&amp;"]"),Tabela1[Turno],$F59,Tabela1[Data],AB$3),"")</f>
        <v>10</v>
      </c>
      <c r="AC59" s="12" t="str">
        <f ca="1">IFERROR(AVERAGEIFS(INDIRECT("Tabela1["&amp;$D59&amp;"]"),Tabela1[Turno],$F59,Tabela1[Data],AC$3),"")</f>
        <v/>
      </c>
      <c r="AD59" s="12" t="str">
        <f ca="1">IFERROR(AVERAGEIFS(INDIRECT("Tabela1["&amp;$D59&amp;"]"),Tabela1[Turno],$F59,Tabela1[Data],AD$3),"")</f>
        <v/>
      </c>
      <c r="AE59" s="12" t="str">
        <f ca="1">IFERROR(AVERAGEIFS(INDIRECT("Tabela1["&amp;$D59&amp;"]"),Tabela1[Turno],$F59,Tabela1[Data],AE$3),"")</f>
        <v/>
      </c>
      <c r="AF59" s="12" t="str">
        <f ca="1">IFERROR(AVERAGEIFS(INDIRECT("Tabela1["&amp;$D59&amp;"]"),Tabela1[Turno],$F59,Tabela1[Data],AF$3),"")</f>
        <v/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8.7142857142857135</v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9</v>
      </c>
      <c r="V60" s="9">
        <f ca="1">IFERROR(AVERAGEIFS(INDIRECT("Tabela1["&amp;$D60&amp;"]"),Tabela1[Data],V$3),"")</f>
        <v>9.25</v>
      </c>
      <c r="W60" s="9">
        <f ca="1">IFERROR(AVERAGEIFS(INDIRECT("Tabela1["&amp;$D60&amp;"]"),Tabela1[Data],W$3),"")</f>
        <v>8</v>
      </c>
      <c r="X60" s="9">
        <f ca="1">IFERROR(AVERAGEIFS(INDIRECT("Tabela1["&amp;$D60&amp;"]"),Tabela1[Data],X$3),"")</f>
        <v>8.5</v>
      </c>
      <c r="Y60" s="9">
        <f ca="1">IFERROR(AVERAGEIFS(INDIRECT("Tabela1["&amp;$D60&amp;"]"),Tabela1[Data],Y$3),"")</f>
        <v>8.5</v>
      </c>
      <c r="Z60" s="9">
        <f ca="1">IFERROR(AVERAGEIFS(INDIRECT("Tabela1["&amp;$D60&amp;"]"),Tabela1[Data],Z$3),"")</f>
        <v>8.5</v>
      </c>
      <c r="AA60" s="9">
        <f ca="1">IFERROR(AVERAGEIFS(INDIRECT("Tabela1["&amp;$D60&amp;"]"),Tabela1[Data],AA$3),"")</f>
        <v>8.5</v>
      </c>
      <c r="AB60" s="9">
        <f ca="1">IFERROR(AVERAGEIFS(INDIRECT("Tabela1["&amp;$D60&amp;"]"),Tabela1[Data],AB$3),"")</f>
        <v>10</v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562</v>
      </c>
      <c r="V118" t="s">
        <v>584</v>
      </c>
      <c r="W118" t="s">
        <v>575</v>
      </c>
      <c r="X118" t="s">
        <v>607</v>
      </c>
      <c r="Y118" t="s">
        <v>595</v>
      </c>
      <c r="Z118" t="s">
        <v>630</v>
      </c>
      <c r="AA118" t="s">
        <v>618</v>
      </c>
      <c r="AB118" t="s">
        <v>641</v>
      </c>
      <c r="AC118"/>
      <c r="AD118"/>
      <c r="AE118"/>
      <c r="AF118"/>
      <c r="AG118"/>
      <c r="AH118"/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17"/>
  <sheetViews>
    <sheetView topLeftCell="B199" workbookViewId="0">
      <selection activeCell="H214" sqref="H214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3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  <row r="193" spans="1:38" x14ac:dyDescent="0.25">
      <c r="A193" s="3" t="str">
        <f>UPPER(TEXT(Tabela1[[#This Row],[Data]],"MMM"))</f>
        <v>OUT</v>
      </c>
      <c r="B193" s="33" t="s">
        <v>572</v>
      </c>
      <c r="C193" s="1" t="s">
        <v>573</v>
      </c>
      <c r="D193" s="1" t="s">
        <v>574</v>
      </c>
      <c r="E193" t="s">
        <v>18</v>
      </c>
      <c r="F193" s="2" t="s">
        <v>575</v>
      </c>
      <c r="G193" s="3">
        <v>2</v>
      </c>
      <c r="H193" s="3">
        <v>7</v>
      </c>
      <c r="I193" s="3">
        <v>7</v>
      </c>
      <c r="J193" s="3">
        <v>7</v>
      </c>
      <c r="K193" s="3">
        <v>5</v>
      </c>
      <c r="L193">
        <v>22</v>
      </c>
      <c r="M193">
        <v>19</v>
      </c>
      <c r="N193">
        <v>78</v>
      </c>
      <c r="O193">
        <v>81</v>
      </c>
      <c r="P193" s="3">
        <v>7</v>
      </c>
      <c r="Q193" s="3">
        <v>7</v>
      </c>
      <c r="R193" s="3">
        <v>7</v>
      </c>
      <c r="S193" s="3">
        <v>7</v>
      </c>
      <c r="T193" s="3">
        <v>7</v>
      </c>
      <c r="U193" s="3">
        <v>7</v>
      </c>
      <c r="V193" t="s">
        <v>169</v>
      </c>
      <c r="W193" s="3">
        <v>7</v>
      </c>
      <c r="X193" s="3">
        <v>7</v>
      </c>
      <c r="Y193">
        <v>39</v>
      </c>
      <c r="Z193">
        <v>19.5</v>
      </c>
      <c r="AA193">
        <v>48</v>
      </c>
      <c r="AB193">
        <v>6</v>
      </c>
      <c r="AC193">
        <v>24</v>
      </c>
      <c r="AD193">
        <v>70</v>
      </c>
      <c r="AE193">
        <v>3</v>
      </c>
      <c r="AF193">
        <v>15</v>
      </c>
      <c r="AG193" s="3">
        <v>7</v>
      </c>
      <c r="AH193" s="3">
        <v>42641</v>
      </c>
      <c r="AI193" t="s">
        <v>275</v>
      </c>
      <c r="AJ193" t="s">
        <v>22</v>
      </c>
      <c r="AK193" t="s">
        <v>22</v>
      </c>
      <c r="AL193">
        <v>11403</v>
      </c>
    </row>
    <row r="194" spans="1:38" x14ac:dyDescent="0.25">
      <c r="A194" s="3" t="str">
        <f>UPPER(TEXT(Tabela1[[#This Row],[Data]],"MMM"))</f>
        <v>OUT</v>
      </c>
      <c r="B194" t="s">
        <v>576</v>
      </c>
      <c r="C194" s="1" t="s">
        <v>577</v>
      </c>
      <c r="D194" s="1" t="s">
        <v>578</v>
      </c>
      <c r="E194" t="s">
        <v>18</v>
      </c>
      <c r="F194" s="2" t="s">
        <v>575</v>
      </c>
      <c r="G194" s="3">
        <v>2</v>
      </c>
      <c r="H194" s="3">
        <v>7</v>
      </c>
      <c r="I194" s="3">
        <v>7</v>
      </c>
      <c r="J194" s="3">
        <v>7</v>
      </c>
      <c r="K194" s="3">
        <v>5</v>
      </c>
      <c r="L194">
        <v>10</v>
      </c>
      <c r="M194">
        <v>17</v>
      </c>
      <c r="N194">
        <v>90</v>
      </c>
      <c r="O194">
        <v>83</v>
      </c>
      <c r="P194" s="3">
        <v>7</v>
      </c>
      <c r="Q194" s="3">
        <v>7</v>
      </c>
      <c r="R194" s="3">
        <v>7</v>
      </c>
      <c r="S194" s="3">
        <v>7</v>
      </c>
      <c r="T194" s="3">
        <v>7</v>
      </c>
      <c r="U194" s="3">
        <v>7</v>
      </c>
      <c r="V194" t="s">
        <v>169</v>
      </c>
      <c r="W194" s="3">
        <v>10</v>
      </c>
      <c r="X194" s="3">
        <v>7</v>
      </c>
      <c r="Y194">
        <v>46</v>
      </c>
      <c r="Z194">
        <v>23</v>
      </c>
      <c r="AA194">
        <v>39</v>
      </c>
      <c r="AB194">
        <v>9</v>
      </c>
      <c r="AC194">
        <v>19.5</v>
      </c>
      <c r="AD194">
        <v>55</v>
      </c>
      <c r="AE194">
        <v>3</v>
      </c>
      <c r="AF194">
        <v>15</v>
      </c>
      <c r="AG194" s="3">
        <v>7</v>
      </c>
      <c r="AH194" s="3">
        <v>42862</v>
      </c>
      <c r="AI194" t="s">
        <v>36</v>
      </c>
      <c r="AJ194" t="s">
        <v>22</v>
      </c>
      <c r="AK194" t="s">
        <v>22</v>
      </c>
      <c r="AL194">
        <v>13958</v>
      </c>
    </row>
    <row r="195" spans="1:38" x14ac:dyDescent="0.25">
      <c r="A195" s="3" t="str">
        <f>UPPER(TEXT(Tabela1[[#This Row],[Data]],"MMM"))</f>
        <v>OUT</v>
      </c>
      <c r="B195" t="s">
        <v>579</v>
      </c>
      <c r="C195" s="1" t="s">
        <v>580</v>
      </c>
      <c r="D195" s="1" t="s">
        <v>578</v>
      </c>
      <c r="E195" t="s">
        <v>18</v>
      </c>
      <c r="F195" s="2" t="s">
        <v>575</v>
      </c>
      <c r="G195" s="3">
        <v>2</v>
      </c>
      <c r="H195" s="3">
        <v>7</v>
      </c>
      <c r="I195" s="3">
        <v>7</v>
      </c>
      <c r="J195" s="3">
        <v>7</v>
      </c>
      <c r="K195" s="3">
        <v>5</v>
      </c>
      <c r="L195">
        <v>16</v>
      </c>
      <c r="M195">
        <v>13</v>
      </c>
      <c r="N195">
        <v>84</v>
      </c>
      <c r="O195">
        <v>87</v>
      </c>
      <c r="P195" s="3">
        <v>5</v>
      </c>
      <c r="Q195" s="3">
        <v>7</v>
      </c>
      <c r="R195" s="3">
        <v>7</v>
      </c>
      <c r="S195" s="3">
        <v>5</v>
      </c>
      <c r="T195" s="3">
        <v>7</v>
      </c>
      <c r="U195" s="3">
        <v>5</v>
      </c>
      <c r="V195" t="s">
        <v>20</v>
      </c>
      <c r="W195" s="3">
        <v>10</v>
      </c>
      <c r="X195" s="3">
        <v>10</v>
      </c>
      <c r="Y195">
        <v>50</v>
      </c>
      <c r="Z195">
        <v>25</v>
      </c>
      <c r="AA195">
        <v>41</v>
      </c>
      <c r="AB195">
        <v>6</v>
      </c>
      <c r="AC195">
        <v>20.5</v>
      </c>
      <c r="AD195">
        <v>70</v>
      </c>
      <c r="AE195">
        <v>3</v>
      </c>
      <c r="AF195">
        <v>15</v>
      </c>
      <c r="AG195" s="3">
        <v>10</v>
      </c>
      <c r="AH195" s="3">
        <v>15105</v>
      </c>
      <c r="AI195" t="s">
        <v>63</v>
      </c>
      <c r="AJ195" t="s">
        <v>22</v>
      </c>
      <c r="AK195" t="s">
        <v>22</v>
      </c>
      <c r="AL195">
        <v>33065</v>
      </c>
    </row>
    <row r="196" spans="1:38" x14ac:dyDescent="0.25">
      <c r="A196" s="3" t="str">
        <f>UPPER(TEXT(Tabela1[[#This Row],[Data]],"MMM"))</f>
        <v>OUT</v>
      </c>
      <c r="B196" t="s">
        <v>581</v>
      </c>
      <c r="C196" s="1" t="s">
        <v>582</v>
      </c>
      <c r="D196" s="1" t="s">
        <v>583</v>
      </c>
      <c r="E196" t="s">
        <v>18</v>
      </c>
      <c r="F196" s="2" t="s">
        <v>584</v>
      </c>
      <c r="G196" s="3">
        <v>2</v>
      </c>
      <c r="H196" s="3">
        <v>7</v>
      </c>
      <c r="I196" s="3">
        <v>7</v>
      </c>
      <c r="J196" s="3">
        <v>7</v>
      </c>
      <c r="K196" s="3">
        <v>5</v>
      </c>
      <c r="L196">
        <v>22</v>
      </c>
      <c r="M196">
        <v>13</v>
      </c>
      <c r="N196">
        <v>78</v>
      </c>
      <c r="O196">
        <v>87</v>
      </c>
      <c r="P196" s="3">
        <v>5</v>
      </c>
      <c r="Q196" s="3">
        <v>7</v>
      </c>
      <c r="R196" s="3">
        <v>7</v>
      </c>
      <c r="S196" s="3">
        <v>7</v>
      </c>
      <c r="T196" s="3">
        <v>7</v>
      </c>
      <c r="U196" s="3">
        <v>5</v>
      </c>
      <c r="V196" t="s">
        <v>20</v>
      </c>
      <c r="W196" s="3" t="s">
        <v>28</v>
      </c>
      <c r="X196" s="3" t="s">
        <v>28</v>
      </c>
      <c r="Y196">
        <v>49</v>
      </c>
      <c r="Z196">
        <v>24.5</v>
      </c>
      <c r="AA196">
        <v>49</v>
      </c>
      <c r="AB196">
        <v>6</v>
      </c>
      <c r="AC196">
        <v>24.5</v>
      </c>
      <c r="AD196">
        <v>70</v>
      </c>
      <c r="AE196">
        <v>4</v>
      </c>
      <c r="AF196">
        <v>20</v>
      </c>
      <c r="AG196" s="3">
        <v>10</v>
      </c>
      <c r="AH196" s="3">
        <v>992093</v>
      </c>
      <c r="AI196" t="s">
        <v>63</v>
      </c>
      <c r="AJ196" t="s">
        <v>22</v>
      </c>
      <c r="AK196" t="s">
        <v>22</v>
      </c>
      <c r="AL196">
        <v>12892</v>
      </c>
    </row>
    <row r="197" spans="1:38" x14ac:dyDescent="0.25">
      <c r="A197" s="3" t="str">
        <f>UPPER(TEXT(Tabela1[[#This Row],[Data]],"MMM"))</f>
        <v>OUT</v>
      </c>
      <c r="B197" t="s">
        <v>585</v>
      </c>
      <c r="C197" s="1" t="s">
        <v>586</v>
      </c>
      <c r="D197" s="1" t="s">
        <v>583</v>
      </c>
      <c r="E197" t="s">
        <v>18</v>
      </c>
      <c r="F197" s="2" t="s">
        <v>584</v>
      </c>
      <c r="G197" s="3">
        <v>2</v>
      </c>
      <c r="H197" s="3">
        <v>7</v>
      </c>
      <c r="I197" s="3">
        <v>7</v>
      </c>
      <c r="J197" s="3">
        <v>7</v>
      </c>
      <c r="K197" s="3">
        <v>7</v>
      </c>
      <c r="L197">
        <v>27</v>
      </c>
      <c r="M197">
        <v>10</v>
      </c>
      <c r="N197">
        <v>73</v>
      </c>
      <c r="O197">
        <v>90</v>
      </c>
      <c r="P197" s="3">
        <v>5</v>
      </c>
      <c r="Q197" s="3">
        <v>7</v>
      </c>
      <c r="R197" s="3">
        <v>7</v>
      </c>
      <c r="S197" s="3">
        <v>7</v>
      </c>
      <c r="T197" s="3">
        <v>7</v>
      </c>
      <c r="U197" s="3">
        <v>7</v>
      </c>
      <c r="V197" t="s">
        <v>20</v>
      </c>
      <c r="W197" s="3">
        <v>7</v>
      </c>
      <c r="X197" s="3" t="s">
        <v>28</v>
      </c>
      <c r="Y197">
        <v>45</v>
      </c>
      <c r="Z197">
        <v>22.5</v>
      </c>
      <c r="AA197">
        <v>40</v>
      </c>
      <c r="AB197">
        <v>7</v>
      </c>
      <c r="AC197">
        <v>20</v>
      </c>
      <c r="AD197">
        <v>65</v>
      </c>
      <c r="AE197">
        <v>3</v>
      </c>
      <c r="AF197">
        <v>15</v>
      </c>
      <c r="AG197" s="3">
        <v>7</v>
      </c>
      <c r="AH197" s="3">
        <v>42838</v>
      </c>
      <c r="AI197" t="s">
        <v>36</v>
      </c>
      <c r="AJ197" t="s">
        <v>22</v>
      </c>
      <c r="AK197" t="s">
        <v>22</v>
      </c>
      <c r="AL197">
        <v>19457</v>
      </c>
    </row>
    <row r="198" spans="1:38" x14ac:dyDescent="0.25">
      <c r="A198" s="3" t="str">
        <f>UPPER(TEXT(Tabela1[[#This Row],[Data]],"MMM"))</f>
        <v>OUT</v>
      </c>
      <c r="B198" t="s">
        <v>587</v>
      </c>
      <c r="C198" s="1" t="s">
        <v>588</v>
      </c>
      <c r="D198" s="1" t="s">
        <v>589</v>
      </c>
      <c r="E198" t="s">
        <v>18</v>
      </c>
      <c r="F198" s="2" t="s">
        <v>584</v>
      </c>
      <c r="G198" s="3">
        <v>2</v>
      </c>
      <c r="H198" s="3">
        <v>7</v>
      </c>
      <c r="I198" s="3">
        <v>7</v>
      </c>
      <c r="J198" s="3">
        <v>7</v>
      </c>
      <c r="K198" s="3">
        <v>7</v>
      </c>
      <c r="L198">
        <v>19</v>
      </c>
      <c r="M198">
        <v>17</v>
      </c>
      <c r="N198">
        <v>81</v>
      </c>
      <c r="O198">
        <v>83</v>
      </c>
      <c r="P198" s="3">
        <v>7</v>
      </c>
      <c r="Q198" s="3">
        <v>7</v>
      </c>
      <c r="R198" s="3">
        <v>7</v>
      </c>
      <c r="S198" s="3">
        <v>7</v>
      </c>
      <c r="T198" s="3">
        <v>7</v>
      </c>
      <c r="U198" s="3">
        <v>5</v>
      </c>
      <c r="V198" t="s">
        <v>20</v>
      </c>
      <c r="W198" s="3">
        <v>7</v>
      </c>
      <c r="X198" s="3">
        <v>7</v>
      </c>
      <c r="Y198">
        <v>43</v>
      </c>
      <c r="Z198">
        <v>21.5</v>
      </c>
      <c r="AA198">
        <v>65</v>
      </c>
      <c r="AB198">
        <v>7</v>
      </c>
      <c r="AC198">
        <v>32.5</v>
      </c>
      <c r="AD198">
        <v>65</v>
      </c>
      <c r="AE198">
        <v>2</v>
      </c>
      <c r="AF198">
        <v>10</v>
      </c>
      <c r="AG198" s="3">
        <v>10</v>
      </c>
      <c r="AH198" s="3">
        <v>13188</v>
      </c>
      <c r="AI198" t="s">
        <v>63</v>
      </c>
      <c r="AJ198" t="s">
        <v>22</v>
      </c>
      <c r="AK198" t="s">
        <v>22</v>
      </c>
      <c r="AL198">
        <v>2044</v>
      </c>
    </row>
    <row r="199" spans="1:38" x14ac:dyDescent="0.25">
      <c r="A199" s="3" t="str">
        <f>UPPER(TEXT(Tabela1[[#This Row],[Data]],"MMM"))</f>
        <v>OUT</v>
      </c>
      <c r="B199" t="s">
        <v>590</v>
      </c>
      <c r="C199" s="1" t="s">
        <v>591</v>
      </c>
      <c r="D199" s="1" t="s">
        <v>589</v>
      </c>
      <c r="E199" t="s">
        <v>18</v>
      </c>
      <c r="F199" s="2" t="s">
        <v>584</v>
      </c>
      <c r="G199" s="3">
        <v>2</v>
      </c>
      <c r="H199" s="3">
        <v>7</v>
      </c>
      <c r="I199" s="3">
        <v>7</v>
      </c>
      <c r="J199" s="3">
        <v>7</v>
      </c>
      <c r="K199" s="3">
        <v>5</v>
      </c>
      <c r="L199">
        <v>24</v>
      </c>
      <c r="M199">
        <v>14</v>
      </c>
      <c r="N199">
        <v>76</v>
      </c>
      <c r="O199">
        <v>86</v>
      </c>
      <c r="P199" s="3">
        <v>7</v>
      </c>
      <c r="Q199" s="3">
        <v>7</v>
      </c>
      <c r="R199" s="3">
        <v>7</v>
      </c>
      <c r="S199" s="3">
        <v>7</v>
      </c>
      <c r="T199" s="3">
        <v>7</v>
      </c>
      <c r="U199" s="3" t="s">
        <v>28</v>
      </c>
      <c r="V199" t="s">
        <v>20</v>
      </c>
      <c r="W199" s="3">
        <v>7</v>
      </c>
      <c r="X199" s="3">
        <v>7</v>
      </c>
      <c r="Y199">
        <v>51</v>
      </c>
      <c r="Z199">
        <v>25.5</v>
      </c>
      <c r="AA199">
        <v>50</v>
      </c>
      <c r="AB199">
        <v>9</v>
      </c>
      <c r="AC199">
        <v>25</v>
      </c>
      <c r="AD199">
        <v>55</v>
      </c>
      <c r="AE199">
        <v>2</v>
      </c>
      <c r="AF199">
        <v>10</v>
      </c>
      <c r="AG199" s="3">
        <v>10</v>
      </c>
      <c r="AH199" s="3">
        <v>15105</v>
      </c>
      <c r="AI199" t="s">
        <v>63</v>
      </c>
      <c r="AJ199" t="s">
        <v>22</v>
      </c>
      <c r="AK199" t="s">
        <v>22</v>
      </c>
      <c r="AL199">
        <v>10073</v>
      </c>
    </row>
    <row r="200" spans="1:38" x14ac:dyDescent="0.25">
      <c r="A200" s="3" t="str">
        <f>UPPER(TEXT(Tabela1[[#This Row],[Data]],"MMM"))</f>
        <v>OUT</v>
      </c>
      <c r="B200" s="33" t="s">
        <v>592</v>
      </c>
      <c r="C200" s="1" t="s">
        <v>593</v>
      </c>
      <c r="D200" s="1" t="s">
        <v>594</v>
      </c>
      <c r="E200" t="s">
        <v>18</v>
      </c>
      <c r="F200" s="2" t="s">
        <v>595</v>
      </c>
      <c r="G200" s="3">
        <v>2</v>
      </c>
      <c r="H200" s="3">
        <v>7</v>
      </c>
      <c r="I200" s="3">
        <v>7</v>
      </c>
      <c r="J200" s="3">
        <v>7</v>
      </c>
      <c r="K200" s="3">
        <v>5</v>
      </c>
      <c r="L200">
        <v>37</v>
      </c>
      <c r="M200">
        <v>22</v>
      </c>
      <c r="N200">
        <v>63</v>
      </c>
      <c r="O200">
        <v>78</v>
      </c>
      <c r="P200" s="3">
        <v>7</v>
      </c>
      <c r="Q200" s="3">
        <v>7</v>
      </c>
      <c r="R200" s="3">
        <v>7</v>
      </c>
      <c r="S200" s="3">
        <v>7</v>
      </c>
      <c r="T200" s="3">
        <v>7</v>
      </c>
      <c r="U200" s="3">
        <v>7</v>
      </c>
      <c r="V200" t="s">
        <v>169</v>
      </c>
      <c r="W200" s="3" t="s">
        <v>28</v>
      </c>
      <c r="X200" s="3" t="s">
        <v>28</v>
      </c>
      <c r="Y200">
        <v>59</v>
      </c>
      <c r="Z200">
        <v>29.5</v>
      </c>
      <c r="AA200">
        <v>40</v>
      </c>
      <c r="AB200">
        <v>7</v>
      </c>
      <c r="AC200">
        <v>20</v>
      </c>
      <c r="AD200">
        <v>65</v>
      </c>
      <c r="AE200">
        <v>6</v>
      </c>
      <c r="AF200">
        <v>30</v>
      </c>
      <c r="AG200" s="3">
        <v>7</v>
      </c>
      <c r="AH200" s="3">
        <v>40762</v>
      </c>
      <c r="AI200" t="s">
        <v>36</v>
      </c>
      <c r="AJ200" t="s">
        <v>22</v>
      </c>
      <c r="AK200" t="s">
        <v>22</v>
      </c>
      <c r="AL200">
        <v>15353</v>
      </c>
    </row>
    <row r="201" spans="1:38" x14ac:dyDescent="0.25">
      <c r="A201" s="3" t="str">
        <f>UPPER(TEXT(Tabela1[[#This Row],[Data]],"MMM"))</f>
        <v>OUT</v>
      </c>
      <c r="B201" t="s">
        <v>596</v>
      </c>
      <c r="C201" s="1" t="s">
        <v>597</v>
      </c>
      <c r="D201" s="1" t="s">
        <v>598</v>
      </c>
      <c r="E201" t="s">
        <v>18</v>
      </c>
      <c r="F201" s="2" t="s">
        <v>595</v>
      </c>
      <c r="G201" s="3">
        <v>2</v>
      </c>
      <c r="H201" s="3">
        <v>7</v>
      </c>
      <c r="I201" s="3">
        <v>7</v>
      </c>
      <c r="J201" s="3">
        <v>7</v>
      </c>
      <c r="K201" s="3">
        <v>5</v>
      </c>
      <c r="L201">
        <v>36</v>
      </c>
      <c r="M201">
        <v>27</v>
      </c>
      <c r="N201">
        <v>64</v>
      </c>
      <c r="O201">
        <v>73</v>
      </c>
      <c r="P201" s="3">
        <v>7</v>
      </c>
      <c r="Q201" s="3">
        <v>7</v>
      </c>
      <c r="R201" s="3">
        <v>7</v>
      </c>
      <c r="S201" s="3">
        <v>7</v>
      </c>
      <c r="T201" s="3">
        <v>7</v>
      </c>
      <c r="U201" s="3">
        <v>7</v>
      </c>
      <c r="V201" t="s">
        <v>169</v>
      </c>
      <c r="W201" s="3">
        <v>10</v>
      </c>
      <c r="X201" s="3">
        <v>7</v>
      </c>
      <c r="Y201">
        <v>51</v>
      </c>
      <c r="Z201">
        <v>25.5</v>
      </c>
      <c r="AA201">
        <v>37</v>
      </c>
      <c r="AB201">
        <v>6</v>
      </c>
      <c r="AC201">
        <v>18.5</v>
      </c>
      <c r="AD201">
        <v>70</v>
      </c>
      <c r="AE201">
        <v>4</v>
      </c>
      <c r="AF201">
        <v>20</v>
      </c>
      <c r="AG201" s="3">
        <v>7</v>
      </c>
      <c r="AH201" s="3">
        <v>42862</v>
      </c>
      <c r="AI201" t="s">
        <v>323</v>
      </c>
      <c r="AJ201" t="s">
        <v>22</v>
      </c>
      <c r="AK201" t="s">
        <v>22</v>
      </c>
      <c r="AL201">
        <v>11342</v>
      </c>
    </row>
    <row r="202" spans="1:38" x14ac:dyDescent="0.25">
      <c r="A202" s="3" t="str">
        <f>UPPER(TEXT(Tabela1[[#This Row],[Data]],"MMM"))</f>
        <v>OUT</v>
      </c>
      <c r="B202" t="s">
        <v>599</v>
      </c>
      <c r="C202" s="1" t="s">
        <v>600</v>
      </c>
      <c r="D202" s="1" t="s">
        <v>601</v>
      </c>
      <c r="E202" t="s">
        <v>18</v>
      </c>
      <c r="F202" s="2" t="s">
        <v>595</v>
      </c>
      <c r="G202" s="3">
        <v>2</v>
      </c>
      <c r="H202" s="3" t="s">
        <v>28</v>
      </c>
      <c r="I202" s="3">
        <v>7</v>
      </c>
      <c r="J202" s="3">
        <v>7</v>
      </c>
      <c r="K202" s="3">
        <v>5</v>
      </c>
      <c r="L202">
        <v>43</v>
      </c>
      <c r="M202">
        <v>25</v>
      </c>
      <c r="N202">
        <v>57</v>
      </c>
      <c r="O202">
        <v>75</v>
      </c>
      <c r="P202" s="3">
        <v>7</v>
      </c>
      <c r="Q202" s="3">
        <v>7</v>
      </c>
      <c r="R202" s="3">
        <v>7</v>
      </c>
      <c r="S202" s="3">
        <v>7</v>
      </c>
      <c r="T202" s="3">
        <v>7</v>
      </c>
      <c r="U202" s="3">
        <v>5</v>
      </c>
      <c r="V202" t="s">
        <v>20</v>
      </c>
      <c r="W202" s="3" t="s">
        <v>28</v>
      </c>
      <c r="X202" s="3" t="s">
        <v>28</v>
      </c>
      <c r="Y202">
        <v>31</v>
      </c>
      <c r="Z202">
        <v>15.5</v>
      </c>
      <c r="AA202">
        <v>44</v>
      </c>
      <c r="AB202">
        <v>7</v>
      </c>
      <c r="AC202">
        <v>22</v>
      </c>
      <c r="AD202">
        <v>65</v>
      </c>
      <c r="AE202">
        <v>5</v>
      </c>
      <c r="AF202">
        <v>25</v>
      </c>
      <c r="AG202" s="3">
        <v>10</v>
      </c>
      <c r="AH202" s="3">
        <v>992039</v>
      </c>
      <c r="AI202" t="s">
        <v>63</v>
      </c>
      <c r="AJ202" t="s">
        <v>22</v>
      </c>
      <c r="AK202" t="s">
        <v>22</v>
      </c>
      <c r="AL202">
        <v>4965</v>
      </c>
    </row>
    <row r="203" spans="1:38" x14ac:dyDescent="0.25">
      <c r="A203" s="3" t="str">
        <f>UPPER(TEXT(Tabela1[[#This Row],[Data]],"MMM"))</f>
        <v>OUT</v>
      </c>
      <c r="B203" t="s">
        <v>602</v>
      </c>
      <c r="C203" s="1" t="s">
        <v>603</v>
      </c>
      <c r="D203" s="1" t="s">
        <v>601</v>
      </c>
      <c r="E203" t="s">
        <v>18</v>
      </c>
      <c r="F203" s="2" t="s">
        <v>595</v>
      </c>
      <c r="G203" s="3">
        <v>2</v>
      </c>
      <c r="H203" s="3">
        <v>7</v>
      </c>
      <c r="I203" s="3">
        <v>7</v>
      </c>
      <c r="J203" s="3">
        <v>7</v>
      </c>
      <c r="K203" s="3">
        <v>5</v>
      </c>
      <c r="L203">
        <v>29</v>
      </c>
      <c r="M203">
        <v>21</v>
      </c>
      <c r="N203">
        <v>71</v>
      </c>
      <c r="O203">
        <v>79</v>
      </c>
      <c r="P203" s="3">
        <v>7</v>
      </c>
      <c r="Q203" s="3">
        <v>7</v>
      </c>
      <c r="R203" s="3">
        <v>7</v>
      </c>
      <c r="S203" s="3">
        <v>7</v>
      </c>
      <c r="T203" s="3">
        <v>7</v>
      </c>
      <c r="U203" s="3">
        <v>7</v>
      </c>
      <c r="V203" t="s">
        <v>169</v>
      </c>
      <c r="W203" s="3">
        <v>7</v>
      </c>
      <c r="X203" s="3">
        <v>7</v>
      </c>
      <c r="Y203">
        <v>40</v>
      </c>
      <c r="Z203">
        <v>20</v>
      </c>
      <c r="AA203">
        <v>41</v>
      </c>
      <c r="AB203">
        <v>6</v>
      </c>
      <c r="AC203">
        <v>20.5</v>
      </c>
      <c r="AD203">
        <v>70</v>
      </c>
      <c r="AE203">
        <v>5</v>
      </c>
      <c r="AF203">
        <v>25</v>
      </c>
      <c r="AG203" s="3">
        <v>10</v>
      </c>
      <c r="AH203" s="3">
        <v>15105</v>
      </c>
      <c r="AI203" t="s">
        <v>36</v>
      </c>
      <c r="AJ203" t="s">
        <v>22</v>
      </c>
      <c r="AK203" t="s">
        <v>22</v>
      </c>
      <c r="AL203">
        <v>35072</v>
      </c>
    </row>
    <row r="204" spans="1:38" x14ac:dyDescent="0.25">
      <c r="A204" s="3" t="str">
        <f>UPPER(TEXT(Tabela1[[#This Row],[Data]],"MMM"))</f>
        <v>OUT</v>
      </c>
      <c r="B204" t="s">
        <v>604</v>
      </c>
      <c r="C204" s="1" t="s">
        <v>605</v>
      </c>
      <c r="D204" s="1" t="s">
        <v>606</v>
      </c>
      <c r="E204" t="s">
        <v>18</v>
      </c>
      <c r="F204" s="2" t="s">
        <v>607</v>
      </c>
      <c r="G204" s="3">
        <v>2</v>
      </c>
      <c r="H204" s="3">
        <v>7</v>
      </c>
      <c r="I204" s="3">
        <v>7</v>
      </c>
      <c r="J204" s="3">
        <v>7</v>
      </c>
      <c r="K204" s="3">
        <v>5</v>
      </c>
      <c r="L204">
        <v>38</v>
      </c>
      <c r="M204">
        <v>12</v>
      </c>
      <c r="N204">
        <v>62</v>
      </c>
      <c r="O204">
        <v>88</v>
      </c>
      <c r="P204" s="3">
        <v>7</v>
      </c>
      <c r="Q204" s="3">
        <v>7</v>
      </c>
      <c r="R204" s="3">
        <v>7</v>
      </c>
      <c r="S204" s="3">
        <v>7</v>
      </c>
      <c r="T204" s="3">
        <v>7</v>
      </c>
      <c r="U204" s="3">
        <v>7</v>
      </c>
      <c r="V204" t="s">
        <v>169</v>
      </c>
      <c r="W204" s="3">
        <v>10</v>
      </c>
      <c r="X204" s="3">
        <v>7</v>
      </c>
      <c r="Y204">
        <v>37</v>
      </c>
      <c r="Z204">
        <v>18.5</v>
      </c>
      <c r="AA204">
        <v>47</v>
      </c>
      <c r="AB204">
        <v>6</v>
      </c>
      <c r="AC204">
        <v>23.5</v>
      </c>
      <c r="AD204">
        <v>70</v>
      </c>
      <c r="AE204">
        <v>4</v>
      </c>
      <c r="AF204">
        <v>20</v>
      </c>
      <c r="AG204" s="3">
        <v>7</v>
      </c>
      <c r="AH204" s="3">
        <v>40762</v>
      </c>
      <c r="AI204" t="s">
        <v>36</v>
      </c>
      <c r="AJ204" t="s">
        <v>22</v>
      </c>
      <c r="AK204" t="s">
        <v>22</v>
      </c>
      <c r="AL204">
        <v>13753</v>
      </c>
    </row>
    <row r="205" spans="1:38" x14ac:dyDescent="0.25">
      <c r="A205" s="3" t="str">
        <f>UPPER(TEXT(Tabela1[[#This Row],[Data]],"MMM"))</f>
        <v>OUT</v>
      </c>
      <c r="B205" t="s">
        <v>608</v>
      </c>
      <c r="C205" s="1" t="s">
        <v>609</v>
      </c>
      <c r="D205" s="1" t="s">
        <v>606</v>
      </c>
      <c r="E205" t="s">
        <v>18</v>
      </c>
      <c r="F205" s="2" t="s">
        <v>607</v>
      </c>
      <c r="G205" s="3">
        <v>2</v>
      </c>
      <c r="H205" s="3">
        <v>7</v>
      </c>
      <c r="I205" s="3">
        <v>7</v>
      </c>
      <c r="J205" s="3">
        <v>7</v>
      </c>
      <c r="K205" s="3">
        <v>7</v>
      </c>
      <c r="L205">
        <v>32</v>
      </c>
      <c r="M205">
        <v>16</v>
      </c>
      <c r="N205">
        <v>68</v>
      </c>
      <c r="O205">
        <v>84</v>
      </c>
      <c r="P205" s="3">
        <v>7</v>
      </c>
      <c r="Q205" s="3">
        <v>7</v>
      </c>
      <c r="R205" s="3">
        <v>7</v>
      </c>
      <c r="S205" s="3">
        <v>7</v>
      </c>
      <c r="T205" s="3">
        <v>7</v>
      </c>
      <c r="U205" s="3">
        <v>7</v>
      </c>
      <c r="V205" t="s">
        <v>169</v>
      </c>
      <c r="W205" s="3">
        <v>7</v>
      </c>
      <c r="X205" s="3">
        <v>7</v>
      </c>
      <c r="Y205">
        <v>48</v>
      </c>
      <c r="Z205">
        <v>24</v>
      </c>
      <c r="AA205">
        <v>44</v>
      </c>
      <c r="AB205">
        <v>8</v>
      </c>
      <c r="AC205">
        <v>22</v>
      </c>
      <c r="AD205">
        <v>60</v>
      </c>
      <c r="AE205">
        <v>5</v>
      </c>
      <c r="AF205">
        <v>25</v>
      </c>
      <c r="AG205" s="3">
        <v>10</v>
      </c>
      <c r="AH205" s="3">
        <v>995638</v>
      </c>
      <c r="AI205" t="s">
        <v>63</v>
      </c>
      <c r="AJ205" t="s">
        <v>22</v>
      </c>
      <c r="AK205" t="s">
        <v>22</v>
      </c>
      <c r="AL205">
        <v>15998</v>
      </c>
    </row>
    <row r="206" spans="1:38" x14ac:dyDescent="0.25">
      <c r="A206" s="3" t="str">
        <f>UPPER(TEXT(Tabela1[[#This Row],[Data]],"MMM"))</f>
        <v>OUT</v>
      </c>
      <c r="B206" t="s">
        <v>610</v>
      </c>
      <c r="C206" s="1" t="s">
        <v>611</v>
      </c>
      <c r="D206" s="1" t="s">
        <v>612</v>
      </c>
      <c r="E206" t="s">
        <v>18</v>
      </c>
      <c r="F206" s="2" t="s">
        <v>607</v>
      </c>
      <c r="G206" s="3">
        <v>2</v>
      </c>
      <c r="H206" s="3">
        <v>7</v>
      </c>
      <c r="I206" s="3">
        <v>7</v>
      </c>
      <c r="J206" s="3">
        <v>7</v>
      </c>
      <c r="K206" s="3">
        <v>5</v>
      </c>
      <c r="L206">
        <v>37</v>
      </c>
      <c r="M206">
        <v>24</v>
      </c>
      <c r="N206">
        <v>63</v>
      </c>
      <c r="O206">
        <v>76</v>
      </c>
      <c r="P206" s="3">
        <v>7</v>
      </c>
      <c r="Q206" s="3">
        <v>7</v>
      </c>
      <c r="R206" s="3">
        <v>7</v>
      </c>
      <c r="S206" s="3">
        <v>7</v>
      </c>
      <c r="T206" s="3">
        <v>7</v>
      </c>
      <c r="U206" s="3">
        <v>7</v>
      </c>
      <c r="V206" t="s">
        <v>169</v>
      </c>
      <c r="W206" s="3" t="s">
        <v>28</v>
      </c>
      <c r="X206" s="3" t="s">
        <v>28</v>
      </c>
      <c r="Y206">
        <v>33</v>
      </c>
      <c r="Z206">
        <v>16.5</v>
      </c>
      <c r="AA206">
        <v>55</v>
      </c>
      <c r="AB206">
        <v>8</v>
      </c>
      <c r="AC206">
        <v>27.500000000000004</v>
      </c>
      <c r="AD206">
        <v>60</v>
      </c>
      <c r="AE206">
        <v>7</v>
      </c>
      <c r="AF206">
        <v>35</v>
      </c>
      <c r="AG206" s="3">
        <v>7</v>
      </c>
      <c r="AH206" s="3">
        <v>42838</v>
      </c>
      <c r="AI206" t="s">
        <v>36</v>
      </c>
      <c r="AJ206" t="s">
        <v>22</v>
      </c>
      <c r="AK206" t="s">
        <v>22</v>
      </c>
      <c r="AL206">
        <v>29574</v>
      </c>
    </row>
    <row r="207" spans="1:38" x14ac:dyDescent="0.25">
      <c r="A207" s="3" t="str">
        <f>UPPER(TEXT(Tabela1[[#This Row],[Data]],"MMM"))</f>
        <v>OUT</v>
      </c>
      <c r="B207" t="s">
        <v>613</v>
      </c>
      <c r="C207" s="1" t="s">
        <v>614</v>
      </c>
      <c r="D207" s="1" t="s">
        <v>612</v>
      </c>
      <c r="E207" t="s">
        <v>18</v>
      </c>
      <c r="F207" s="2" t="s">
        <v>607</v>
      </c>
      <c r="G207" s="3">
        <v>2</v>
      </c>
      <c r="H207" s="3">
        <v>7</v>
      </c>
      <c r="I207" s="3">
        <v>7</v>
      </c>
      <c r="J207" s="3">
        <v>7</v>
      </c>
      <c r="K207" s="3">
        <v>5</v>
      </c>
      <c r="L207">
        <v>22</v>
      </c>
      <c r="M207">
        <v>17</v>
      </c>
      <c r="N207">
        <v>78</v>
      </c>
      <c r="O207">
        <v>83</v>
      </c>
      <c r="P207" s="3">
        <v>7</v>
      </c>
      <c r="Q207" s="3">
        <v>7</v>
      </c>
      <c r="R207" s="3">
        <v>7</v>
      </c>
      <c r="S207" s="3">
        <v>7</v>
      </c>
      <c r="T207" s="3">
        <v>7</v>
      </c>
      <c r="U207" s="3">
        <v>7</v>
      </c>
      <c r="V207" t="s">
        <v>169</v>
      </c>
      <c r="W207" s="3">
        <v>10</v>
      </c>
      <c r="X207" s="3">
        <v>7</v>
      </c>
      <c r="Y207">
        <v>57</v>
      </c>
      <c r="Z207">
        <v>28.499999999999996</v>
      </c>
      <c r="AA207">
        <v>38</v>
      </c>
      <c r="AB207">
        <v>7</v>
      </c>
      <c r="AC207">
        <v>19</v>
      </c>
      <c r="AD207">
        <v>65</v>
      </c>
      <c r="AE207">
        <v>2</v>
      </c>
      <c r="AF207">
        <v>10</v>
      </c>
      <c r="AG207" s="3">
        <v>10</v>
      </c>
      <c r="AH207" s="3">
        <v>15105</v>
      </c>
      <c r="AI207" t="s">
        <v>63</v>
      </c>
      <c r="AJ207" t="s">
        <v>22</v>
      </c>
      <c r="AK207" t="s">
        <v>22</v>
      </c>
      <c r="AL207">
        <v>33762</v>
      </c>
    </row>
    <row r="208" spans="1:38" x14ac:dyDescent="0.25">
      <c r="A208" s="3" t="str">
        <f>UPPER(TEXT(Tabela1[[#This Row],[Data]],"MMM"))</f>
        <v>OUT</v>
      </c>
      <c r="B208" s="33" t="s">
        <v>615</v>
      </c>
      <c r="C208" s="1" t="s">
        <v>616</v>
      </c>
      <c r="D208" s="1" t="s">
        <v>617</v>
      </c>
      <c r="E208" t="s">
        <v>18</v>
      </c>
      <c r="F208" s="2" t="s">
        <v>618</v>
      </c>
      <c r="G208" s="3">
        <v>2</v>
      </c>
      <c r="H208" s="3">
        <v>7</v>
      </c>
      <c r="I208" s="3">
        <v>7</v>
      </c>
      <c r="J208" s="3">
        <v>7</v>
      </c>
      <c r="K208" s="3">
        <v>7</v>
      </c>
      <c r="L208">
        <v>22</v>
      </c>
      <c r="M208">
        <v>19</v>
      </c>
      <c r="N208">
        <v>78</v>
      </c>
      <c r="O208">
        <v>81</v>
      </c>
      <c r="P208" s="3">
        <v>7</v>
      </c>
      <c r="Q208" s="3">
        <v>7</v>
      </c>
      <c r="R208" s="3">
        <v>7</v>
      </c>
      <c r="S208" s="3">
        <v>7</v>
      </c>
      <c r="T208" s="3">
        <v>7</v>
      </c>
      <c r="U208" s="3">
        <v>7</v>
      </c>
      <c r="V208" t="s">
        <v>169</v>
      </c>
      <c r="W208" s="3">
        <v>10</v>
      </c>
      <c r="X208" s="3" t="s">
        <v>28</v>
      </c>
      <c r="Y208">
        <v>49</v>
      </c>
      <c r="Z208">
        <v>24.5</v>
      </c>
      <c r="AA208">
        <v>57</v>
      </c>
      <c r="AB208">
        <v>7</v>
      </c>
      <c r="AC208">
        <v>28.499999999999996</v>
      </c>
      <c r="AD208">
        <v>65</v>
      </c>
      <c r="AE208">
        <v>6</v>
      </c>
      <c r="AF208">
        <v>30</v>
      </c>
      <c r="AG208" s="3">
        <v>7</v>
      </c>
      <c r="AH208" s="3">
        <v>40762</v>
      </c>
      <c r="AI208" t="s">
        <v>36</v>
      </c>
      <c r="AJ208" t="s">
        <v>22</v>
      </c>
      <c r="AK208" t="s">
        <v>22</v>
      </c>
      <c r="AL208">
        <v>16087</v>
      </c>
    </row>
    <row r="209" spans="1:38" x14ac:dyDescent="0.25">
      <c r="A209" s="3" t="str">
        <f>UPPER(TEXT(Tabela1[[#This Row],[Data]],"MMM"))</f>
        <v>OUT</v>
      </c>
      <c r="B209" t="s">
        <v>619</v>
      </c>
      <c r="C209" s="1" t="s">
        <v>620</v>
      </c>
      <c r="D209" s="1" t="s">
        <v>621</v>
      </c>
      <c r="E209" t="s">
        <v>18</v>
      </c>
      <c r="F209" s="2" t="s">
        <v>618</v>
      </c>
      <c r="G209" s="3">
        <v>2</v>
      </c>
      <c r="H209" s="3">
        <v>7</v>
      </c>
      <c r="I209" s="3">
        <v>7</v>
      </c>
      <c r="J209" s="3">
        <v>7</v>
      </c>
      <c r="K209" s="3">
        <v>5</v>
      </c>
      <c r="L209">
        <v>22</v>
      </c>
      <c r="M209">
        <v>15</v>
      </c>
      <c r="N209">
        <v>78</v>
      </c>
      <c r="O209">
        <v>85</v>
      </c>
      <c r="P209" s="3">
        <v>5</v>
      </c>
      <c r="Q209" s="3">
        <v>7</v>
      </c>
      <c r="R209" s="3">
        <v>7</v>
      </c>
      <c r="S209" s="3">
        <v>7</v>
      </c>
      <c r="T209" s="3">
        <v>7</v>
      </c>
      <c r="U209" s="3">
        <v>7</v>
      </c>
      <c r="V209" t="s">
        <v>169</v>
      </c>
      <c r="W209" s="3">
        <v>7</v>
      </c>
      <c r="X209" s="3">
        <v>7</v>
      </c>
      <c r="Y209">
        <v>49</v>
      </c>
      <c r="Z209">
        <v>24.5</v>
      </c>
      <c r="AA209">
        <v>61</v>
      </c>
      <c r="AB209">
        <v>7</v>
      </c>
      <c r="AC209">
        <v>30.5</v>
      </c>
      <c r="AD209">
        <v>65</v>
      </c>
      <c r="AE209">
        <v>4</v>
      </c>
      <c r="AF209">
        <v>20</v>
      </c>
      <c r="AG209" s="3">
        <v>10</v>
      </c>
      <c r="AH209" s="3">
        <v>995638</v>
      </c>
      <c r="AI209" t="s">
        <v>63</v>
      </c>
      <c r="AJ209" t="s">
        <v>22</v>
      </c>
      <c r="AK209" t="s">
        <v>22</v>
      </c>
      <c r="AL209">
        <v>22924</v>
      </c>
    </row>
    <row r="210" spans="1:38" x14ac:dyDescent="0.25">
      <c r="A210" s="3" t="str">
        <f>UPPER(TEXT(Tabela1[[#This Row],[Data]],"MMM"))</f>
        <v>OUT</v>
      </c>
      <c r="B210" t="s">
        <v>622</v>
      </c>
      <c r="C210" s="1" t="s">
        <v>623</v>
      </c>
      <c r="D210" s="1" t="s">
        <v>621</v>
      </c>
      <c r="E210" t="s">
        <v>18</v>
      </c>
      <c r="F210" s="2" t="s">
        <v>618</v>
      </c>
      <c r="G210" s="3">
        <v>2</v>
      </c>
      <c r="H210" s="3">
        <v>7</v>
      </c>
      <c r="I210" s="3">
        <v>7</v>
      </c>
      <c r="J210" s="3">
        <v>7</v>
      </c>
      <c r="K210" s="3">
        <v>5</v>
      </c>
      <c r="L210">
        <v>38</v>
      </c>
      <c r="M210">
        <v>23</v>
      </c>
      <c r="N210">
        <v>62</v>
      </c>
      <c r="O210">
        <v>77</v>
      </c>
      <c r="P210" s="3">
        <v>7</v>
      </c>
      <c r="Q210" s="3">
        <v>7</v>
      </c>
      <c r="R210" s="3">
        <v>7</v>
      </c>
      <c r="S210" s="3">
        <v>7</v>
      </c>
      <c r="T210" s="3">
        <v>7</v>
      </c>
      <c r="U210" s="3">
        <v>7</v>
      </c>
      <c r="V210" t="s">
        <v>169</v>
      </c>
      <c r="W210" s="3" t="s">
        <v>28</v>
      </c>
      <c r="X210" s="3" t="s">
        <v>28</v>
      </c>
      <c r="Y210">
        <v>66</v>
      </c>
      <c r="Z210">
        <v>33</v>
      </c>
      <c r="AA210">
        <v>64</v>
      </c>
      <c r="AB210">
        <v>5</v>
      </c>
      <c r="AC210">
        <v>32</v>
      </c>
      <c r="AD210">
        <v>75</v>
      </c>
      <c r="AE210">
        <v>5</v>
      </c>
      <c r="AF210">
        <v>25</v>
      </c>
      <c r="AG210" s="3">
        <v>7</v>
      </c>
      <c r="AH210" s="3">
        <v>42854</v>
      </c>
      <c r="AI210" t="s">
        <v>36</v>
      </c>
      <c r="AJ210" t="s">
        <v>22</v>
      </c>
      <c r="AK210" t="s">
        <v>22</v>
      </c>
      <c r="AL210">
        <v>32373</v>
      </c>
    </row>
    <row r="211" spans="1:38" x14ac:dyDescent="0.25">
      <c r="A211" s="3" t="str">
        <f>UPPER(TEXT(Tabela1[[#This Row],[Data]],"MMM"))</f>
        <v>OUT</v>
      </c>
      <c r="B211" t="s">
        <v>624</v>
      </c>
      <c r="C211" s="1" t="s">
        <v>625</v>
      </c>
      <c r="D211" s="1" t="s">
        <v>626</v>
      </c>
      <c r="E211" t="s">
        <v>18</v>
      </c>
      <c r="F211" s="2" t="s">
        <v>618</v>
      </c>
      <c r="G211" s="3">
        <v>2</v>
      </c>
      <c r="H211" s="3">
        <v>7</v>
      </c>
      <c r="I211" s="3">
        <v>7</v>
      </c>
      <c r="J211" s="3">
        <v>7</v>
      </c>
      <c r="K211" s="3">
        <v>7</v>
      </c>
      <c r="L211">
        <v>30</v>
      </c>
      <c r="M211">
        <v>22</v>
      </c>
      <c r="N211">
        <v>70</v>
      </c>
      <c r="O211">
        <v>78</v>
      </c>
      <c r="P211" s="3">
        <v>7</v>
      </c>
      <c r="Q211" s="3">
        <v>7</v>
      </c>
      <c r="R211" s="3">
        <v>7</v>
      </c>
      <c r="S211" s="3">
        <v>7</v>
      </c>
      <c r="T211" s="3">
        <v>7</v>
      </c>
      <c r="U211" s="3">
        <v>7</v>
      </c>
      <c r="V211" t="s">
        <v>169</v>
      </c>
      <c r="W211" s="3">
        <v>7</v>
      </c>
      <c r="X211" s="3">
        <v>7</v>
      </c>
      <c r="Y211">
        <v>49</v>
      </c>
      <c r="Z211">
        <v>24.5</v>
      </c>
      <c r="AA211">
        <v>61</v>
      </c>
      <c r="AB211">
        <v>5</v>
      </c>
      <c r="AC211">
        <v>30.5</v>
      </c>
      <c r="AD211">
        <v>75</v>
      </c>
      <c r="AE211">
        <v>4</v>
      </c>
      <c r="AF211">
        <v>20</v>
      </c>
      <c r="AG211" s="3">
        <v>10</v>
      </c>
      <c r="AH211" s="3">
        <v>15105</v>
      </c>
      <c r="AI211" t="s">
        <v>63</v>
      </c>
      <c r="AJ211" t="s">
        <v>22</v>
      </c>
      <c r="AK211" t="s">
        <v>22</v>
      </c>
      <c r="AL211">
        <v>36253</v>
      </c>
    </row>
    <row r="212" spans="1:38" x14ac:dyDescent="0.25">
      <c r="A212" s="3" t="str">
        <f>UPPER(TEXT(Tabela1[[#This Row],[Data]],"MMM"))</f>
        <v>OUT</v>
      </c>
      <c r="B212" t="s">
        <v>627</v>
      </c>
      <c r="C212" s="1" t="s">
        <v>628</v>
      </c>
      <c r="D212" s="1" t="s">
        <v>629</v>
      </c>
      <c r="E212" t="s">
        <v>18</v>
      </c>
      <c r="F212" s="2" t="s">
        <v>630</v>
      </c>
      <c r="G212" s="3">
        <v>2</v>
      </c>
      <c r="H212" s="3">
        <v>7</v>
      </c>
      <c r="I212" s="3">
        <v>10</v>
      </c>
      <c r="J212" s="3">
        <v>7</v>
      </c>
      <c r="K212" s="3">
        <v>5</v>
      </c>
      <c r="L212">
        <v>23</v>
      </c>
      <c r="M212">
        <v>29</v>
      </c>
      <c r="N212">
        <v>77</v>
      </c>
      <c r="O212">
        <v>71</v>
      </c>
      <c r="P212" s="3">
        <v>7</v>
      </c>
      <c r="Q212" s="3">
        <v>7</v>
      </c>
      <c r="R212" s="3">
        <v>7</v>
      </c>
      <c r="S212" s="3">
        <v>7</v>
      </c>
      <c r="T212" s="3">
        <v>7</v>
      </c>
      <c r="U212" s="3" t="s">
        <v>28</v>
      </c>
      <c r="V212" t="s">
        <v>169</v>
      </c>
      <c r="W212" s="3">
        <v>10</v>
      </c>
      <c r="X212" s="3">
        <v>7</v>
      </c>
      <c r="Y212">
        <v>62</v>
      </c>
      <c r="Z212">
        <v>31</v>
      </c>
      <c r="AA212">
        <v>49</v>
      </c>
      <c r="AB212">
        <v>5</v>
      </c>
      <c r="AC212">
        <v>24.5</v>
      </c>
      <c r="AD212">
        <v>75</v>
      </c>
      <c r="AE212">
        <v>3</v>
      </c>
      <c r="AF212">
        <v>15</v>
      </c>
      <c r="AG212" s="3">
        <v>7</v>
      </c>
      <c r="AH212" s="3">
        <v>40762</v>
      </c>
      <c r="AI212" t="s">
        <v>205</v>
      </c>
      <c r="AJ212" t="s">
        <v>22</v>
      </c>
      <c r="AK212" t="s">
        <v>22</v>
      </c>
      <c r="AL212">
        <v>13342</v>
      </c>
    </row>
    <row r="213" spans="1:38" x14ac:dyDescent="0.25">
      <c r="A213" s="3" t="str">
        <f>UPPER(TEXT(Tabela1[[#This Row],[Data]],"MMM"))</f>
        <v>OUT</v>
      </c>
      <c r="B213" t="s">
        <v>631</v>
      </c>
      <c r="C213" s="1" t="s">
        <v>632</v>
      </c>
      <c r="D213" s="1" t="s">
        <v>633</v>
      </c>
      <c r="E213" t="s">
        <v>18</v>
      </c>
      <c r="F213" s="2" t="s">
        <v>630</v>
      </c>
      <c r="G213" s="3">
        <v>2</v>
      </c>
      <c r="H213" s="3">
        <v>7</v>
      </c>
      <c r="I213" s="3">
        <v>7</v>
      </c>
      <c r="J213" s="3">
        <v>7</v>
      </c>
      <c r="K213" s="3">
        <v>7</v>
      </c>
      <c r="L213">
        <v>22</v>
      </c>
      <c r="M213">
        <v>23</v>
      </c>
      <c r="N213">
        <v>78</v>
      </c>
      <c r="O213">
        <v>77</v>
      </c>
      <c r="P213" s="3">
        <v>7</v>
      </c>
      <c r="Q213" s="3">
        <v>7</v>
      </c>
      <c r="R213" s="3">
        <v>7</v>
      </c>
      <c r="S213" s="3">
        <v>7</v>
      </c>
      <c r="T213" s="3">
        <v>7</v>
      </c>
      <c r="U213" s="3" t="s">
        <v>28</v>
      </c>
      <c r="V213" t="s">
        <v>169</v>
      </c>
      <c r="W213" s="3">
        <v>10</v>
      </c>
      <c r="X213" s="3">
        <v>10</v>
      </c>
      <c r="Y213">
        <v>42</v>
      </c>
      <c r="Z213">
        <v>21</v>
      </c>
      <c r="AA213">
        <v>47</v>
      </c>
      <c r="AB213">
        <v>8</v>
      </c>
      <c r="AC213">
        <v>23.5</v>
      </c>
      <c r="AD213">
        <v>60</v>
      </c>
      <c r="AE213">
        <v>4</v>
      </c>
      <c r="AF213">
        <v>20</v>
      </c>
      <c r="AG213" s="3">
        <v>7</v>
      </c>
      <c r="AH213" s="3">
        <v>42846</v>
      </c>
      <c r="AI213" t="s">
        <v>36</v>
      </c>
      <c r="AJ213" t="s">
        <v>22</v>
      </c>
      <c r="AK213" t="s">
        <v>22</v>
      </c>
      <c r="AL213">
        <v>16090</v>
      </c>
    </row>
    <row r="214" spans="1:38" x14ac:dyDescent="0.25">
      <c r="A214" s="3" t="str">
        <f>UPPER(TEXT(Tabela1[[#This Row],[Data]],"MMM"))</f>
        <v>OUT</v>
      </c>
      <c r="B214" t="s">
        <v>634</v>
      </c>
      <c r="C214" s="1" t="s">
        <v>635</v>
      </c>
      <c r="D214" s="1" t="s">
        <v>633</v>
      </c>
      <c r="E214" t="s">
        <v>18</v>
      </c>
      <c r="F214" s="2" t="s">
        <v>630</v>
      </c>
      <c r="G214" s="3">
        <v>2</v>
      </c>
      <c r="H214" s="3">
        <v>7</v>
      </c>
      <c r="I214" s="3">
        <v>7</v>
      </c>
      <c r="J214" s="3">
        <v>7</v>
      </c>
      <c r="K214" s="3">
        <v>5</v>
      </c>
      <c r="L214">
        <v>21</v>
      </c>
      <c r="M214">
        <v>25</v>
      </c>
      <c r="N214">
        <v>79</v>
      </c>
      <c r="O214">
        <v>75</v>
      </c>
      <c r="P214" s="3">
        <v>7</v>
      </c>
      <c r="Q214" s="3">
        <v>7</v>
      </c>
      <c r="R214" s="3">
        <v>7</v>
      </c>
      <c r="S214" s="3">
        <v>7</v>
      </c>
      <c r="T214" s="3">
        <v>7</v>
      </c>
      <c r="U214" s="3" t="s">
        <v>28</v>
      </c>
      <c r="V214" t="s">
        <v>20</v>
      </c>
      <c r="W214" s="3" t="s">
        <v>28</v>
      </c>
      <c r="X214" s="3" t="s">
        <v>28</v>
      </c>
      <c r="Y214">
        <v>44</v>
      </c>
      <c r="Z214">
        <v>22</v>
      </c>
      <c r="AA214">
        <v>43</v>
      </c>
      <c r="AB214">
        <v>5</v>
      </c>
      <c r="AC214">
        <v>21.5</v>
      </c>
      <c r="AD214">
        <v>75</v>
      </c>
      <c r="AE214">
        <v>5</v>
      </c>
      <c r="AF214">
        <v>25</v>
      </c>
      <c r="AG214" s="3">
        <v>10</v>
      </c>
      <c r="AH214" s="3">
        <v>995638</v>
      </c>
      <c r="AI214" t="s">
        <v>355</v>
      </c>
      <c r="AJ214" t="s">
        <v>22</v>
      </c>
      <c r="AK214" t="s">
        <v>22</v>
      </c>
      <c r="AL214">
        <v>27178</v>
      </c>
    </row>
    <row r="215" spans="1:38" x14ac:dyDescent="0.25">
      <c r="A215" s="3" t="str">
        <f>UPPER(TEXT(Tabela1[[#This Row],[Data]],"MMM"))</f>
        <v>OUT</v>
      </c>
      <c r="B215" t="s">
        <v>636</v>
      </c>
      <c r="C215" s="1" t="s">
        <v>637</v>
      </c>
      <c r="D215" s="1" t="s">
        <v>633</v>
      </c>
      <c r="E215" t="s">
        <v>18</v>
      </c>
      <c r="F215" s="2" t="s">
        <v>630</v>
      </c>
      <c r="G215" s="3">
        <v>2</v>
      </c>
      <c r="H215" s="3">
        <v>7</v>
      </c>
      <c r="I215" s="3">
        <v>7</v>
      </c>
      <c r="J215" s="3">
        <v>7</v>
      </c>
      <c r="K215" s="3">
        <v>5</v>
      </c>
      <c r="L215">
        <v>37</v>
      </c>
      <c r="M215">
        <v>23</v>
      </c>
      <c r="N215">
        <v>63</v>
      </c>
      <c r="O215">
        <v>77</v>
      </c>
      <c r="P215" s="3">
        <v>7</v>
      </c>
      <c r="Q215" s="3">
        <v>7</v>
      </c>
      <c r="R215" s="3">
        <v>7</v>
      </c>
      <c r="S215" s="3">
        <v>7</v>
      </c>
      <c r="T215" s="3">
        <v>7</v>
      </c>
      <c r="U215" s="3">
        <v>7</v>
      </c>
      <c r="V215" t="s">
        <v>169</v>
      </c>
      <c r="W215" s="3">
        <v>10</v>
      </c>
      <c r="X215" s="3">
        <v>7</v>
      </c>
      <c r="Y215">
        <v>56</v>
      </c>
      <c r="Z215">
        <v>28.000000000000004</v>
      </c>
      <c r="AA215">
        <v>50</v>
      </c>
      <c r="AB215">
        <v>4</v>
      </c>
      <c r="AC215">
        <v>25</v>
      </c>
      <c r="AD215">
        <v>80</v>
      </c>
      <c r="AE215">
        <v>5</v>
      </c>
      <c r="AF215">
        <v>25</v>
      </c>
      <c r="AG215" s="3">
        <v>10</v>
      </c>
      <c r="AH215" s="3">
        <v>15105</v>
      </c>
      <c r="AI215" t="s">
        <v>63</v>
      </c>
      <c r="AJ215" t="s">
        <v>28</v>
      </c>
      <c r="AK215" t="s">
        <v>28</v>
      </c>
      <c r="AL215">
        <v>34480</v>
      </c>
    </row>
    <row r="216" spans="1:38" x14ac:dyDescent="0.25">
      <c r="A216" s="3" t="str">
        <f>UPPER(TEXT(Tabela1[[#This Row],[Data]],"MMM"))</f>
        <v>OUT</v>
      </c>
      <c r="B216" s="33" t="s">
        <v>638</v>
      </c>
      <c r="C216" s="1" t="s">
        <v>639</v>
      </c>
      <c r="D216" s="1" t="s">
        <v>640</v>
      </c>
      <c r="E216" t="s">
        <v>18</v>
      </c>
      <c r="F216" s="2" t="s">
        <v>641</v>
      </c>
      <c r="G216" s="3">
        <v>2</v>
      </c>
      <c r="H216" s="3">
        <v>7</v>
      </c>
      <c r="I216" s="3">
        <v>10</v>
      </c>
      <c r="J216" s="3">
        <v>7</v>
      </c>
      <c r="K216" s="3">
        <v>5</v>
      </c>
      <c r="L216">
        <v>32</v>
      </c>
      <c r="M216">
        <v>33</v>
      </c>
      <c r="N216">
        <v>68</v>
      </c>
      <c r="O216">
        <v>67</v>
      </c>
      <c r="P216" s="3">
        <v>7</v>
      </c>
      <c r="Q216" s="3">
        <v>7</v>
      </c>
      <c r="R216" s="3">
        <v>7</v>
      </c>
      <c r="S216" s="3">
        <v>7</v>
      </c>
      <c r="T216" s="3">
        <v>7</v>
      </c>
      <c r="U216" s="3">
        <v>5</v>
      </c>
      <c r="V216" t="s">
        <v>20</v>
      </c>
      <c r="W216" s="3">
        <v>7</v>
      </c>
      <c r="X216" s="3">
        <v>7</v>
      </c>
      <c r="Y216">
        <v>48</v>
      </c>
      <c r="Z216">
        <v>24</v>
      </c>
      <c r="AA216">
        <v>47</v>
      </c>
      <c r="AB216">
        <v>9</v>
      </c>
      <c r="AC216">
        <v>23.5</v>
      </c>
      <c r="AD216">
        <v>55</v>
      </c>
      <c r="AE216">
        <v>4</v>
      </c>
      <c r="AF216">
        <v>20</v>
      </c>
      <c r="AG216" s="3">
        <v>10</v>
      </c>
      <c r="AH216" s="3">
        <v>995638</v>
      </c>
      <c r="AI216" t="s">
        <v>186</v>
      </c>
      <c r="AJ216" t="s">
        <v>22</v>
      </c>
      <c r="AK216" t="s">
        <v>22</v>
      </c>
      <c r="AL216">
        <v>7341</v>
      </c>
    </row>
    <row r="217" spans="1:38" x14ac:dyDescent="0.25">
      <c r="A217" s="3" t="str">
        <f>UPPER(TEXT(Tabela1[[#This Row],[Data]],"MMM"))</f>
        <v>OUT</v>
      </c>
      <c r="B217" t="s">
        <v>642</v>
      </c>
      <c r="C217" s="1" t="s">
        <v>643</v>
      </c>
      <c r="D217" s="1" t="s">
        <v>644</v>
      </c>
      <c r="E217" t="s">
        <v>18</v>
      </c>
      <c r="F217" s="2" t="s">
        <v>641</v>
      </c>
      <c r="G217" s="3">
        <v>2</v>
      </c>
      <c r="H217" s="3">
        <v>7</v>
      </c>
      <c r="I217" s="3">
        <v>10</v>
      </c>
      <c r="J217" s="3">
        <v>10</v>
      </c>
      <c r="K217" s="3">
        <v>7</v>
      </c>
      <c r="L217">
        <v>33</v>
      </c>
      <c r="M217">
        <v>39</v>
      </c>
      <c r="N217">
        <v>67</v>
      </c>
      <c r="O217">
        <v>61</v>
      </c>
      <c r="P217" s="3">
        <v>5</v>
      </c>
      <c r="Q217" s="3">
        <v>7</v>
      </c>
      <c r="R217" s="3">
        <v>7</v>
      </c>
      <c r="S217" s="3">
        <v>7</v>
      </c>
      <c r="T217" s="3">
        <v>7</v>
      </c>
      <c r="U217" s="3">
        <v>7</v>
      </c>
      <c r="V217" t="s">
        <v>20</v>
      </c>
      <c r="W217" s="3">
        <v>7</v>
      </c>
      <c r="X217" s="3">
        <v>7</v>
      </c>
      <c r="Y217">
        <v>66</v>
      </c>
      <c r="Z217">
        <v>33</v>
      </c>
      <c r="AA217">
        <v>46</v>
      </c>
      <c r="AB217">
        <v>9</v>
      </c>
      <c r="AC217">
        <v>23</v>
      </c>
      <c r="AD217">
        <v>55</v>
      </c>
      <c r="AE217">
        <v>2</v>
      </c>
      <c r="AF217">
        <v>10</v>
      </c>
      <c r="AG217" s="3">
        <v>10</v>
      </c>
      <c r="AH217" s="3">
        <v>15105</v>
      </c>
      <c r="AI217" t="s">
        <v>645</v>
      </c>
      <c r="AJ217" t="s">
        <v>22</v>
      </c>
      <c r="AK217" t="s">
        <v>22</v>
      </c>
      <c r="AL217">
        <v>26271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2026-10-14T12:46:49Z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