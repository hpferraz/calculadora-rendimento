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52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154" i="1" l="1"/>
  <c r="B1154" i="1" s="1"/>
  <c r="A1155" i="1"/>
  <c r="A1156" i="1"/>
  <c r="A1157" i="1"/>
  <c r="A1158" i="1"/>
  <c r="B1158" i="1" s="1"/>
  <c r="A1159" i="1"/>
  <c r="A1160" i="1"/>
  <c r="A1161" i="1"/>
  <c r="B1161" i="1" s="1"/>
  <c r="A1162" i="1"/>
  <c r="A1163" i="1"/>
  <c r="A1164" i="1"/>
  <c r="A1165" i="1"/>
  <c r="B1165" i="1" s="1"/>
  <c r="A1166" i="1"/>
  <c r="B1166" i="1" s="1"/>
  <c r="A1167" i="1"/>
  <c r="A1168" i="1"/>
  <c r="A1169" i="1"/>
  <c r="A1170" i="1"/>
  <c r="B1170" i="1" s="1"/>
  <c r="A1171" i="1"/>
  <c r="A1172" i="1"/>
  <c r="A1173" i="1"/>
  <c r="B1173" i="1" s="1"/>
  <c r="A1174" i="1"/>
  <c r="A1175" i="1"/>
  <c r="A1176" i="1"/>
  <c r="A1177" i="1"/>
  <c r="B1177" i="1" s="1"/>
  <c r="A1178" i="1"/>
  <c r="B1178" i="1" s="1"/>
  <c r="B1155" i="1"/>
  <c r="B1156" i="1"/>
  <c r="B1157" i="1"/>
  <c r="B1159" i="1"/>
  <c r="B1160" i="1"/>
  <c r="B1162" i="1"/>
  <c r="B1163" i="1"/>
  <c r="B1164" i="1"/>
  <c r="B1167" i="1"/>
  <c r="B1168" i="1"/>
  <c r="B1169" i="1"/>
  <c r="B1171" i="1"/>
  <c r="B1172" i="1"/>
  <c r="B1174" i="1"/>
  <c r="B1175" i="1"/>
  <c r="B1176" i="1"/>
  <c r="Y1154" i="1"/>
  <c r="Z1154" i="1" s="1"/>
  <c r="Y1155" i="1"/>
  <c r="AA1155" i="1" s="1"/>
  <c r="Y1156" i="1"/>
  <c r="Z1156" i="1" s="1"/>
  <c r="Y1157" i="1"/>
  <c r="Y1158" i="1"/>
  <c r="AA1158" i="1" s="1"/>
  <c r="Y1159" i="1"/>
  <c r="Z1159" i="1" s="1"/>
  <c r="Y1160" i="1"/>
  <c r="Y1161" i="1"/>
  <c r="Y1162" i="1"/>
  <c r="AA1162" i="1" s="1"/>
  <c r="Y1163" i="1"/>
  <c r="Z1163" i="1" s="1"/>
  <c r="Y1164" i="1"/>
  <c r="Z1164" i="1" s="1"/>
  <c r="Y1165" i="1"/>
  <c r="Y1166" i="1"/>
  <c r="Y1167" i="1"/>
  <c r="AA1167" i="1" s="1"/>
  <c r="Y1168" i="1"/>
  <c r="Z1168" i="1" s="1"/>
  <c r="Y1169" i="1"/>
  <c r="Y1170" i="1"/>
  <c r="AA1170" i="1" s="1"/>
  <c r="Y1171" i="1"/>
  <c r="Z1171" i="1" s="1"/>
  <c r="Y1172" i="1"/>
  <c r="Y1173" i="1"/>
  <c r="Y1174" i="1"/>
  <c r="AA1174" i="1" s="1"/>
  <c r="Y1175" i="1"/>
  <c r="Z1175" i="1" s="1"/>
  <c r="Y1176" i="1"/>
  <c r="Z1176" i="1" s="1"/>
  <c r="Y1177" i="1"/>
  <c r="Y1178" i="1"/>
  <c r="Z1155" i="1"/>
  <c r="Z1157" i="1"/>
  <c r="Z1158" i="1"/>
  <c r="Z1160" i="1"/>
  <c r="Z1161" i="1"/>
  <c r="Z1162" i="1"/>
  <c r="Z1165" i="1"/>
  <c r="Z1166" i="1"/>
  <c r="Z1167" i="1"/>
  <c r="Z1169" i="1"/>
  <c r="Z1172" i="1"/>
  <c r="Z1173" i="1"/>
  <c r="Z1174" i="1"/>
  <c r="Z1177" i="1"/>
  <c r="Z1178" i="1"/>
  <c r="AA1156" i="1"/>
  <c r="AA1157" i="1"/>
  <c r="AA1160" i="1"/>
  <c r="AA1161" i="1"/>
  <c r="AA1164" i="1"/>
  <c r="AA1165" i="1"/>
  <c r="AA1166" i="1"/>
  <c r="AA1168" i="1"/>
  <c r="AA1169" i="1"/>
  <c r="AA1172" i="1"/>
  <c r="AA1173" i="1"/>
  <c r="AA1176" i="1"/>
  <c r="AA1177" i="1"/>
  <c r="AA1178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Z1170" i="1" l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B1105" i="1" s="1"/>
  <c r="A1106" i="1"/>
  <c r="A1107" i="1"/>
  <c r="B1107" i="1" s="1"/>
  <c r="A1108" i="1"/>
  <c r="A1109" i="1"/>
  <c r="B1109" i="1" s="1"/>
  <c r="A1110" i="1"/>
  <c r="B1110" i="1" s="1"/>
  <c r="A1111" i="1"/>
  <c r="A1112" i="1"/>
  <c r="B1112" i="1" s="1"/>
  <c r="A1113" i="1"/>
  <c r="B1113" i="1" s="1"/>
  <c r="A1114" i="1"/>
  <c r="B1114" i="1" s="1"/>
  <c r="A1115" i="1"/>
  <c r="B1115" i="1" s="1"/>
  <c r="A1116" i="1"/>
  <c r="A1117" i="1"/>
  <c r="B1117" i="1" s="1"/>
  <c r="A1118" i="1"/>
  <c r="A1119" i="1"/>
  <c r="B1119" i="1" s="1"/>
  <c r="A1120" i="1"/>
  <c r="A1121" i="1"/>
  <c r="B1121" i="1" s="1"/>
  <c r="A1122" i="1"/>
  <c r="A1123" i="1"/>
  <c r="B1123" i="1" s="1"/>
  <c r="A1124" i="1"/>
  <c r="A1125" i="1"/>
  <c r="B1125" i="1" s="1"/>
  <c r="A1126" i="1"/>
  <c r="B1126" i="1" s="1"/>
  <c r="A1127" i="1"/>
  <c r="B1127" i="1" s="1"/>
  <c r="A1128" i="1"/>
  <c r="A1129" i="1"/>
  <c r="B1129" i="1" s="1"/>
  <c r="A1130" i="1"/>
  <c r="A1131" i="1"/>
  <c r="B1131" i="1" s="1"/>
  <c r="A1132" i="1"/>
  <c r="A1133" i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A1141" i="1"/>
  <c r="B1141" i="1" s="1"/>
  <c r="A1142" i="1"/>
  <c r="A1143" i="1"/>
  <c r="B1143" i="1" s="1"/>
  <c r="A1144" i="1"/>
  <c r="A1145" i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A1153" i="1"/>
  <c r="B1153" i="1" s="1"/>
  <c r="A2" i="1"/>
  <c r="B1104" i="1"/>
  <c r="B1111" i="1"/>
  <c r="B1116" i="1"/>
  <c r="B1122" i="1"/>
  <c r="B1124" i="1"/>
  <c r="B1128" i="1"/>
  <c r="B1140" i="1"/>
  <c r="B1152" i="1"/>
  <c r="B1106" i="1"/>
  <c r="B1108" i="1"/>
  <c r="B1118" i="1"/>
  <c r="B1120" i="1"/>
  <c r="B1130" i="1"/>
  <c r="B1132" i="1"/>
  <c r="B1133" i="1"/>
  <c r="B1142" i="1"/>
  <c r="B1144" i="1"/>
  <c r="B1145" i="1"/>
  <c r="Y1104" i="1"/>
  <c r="AA1104" i="1" s="1"/>
  <c r="Y1105" i="1"/>
  <c r="Y1106" i="1"/>
  <c r="Y1107" i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Y1115" i="1"/>
  <c r="Y1116" i="1"/>
  <c r="Y1117" i="1"/>
  <c r="Y1118" i="1"/>
  <c r="Y1119" i="1"/>
  <c r="Y1120" i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Y1139" i="1"/>
  <c r="Y1140" i="1"/>
  <c r="AA1140" i="1" s="1"/>
  <c r="Y1141" i="1"/>
  <c r="AA1141" i="1" s="1"/>
  <c r="Y1142" i="1"/>
  <c r="Z1142" i="1" s="1"/>
  <c r="Y1143" i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Y1151" i="1"/>
  <c r="Y1152" i="1"/>
  <c r="Y1153" i="1"/>
  <c r="Z1104" i="1"/>
  <c r="Z1105" i="1"/>
  <c r="Z1106" i="1"/>
  <c r="Z1107" i="1"/>
  <c r="Z1108" i="1"/>
  <c r="Z1109" i="1"/>
  <c r="Z1112" i="1"/>
  <c r="Z1113" i="1"/>
  <c r="Z1114" i="1"/>
  <c r="Z1115" i="1"/>
  <c r="Z1116" i="1"/>
  <c r="Z1117" i="1"/>
  <c r="Z1118" i="1"/>
  <c r="Z1119" i="1"/>
  <c r="Z1120" i="1"/>
  <c r="Z1121" i="1"/>
  <c r="Z1126" i="1"/>
  <c r="Z1127" i="1"/>
  <c r="Z1131" i="1"/>
  <c r="Z1138" i="1"/>
  <c r="Z1139" i="1"/>
  <c r="Z1140" i="1"/>
  <c r="Z1141" i="1"/>
  <c r="Z1143" i="1"/>
  <c r="Z1150" i="1"/>
  <c r="Z1151" i="1"/>
  <c r="Z1152" i="1"/>
  <c r="Z1153" i="1"/>
  <c r="AA1105" i="1"/>
  <c r="AA1106" i="1"/>
  <c r="AA1107" i="1"/>
  <c r="AA1114" i="1"/>
  <c r="AA1115" i="1"/>
  <c r="AA1116" i="1"/>
  <c r="AA1117" i="1"/>
  <c r="AA1118" i="1"/>
  <c r="AA1119" i="1"/>
  <c r="AA1120" i="1"/>
  <c r="AA1124" i="1"/>
  <c r="AA1127" i="1"/>
  <c r="AA1129" i="1"/>
  <c r="AA1131" i="1"/>
  <c r="AA1132" i="1"/>
  <c r="AA1138" i="1"/>
  <c r="AA1139" i="1"/>
  <c r="AA1143" i="1"/>
  <c r="AA1150" i="1"/>
  <c r="AA1151" i="1"/>
  <c r="AA1152" i="1"/>
  <c r="AA115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A1136" i="1" l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Z1067" i="1"/>
  <c r="Z1068" i="1"/>
  <c r="Z1080" i="1"/>
  <c r="Z1091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A1053" i="1" l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Z973" i="1"/>
  <c r="Z1041" i="1"/>
  <c r="AA939" i="1"/>
  <c r="AA963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A968" i="1" l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26" i="1"/>
  <c r="Z827" i="1"/>
  <c r="Z832" i="1"/>
  <c r="Z833" i="1"/>
  <c r="Z837" i="1"/>
  <c r="Z839" i="1"/>
  <c r="Z844" i="1"/>
  <c r="Z850" i="1"/>
  <c r="Z855" i="1"/>
  <c r="Z861" i="1"/>
  <c r="Z862" i="1"/>
  <c r="Z874" i="1"/>
  <c r="Z887" i="1"/>
  <c r="AA825" i="1"/>
  <c r="AA837" i="1"/>
  <c r="AA865" i="1"/>
  <c r="AA891" i="1"/>
  <c r="AA909" i="1"/>
  <c r="AA913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903" i="1" l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<sst xmlns="http://schemas.openxmlformats.org/spreadsheetml/2006/main" count="10904" uniqueCount="2618">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</sst>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4"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94.383945486108" createdVersion="5" refreshedVersion="5" minRefreshableVersion="3" recordCount="1177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09-29T00:00:00" count="47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35"/>
    </cacheField>
    <cacheField name="Peso  3" numFmtId="3">
      <sharedItems containsSemiMixedTypes="0" containsString="0" containsNumber="1" containsInteger="1" minValue="68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275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050"/>
    </cacheField>
    <cacheField name="Peso  8" numFmtId="3">
      <sharedItems containsSemiMixedTypes="0" containsString="0" containsNumber="1" containsInteger="1" minValue="687" maxValue="18250"/>
    </cacheField>
    <cacheField name="Peso  9" numFmtId="3">
      <sharedItems containsSemiMixedTypes="0" containsString="0" containsNumber="1" containsInteger="1" minValue="693" maxValue="1818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3.1E-2" maxValue="8.1400000000000097E-2"/>
    </cacheField>
    <cacheField name="Desvio" numFmtId="166">
      <sharedItems containsSemiMixedTypes="0" containsString="0" containsNumber="1" minValue="-419.5" maxValue="168.5"/>
    </cacheField>
    <cacheField name="Item" numFmtId="0">
      <sharedItems count="40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7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52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U48" firstHeaderRow="1" firstDataRow="2" firstDataCol="1"/>
  <pivotFields count="29">
    <pivotField axis="axisCol" numFmtId="165" showAll="0" sortType="ascending" defaultSubtotal="0">
      <items count="47">
        <item x="0"/>
        <item x="1"/>
        <item x="2"/>
        <item x="3"/>
        <item x="4"/>
        <item x="5"/>
        <item m="1" x="44"/>
        <item x="6"/>
        <item x="8"/>
        <item x="10"/>
        <item x="11"/>
        <item x="12"/>
        <item m="1" x="43"/>
        <item x="14"/>
        <item x="13"/>
        <item x="15"/>
        <item x="7"/>
        <item x="9"/>
        <item x="16"/>
        <item m="1" x="42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46"/>
        <item x="37"/>
        <item x="36"/>
        <item x="38"/>
        <item x="40"/>
        <item x="39"/>
        <item m="1" x="45"/>
        <item x="41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42">
    <i>
      <x/>
    </i>
    <i r="1">
      <x/>
    </i>
    <i r="1">
      <x v="10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 r="1">
      <x v="11"/>
    </i>
    <i r="1">
      <x v="25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 r="1">
      <x v="37"/>
    </i>
    <i r="1">
      <x v="39"/>
    </i>
    <i>
      <x v="4"/>
    </i>
    <i r="1">
      <x v="12"/>
    </i>
    <i r="1">
      <x v="30"/>
    </i>
    <i>
      <x v="7"/>
    </i>
    <i>
      <x v="8"/>
    </i>
    <i r="1">
      <x v="36"/>
    </i>
    <i>
      <x v="9"/>
    </i>
    <i r="1">
      <x v="38"/>
    </i>
  </rowItems>
  <colFields count="1">
    <field x="0"/>
  </colFields>
  <colItems count="20"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6"/>
    </i>
    <i t="grand">
      <x/>
    </i>
  </colItems>
  <dataFields count="1">
    <dataField name="Média de Desvio" fld="26" subtotal="average" baseField="27" baseItem="3" numFmtId="167"/>
  </dataFields>
  <formats count="14">
    <format dxfId="72">
      <pivotArea outline="0" collapsedLevelsAreSubtotals="1" fieldPosition="0"/>
    </format>
    <format dxfId="71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0">
      <pivotArea dataOnly="0" labelOnly="1" grandCol="1" outline="0" fieldPosition="0"/>
    </format>
    <format dxfId="69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68">
      <pivotArea dataOnly="0" labelOnly="1" grandCol="1" outline="0" fieldPosition="0"/>
    </format>
    <format dxfId="67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66">
      <pivotArea field="28" type="button" dataOnly="0" labelOnly="1" outline="0" axis="axisRow" fieldPosition="0"/>
    </format>
    <format dxfId="65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4">
      <pivotArea dataOnly="0" labelOnly="1" grandCol="1" outline="0" fieldPosition="0"/>
    </format>
    <format dxfId="63">
      <pivotArea field="28" type="button" dataOnly="0" labelOnly="1" outline="0" axis="axisRow" fieldPosition="0"/>
    </format>
    <format dxfId="62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1">
      <pivotArea dataOnly="0" labelOnly="1" fieldPosition="0">
        <references count="1">
          <reference field="0" count="1">
            <x v="35"/>
          </reference>
        </references>
      </pivotArea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52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D58" firstHeaderRow="1" firstDataRow="2" firstDataCol="1"/>
  <pivotFields count="29">
    <pivotField numFmtId="165" showAll="0" defaultSubtota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Média de Desvio" fld="26" subtotal="average" baseField="27" baseItem="1" numFmtId="167"/>
  </dataFields>
  <formats count="4">
    <format dxfId="57">
      <pivotArea outline="0" collapsedLevelsAreSubtotals="1" fieldPosition="0"/>
    </format>
    <format dxfId="56">
      <pivotArea dataOnly="0" labelOnly="1" grandCol="1" outline="0" fieldPosition="0"/>
    </format>
    <format dxfId="55">
      <pivotArea dataOnly="0" labelOnly="1" grandCol="1" outline="0" fieldPosition="0"/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6" s="1"/>
        <i x="4" s="1"/>
        <i x="0" s="1"/>
        <i x="1" s="1"/>
        <i x="2" s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178" totalsRowShown="0">
  <autoFilter ref="A1:AC1178"/>
  <tableColumns count="29">
    <tableColumn id="25" name="Data Corrigida" dataDxfId="52">
      <calculatedColumnFormula>INT(Tabela1[[#This Row],[Data e Hora2]])</calculatedColumnFormula>
    </tableColumn>
    <tableColumn id="26" name="Mês" dataDxfId="51">
      <calculatedColumnFormula>UPPER(TEXT(Tabela1[[#This Row],[Data Corrigida]],"MMM"))</calculatedColumnFormula>
    </tableColumn>
    <tableColumn id="1" name="ID"/>
    <tableColumn id="2" name="Data e Hora" dataDxfId="50"/>
    <tableColumn id="3" name="Data recebimento" dataDxfId="49"/>
    <tableColumn id="4" name="Usuário"/>
    <tableColumn id="5" name="Data e Hora2" dataDxfId="48"/>
    <tableColumn id="6" name="Turno"/>
    <tableColumn id="7" name="Agente de Monitoramento"/>
    <tableColumn id="8" name="SKU"/>
    <tableColumn id="9" name="Peso  1" dataDxfId="47"/>
    <tableColumn id="10" name="Peso  2" dataDxfId="46"/>
    <tableColumn id="11" name="Peso  3" dataDxfId="45"/>
    <tableColumn id="12" name="Peso  4" dataDxfId="44"/>
    <tableColumn id="13" name="Peso  5" dataDxfId="43"/>
    <tableColumn id="14" name="Peso  6" dataDxfId="42"/>
    <tableColumn id="15" name="Peso  7" dataDxfId="41"/>
    <tableColumn id="16" name="Peso  8" dataDxfId="40"/>
    <tableColumn id="17" name="Peso  9" dataDxfId="39"/>
    <tableColumn id="18" name="Peso  10" dataDxfId="38"/>
    <tableColumn id="19" name="Média" dataDxfId="37"/>
    <tableColumn id="20" name="Média (Comentário)"/>
    <tableColumn id="21" name="Colunas1"/>
    <tableColumn id="22" name="Tempo de resposta"/>
    <tableColumn id="28" name="Meta" dataDxfId="36">
      <calculatedColumnFormula>VLOOKUP(Tabela1[[#This Row],[SKU]],SKU!A:D,4,0)</calculatedColumnFormula>
    </tableColumn>
    <tableColumn id="27" name="% Sobrepeso" dataDxfId="35" dataCellStyle="Porcentagem">
      <calculatedColumnFormula>IFERROR((Tabela1[[#This Row],[Média]]-Tabela1[[#This Row],[Meta]])/Tabela1[[#This Row],[Meta]],"")</calculatedColumnFormula>
    </tableColumn>
    <tableColumn id="29" name="Desvio" dataDxfId="34" dataCellStyle="Porcentagem">
      <calculatedColumnFormula>Tabela1[[#This Row],[Média]]-Tabela1[[#This Row],[Meta]]</calculatedColumnFormula>
    </tableColumn>
    <tableColumn id="23" name="Item" dataDxfId="33">
      <calculatedColumnFormula>VLOOKUP(Tabela1[[#This Row],[SKU]],SKU!A:B,2,0)</calculatedColumnFormula>
    </tableColumn>
    <tableColumn id="24" name="Família" dataDxfId="32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16" activePane="bottomRight" state="frozen"/>
      <selection pane="topRight" activeCell="B1" sqref="B1"/>
      <selection pane="bottomLeft" activeCell="A7" sqref="A7"/>
      <selection pane="bottomRight" activeCell="A40" sqref="A40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6">
        <v>46266</v>
      </c>
      <c r="C6" s="26">
        <v>46267</v>
      </c>
      <c r="D6" s="26">
        <v>46268</v>
      </c>
      <c r="E6" s="26">
        <v>46273</v>
      </c>
      <c r="F6" s="28">
        <v>46274</v>
      </c>
      <c r="G6" s="28">
        <v>46275</v>
      </c>
      <c r="H6" s="28">
        <v>46276</v>
      </c>
      <c r="I6" s="28">
        <v>46277</v>
      </c>
      <c r="J6" s="28">
        <v>46279</v>
      </c>
      <c r="K6" s="28">
        <v>46280</v>
      </c>
      <c r="L6" s="30">
        <v>46281</v>
      </c>
      <c r="M6" s="30">
        <v>46282</v>
      </c>
      <c r="N6" s="30">
        <v>46283</v>
      </c>
      <c r="O6" s="30">
        <v>46286</v>
      </c>
      <c r="P6" s="30">
        <v>46287</v>
      </c>
      <c r="Q6" s="30">
        <v>46288</v>
      </c>
      <c r="R6" s="30">
        <v>46289</v>
      </c>
      <c r="S6" s="30">
        <v>46290</v>
      </c>
      <c r="T6" s="30">
        <v>46293</v>
      </c>
      <c r="U6" s="23" t="s">
        <v>409</v>
      </c>
      <c r="V6"/>
    </row>
    <row r="7" spans="1:32" x14ac:dyDescent="0.25">
      <c r="A7" s="12" t="s">
        <v>385</v>
      </c>
      <c r="B7" s="34">
        <v>9.3999999999996362</v>
      </c>
      <c r="C7" s="34">
        <v>12.275000000000006</v>
      </c>
      <c r="D7" s="34">
        <v>6</v>
      </c>
      <c r="E7" s="34">
        <v>-34.957142857142799</v>
      </c>
      <c r="F7" s="34">
        <v>19.949999999999818</v>
      </c>
      <c r="G7" s="34">
        <v>27.385714285714261</v>
      </c>
      <c r="H7" s="34">
        <v>19.150000000000091</v>
      </c>
      <c r="I7" s="34"/>
      <c r="J7" s="34">
        <v>21.650000000000091</v>
      </c>
      <c r="K7" s="34">
        <v>13.780000000000086</v>
      </c>
      <c r="L7" s="34">
        <v>28.633333333333212</v>
      </c>
      <c r="M7" s="34">
        <v>13.89999999999994</v>
      </c>
      <c r="N7" s="34">
        <v>21.599999999999909</v>
      </c>
      <c r="O7" s="34">
        <v>24.233333333333462</v>
      </c>
      <c r="P7" s="34">
        <v>33.633333333333212</v>
      </c>
      <c r="Q7" s="34">
        <v>25.400000000000091</v>
      </c>
      <c r="R7" s="34">
        <v>134.5</v>
      </c>
      <c r="S7" s="34">
        <v>18.900000000000091</v>
      </c>
      <c r="T7" s="34">
        <v>20.349999999999909</v>
      </c>
      <c r="U7" s="34">
        <v>17.001538461538445</v>
      </c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4"/>
      <c r="C8" s="34"/>
      <c r="D8" s="34"/>
      <c r="E8" s="34">
        <v>-169.25</v>
      </c>
      <c r="F8" s="34">
        <v>30.799999999999272</v>
      </c>
      <c r="G8" s="34">
        <v>47.5</v>
      </c>
      <c r="H8" s="34">
        <v>63.5</v>
      </c>
      <c r="I8" s="34"/>
      <c r="J8" s="34"/>
      <c r="K8" s="34"/>
      <c r="L8" s="34">
        <v>29</v>
      </c>
      <c r="M8" s="34"/>
      <c r="N8" s="34"/>
      <c r="O8" s="34">
        <v>59.5</v>
      </c>
      <c r="P8" s="34"/>
      <c r="Q8" s="34"/>
      <c r="R8" s="34"/>
      <c r="S8" s="34">
        <v>29.5</v>
      </c>
      <c r="T8" s="34"/>
      <c r="U8" s="34">
        <v>-2.0700000000000727</v>
      </c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4"/>
      <c r="C9" s="34">
        <v>18.550000000000011</v>
      </c>
      <c r="D9" s="34"/>
      <c r="E9" s="34">
        <v>18.350000000000023</v>
      </c>
      <c r="F9" s="34"/>
      <c r="G9" s="34">
        <v>27.75</v>
      </c>
      <c r="H9" s="34">
        <v>2.25</v>
      </c>
      <c r="I9" s="34"/>
      <c r="J9" s="34"/>
      <c r="K9" s="34"/>
      <c r="L9" s="34"/>
      <c r="M9" s="34"/>
      <c r="N9" s="34">
        <v>31.5</v>
      </c>
      <c r="O9" s="34"/>
      <c r="P9" s="34"/>
      <c r="Q9" s="34"/>
      <c r="R9" s="34"/>
      <c r="S9" s="34"/>
      <c r="T9" s="34"/>
      <c r="U9" s="34">
        <v>21.025000000000006</v>
      </c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371</v>
      </c>
      <c r="B10" s="34"/>
      <c r="C10" s="34"/>
      <c r="D10" s="34"/>
      <c r="E10" s="34"/>
      <c r="F10" s="34"/>
      <c r="G10" s="34">
        <v>35.800000000000182</v>
      </c>
      <c r="H10" s="34"/>
      <c r="I10" s="34"/>
      <c r="J10" s="34"/>
      <c r="K10" s="34"/>
      <c r="L10" s="34"/>
      <c r="M10" s="34">
        <v>4.5</v>
      </c>
      <c r="N10" s="34"/>
      <c r="O10" s="34"/>
      <c r="P10" s="34"/>
      <c r="Q10" s="34">
        <v>42.699999999999818</v>
      </c>
      <c r="R10" s="34"/>
      <c r="S10" s="34"/>
      <c r="T10" s="34"/>
      <c r="U10" s="34">
        <v>21.875</v>
      </c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303</v>
      </c>
      <c r="B11" s="34">
        <v>9.3999999999996362</v>
      </c>
      <c r="C11" s="34">
        <v>6</v>
      </c>
      <c r="D11" s="34">
        <v>6</v>
      </c>
      <c r="E11" s="34">
        <v>9.8999999999996362</v>
      </c>
      <c r="F11" s="34">
        <v>9.1000000000003638</v>
      </c>
      <c r="G11" s="34">
        <v>-2.6000000000003638</v>
      </c>
      <c r="H11" s="34">
        <v>8.6000000000003638</v>
      </c>
      <c r="I11" s="34"/>
      <c r="J11" s="34">
        <v>10.300000000000182</v>
      </c>
      <c r="K11" s="34">
        <v>9.1000000000003638</v>
      </c>
      <c r="L11" s="34">
        <v>10.399999999999636</v>
      </c>
      <c r="M11" s="34">
        <v>6.1999999999998181</v>
      </c>
      <c r="N11" s="34">
        <v>11.699999999999818</v>
      </c>
      <c r="O11" s="34">
        <v>8.1000000000003638</v>
      </c>
      <c r="P11" s="34">
        <v>5.3999999999996362</v>
      </c>
      <c r="Q11" s="34">
        <v>8.1000000000003638</v>
      </c>
      <c r="R11" s="34"/>
      <c r="S11" s="34">
        <v>8.3000000000001819</v>
      </c>
      <c r="T11" s="34">
        <v>7.1999999999998181</v>
      </c>
      <c r="U11" s="34">
        <v>7.9954545454544874</v>
      </c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380</v>
      </c>
      <c r="B12" s="34"/>
      <c r="C12" s="34"/>
      <c r="D12" s="34"/>
      <c r="E12" s="34">
        <v>23.600000000000364</v>
      </c>
      <c r="F12" s="34"/>
      <c r="G12" s="34"/>
      <c r="H12" s="34"/>
      <c r="I12" s="34"/>
      <c r="J12" s="34">
        <v>33</v>
      </c>
      <c r="K12" s="34">
        <v>40.5</v>
      </c>
      <c r="L12" s="34">
        <v>46.5</v>
      </c>
      <c r="M12" s="34">
        <v>31</v>
      </c>
      <c r="N12" s="34"/>
      <c r="O12" s="34"/>
      <c r="P12" s="34">
        <v>47.75</v>
      </c>
      <c r="Q12" s="34"/>
      <c r="R12" s="34"/>
      <c r="S12" s="34"/>
      <c r="T12" s="34">
        <v>33.5</v>
      </c>
      <c r="U12" s="34">
        <v>37.600000000000058</v>
      </c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338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>
        <v>134.5</v>
      </c>
      <c r="S13" s="34"/>
      <c r="T13" s="34"/>
      <c r="U13" s="34">
        <v>134.5</v>
      </c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341</v>
      </c>
      <c r="B14" s="34"/>
      <c r="C14" s="34"/>
      <c r="D14" s="34"/>
      <c r="E14" s="34"/>
      <c r="F14" s="34"/>
      <c r="G14" s="34"/>
      <c r="H14" s="34"/>
      <c r="I14" s="34"/>
      <c r="J14" s="34"/>
      <c r="K14" s="34">
        <v>6.4333333333333558</v>
      </c>
      <c r="L14" s="34"/>
      <c r="M14" s="34"/>
      <c r="N14" s="34"/>
      <c r="O14" s="34">
        <v>5.1000000000000227</v>
      </c>
      <c r="P14" s="34"/>
      <c r="Q14" s="34"/>
      <c r="R14" s="34"/>
      <c r="S14" s="34"/>
      <c r="T14" s="34"/>
      <c r="U14" s="34">
        <v>6.1000000000000227</v>
      </c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2" t="s">
        <v>391</v>
      </c>
      <c r="B15" s="34"/>
      <c r="C15" s="34"/>
      <c r="D15" s="34"/>
      <c r="E15" s="34"/>
      <c r="F15" s="34">
        <v>0.29999999999995453</v>
      </c>
      <c r="G15" s="34">
        <v>-1.2999999999999545</v>
      </c>
      <c r="H15" s="34"/>
      <c r="I15" s="34"/>
      <c r="J15" s="34"/>
      <c r="K15" s="34">
        <v>5.7000000000000455</v>
      </c>
      <c r="L15" s="34"/>
      <c r="M15" s="34"/>
      <c r="N15" s="34"/>
      <c r="O15" s="34">
        <v>0.39999999999997726</v>
      </c>
      <c r="P15" s="34"/>
      <c r="Q15" s="34"/>
      <c r="R15" s="34">
        <v>0.20000000000004547</v>
      </c>
      <c r="S15" s="34"/>
      <c r="T15" s="34"/>
      <c r="U15" s="34">
        <v>1.0600000000000136</v>
      </c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386</v>
      </c>
      <c r="B16" s="34">
        <v>14.588888888888883</v>
      </c>
      <c r="C16" s="34">
        <v>17.693750000000009</v>
      </c>
      <c r="D16" s="34">
        <v>18.04</v>
      </c>
      <c r="E16" s="34">
        <v>16.427272727272722</v>
      </c>
      <c r="F16" s="34">
        <v>21.729999999999997</v>
      </c>
      <c r="G16" s="34">
        <v>12.477777777777773</v>
      </c>
      <c r="H16" s="34">
        <v>17</v>
      </c>
      <c r="I16" s="34">
        <v>18.239999999999988</v>
      </c>
      <c r="J16" s="34">
        <v>21.325000000000003</v>
      </c>
      <c r="K16" s="34">
        <v>9.5222222222222399</v>
      </c>
      <c r="L16" s="34">
        <v>12.978571428571408</v>
      </c>
      <c r="M16" s="34">
        <v>10.883333333333345</v>
      </c>
      <c r="N16" s="34">
        <v>17.200000000000003</v>
      </c>
      <c r="O16" s="34">
        <v>11.633333333333345</v>
      </c>
      <c r="P16" s="34">
        <v>19.033333333333342</v>
      </c>
      <c r="Q16" s="34">
        <v>18.233333333333309</v>
      </c>
      <c r="R16" s="34">
        <v>16.824999999999989</v>
      </c>
      <c r="S16" s="34">
        <v>8.8599999999999905</v>
      </c>
      <c r="T16" s="34">
        <v>14.99999999999998</v>
      </c>
      <c r="U16" s="34">
        <v>15.644848484848485</v>
      </c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326</v>
      </c>
      <c r="B17" s="34">
        <v>14.762499999999989</v>
      </c>
      <c r="C17" s="34">
        <v>17.693750000000009</v>
      </c>
      <c r="D17" s="34">
        <v>17.055555555555543</v>
      </c>
      <c r="E17" s="34">
        <v>16.599999999999987</v>
      </c>
      <c r="F17" s="34">
        <v>21.344444444444434</v>
      </c>
      <c r="G17" s="34">
        <v>9.5571428571428534</v>
      </c>
      <c r="H17" s="34">
        <v>17.479999999999997</v>
      </c>
      <c r="I17" s="34">
        <v>18.239999999999988</v>
      </c>
      <c r="J17" s="34">
        <v>23.183333333333337</v>
      </c>
      <c r="K17" s="34">
        <v>9.5222222222222399</v>
      </c>
      <c r="L17" s="34">
        <v>12.978571428571408</v>
      </c>
      <c r="M17" s="34">
        <v>7.5600000000000138</v>
      </c>
      <c r="N17" s="34">
        <v>13.057142857142869</v>
      </c>
      <c r="O17" s="34">
        <v>8.5200000000000049</v>
      </c>
      <c r="P17" s="34">
        <v>14.5</v>
      </c>
      <c r="Q17" s="34">
        <v>18.233333333333309</v>
      </c>
      <c r="R17" s="34">
        <v>17.449999999999989</v>
      </c>
      <c r="S17" s="34">
        <v>8.8599999999999905</v>
      </c>
      <c r="T17" s="34">
        <v>12.439999999999987</v>
      </c>
      <c r="U17" s="34">
        <v>14.69241379310345</v>
      </c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359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>
        <v>27.799999999999955</v>
      </c>
      <c r="U18" s="34">
        <v>27.799999999999955</v>
      </c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329</v>
      </c>
      <c r="B19" s="34">
        <v>13.200000000000045</v>
      </c>
      <c r="C19" s="34"/>
      <c r="D19" s="34">
        <v>26.900000000000091</v>
      </c>
      <c r="E19" s="34">
        <v>14.700000000000045</v>
      </c>
      <c r="F19" s="34">
        <v>25.200000000000045</v>
      </c>
      <c r="G19" s="34">
        <v>22.699999999999989</v>
      </c>
      <c r="H19" s="34">
        <v>12.200000000000045</v>
      </c>
      <c r="I19" s="34"/>
      <c r="J19" s="34">
        <v>15.75</v>
      </c>
      <c r="K19" s="34"/>
      <c r="L19" s="34"/>
      <c r="M19" s="34">
        <v>27.5</v>
      </c>
      <c r="N19" s="34">
        <v>24.449999999999989</v>
      </c>
      <c r="O19" s="34">
        <v>27.200000000000045</v>
      </c>
      <c r="P19" s="34">
        <v>41.700000000000045</v>
      </c>
      <c r="Q19" s="34"/>
      <c r="R19" s="34">
        <v>16.199999999999989</v>
      </c>
      <c r="S19" s="34"/>
      <c r="T19" s="34"/>
      <c r="U19" s="34">
        <v>22.27368421052633</v>
      </c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2" t="s">
        <v>396</v>
      </c>
      <c r="B20" s="34">
        <v>29.265384615384612</v>
      </c>
      <c r="C20" s="34">
        <v>23.088461538461544</v>
      </c>
      <c r="D20" s="34">
        <v>21.57037037037037</v>
      </c>
      <c r="E20" s="34">
        <v>19.636842105263145</v>
      </c>
      <c r="F20" s="34">
        <v>21.286666666666687</v>
      </c>
      <c r="G20" s="34">
        <v>15.289473684210563</v>
      </c>
      <c r="H20" s="34">
        <v>20.145161290322577</v>
      </c>
      <c r="I20" s="34">
        <v>18.161538461538445</v>
      </c>
      <c r="J20" s="34">
        <v>14.263333333333302</v>
      </c>
      <c r="K20" s="34">
        <v>31.329629629629647</v>
      </c>
      <c r="L20" s="34">
        <v>27.189473684210501</v>
      </c>
      <c r="M20" s="34">
        <v>28.510000000000012</v>
      </c>
      <c r="N20" s="34">
        <v>12.766666666666657</v>
      </c>
      <c r="O20" s="34">
        <v>21.717391304347831</v>
      </c>
      <c r="P20" s="34">
        <v>16.249999999999996</v>
      </c>
      <c r="Q20" s="34">
        <v>15.993333333333309</v>
      </c>
      <c r="R20" s="34">
        <v>18.868750000000055</v>
      </c>
      <c r="S20" s="34">
        <v>25.317647058823542</v>
      </c>
      <c r="T20" s="34">
        <v>9.7357142857143142</v>
      </c>
      <c r="U20" s="34">
        <v>21.277290836653389</v>
      </c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352</v>
      </c>
      <c r="B21" s="34">
        <v>11.299999999999955</v>
      </c>
      <c r="C21" s="34">
        <v>8.6000000000000085</v>
      </c>
      <c r="D21" s="34">
        <v>2.859999999999991</v>
      </c>
      <c r="E21" s="34">
        <v>3.566666666666682</v>
      </c>
      <c r="F21" s="34">
        <v>7.6500000000000057</v>
      </c>
      <c r="G21" s="34">
        <v>7.8999999999999773</v>
      </c>
      <c r="H21" s="34">
        <v>8.2000000000000171</v>
      </c>
      <c r="I21" s="34">
        <v>4.3000000000000114</v>
      </c>
      <c r="J21" s="34">
        <v>1.2200000000000046</v>
      </c>
      <c r="K21" s="34">
        <v>5.1800000000000184</v>
      </c>
      <c r="L21" s="34"/>
      <c r="M21" s="34"/>
      <c r="N21" s="34">
        <v>6.4999999999999618</v>
      </c>
      <c r="O21" s="34">
        <v>9.1000000000000227</v>
      </c>
      <c r="P21" s="34">
        <v>5.6</v>
      </c>
      <c r="Q21" s="34">
        <v>8.5</v>
      </c>
      <c r="R21" s="34"/>
      <c r="S21" s="34"/>
      <c r="T21" s="34">
        <v>4.8500000000000227</v>
      </c>
      <c r="U21" s="34">
        <v>6.0263157894736841</v>
      </c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313</v>
      </c>
      <c r="B22" s="34">
        <v>28.875</v>
      </c>
      <c r="C22" s="34">
        <v>40.944444444444443</v>
      </c>
      <c r="D22" s="34">
        <v>21.25</v>
      </c>
      <c r="E22" s="34">
        <v>66</v>
      </c>
      <c r="F22" s="34">
        <v>25.875</v>
      </c>
      <c r="G22" s="34">
        <v>21.340000000000146</v>
      </c>
      <c r="H22" s="34">
        <v>13.5</v>
      </c>
      <c r="I22" s="34">
        <v>36.333333333333336</v>
      </c>
      <c r="J22" s="34">
        <v>-1.4400000000001456</v>
      </c>
      <c r="K22" s="34">
        <v>13.833333333333334</v>
      </c>
      <c r="L22" s="34">
        <v>53.333333333333336</v>
      </c>
      <c r="M22" s="34">
        <v>48.166666666666664</v>
      </c>
      <c r="N22" s="34">
        <v>26.759999999999856</v>
      </c>
      <c r="O22" s="34">
        <v>33</v>
      </c>
      <c r="P22" s="34">
        <v>27</v>
      </c>
      <c r="Q22" s="34">
        <v>2.5</v>
      </c>
      <c r="R22" s="34">
        <v>5.4250000000001819</v>
      </c>
      <c r="S22" s="34">
        <v>19.875</v>
      </c>
      <c r="T22" s="34">
        <v>0.5</v>
      </c>
      <c r="U22" s="34">
        <v>28.560416666666658</v>
      </c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344</v>
      </c>
      <c r="B23" s="34"/>
      <c r="C23" s="34">
        <v>8.3999999999999773</v>
      </c>
      <c r="D23" s="34"/>
      <c r="E23" s="34">
        <v>3.6500000000000341</v>
      </c>
      <c r="F23" s="34">
        <v>8.7000000000000455</v>
      </c>
      <c r="G23" s="34"/>
      <c r="H23" s="34">
        <v>13.600000000000023</v>
      </c>
      <c r="I23" s="34"/>
      <c r="J23" s="34">
        <v>8.6000000000000227</v>
      </c>
      <c r="K23" s="34">
        <v>5.6000000000000227</v>
      </c>
      <c r="L23" s="34"/>
      <c r="M23" s="34"/>
      <c r="N23" s="34"/>
      <c r="O23" s="34">
        <v>5.7999999999999545</v>
      </c>
      <c r="P23" s="34"/>
      <c r="Q23" s="34">
        <v>10.5</v>
      </c>
      <c r="R23" s="34">
        <v>10.650000000000034</v>
      </c>
      <c r="S23" s="34">
        <v>4.7999999999999545</v>
      </c>
      <c r="T23" s="34">
        <v>0.20000000000004547</v>
      </c>
      <c r="U23" s="34">
        <v>7.2923076923077064</v>
      </c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356</v>
      </c>
      <c r="B24" s="34"/>
      <c r="C24" s="34"/>
      <c r="D24" s="34">
        <v>51.300000000000182</v>
      </c>
      <c r="E24" s="34">
        <v>47.299999999999955</v>
      </c>
      <c r="F24" s="34">
        <v>33.900000000000091</v>
      </c>
      <c r="G24" s="34">
        <v>40.299999999999955</v>
      </c>
      <c r="H24" s="34">
        <v>30.200000000000045</v>
      </c>
      <c r="I24" s="34">
        <v>23.900000000000091</v>
      </c>
      <c r="J24" s="34">
        <v>33</v>
      </c>
      <c r="K24" s="34">
        <v>40.100000000000023</v>
      </c>
      <c r="L24" s="34">
        <v>36.900000000000091</v>
      </c>
      <c r="M24" s="34">
        <v>22.099999999999909</v>
      </c>
      <c r="N24" s="34">
        <v>28.733333333333423</v>
      </c>
      <c r="O24" s="34">
        <v>34.75</v>
      </c>
      <c r="P24" s="34">
        <v>29.200000000000045</v>
      </c>
      <c r="Q24" s="34">
        <v>29</v>
      </c>
      <c r="R24" s="34">
        <v>28.700000000000045</v>
      </c>
      <c r="S24" s="34">
        <v>24.799999999999955</v>
      </c>
      <c r="T24" s="34"/>
      <c r="U24" s="34">
        <v>32.375000000000043</v>
      </c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314</v>
      </c>
      <c r="B25" s="34">
        <v>52.599999999999909</v>
      </c>
      <c r="C25" s="34">
        <v>23.200000000000045</v>
      </c>
      <c r="D25" s="34">
        <v>35.949999999999932</v>
      </c>
      <c r="E25" s="34">
        <v>38.200000000000045</v>
      </c>
      <c r="F25" s="34">
        <v>36.600000000000058</v>
      </c>
      <c r="G25" s="34">
        <v>26.700000000000045</v>
      </c>
      <c r="H25" s="34">
        <v>41.266666666666652</v>
      </c>
      <c r="I25" s="34">
        <v>38.099999999999909</v>
      </c>
      <c r="J25" s="34">
        <v>37.850000000000023</v>
      </c>
      <c r="K25" s="34">
        <v>37.050000000000068</v>
      </c>
      <c r="L25" s="34">
        <v>34.162499999999966</v>
      </c>
      <c r="M25" s="34">
        <v>41.26666666666673</v>
      </c>
      <c r="N25" s="34">
        <v>30.650000000000091</v>
      </c>
      <c r="O25" s="34">
        <v>21</v>
      </c>
      <c r="P25" s="34">
        <v>26.699999999999932</v>
      </c>
      <c r="Q25" s="34">
        <v>41.049999999999955</v>
      </c>
      <c r="R25" s="34">
        <v>27.050000000000068</v>
      </c>
      <c r="S25" s="34">
        <v>48.25</v>
      </c>
      <c r="T25" s="34">
        <v>18.200000000000045</v>
      </c>
      <c r="U25" s="34">
        <v>35.30217391304349</v>
      </c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315</v>
      </c>
      <c r="B26" s="34">
        <v>28.549999999999955</v>
      </c>
      <c r="C26" s="34">
        <v>24.5</v>
      </c>
      <c r="D26" s="34">
        <v>19.050000000000068</v>
      </c>
      <c r="E26" s="34">
        <v>9.5999999999999091</v>
      </c>
      <c r="F26" s="34">
        <v>11.675000000000011</v>
      </c>
      <c r="G26" s="34">
        <v>4.2000000000000455</v>
      </c>
      <c r="H26" s="34">
        <v>14.474999999999966</v>
      </c>
      <c r="I26" s="34">
        <v>13</v>
      </c>
      <c r="J26" s="34">
        <v>25.099999999999984</v>
      </c>
      <c r="K26" s="34">
        <v>28.100000000000023</v>
      </c>
      <c r="L26" s="34">
        <v>4.9999999999954525E-2</v>
      </c>
      <c r="M26" s="34">
        <v>11.533333333333303</v>
      </c>
      <c r="N26" s="34">
        <v>5.8999999999999773</v>
      </c>
      <c r="O26" s="34">
        <v>14</v>
      </c>
      <c r="P26" s="34">
        <v>7.5499999999999545</v>
      </c>
      <c r="Q26" s="34">
        <v>18.649999999999977</v>
      </c>
      <c r="R26" s="34"/>
      <c r="S26" s="34">
        <v>8</v>
      </c>
      <c r="T26" s="34">
        <v>13.400000000000091</v>
      </c>
      <c r="U26" s="34">
        <v>12.86170212765956</v>
      </c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316</v>
      </c>
      <c r="B27" s="34">
        <v>42.5</v>
      </c>
      <c r="C27" s="34">
        <v>-9.9999999999909051E-2</v>
      </c>
      <c r="D27" s="34">
        <v>38.049999999999955</v>
      </c>
      <c r="E27" s="34">
        <v>32</v>
      </c>
      <c r="F27" s="34">
        <v>42.5</v>
      </c>
      <c r="G27" s="34">
        <v>32.900000000000091</v>
      </c>
      <c r="H27" s="34">
        <v>42.333333333333336</v>
      </c>
      <c r="I27" s="34">
        <v>10.199999999999818</v>
      </c>
      <c r="J27" s="34">
        <v>29.199999999999818</v>
      </c>
      <c r="K27" s="34">
        <v>45.899999999999942</v>
      </c>
      <c r="L27" s="34">
        <v>30.099999999999909</v>
      </c>
      <c r="M27" s="34">
        <v>28.799999999999955</v>
      </c>
      <c r="N27" s="34">
        <v>-34.649999999999977</v>
      </c>
      <c r="O27" s="34">
        <v>23.600000000000062</v>
      </c>
      <c r="P27" s="34">
        <v>21.900000000000091</v>
      </c>
      <c r="Q27" s="34">
        <v>13.699999999999818</v>
      </c>
      <c r="R27" s="34">
        <v>28</v>
      </c>
      <c r="S27" s="34">
        <v>25.633333333333365</v>
      </c>
      <c r="T27" s="34">
        <v>4.8000000000001819</v>
      </c>
      <c r="U27" s="34">
        <v>24.571111111111087</v>
      </c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317</v>
      </c>
      <c r="B28" s="34">
        <v>38.5</v>
      </c>
      <c r="C28" s="34">
        <v>5.5</v>
      </c>
      <c r="D28" s="34">
        <v>20.625</v>
      </c>
      <c r="E28" s="34">
        <v>22.049999999999955</v>
      </c>
      <c r="F28" s="34">
        <v>23.900000000000091</v>
      </c>
      <c r="G28" s="34">
        <v>17.5</v>
      </c>
      <c r="H28" s="34">
        <v>10.233333333333348</v>
      </c>
      <c r="I28" s="34">
        <v>14.599999999999909</v>
      </c>
      <c r="J28" s="34">
        <v>28.166666666666668</v>
      </c>
      <c r="K28" s="34">
        <v>90.800000000000182</v>
      </c>
      <c r="L28" s="34">
        <v>22.700000000000045</v>
      </c>
      <c r="M28" s="34">
        <v>25.400000000000034</v>
      </c>
      <c r="N28" s="34"/>
      <c r="O28" s="34">
        <v>23.566666666666681</v>
      </c>
      <c r="P28" s="34">
        <v>22.799999999999955</v>
      </c>
      <c r="Q28" s="34">
        <v>18</v>
      </c>
      <c r="R28" s="34">
        <v>25.449999999999932</v>
      </c>
      <c r="S28" s="34">
        <v>26.149999999999977</v>
      </c>
      <c r="T28" s="34">
        <v>15.5</v>
      </c>
      <c r="U28" s="34">
        <v>24.315000000000008</v>
      </c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353</v>
      </c>
      <c r="B29" s="34">
        <v>8.7999999999999545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>
        <v>21.299999999999955</v>
      </c>
      <c r="U29" s="34">
        <v>15.049999999999955</v>
      </c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345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>
        <v>3.7999999999999545</v>
      </c>
      <c r="M30" s="34"/>
      <c r="N30" s="34"/>
      <c r="O30" s="34">
        <v>-8.8999999999999773</v>
      </c>
      <c r="P30" s="34"/>
      <c r="Q30" s="34">
        <v>-4.7999999999999545</v>
      </c>
      <c r="R30" s="34"/>
      <c r="S30" s="34"/>
      <c r="T30" s="34"/>
      <c r="U30" s="34">
        <v>-0.46000000000001362</v>
      </c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351</v>
      </c>
      <c r="B31" s="34">
        <v>8.4857142857142662</v>
      </c>
      <c r="C31" s="34">
        <v>10.5</v>
      </c>
      <c r="D31" s="34">
        <v>5.6500000000000057</v>
      </c>
      <c r="E31" s="34">
        <v>7.2599999999999909</v>
      </c>
      <c r="F31" s="34">
        <v>8.7666666666666888</v>
      </c>
      <c r="G31" s="34">
        <v>6.1199999999999815</v>
      </c>
      <c r="H31" s="34">
        <v>11.399999999999977</v>
      </c>
      <c r="I31" s="34">
        <v>2.8500000000000227</v>
      </c>
      <c r="J31" s="34">
        <v>5.6500000000000057</v>
      </c>
      <c r="K31" s="34">
        <v>6.333333333333333</v>
      </c>
      <c r="L31" s="34"/>
      <c r="M31" s="34"/>
      <c r="N31" s="34">
        <v>6.7000000000000224</v>
      </c>
      <c r="O31" s="34">
        <v>5.3999999999999773</v>
      </c>
      <c r="P31" s="34">
        <v>6.5799999999999956</v>
      </c>
      <c r="Q31" s="34">
        <v>2</v>
      </c>
      <c r="R31" s="34"/>
      <c r="S31" s="34"/>
      <c r="T31" s="34">
        <v>5.8000000000000114</v>
      </c>
      <c r="U31" s="34">
        <v>6.933898305084746</v>
      </c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336</v>
      </c>
      <c r="B32" s="34"/>
      <c r="C32" s="34"/>
      <c r="D32" s="34"/>
      <c r="E32" s="34"/>
      <c r="F32" s="34"/>
      <c r="G32" s="34"/>
      <c r="H32" s="34">
        <v>29.25</v>
      </c>
      <c r="I32" s="34"/>
      <c r="J32" s="34">
        <v>-2</v>
      </c>
      <c r="K32" s="34">
        <v>22</v>
      </c>
      <c r="L32" s="34"/>
      <c r="M32" s="34"/>
      <c r="N32" s="34">
        <v>10.5</v>
      </c>
      <c r="O32" s="34"/>
      <c r="P32" s="34"/>
      <c r="Q32" s="34"/>
      <c r="R32" s="34">
        <v>4.5</v>
      </c>
      <c r="S32" s="34"/>
      <c r="T32" s="34"/>
      <c r="U32" s="34">
        <v>14.857142857142858</v>
      </c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318</v>
      </c>
      <c r="B33" s="34">
        <v>89.350000000000136</v>
      </c>
      <c r="C33" s="34">
        <v>70</v>
      </c>
      <c r="D33" s="34">
        <v>46.866666666666639</v>
      </c>
      <c r="E33" s="34">
        <v>15.599999999999909</v>
      </c>
      <c r="F33" s="34">
        <v>20.100000000000023</v>
      </c>
      <c r="G33" s="34"/>
      <c r="H33" s="34">
        <v>36.599999999999909</v>
      </c>
      <c r="I33" s="34"/>
      <c r="J33" s="34">
        <v>32.5</v>
      </c>
      <c r="K33" s="34">
        <v>51.450000000000045</v>
      </c>
      <c r="L33" s="34">
        <v>23.245454545454507</v>
      </c>
      <c r="M33" s="34">
        <v>24.800000000000068</v>
      </c>
      <c r="N33" s="34"/>
      <c r="O33" s="34"/>
      <c r="P33" s="34">
        <v>28.799999999999955</v>
      </c>
      <c r="Q33" s="34"/>
      <c r="R33" s="34"/>
      <c r="S33" s="34"/>
      <c r="T33" s="34"/>
      <c r="U33" s="34">
        <v>34.443333333333335</v>
      </c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349</v>
      </c>
      <c r="B34" s="34"/>
      <c r="C34" s="34"/>
      <c r="D34" s="34"/>
      <c r="E34" s="34"/>
      <c r="F34" s="34">
        <v>26.5</v>
      </c>
      <c r="G34" s="34"/>
      <c r="H34" s="34"/>
      <c r="I34" s="34"/>
      <c r="J34" s="34"/>
      <c r="K34" s="34"/>
      <c r="L34" s="34"/>
      <c r="M34" s="34">
        <v>22</v>
      </c>
      <c r="N34" s="34"/>
      <c r="O34" s="34"/>
      <c r="P34" s="34"/>
      <c r="Q34" s="34"/>
      <c r="R34" s="34"/>
      <c r="S34" s="34"/>
      <c r="T34" s="34"/>
      <c r="U34" s="34">
        <v>23.5</v>
      </c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367</v>
      </c>
      <c r="B35" s="34"/>
      <c r="C35" s="34"/>
      <c r="D35" s="34"/>
      <c r="E35" s="34"/>
      <c r="F35" s="34"/>
      <c r="G35" s="34"/>
      <c r="H35" s="34">
        <v>12.600000000000023</v>
      </c>
      <c r="I35" s="34"/>
      <c r="J35" s="34"/>
      <c r="K35" s="34"/>
      <c r="L35" s="34">
        <v>11.700000000000045</v>
      </c>
      <c r="M35" s="34"/>
      <c r="N35" s="34"/>
      <c r="O35" s="34"/>
      <c r="P35" s="34"/>
      <c r="Q35" s="34"/>
      <c r="R35" s="34"/>
      <c r="S35" s="34">
        <v>8.8999999999999773</v>
      </c>
      <c r="T35" s="34"/>
      <c r="U35" s="34">
        <v>11.53333333333336</v>
      </c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357</v>
      </c>
      <c r="B36" s="34"/>
      <c r="C36" s="34"/>
      <c r="D36" s="34"/>
      <c r="E36" s="34"/>
      <c r="F36" s="34"/>
      <c r="G36" s="34"/>
      <c r="H36" s="34"/>
      <c r="I36" s="34"/>
      <c r="J36" s="34">
        <v>7.9000000000000909</v>
      </c>
      <c r="K36" s="34"/>
      <c r="L36" s="34">
        <v>24.799999999999955</v>
      </c>
      <c r="M36" s="34">
        <v>14.400000000000091</v>
      </c>
      <c r="N36" s="34"/>
      <c r="O36" s="34">
        <v>28.099999999999909</v>
      </c>
      <c r="P36" s="34">
        <v>20.700000000000045</v>
      </c>
      <c r="Q36" s="34">
        <v>30.599999999999909</v>
      </c>
      <c r="R36" s="34">
        <v>36</v>
      </c>
      <c r="S36" s="34"/>
      <c r="T36" s="34"/>
      <c r="U36" s="34">
        <v>22.65</v>
      </c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358</v>
      </c>
      <c r="B37" s="34"/>
      <c r="C37" s="34"/>
      <c r="D37" s="34"/>
      <c r="E37" s="34"/>
      <c r="F37" s="34"/>
      <c r="G37" s="34"/>
      <c r="H37" s="34"/>
      <c r="I37" s="34"/>
      <c r="J37" s="34"/>
      <c r="K37" s="34">
        <v>168.5</v>
      </c>
      <c r="L37" s="34"/>
      <c r="M37" s="34"/>
      <c r="N37" s="34"/>
      <c r="O37" s="34"/>
      <c r="P37" s="34"/>
      <c r="Q37" s="34"/>
      <c r="R37" s="34"/>
      <c r="S37" s="34"/>
      <c r="T37" s="34"/>
      <c r="U37" s="34">
        <v>168.5</v>
      </c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377</v>
      </c>
      <c r="B38" s="34"/>
      <c r="C38" s="34"/>
      <c r="D38" s="34"/>
      <c r="E38" s="34"/>
      <c r="F38" s="34"/>
      <c r="G38" s="34"/>
      <c r="H38" s="34"/>
      <c r="I38" s="34"/>
      <c r="J38" s="34"/>
      <c r="K38" s="34">
        <v>21.5</v>
      </c>
      <c r="L38" s="34"/>
      <c r="M38" s="34"/>
      <c r="N38" s="34">
        <v>19.100000000000023</v>
      </c>
      <c r="O38" s="34"/>
      <c r="P38" s="34"/>
      <c r="Q38" s="34"/>
      <c r="R38" s="34"/>
      <c r="S38" s="34">
        <v>25.900000000000091</v>
      </c>
      <c r="T38" s="34"/>
      <c r="U38" s="34">
        <v>21.400000000000034</v>
      </c>
      <c r="V38"/>
      <c r="W38"/>
      <c r="X38"/>
      <c r="Y38"/>
      <c r="Z38"/>
      <c r="AA38"/>
      <c r="AB38"/>
      <c r="AC38"/>
    </row>
    <row r="39" spans="1:32" x14ac:dyDescent="0.25">
      <c r="A39" s="17" t="s">
        <v>369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>
        <v>52.800000000000182</v>
      </c>
      <c r="T39" s="34">
        <v>37.700000000000045</v>
      </c>
      <c r="U39" s="34">
        <v>45.250000000000114</v>
      </c>
      <c r="V39"/>
      <c r="W39"/>
      <c r="X39"/>
      <c r="Y39"/>
      <c r="Z39"/>
      <c r="AA39"/>
      <c r="AB39"/>
      <c r="AC39"/>
    </row>
    <row r="40" spans="1:32" x14ac:dyDescent="0.25">
      <c r="A40" s="17" t="s">
        <v>366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>
        <v>2.8999999999999773</v>
      </c>
      <c r="U40" s="34">
        <v>2.8999999999999773</v>
      </c>
      <c r="V40"/>
      <c r="W40"/>
      <c r="X40"/>
      <c r="Y40"/>
      <c r="Z40"/>
      <c r="AA40"/>
      <c r="AB40"/>
      <c r="AC40"/>
    </row>
    <row r="41" spans="1:32" x14ac:dyDescent="0.25">
      <c r="A41" s="12" t="s">
        <v>395</v>
      </c>
      <c r="B41" s="34"/>
      <c r="C41" s="34">
        <v>13.399999999999977</v>
      </c>
      <c r="D41" s="34">
        <v>7.2499999999999858</v>
      </c>
      <c r="E41" s="34">
        <v>4.1000000000000227</v>
      </c>
      <c r="F41" s="34">
        <v>11.5</v>
      </c>
      <c r="G41" s="34">
        <v>10.900000000000015</v>
      </c>
      <c r="H41" s="34">
        <v>2.5399999999999863</v>
      </c>
      <c r="I41" s="34">
        <v>5</v>
      </c>
      <c r="J41" s="34">
        <v>4.9799999999999951</v>
      </c>
      <c r="K41" s="34">
        <v>5.8666666666666742</v>
      </c>
      <c r="L41" s="34">
        <v>11.179999999999996</v>
      </c>
      <c r="M41" s="34">
        <v>4.8000000000000114</v>
      </c>
      <c r="N41" s="34">
        <v>8.9</v>
      </c>
      <c r="O41" s="34">
        <v>5.4499999999999886</v>
      </c>
      <c r="P41" s="34">
        <v>3.1000000000000227</v>
      </c>
      <c r="Q41" s="34">
        <v>7.3000000000000114</v>
      </c>
      <c r="R41" s="34">
        <v>21</v>
      </c>
      <c r="S41" s="34">
        <v>4.1000000000000227</v>
      </c>
      <c r="T41" s="34">
        <v>6.6333333333333258</v>
      </c>
      <c r="U41" s="34">
        <v>7.3438596491228054</v>
      </c>
      <c r="V41"/>
      <c r="W41"/>
      <c r="X41"/>
      <c r="Y41"/>
      <c r="Z41"/>
      <c r="AA41"/>
      <c r="AB41"/>
      <c r="AC41"/>
    </row>
    <row r="42" spans="1:32" x14ac:dyDescent="0.25">
      <c r="A42" s="17" t="s">
        <v>360</v>
      </c>
      <c r="B42" s="34"/>
      <c r="C42" s="34">
        <v>13.399999999999977</v>
      </c>
      <c r="D42" s="34">
        <v>4.6999999999999886</v>
      </c>
      <c r="E42" s="34">
        <v>1.6000000000000227</v>
      </c>
      <c r="F42" s="34">
        <v>11.949999999999989</v>
      </c>
      <c r="G42" s="34">
        <v>19.5</v>
      </c>
      <c r="H42" s="34"/>
      <c r="I42" s="34">
        <v>5</v>
      </c>
      <c r="J42" s="34">
        <v>9.7999999999999545</v>
      </c>
      <c r="K42" s="34"/>
      <c r="L42" s="34">
        <v>11.179999999999996</v>
      </c>
      <c r="M42" s="34">
        <v>6.3999999999999773</v>
      </c>
      <c r="N42" s="34"/>
      <c r="O42" s="34">
        <v>7.1000000000000227</v>
      </c>
      <c r="P42" s="34">
        <v>3.1000000000000227</v>
      </c>
      <c r="Q42" s="34"/>
      <c r="R42" s="34">
        <v>21</v>
      </c>
      <c r="S42" s="34"/>
      <c r="T42" s="34">
        <v>6.2000000000000455</v>
      </c>
      <c r="U42" s="34">
        <v>9.0208333333333286</v>
      </c>
      <c r="V42"/>
      <c r="W42"/>
      <c r="X42"/>
      <c r="Y42"/>
      <c r="Z42"/>
      <c r="AA42"/>
      <c r="AB42"/>
      <c r="AC42"/>
    </row>
    <row r="43" spans="1:32" x14ac:dyDescent="0.25">
      <c r="A43" s="17" t="s">
        <v>339</v>
      </c>
      <c r="B43" s="34"/>
      <c r="C43" s="34"/>
      <c r="D43" s="34">
        <v>9.7999999999999829</v>
      </c>
      <c r="E43" s="34">
        <v>6.6000000000000227</v>
      </c>
      <c r="F43" s="34">
        <v>10.600000000000023</v>
      </c>
      <c r="G43" s="34">
        <v>6.6000000000000227</v>
      </c>
      <c r="H43" s="34">
        <v>2.5399999999999863</v>
      </c>
      <c r="I43" s="34"/>
      <c r="J43" s="34">
        <v>3.7750000000000057</v>
      </c>
      <c r="K43" s="34">
        <v>5.8666666666666742</v>
      </c>
      <c r="L43" s="34"/>
      <c r="M43" s="34">
        <v>3.2000000000000455</v>
      </c>
      <c r="N43" s="34">
        <v>8.9</v>
      </c>
      <c r="O43" s="34">
        <v>3.7999999999999545</v>
      </c>
      <c r="P43" s="34"/>
      <c r="Q43" s="34">
        <v>7.3000000000000114</v>
      </c>
      <c r="R43" s="34"/>
      <c r="S43" s="34">
        <v>4.1000000000000227</v>
      </c>
      <c r="T43" s="34">
        <v>6.8499999999999659</v>
      </c>
      <c r="U43" s="34">
        <v>6.1242424242424249</v>
      </c>
      <c r="V43"/>
      <c r="W43"/>
      <c r="X43"/>
      <c r="Y43"/>
      <c r="Z43"/>
      <c r="AA43"/>
      <c r="AB43"/>
      <c r="AC43"/>
    </row>
    <row r="44" spans="1:32" x14ac:dyDescent="0.25">
      <c r="A44" s="12" t="s">
        <v>397</v>
      </c>
      <c r="B44" s="34">
        <v>-1</v>
      </c>
      <c r="C44" s="34"/>
      <c r="D44" s="34">
        <v>0.89999999999997726</v>
      </c>
      <c r="E44" s="34"/>
      <c r="F44" s="34">
        <v>4.3999999999999773</v>
      </c>
      <c r="G44" s="34"/>
      <c r="H44" s="34"/>
      <c r="I44" s="34"/>
      <c r="J44" s="34">
        <v>6.2999999999999545</v>
      </c>
      <c r="K44" s="34">
        <v>17.799999999999955</v>
      </c>
      <c r="L44" s="34"/>
      <c r="M44" s="34"/>
      <c r="N44" s="34"/>
      <c r="O44" s="34">
        <v>3</v>
      </c>
      <c r="P44" s="34"/>
      <c r="Q44" s="34"/>
      <c r="R44" s="34"/>
      <c r="S44" s="34"/>
      <c r="T44" s="34"/>
      <c r="U44" s="34">
        <v>4.342857142857123</v>
      </c>
      <c r="V44"/>
    </row>
    <row r="45" spans="1:32" x14ac:dyDescent="0.25">
      <c r="A45" s="12" t="s">
        <v>387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>
        <v>-7.7000000000000455</v>
      </c>
      <c r="N45" s="34"/>
      <c r="O45" s="34">
        <v>-4.2000000000000455</v>
      </c>
      <c r="P45" s="34"/>
      <c r="Q45" s="34"/>
      <c r="R45" s="34"/>
      <c r="S45" s="34"/>
      <c r="T45" s="34"/>
      <c r="U45" s="34">
        <v>-6.5333333333333785</v>
      </c>
      <c r="V45"/>
    </row>
    <row r="46" spans="1:32" x14ac:dyDescent="0.25">
      <c r="A46" s="17" t="s">
        <v>304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>
        <v>-7.7000000000000455</v>
      </c>
      <c r="N46" s="34"/>
      <c r="O46" s="34">
        <v>-4.2000000000000455</v>
      </c>
      <c r="P46" s="34"/>
      <c r="Q46" s="34"/>
      <c r="R46" s="34"/>
      <c r="S46" s="34"/>
      <c r="T46" s="34"/>
      <c r="U46" s="34">
        <v>-6.5333333333333785</v>
      </c>
      <c r="V46"/>
    </row>
    <row r="47" spans="1:32" x14ac:dyDescent="0.25">
      <c r="A47" s="12" t="s">
        <v>388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>
        <v>3.9000000000000909</v>
      </c>
      <c r="S47" s="34"/>
      <c r="T47" s="34"/>
      <c r="U47" s="34">
        <v>3.9000000000000909</v>
      </c>
      <c r="V47"/>
    </row>
    <row r="48" spans="1:32" x14ac:dyDescent="0.25">
      <c r="A48" s="17" t="s">
        <v>305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>
        <v>3.9000000000000909</v>
      </c>
      <c r="S48" s="34"/>
      <c r="T48" s="34"/>
      <c r="U48" s="34">
        <v>3.9000000000000909</v>
      </c>
      <c r="V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U48">
    <cfRule type="cellIs" dxfId="7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4"/>
      <c r="C7" s="34">
        <v>21.394736842105281</v>
      </c>
      <c r="D7" s="34">
        <v>17.001538461538445</v>
      </c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4"/>
      <c r="C8" s="34">
        <v>38.740000000000144</v>
      </c>
      <c r="D8" s="34">
        <v>-2.0700000000000727</v>
      </c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4"/>
      <c r="C9" s="34">
        <v>-8.1000000000000227</v>
      </c>
      <c r="D9" s="34">
        <v>21.025000000000006</v>
      </c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4"/>
      <c r="C10" s="34">
        <v>0.60000000000002274</v>
      </c>
      <c r="D10" s="34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4"/>
      <c r="C11" s="34">
        <v>8</v>
      </c>
      <c r="D11" s="34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4"/>
      <c r="C12" s="34">
        <v>-10.149999999999864</v>
      </c>
      <c r="D12" s="34">
        <v>21.875</v>
      </c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4"/>
      <c r="C13" s="34">
        <v>11.559999999999976</v>
      </c>
      <c r="D13" s="34">
        <v>7.9954545454544874</v>
      </c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4"/>
      <c r="C14" s="34">
        <v>33</v>
      </c>
      <c r="D14" s="34">
        <v>37.600000000000058</v>
      </c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4"/>
      <c r="C15" s="34">
        <v>138.5</v>
      </c>
      <c r="D15" s="34">
        <v>134.5</v>
      </c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4"/>
      <c r="C16" s="34">
        <v>15.800000000000011</v>
      </c>
      <c r="D16" s="34">
        <v>6.1000000000000227</v>
      </c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4"/>
      <c r="C17" s="34">
        <v>4.7428571428571491</v>
      </c>
      <c r="D17" s="34">
        <v>1.0600000000000136</v>
      </c>
      <c r="E17"/>
      <c r="F17"/>
      <c r="G17"/>
    </row>
    <row r="18" spans="1:7" x14ac:dyDescent="0.25">
      <c r="A18" s="12" t="s">
        <v>386</v>
      </c>
      <c r="B18" s="34">
        <v>17.600000000000023</v>
      </c>
      <c r="C18" s="34">
        <v>20.179268292682931</v>
      </c>
      <c r="D18" s="34">
        <v>15.644848484848488</v>
      </c>
      <c r="E18"/>
      <c r="F18"/>
      <c r="G18"/>
    </row>
    <row r="19" spans="1:7" x14ac:dyDescent="0.25">
      <c r="A19" s="12" t="s">
        <v>396</v>
      </c>
      <c r="B19" s="34"/>
      <c r="C19" s="34">
        <v>25.79553191489364</v>
      </c>
      <c r="D19" s="34">
        <v>21.277290836653385</v>
      </c>
      <c r="E19"/>
      <c r="F19"/>
      <c r="G19"/>
    </row>
    <row r="20" spans="1:7" x14ac:dyDescent="0.25">
      <c r="A20" s="17" t="s">
        <v>352</v>
      </c>
      <c r="B20" s="34"/>
      <c r="C20" s="34">
        <v>6.3551724137931176</v>
      </c>
      <c r="D20" s="34">
        <v>6.0263157894736841</v>
      </c>
    </row>
    <row r="21" spans="1:7" x14ac:dyDescent="0.25">
      <c r="A21" s="17" t="s">
        <v>313</v>
      </c>
      <c r="B21" s="34"/>
      <c r="C21" s="34">
        <v>50.584782608695647</v>
      </c>
      <c r="D21" s="34">
        <v>28.560416666666658</v>
      </c>
    </row>
    <row r="22" spans="1:7" x14ac:dyDescent="0.25">
      <c r="A22" s="17" t="s">
        <v>344</v>
      </c>
      <c r="B22" s="34"/>
      <c r="C22" s="34">
        <v>8.4809523809523881</v>
      </c>
      <c r="D22" s="34">
        <v>7.2923076923077064</v>
      </c>
    </row>
    <row r="23" spans="1:7" x14ac:dyDescent="0.25">
      <c r="A23" s="17" t="s">
        <v>356</v>
      </c>
      <c r="B23" s="34"/>
      <c r="C23" s="34">
        <v>25.700000000000045</v>
      </c>
      <c r="D23" s="34">
        <v>32.375000000000043</v>
      </c>
    </row>
    <row r="24" spans="1:7" x14ac:dyDescent="0.25">
      <c r="A24" s="17" t="s">
        <v>314</v>
      </c>
      <c r="B24" s="34"/>
      <c r="C24" s="34">
        <v>44.164705882352955</v>
      </c>
      <c r="D24" s="34">
        <v>35.30217391304349</v>
      </c>
    </row>
    <row r="25" spans="1:7" x14ac:dyDescent="0.25">
      <c r="A25" s="17" t="s">
        <v>315</v>
      </c>
      <c r="B25" s="34"/>
      <c r="C25" s="34">
        <v>21.250000000000011</v>
      </c>
      <c r="D25" s="34">
        <v>12.86170212765956</v>
      </c>
    </row>
    <row r="26" spans="1:7" x14ac:dyDescent="0.25">
      <c r="A26" s="17" t="s">
        <v>316</v>
      </c>
      <c r="B26" s="34"/>
      <c r="C26" s="34">
        <v>24.81923076923076</v>
      </c>
      <c r="D26" s="34">
        <v>24.571111111111087</v>
      </c>
    </row>
    <row r="27" spans="1:7" x14ac:dyDescent="0.25">
      <c r="A27" s="17" t="s">
        <v>317</v>
      </c>
      <c r="B27" s="34"/>
      <c r="C27" s="34">
        <v>31.328000000000003</v>
      </c>
      <c r="D27" s="34">
        <v>24.315000000000008</v>
      </c>
    </row>
    <row r="28" spans="1:7" x14ac:dyDescent="0.25">
      <c r="A28" s="17" t="s">
        <v>353</v>
      </c>
      <c r="B28" s="34"/>
      <c r="C28" s="34">
        <v>20.900000000000034</v>
      </c>
      <c r="D28" s="34">
        <v>15.049999999999955</v>
      </c>
    </row>
    <row r="29" spans="1:7" x14ac:dyDescent="0.25">
      <c r="A29" s="17" t="s">
        <v>345</v>
      </c>
      <c r="B29" s="34"/>
      <c r="C29" s="34">
        <v>0.69999999999998863</v>
      </c>
      <c r="D29" s="34">
        <v>-0.46000000000001362</v>
      </c>
    </row>
    <row r="30" spans="1:7" x14ac:dyDescent="0.25">
      <c r="A30" s="17" t="s">
        <v>351</v>
      </c>
      <c r="B30" s="34"/>
      <c r="C30" s="34">
        <v>9.1985714285714195</v>
      </c>
      <c r="D30" s="34">
        <v>6.933898305084746</v>
      </c>
    </row>
    <row r="31" spans="1:7" x14ac:dyDescent="0.25">
      <c r="A31" s="17" t="s">
        <v>336</v>
      </c>
      <c r="B31" s="34"/>
      <c r="C31" s="34">
        <v>82</v>
      </c>
      <c r="D31" s="34">
        <v>14.857142857142858</v>
      </c>
    </row>
    <row r="32" spans="1:7" x14ac:dyDescent="0.25">
      <c r="A32" s="17" t="s">
        <v>318</v>
      </c>
      <c r="B32" s="34"/>
      <c r="C32" s="34"/>
      <c r="D32" s="34">
        <v>34.443333333333335</v>
      </c>
    </row>
    <row r="33" spans="1:4" x14ac:dyDescent="0.25">
      <c r="A33" s="17" t="s">
        <v>349</v>
      </c>
      <c r="B33" s="34"/>
      <c r="C33" s="34"/>
      <c r="D33" s="34">
        <v>23.5</v>
      </c>
    </row>
    <row r="34" spans="1:4" x14ac:dyDescent="0.25">
      <c r="A34" s="17" t="s">
        <v>367</v>
      </c>
      <c r="B34" s="34"/>
      <c r="C34" s="34"/>
      <c r="D34" s="34">
        <v>11.53333333333336</v>
      </c>
    </row>
    <row r="35" spans="1:4" x14ac:dyDescent="0.25">
      <c r="A35" s="17" t="s">
        <v>357</v>
      </c>
      <c r="B35" s="34"/>
      <c r="C35" s="34"/>
      <c r="D35" s="34">
        <v>22.65</v>
      </c>
    </row>
    <row r="36" spans="1:4" x14ac:dyDescent="0.25">
      <c r="A36" s="32" t="s">
        <v>26</v>
      </c>
      <c r="B36" s="34"/>
      <c r="C36" s="34"/>
      <c r="D36" s="34">
        <v>22.65</v>
      </c>
    </row>
    <row r="37" spans="1:4" x14ac:dyDescent="0.25">
      <c r="A37" s="17" t="s">
        <v>358</v>
      </c>
      <c r="B37" s="34"/>
      <c r="C37" s="34"/>
      <c r="D37" s="34">
        <v>168.5</v>
      </c>
    </row>
    <row r="38" spans="1:4" x14ac:dyDescent="0.25">
      <c r="A38" s="32" t="s">
        <v>26</v>
      </c>
      <c r="B38" s="34"/>
      <c r="C38" s="34"/>
      <c r="D38" s="34">
        <v>168.5</v>
      </c>
    </row>
    <row r="39" spans="1:4" x14ac:dyDescent="0.25">
      <c r="A39" s="17" t="s">
        <v>377</v>
      </c>
      <c r="B39" s="34"/>
      <c r="C39" s="34"/>
      <c r="D39" s="34">
        <v>21.400000000000034</v>
      </c>
    </row>
    <row r="40" spans="1:4" x14ac:dyDescent="0.25">
      <c r="A40" s="32" t="s">
        <v>142</v>
      </c>
      <c r="B40" s="34"/>
      <c r="C40" s="34"/>
      <c r="D40" s="34">
        <v>21.5</v>
      </c>
    </row>
    <row r="41" spans="1:4" x14ac:dyDescent="0.25">
      <c r="A41" s="32" t="s">
        <v>26</v>
      </c>
      <c r="B41" s="34"/>
      <c r="C41" s="34"/>
      <c r="D41" s="34">
        <v>21.366666666666713</v>
      </c>
    </row>
    <row r="42" spans="1:4" x14ac:dyDescent="0.25">
      <c r="A42" s="17" t="s">
        <v>369</v>
      </c>
      <c r="B42" s="34"/>
      <c r="C42" s="34"/>
      <c r="D42" s="34">
        <v>45.250000000000114</v>
      </c>
    </row>
    <row r="43" spans="1:4" x14ac:dyDescent="0.25">
      <c r="A43" s="32" t="s">
        <v>142</v>
      </c>
      <c r="B43" s="34"/>
      <c r="C43" s="34"/>
      <c r="D43" s="34">
        <v>52.800000000000182</v>
      </c>
    </row>
    <row r="44" spans="1:4" x14ac:dyDescent="0.25">
      <c r="A44" s="32" t="s">
        <v>26</v>
      </c>
      <c r="B44" s="34"/>
      <c r="C44" s="34"/>
      <c r="D44" s="34">
        <v>37.700000000000045</v>
      </c>
    </row>
    <row r="45" spans="1:4" x14ac:dyDescent="0.25">
      <c r="A45" s="17" t="s">
        <v>366</v>
      </c>
      <c r="B45" s="34"/>
      <c r="C45" s="34"/>
      <c r="D45" s="34">
        <v>2.8999999999999773</v>
      </c>
    </row>
    <row r="46" spans="1:4" x14ac:dyDescent="0.25">
      <c r="A46" s="32" t="s">
        <v>26</v>
      </c>
      <c r="B46" s="34"/>
      <c r="C46" s="34"/>
      <c r="D46" s="34">
        <v>2.8999999999999773</v>
      </c>
    </row>
    <row r="47" spans="1:4" x14ac:dyDescent="0.25">
      <c r="A47" s="12" t="s">
        <v>395</v>
      </c>
      <c r="B47" s="34"/>
      <c r="C47" s="34">
        <v>11.725000000000009</v>
      </c>
      <c r="D47" s="34">
        <v>7.3438596491228054</v>
      </c>
    </row>
    <row r="48" spans="1:4" x14ac:dyDescent="0.25">
      <c r="A48" s="12" t="s">
        <v>401</v>
      </c>
      <c r="B48" s="34"/>
      <c r="C48" s="34">
        <v>42.5</v>
      </c>
      <c r="D48" s="34"/>
    </row>
    <row r="49" spans="1:4" x14ac:dyDescent="0.25">
      <c r="A49" s="17" t="s">
        <v>361</v>
      </c>
      <c r="B49" s="34"/>
      <c r="C49" s="34">
        <v>42.5</v>
      </c>
      <c r="D49" s="34"/>
    </row>
    <row r="50" spans="1:4" x14ac:dyDescent="0.25">
      <c r="A50" s="12" t="s">
        <v>397</v>
      </c>
      <c r="B50" s="34"/>
      <c r="C50" s="34"/>
      <c r="D50" s="34">
        <v>4.342857142857123</v>
      </c>
    </row>
    <row r="51" spans="1:4" x14ac:dyDescent="0.25">
      <c r="A51" s="17" t="s">
        <v>322</v>
      </c>
      <c r="B51" s="34"/>
      <c r="C51" s="34"/>
      <c r="D51" s="34">
        <v>4.342857142857123</v>
      </c>
    </row>
    <row r="52" spans="1:4" x14ac:dyDescent="0.25">
      <c r="A52" s="12" t="s">
        <v>387</v>
      </c>
      <c r="B52" s="34"/>
      <c r="C52" s="34"/>
      <c r="D52" s="34">
        <v>-6.5333333333333785</v>
      </c>
    </row>
    <row r="53" spans="1:4" x14ac:dyDescent="0.25">
      <c r="A53" s="17" t="s">
        <v>304</v>
      </c>
      <c r="B53" s="34"/>
      <c r="C53" s="34"/>
      <c r="D53" s="34">
        <v>-6.5333333333333785</v>
      </c>
    </row>
    <row r="54" spans="1:4" x14ac:dyDescent="0.25">
      <c r="A54" s="32" t="s">
        <v>142</v>
      </c>
      <c r="B54" s="34"/>
      <c r="C54" s="34"/>
      <c r="D54" s="34">
        <v>-6.5333333333333785</v>
      </c>
    </row>
    <row r="55" spans="1:4" x14ac:dyDescent="0.25">
      <c r="A55" s="12" t="s">
        <v>388</v>
      </c>
      <c r="B55" s="34"/>
      <c r="C55" s="34"/>
      <c r="D55" s="34">
        <v>3.9000000000000909</v>
      </c>
    </row>
    <row r="56" spans="1:4" x14ac:dyDescent="0.25">
      <c r="A56" s="17" t="s">
        <v>305</v>
      </c>
      <c r="B56" s="34"/>
      <c r="C56" s="34"/>
      <c r="D56" s="34">
        <v>3.9000000000000909</v>
      </c>
    </row>
    <row r="57" spans="1:4" x14ac:dyDescent="0.25">
      <c r="A57" s="32" t="s">
        <v>26</v>
      </c>
      <c r="B57" s="34"/>
      <c r="C57" s="34"/>
      <c r="D57" s="34">
        <v>3.9000000000000909</v>
      </c>
    </row>
    <row r="58" spans="1:4" x14ac:dyDescent="0.25">
      <c r="A58" s="12" t="s">
        <v>409</v>
      </c>
      <c r="B58" s="34">
        <v>17.600000000000023</v>
      </c>
      <c r="C58" s="34">
        <v>23.447843665768193</v>
      </c>
      <c r="D58" s="34">
        <v>18.39291925465837</v>
      </c>
    </row>
  </sheetData>
  <conditionalFormatting pivot="1" sqref="B8:D16 B20:D35 B37:D37 B39:D39 B42:D42 B45:D45 B49:D49 B51:D51 B53:D53 B56:D56">
    <cfRule type="cellIs" dxfId="5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178"/>
  <sheetViews>
    <sheetView topLeftCell="C1143" workbookViewId="0">
      <selection activeCell="D1172" sqref="D1172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7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7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7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7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9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9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9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9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9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9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9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9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9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9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9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9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9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9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9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9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9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9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9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9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9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9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9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9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9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9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9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9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9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9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9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9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9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9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9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9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9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9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9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9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9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9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9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9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9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9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9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9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9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9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9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9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7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9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9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9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9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9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9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9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9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9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7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9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9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9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9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9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9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9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9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9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9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9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9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9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9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9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9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9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9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9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9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9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9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9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9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9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9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9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9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9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9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9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9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9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9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9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9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9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9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9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9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9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9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9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1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1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1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1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1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1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1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1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1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1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1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1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1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1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1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1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1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1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1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1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1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1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1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1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1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1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1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1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1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1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1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1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1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1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1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1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1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1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1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1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1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1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1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1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1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1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1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1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1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1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1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1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1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1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1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1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1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1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1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1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1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1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1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1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1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1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1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1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1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1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1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1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1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1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1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1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1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1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1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1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1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1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1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1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1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1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1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1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1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1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1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1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1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1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1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1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7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31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31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31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31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31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31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31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31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31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31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31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31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31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31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31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31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31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31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31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31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31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31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31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31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31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31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31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31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31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31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31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31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31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31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31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31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31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31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31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31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31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31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31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31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31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31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31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31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31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31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31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31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31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31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31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31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31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31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31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31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31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31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31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31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31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31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31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31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31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31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31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31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31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31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31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31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31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31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31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31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31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31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31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31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31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31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31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31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31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31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31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31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31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31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31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31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31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31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31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31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31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31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31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31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31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31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31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31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31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31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31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31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31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31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31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31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31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31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31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31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31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31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31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31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31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31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31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31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31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31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31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31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31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31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31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31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7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3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3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3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3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3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3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3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3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3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3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3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3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3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3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3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3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3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3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3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3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3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3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3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3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3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3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3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3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3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3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3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3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3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3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3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3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3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3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3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3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3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3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3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3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3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3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3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3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3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3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3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3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3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3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7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3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3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3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3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3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3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3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3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3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3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3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3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3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3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3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3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3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3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3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3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3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3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3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3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3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3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3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3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3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3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3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3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3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3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3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3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3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3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3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3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3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3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3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3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3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3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3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3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3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3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7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3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3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3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3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3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3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3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3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3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3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3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3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3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3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3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3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3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3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3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3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3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3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3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3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3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</sheetData>
  <conditionalFormatting sqref="K2:T1178">
    <cfRule type="cellIs" dxfId="53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A17" sqref="A17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2026-09-29T12:13:08Z</dcterms:modified>
  <cp:category/>
</cp:coreProperties>
</file>