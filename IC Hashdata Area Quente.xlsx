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83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3" i="1" l="1"/>
  <c r="B323" i="1" s="1"/>
  <c r="A324" i="1"/>
  <c r="A325" i="1"/>
  <c r="B325" i="1" s="1"/>
  <c r="A326" i="1"/>
  <c r="B326" i="1" s="1"/>
  <c r="A327" i="1"/>
  <c r="B327" i="1" s="1"/>
  <c r="A328" i="1"/>
  <c r="B328" i="1" s="1"/>
  <c r="A329" i="1"/>
  <c r="B329" i="1" s="1"/>
  <c r="B324" i="1"/>
  <c r="A316" i="1" l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09" i="1" l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02" i="1" l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288" i="1" l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A301" i="1"/>
  <c r="B301" i="1" s="1"/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B267" i="1" s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T82" i="2"/>
  <c r="AL83" i="2"/>
  <c r="AH83" i="2"/>
  <c r="AB82" i="2"/>
  <c r="W83" i="2"/>
  <c r="U83" i="2"/>
  <c r="V81" i="2"/>
  <c r="AA82" i="2"/>
  <c r="R82" i="2"/>
  <c r="AD81" i="2"/>
  <c r="S83" i="2"/>
  <c r="AB81" i="2"/>
  <c r="Y83" i="2"/>
  <c r="Z83" i="2"/>
  <c r="AD82" i="2"/>
  <c r="Y82" i="2"/>
  <c r="AE82" i="2"/>
  <c r="V83" i="2"/>
  <c r="R81" i="2"/>
  <c r="AJ82" i="2"/>
  <c r="T81" i="2"/>
  <c r="AH81" i="2"/>
  <c r="AD83" i="2"/>
  <c r="S81" i="2"/>
  <c r="W82" i="2"/>
  <c r="AL81" i="2"/>
  <c r="S82" i="2"/>
  <c r="AA83" i="2"/>
  <c r="AC82" i="2"/>
  <c r="AC81" i="2"/>
  <c r="AF82" i="2"/>
  <c r="AI81" i="2"/>
  <c r="R83" i="2"/>
  <c r="AJ83" i="2"/>
  <c r="Z82" i="2"/>
  <c r="AF83" i="2"/>
  <c r="AL82" i="2"/>
  <c r="Z81" i="2"/>
  <c r="AE83" i="2"/>
  <c r="AJ81" i="2"/>
  <c r="AK83" i="2"/>
  <c r="W81" i="2"/>
  <c r="AA81" i="2"/>
  <c r="AG83" i="2"/>
  <c r="AI82" i="2"/>
  <c r="AG81" i="2"/>
  <c r="AE81" i="2"/>
  <c r="AH82" i="2"/>
  <c r="AG82" i="2"/>
  <c r="AK81" i="2"/>
  <c r="X83" i="2"/>
  <c r="U82" i="2"/>
  <c r="AM82" i="2"/>
  <c r="AI83" i="2"/>
  <c r="X81" i="2"/>
  <c r="AF81" i="2"/>
  <c r="AM81" i="2"/>
  <c r="AC83" i="2"/>
  <c r="AM83" i="2"/>
  <c r="V82" i="2"/>
  <c r="AK82" i="2"/>
  <c r="T83" i="2"/>
  <c r="U81" i="2"/>
  <c r="Y81" i="2"/>
  <c r="X82" i="2"/>
  <c r="AB83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J83" i="2"/>
  <c r="M82" i="2"/>
  <c r="F82" i="2"/>
  <c r="I83" i="2"/>
  <c r="N81" i="2"/>
  <c r="E83" i="2"/>
  <c r="N83" i="2"/>
  <c r="P83" i="2"/>
  <c r="P81" i="2"/>
  <c r="O81" i="2"/>
  <c r="G81" i="2"/>
  <c r="K83" i="2"/>
  <c r="F81" i="2"/>
  <c r="N82" i="2"/>
  <c r="L81" i="2"/>
  <c r="I82" i="2"/>
  <c r="G83" i="2"/>
  <c r="O82" i="2"/>
  <c r="E81" i="2"/>
  <c r="G82" i="2"/>
  <c r="H81" i="2"/>
  <c r="K82" i="2"/>
  <c r="E82" i="2"/>
  <c r="I81" i="2"/>
  <c r="K81" i="2"/>
  <c r="H83" i="2"/>
  <c r="J82" i="2"/>
  <c r="L83" i="2"/>
  <c r="J81" i="2"/>
  <c r="M81" i="2"/>
  <c r="P82" i="2"/>
  <c r="F83" i="2"/>
  <c r="O83" i="2"/>
  <c r="L82" i="2"/>
  <c r="H82" i="2"/>
  <c r="M83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W46" i="2"/>
  <c r="Y69" i="2"/>
  <c r="U66" i="2"/>
  <c r="X19" i="2"/>
  <c r="AF33" i="2"/>
  <c r="Y42" i="2"/>
  <c r="Y66" i="2"/>
  <c r="AC20" i="2"/>
  <c r="AE41" i="2"/>
  <c r="AJ57" i="2"/>
  <c r="G45" i="2"/>
  <c r="R62" i="2"/>
  <c r="AE57" i="2"/>
  <c r="I25" i="2"/>
  <c r="T50" i="2"/>
  <c r="E50" i="2"/>
  <c r="AD57" i="2"/>
  <c r="E27" i="2"/>
  <c r="X65" i="2"/>
  <c r="R76" i="2"/>
  <c r="T53" i="2"/>
  <c r="S52" i="2"/>
  <c r="AA42" i="2"/>
  <c r="AF55" i="2"/>
  <c r="K24" i="2"/>
  <c r="AB44" i="2"/>
  <c r="Z21" i="2"/>
  <c r="K6" i="2"/>
  <c r="Y16" i="2"/>
  <c r="E79" i="2"/>
  <c r="J61" i="2"/>
  <c r="W35" i="2"/>
  <c r="Z79" i="2"/>
  <c r="H26" i="2"/>
  <c r="AB52" i="2"/>
  <c r="AA27" i="2"/>
  <c r="M13" i="2"/>
  <c r="Y68" i="2"/>
  <c r="S30" i="2"/>
  <c r="AH60" i="2"/>
  <c r="AM56" i="2"/>
  <c r="R66" i="2"/>
  <c r="V29" i="2"/>
  <c r="F48" i="2"/>
  <c r="J52" i="2"/>
  <c r="O72" i="2"/>
  <c r="Y15" i="2"/>
  <c r="Y73" i="2"/>
  <c r="V62" i="2"/>
  <c r="X58" i="2"/>
  <c r="AE56" i="2"/>
  <c r="Z5" i="2"/>
  <c r="AC50" i="2"/>
  <c r="J75" i="2"/>
  <c r="AI22" i="2"/>
  <c r="E33" i="2"/>
  <c r="E16" i="2"/>
  <c r="AL30" i="2"/>
  <c r="W72" i="2"/>
  <c r="E32" i="2"/>
  <c r="H10" i="2"/>
  <c r="N52" i="2"/>
  <c r="AD49" i="2"/>
  <c r="N31" i="2"/>
  <c r="AM4" i="2"/>
  <c r="AG8" i="2"/>
  <c r="R27" i="2"/>
  <c r="AB57" i="2"/>
  <c r="U58" i="2"/>
  <c r="Y48" i="2"/>
  <c r="X11" i="2"/>
  <c r="P22" i="2"/>
  <c r="F17" i="2"/>
  <c r="AH37" i="2"/>
  <c r="X34" i="2"/>
  <c r="AC18" i="2"/>
  <c r="T20" i="2"/>
  <c r="X15" i="2"/>
  <c r="L12" i="2"/>
  <c r="AB71" i="2"/>
  <c r="Z51" i="2"/>
  <c r="E35" i="2"/>
  <c r="V51" i="2"/>
  <c r="K70" i="2"/>
  <c r="N49" i="2"/>
  <c r="K54" i="2"/>
  <c r="AL45" i="2"/>
  <c r="N73" i="2"/>
  <c r="AA12" i="2"/>
  <c r="U47" i="2"/>
  <c r="AI44" i="2"/>
  <c r="M15" i="2"/>
  <c r="AI34" i="2"/>
  <c r="X39" i="2"/>
  <c r="AC19" i="2"/>
  <c r="Y27" i="2"/>
  <c r="W21" i="2"/>
  <c r="P63" i="2"/>
  <c r="J71" i="2"/>
  <c r="AI55" i="2"/>
  <c r="S48" i="2"/>
  <c r="H32" i="2"/>
  <c r="Y77" i="2"/>
  <c r="Y50" i="2"/>
  <c r="H22" i="2"/>
  <c r="AM33" i="2"/>
  <c r="W42" i="2"/>
  <c r="T70" i="2"/>
  <c r="N9" i="2"/>
  <c r="AL26" i="2"/>
  <c r="T62" i="2"/>
  <c r="J50" i="2"/>
  <c r="V61" i="2"/>
  <c r="I50" i="2"/>
  <c r="J63" i="2"/>
  <c r="S26" i="2"/>
  <c r="G54" i="2"/>
  <c r="AK28" i="2"/>
  <c r="AF20" i="2"/>
  <c r="AH67" i="2"/>
  <c r="AC8" i="2"/>
  <c r="N42" i="2"/>
  <c r="L29" i="2"/>
  <c r="F36" i="2"/>
  <c r="P72" i="2"/>
  <c r="G75" i="2"/>
  <c r="U9" i="2"/>
  <c r="AK6" i="2"/>
  <c r="AB10" i="2"/>
  <c r="AF77" i="2"/>
  <c r="G47" i="2"/>
  <c r="AK22" i="2"/>
  <c r="AH23" i="2"/>
  <c r="Z67" i="2"/>
  <c r="AE34" i="2"/>
  <c r="W4" i="2"/>
  <c r="X28" i="2"/>
  <c r="AJ33" i="2"/>
  <c r="AG19" i="2"/>
  <c r="AA78" i="2"/>
  <c r="U78" i="2"/>
  <c r="O68" i="2"/>
  <c r="F55" i="2"/>
  <c r="AC7" i="2"/>
  <c r="I53" i="2"/>
  <c r="M7" i="2"/>
  <c r="F27" i="2"/>
  <c r="AE75" i="2"/>
  <c r="R29" i="2"/>
  <c r="K15" i="2"/>
  <c r="H6" i="2"/>
  <c r="AA8" i="2"/>
  <c r="W23" i="2"/>
  <c r="AF60" i="2"/>
  <c r="AG55" i="2"/>
  <c r="V35" i="2"/>
  <c r="E14" i="2"/>
  <c r="G69" i="2"/>
  <c r="T69" i="2"/>
  <c r="W14" i="2"/>
  <c r="G44" i="2"/>
  <c r="Z29" i="2"/>
  <c r="AH71" i="2"/>
  <c r="M17" i="2"/>
  <c r="H20" i="2"/>
  <c r="AK55" i="2"/>
  <c r="W6" i="2"/>
  <c r="I22" i="2"/>
  <c r="AG24" i="2"/>
  <c r="R41" i="2"/>
  <c r="N50" i="2"/>
  <c r="AI32" i="2"/>
  <c r="W40" i="2"/>
  <c r="G58" i="2"/>
  <c r="Z28" i="2"/>
  <c r="V47" i="2"/>
  <c r="F31" i="2"/>
  <c r="AA5" i="2"/>
  <c r="AJ37" i="2"/>
  <c r="AB79" i="2"/>
  <c r="AA11" i="2"/>
  <c r="Z34" i="2"/>
  <c r="AM29" i="2"/>
  <c r="Y74" i="2"/>
  <c r="AE48" i="2"/>
  <c r="H29" i="2"/>
  <c r="H46" i="2"/>
  <c r="AA26" i="2"/>
  <c r="AM20" i="2"/>
  <c r="P73" i="2"/>
  <c r="AC65" i="2"/>
  <c r="AC67" i="2"/>
  <c r="AI37" i="2"/>
  <c r="Z4" i="2"/>
  <c r="F16" i="2"/>
  <c r="L21" i="2"/>
  <c r="AF19" i="2"/>
  <c r="AC32" i="2"/>
  <c r="F29" i="2"/>
  <c r="S67" i="2"/>
  <c r="V58" i="2"/>
  <c r="O60" i="2"/>
  <c r="Y64" i="2"/>
  <c r="I60" i="2"/>
  <c r="X64" i="2"/>
  <c r="Z39" i="2"/>
  <c r="W53" i="2"/>
  <c r="AB47" i="2"/>
  <c r="H15" i="2"/>
  <c r="AL69" i="2"/>
  <c r="S58" i="2"/>
  <c r="F62" i="2"/>
  <c r="W45" i="2"/>
  <c r="V79" i="2"/>
  <c r="T17" i="2"/>
  <c r="AM66" i="2"/>
  <c r="G77" i="2"/>
  <c r="W32" i="2"/>
  <c r="AI8" i="2"/>
  <c r="L41" i="2"/>
  <c r="AL80" i="2"/>
  <c r="AI52" i="2"/>
  <c r="M71" i="2"/>
  <c r="AK72" i="2"/>
  <c r="N33" i="2"/>
  <c r="T29" i="2"/>
  <c r="M59" i="2"/>
  <c r="G39" i="2"/>
  <c r="E36" i="2"/>
  <c r="AK63" i="2"/>
  <c r="V74" i="2"/>
  <c r="X24" i="2"/>
  <c r="R69" i="2"/>
  <c r="AI14" i="2"/>
  <c r="J55" i="2"/>
  <c r="I77" i="2"/>
  <c r="L44" i="2"/>
  <c r="AJ10" i="2"/>
  <c r="AI67" i="2"/>
  <c r="E74" i="2"/>
  <c r="T44" i="2"/>
  <c r="AL57" i="2"/>
  <c r="AA17" i="2"/>
  <c r="AB45" i="2"/>
  <c r="M28" i="2"/>
  <c r="M36" i="2"/>
  <c r="AM54" i="2"/>
  <c r="AC41" i="2"/>
  <c r="H44" i="2"/>
  <c r="F71" i="2"/>
  <c r="I38" i="2"/>
  <c r="U7" i="2"/>
  <c r="AD63" i="2"/>
  <c r="AE65" i="2"/>
  <c r="AK14" i="2"/>
  <c r="AJ63" i="2"/>
  <c r="AG40" i="2"/>
  <c r="T64" i="2"/>
  <c r="J9" i="2"/>
  <c r="O27" i="2"/>
  <c r="T65" i="2"/>
  <c r="Z9" i="2"/>
  <c r="P32" i="2"/>
  <c r="K65" i="2"/>
  <c r="E51" i="2"/>
  <c r="L46" i="2"/>
  <c r="K25" i="2"/>
  <c r="Z70" i="2"/>
  <c r="W43" i="2"/>
  <c r="AK18" i="2"/>
  <c r="W55" i="2"/>
  <c r="Z77" i="2"/>
  <c r="AA80" i="2"/>
  <c r="M53" i="2"/>
  <c r="AC29" i="2"/>
  <c r="AH42" i="2"/>
  <c r="I8" i="2"/>
  <c r="H58" i="2"/>
  <c r="AK10" i="2"/>
  <c r="AG68" i="2"/>
  <c r="E34" i="2"/>
  <c r="AL56" i="2"/>
  <c r="J23" i="2"/>
  <c r="E55" i="2"/>
  <c r="K10" i="2"/>
  <c r="S56" i="2"/>
  <c r="W50" i="2"/>
  <c r="G65" i="2"/>
  <c r="K8" i="2"/>
  <c r="I75" i="2"/>
  <c r="H41" i="2"/>
  <c r="AL36" i="2"/>
  <c r="S7" i="2"/>
  <c r="P37" i="2"/>
  <c r="R70" i="2"/>
  <c r="AJ17" i="2"/>
  <c r="AF8" i="2"/>
  <c r="G66" i="2"/>
  <c r="AA69" i="2"/>
  <c r="S9" i="2"/>
  <c r="AF36" i="2"/>
  <c r="O38" i="2"/>
  <c r="AA40" i="2"/>
  <c r="AC54" i="2"/>
  <c r="X30" i="2"/>
  <c r="AB43" i="2"/>
  <c r="AC39" i="2"/>
  <c r="AK9" i="2"/>
  <c r="AH22" i="2"/>
  <c r="V37" i="2"/>
  <c r="Y23" i="2"/>
  <c r="AL34" i="2"/>
  <c r="AC36" i="2"/>
  <c r="W31" i="2"/>
  <c r="AB53" i="2"/>
  <c r="P55" i="2"/>
  <c r="H76" i="2"/>
  <c r="AG32" i="2"/>
  <c r="F39" i="2"/>
  <c r="U22" i="2"/>
  <c r="X55" i="2"/>
  <c r="AD77" i="2"/>
  <c r="AD18" i="2"/>
  <c r="E61" i="2"/>
  <c r="AA67" i="2"/>
  <c r="S57" i="2"/>
  <c r="T66" i="2"/>
  <c r="AM80" i="2"/>
  <c r="AF45" i="2"/>
  <c r="AD10" i="2"/>
  <c r="I66" i="2"/>
  <c r="Z55" i="2"/>
  <c r="R78" i="2"/>
  <c r="V65" i="2"/>
  <c r="H75" i="2"/>
  <c r="H25" i="2"/>
  <c r="AE45" i="2"/>
  <c r="Z14" i="2"/>
  <c r="AB51" i="2"/>
  <c r="K57" i="2"/>
  <c r="U70" i="2"/>
  <c r="AI50" i="2"/>
  <c r="AI11" i="2"/>
  <c r="F51" i="2"/>
  <c r="W69" i="2"/>
  <c r="J36" i="2"/>
  <c r="T16" i="2"/>
  <c r="AA49" i="2"/>
  <c r="AM28" i="2"/>
  <c r="P39" i="2"/>
  <c r="K9" i="2"/>
  <c r="O46" i="2"/>
  <c r="K27" i="2"/>
  <c r="AL68" i="2"/>
  <c r="F5" i="2"/>
  <c r="F46" i="2"/>
  <c r="G32" i="2"/>
  <c r="G73" i="2"/>
  <c r="R22" i="2"/>
  <c r="Z74" i="2"/>
  <c r="R75" i="2"/>
  <c r="S17" i="2"/>
  <c r="S41" i="2"/>
  <c r="AL77" i="2"/>
  <c r="AG26" i="2"/>
  <c r="AH7" i="2"/>
  <c r="AM61" i="2"/>
  <c r="W15" i="2"/>
  <c r="AD42" i="2"/>
  <c r="AK11" i="2"/>
  <c r="V69" i="2"/>
  <c r="AI12" i="2"/>
  <c r="S4" i="2"/>
  <c r="AG67" i="2"/>
  <c r="P79" i="2"/>
  <c r="AA55" i="2"/>
  <c r="H48" i="2"/>
  <c r="R12" i="2"/>
  <c r="AM40" i="2"/>
  <c r="AG27" i="2"/>
  <c r="S77" i="2"/>
  <c r="AM13" i="2"/>
  <c r="K67" i="2"/>
  <c r="AM31" i="2"/>
  <c r="AH61" i="2"/>
  <c r="AC64" i="2"/>
  <c r="V68" i="2"/>
  <c r="G18" i="2"/>
  <c r="AG9" i="2"/>
  <c r="AB5" i="2"/>
  <c r="AI58" i="2"/>
  <c r="U31" i="2"/>
  <c r="K73" i="2"/>
  <c r="U51" i="2"/>
  <c r="AJ41" i="2"/>
  <c r="AG18" i="2"/>
  <c r="AE17" i="2"/>
  <c r="K46" i="2"/>
  <c r="U40" i="2"/>
  <c r="L57" i="2"/>
  <c r="AH29" i="2"/>
  <c r="AF76" i="2"/>
  <c r="M37" i="2"/>
  <c r="AK41" i="2"/>
  <c r="AK20" i="2"/>
  <c r="AG11" i="2"/>
  <c r="AI36" i="2"/>
  <c r="R50" i="2"/>
  <c r="E80" i="2"/>
  <c r="F72" i="2"/>
  <c r="U30" i="2"/>
  <c r="AD30" i="2"/>
  <c r="R43" i="2"/>
  <c r="AH30" i="2"/>
  <c r="X38" i="2"/>
  <c r="AC51" i="2"/>
  <c r="F10" i="2"/>
  <c r="O13" i="2"/>
  <c r="AA31" i="2"/>
  <c r="P44" i="2"/>
  <c r="AA75" i="2"/>
  <c r="AH51" i="2"/>
  <c r="AJ15" i="2"/>
  <c r="J30" i="2"/>
  <c r="O11" i="2"/>
  <c r="AL71" i="2"/>
  <c r="M57" i="2"/>
  <c r="L61" i="2"/>
  <c r="R49" i="2"/>
  <c r="AL32" i="2"/>
  <c r="Y51" i="2"/>
  <c r="L54" i="2"/>
  <c r="P11" i="2"/>
  <c r="O9" i="2"/>
  <c r="T76" i="2"/>
  <c r="V46" i="2"/>
  <c r="O59" i="2"/>
  <c r="AJ11" i="2"/>
  <c r="M63" i="2"/>
  <c r="T67" i="2"/>
  <c r="G16" i="2"/>
  <c r="AL27" i="2"/>
  <c r="U71" i="2"/>
  <c r="Y44" i="2"/>
  <c r="N60" i="2"/>
  <c r="AF31" i="2"/>
  <c r="AM57" i="2"/>
  <c r="V31" i="2"/>
  <c r="AC75" i="2"/>
  <c r="I64" i="2"/>
  <c r="AF47" i="2"/>
  <c r="J67" i="2"/>
  <c r="AB55" i="2"/>
  <c r="E23" i="2"/>
  <c r="V39" i="2"/>
  <c r="K41" i="2"/>
  <c r="M20" i="2"/>
  <c r="M62" i="2"/>
  <c r="L6" i="2"/>
  <c r="AA39" i="2"/>
  <c r="AI21" i="2"/>
  <c r="L23" i="2"/>
  <c r="Z48" i="2"/>
  <c r="J28" i="2"/>
  <c r="M35" i="2"/>
  <c r="Z53" i="2"/>
  <c r="I33" i="2"/>
  <c r="F52" i="2"/>
  <c r="Z80" i="2"/>
  <c r="T21" i="2"/>
  <c r="Y58" i="2"/>
  <c r="AK66" i="2"/>
  <c r="U16" i="2"/>
  <c r="Y25" i="2"/>
  <c r="R73" i="2"/>
  <c r="K59" i="2"/>
  <c r="J59" i="2"/>
  <c r="AL37" i="2"/>
  <c r="U55" i="2"/>
  <c r="P51" i="2"/>
  <c r="AK62" i="2"/>
  <c r="AD17" i="2"/>
  <c r="Y60" i="2"/>
  <c r="L27" i="2"/>
  <c r="AE59" i="2"/>
  <c r="J29" i="2"/>
  <c r="I45" i="2"/>
  <c r="N54" i="2"/>
  <c r="AI17" i="2"/>
  <c r="R23" i="2"/>
  <c r="AB77" i="2"/>
  <c r="J27" i="2"/>
  <c r="U4" i="2"/>
  <c r="P69" i="2"/>
  <c r="AD61" i="2"/>
  <c r="K42" i="2"/>
  <c r="F13" i="2"/>
  <c r="O50" i="2"/>
  <c r="Y57" i="2"/>
  <c r="E70" i="2"/>
  <c r="AG48" i="2"/>
  <c r="R79" i="2"/>
  <c r="L5" i="2"/>
  <c r="K33" i="2"/>
  <c r="N58" i="2"/>
  <c r="O28" i="2"/>
  <c r="AJ77" i="2"/>
  <c r="S27" i="2"/>
  <c r="H50" i="2"/>
  <c r="AL50" i="2"/>
  <c r="V48" i="2"/>
  <c r="AK48" i="2"/>
  <c r="U8" i="2"/>
  <c r="U57" i="2"/>
  <c r="R63" i="2"/>
  <c r="K36" i="2"/>
  <c r="L69" i="2"/>
  <c r="AL4" i="2"/>
  <c r="AL66" i="2"/>
  <c r="AH75" i="2"/>
  <c r="X50" i="2"/>
  <c r="AD69" i="2"/>
  <c r="O45" i="2"/>
  <c r="AI60" i="2"/>
  <c r="O67" i="2"/>
  <c r="F76" i="2"/>
  <c r="N18" i="2"/>
  <c r="AK40" i="2"/>
  <c r="P9" i="2"/>
  <c r="I79" i="2"/>
  <c r="R17" i="2"/>
  <c r="AF9" i="2"/>
  <c r="V16" i="2"/>
  <c r="H34" i="2"/>
  <c r="L28" i="2"/>
  <c r="T59" i="2"/>
  <c r="K30" i="2"/>
  <c r="I12" i="2"/>
  <c r="P42" i="2"/>
  <c r="AJ38" i="2"/>
  <c r="G78" i="2"/>
  <c r="O32" i="2"/>
  <c r="AA50" i="2"/>
  <c r="U14" i="2"/>
  <c r="H53" i="2"/>
  <c r="AF5" i="2"/>
  <c r="P68" i="2"/>
  <c r="AC69" i="2"/>
  <c r="W73" i="2"/>
  <c r="L73" i="2"/>
  <c r="AF26" i="2"/>
  <c r="P49" i="2"/>
  <c r="M41" i="2"/>
  <c r="P16" i="2"/>
  <c r="AI13" i="2"/>
  <c r="T68" i="2"/>
  <c r="AI39" i="2"/>
  <c r="W76" i="2"/>
  <c r="Y67" i="2"/>
  <c r="AH73" i="2"/>
  <c r="Z72" i="2"/>
  <c r="L13" i="2"/>
  <c r="Y30" i="2"/>
  <c r="AE51" i="2"/>
  <c r="M64" i="2"/>
  <c r="P10" i="2"/>
  <c r="AC24" i="2"/>
  <c r="T57" i="2"/>
  <c r="K31" i="2"/>
  <c r="T25" i="2"/>
  <c r="W38" i="2"/>
  <c r="M26" i="2"/>
  <c r="AE7" i="2"/>
  <c r="AE12" i="2"/>
  <c r="K72" i="2"/>
  <c r="AH68" i="2"/>
  <c r="AM11" i="2"/>
  <c r="H28" i="2"/>
  <c r="W59" i="2"/>
  <c r="K48" i="2"/>
  <c r="J64" i="2"/>
  <c r="AE67" i="2"/>
  <c r="G74" i="2"/>
  <c r="G46" i="2"/>
  <c r="AL78" i="2"/>
  <c r="K37" i="2"/>
  <c r="N44" i="2"/>
  <c r="L20" i="2"/>
  <c r="V7" i="2"/>
  <c r="AH31" i="2"/>
  <c r="H65" i="2"/>
  <c r="AF32" i="2"/>
  <c r="Z18" i="2"/>
  <c r="Z66" i="2"/>
  <c r="AK49" i="2"/>
  <c r="AF73" i="2"/>
  <c r="AL22" i="2"/>
  <c r="AK52" i="2"/>
  <c r="AM6" i="2"/>
  <c r="X68" i="2"/>
  <c r="AD71" i="2"/>
  <c r="AJ25" i="2"/>
  <c r="AE46" i="2"/>
  <c r="Y75" i="2"/>
  <c r="Y11" i="2"/>
  <c r="AD56" i="2"/>
  <c r="AB59" i="2"/>
  <c r="AH63" i="2"/>
  <c r="X10" i="2"/>
  <c r="AM10" i="2"/>
  <c r="H39" i="2"/>
  <c r="G72" i="2"/>
  <c r="AA10" i="2"/>
  <c r="AB48" i="2"/>
  <c r="H57" i="2"/>
  <c r="AD9" i="2"/>
  <c r="X49" i="2"/>
  <c r="AH49" i="2"/>
  <c r="O18" i="2"/>
  <c r="V10" i="2"/>
  <c r="AA43" i="2"/>
  <c r="M68" i="2"/>
  <c r="E73" i="2"/>
  <c r="AJ70" i="2"/>
  <c r="O66" i="2"/>
  <c r="O39" i="2"/>
  <c r="Z63" i="2"/>
  <c r="AL72" i="2"/>
  <c r="G64" i="2"/>
  <c r="AD31" i="2"/>
  <c r="AK16" i="2"/>
  <c r="AM5" i="2"/>
  <c r="S49" i="2"/>
  <c r="AC23" i="2"/>
  <c r="AI47" i="2"/>
  <c r="W60" i="2"/>
  <c r="M47" i="2"/>
  <c r="X70" i="2"/>
  <c r="J38" i="2"/>
  <c r="S20" i="2"/>
  <c r="Z30" i="2"/>
  <c r="AF72" i="2"/>
  <c r="J5" i="2"/>
  <c r="AK35" i="2"/>
  <c r="J32" i="2"/>
  <c r="W16" i="2"/>
  <c r="AI42" i="2"/>
  <c r="X45" i="2"/>
  <c r="AD8" i="2"/>
  <c r="AC17" i="2"/>
  <c r="AH8" i="2"/>
  <c r="AI40" i="2"/>
  <c r="AB70" i="2"/>
  <c r="AB73" i="2"/>
  <c r="K23" i="2"/>
  <c r="N77" i="2"/>
  <c r="R68" i="2"/>
  <c r="L36" i="2"/>
  <c r="K79" i="2"/>
  <c r="Y39" i="2"/>
  <c r="M27" i="2"/>
  <c r="Z42" i="2"/>
  <c r="AE42" i="2"/>
  <c r="X53" i="2"/>
  <c r="N32" i="2"/>
  <c r="R37" i="2"/>
  <c r="X9" i="2"/>
  <c r="H35" i="2"/>
  <c r="S29" i="2"/>
  <c r="AE50" i="2"/>
  <c r="AK31" i="2"/>
  <c r="Z50" i="2"/>
  <c r="N6" i="2"/>
  <c r="W27" i="2"/>
  <c r="X37" i="2"/>
  <c r="AF58" i="2"/>
  <c r="AL59" i="2"/>
  <c r="N66" i="2"/>
  <c r="AJ49" i="2"/>
  <c r="X36" i="2"/>
  <c r="S40" i="2"/>
  <c r="H43" i="2"/>
  <c r="AA18" i="2"/>
  <c r="N26" i="2"/>
  <c r="S68" i="2"/>
  <c r="AB34" i="2"/>
  <c r="J25" i="2"/>
  <c r="K29" i="2"/>
  <c r="U6" i="2"/>
  <c r="V21" i="2"/>
  <c r="AH5" i="2"/>
  <c r="F7" i="2"/>
  <c r="W70" i="2"/>
  <c r="O19" i="2"/>
  <c r="AE52" i="2"/>
  <c r="G14" i="2"/>
  <c r="AG42" i="2"/>
  <c r="T37" i="2"/>
  <c r="AL35" i="2"/>
  <c r="T8" i="2"/>
  <c r="AF37" i="2"/>
  <c r="O29" i="2"/>
  <c r="G48" i="2"/>
  <c r="E47" i="2"/>
  <c r="AH74" i="2"/>
  <c r="AB41" i="2"/>
  <c r="AE16" i="2"/>
  <c r="AG59" i="2"/>
  <c r="AK17" i="2"/>
  <c r="AF44" i="2"/>
  <c r="I68" i="2"/>
  <c r="P75" i="2"/>
  <c r="S45" i="2"/>
  <c r="V64" i="2"/>
  <c r="AE73" i="2"/>
  <c r="G15" i="2"/>
  <c r="E54" i="2"/>
  <c r="O74" i="2"/>
  <c r="AJ44" i="2"/>
  <c r="P54" i="2"/>
  <c r="AC21" i="2"/>
  <c r="AC25" i="2"/>
  <c r="AH72" i="2"/>
  <c r="AD72" i="2"/>
  <c r="J72" i="2"/>
  <c r="AB65" i="2"/>
  <c r="AG50" i="2"/>
  <c r="X12" i="2"/>
  <c r="AM72" i="2"/>
  <c r="I10" i="2"/>
  <c r="G24" i="2"/>
  <c r="G38" i="2"/>
  <c r="AL67" i="2"/>
  <c r="AL61" i="2"/>
  <c r="AI19" i="2"/>
  <c r="E78" i="2"/>
  <c r="X62" i="2"/>
  <c r="F4" i="2"/>
  <c r="AF46" i="2"/>
  <c r="AF63" i="2"/>
  <c r="AD28" i="2"/>
  <c r="N55" i="2"/>
  <c r="X23" i="2"/>
  <c r="S47" i="2"/>
  <c r="G8" i="2"/>
  <c r="X54" i="2"/>
  <c r="AM22" i="2"/>
  <c r="T63" i="2"/>
  <c r="AC33" i="2"/>
  <c r="I43" i="2"/>
  <c r="U59" i="2"/>
  <c r="AM41" i="2"/>
  <c r="AH27" i="2"/>
  <c r="AD34" i="2"/>
  <c r="G23" i="2"/>
  <c r="AB56" i="2"/>
  <c r="T41" i="2"/>
  <c r="AK7" i="2"/>
  <c r="AF21" i="2"/>
  <c r="AG21" i="2"/>
  <c r="I48" i="2"/>
  <c r="N80" i="2"/>
  <c r="S8" i="2"/>
  <c r="T54" i="2"/>
  <c r="X69" i="2"/>
  <c r="T32" i="2"/>
  <c r="X35" i="2"/>
  <c r="Y43" i="2"/>
  <c r="F9" i="2"/>
  <c r="H68" i="2"/>
  <c r="L71" i="2"/>
  <c r="O73" i="2"/>
  <c r="AD16" i="2"/>
  <c r="AM53" i="2"/>
  <c r="F14" i="2"/>
  <c r="T6" i="2"/>
  <c r="S24" i="2"/>
  <c r="S38" i="2"/>
  <c r="R10" i="2"/>
  <c r="AH18" i="2"/>
  <c r="AF40" i="2"/>
  <c r="K43" i="2"/>
  <c r="Z13" i="2"/>
  <c r="U42" i="2"/>
  <c r="AF7" i="2"/>
  <c r="S11" i="2"/>
  <c r="AD46" i="2"/>
  <c r="AH15" i="2"/>
  <c r="S25" i="2"/>
  <c r="AB8" i="2"/>
  <c r="AB72" i="2"/>
  <c r="H47" i="2"/>
  <c r="I63" i="2"/>
  <c r="AL18" i="2"/>
  <c r="T40" i="2"/>
  <c r="M60" i="2"/>
  <c r="T60" i="2"/>
  <c r="W54" i="2"/>
  <c r="M4" i="2"/>
  <c r="AH65" i="2"/>
  <c r="O4" i="2"/>
  <c r="F45" i="2"/>
  <c r="T58" i="2"/>
  <c r="AC14" i="2"/>
  <c r="AF66" i="2"/>
  <c r="AG13" i="2"/>
  <c r="AM69" i="2"/>
  <c r="P33" i="2"/>
  <c r="I47" i="2"/>
  <c r="G49" i="2"/>
  <c r="U10" i="2"/>
  <c r="AJ80" i="2"/>
  <c r="S51" i="2"/>
  <c r="L18" i="2"/>
  <c r="S64" i="2"/>
  <c r="O43" i="2"/>
  <c r="F69" i="2"/>
  <c r="AH36" i="2"/>
  <c r="AE36" i="2"/>
  <c r="W61" i="2"/>
  <c r="M46" i="2"/>
  <c r="AJ26" i="2"/>
  <c r="S6" i="2"/>
  <c r="N10" i="2"/>
  <c r="AM78" i="2"/>
  <c r="G60" i="2"/>
  <c r="E62" i="2"/>
  <c r="X61" i="2"/>
  <c r="V70" i="2"/>
  <c r="P29" i="2"/>
  <c r="I11" i="2"/>
  <c r="E43" i="2"/>
  <c r="N61" i="2"/>
  <c r="V9" i="2"/>
  <c r="Z56" i="2"/>
  <c r="I52" i="2"/>
  <c r="L35" i="2"/>
  <c r="Y34" i="2"/>
  <c r="AH34" i="2"/>
  <c r="F12" i="2"/>
  <c r="AJ66" i="2"/>
  <c r="AL63" i="2"/>
  <c r="I40" i="2"/>
  <c r="AC49" i="2"/>
  <c r="AL9" i="2"/>
  <c r="J57" i="2"/>
  <c r="AI29" i="2"/>
  <c r="AE44" i="2"/>
  <c r="AG80" i="2"/>
  <c r="L51" i="2"/>
  <c r="N51" i="2"/>
  <c r="V41" i="2"/>
  <c r="AJ9" i="2"/>
  <c r="X41" i="2"/>
  <c r="H14" i="2"/>
  <c r="AH32" i="2"/>
  <c r="H71" i="2"/>
  <c r="R47" i="2"/>
  <c r="I5" i="2"/>
  <c r="H72" i="2"/>
  <c r="AB20" i="2"/>
  <c r="H37" i="2"/>
  <c r="AG72" i="2"/>
  <c r="AH48" i="2"/>
  <c r="AD29" i="2"/>
  <c r="L63" i="2"/>
  <c r="W65" i="2"/>
  <c r="U68" i="2"/>
  <c r="X77" i="2"/>
  <c r="AI53" i="2"/>
  <c r="I4" i="2"/>
  <c r="O44" i="2"/>
  <c r="S19" i="2"/>
  <c r="I72" i="2"/>
  <c r="G41" i="2"/>
  <c r="U56" i="2"/>
  <c r="F44" i="2"/>
  <c r="P28" i="2"/>
  <c r="E20" i="2"/>
  <c r="AD24" i="2"/>
  <c r="AC5" i="2"/>
  <c r="X59" i="2"/>
  <c r="AB26" i="2"/>
  <c r="F50" i="2"/>
  <c r="AI16" i="2"/>
  <c r="AH26" i="2"/>
  <c r="R11" i="2"/>
  <c r="AE43" i="2"/>
  <c r="AE4" i="2"/>
  <c r="K75" i="2"/>
  <c r="L26" i="2"/>
  <c r="V28" i="2"/>
  <c r="AH43" i="2"/>
  <c r="W36" i="2"/>
  <c r="O12" i="2"/>
  <c r="H24" i="2"/>
  <c r="AK50" i="2"/>
  <c r="AD60" i="2"/>
  <c r="V23" i="2"/>
  <c r="M73" i="2"/>
  <c r="Z40" i="2"/>
  <c r="J6" i="2"/>
  <c r="AC10" i="2"/>
  <c r="AJ64" i="2"/>
  <c r="AG61" i="2"/>
  <c r="AL13" i="2"/>
  <c r="T9" i="2"/>
  <c r="M11" i="2"/>
  <c r="AB25" i="2"/>
  <c r="AL75" i="2"/>
  <c r="R13" i="2"/>
  <c r="AJ79" i="2"/>
  <c r="T39" i="2"/>
  <c r="Z65" i="2"/>
  <c r="X43" i="2"/>
  <c r="AL21" i="2"/>
  <c r="R52" i="2"/>
  <c r="AB16" i="2"/>
  <c r="AG57" i="2"/>
  <c r="I23" i="2"/>
  <c r="P21" i="2"/>
  <c r="G37" i="2"/>
  <c r="I13" i="2"/>
  <c r="AE72" i="2"/>
  <c r="Z41" i="2"/>
  <c r="R55" i="2"/>
  <c r="T49" i="2"/>
  <c r="F22" i="2"/>
  <c r="U48" i="2"/>
  <c r="X16" i="2"/>
  <c r="F24" i="2"/>
  <c r="AA65" i="2"/>
  <c r="Z45" i="2"/>
  <c r="U67" i="2"/>
  <c r="E28" i="2"/>
  <c r="AD36" i="2"/>
  <c r="L22" i="2"/>
  <c r="AD64" i="2"/>
  <c r="J22" i="2"/>
  <c r="AB58" i="2"/>
  <c r="N19" i="2"/>
  <c r="Y33" i="2"/>
  <c r="AL74" i="2"/>
  <c r="M34" i="2"/>
  <c r="X25" i="2"/>
  <c r="AI20" i="2"/>
  <c r="P45" i="2"/>
  <c r="J8" i="2"/>
  <c r="R34" i="2"/>
  <c r="AE22" i="2"/>
  <c r="R61" i="2"/>
  <c r="AF68" i="2"/>
  <c r="O35" i="2"/>
  <c r="AI74" i="2"/>
  <c r="AB18" i="2"/>
  <c r="F28" i="2"/>
  <c r="V22" i="2"/>
  <c r="E65" i="2"/>
  <c r="U62" i="2"/>
  <c r="AI77" i="2"/>
  <c r="E49" i="2"/>
  <c r="AJ47" i="2"/>
  <c r="L14" i="2"/>
  <c r="AK75" i="2"/>
  <c r="AH69" i="2"/>
  <c r="W8" i="2"/>
  <c r="J74" i="2"/>
  <c r="AK76" i="2"/>
  <c r="AB6" i="2"/>
  <c r="AC59" i="2"/>
  <c r="Y59" i="2"/>
  <c r="Z11" i="2"/>
  <c r="AH47" i="2"/>
  <c r="P74" i="2"/>
  <c r="AF16" i="2"/>
  <c r="L4" i="2"/>
  <c r="P57" i="2"/>
  <c r="T10" i="2"/>
  <c r="Z24" i="2"/>
  <c r="V63" i="2"/>
  <c r="Z22" i="2"/>
  <c r="AJ60" i="2"/>
  <c r="AE11" i="2"/>
  <c r="P35" i="2"/>
  <c r="F47" i="2"/>
  <c r="AM64" i="2"/>
  <c r="N35" i="2"/>
  <c r="AJ35" i="2"/>
  <c r="AI4" i="2"/>
  <c r="AK8" i="2"/>
  <c r="J70" i="2"/>
  <c r="Y45" i="2"/>
  <c r="AG52" i="2"/>
  <c r="O77" i="2"/>
  <c r="Y22" i="2"/>
  <c r="X7" i="2"/>
  <c r="AA58" i="2"/>
  <c r="W62" i="2"/>
  <c r="AI66" i="2"/>
  <c r="AH24" i="2"/>
  <c r="O42" i="2"/>
  <c r="P7" i="2"/>
  <c r="AA33" i="2"/>
  <c r="P27" i="2"/>
  <c r="R26" i="2"/>
  <c r="I7" i="2"/>
  <c r="F8" i="2"/>
  <c r="AB30" i="2"/>
  <c r="R20" i="2"/>
  <c r="P50" i="2"/>
  <c r="AE49" i="2"/>
  <c r="S18" i="2"/>
  <c r="E71" i="2"/>
  <c r="AM46" i="2"/>
  <c r="AG73" i="2"/>
  <c r="AA16" i="2"/>
  <c r="T38" i="2"/>
  <c r="AL47" i="2"/>
  <c r="E40" i="2"/>
  <c r="AF29" i="2"/>
  <c r="J45" i="2"/>
  <c r="Z15" i="2"/>
  <c r="H74" i="2"/>
  <c r="AC47" i="2"/>
  <c r="N74" i="2"/>
  <c r="AA19" i="2"/>
  <c r="AG41" i="2"/>
  <c r="Z32" i="2"/>
  <c r="AD59" i="2"/>
  <c r="E30" i="2"/>
  <c r="O33" i="2"/>
  <c r="W33" i="2"/>
  <c r="H31" i="2"/>
  <c r="G5" i="2"/>
  <c r="U36" i="2"/>
  <c r="X40" i="2"/>
  <c r="N20" i="2"/>
  <c r="AL52" i="2"/>
  <c r="AC56" i="2"/>
  <c r="AK13" i="2"/>
  <c r="AA29" i="2"/>
  <c r="AK29" i="2"/>
  <c r="J58" i="2"/>
  <c r="J26" i="2"/>
  <c r="Z16" i="2"/>
  <c r="E4" i="2"/>
  <c r="AA32" i="2"/>
  <c r="AK51" i="2"/>
  <c r="Y79" i="2"/>
  <c r="I65" i="2"/>
  <c r="F35" i="2"/>
  <c r="AL33" i="2"/>
  <c r="AD26" i="2"/>
  <c r="T14" i="2"/>
  <c r="L40" i="2"/>
  <c r="P64" i="2"/>
  <c r="X20" i="2"/>
  <c r="E10" i="2"/>
  <c r="K61" i="2"/>
  <c r="J11" i="2"/>
  <c r="Y56" i="2"/>
  <c r="AD73" i="2"/>
  <c r="AG77" i="2"/>
  <c r="W44" i="2"/>
  <c r="AJ46" i="2"/>
  <c r="O23" i="2"/>
  <c r="J62" i="2"/>
  <c r="T47" i="2"/>
  <c r="G12" i="2"/>
  <c r="R48" i="2"/>
  <c r="N4" i="2"/>
  <c r="AH52" i="2"/>
  <c r="AK33" i="2"/>
  <c r="N16" i="2"/>
  <c r="AG64" i="2"/>
  <c r="L42" i="2"/>
  <c r="R21" i="2"/>
  <c r="L31" i="2"/>
  <c r="AC71" i="2"/>
  <c r="AK80" i="2"/>
  <c r="R72" i="2"/>
  <c r="N27" i="2"/>
  <c r="AI46" i="2"/>
  <c r="L7" i="2"/>
  <c r="AJ59" i="2"/>
  <c r="AI24" i="2"/>
  <c r="AH6" i="2"/>
  <c r="E68" i="2"/>
  <c r="AE61" i="2"/>
  <c r="T43" i="2"/>
  <c r="T48" i="2"/>
  <c r="AD40" i="2"/>
  <c r="G17" i="2"/>
  <c r="AA36" i="2"/>
  <c r="S37" i="2"/>
  <c r="F75" i="2"/>
  <c r="AA53" i="2"/>
  <c r="H63" i="2"/>
  <c r="L45" i="2"/>
  <c r="P46" i="2"/>
  <c r="W75" i="2"/>
  <c r="AH4" i="2"/>
  <c r="AE9" i="2"/>
  <c r="N64" i="2"/>
  <c r="W12" i="2"/>
  <c r="AH9" i="2"/>
  <c r="E25" i="2"/>
  <c r="AF54" i="2"/>
  <c r="O54" i="2"/>
  <c r="I55" i="2"/>
  <c r="AG6" i="2"/>
  <c r="V32" i="2"/>
  <c r="W7" i="2"/>
  <c r="AL60" i="2"/>
  <c r="AC52" i="2"/>
  <c r="AC38" i="2"/>
  <c r="AA15" i="2"/>
  <c r="O10" i="2"/>
  <c r="AM34" i="2"/>
  <c r="N79" i="2"/>
  <c r="O34" i="2"/>
  <c r="P70" i="2"/>
  <c r="L37" i="2"/>
  <c r="J73" i="2"/>
  <c r="AF62" i="2"/>
  <c r="S16" i="2"/>
  <c r="E6" i="2"/>
  <c r="F58" i="2"/>
  <c r="AL23" i="2"/>
  <c r="Y18" i="2"/>
  <c r="AK74" i="2"/>
  <c r="P78" i="2"/>
  <c r="O36" i="2"/>
  <c r="I9" i="2"/>
  <c r="I69" i="2"/>
  <c r="AG30" i="2"/>
  <c r="X60" i="2"/>
  <c r="G67" i="2"/>
  <c r="AG60" i="2"/>
  <c r="E72" i="2"/>
  <c r="E11" i="2"/>
  <c r="AJ62" i="2"/>
  <c r="L70" i="2"/>
  <c r="X17" i="2"/>
  <c r="M76" i="2"/>
  <c r="X29" i="2"/>
  <c r="AM24" i="2"/>
  <c r="V42" i="2"/>
  <c r="AH76" i="2"/>
  <c r="H33" i="2"/>
  <c r="AD50" i="2"/>
  <c r="R64" i="2"/>
  <c r="F60" i="2"/>
  <c r="R25" i="2"/>
  <c r="AJ52" i="2"/>
  <c r="I76" i="2"/>
  <c r="N21" i="2"/>
  <c r="S66" i="2"/>
  <c r="R16" i="2"/>
  <c r="AD20" i="2"/>
  <c r="L67" i="2"/>
  <c r="O75" i="2"/>
  <c r="AM52" i="2"/>
  <c r="AK73" i="2"/>
  <c r="I6" i="2"/>
  <c r="AA6" i="2"/>
  <c r="AC48" i="2"/>
  <c r="AJ58" i="2"/>
  <c r="AG37" i="2"/>
  <c r="AJ40" i="2"/>
  <c r="M6" i="2"/>
  <c r="AF23" i="2"/>
  <c r="AD45" i="2"/>
  <c r="AA20" i="2"/>
  <c r="J15" i="2"/>
  <c r="W25" i="2"/>
  <c r="AC4" i="2"/>
  <c r="O55" i="2"/>
  <c r="I46" i="2"/>
  <c r="Y80" i="2"/>
  <c r="AE70" i="2"/>
  <c r="AC30" i="2"/>
  <c r="V30" i="2"/>
  <c r="AM77" i="2"/>
  <c r="U80" i="2"/>
  <c r="AJ27" i="2"/>
  <c r="F70" i="2"/>
  <c r="W57" i="2"/>
  <c r="L38" i="2"/>
  <c r="AM59" i="2"/>
  <c r="N76" i="2"/>
  <c r="Y76" i="2"/>
  <c r="K28" i="2"/>
  <c r="Z78" i="2"/>
  <c r="AK34" i="2"/>
  <c r="W56" i="2"/>
  <c r="AJ54" i="2"/>
  <c r="H13" i="2"/>
  <c r="AB36" i="2"/>
  <c r="Y47" i="2"/>
  <c r="W9" i="2"/>
  <c r="S5" i="2"/>
  <c r="W74" i="2"/>
  <c r="W24" i="2"/>
  <c r="AC60" i="2"/>
  <c r="U17" i="2"/>
  <c r="V50" i="2"/>
  <c r="AG35" i="2"/>
  <c r="R39" i="2"/>
  <c r="AM67" i="2"/>
  <c r="AA71" i="2"/>
  <c r="AI65" i="2"/>
  <c r="T26" i="2"/>
  <c r="Z71" i="2"/>
  <c r="P20" i="2"/>
  <c r="H78" i="2"/>
  <c r="S36" i="2"/>
  <c r="H17" i="2"/>
  <c r="I35" i="2"/>
  <c r="AD22" i="2"/>
  <c r="F53" i="2"/>
  <c r="H27" i="2"/>
  <c r="W10" i="2"/>
  <c r="M38" i="2"/>
  <c r="AL28" i="2"/>
  <c r="Y26" i="2"/>
  <c r="Z44" i="2"/>
  <c r="AI43" i="2"/>
  <c r="W58" i="2"/>
  <c r="AK27" i="2"/>
  <c r="V17" i="2"/>
  <c r="AI61" i="2"/>
  <c r="H42" i="2"/>
  <c r="AB54" i="2"/>
  <c r="Y21" i="2"/>
  <c r="H70" i="2"/>
  <c r="M30" i="2"/>
  <c r="AM50" i="2"/>
  <c r="AD33" i="2"/>
  <c r="AJ18" i="2"/>
  <c r="AL12" i="2"/>
  <c r="G62" i="2"/>
  <c r="Z52" i="2"/>
  <c r="S46" i="2"/>
  <c r="S43" i="2"/>
  <c r="AB7" i="2"/>
  <c r="V76" i="2"/>
  <c r="J80" i="2"/>
  <c r="K38" i="2"/>
  <c r="V59" i="2"/>
  <c r="AC42" i="2"/>
  <c r="U60" i="2"/>
  <c r="J13" i="2"/>
  <c r="AF70" i="2"/>
  <c r="S32" i="2"/>
  <c r="V72" i="2"/>
  <c r="AC15" i="2"/>
  <c r="X79" i="2"/>
  <c r="Y61" i="2"/>
  <c r="AB21" i="2"/>
  <c r="U37" i="2"/>
  <c r="I18" i="2"/>
  <c r="N78" i="2"/>
  <c r="J47" i="2"/>
  <c r="E63" i="2"/>
  <c r="X63" i="2"/>
  <c r="AM49" i="2"/>
  <c r="AC80" i="2"/>
  <c r="O37" i="2"/>
  <c r="O16" i="2"/>
  <c r="L17" i="2"/>
  <c r="AI10" i="2"/>
  <c r="AF11" i="2"/>
  <c r="U73" i="2"/>
  <c r="N25" i="2"/>
  <c r="AK5" i="2"/>
  <c r="T75" i="2"/>
  <c r="U25" i="2"/>
  <c r="T7" i="2"/>
  <c r="R31" i="2"/>
  <c r="U34" i="2"/>
  <c r="S31" i="2"/>
  <c r="S39" i="2"/>
  <c r="V56" i="2"/>
  <c r="AC40" i="2"/>
  <c r="AC77" i="2"/>
  <c r="I59" i="2"/>
  <c r="F57" i="2"/>
  <c r="W37" i="2"/>
  <c r="AA9" i="2"/>
  <c r="G29" i="2"/>
  <c r="E19" i="2"/>
  <c r="AM16" i="2"/>
  <c r="S65" i="2"/>
  <c r="E69" i="2"/>
  <c r="Y70" i="2"/>
  <c r="Y19" i="2"/>
  <c r="P52" i="2"/>
  <c r="W52" i="2"/>
  <c r="O71" i="2"/>
  <c r="AJ21" i="2"/>
  <c r="M24" i="2"/>
  <c r="X48" i="2"/>
  <c r="K14" i="2"/>
  <c r="M40" i="2"/>
  <c r="K49" i="2"/>
  <c r="AE24" i="2"/>
  <c r="P48" i="2"/>
  <c r="N37" i="2"/>
  <c r="AF59" i="2"/>
  <c r="Z25" i="2"/>
  <c r="T23" i="2"/>
  <c r="N41" i="2"/>
  <c r="AB22" i="2"/>
  <c r="AE5" i="2"/>
  <c r="F78" i="2"/>
  <c r="S69" i="2"/>
  <c r="AH20" i="2"/>
  <c r="J24" i="2"/>
  <c r="AG33" i="2"/>
  <c r="AF13" i="2"/>
  <c r="I42" i="2"/>
  <c r="AI23" i="2"/>
  <c r="S78" i="2"/>
  <c r="P25" i="2"/>
  <c r="Y32" i="2"/>
  <c r="K20" i="2"/>
  <c r="G55" i="2"/>
  <c r="AC37" i="2"/>
  <c r="AA44" i="2"/>
  <c r="V4" i="2"/>
  <c r="M48" i="2"/>
  <c r="P6" i="2"/>
  <c r="G35" i="2"/>
  <c r="M14" i="2"/>
  <c r="AE25" i="2"/>
  <c r="AL31" i="2"/>
  <c r="AG45" i="2"/>
  <c r="AE31" i="2"/>
  <c r="L66" i="2"/>
  <c r="J42" i="2"/>
  <c r="AB19" i="2"/>
  <c r="AM17" i="2"/>
  <c r="L56" i="2"/>
  <c r="AH77" i="2"/>
  <c r="AC16" i="2"/>
  <c r="AD44" i="2"/>
  <c r="AL65" i="2"/>
  <c r="W28" i="2"/>
  <c r="V66" i="2"/>
  <c r="X78" i="2"/>
  <c r="Z17" i="2"/>
  <c r="AC46" i="2"/>
  <c r="U5" i="2"/>
  <c r="K56" i="2"/>
  <c r="AJ23" i="2"/>
  <c r="Z75" i="2"/>
  <c r="AG70" i="2"/>
  <c r="T33" i="2"/>
  <c r="X76" i="2"/>
  <c r="AH12" i="2"/>
  <c r="AE68" i="2"/>
  <c r="Z10" i="2"/>
  <c r="U39" i="2"/>
  <c r="AL10" i="2"/>
  <c r="P77" i="2"/>
  <c r="AH46" i="2"/>
  <c r="F49" i="2"/>
  <c r="AE23" i="2"/>
  <c r="P53" i="2"/>
  <c r="O31" i="2"/>
  <c r="AF50" i="2"/>
  <c r="G33" i="2"/>
  <c r="AA47" i="2"/>
  <c r="AF65" i="2"/>
  <c r="X72" i="2"/>
  <c r="K50" i="2"/>
  <c r="AI6" i="2"/>
  <c r="AL48" i="2"/>
  <c r="H8" i="2"/>
  <c r="AM23" i="2"/>
  <c r="W41" i="2"/>
  <c r="AC53" i="2"/>
  <c r="P40" i="2"/>
  <c r="I71" i="2"/>
  <c r="AD25" i="2"/>
  <c r="U43" i="2"/>
  <c r="O58" i="2"/>
  <c r="AB46" i="2"/>
  <c r="AE35" i="2"/>
  <c r="AJ30" i="2"/>
  <c r="I56" i="2"/>
  <c r="M75" i="2"/>
  <c r="E12" i="2"/>
  <c r="K58" i="2"/>
  <c r="U64" i="2"/>
  <c r="AK68" i="2"/>
  <c r="K80" i="2"/>
  <c r="AD5" i="2"/>
  <c r="AL39" i="2"/>
  <c r="AC31" i="2"/>
  <c r="W77" i="2"/>
  <c r="AB60" i="2"/>
  <c r="N45" i="2"/>
  <c r="O62" i="2"/>
  <c r="N15" i="2"/>
  <c r="S14" i="2"/>
  <c r="AM18" i="2"/>
  <c r="AA37" i="2"/>
  <c r="S12" i="2"/>
  <c r="W17" i="2"/>
  <c r="AL5" i="2"/>
  <c r="X32" i="2"/>
  <c r="AK44" i="2"/>
  <c r="H59" i="2"/>
  <c r="AC22" i="2"/>
  <c r="AE80" i="2"/>
  <c r="AD76" i="2"/>
  <c r="O15" i="2"/>
  <c r="K68" i="2"/>
  <c r="AD21" i="2"/>
  <c r="AH11" i="2"/>
  <c r="O8" i="2"/>
  <c r="H61" i="2"/>
  <c r="X31" i="2"/>
  <c r="AI30" i="2"/>
  <c r="O56" i="2"/>
  <c r="U29" i="2"/>
  <c r="E42" i="2"/>
  <c r="Y63" i="2"/>
  <c r="P65" i="2"/>
  <c r="AH16" i="2"/>
  <c r="L74" i="2"/>
  <c r="AC9" i="2"/>
  <c r="AM74" i="2"/>
  <c r="AL70" i="2"/>
  <c r="P71" i="2"/>
  <c r="N46" i="2"/>
  <c r="E58" i="2"/>
  <c r="F33" i="2"/>
  <c r="S53" i="2"/>
  <c r="AJ43" i="2"/>
  <c r="M54" i="2"/>
  <c r="AD35" i="2"/>
  <c r="V45" i="2"/>
  <c r="AA57" i="2"/>
  <c r="P66" i="2"/>
  <c r="R51" i="2"/>
  <c r="Y52" i="2"/>
  <c r="F74" i="2"/>
  <c r="AH64" i="2"/>
  <c r="J78" i="2"/>
  <c r="S62" i="2"/>
  <c r="E41" i="2"/>
  <c r="L15" i="2"/>
  <c r="AF28" i="2"/>
  <c r="N22" i="2"/>
  <c r="X26" i="2"/>
  <c r="O25" i="2"/>
  <c r="X18" i="2"/>
  <c r="I73" i="2"/>
  <c r="AF35" i="2"/>
  <c r="S13" i="2"/>
  <c r="R7" i="2"/>
  <c r="X27" i="2"/>
  <c r="N7" i="2"/>
  <c r="Z62" i="2"/>
  <c r="AA24" i="2"/>
  <c r="W63" i="2"/>
  <c r="AA51" i="2"/>
  <c r="S72" i="2"/>
  <c r="AM35" i="2"/>
  <c r="T79" i="2"/>
  <c r="L10" i="2"/>
  <c r="U32" i="2"/>
  <c r="AL20" i="2"/>
  <c r="AA74" i="2"/>
  <c r="AG46" i="2"/>
  <c r="S44" i="2"/>
  <c r="E44" i="2"/>
  <c r="AJ8" i="2"/>
  <c r="AM15" i="2"/>
  <c r="AJ65" i="2"/>
  <c r="R18" i="2"/>
  <c r="AM37" i="2"/>
  <c r="X4" i="2"/>
  <c r="R44" i="2"/>
  <c r="AJ24" i="2"/>
  <c r="M51" i="2"/>
  <c r="M18" i="2"/>
  <c r="U35" i="2"/>
  <c r="AG20" i="2"/>
  <c r="X44" i="2"/>
  <c r="W79" i="2"/>
  <c r="AL19" i="2"/>
  <c r="M8" i="2"/>
  <c r="AE40" i="2"/>
  <c r="AH40" i="2"/>
  <c r="E9" i="2"/>
  <c r="M16" i="2"/>
  <c r="AG25" i="2"/>
  <c r="X56" i="2"/>
  <c r="AB66" i="2"/>
  <c r="AH25" i="2"/>
  <c r="AJ73" i="2"/>
  <c r="N62" i="2"/>
  <c r="P43" i="2"/>
  <c r="AJ5" i="2"/>
  <c r="J40" i="2"/>
  <c r="I31" i="2"/>
  <c r="G6" i="2"/>
  <c r="AL24" i="2"/>
  <c r="S21" i="2"/>
  <c r="AI76" i="2"/>
  <c r="AJ32" i="2"/>
  <c r="T11" i="2"/>
  <c r="AJ28" i="2"/>
  <c r="S42" i="2"/>
  <c r="P15" i="2"/>
  <c r="R33" i="2"/>
  <c r="AD74" i="2"/>
  <c r="U11" i="2"/>
  <c r="I49" i="2"/>
  <c r="R19" i="2"/>
  <c r="AA59" i="2"/>
  <c r="AA63" i="2"/>
  <c r="V40" i="2"/>
  <c r="Z69" i="2"/>
  <c r="AL51" i="2"/>
  <c r="V8" i="2"/>
  <c r="AM75" i="2"/>
  <c r="W30" i="2"/>
  <c r="AE64" i="2"/>
  <c r="R14" i="2"/>
  <c r="AF18" i="2"/>
  <c r="AG36" i="2"/>
  <c r="O6" i="2"/>
  <c r="AC61" i="2"/>
  <c r="G53" i="2"/>
  <c r="K19" i="2"/>
  <c r="AD38" i="2"/>
  <c r="AK57" i="2"/>
  <c r="S61" i="2"/>
  <c r="P19" i="2"/>
  <c r="V24" i="2"/>
  <c r="S28" i="2"/>
  <c r="X22" i="2"/>
  <c r="AF52" i="2"/>
  <c r="AJ50" i="2"/>
  <c r="Y12" i="2"/>
  <c r="L78" i="2"/>
  <c r="AA45" i="2"/>
  <c r="AK38" i="2"/>
  <c r="Z31" i="2"/>
  <c r="U27" i="2"/>
  <c r="Z73" i="2"/>
  <c r="AK46" i="2"/>
  <c r="H7" i="2"/>
  <c r="AJ56" i="2"/>
  <c r="M43" i="2"/>
  <c r="F18" i="2"/>
  <c r="T18" i="2"/>
  <c r="H9" i="2"/>
  <c r="P47" i="2"/>
  <c r="AB29" i="2"/>
  <c r="S23" i="2"/>
  <c r="T5" i="2"/>
  <c r="AG71" i="2"/>
  <c r="V75" i="2"/>
  <c r="AM71" i="2"/>
  <c r="Y55" i="2"/>
  <c r="AB13" i="2"/>
  <c r="R36" i="2"/>
  <c r="AD41" i="2"/>
  <c r="V36" i="2"/>
  <c r="R28" i="2"/>
  <c r="AE21" i="2"/>
  <c r="Z36" i="2"/>
  <c r="M45" i="2"/>
  <c r="H73" i="2"/>
  <c r="AM79" i="2"/>
  <c r="AK26" i="2"/>
  <c r="AG44" i="2"/>
  <c r="AG38" i="2"/>
  <c r="AA64" i="2"/>
  <c r="O7" i="2"/>
  <c r="AM65" i="2"/>
  <c r="AC28" i="2"/>
  <c r="AC73" i="2"/>
  <c r="AH21" i="2"/>
  <c r="R56" i="2"/>
  <c r="N29" i="2"/>
  <c r="O14" i="2"/>
  <c r="AJ55" i="2"/>
  <c r="L75" i="2"/>
  <c r="G31" i="2"/>
  <c r="AG17" i="2"/>
  <c r="O20" i="2"/>
  <c r="Z46" i="2"/>
  <c r="AK47" i="2"/>
  <c r="AJ31" i="2"/>
  <c r="Z20" i="2"/>
  <c r="E45" i="2"/>
  <c r="R77" i="2"/>
  <c r="AI68" i="2"/>
  <c r="AF14" i="2"/>
  <c r="AE58" i="2"/>
  <c r="AB74" i="2"/>
  <c r="AL43" i="2"/>
  <c r="G80" i="2"/>
  <c r="Z58" i="2"/>
  <c r="R5" i="2"/>
  <c r="L53" i="2"/>
  <c r="AB40" i="2"/>
  <c r="F25" i="2"/>
  <c r="Z33" i="2"/>
  <c r="AC44" i="2"/>
  <c r="O41" i="2"/>
  <c r="AF24" i="2"/>
  <c r="R8" i="2"/>
  <c r="G61" i="2"/>
  <c r="S54" i="2"/>
  <c r="F41" i="2"/>
  <c r="P8" i="2"/>
  <c r="I30" i="2"/>
  <c r="AC72" i="2"/>
  <c r="P18" i="2"/>
  <c r="AA4" i="2"/>
  <c r="U21" i="2"/>
  <c r="AE54" i="2"/>
  <c r="M22" i="2"/>
  <c r="AD43" i="2"/>
  <c r="F43" i="2"/>
  <c r="AC6" i="2"/>
  <c r="AE8" i="2"/>
  <c r="AC26" i="2"/>
  <c r="AF30" i="2"/>
  <c r="AF78" i="2"/>
  <c r="W26" i="2"/>
  <c r="AD78" i="2"/>
  <c r="AF64" i="2"/>
  <c r="N48" i="2"/>
  <c r="R42" i="2"/>
  <c r="W22" i="2"/>
  <c r="AJ19" i="2"/>
  <c r="AI35" i="2"/>
  <c r="H21" i="2"/>
  <c r="Y13" i="2"/>
  <c r="V11" i="2"/>
  <c r="AJ34" i="2"/>
  <c r="AL15" i="2"/>
  <c r="S55" i="2"/>
  <c r="AL25" i="2"/>
  <c r="M66" i="2"/>
  <c r="R59" i="2"/>
  <c r="S76" i="2"/>
  <c r="L62" i="2"/>
  <c r="M56" i="2"/>
  <c r="U74" i="2"/>
  <c r="AD80" i="2"/>
  <c r="O79" i="2"/>
  <c r="P26" i="2"/>
  <c r="L50" i="2"/>
  <c r="I19" i="2"/>
  <c r="AI41" i="2"/>
  <c r="F20" i="2"/>
  <c r="AK61" i="2"/>
  <c r="O80" i="2"/>
  <c r="AE29" i="2"/>
  <c r="AG75" i="2"/>
  <c r="AA70" i="2"/>
  <c r="G59" i="2"/>
  <c r="U52" i="2"/>
  <c r="J43" i="2"/>
  <c r="AD11" i="2"/>
  <c r="N75" i="2"/>
  <c r="K71" i="2"/>
  <c r="R9" i="2"/>
  <c r="AE27" i="2"/>
  <c r="V33" i="2"/>
  <c r="I24" i="2"/>
  <c r="Y17" i="2"/>
  <c r="J66" i="2"/>
  <c r="M79" i="2"/>
  <c r="Z47" i="2"/>
  <c r="K16" i="2"/>
  <c r="AI5" i="2"/>
  <c r="AC11" i="2"/>
  <c r="M9" i="2"/>
  <c r="H55" i="2"/>
  <c r="AM76" i="2"/>
  <c r="T22" i="2"/>
  <c r="W67" i="2"/>
  <c r="I62" i="2"/>
  <c r="K69" i="2"/>
  <c r="H36" i="2"/>
  <c r="J18" i="2"/>
  <c r="O69" i="2"/>
  <c r="K55" i="2"/>
  <c r="X14" i="2"/>
  <c r="AD65" i="2"/>
  <c r="K74" i="2"/>
  <c r="X80" i="2"/>
  <c r="Z12" i="2"/>
  <c r="F40" i="2"/>
  <c r="AK21" i="2"/>
  <c r="AH55" i="2"/>
  <c r="AB11" i="2"/>
  <c r="AA25" i="2"/>
  <c r="S75" i="2"/>
  <c r="AC76" i="2"/>
  <c r="R71" i="2"/>
  <c r="K7" i="2"/>
  <c r="E59" i="2"/>
  <c r="J7" i="2"/>
  <c r="AB42" i="2"/>
  <c r="P17" i="2"/>
  <c r="E56" i="2"/>
  <c r="AB61" i="2"/>
  <c r="G79" i="2"/>
  <c r="U41" i="2"/>
  <c r="I36" i="2"/>
  <c r="I29" i="2"/>
  <c r="N39" i="2"/>
  <c r="AG5" i="2"/>
  <c r="V6" i="2"/>
  <c r="G68" i="2"/>
  <c r="AM43" i="2"/>
  <c r="AK30" i="2"/>
  <c r="AH59" i="2"/>
  <c r="AC35" i="2"/>
  <c r="J54" i="2"/>
  <c r="N17" i="2"/>
  <c r="I58" i="2"/>
  <c r="Y5" i="2"/>
  <c r="AG79" i="2"/>
  <c r="F15" i="2"/>
  <c r="AG22" i="2"/>
  <c r="G63" i="2"/>
  <c r="AE19" i="2"/>
  <c r="P38" i="2"/>
  <c r="AB63" i="2"/>
  <c r="AL42" i="2"/>
  <c r="AH35" i="2"/>
  <c r="AK70" i="2"/>
  <c r="V67" i="2"/>
  <c r="G51" i="2"/>
  <c r="H11" i="2"/>
  <c r="G20" i="2"/>
  <c r="AE14" i="2"/>
  <c r="AC43" i="2"/>
  <c r="AM70" i="2"/>
  <c r="G42" i="2"/>
  <c r="G27" i="2"/>
  <c r="I28" i="2"/>
  <c r="U44" i="2"/>
  <c r="N38" i="2"/>
  <c r="H18" i="2"/>
  <c r="M77" i="2"/>
  <c r="AI54" i="2"/>
  <c r="I21" i="2"/>
  <c r="W49" i="2"/>
  <c r="AJ61" i="2"/>
  <c r="AF80" i="2"/>
  <c r="AB67" i="2"/>
  <c r="AF67" i="2"/>
  <c r="AJ53" i="2"/>
  <c r="G25" i="2"/>
  <c r="AC74" i="2"/>
  <c r="P41" i="2"/>
  <c r="Z61" i="2"/>
  <c r="O24" i="2"/>
  <c r="V44" i="2"/>
  <c r="AM68" i="2"/>
  <c r="AG63" i="2"/>
  <c r="K22" i="2"/>
  <c r="AK67" i="2"/>
  <c r="J51" i="2"/>
  <c r="AK39" i="2"/>
  <c r="AJ71" i="2"/>
  <c r="I41" i="2"/>
  <c r="F77" i="2"/>
  <c r="AD32" i="2"/>
  <c r="AL64" i="2"/>
  <c r="AH28" i="2"/>
  <c r="AE13" i="2"/>
  <c r="AC68" i="2"/>
  <c r="L32" i="2"/>
  <c r="AC13" i="2"/>
  <c r="AB78" i="2"/>
  <c r="K5" i="2"/>
  <c r="E13" i="2"/>
  <c r="AJ75" i="2"/>
  <c r="N70" i="2"/>
  <c r="G21" i="2"/>
  <c r="J68" i="2"/>
  <c r="I14" i="2"/>
  <c r="S34" i="2"/>
  <c r="AB37" i="2"/>
  <c r="T46" i="2"/>
  <c r="AM45" i="2"/>
  <c r="AI57" i="2"/>
  <c r="K4" i="2"/>
  <c r="AJ72" i="2"/>
  <c r="G76" i="2"/>
  <c r="U76" i="2"/>
  <c r="X75" i="2"/>
  <c r="AI9" i="2"/>
  <c r="AG74" i="2"/>
  <c r="AH78" i="2"/>
  <c r="E29" i="2"/>
  <c r="Y8" i="2"/>
  <c r="J41" i="2"/>
  <c r="F56" i="2"/>
  <c r="H60" i="2"/>
  <c r="AM38" i="2"/>
  <c r="G7" i="2"/>
  <c r="S35" i="2"/>
  <c r="G13" i="2"/>
  <c r="X47" i="2"/>
  <c r="AJ45" i="2"/>
  <c r="X6" i="2"/>
  <c r="AI25" i="2"/>
  <c r="AG29" i="2"/>
  <c r="L65" i="2"/>
  <c r="M12" i="2"/>
  <c r="AM58" i="2"/>
  <c r="AF17" i="2"/>
  <c r="J37" i="2"/>
  <c r="F73" i="2"/>
  <c r="AE30" i="2"/>
  <c r="P12" i="2"/>
  <c r="AE63" i="2"/>
  <c r="AL41" i="2"/>
  <c r="J14" i="2"/>
  <c r="O21" i="2"/>
  <c r="S59" i="2"/>
  <c r="T36" i="2"/>
  <c r="G36" i="2"/>
  <c r="M33" i="2"/>
  <c r="Y72" i="2"/>
  <c r="AG62" i="2"/>
  <c r="E77" i="2"/>
  <c r="S71" i="2"/>
  <c r="AF57" i="2"/>
  <c r="O51" i="2"/>
  <c r="M32" i="2"/>
  <c r="N13" i="2"/>
  <c r="U38" i="2"/>
  <c r="AC66" i="2"/>
  <c r="H52" i="2"/>
  <c r="F66" i="2"/>
  <c r="AD55" i="2"/>
  <c r="V54" i="2"/>
  <c r="AB64" i="2"/>
  <c r="AF71" i="2"/>
  <c r="AH14" i="2"/>
  <c r="T51" i="2"/>
  <c r="T72" i="2"/>
  <c r="AL46" i="2"/>
  <c r="K66" i="2"/>
  <c r="AA28" i="2"/>
  <c r="AD6" i="2"/>
  <c r="M19" i="2"/>
  <c r="T80" i="2"/>
  <c r="AD48" i="2"/>
  <c r="AJ36" i="2"/>
  <c r="K51" i="2"/>
  <c r="W34" i="2"/>
  <c r="AF53" i="2"/>
  <c r="AL11" i="2"/>
  <c r="U79" i="2"/>
  <c r="G43" i="2"/>
  <c r="F21" i="2"/>
  <c r="L58" i="2"/>
  <c r="AC57" i="2"/>
  <c r="J53" i="2"/>
  <c r="AH53" i="2"/>
  <c r="N67" i="2"/>
  <c r="V38" i="2"/>
  <c r="AJ39" i="2"/>
  <c r="Y29" i="2"/>
  <c r="P36" i="2"/>
  <c r="W48" i="2"/>
  <c r="AG51" i="2"/>
  <c r="S50" i="2"/>
  <c r="P4" i="2"/>
  <c r="W66" i="2"/>
  <c r="AB14" i="2"/>
  <c r="AA76" i="2"/>
  <c r="AI18" i="2"/>
  <c r="P14" i="2"/>
  <c r="J77" i="2"/>
  <c r="V57" i="2"/>
  <c r="R24" i="2"/>
  <c r="F61" i="2"/>
  <c r="AK25" i="2"/>
  <c r="I51" i="2"/>
  <c r="AF6" i="2"/>
  <c r="I61" i="2"/>
  <c r="AJ51" i="2"/>
  <c r="H23" i="2"/>
  <c r="R46" i="2"/>
  <c r="R74" i="2"/>
  <c r="U61" i="2"/>
  <c r="K32" i="2"/>
  <c r="T34" i="2"/>
  <c r="T71" i="2"/>
  <c r="J31" i="2"/>
  <c r="AH39" i="2"/>
  <c r="L30" i="2"/>
  <c r="P58" i="2"/>
  <c r="AB49" i="2"/>
  <c r="E64" i="2"/>
  <c r="N11" i="2"/>
  <c r="I34" i="2"/>
  <c r="E17" i="2"/>
  <c r="O5" i="2"/>
  <c r="K52" i="2"/>
  <c r="K26" i="2"/>
  <c r="H40" i="2"/>
  <c r="M70" i="2"/>
  <c r="Y41" i="2"/>
  <c r="R80" i="2"/>
  <c r="V12" i="2"/>
  <c r="L39" i="2"/>
  <c r="N30" i="2"/>
  <c r="AD39" i="2"/>
  <c r="I39" i="2"/>
  <c r="AH62" i="2"/>
  <c r="AK24" i="2"/>
  <c r="AG78" i="2"/>
  <c r="M65" i="2"/>
  <c r="T56" i="2"/>
  <c r="V25" i="2"/>
  <c r="M49" i="2"/>
  <c r="F32" i="2"/>
  <c r="AC45" i="2"/>
  <c r="AG58" i="2"/>
  <c r="AI70" i="2"/>
  <c r="AD27" i="2"/>
  <c r="V27" i="2"/>
  <c r="S15" i="2"/>
  <c r="T19" i="2"/>
  <c r="S60" i="2"/>
  <c r="L11" i="2"/>
  <c r="Z7" i="2"/>
  <c r="T13" i="2"/>
  <c r="N34" i="2"/>
  <c r="AE77" i="2"/>
  <c r="AL55" i="2"/>
  <c r="E31" i="2"/>
  <c r="K17" i="2"/>
  <c r="AA35" i="2"/>
  <c r="Z59" i="2"/>
  <c r="V5" i="2"/>
  <c r="H77" i="2"/>
  <c r="AL8" i="2"/>
  <c r="X21" i="2"/>
  <c r="O57" i="2"/>
  <c r="AF43" i="2"/>
  <c r="J49" i="2"/>
  <c r="AG7" i="2"/>
  <c r="AL58" i="2"/>
  <c r="AI63" i="2"/>
  <c r="R45" i="2"/>
  <c r="I37" i="2"/>
  <c r="AA7" i="2"/>
  <c r="AL38" i="2"/>
  <c r="H54" i="2"/>
  <c r="S79" i="2"/>
  <c r="P60" i="2"/>
  <c r="E48" i="2"/>
  <c r="J35" i="2"/>
  <c r="G26" i="2"/>
  <c r="R67" i="2"/>
  <c r="F38" i="2"/>
  <c r="T4" i="2"/>
  <c r="R4" i="2"/>
  <c r="T24" i="2"/>
  <c r="V43" i="2"/>
  <c r="F80" i="2"/>
  <c r="U13" i="2"/>
  <c r="N36" i="2"/>
  <c r="Y37" i="2"/>
  <c r="V26" i="2"/>
  <c r="G22" i="2"/>
  <c r="AD67" i="2"/>
  <c r="U23" i="2"/>
  <c r="P13" i="2"/>
  <c r="AJ67" i="2"/>
  <c r="U45" i="2"/>
  <c r="N68" i="2"/>
  <c r="AE32" i="2"/>
  <c r="AD70" i="2"/>
  <c r="N56" i="2"/>
  <c r="AH54" i="2"/>
  <c r="G4" i="2"/>
  <c r="AE62" i="2"/>
  <c r="L8" i="2"/>
  <c r="AE15" i="2"/>
  <c r="AK23" i="2"/>
  <c r="Z64" i="2"/>
  <c r="F42" i="2"/>
  <c r="W80" i="2"/>
  <c r="AD53" i="2"/>
  <c r="AE47" i="2"/>
  <c r="M50" i="2"/>
  <c r="J17" i="2"/>
  <c r="Y71" i="2"/>
  <c r="S70" i="2"/>
  <c r="AH33" i="2"/>
  <c r="AM26" i="2"/>
  <c r="X33" i="2"/>
  <c r="H4" i="2"/>
  <c r="AE55" i="2"/>
  <c r="V49" i="2"/>
  <c r="AF34" i="2"/>
  <c r="AH45" i="2"/>
  <c r="Z8" i="2"/>
  <c r="U72" i="2"/>
  <c r="M25" i="2"/>
  <c r="H16" i="2"/>
  <c r="J48" i="2"/>
  <c r="T52" i="2"/>
  <c r="F26" i="2"/>
  <c r="J65" i="2"/>
  <c r="R58" i="2"/>
  <c r="AG34" i="2"/>
  <c r="AL14" i="2"/>
  <c r="Y20" i="2"/>
  <c r="Z49" i="2"/>
  <c r="AI75" i="2"/>
  <c r="AG47" i="2"/>
  <c r="E24" i="2"/>
  <c r="J79" i="2"/>
  <c r="U69" i="2"/>
  <c r="R40" i="2"/>
  <c r="AG31" i="2"/>
  <c r="L47" i="2"/>
  <c r="H45" i="2"/>
  <c r="AM62" i="2"/>
  <c r="P31" i="2"/>
  <c r="AE38" i="2"/>
  <c r="AM14" i="2"/>
  <c r="O65" i="2"/>
  <c r="E52" i="2"/>
  <c r="AL79" i="2"/>
  <c r="I44" i="2"/>
  <c r="X8" i="2"/>
  <c r="N71" i="2"/>
  <c r="AK32" i="2"/>
  <c r="AB23" i="2"/>
  <c r="AB69" i="2"/>
  <c r="Y4" i="2"/>
  <c r="T12" i="2"/>
  <c r="Y9" i="2"/>
  <c r="AG28" i="2"/>
  <c r="AK54" i="2"/>
  <c r="AE71" i="2"/>
  <c r="AF15" i="2"/>
  <c r="AJ78" i="2"/>
  <c r="S73" i="2"/>
  <c r="U18" i="2"/>
  <c r="AM55" i="2"/>
  <c r="W39" i="2"/>
  <c r="AI69" i="2"/>
  <c r="G50" i="2"/>
  <c r="V13" i="2"/>
  <c r="W47" i="2"/>
  <c r="AM47" i="2"/>
  <c r="G57" i="2"/>
  <c r="AG16" i="2"/>
  <c r="AI7" i="2"/>
  <c r="T78" i="2"/>
  <c r="O26" i="2"/>
  <c r="AI31" i="2"/>
  <c r="Y35" i="2"/>
  <c r="Z38" i="2"/>
  <c r="AM19" i="2"/>
  <c r="AG65" i="2"/>
  <c r="AG4" i="2"/>
  <c r="AH66" i="2"/>
  <c r="K60" i="2"/>
  <c r="AG12" i="2"/>
  <c r="Z54" i="2"/>
  <c r="K44" i="2"/>
  <c r="AK19" i="2"/>
  <c r="K63" i="2"/>
  <c r="W51" i="2"/>
  <c r="AA68" i="2"/>
  <c r="AF69" i="2"/>
  <c r="AE18" i="2"/>
  <c r="M29" i="2"/>
  <c r="M23" i="2"/>
  <c r="N5" i="2"/>
  <c r="L16" i="2"/>
  <c r="AI38" i="2"/>
  <c r="J12" i="2"/>
  <c r="AF48" i="2"/>
  <c r="AD37" i="2"/>
  <c r="X73" i="2"/>
  <c r="U24" i="2"/>
  <c r="Y24" i="2"/>
  <c r="X66" i="2"/>
  <c r="AA54" i="2"/>
  <c r="R60" i="2"/>
  <c r="W5" i="2"/>
  <c r="M39" i="2"/>
  <c r="AB32" i="2"/>
  <c r="U54" i="2"/>
  <c r="X71" i="2"/>
  <c r="I26" i="2"/>
  <c r="T31" i="2"/>
  <c r="AE28" i="2"/>
  <c r="U33" i="2"/>
  <c r="AH10" i="2"/>
  <c r="AK64" i="2"/>
  <c r="W11" i="2"/>
  <c r="V53" i="2"/>
  <c r="AF22" i="2"/>
  <c r="AA52" i="2"/>
  <c r="O22" i="2"/>
  <c r="AK78" i="2"/>
  <c r="V71" i="2"/>
  <c r="X42" i="2"/>
  <c r="F63" i="2"/>
  <c r="F64" i="2"/>
  <c r="AE69" i="2"/>
  <c r="AD58" i="2"/>
  <c r="AI49" i="2"/>
  <c r="J60" i="2"/>
  <c r="J44" i="2"/>
  <c r="AI72" i="2"/>
  <c r="X51" i="2"/>
  <c r="L77" i="2"/>
  <c r="L59" i="2"/>
  <c r="AA62" i="2"/>
  <c r="O78" i="2"/>
  <c r="AM73" i="2"/>
  <c r="O70" i="2"/>
  <c r="AM63" i="2"/>
  <c r="E8" i="2"/>
  <c r="E5" i="2"/>
  <c r="AA22" i="2"/>
  <c r="R54" i="2"/>
  <c r="N40" i="2"/>
  <c r="AB80" i="2"/>
  <c r="V80" i="2"/>
  <c r="AH57" i="2"/>
  <c r="AI28" i="2"/>
  <c r="AI62" i="2"/>
  <c r="AL40" i="2"/>
  <c r="AC27" i="2"/>
  <c r="L60" i="2"/>
  <c r="J10" i="2"/>
  <c r="AK12" i="2"/>
  <c r="AF42" i="2"/>
  <c r="E26" i="2"/>
  <c r="AK36" i="2"/>
  <c r="AI78" i="2"/>
  <c r="AE74" i="2"/>
  <c r="N72" i="2"/>
  <c r="K47" i="2"/>
  <c r="AF79" i="2"/>
  <c r="AC78" i="2"/>
  <c r="AC79" i="2"/>
  <c r="F6" i="2"/>
  <c r="E15" i="2"/>
  <c r="W68" i="2"/>
  <c r="T74" i="2"/>
  <c r="AH19" i="2"/>
  <c r="AB9" i="2"/>
  <c r="AA61" i="2"/>
  <c r="AL6" i="2"/>
  <c r="N43" i="2"/>
  <c r="AL29" i="2"/>
  <c r="AH38" i="2"/>
  <c r="H69" i="2"/>
  <c r="AJ4" i="2"/>
  <c r="AI73" i="2"/>
  <c r="H51" i="2"/>
  <c r="L80" i="2"/>
  <c r="R57" i="2"/>
  <c r="AA23" i="2"/>
  <c r="AI79" i="2"/>
  <c r="Y62" i="2"/>
  <c r="T15" i="2"/>
  <c r="AC55" i="2"/>
  <c r="AJ7" i="2"/>
  <c r="F68" i="2"/>
  <c r="AG49" i="2"/>
  <c r="R15" i="2"/>
  <c r="H5" i="2"/>
  <c r="P62" i="2"/>
  <c r="U65" i="2"/>
  <c r="AB4" i="2"/>
  <c r="AK42" i="2"/>
  <c r="I74" i="2"/>
  <c r="I16" i="2"/>
  <c r="W78" i="2"/>
  <c r="M78" i="2"/>
  <c r="AH58" i="2"/>
  <c r="AE53" i="2"/>
  <c r="P24" i="2"/>
  <c r="AB27" i="2"/>
  <c r="M52" i="2"/>
  <c r="AD13" i="2"/>
  <c r="U28" i="2"/>
  <c r="G71" i="2"/>
  <c r="N8" i="2"/>
  <c r="X67" i="2"/>
  <c r="Z6" i="2"/>
  <c r="AB76" i="2"/>
  <c r="L64" i="2"/>
  <c r="E76" i="2"/>
  <c r="AI45" i="2"/>
  <c r="U26" i="2"/>
  <c r="AD54" i="2"/>
  <c r="F59" i="2"/>
  <c r="J19" i="2"/>
  <c r="AB38" i="2"/>
  <c r="AG76" i="2"/>
  <c r="K62" i="2"/>
  <c r="AH44" i="2"/>
  <c r="P23" i="2"/>
  <c r="N24" i="2"/>
  <c r="N23" i="2"/>
  <c r="N63" i="2"/>
  <c r="AJ14" i="2"/>
  <c r="M69" i="2"/>
  <c r="AL54" i="2"/>
  <c r="L24" i="2"/>
  <c r="AE78" i="2"/>
  <c r="L48" i="2"/>
  <c r="H30" i="2"/>
  <c r="AB68" i="2"/>
  <c r="AE76" i="2"/>
  <c r="K21" i="2"/>
  <c r="AD12" i="2"/>
  <c r="G52" i="2"/>
  <c r="W19" i="2"/>
  <c r="AC12" i="2"/>
  <c r="U19" i="2"/>
  <c r="V19" i="2"/>
  <c r="AL16" i="2"/>
  <c r="Z26" i="2"/>
  <c r="AI71" i="2"/>
  <c r="AH56" i="2"/>
  <c r="AL7" i="2"/>
  <c r="P56" i="2"/>
  <c r="U15" i="2"/>
  <c r="AM27" i="2"/>
  <c r="AK56" i="2"/>
  <c r="T30" i="2"/>
  <c r="Z57" i="2"/>
  <c r="AK69" i="2"/>
  <c r="AA72" i="2"/>
  <c r="AJ69" i="2"/>
  <c r="AM44" i="2"/>
  <c r="H38" i="2"/>
  <c r="O52" i="2"/>
  <c r="S74" i="2"/>
  <c r="AH41" i="2"/>
  <c r="AG43" i="2"/>
  <c r="J69" i="2"/>
  <c r="U12" i="2"/>
  <c r="N12" i="2"/>
  <c r="AF4" i="2"/>
  <c r="P67" i="2"/>
  <c r="Y10" i="2"/>
  <c r="H49" i="2"/>
  <c r="O47" i="2"/>
  <c r="U49" i="2"/>
  <c r="H79" i="2"/>
  <c r="L43" i="2"/>
  <c r="AA21" i="2"/>
  <c r="AB35" i="2"/>
  <c r="AE79" i="2"/>
  <c r="AC62" i="2"/>
  <c r="AJ74" i="2"/>
  <c r="K13" i="2"/>
  <c r="M21" i="2"/>
  <c r="K34" i="2"/>
  <c r="AD7" i="2"/>
  <c r="AJ16" i="2"/>
  <c r="AM48" i="2"/>
  <c r="AA77" i="2"/>
  <c r="AI56" i="2"/>
  <c r="AB50" i="2"/>
  <c r="I54" i="2"/>
  <c r="AD79" i="2"/>
  <c r="V52" i="2"/>
  <c r="Z60" i="2"/>
  <c r="AF74" i="2"/>
  <c r="Y6" i="2"/>
  <c r="AF38" i="2"/>
  <c r="Y65" i="2"/>
  <c r="AJ48" i="2"/>
  <c r="R32" i="2"/>
  <c r="AB24" i="2"/>
  <c r="AK43" i="2"/>
  <c r="L34" i="2"/>
  <c r="W71" i="2"/>
  <c r="G30" i="2"/>
  <c r="N57" i="2"/>
  <c r="L72" i="2"/>
  <c r="AM25" i="2"/>
  <c r="AE37" i="2"/>
  <c r="I27" i="2"/>
  <c r="AJ29" i="2"/>
  <c r="O49" i="2"/>
  <c r="AL62" i="2"/>
  <c r="F11" i="2"/>
  <c r="AF39" i="2"/>
  <c r="AD15" i="2"/>
  <c r="K77" i="2"/>
  <c r="Z27" i="2"/>
  <c r="M5" i="2"/>
  <c r="AD51" i="2"/>
  <c r="N59" i="2"/>
  <c r="O61" i="2"/>
  <c r="P59" i="2"/>
  <c r="H56" i="2"/>
  <c r="AM12" i="2"/>
  <c r="I80" i="2"/>
  <c r="M74" i="2"/>
  <c r="AL44" i="2"/>
  <c r="AF75" i="2"/>
  <c r="AG69" i="2"/>
  <c r="AL73" i="2"/>
  <c r="G11" i="2"/>
  <c r="AK45" i="2"/>
  <c r="AF51" i="2"/>
  <c r="F79" i="2"/>
  <c r="G34" i="2"/>
  <c r="O30" i="2"/>
  <c r="U77" i="2"/>
  <c r="T35" i="2"/>
  <c r="U46" i="2"/>
  <c r="AE6" i="2"/>
  <c r="AE10" i="2"/>
  <c r="AF27" i="2"/>
  <c r="E39" i="2"/>
  <c r="AI26" i="2"/>
  <c r="M80" i="2"/>
  <c r="AM36" i="2"/>
  <c r="Z35" i="2"/>
  <c r="AE66" i="2"/>
  <c r="R65" i="2"/>
  <c r="AM21" i="2"/>
  <c r="V77" i="2"/>
  <c r="J21" i="2"/>
  <c r="AA60" i="2"/>
  <c r="AL76" i="2"/>
  <c r="V15" i="2"/>
  <c r="O48" i="2"/>
  <c r="M61" i="2"/>
  <c r="AF49" i="2"/>
  <c r="I57" i="2"/>
  <c r="AA56" i="2"/>
  <c r="I15" i="2"/>
  <c r="AA13" i="2"/>
  <c r="AI64" i="2"/>
  <c r="K64" i="2"/>
  <c r="G28" i="2"/>
  <c r="F67" i="2"/>
  <c r="L9" i="2"/>
  <c r="P61" i="2"/>
  <c r="V14" i="2"/>
  <c r="AM39" i="2"/>
  <c r="AG66" i="2"/>
  <c r="T42" i="2"/>
  <c r="I70" i="2"/>
  <c r="M31" i="2"/>
  <c r="AK77" i="2"/>
  <c r="AK58" i="2"/>
  <c r="E37" i="2"/>
  <c r="I67" i="2"/>
  <c r="Z37" i="2"/>
  <c r="J56" i="2"/>
  <c r="E60" i="2"/>
  <c r="AD23" i="2"/>
  <c r="V55" i="2"/>
  <c r="S63" i="2"/>
  <c r="K39" i="2"/>
  <c r="AG14" i="2"/>
  <c r="I78" i="2"/>
  <c r="AJ76" i="2"/>
  <c r="T73" i="2"/>
  <c r="R6" i="2"/>
  <c r="AL17" i="2"/>
  <c r="R38" i="2"/>
  <c r="F54" i="2"/>
  <c r="I20" i="2"/>
  <c r="AJ13" i="2"/>
  <c r="AF61" i="2"/>
  <c r="AI33" i="2"/>
  <c r="G56" i="2"/>
  <c r="AI27" i="2"/>
  <c r="Y36" i="2"/>
  <c r="F37" i="2"/>
  <c r="AA73" i="2"/>
  <c r="AD52" i="2"/>
  <c r="M42" i="2"/>
  <c r="AG53" i="2"/>
  <c r="J20" i="2"/>
  <c r="M72" i="2"/>
  <c r="AK4" i="2"/>
  <c r="Y53" i="2"/>
  <c r="H12" i="2"/>
  <c r="H19" i="2"/>
  <c r="AJ22" i="2"/>
  <c r="H66" i="2"/>
  <c r="L68" i="2"/>
  <c r="AA48" i="2"/>
  <c r="W18" i="2"/>
  <c r="O17" i="2"/>
  <c r="L49" i="2"/>
  <c r="K76" i="2"/>
  <c r="W20" i="2"/>
  <c r="N65" i="2"/>
  <c r="G19" i="2"/>
  <c r="AB39" i="2"/>
  <c r="L76" i="2"/>
  <c r="O40" i="2"/>
  <c r="N69" i="2"/>
  <c r="S80" i="2"/>
  <c r="AC58" i="2"/>
  <c r="J33" i="2"/>
  <c r="AK71" i="2"/>
  <c r="T61" i="2"/>
  <c r="L25" i="2"/>
  <c r="P30" i="2"/>
  <c r="AA14" i="2"/>
  <c r="T45" i="2"/>
  <c r="E18" i="2"/>
  <c r="G9" i="2"/>
  <c r="AJ42" i="2"/>
  <c r="L19" i="2"/>
  <c r="AB31" i="2"/>
  <c r="AE39" i="2"/>
  <c r="X57" i="2"/>
  <c r="AA79" i="2"/>
  <c r="AH17" i="2"/>
  <c r="AD62" i="2"/>
  <c r="AM30" i="2"/>
  <c r="AM9" i="2"/>
  <c r="H67" i="2"/>
  <c r="AG10" i="2"/>
  <c r="X13" i="2"/>
  <c r="AC70" i="2"/>
  <c r="Y14" i="2"/>
  <c r="AJ12" i="2"/>
  <c r="O64" i="2"/>
  <c r="W64" i="2"/>
  <c r="AF56" i="2"/>
  <c r="F65" i="2"/>
  <c r="AK79" i="2"/>
  <c r="AI48" i="2"/>
  <c r="M58" i="2"/>
  <c r="AJ68" i="2"/>
  <c r="V20" i="2"/>
  <c r="Y54" i="2"/>
  <c r="I32" i="2"/>
  <c r="V34" i="2"/>
  <c r="AB28" i="2"/>
  <c r="M55" i="2"/>
  <c r="AK15" i="2"/>
  <c r="H80" i="2"/>
  <c r="E22" i="2"/>
  <c r="AD19" i="2"/>
  <c r="AH13" i="2"/>
  <c r="AD66" i="2"/>
  <c r="E57" i="2"/>
  <c r="AB15" i="2"/>
  <c r="N47" i="2"/>
  <c r="Y31" i="2"/>
  <c r="AF12" i="2"/>
  <c r="S33" i="2"/>
  <c r="R30" i="2"/>
  <c r="AL49" i="2"/>
  <c r="AD47" i="2"/>
  <c r="O63" i="2"/>
  <c r="X5" i="2"/>
  <c r="Z19" i="2"/>
  <c r="Y46" i="2"/>
  <c r="AK60" i="2"/>
  <c r="E75" i="2"/>
  <c r="O76" i="2"/>
  <c r="AJ20" i="2"/>
  <c r="X46" i="2"/>
  <c r="V78" i="2"/>
  <c r="U20" i="2"/>
  <c r="J4" i="2"/>
  <c r="U53" i="2"/>
  <c r="J76" i="2"/>
  <c r="AE60" i="2"/>
  <c r="I17" i="2"/>
  <c r="K18" i="2"/>
  <c r="E67" i="2"/>
  <c r="J39" i="2"/>
  <c r="AA46" i="2"/>
  <c r="Y7" i="2"/>
  <c r="AA66" i="2"/>
  <c r="AD4" i="2"/>
  <c r="Z76" i="2"/>
  <c r="AH70" i="2"/>
  <c r="P76" i="2"/>
  <c r="T28" i="2"/>
  <c r="M10" i="2"/>
  <c r="AC63" i="2"/>
  <c r="AM42" i="2"/>
  <c r="H62" i="2"/>
  <c r="AH50" i="2"/>
  <c r="O53" i="2"/>
  <c r="Z43" i="2"/>
  <c r="K12" i="2"/>
  <c r="K78" i="2"/>
  <c r="N14" i="2"/>
  <c r="P34" i="2"/>
  <c r="G70" i="2"/>
  <c r="L55" i="2"/>
  <c r="E53" i="2"/>
  <c r="Y49" i="2"/>
  <c r="Y38" i="2"/>
  <c r="AI15" i="2"/>
  <c r="E21" i="2"/>
  <c r="AG56" i="2"/>
  <c r="J16" i="2"/>
  <c r="W29" i="2"/>
  <c r="K45" i="2"/>
  <c r="R35" i="2"/>
  <c r="J46" i="2"/>
  <c r="AG54" i="2"/>
  <c r="AA30" i="2"/>
  <c r="AM7" i="2"/>
  <c r="E46" i="2"/>
  <c r="S10" i="2"/>
  <c r="AB33" i="2"/>
  <c r="AD68" i="2"/>
  <c r="AE33" i="2"/>
  <c r="AM8" i="2"/>
  <c r="N28" i="2"/>
  <c r="K35" i="2"/>
  <c r="AA34" i="2"/>
  <c r="G10" i="2"/>
  <c r="K40" i="2"/>
  <c r="M67" i="2"/>
  <c r="L79" i="2"/>
  <c r="AE20" i="2"/>
  <c r="U63" i="2"/>
  <c r="P5" i="2"/>
  <c r="J34" i="2"/>
  <c r="AB17" i="2"/>
  <c r="H64" i="2"/>
  <c r="AI59" i="2"/>
  <c r="V18" i="2"/>
  <c r="AA41" i="2"/>
  <c r="AF25" i="2"/>
  <c r="W13" i="2"/>
  <c r="T27" i="2"/>
  <c r="AG39" i="2"/>
  <c r="V60" i="2"/>
  <c r="F30" i="2"/>
  <c r="AF10" i="2"/>
  <c r="Y28" i="2"/>
  <c r="F19" i="2"/>
  <c r="E7" i="2"/>
  <c r="Z23" i="2"/>
  <c r="X74" i="2"/>
  <c r="P80" i="2"/>
  <c r="X52" i="2"/>
  <c r="AI51" i="2"/>
  <c r="N53" i="2"/>
  <c r="AM60" i="2"/>
  <c r="T77" i="2"/>
  <c r="F23" i="2"/>
  <c r="K53" i="2"/>
  <c r="L33" i="2"/>
  <c r="AM32" i="2"/>
  <c r="S22" i="2"/>
  <c r="AB62" i="2"/>
  <c r="AH80" i="2"/>
  <c r="Y78" i="2"/>
  <c r="K11" i="2"/>
  <c r="V73" i="2"/>
  <c r="R53" i="2"/>
  <c r="AH79" i="2"/>
  <c r="AC34" i="2"/>
  <c r="AB75" i="2"/>
  <c r="AK53" i="2"/>
  <c r="AE26" i="2"/>
  <c r="T55" i="2"/>
  <c r="AI80" i="2"/>
  <c r="U75" i="2"/>
  <c r="AL53" i="2"/>
  <c r="G40" i="2"/>
  <c r="AA38" i="2"/>
  <c r="M44" i="2"/>
  <c r="AK65" i="2"/>
  <c r="E38" i="2"/>
  <c r="Y40" i="2"/>
  <c r="AM51" i="2"/>
  <c r="AK37" i="2"/>
  <c r="AD75" i="2"/>
  <c r="AG23" i="2"/>
  <c r="AG15" i="2"/>
  <c r="AD14" i="2"/>
  <c r="F34" i="2"/>
  <c r="E66" i="2"/>
  <c r="Z68" i="2"/>
  <c r="AB12" i="2"/>
  <c r="AK59" i="2"/>
  <c r="AF41" i="2"/>
  <c r="AJ6" i="2"/>
  <c r="U50" i="2"/>
  <c r="L52" i="2"/>
</calcChain>
</file>

<file path=xl/sharedStrings.xml><?xml version="1.0" encoding="utf-8"?>
<sst xmlns="http://schemas.openxmlformats.org/spreadsheetml/2006/main" count="4922" uniqueCount="961">
  <si>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</si>
  <si>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</si>
  <si>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</si>
  <si>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</si>
  <si>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</si>
  <si>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</si>
  <si>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</si>
  <si>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</si>
  <si>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</si>
  <si>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</si>
  <si>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</si>
  <si>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</si>
  <si>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</si>
  <si>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</si>
  <si>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</si>
  <si>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</si>
  <si>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</si>
  <si>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</si>
  <si>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</si>
  <si>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</si>
  <si>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</si>
  <si>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</si>
  <si>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</si>
  <si>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</si>
  <si>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</si>
  <si>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</si>
  <si>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</si>
  <si>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</si>
  <si>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</si>
  <si>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</si>
  <si>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</si>
  <si>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</si>
  <si>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</si>
  <si>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</si>
  <si>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</si>
  <si>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</si>
  <si>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</si>
  <si>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</si>
  <si>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</si>
  <si>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</si>
  <si>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</si>
  <si>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</si>
  <si>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</si>
  <si>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</si>
  <si>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</si>
  <si>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</si>
  <si>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</si>
  <si>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</si>
  <si>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</si>
  <si>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</si>
  <si>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</si>
  <si>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</si>
  <si>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</si>
  <si>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</si>
  <si>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</si>
  <si>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</si>
  <si>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</si>
  <si>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</si>
  <si>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</si>
  <si>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</si>
  <si>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</si>
  <si>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</si>
  <si>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</si>
  <si>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</si>
  <si>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</si>
  <si>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</si>
  <si>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</si>
  <si>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</si>
  <si>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</si>
  <si>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</si>
  <si>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</si>
  <si>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</si>
  <si>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</si>
  <si>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</si>
  <si>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</si>
  <si>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</si>
  <si>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</si>
  <si>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</si>
  <si>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</si>
  <si>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</si>
  <si>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</si>
  <si>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</si>
  <si>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</si>
  <si>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</si>
  <si>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</si>
  <si>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</si>
  <si>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</si>
  <si>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</si>
  <si>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</si>
  <si>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</si>
  <si>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</si>
  <si>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</si>
  <si>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</si>
  <si>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</si>
  <si>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</si>
  <si>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</si>
  <si>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</si>
  <si>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</si>
  <si>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</si>
  <si>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</si>
  <si>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</si>
  <si>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</si>
  <si>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</si>
  <si>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</si>
  <si>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</si>
  <si>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</si>
  <si>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</si>
  <si>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</si>
  <si>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</si>
  <si>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</si>
  <si>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</si>
  <si>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</si>
  <si>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</si>
  <si>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</si>
  <si>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</si>
  <si>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</si>
  <si>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</si>
  <si>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</si>
  <si>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</si>
  <si>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</si>
  <si>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</si>
  <si>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</si>
  <si>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</si>
  <si>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</si>
  <si>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</si>
  <si>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</si>
  <si>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</si>
  <si>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</si>
  <si>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</si>
  <si>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</si>
  <si>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</si>
  <si>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</si>
  <si>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</si>
  <si>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</si>
  <si>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</si>
  <si>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</si>
  <si>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</si>
  <si>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</si>
  <si>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</si>
  <si>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</si>
  <si>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</si>
  <si>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</si>
  <si>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</si>
  <si>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</si>
  <si>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</si>
  <si>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</si>
  <si>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</si>
  <si>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</si>
  <si>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</si>
  <si>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</si>
  <si>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</si>
  <si>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</si>
  <si>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</si>
  <si>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</si>
  <si>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</si>
  <si>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</si>
  <si>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</si>
  <si>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</si>
  <si>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</si>
  <si>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</si>
  <si>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</si>
  <si>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</si>
  <si>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</si>
  <si>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</si>
  <si>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</si>
  <si>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</si>
  <si>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</si>
  <si>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</si>
  <si>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</si>
  <si>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</si>
  <si>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</si>
  <si>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</si>
  <si>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</si>
  <si>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</si>
  <si>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</si>
  <si>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</si>
  <si>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</si>
  <si>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</si>
  <si>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</si>
  <si>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</si>
  <si>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</si>
  <si>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</si>
  <si>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</si>
  <si>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</si>
  <si>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</si>
  <si>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</si>
  <si>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</si>
  <si>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</si>
  <si>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</si>
  <si>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</si>
  <si>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</si>
  <si>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</si>
  <si>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</si>
  <si>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</si>
  <si>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</si>
  <si>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</si>
  <si>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</si>
  <si>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</si>
  <si>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</si>
  <si>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</si>
  <si>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</si>
  <si>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</si>
  <si>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</si>
  <si>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</si>
  <si>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</si>
  <si>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</si>
  <si>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</si>
  <si>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</si>
  <si>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</si>
  <si>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</si>
  <si>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</si>
  <si>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</si>
  <si>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</si>
  <si>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</si>
  <si>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</si>
  <si>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</si>
  <si>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</si>
  <si>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</si>
  <si>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</si>
  <si>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</si>
  <si>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</si>
  <si>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</si>
  <si>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</si>
  <si>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</si>
  <si>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</si>
  <si>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</si>
  <si>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</si>
  <si>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</si>
  <si>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</si>
  <si>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</si>
  <si>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</si>
  <si>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</si>
  <si>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</si>
  <si>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</si>
  <si>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</si>
  <si>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</si>
  <si>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</si>
  <si>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</si>
  <si>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</si>
  <si>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</si>
  <si>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</si>
  <si>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</si>
  <si>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</si>
  <si>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</si>
  <si>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</si>
  <si>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</si>
  <si>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</si>
  <si>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</si>
  <si>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</si>
  <si>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</si>
  <si>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</si>
  <si>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</si>
  <si>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</si>
  <si>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</si>
  <si>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</si>
  <si>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</si>
  <si>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</si>
  <si>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</si>
  <si>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</si>
  <si>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</si>
  <si>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</si>
  <si>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</si>
  <si>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</si>
  <si>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</si>
  <si>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</si>
  <si>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</si>
  <si>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</si>
  <si>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</si>
  <si>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</si>
  <si>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</si>
  <si>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</si>
  <si>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</si>
  <si>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</si>
  <si>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</si>
  <si>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</si>
  <si>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</si>
  <si>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</si>
  <si>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</si>
  <si>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</si>
  <si>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</si>
  <si>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</si>
  <si>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</si>
  <si>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</si>
  <si>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</si>
  <si>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</si>
  <si>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</si>
  <si>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</si>
  <si>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</si>
  <si>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</si>
  <si>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</si>
  <si>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</si>
  <si>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</si>
  <si>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</si>
  <si>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</si>
  <si>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</si>
  <si>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</si>
  <si>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</si>
  <si>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</si>
  <si>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</si>
  <si>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</si>
  <si>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</si>
  <si>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</si>
  <si>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</si>
  <si>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</si>
  <si>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</si>
  <si>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</si>
  <si>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</si>
  <si>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</si>
  <si>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</si>
  <si>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</si>
  <si>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</si>
  <si>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</si>
  <si>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</si>
  <si>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</si>
  <si>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</si>
  <si>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</si>
  <si>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</si>
  <si>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</si>
  <si>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</si>
  <si>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</si>
  <si>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</si>
  <si>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</si>
  <si>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</si>
  <si>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</si>
  <si>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</si>
  <si>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</si>
  <si>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</si>
  <si>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</si>
  <si>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</si>
  <si>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</si>
  <si>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</si>
  <si>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</si>
  <si>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</si>
  <si>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</si>
  <si>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</si>
  <si>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</si>
  <si>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</si>
  <si>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</si>
  <si>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</si>
  <si>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</si>
  <si>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</si>
  <si>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</si>
  <si>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</si>
  <si>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</si>
  <si>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</si>
  <si>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</si>
  <si>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</si>
  <si>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</si>
  <si>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</si>
  <si>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</si>
  <si>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</si>
  <si>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</si>
  <si>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</si>
  <si>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</si>
  <si>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</si>
  <si>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</si>
  <si>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</si>
  <si>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</si>
  <si>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</si>
  <si>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</si>
  <si>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</si>
  <si>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</si>
  <si>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</si>
  <si>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</si>
  <si>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</si>
  <si>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</si>
  <si>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</si>
  <si>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</si>
  <si>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</si>
  <si>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</si>
  <si>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</si>
  <si>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</si>
  <si>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</si>
  <si>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</si>
  <si>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</si>
  <si>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</si>
  <si>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</si>
  <si>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</si>
  <si>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</si>
  <si>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</si>
  <si>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</si>
  <si>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</si>
  <si>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</si>
  <si>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</si>
  <si>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</si>
  <si>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</si>
  <si>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</si>
  <si>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</si>
  <si>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</si>
  <si>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</si>
  <si>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</si>
  <si>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</si>
  <si>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</si>
  <si>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</si>
  <si>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</si>
  <si>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</si>
  <si>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</si>
  <si>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</si>
  <si>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</si>
  <si>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</si>
  <si>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</si>
  <si>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</si>
  <si>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</si>
  <si>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</si>
  <si>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</si>
  <si>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</si>
  <si>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</si>
  <si>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</si>
  <si>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</si>
  <si>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</si>
  <si>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</si>
  <si>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</si>
  <si>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</si>
  <si>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</si>
  <si>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</si>
  <si>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</si>
  <si>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</si>
  <si>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</si>
  <si>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</si>
  <si>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</si>
  <si>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</si>
  <si>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</si>
  <si>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</si>
  <si>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</si>
  <si>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</si>
  <si>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</si>
  <si>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</si>
  <si>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</si>
  <si>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</si>
  <si>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</si>
  <si>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</si>
  <si>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</si>
  <si>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</si>
  <si>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</si>
  <si>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</si>
  <si>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</si>
  <si>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</si>
  <si>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</si>
  <si>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</si>
  <si>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</si>
  <si>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</si>
  <si>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</si>
  <si>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</si>
  <si>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</si>
  <si>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</si>
  <si>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</si>
  <si>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</si>
  <si>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</si>
  <si>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</si>
  <si>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</si>
  <si>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</si>
  <si>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</si>
  <si>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</si>
  <si>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</si>
  <si>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</si>
  <si>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</si>
  <si>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</si>
  <si>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</si>
  <si>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</si>
  <si>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</si>
  <si>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</si>
  <si>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</si>
  <si>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</si>
  <si>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</si>
  <si>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</si>
  <si>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</si>
  <si>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</si>
  <si>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</si>
  <si>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</si>
  <si>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</si>
  <si>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</si>
  <si>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</si>
  <si>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</si>
  <si>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</si>
  <si>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</si>
  <si>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</si>
  <si>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</si>
  <si>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</si>
  <si>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</si>
  <si>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</si>
  <si>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</si>
  <si>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</si>
  <si>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</si>
  <si>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</si>
  <si>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</si>
  <si>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</si>
  <si>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</si>
  <si>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</si>
  <si>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</si>
  <si>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</si>
  <si>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</si>
  <si>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</si>
  <si>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</si>
  <si>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</si>
  <si>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</si>
  <si>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</si>
  <si>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</si>
  <si>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</si>
  <si>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</si>
  <si>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</si>
  <si>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</si>
  <si>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</si>
  <si>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</si>
  <si>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</si>
  <si>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</si>
  <si>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</si>
  <si>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</si>
  <si>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</si>
  <si>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</si>
  <si>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</si>
  <si>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</si>
  <si>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</si>
  <si>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</si>
  <si>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</si>
  <si>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</si>
  <si>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</si>
  <si>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</si>
  <si>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</si>
  <si>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</si>
  <si>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</si>
  <si>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</si>
  <si>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</si>
  <si>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</si>
  <si>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</si>
  <si>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</si>
  <si>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</si>
  <si>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</si>
  <si>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</si>
  <si>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</si>
  <si>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</si>
  <si>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</si>
  <si>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</si>
  <si>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</si>
  <si>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</si>
  <si>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</si>
  <si>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</si>
  <si>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</si>
  <si>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</si>
  <si>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</si>
  <si>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</si>
  <si>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</si>
  <si>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</si>
  <si>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</si>
  <si>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</si>
  <si>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</si>
  <si>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</si>
  <si>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</si>
  <si>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</si>
  <si>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</si>
  <si>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</si>
  <si>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</si>
  <si>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</si>
  <si>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</si>
  <si>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</si>
  <si>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</si>
  <si>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</si>
  <si>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</si>
  <si>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</si>
  <si>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</si>
  <si>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</si>
  <si>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</si>
  <si>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</si>
  <si>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</si>
  <si>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</si>
  <si>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</si>
  <si>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</si>
  <si>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</si>
  <si>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</si>
  <si>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</si>
  <si>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</si>
  <si>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</si>
  <si>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</si>
  <si>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</si>
  <si>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</si>
  <si>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</si>
  <si>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</si>
  <si>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</si>
  <si>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</si>
  <si>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</si>
  <si>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</si>
  <si>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</si>
  <si>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</si>
  <si>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</si>
  <si>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</si>
  <si>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</si>
  <si>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</si>
  <si>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</si>
  <si>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</si>
  <si>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</si>
  <si>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</si>
  <si>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</si>
  <si>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</si>
  <si>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</si>
  <si>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</si>
  <si>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</si>
  <si>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</si>
  <si>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</si>
  <si>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</si>
  <si>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</si>
  <si>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</si>
  <si>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</si>
  <si>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</si>
  <si>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</si>
  <si>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</si>
  <si>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</si>
  <si>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</si>
  <si>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</si>
  <si>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</si>
  <si>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</si>
  <si>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</si>
  <si>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</si>
  <si>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</si>
  <si>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</si>
  <si>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</si>
  <si>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</si>
  <si>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</si>
  <si>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</si>
  <si>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</si>
  <si>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</si>
  <si>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</si>
  <si>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</si>
  <si>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</si>
  <si>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</si>
  <si>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</si>
  <si>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</si>
  <si>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</si>
  <si>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</si>
  <si>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</si>
  <si>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</si>
  <si>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</si>
  <si>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</si>
  <si>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</si>
  <si>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</si>
  <si>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</si>
  <si>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</si>
  <si>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</si>
  <si>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</si>
  <si>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</si>
  <si>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</si>
  <si>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</si>
  <si>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</si>
  <si>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</si>
  <si>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</si>
  <si>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</si>
  <si>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</si>
  <si>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</si>
  <si>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</si>
  <si>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</si>
  <si>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</si>
  <si>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</si>
  <si>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</si>
  <si>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</si>
  <si>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</si>
  <si>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</si>
  <si>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</si>
  <si>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</si>
  <si>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</si>
  <si>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</si>
  <si>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</si>
  <si>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</si>
  <si>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</si>
  <si>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</si>
  <si>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</si>
  <si>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</si>
  <si>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</si>
  <si>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</si>
  <si>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</si>
  <si>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</si>
  <si>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</si>
  <si>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</si>
  <si>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</si>
  <si>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</si>
  <si>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</si>
  <si>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</si>
  <si>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</si>
  <si>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</si>
  <si>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</si>
  <si>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</si>
  <si>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</si>
  <si>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</si>
  <si>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</si>
  <si>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</si>
  <si>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</si>
  <si>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</si>
  <si>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</si>
  <si>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</si>
  <si>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</si>
  <si>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</si>
  <si>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</si>
  <si>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</si>
  <si>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</si>
  <si>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</si>
  <si>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</si>
  <si>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</si>
  <si>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</si>
  <si>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</si>
  <si>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</si>
  <si>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</si>
  <si>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</si>
  <si>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</si>
  <si>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</si>
  <si>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</si>
  <si>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</si>
  <si>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</si>
  <si>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</si>
  <si>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</si>
  <si>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</si>
  <si>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</si>
  <si>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</si>
  <si>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</si>
  <si>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</si>
  <si>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</si>
  <si>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</si>
  <si>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</si>
  <si>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</si>
  <si>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</si>
  <si>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</si>
  <si>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</si>
  <si>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</si>
  <si>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</si>
  <si>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</si>
  <si>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</si>
  <si>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</si>
  <si>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</si>
  <si>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</si>
  <si>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</si>
  <si>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</si>
  <si>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</si>
  <si>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</si>
  <si>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</si>
  <si>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</si>
  <si>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</si>
  <si>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</si>
  <si>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</si>
  <si>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</si>
  <si>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</si>
  <si>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</si>
  <si>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</si>
  <si>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</si>
  <si>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</si>
  <si>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</si>
  <si>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</si>
  <si>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</si>
  <si>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</si>
  <si>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</si>
  <si>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</si>
  <si>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</si>
  <si>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</si>
  <si>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</si>
  <si>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</si>
  <si>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</si>
  <si>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</si>
  <si>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</si>
  <si>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</si>
  <si>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</si>
  <si>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</si>
  <si>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</si>
  <si>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</si>
  <si>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</si>
  <si>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</si>
  <si>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</si>
  <si>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</si>
  <si>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</si>
  <si>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</si>
  <si>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</si>
  <si>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</si>
  <si>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</si>
  <si>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</si>
  <si>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</si>
  <si>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</si>
  <si>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</si>
  <si>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</si>
  <si>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</si>
  <si>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</si>
  <si>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</si>
  <si>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</si>
  <si>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</si>
  <si>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</si>
  <si>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</si>
  <si>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</si>
  <si>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</si>
  <si>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</si>
  <si>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</si>
  <si>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</si>
  <si>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</si>
  <si>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</si>
  <si>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</si>
  <si>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</si>
  <si>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</si>
  <si>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</si>
  <si>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</si>
  <si>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</si>
  <si>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</si>
  <si>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</si>
  <si>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</si>
  <si>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</si>
  <si>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</si>
  <si>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</si>
  <si>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</si>
  <si>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</si>
  <si>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</si>
  <si>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</si>
  <si>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</si>
  <si>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</si>
  <si>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</si>
  <si>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</si>
  <si>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</si>
  <si>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</si>
  <si>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</si>
  <si>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</si>
  <si>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</si>
  <si>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</si>
  <si>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</si>
  <si>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</si>
  <si>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</si>
  <si>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</si>
  <si>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</si>
  <si>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</si>
  <si>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</si>
  <si>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</si>
  <si>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</si>
  <si>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</si>
  <si>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</si>
  <si>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</si>
  <si>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</si>
  <si>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</si>
  <si>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</si>
  <si>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</si>
  <si>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</si>
  <si>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</si>
  <si>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</si>
  <si>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</si>
  <si>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</si>
  <si>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</si>
  <si>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</si>
  <si>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</si>
  <si>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</si>
  <si>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</si>
  <si>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</si>
  <si>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</si>
  <si>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</si>
  <si>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</si>
  <si>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</si>
  <si>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</si>
  <si>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</si>
  <si>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</si>
  <si>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</si>
  <si>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</si>
  <si>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</si>
  <si>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</si>
  <si>
    <t>6ab72b5c11cbfa0f2c786980</t>
  </si>
  <si>
    <t>25/09/2026 21:55:26</t>
  </si>
  <si>
    <t>25/09/2026 23:18:04</t>
  </si>
  <si>
    <t>25/09/2026</t>
  </si>
  <si>
    <t>6ab72b5c11cbfa0f2c786974</t>
  </si>
  <si>
    <t>25/09/2026 19:39:18</t>
  </si>
  <si>
    <t>6ab72b5c11cbfa0f2c78694a</t>
  </si>
  <si>
    <t>25/09/2026 14:09:53</t>
  </si>
  <si>
    <t>6ab69acafde5ec03d75893a4</t>
  </si>
  <si>
    <t>25/09/2026 11:32:50</t>
  </si>
  <si>
    <t>25/09/2026 13:01:14</t>
  </si>
  <si>
    <t>6ab69acafde5ec03d7589392</t>
  </si>
  <si>
    <t>25/09/2026 08:43:28</t>
  </si>
  <si>
    <t>6ab699afacf1d04b2dd91f4b</t>
  </si>
  <si>
    <t>25/09/2026 06:25:16</t>
  </si>
  <si>
    <t>25/09/2026 12:56:31</t>
  </si>
  <si>
    <t>6ab699afacf1d04b2dd91f45</t>
  </si>
  <si>
    <t>25/09/2026 04:27:10</t>
  </si>
  <si>
    <t>6ab5df3c99cfdd26d64307e6</t>
  </si>
  <si>
    <t>24/09/2026 20:37:19</t>
  </si>
  <si>
    <t>24/09/2026 23:41:00</t>
  </si>
  <si>
    <t>24/09/2026</t>
  </si>
  <si>
    <t>6ab5df3c99cfdd26d64307d4</t>
  </si>
  <si>
    <t>24/09/2026 18:45:10</t>
  </si>
  <si>
    <t>6ab5df3b99cfdd26d64307aa</t>
  </si>
  <si>
    <t>24/09/2026 13:52:48</t>
  </si>
  <si>
    <t>24/09/2026 23:40:59</t>
  </si>
  <si>
    <t>6ab5490e591c2004f134c33d</t>
  </si>
  <si>
    <t>24/09/2026 11:24:57</t>
  </si>
  <si>
    <t>24/09/2026 13:00:14</t>
  </si>
  <si>
    <t>6ab5490e591c2004f134c325</t>
  </si>
  <si>
    <t>24/09/2026 08:14:23</t>
  </si>
  <si>
    <t>6ab5490e591c2004f134c313</t>
  </si>
  <si>
    <t>24/09/2026 06:29:39</t>
  </si>
  <si>
    <t>6ab5490d591c2004f134c2fb</t>
  </si>
  <si>
    <t>24/09/2026 04:27:44</t>
  </si>
  <si>
    <t>24/09/2026 13:00:13</t>
  </si>
  <si>
    <t>6abb28971f4352de92673b0a</t>
  </si>
  <si>
    <t>28/09/2026 21:13:10</t>
  </si>
  <si>
    <t>28/09/2026 23:55:19</t>
  </si>
  <si>
    <t>28/09/2026</t>
  </si>
  <si>
    <t>6abb28971f4352de92673af2</t>
  </si>
  <si>
    <t>28/09/2026 19:09:46</t>
  </si>
  <si>
    <t>6abb28961f4352de92673ad4</t>
  </si>
  <si>
    <t>28/09/2026 14:06:02</t>
  </si>
  <si>
    <t>28/09/2026 23:55:18</t>
  </si>
  <si>
    <t>6aba9094acf1d04b2ddb06b4</t>
  </si>
  <si>
    <t>28/09/2026 11:35:46</t>
  </si>
  <si>
    <t>28/09/2026 13:06:44</t>
  </si>
  <si>
    <t>6aba9093acf1d04b2ddb069c</t>
  </si>
  <si>
    <t>28/09/2026 08:41:09</t>
  </si>
  <si>
    <t>28/09/2026 13:06:43</t>
  </si>
  <si>
    <t>6aba9093acf1d04b2ddb0684</t>
  </si>
  <si>
    <t>28/09/2026 06:28:40</t>
  </si>
  <si>
    <t>6aba9093acf1d04b2ddb0672</t>
  </si>
  <si>
    <t>28/09/2026 04:25:11</t>
  </si>
  <si>
    <t>6abc70e143ce2b65efeb7a4d</t>
  </si>
  <si>
    <t>29/09/2026 21:34:37</t>
  </si>
  <si>
    <t>29/09/2026 23:16:01</t>
  </si>
  <si>
    <t>29/09/2026</t>
  </si>
  <si>
    <t>6abc70e143ce2b65efeb7a3b</t>
  </si>
  <si>
    <t>29/09/2026 18:27:34</t>
  </si>
  <si>
    <t>6abc70e043ce2b65efeb7a17</t>
  </si>
  <si>
    <t>29/09/2026 14:05:27</t>
  </si>
  <si>
    <t>29/09/2026 23:16:00</t>
  </si>
  <si>
    <t>6abbe112d12b6fdcdf5519ef</t>
  </si>
  <si>
    <t>29/09/2026 11:07:05</t>
  </si>
  <si>
    <t>29/09/2026 13:02:26</t>
  </si>
  <si>
    <t>6abbe112d12b6fdcdf5519dd</t>
  </si>
  <si>
    <t>29/09/2026 08:38:00</t>
  </si>
  <si>
    <t>6abbe112d12b6fdcdf5519cb</t>
  </si>
  <si>
    <t>29/09/2026 06:54:58</t>
  </si>
  <si>
    <t>6abbe112d12b6fdcdf5519b3</t>
  </si>
  <si>
    <t>29/09/2026 04:28:40</t>
  </si>
  <si>
    <t>6abdc6d0a48ad3e47d9c4cd9</t>
  </si>
  <si>
    <t>30/09/2026 21:26:04</t>
  </si>
  <si>
    <t>30/09/2026 23:34:56</t>
  </si>
  <si>
    <t>30/09/2026</t>
  </si>
  <si>
    <t>6abdc6d0a48ad3e47d9c4cc7</t>
  </si>
  <si>
    <t>30/09/2026 19:03:03</t>
  </si>
  <si>
    <t>6abd806f8c70c570f30dc379</t>
  </si>
  <si>
    <t>30/09/2026 14:09:30</t>
  </si>
  <si>
    <t>30/09/2026 18:34:39</t>
  </si>
  <si>
    <t>6abd346f7f3e0285f25b9395</t>
  </si>
  <si>
    <t>30/09/2026 11:24:22</t>
  </si>
  <si>
    <t>30/09/2026 13:10:23</t>
  </si>
  <si>
    <t>6abd346f7f3e0285f25b9383</t>
  </si>
  <si>
    <t>30/09/2026 08:48:56</t>
  </si>
  <si>
    <t>6abd346f7f3e0285f25b9371</t>
  </si>
  <si>
    <t>30/09/2026 06:35:19</t>
  </si>
  <si>
    <t>6abd346e7f3e0285f25b9359</t>
  </si>
  <si>
    <t>30/09/2026 04:24:40</t>
  </si>
  <si>
    <t>30/09/2026 13:10:22</t>
  </si>
  <si>
    <t>6abf1961826700b8f0e1b938</t>
  </si>
  <si>
    <t>01/10/2026 21:46:16</t>
  </si>
  <si>
    <t>01/10/2026 23:39:29</t>
  </si>
  <si>
    <t>01/10/2026</t>
  </si>
  <si>
    <t>6abf1961826700b8f0e1b91e</t>
  </si>
  <si>
    <t>01/10/2026 19:14:04</t>
  </si>
  <si>
    <t>6abf1961826700b8f0e1b8f4</t>
  </si>
  <si>
    <t>01/10/2026 14:11:51</t>
  </si>
  <si>
    <t>6abe88111c9c14776a2d6325</t>
  </si>
  <si>
    <t>01/10/2026 11:34:12</t>
  </si>
  <si>
    <t>01/10/2026 13:19:29</t>
  </si>
  <si>
    <t>6abe88111c9c14776a2d630d</t>
  </si>
  <si>
    <t>01/10/2026 08:28:53</t>
  </si>
  <si>
    <t>6abe88111c9c14776a2d6301</t>
  </si>
  <si>
    <t>01/10/2026 06:27:15</t>
  </si>
  <si>
    <t>6abe88101c9c14776a2d62ef</t>
  </si>
  <si>
    <t>01/10/2026 04:28:16</t>
  </si>
  <si>
    <t>01/10/2026 13:19:28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</si>
</sst>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297.43081377315" createdVersion="5" refreshedVersion="5" minRefreshableVersion="3" recordCount="328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10-02T00:00:00" count="58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9-25T00:00:00"/>
        <d v="2026-09-24T00:00:00"/>
        <d v="2026-09-28T00:00:00"/>
        <d v="2026-09-29T00:00:00"/>
        <d v="2026-09-30T00:00:00"/>
        <d v="2026-10-01T00:00:00"/>
        <d v="2026-05-03T00:00:00" u="1"/>
      </sharedItems>
    </cacheField>
    <cacheField name="Mês" numFmtId="14">
      <sharedItems count="10">
        <s v="JAN"/>
        <s v="FEV"/>
        <s v="MAR"/>
        <s v="ABR"/>
        <s v="MAI"/>
        <s v="JUN"/>
        <s v="AGO"/>
        <s v="JUL"/>
        <s v="SET"/>
        <s v="OU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SemiMixedTypes="0" containsString="0" containsNumber="1" minValue="0" maxValue="62"/>
    </cacheField>
    <cacheField name="% Pena após Repasse" numFmtId="1">
      <sharedItems containsSemiMixedTypes="0" containsString="0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8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Blank="1" containsMixedTypes="1" containsNumber="1" containsInteger="1" minValue="0" maxValue="7"/>
    </cacheField>
    <cacheField name="% Contaminação Após Extratora" numFmtId="2">
      <sharedItems containsMixedTypes="1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8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  <r>
    <x v="51"/>
    <x v="8"/>
    <s v="6ab72b5c11cbfa0f2c786980"/>
    <s v="25/09/2026 21:55:26"/>
    <s v="25/09/2026 23:18:04"/>
    <s v="Henrique"/>
    <s v="25/09/2026"/>
    <s v="Guapiaçu"/>
    <s v="2 ° Turno"/>
    <n v="110"/>
    <n v="2926"/>
    <s v="JOBILIANA APARECIDA MAXIMO BERGAMINI"/>
    <n v="20"/>
    <n v="20"/>
    <n v="9"/>
    <n v="9"/>
    <n v="0"/>
    <n v="0"/>
    <n v="0"/>
    <n v="0"/>
    <n v="0"/>
    <n v="0"/>
    <n v="0"/>
    <n v="0"/>
    <n v="5"/>
    <n v="2.2727272727272729"/>
    <n v="5"/>
    <n v="4.5454545454545459"/>
    <n v="0"/>
    <n v="0"/>
    <n v="1"/>
    <n v="0.90909090909090906"/>
    <n v="2"/>
    <n v="1.8181818181818181"/>
    <s v=""/>
    <n v="0"/>
    <n v="0"/>
    <n v="0"/>
    <n v="0"/>
    <s v=""/>
    <n v="7"/>
    <n v="6.3636363636363633"/>
    <n v="5"/>
    <n v="4.5454545454545459"/>
    <n v="6"/>
    <n v="5.4545454545454541"/>
    <n v="0"/>
    <n v="0"/>
    <s v=""/>
    <n v="19"/>
    <n v="0"/>
    <n v="0"/>
    <n v="38"/>
    <n v="0"/>
    <n v="0"/>
    <n v="0"/>
    <n v="0"/>
    <n v="20"/>
    <n v="18"/>
    <n v="0"/>
    <n v="0"/>
    <s v=""/>
    <n v="2"/>
    <n v="0"/>
    <n v="0"/>
    <s v="assinatura"/>
    <n v="271"/>
  </r>
  <r>
    <x v="51"/>
    <x v="8"/>
    <s v="6ab72b5c11cbfa0f2c786974"/>
    <s v="25/09/2026 19:39:18"/>
    <s v="25/09/2026 23:18:04"/>
    <s v="Henrique"/>
    <s v="25/09/2026"/>
    <s v="Guapiaçu"/>
    <s v="2 ° Turno"/>
    <n v="79"/>
    <n v="2926"/>
    <s v="JOBILIANA APARECIDA MAXIMO BERGAMINI"/>
    <n v="25"/>
    <n v="25"/>
    <n v="8"/>
    <n v="8"/>
    <n v="0"/>
    <n v="0"/>
    <n v="1"/>
    <n v="1"/>
    <n v="0"/>
    <n v="0"/>
    <n v="0"/>
    <n v="0"/>
    <n v="4"/>
    <n v="2.5316455696202533"/>
    <n v="8"/>
    <n v="10.126582278481013"/>
    <n v="0"/>
    <n v="0"/>
    <n v="0"/>
    <n v="0"/>
    <n v="1"/>
    <n v="1.2658227848101267"/>
    <s v=""/>
    <n v="0"/>
    <n v="0"/>
    <n v="0"/>
    <n v="0"/>
    <s v=""/>
    <n v="9"/>
    <n v="11.39240506329114"/>
    <n v="3"/>
    <n v="3.79746835443038"/>
    <n v="7"/>
    <n v="8.8607594936708853"/>
    <n v="1"/>
    <n v="1.2658227848101267"/>
    <s v=""/>
    <n v="20"/>
    <n v="0"/>
    <n v="0"/>
    <n v="40"/>
    <n v="0"/>
    <n v="0"/>
    <n v="0"/>
    <n v="0"/>
    <n v="20"/>
    <n v="19"/>
    <n v="0"/>
    <n v="0"/>
    <s v=""/>
    <n v="8"/>
    <n v="0"/>
    <n v="0"/>
    <s v="assinatura"/>
    <n v="7647"/>
  </r>
  <r>
    <x v="51"/>
    <x v="8"/>
    <s v="6ab72b5c11cbfa0f2c78694a"/>
    <s v="25/09/2026 14:09:53"/>
    <s v="25/09/2026 23:18:04"/>
    <s v="Henrique"/>
    <s v="25/09/2026"/>
    <s v="Guapiaçu"/>
    <s v="2 ° Turno"/>
    <n v="130"/>
    <n v="2908"/>
    <s v="JOBILIANA APARECIDA MAXIMO BERGAMINI"/>
    <n v="22"/>
    <n v="22"/>
    <n v="10"/>
    <n v="10"/>
    <n v="1"/>
    <n v="10"/>
    <n v="1"/>
    <n v="1"/>
    <n v="0"/>
    <n v="0"/>
    <n v="0"/>
    <n v="0"/>
    <n v="4"/>
    <n v="1.5384615384615385"/>
    <n v="6"/>
    <n v="4.6153846153846159"/>
    <n v="1"/>
    <n v="0.76923076923076927"/>
    <n v="1"/>
    <n v="0.76923076923076927"/>
    <n v="2"/>
    <n v="1.5384615384615385"/>
    <s v=""/>
    <n v="1"/>
    <n v="0.76923076923076927"/>
    <n v="0"/>
    <n v="0"/>
    <s v=""/>
    <n v="8"/>
    <n v="6.1538461538461542"/>
    <s v=""/>
    <s v=""/>
    <n v="6"/>
    <n v="4.6153846153846159"/>
    <n v="0"/>
    <n v="0"/>
    <s v=""/>
    <n v="19"/>
    <n v="0"/>
    <n v="0"/>
    <n v="38"/>
    <n v="0"/>
    <n v="0"/>
    <n v="2"/>
    <n v="1.5384615384615385"/>
    <n v="26"/>
    <n v="24"/>
    <n v="0"/>
    <n v="0"/>
    <s v=""/>
    <n v="0"/>
    <n v="0"/>
    <n v="0"/>
    <s v="assinatura"/>
    <n v="14736"/>
  </r>
  <r>
    <x v="51"/>
    <x v="8"/>
    <s v="6ab69acafde5ec03d75893a4"/>
    <s v="25/09/2026 11:32:50"/>
    <s v="25/09/2026 13:01:14"/>
    <s v="Henrique"/>
    <s v="25/09/2026"/>
    <s v="Guapiaçu"/>
    <s v="1 ° Turno"/>
    <n v="100"/>
    <n v="3079"/>
    <s v="EDMAR FELIPE MARTINS"/>
    <n v="47"/>
    <n v="47"/>
    <n v="19"/>
    <n v="19"/>
    <n v="0"/>
    <n v="0"/>
    <n v="3"/>
    <n v="3"/>
    <n v="1"/>
    <n v="1"/>
    <n v="0"/>
    <n v="0"/>
    <n v="2"/>
    <n v="1"/>
    <n v="6"/>
    <n v="6"/>
    <n v="0"/>
    <n v="0"/>
    <n v="4"/>
    <n v="4"/>
    <n v="9"/>
    <n v="9"/>
    <s v=""/>
    <n v="6"/>
    <n v="6"/>
    <n v="2"/>
    <n v="2"/>
    <s v=""/>
    <n v="12"/>
    <n v="12"/>
    <n v="2"/>
    <n v="2"/>
    <n v="9"/>
    <n v="9"/>
    <n v="2"/>
    <n v="2"/>
    <s v=""/>
    <n v="20"/>
    <n v="0"/>
    <n v="0"/>
    <n v="40"/>
    <n v="0"/>
    <n v="0"/>
    <n v="0"/>
    <n v="0"/>
    <n v="25"/>
    <n v="23"/>
    <n v="1"/>
    <n v="10"/>
    <s v=""/>
    <s v=""/>
    <s v=""/>
    <s v=""/>
    <s v="assinatura"/>
    <n v="1861"/>
  </r>
  <r>
    <x v="51"/>
    <x v="8"/>
    <s v="6ab69acafde5ec03d7589392"/>
    <s v="25/09/2026 08:43:28"/>
    <s v="25/09/2026 13:01:14"/>
    <s v="Henrique"/>
    <s v="25/09/2026"/>
    <s v="Guapiaçu"/>
    <s v="1 ° Turno"/>
    <n v="155"/>
    <n v="3088"/>
    <s v="EDMAR FELIPE MARTINS"/>
    <n v="43"/>
    <n v="43"/>
    <n v="22"/>
    <n v="22"/>
    <n v="0"/>
    <n v="0"/>
    <n v="2"/>
    <n v="2"/>
    <n v="1"/>
    <n v="1"/>
    <n v="0"/>
    <n v="0"/>
    <n v="1"/>
    <n v="0.32258064516129031"/>
    <n v="9"/>
    <n v="5.806451612903226"/>
    <n v="0"/>
    <n v="0"/>
    <n v="5"/>
    <n v="3.225806451612903"/>
    <n v="10"/>
    <n v="6.4516129032258061"/>
    <s v=""/>
    <n v="8"/>
    <n v="5.161290322580645"/>
    <n v="3"/>
    <n v="1.935483870967742"/>
    <s v=""/>
    <n v="12"/>
    <n v="7.741935483870968"/>
    <n v="2"/>
    <n v="1.2903225806451613"/>
    <n v="11"/>
    <n v="7.096774193548387"/>
    <n v="4"/>
    <n v="2.5806451612903225"/>
    <s v=""/>
    <n v="20"/>
    <n v="0"/>
    <n v="0"/>
    <n v="40"/>
    <n v="0"/>
    <n v="0"/>
    <n v="0"/>
    <n v="0"/>
    <n v="25"/>
    <n v="19"/>
    <n v="0"/>
    <n v="0"/>
    <s v=""/>
    <n v="0"/>
    <n v="0"/>
    <n v="1"/>
    <s v="assinatura"/>
    <n v="2519"/>
  </r>
  <r>
    <x v="51"/>
    <x v="8"/>
    <s v="6ab699afacf1d04b2dd91f4b"/>
    <s v="25/09/2026 06:25:16"/>
    <s v="25/09/2026 12:56:31"/>
    <s v="Henrique"/>
    <s v="25/09/2026"/>
    <s v="Guapiaçu"/>
    <s v="1 ° Turno"/>
    <n v="125"/>
    <n v="3100"/>
    <s v="EDMAR FELIPE MARTINS"/>
    <n v="40"/>
    <n v="40"/>
    <n v="21"/>
    <n v="21"/>
    <n v="0"/>
    <n v="0"/>
    <n v="2"/>
    <n v="2"/>
    <n v="1"/>
    <n v="1"/>
    <n v="0"/>
    <n v="0"/>
    <n v="1"/>
    <n v="0.4"/>
    <n v="9"/>
    <n v="7.1999999999999993"/>
    <n v="0"/>
    <n v="0"/>
    <n v="4"/>
    <n v="3.2"/>
    <n v="8"/>
    <n v="6.4"/>
    <s v=""/>
    <n v="7"/>
    <n v="5.6000000000000005"/>
    <n v="2"/>
    <n v="1.6"/>
    <s v=""/>
    <n v="13"/>
    <n v="10.4"/>
    <n v="2"/>
    <n v="1.6"/>
    <n v="12"/>
    <n v="9.6"/>
    <n v="3"/>
    <n v="2.4"/>
    <s v=""/>
    <n v="19"/>
    <n v="1"/>
    <n v="1"/>
    <n v="38"/>
    <n v="2"/>
    <n v="2"/>
    <n v="0"/>
    <n v="0"/>
    <n v="22"/>
    <n v="17"/>
    <n v="1"/>
    <n v="10"/>
    <s v=""/>
    <n v="0"/>
    <n v="0"/>
    <n v="2"/>
    <s v=""/>
    <n v="5985"/>
  </r>
  <r>
    <x v="51"/>
    <x v="8"/>
    <s v="6ab699afacf1d04b2dd91f45"/>
    <s v="25/09/2026 04:27:10"/>
    <s v="25/09/2026 12:56:31"/>
    <s v="Henrique"/>
    <s v="25/09/2026"/>
    <s v="Guapiaçu"/>
    <s v="1 ° Turno"/>
    <n v="137"/>
    <n v="3120"/>
    <s v="EDMAR FELIPE MARTINS"/>
    <n v="25"/>
    <n v="25"/>
    <n v="6"/>
    <n v="6"/>
    <n v="0"/>
    <n v="0"/>
    <n v="3"/>
    <n v="3"/>
    <n v="1"/>
    <n v="1"/>
    <n v="0"/>
    <n v="0"/>
    <n v="1"/>
    <n v="0.36496350364963503"/>
    <n v="7"/>
    <n v="5.1094890510948909"/>
    <n v="0"/>
    <n v="0"/>
    <n v="2"/>
    <n v="1.4598540145985401"/>
    <n v="7"/>
    <n v="5.1094890510948909"/>
    <s v=""/>
    <n v="5"/>
    <n v="3.6496350364963499"/>
    <n v="2"/>
    <n v="1.4598540145985401"/>
    <s v=""/>
    <n v="7"/>
    <n v="5.1094890510948909"/>
    <n v="1"/>
    <n v="0.72992700729927007"/>
    <n v="6"/>
    <n v="4.3795620437956204"/>
    <n v="2"/>
    <n v="1.4598540145985401"/>
    <s v=""/>
    <n v="21"/>
    <n v="0"/>
    <n v="0"/>
    <n v="42"/>
    <n v="0"/>
    <n v="0"/>
    <n v="0"/>
    <n v="0"/>
    <n v="15"/>
    <n v="19"/>
    <n v="1"/>
    <n v="10"/>
    <s v=""/>
    <s v=""/>
    <s v=""/>
    <s v=""/>
    <s v="assinatura"/>
    <n v="1829"/>
  </r>
  <r>
    <x v="52"/>
    <x v="8"/>
    <s v="6ab5df3c99cfdd26d64307e6"/>
    <s v="24/09/2026 20:37:19"/>
    <s v="24/09/2026 23:41:00"/>
    <s v="Henrique"/>
    <s v="24/09/2026"/>
    <s v="Guapiaçu"/>
    <s v="2 ° Turno"/>
    <n v="156"/>
    <n v="3001"/>
    <s v="JOBILIANA APARECIDA MAXIMO BERGAMINI"/>
    <n v="20"/>
    <n v="20"/>
    <n v="5"/>
    <n v="5"/>
    <n v="0"/>
    <n v="0"/>
    <n v="0"/>
    <n v="0"/>
    <n v="0"/>
    <n v="0"/>
    <n v="0"/>
    <n v="0"/>
    <n v="7"/>
    <n v="2.2435897435897436"/>
    <n v="4"/>
    <n v="2.5641025641025639"/>
    <n v="0"/>
    <n v="0"/>
    <n v="2"/>
    <n v="1.2820512820512819"/>
    <n v="2"/>
    <n v="1.2820512820512819"/>
    <s v=""/>
    <n v="0"/>
    <n v="0"/>
    <n v="0"/>
    <n v="0"/>
    <s v=""/>
    <n v="5"/>
    <n v="3.2051282051282048"/>
    <n v="5"/>
    <n v="3.2051282051282048"/>
    <n v="6"/>
    <n v="3.8461538461538463"/>
    <n v="1"/>
    <n v="0.64102564102564097"/>
    <s v=""/>
    <n v="19"/>
    <n v="0"/>
    <n v="0"/>
    <n v="38"/>
    <n v="0"/>
    <n v="0"/>
    <n v="0"/>
    <n v="0"/>
    <n v="20"/>
    <n v="16"/>
    <n v="0"/>
    <n v="0"/>
    <s v=""/>
    <n v="0"/>
    <n v="0"/>
    <n v="0"/>
    <s v="assinatura"/>
    <n v="1177"/>
  </r>
  <r>
    <x v="52"/>
    <x v="8"/>
    <s v="6ab5df3c99cfdd26d64307d4"/>
    <s v="24/09/2026 18:45:10"/>
    <s v="24/09/2026 23:41:00"/>
    <s v="Henrique"/>
    <s v="24/09/2026"/>
    <s v="Guapiaçu"/>
    <s v="2 ° Turno"/>
    <n v="151"/>
    <n v="3038"/>
    <s v="JOBILIANA APARECIDA MAXIMO BERGAMINI"/>
    <n v="20"/>
    <n v="20"/>
    <n v="6"/>
    <n v="6"/>
    <n v="0"/>
    <n v="0"/>
    <n v="1"/>
    <n v="1"/>
    <n v="0"/>
    <n v="0"/>
    <n v="0"/>
    <n v="0"/>
    <n v="6"/>
    <n v="1.9867549668874174"/>
    <n v="11"/>
    <n v="7.2847682119205297"/>
    <n v="0"/>
    <n v="0"/>
    <n v="1"/>
    <n v="0.66225165562913912"/>
    <n v="2"/>
    <n v="1.3245033112582782"/>
    <s v=""/>
    <n v="0"/>
    <n v="0"/>
    <n v="0"/>
    <n v="0"/>
    <s v=""/>
    <n v="8"/>
    <n v="5.298013245033113"/>
    <n v="6"/>
    <n v="3.9735099337748347"/>
    <n v="6"/>
    <n v="3.9735099337748347"/>
    <n v="0"/>
    <n v="0"/>
    <s v=""/>
    <n v="19"/>
    <n v="0"/>
    <n v="0"/>
    <n v="38"/>
    <n v="0"/>
    <n v="0"/>
    <n v="0"/>
    <n v="0"/>
    <n v="16"/>
    <n v="15"/>
    <n v="0"/>
    <n v="0"/>
    <s v=""/>
    <n v="1"/>
    <n v="0"/>
    <n v="0"/>
    <s v="assinatura"/>
    <n v="6645"/>
  </r>
  <r>
    <x v="52"/>
    <x v="8"/>
    <s v="6ab5df3b99cfdd26d64307aa"/>
    <s v="24/09/2026 13:52:48"/>
    <s v="24/09/2026 23:40:59"/>
    <s v="Henrique"/>
    <s v="24/09/2026"/>
    <s v="Guapiaçu"/>
    <s v="2 ° Turno"/>
    <n v="130"/>
    <n v="2171"/>
    <s v="JOBILIANA APARECIDA MAXIMO BERGAMINI"/>
    <n v="21"/>
    <n v="21"/>
    <n v="10"/>
    <n v="10"/>
    <n v="0"/>
    <n v="0"/>
    <n v="1"/>
    <n v="1"/>
    <n v="0"/>
    <n v="0"/>
    <n v="1"/>
    <n v="5"/>
    <n v="5"/>
    <n v="1.9230769230769231"/>
    <n v="1"/>
    <n v="0.76923076923076927"/>
    <n v="0"/>
    <n v="0"/>
    <n v="0"/>
    <n v="0"/>
    <n v="2"/>
    <n v="1.5384615384615385"/>
    <s v=""/>
    <n v="1"/>
    <n v="0.76923076923076927"/>
    <n v="0"/>
    <n v="0"/>
    <s v=""/>
    <n v="8"/>
    <n v="6.1538461538461542"/>
    <n v="10"/>
    <n v="7.6923076923076925"/>
    <n v="5"/>
    <n v="3.8461538461538463"/>
    <n v="0"/>
    <n v="0"/>
    <s v=""/>
    <n v="20"/>
    <n v="0"/>
    <n v="0"/>
    <n v="40"/>
    <n v="0"/>
    <n v="0"/>
    <n v="1"/>
    <n v="0.76923076923076927"/>
    <n v="16"/>
    <n v="12"/>
    <n v="0"/>
    <n v="0"/>
    <s v=""/>
    <n v="3"/>
    <n v="0"/>
    <n v="0"/>
    <s v="assinatura"/>
    <n v="12039"/>
  </r>
  <r>
    <x v="52"/>
    <x v="8"/>
    <s v="6ab5490e591c2004f134c33d"/>
    <s v="24/09/2026 11:24:57"/>
    <s v="24/09/2026 13:00:14"/>
    <s v="Henrique"/>
    <s v="24/09/2026"/>
    <s v="Guapiaçu"/>
    <s v="1 ° Turno"/>
    <n v="160"/>
    <n v="3140"/>
    <s v="EDMAR FELIPE MARTINS"/>
    <n v="44"/>
    <n v="44"/>
    <n v="29"/>
    <n v="28.999999999999996"/>
    <n v="0"/>
    <n v="0"/>
    <n v="4"/>
    <n v="4"/>
    <n v="1"/>
    <n v="1"/>
    <n v="0"/>
    <n v="0"/>
    <n v="2"/>
    <n v="0.625"/>
    <n v="3"/>
    <n v="1.875"/>
    <n v="0"/>
    <n v="0"/>
    <n v="1"/>
    <n v="0.625"/>
    <n v="7"/>
    <n v="4.375"/>
    <s v=""/>
    <n v="6"/>
    <n v="3.75"/>
    <n v="2"/>
    <n v="1.25"/>
    <s v=""/>
    <n v="9"/>
    <n v="5.625"/>
    <n v="3"/>
    <n v="1.875"/>
    <n v="7"/>
    <n v="4.375"/>
    <n v="2"/>
    <n v="1.25"/>
    <s v=""/>
    <n v="19"/>
    <n v="0"/>
    <n v="0"/>
    <n v="38"/>
    <n v="0"/>
    <n v="0"/>
    <n v="0"/>
    <n v="0"/>
    <n v="22"/>
    <n v="21"/>
    <n v="1"/>
    <n v="10"/>
    <s v=""/>
    <s v=""/>
    <s v=""/>
    <s v=""/>
    <s v="assinatura"/>
    <n v="2863"/>
  </r>
  <r>
    <x v="52"/>
    <x v="8"/>
    <s v="6ab5490e591c2004f134c325"/>
    <s v="24/09/2026 08:14:23"/>
    <s v="24/09/2026 13:00:14"/>
    <s v="Henrique"/>
    <s v="24/09/2026"/>
    <s v="Guapiaçu"/>
    <s v="1 ° Turno"/>
    <n v="151"/>
    <n v="3140"/>
    <s v="EDMAR FELIPE MARTINS"/>
    <n v="37"/>
    <n v="37"/>
    <n v="20"/>
    <n v="20"/>
    <n v="0"/>
    <n v="0"/>
    <n v="4"/>
    <n v="4"/>
    <n v="1"/>
    <n v="1"/>
    <n v="0"/>
    <n v="0"/>
    <n v="1"/>
    <n v="0.33112582781456956"/>
    <n v="5"/>
    <n v="3.3112582781456954"/>
    <n v="0"/>
    <n v="0"/>
    <n v="2"/>
    <n v="1.3245033112582782"/>
    <n v="6"/>
    <n v="3.9735099337748347"/>
    <s v=""/>
    <n v="5"/>
    <n v="3.3112582781456954"/>
    <n v="2"/>
    <n v="1.3245033112582782"/>
    <s v=""/>
    <n v="13"/>
    <n v="8.6092715231788084"/>
    <n v="3"/>
    <n v="1.9867549668874174"/>
    <n v="7"/>
    <n v="4.6357615894039732"/>
    <n v="2"/>
    <n v="1.3245033112582782"/>
    <s v=""/>
    <n v="20"/>
    <n v="0"/>
    <n v="0"/>
    <n v="40"/>
    <n v="0"/>
    <n v="0"/>
    <n v="1"/>
    <n v="0.66225165562913912"/>
    <n v="20"/>
    <n v="18"/>
    <n v="1"/>
    <n v="10"/>
    <s v=""/>
    <n v="2"/>
    <n v="0"/>
    <n v="1"/>
    <s v="assinatura"/>
    <n v="2051"/>
  </r>
  <r>
    <x v="52"/>
    <x v="8"/>
    <s v="6ab5490e591c2004f134c313"/>
    <s v="24/09/2026 06:29:39"/>
    <s v="24/09/2026 13:00:14"/>
    <s v="Henrique"/>
    <s v="24/09/2026"/>
    <s v="Guapiaçu"/>
    <s v="1 ° Turno"/>
    <n v="151"/>
    <n v="2937"/>
    <s v="EDMAR FELIPE MARTINS"/>
    <n v="37"/>
    <n v="37"/>
    <n v="8"/>
    <n v="8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7"/>
    <n v="4.6357615894039732"/>
    <n v="2"/>
    <n v="1.3245033112582782"/>
    <s v=""/>
    <n v="14"/>
    <n v="9.2715231788079464"/>
    <n v="3"/>
    <n v="1.9867549668874174"/>
    <n v="6"/>
    <n v="3.9735099337748347"/>
    <n v="1"/>
    <n v="0.66225165562913912"/>
    <s v=""/>
    <n v="19"/>
    <n v="0"/>
    <n v="0"/>
    <n v="38"/>
    <n v="0"/>
    <n v="0"/>
    <n v="0"/>
    <n v="0"/>
    <n v="22"/>
    <n v="17"/>
    <n v="0"/>
    <n v="0"/>
    <s v=""/>
    <s v=""/>
    <s v=""/>
    <s v=""/>
    <s v="assinatura"/>
    <n v="2396"/>
  </r>
  <r>
    <x v="52"/>
    <x v="8"/>
    <s v="6ab5490d591c2004f134c2fb"/>
    <s v="24/09/2026 04:27:44"/>
    <s v="24/09/2026 13:00:13"/>
    <s v="Henrique"/>
    <s v="24/09/2026"/>
    <s v="Guapiaçu"/>
    <s v="1 ° Turno"/>
    <n v="161"/>
    <n v="2937"/>
    <s v="EDMAR FELIPE MARTINS"/>
    <n v="41"/>
    <n v="41"/>
    <n v="22"/>
    <n v="22"/>
    <n v="0"/>
    <n v="0"/>
    <n v="2"/>
    <n v="2"/>
    <n v="1"/>
    <n v="1"/>
    <n v="0"/>
    <n v="0"/>
    <n v="1"/>
    <n v="0.3105590062111801"/>
    <n v="9"/>
    <n v="5.5900621118012426"/>
    <n v="0"/>
    <n v="0"/>
    <n v="2"/>
    <n v="1.2422360248447204"/>
    <n v="6"/>
    <n v="3.7267080745341614"/>
    <s v=""/>
    <n v="6"/>
    <n v="3.7267080745341614"/>
    <n v="2"/>
    <n v="1.2422360248447204"/>
    <s v=""/>
    <n v="14"/>
    <n v="8.695652173913043"/>
    <n v="3"/>
    <n v="1.8633540372670807"/>
    <n v="7"/>
    <n v="4.3478260869565215"/>
    <n v="2"/>
    <n v="1.2422360248447204"/>
    <s v=""/>
    <n v="20"/>
    <n v="0"/>
    <n v="0"/>
    <n v="40"/>
    <n v="0"/>
    <n v="0"/>
    <n v="0"/>
    <n v="0"/>
    <n v="14"/>
    <n v="9"/>
    <n v="0"/>
    <n v="0"/>
    <s v=""/>
    <s v=""/>
    <s v=""/>
    <s v=""/>
    <s v="assinatura"/>
    <n v="1403"/>
  </r>
  <r>
    <x v="53"/>
    <x v="8"/>
    <s v="6abb28971f4352de92673b0a"/>
    <s v="28/09/2026 21:13:10"/>
    <s v="28/09/2026 23:55:19"/>
    <s v="Henrique"/>
    <s v="28/09/2026"/>
    <s v="Guapiaçu"/>
    <s v="2 ° Turno"/>
    <n v="161"/>
    <n v="3225"/>
    <s v="JOBILIANA APARECIDA MAXIMO BERGAMINI"/>
    <n v="20"/>
    <n v="20"/>
    <n v="6"/>
    <n v="6"/>
    <n v="0"/>
    <n v="0"/>
    <n v="0"/>
    <n v="0"/>
    <n v="0"/>
    <n v="0"/>
    <n v="0"/>
    <n v="0"/>
    <n v="5"/>
    <n v="1.5527950310559007"/>
    <n v="4"/>
    <n v="2.4844720496894408"/>
    <n v="0"/>
    <n v="0"/>
    <n v="2"/>
    <n v="1.2422360248447204"/>
    <n v="3"/>
    <n v="1.8633540372670807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3787"/>
  </r>
  <r>
    <x v="53"/>
    <x v="8"/>
    <s v="6abb28971f4352de92673af2"/>
    <s v="28/09/2026 19:09:46"/>
    <s v="28/09/2026 23:55:19"/>
    <s v="Henrique"/>
    <s v="28/09/2026"/>
    <s v="Guapiaçu"/>
    <s v="2 ° Turno"/>
    <n v="79"/>
    <n v="3390"/>
    <s v="JOBILIANA APARECIDA MAXIMO BERGAMINI"/>
    <n v="17"/>
    <n v="17"/>
    <n v="16"/>
    <n v="16"/>
    <n v="0"/>
    <n v="0"/>
    <n v="1"/>
    <n v="1"/>
    <n v="0"/>
    <n v="0"/>
    <n v="1"/>
    <n v="5"/>
    <n v="5"/>
    <n v="3.1645569620253164"/>
    <n v="5"/>
    <n v="6.3291139240506329"/>
    <n v="0"/>
    <n v="0"/>
    <n v="3"/>
    <n v="3.79746835443038"/>
    <n v="2"/>
    <n v="2.5316455696202533"/>
    <s v=""/>
    <n v="1"/>
    <n v="1.2658227848101267"/>
    <n v="0"/>
    <n v="0"/>
    <s v=""/>
    <n v="11"/>
    <n v="13.924050632911392"/>
    <n v="5"/>
    <n v="6.3291139240506329"/>
    <n v="6"/>
    <n v="7.59493670886076"/>
    <n v="0"/>
    <n v="0"/>
    <s v=""/>
    <n v="19"/>
    <n v="0"/>
    <n v="0"/>
    <n v="38"/>
    <n v="0"/>
    <n v="0"/>
    <n v="0"/>
    <n v="0"/>
    <n v="19"/>
    <n v="17"/>
    <n v="0"/>
    <n v="0"/>
    <s v=""/>
    <n v="1"/>
    <n v="0"/>
    <n v="0"/>
    <s v="assinatura"/>
    <n v="10785"/>
  </r>
  <r>
    <x v="53"/>
    <x v="8"/>
    <s v="6abb28961f4352de92673ad4"/>
    <s v="28/09/2026 14:06:02"/>
    <s v="28/09/2026 23:55:18"/>
    <s v="Henrique"/>
    <s v="28/09/2026"/>
    <s v="Guapiaçu"/>
    <s v="2 ° Turno"/>
    <n v="130"/>
    <n v="3231"/>
    <s v="JOBILIANA APARECIDA MAXIMO BERGAMINI"/>
    <n v="16"/>
    <n v="16"/>
    <n v="6"/>
    <n v="6"/>
    <n v="0"/>
    <n v="0"/>
    <n v="3"/>
    <n v="3"/>
    <n v="2"/>
    <n v="2"/>
    <n v="1"/>
    <n v="5"/>
    <n v="4"/>
    <n v="1.5384615384615385"/>
    <n v="5"/>
    <n v="3.8461538461538463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1"/>
    <n v="0.76923076923076927"/>
    <s v=""/>
    <n v="19"/>
    <n v="0"/>
    <n v="0"/>
    <n v="38"/>
    <n v="0"/>
    <n v="0"/>
    <n v="0"/>
    <n v="0"/>
    <n v="20"/>
    <n v="19"/>
    <n v="0"/>
    <n v="0"/>
    <s v=""/>
    <n v="2"/>
    <n v="0"/>
    <n v="0"/>
    <s v="assinatura"/>
    <n v="10054"/>
  </r>
  <r>
    <x v="53"/>
    <x v="8"/>
    <s v="6aba9094acf1d04b2ddb06b4"/>
    <s v="28/09/2026 11:35:46"/>
    <s v="28/09/2026 13:06:44"/>
    <s v="Henrique"/>
    <s v="28/09/2026"/>
    <s v="Guapiaçu"/>
    <s v="1 ° Turno"/>
    <n v="120"/>
    <n v="3298"/>
    <s v="EDMAR FELIPE MARTINS"/>
    <n v="39"/>
    <n v="39"/>
    <n v="18"/>
    <n v="18"/>
    <n v="0"/>
    <n v="0"/>
    <n v="3"/>
    <n v="3"/>
    <n v="1"/>
    <n v="1"/>
    <n v="0"/>
    <n v="0"/>
    <n v="4"/>
    <n v="1.6666666666666667"/>
    <n v="2"/>
    <n v="1.6666666666666667"/>
    <n v="0"/>
    <n v="0"/>
    <n v="1"/>
    <n v="0.83333333333333337"/>
    <n v="4"/>
    <n v="3.3333333333333335"/>
    <s v=""/>
    <n v="7"/>
    <n v="5.833333333333333"/>
    <n v="2"/>
    <n v="1.6666666666666667"/>
    <s v=""/>
    <n v="11"/>
    <n v="9.1666666666666661"/>
    <n v="2"/>
    <n v="1.6666666666666667"/>
    <n v="7"/>
    <n v="5.833333333333333"/>
    <n v="2"/>
    <n v="1.6666666666666667"/>
    <s v=""/>
    <n v="20"/>
    <n v="0"/>
    <n v="0"/>
    <n v="40"/>
    <n v="0"/>
    <n v="0"/>
    <n v="1"/>
    <n v="0.83333333333333337"/>
    <n v="19"/>
    <n v="21"/>
    <n v="1"/>
    <n v="10"/>
    <s v=""/>
    <s v=""/>
    <s v=""/>
    <s v=""/>
    <s v="assinatura"/>
    <n v="1697"/>
  </r>
  <r>
    <x v="53"/>
    <x v="8"/>
    <s v="6aba9093acf1d04b2ddb069c"/>
    <s v="28/09/2026 08:41:09"/>
    <s v="28/09/2026 13:06:43"/>
    <s v="Henrique"/>
    <s v="28/09/2026"/>
    <s v="Guapiaçu"/>
    <s v="1 ° Turno"/>
    <n v="161"/>
    <n v="2867"/>
    <s v="EDMAR FELIPE MARTINS"/>
    <n v="30"/>
    <n v="30"/>
    <n v="13"/>
    <n v="13"/>
    <n v="0"/>
    <n v="0"/>
    <n v="1"/>
    <n v="1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7"/>
    <n v="4.3478260869565215"/>
    <n v="3"/>
    <n v="1.8633540372670807"/>
    <s v=""/>
    <n v="10"/>
    <n v="6.2111801242236027"/>
    <n v="1"/>
    <n v="0.6211180124223602"/>
    <n v="7"/>
    <n v="4.3478260869565215"/>
    <n v="1"/>
    <n v="0.6211180124223602"/>
    <s v=""/>
    <n v="17"/>
    <n v="0"/>
    <n v="0"/>
    <n v="34"/>
    <n v="0"/>
    <n v="0"/>
    <n v="0"/>
    <n v="0"/>
    <n v="19"/>
    <n v="25"/>
    <n v="1"/>
    <n v="10"/>
    <s v=""/>
    <n v="1"/>
    <n v="0"/>
    <n v="0"/>
    <s v="assinatura"/>
    <n v="2376"/>
  </r>
  <r>
    <x v="53"/>
    <x v="8"/>
    <s v="6aba9093acf1d04b2ddb0684"/>
    <s v="28/09/2026 06:28:40"/>
    <s v="28/09/2026 13:06:43"/>
    <s v="Henrique"/>
    <s v="28/09/2026"/>
    <s v="Guapiaçu"/>
    <s v="1 ° Turno"/>
    <n v="151"/>
    <n v="2953"/>
    <s v="EDMAR FELIPE MARTINS"/>
    <n v="28"/>
    <n v="28.000000000000004"/>
    <n v="12"/>
    <n v="12"/>
    <n v="0"/>
    <n v="0"/>
    <n v="2"/>
    <n v="2"/>
    <n v="1"/>
    <n v="1"/>
    <n v="0"/>
    <n v="0"/>
    <n v="1"/>
    <n v="0.33112582781456956"/>
    <n v="3"/>
    <n v="1.9867549668874174"/>
    <n v="0"/>
    <n v="0"/>
    <n v="2"/>
    <n v="1.3245033112582782"/>
    <n v="6"/>
    <n v="3.9735099337748347"/>
    <s v=""/>
    <n v="9"/>
    <n v="5.9602649006622519"/>
    <n v="2"/>
    <n v="1.3245033112582782"/>
    <s v=""/>
    <n v="14"/>
    <n v="9.2715231788079464"/>
    <n v="2"/>
    <n v="1.3245033112582782"/>
    <n v="7"/>
    <n v="4.6357615894039732"/>
    <n v="1"/>
    <n v="0.66225165562913912"/>
    <s v=""/>
    <n v="19"/>
    <n v="0"/>
    <n v="0"/>
    <n v="38"/>
    <n v="0"/>
    <n v="0"/>
    <n v="0"/>
    <n v="0"/>
    <n v="17"/>
    <n v="22"/>
    <n v="1"/>
    <n v="10"/>
    <s v=""/>
    <n v="1"/>
    <n v="0"/>
    <n v="1"/>
    <s v="assinatura"/>
    <n v="2966"/>
  </r>
  <r>
    <x v="53"/>
    <x v="8"/>
    <s v="6aba9093acf1d04b2ddb0672"/>
    <s v="28/09/2026 04:25:11"/>
    <s v="28/09/2026 13:06:43"/>
    <s v="Henrique"/>
    <s v="28/09/2026"/>
    <s v="Guapiaçu"/>
    <s v="1 ° Turno"/>
    <n v="160"/>
    <n v="3244"/>
    <s v="EDMAR FELIPE MARTINS"/>
    <n v="31"/>
    <n v="31"/>
    <n v="9"/>
    <n v="9"/>
    <n v="0"/>
    <n v="0"/>
    <n v="2"/>
    <n v="2"/>
    <n v="1"/>
    <n v="1"/>
    <n v="0"/>
    <n v="0"/>
    <n v="2"/>
    <n v="0.625"/>
    <n v="2"/>
    <n v="1.25"/>
    <n v="0"/>
    <n v="0"/>
    <n v="1"/>
    <n v="0.625"/>
    <n v="5"/>
    <n v="3.125"/>
    <s v=""/>
    <n v="2"/>
    <n v="1.25"/>
    <n v="1"/>
    <n v="0.625"/>
    <s v=""/>
    <n v="8"/>
    <n v="5"/>
    <n v="1"/>
    <n v="0.625"/>
    <n v="7"/>
    <n v="4.375"/>
    <n v="1"/>
    <n v="0.625"/>
    <s v=""/>
    <n v="19"/>
    <n v="0"/>
    <n v="0"/>
    <n v="38"/>
    <n v="0"/>
    <n v="0"/>
    <n v="0"/>
    <n v="0"/>
    <n v="16"/>
    <n v="13"/>
    <n v="0"/>
    <n v="0"/>
    <s v=""/>
    <s v=""/>
    <s v=""/>
    <s v=""/>
    <s v="assinatura"/>
    <n v="2291"/>
  </r>
  <r>
    <x v="54"/>
    <x v="8"/>
    <s v="6abc70e143ce2b65efeb7a4d"/>
    <s v="29/09/2026 21:34:37"/>
    <s v="29/09/2026 23:16:01"/>
    <s v="Henrique"/>
    <s v="29/09/2026"/>
    <s v="Guapiaçu"/>
    <s v="2 ° Turno"/>
    <n v="157"/>
    <n v="2965"/>
    <s v="JOBILIANA APARECIDA MAXIMO BERGAMINI"/>
    <n v="20"/>
    <n v="20"/>
    <n v="5"/>
    <n v="5"/>
    <n v="8"/>
    <n v="80"/>
    <n v="0"/>
    <n v="0"/>
    <n v="0"/>
    <n v="0"/>
    <n v="0"/>
    <n v="0"/>
    <n v="4"/>
    <n v="1.2738853503184715"/>
    <n v="4"/>
    <n v="2.547770700636943"/>
    <n v="0"/>
    <n v="0"/>
    <n v="1"/>
    <n v="0.63694267515923575"/>
    <n v="2"/>
    <n v="1.2738853503184715"/>
    <s v=""/>
    <n v="0"/>
    <n v="0"/>
    <n v="0"/>
    <n v="0"/>
    <s v=""/>
    <n v="5"/>
    <n v="3.1847133757961785"/>
    <n v="5"/>
    <n v="3.1847133757961785"/>
    <n v="6"/>
    <n v="3.8216560509554141"/>
    <n v="1"/>
    <n v="0.63694267515923575"/>
    <s v=""/>
    <n v="19"/>
    <n v="0"/>
    <n v="0"/>
    <n v="38"/>
    <n v="0"/>
    <n v="0"/>
    <n v="0"/>
    <n v="0"/>
    <n v="20"/>
    <n v="17"/>
    <n v="0"/>
    <n v="0"/>
    <s v=""/>
    <n v="2"/>
    <n v="0"/>
    <n v="0"/>
    <s v="assinatura"/>
    <n v="214"/>
  </r>
  <r>
    <x v="54"/>
    <x v="8"/>
    <s v="6abc70e143ce2b65efeb7a3b"/>
    <s v="29/09/2026 18:27:34"/>
    <s v="29/09/2026 23:16:01"/>
    <s v="Henrique"/>
    <s v="29/09/2026"/>
    <s v="Guapiaçu"/>
    <s v="2 ° Turno"/>
    <n v="79"/>
    <n v="2821"/>
    <s v="JOBILIANA APARECIDA MAXIMO BERGAMINI"/>
    <n v="20"/>
    <n v="20"/>
    <n v="5"/>
    <n v="5"/>
    <n v="0"/>
    <n v="0"/>
    <n v="1"/>
    <n v="1"/>
    <n v="0"/>
    <n v="0"/>
    <n v="0"/>
    <n v="0"/>
    <n v="6"/>
    <n v="3.79746835443038"/>
    <n v="5"/>
    <n v="6.3291139240506329"/>
    <n v="0"/>
    <n v="0"/>
    <n v="1"/>
    <n v="1.2658227848101267"/>
    <n v="2"/>
    <n v="2.5316455696202533"/>
    <s v=""/>
    <n v="0"/>
    <n v="0"/>
    <n v="0"/>
    <n v="0"/>
    <s v=""/>
    <n v="3"/>
    <n v="3.79746835443038"/>
    <n v="6"/>
    <n v="7.59493670886076"/>
    <n v="5"/>
    <n v="6.3291139240506329"/>
    <n v="0"/>
    <n v="0"/>
    <s v=""/>
    <n v="18"/>
    <n v="0"/>
    <n v="0"/>
    <n v="36"/>
    <n v="0"/>
    <n v="0"/>
    <n v="0"/>
    <n v="0"/>
    <n v="20"/>
    <n v="17"/>
    <n v="0"/>
    <n v="0"/>
    <s v=""/>
    <n v="4"/>
    <n v="0"/>
    <n v="0"/>
    <s v="assinatura"/>
    <n v="10836"/>
  </r>
  <r>
    <x v="54"/>
    <x v="8"/>
    <s v="6abc70e043ce2b65efeb7a17"/>
    <s v="29/09/2026 14:05:27"/>
    <s v="29/09/2026 23:16:00"/>
    <s v="Henrique"/>
    <s v="29/09/2026"/>
    <s v="Guapiaçu"/>
    <s v="2 ° Turno"/>
    <n v="161"/>
    <n v="3025"/>
    <s v="JOBILIANA APARECIDA MAXIMO BERGAMINI"/>
    <n v="22"/>
    <n v="22"/>
    <n v="6"/>
    <n v="6"/>
    <n v="0"/>
    <n v="0"/>
    <n v="1"/>
    <n v="1"/>
    <n v="0"/>
    <n v="0"/>
    <n v="0"/>
    <n v="0"/>
    <s v=""/>
    <s v=""/>
    <n v="5"/>
    <n v="3.1055900621118013"/>
    <n v="0"/>
    <n v="0"/>
    <n v="3"/>
    <n v="1.8633540372670807"/>
    <n v="2"/>
    <n v="1.2422360248447204"/>
    <s v=""/>
    <n v="0"/>
    <n v="0"/>
    <n v="0"/>
    <n v="0"/>
    <s v=""/>
    <n v="7"/>
    <n v="4.3478260869565215"/>
    <n v="5"/>
    <n v="3.1055900621118013"/>
    <n v="5"/>
    <n v="3.1055900621118013"/>
    <n v="0"/>
    <n v="0"/>
    <s v=""/>
    <n v="19"/>
    <n v="0"/>
    <n v="0"/>
    <n v="38"/>
    <n v="0"/>
    <n v="0"/>
    <n v="1"/>
    <n v="0.6211180124223602"/>
    <n v="19"/>
    <n v="16"/>
    <n v="0"/>
    <n v="0"/>
    <s v=""/>
    <n v="1"/>
    <n v="0"/>
    <n v="0"/>
    <s v="assinatura"/>
    <n v="20734"/>
  </r>
  <r>
    <x v="54"/>
    <x v="8"/>
    <s v="6abbe112d12b6fdcdf5519ef"/>
    <s v="29/09/2026 11:07:05"/>
    <s v="29/09/2026 13:02:26"/>
    <s v="Henrique"/>
    <s v="29/09/2026"/>
    <s v="Guapiaçu"/>
    <s v="1 ° Turno"/>
    <n v="150"/>
    <n v="3094"/>
    <s v="EDMAR FELIPE MARTINS"/>
    <n v="41"/>
    <n v="41"/>
    <n v="23"/>
    <n v="23"/>
    <n v="0"/>
    <n v="0"/>
    <n v="1"/>
    <n v="1"/>
    <n v="1"/>
    <n v="1"/>
    <n v="0"/>
    <n v="0"/>
    <n v="2"/>
    <n v="0.66666666666666674"/>
    <n v="2"/>
    <n v="1.3333333333333335"/>
    <n v="0"/>
    <n v="0"/>
    <n v="1"/>
    <n v="0.66666666666666674"/>
    <n v="5"/>
    <n v="3.3333333333333335"/>
    <s v=""/>
    <n v="5"/>
    <n v="3.3333333333333335"/>
    <n v="2"/>
    <n v="1.3333333333333335"/>
    <s v=""/>
    <n v="9"/>
    <n v="6"/>
    <n v="1"/>
    <n v="0.66666666666666674"/>
    <n v="7"/>
    <n v="4.666666666666667"/>
    <n v="1"/>
    <n v="0.66666666666666674"/>
    <s v=""/>
    <n v="19"/>
    <n v="0"/>
    <n v="0"/>
    <n v="38"/>
    <n v="0"/>
    <n v="0"/>
    <n v="2"/>
    <n v="1.3333333333333335"/>
    <n v="25"/>
    <n v="20"/>
    <n v="1"/>
    <n v="10"/>
    <s v=""/>
    <s v=""/>
    <s v=""/>
    <s v=""/>
    <s v="assinatura"/>
    <n v="1475"/>
  </r>
  <r>
    <x v="54"/>
    <x v="8"/>
    <s v="6abbe112d12b6fdcdf5519dd"/>
    <s v="29/09/2026 08:38:00"/>
    <s v="29/09/2026 13:02:26"/>
    <s v="Henrique"/>
    <s v="29/09/2026"/>
    <s v="Guapiaçu"/>
    <s v="1 ° Turno"/>
    <n v="160"/>
    <n v="3321"/>
    <s v="EDMAR FELIPE MARTINS"/>
    <n v="35"/>
    <n v="35"/>
    <n v="23"/>
    <n v="23"/>
    <n v="0"/>
    <n v="0"/>
    <n v="3"/>
    <n v="3"/>
    <n v="1"/>
    <n v="1"/>
    <n v="2"/>
    <n v="10"/>
    <n v="2"/>
    <n v="0.625"/>
    <n v="2"/>
    <n v="1.25"/>
    <n v="0"/>
    <n v="0"/>
    <n v="2"/>
    <n v="1.25"/>
    <n v="6"/>
    <n v="3.75"/>
    <s v=""/>
    <n v="7"/>
    <n v="4.375"/>
    <n v="3"/>
    <n v="1.875"/>
    <s v=""/>
    <n v="11"/>
    <n v="6.8750000000000009"/>
    <n v="1"/>
    <n v="0.625"/>
    <n v="6"/>
    <n v="3.75"/>
    <n v="1"/>
    <n v="0.625"/>
    <s v=""/>
    <n v="17"/>
    <n v="0"/>
    <n v="0"/>
    <n v="34"/>
    <n v="0"/>
    <n v="0"/>
    <n v="0"/>
    <n v="0"/>
    <n v="22"/>
    <n v="19"/>
    <n v="0"/>
    <n v="0"/>
    <s v=""/>
    <n v="0"/>
    <n v="0"/>
    <n v="1"/>
    <s v=""/>
    <n v="1851"/>
  </r>
  <r>
    <x v="54"/>
    <x v="8"/>
    <s v="6abbe112d12b6fdcdf5519cb"/>
    <s v="29/09/2026 06:54:58"/>
    <s v="29/09/2026 13:02:26"/>
    <s v="Henrique"/>
    <s v="29/09/2026"/>
    <s v="Guapiaçu"/>
    <s v="1 ° Turno"/>
    <n v="80"/>
    <n v="3018"/>
    <s v="EDMAR FELIPE MARTINS"/>
    <n v="33"/>
    <n v="33"/>
    <n v="20"/>
    <n v="20"/>
    <n v="0"/>
    <n v="0"/>
    <n v="1"/>
    <n v="1"/>
    <n v="1"/>
    <n v="1"/>
    <n v="3"/>
    <n v="15"/>
    <n v="2"/>
    <n v="1.25"/>
    <n v="2"/>
    <n v="2.5"/>
    <n v="0"/>
    <n v="0"/>
    <n v="2"/>
    <n v="2.5"/>
    <n v="4"/>
    <n v="5"/>
    <s v=""/>
    <n v="5"/>
    <n v="6.25"/>
    <n v="2"/>
    <n v="2.5"/>
    <s v=""/>
    <n v="10"/>
    <n v="12.5"/>
    <n v="2"/>
    <n v="2.5"/>
    <n v="6"/>
    <n v="7.5"/>
    <n v="2"/>
    <n v="2.5"/>
    <s v=""/>
    <n v="14"/>
    <n v="0"/>
    <n v="0"/>
    <n v="28"/>
    <n v="0"/>
    <n v="0"/>
    <n v="0"/>
    <n v="0"/>
    <n v="25"/>
    <n v="18"/>
    <n v="1"/>
    <n v="10"/>
    <s v=""/>
    <n v="0"/>
    <n v="0"/>
    <n v="1"/>
    <s v="assinatura"/>
    <n v="1968"/>
  </r>
  <r>
    <x v="54"/>
    <x v="8"/>
    <s v="6abbe112d12b6fdcdf5519b3"/>
    <s v="29/09/2026 04:28:40"/>
    <s v="29/09/2026 13:02:26"/>
    <s v="Henrique"/>
    <s v="29/09/2026"/>
    <s v="Guapiaçu"/>
    <s v="1 ° Turno"/>
    <n v="146"/>
    <n v="3019"/>
    <s v="EDMAR FELIPE MARTINS"/>
    <n v="30"/>
    <n v="30"/>
    <n v="11"/>
    <n v="11"/>
    <n v="0"/>
    <n v="0"/>
    <n v="4"/>
    <n v="4"/>
    <n v="1"/>
    <n v="1"/>
    <n v="0"/>
    <n v="0"/>
    <n v="2"/>
    <n v="0.68493150684931503"/>
    <n v="4"/>
    <n v="2.7397260273972601"/>
    <n v="0"/>
    <n v="0"/>
    <n v="3"/>
    <n v="2.054794520547945"/>
    <n v="6"/>
    <n v="4.10958904109589"/>
    <s v=""/>
    <n v="8"/>
    <n v="5.4794520547945202"/>
    <n v="2"/>
    <n v="1.3698630136986301"/>
    <s v=""/>
    <n v="11"/>
    <n v="7.5342465753424657"/>
    <n v="1"/>
    <n v="0.68493150684931503"/>
    <n v="6"/>
    <n v="4.10958904109589"/>
    <n v="2"/>
    <n v="1.3698630136986301"/>
    <s v=""/>
    <n v="19"/>
    <n v="0"/>
    <n v="0"/>
    <n v="38"/>
    <n v="0"/>
    <n v="0"/>
    <n v="0"/>
    <n v="0"/>
    <n v="20"/>
    <n v="18"/>
    <n v="1"/>
    <n v="10"/>
    <s v=""/>
    <s v=""/>
    <s v=""/>
    <s v=""/>
    <s v="assinatura"/>
    <n v="3447"/>
  </r>
  <r>
    <x v="55"/>
    <x v="8"/>
    <s v="6abdc6d0a48ad3e47d9c4cd9"/>
    <s v="30/09/2026 21:26:04"/>
    <s v="30/09/2026 23:34:56"/>
    <s v="Henrique"/>
    <s v="30/09/2026"/>
    <s v="Guapiaçu"/>
    <s v="2 ° Turno"/>
    <n v="151"/>
    <n v="3089"/>
    <s v="JOBILIANA APARECIDA MAXIMO BERGAMINI"/>
    <n v="20"/>
    <n v="20"/>
    <n v="6"/>
    <n v="6"/>
    <n v="0"/>
    <n v="0"/>
    <n v="1"/>
    <n v="1"/>
    <n v="0"/>
    <n v="0"/>
    <n v="0"/>
    <n v="0"/>
    <n v="3"/>
    <n v="0.99337748344370869"/>
    <n v="3"/>
    <n v="1.9867549668874174"/>
    <n v="0"/>
    <n v="0"/>
    <n v="2"/>
    <n v="1.3245033112582782"/>
    <n v="3"/>
    <n v="1.9867549668874174"/>
    <s v=""/>
    <n v="0"/>
    <n v="0"/>
    <n v="0"/>
    <n v="0"/>
    <s v=""/>
    <n v="4"/>
    <n v="2.6490066225165565"/>
    <n v="4"/>
    <n v="2.6490066225165565"/>
    <n v="5"/>
    <n v="3.3112582781456954"/>
    <n v="0"/>
    <n v="0"/>
    <s v=""/>
    <n v="16"/>
    <n v="0"/>
    <n v="0"/>
    <n v="32"/>
    <n v="0"/>
    <n v="0"/>
    <n v="0"/>
    <n v="0"/>
    <n v="20"/>
    <n v="17"/>
    <n v="0"/>
    <n v="0"/>
    <s v=""/>
    <n v="0"/>
    <n v="0"/>
    <n v="0"/>
    <s v="assinatura"/>
    <n v="1071"/>
  </r>
  <r>
    <x v="55"/>
    <x v="8"/>
    <s v="6abdc6d0a48ad3e47d9c4cc7"/>
    <s v="30/09/2026 19:03:03"/>
    <s v="30/09/2026 23:34:56"/>
    <s v="Henrique"/>
    <s v="30/09/2026"/>
    <s v="Guapiaçu"/>
    <s v="2 ° Turno"/>
    <n v="127"/>
    <n v="3146"/>
    <s v="JOBILIANA APARECIDA MAXIMO BERGAMINI"/>
    <n v="15"/>
    <n v="15"/>
    <n v="5"/>
    <n v="5"/>
    <n v="0"/>
    <n v="0"/>
    <n v="3"/>
    <n v="3"/>
    <n v="2"/>
    <n v="2"/>
    <n v="0"/>
    <n v="0"/>
    <n v="4"/>
    <n v="1.5748031496062991"/>
    <n v="15"/>
    <n v="11.811023622047244"/>
    <n v="0"/>
    <n v="0"/>
    <n v="3"/>
    <n v="2.3622047244094486"/>
    <n v="4"/>
    <n v="3.1496062992125982"/>
    <s v=""/>
    <n v="1"/>
    <n v="0.78740157480314954"/>
    <n v="0"/>
    <n v="0"/>
    <s v=""/>
    <n v="3"/>
    <n v="2.3622047244094486"/>
    <n v="2"/>
    <n v="1.5748031496062991"/>
    <n v="4"/>
    <n v="3.1496062992125982"/>
    <n v="0"/>
    <n v="0"/>
    <s v=""/>
    <n v="19"/>
    <n v="0"/>
    <n v="0"/>
    <n v="38"/>
    <n v="0"/>
    <n v="0"/>
    <n v="0"/>
    <n v="0"/>
    <n v="27"/>
    <n v="14"/>
    <n v="0"/>
    <n v="0"/>
    <s v=""/>
    <n v="0"/>
    <n v="0"/>
    <n v="0"/>
    <s v="assinatura"/>
    <n v="8188"/>
  </r>
  <r>
    <x v="55"/>
    <x v="8"/>
    <s v="6abd806f8c70c570f30dc379"/>
    <s v="30/09/2026 14:09:30"/>
    <s v="30/09/2026 18:34:39"/>
    <s v="Henrique"/>
    <s v="30/09/2026"/>
    <s v="Guapiaçu"/>
    <s v="2 ° Turno"/>
    <n v="133"/>
    <n v="2751"/>
    <s v="JOBILIANA APARECIDA MAXIMO BERGAMINI"/>
    <n v="20"/>
    <n v="20"/>
    <n v="8"/>
    <n v="8"/>
    <n v="0"/>
    <n v="0"/>
    <n v="1"/>
    <n v="1"/>
    <n v="0"/>
    <n v="0"/>
    <n v="0"/>
    <n v="0"/>
    <n v="4"/>
    <n v="1.5037593984962405"/>
    <n v="4"/>
    <n v="3.007518796992481"/>
    <n v="0"/>
    <n v="0"/>
    <n v="1"/>
    <n v="0.75187969924812026"/>
    <n v="1"/>
    <n v="0.75187969924812026"/>
    <s v=""/>
    <n v="0"/>
    <n v="0"/>
    <n v="0"/>
    <n v="0"/>
    <s v=""/>
    <n v="7"/>
    <n v="5.2631578947368416"/>
    <n v="6"/>
    <n v="4.5112781954887211"/>
    <n v="4"/>
    <n v="3.007518796992481"/>
    <n v="0"/>
    <n v="0"/>
    <s v=""/>
    <n v="16"/>
    <n v="0"/>
    <n v="0"/>
    <n v="32"/>
    <n v="0"/>
    <n v="0"/>
    <n v="4"/>
    <n v="3.007518796992481"/>
    <n v="20"/>
    <n v="17"/>
    <n v="0"/>
    <n v="0"/>
    <s v=""/>
    <n v="1"/>
    <n v="0"/>
    <n v="0"/>
    <s v="assinatura"/>
    <n v="11301"/>
  </r>
  <r>
    <x v="55"/>
    <x v="8"/>
    <s v="6abd346f7f3e0285f25b9395"/>
    <s v="30/09/2026 11:24:22"/>
    <s v="30/09/2026 13:10:23"/>
    <s v="Henrique"/>
    <s v="30/09/2026"/>
    <s v="Guapiaçu"/>
    <s v="1 ° Turno"/>
    <n v="161"/>
    <n v="2943"/>
    <s v="EDMAR FELIPE MARTINS"/>
    <n v="35"/>
    <n v="35"/>
    <n v="20"/>
    <n v="20"/>
    <n v="0"/>
    <n v="0"/>
    <n v="3"/>
    <n v="3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n v="1"/>
    <n v="0.6211180124223602"/>
    <n v="7"/>
    <n v="4.3478260869565215"/>
    <n v="1"/>
    <n v="0.6211180124223602"/>
    <s v=""/>
    <n v="19"/>
    <n v="0"/>
    <n v="0"/>
    <n v="38"/>
    <n v="0"/>
    <n v="0"/>
    <n v="0"/>
    <n v="0"/>
    <n v="21"/>
    <n v="16"/>
    <n v="1"/>
    <n v="10"/>
    <s v=""/>
    <s v=""/>
    <s v=""/>
    <s v=""/>
    <s v="assinatura"/>
    <n v="1416"/>
  </r>
  <r>
    <x v="55"/>
    <x v="8"/>
    <s v="6abd346f7f3e0285f25b9383"/>
    <s v="30/09/2026 08:48:56"/>
    <s v="30/09/2026 13:10:23"/>
    <s v="Henrique"/>
    <s v="30/09/2026"/>
    <s v="Guapiaçu"/>
    <s v="1 ° Turno"/>
    <n v="160"/>
    <n v="2775"/>
    <s v="EDMAR FELIPE MARTINS"/>
    <n v="49"/>
    <n v="49"/>
    <n v="31"/>
    <n v="31"/>
    <n v="0"/>
    <n v="0"/>
    <n v="2"/>
    <n v="2"/>
    <n v="1"/>
    <n v="1"/>
    <n v="0"/>
    <n v="0"/>
    <n v="5"/>
    <n v="1.5625"/>
    <n v="2"/>
    <n v="1.25"/>
    <n v="0"/>
    <n v="0"/>
    <n v="3"/>
    <n v="1.875"/>
    <n v="5"/>
    <n v="3.125"/>
    <s v=""/>
    <n v="3"/>
    <n v="1.875"/>
    <n v="3"/>
    <n v="1.875"/>
    <s v=""/>
    <n v="7"/>
    <n v="4.375"/>
    <n v="2"/>
    <n v="1.25"/>
    <n v="8"/>
    <n v="5"/>
    <n v="1"/>
    <n v="0.625"/>
    <s v=""/>
    <n v="20"/>
    <n v="0"/>
    <n v="0"/>
    <n v="40"/>
    <n v="0"/>
    <n v="0"/>
    <n v="0"/>
    <n v="0"/>
    <n v="19"/>
    <n v="17"/>
    <n v="1"/>
    <n v="10"/>
    <s v=""/>
    <n v="0"/>
    <n v="0"/>
    <n v="2"/>
    <s v="assinatura"/>
    <n v="1721"/>
  </r>
  <r>
    <x v="55"/>
    <x v="8"/>
    <s v="6abd346f7f3e0285f25b9371"/>
    <s v="30/09/2026 06:35:19"/>
    <s v="30/09/2026 13:10:23"/>
    <s v="Henrique"/>
    <s v="30/09/2026"/>
    <s v="Guapiaçu"/>
    <s v="1 ° Turno"/>
    <n v="135"/>
    <n v="2861"/>
    <s v="EDMAR FELIPE MARTINS"/>
    <n v="31"/>
    <n v="31"/>
    <n v="14"/>
    <n v="14.000000000000002"/>
    <n v="0"/>
    <n v="0"/>
    <n v="1"/>
    <n v="1"/>
    <n v="0"/>
    <n v="0"/>
    <n v="0"/>
    <n v="0"/>
    <n v="1"/>
    <n v="0.37037037037037041"/>
    <n v="3"/>
    <n v="2.2222222222222223"/>
    <n v="1"/>
    <n v="0.74074074074074081"/>
    <n v="1"/>
    <n v="0.74074074074074081"/>
    <n v="5"/>
    <n v="3.7037037037037033"/>
    <s v=""/>
    <n v="3"/>
    <n v="2.2222222222222223"/>
    <n v="1"/>
    <n v="0.74074074074074081"/>
    <s v=""/>
    <n v="5"/>
    <n v="3.7037037037037033"/>
    <n v="1"/>
    <n v="0.74074074074074081"/>
    <n v="6"/>
    <n v="4.4444444444444446"/>
    <n v="1"/>
    <n v="0.74074074074074081"/>
    <s v=""/>
    <n v="21"/>
    <n v="0"/>
    <n v="0"/>
    <n v="42"/>
    <n v="0"/>
    <n v="0"/>
    <n v="0"/>
    <n v="0"/>
    <n v="20"/>
    <n v="27"/>
    <n v="1"/>
    <n v="10"/>
    <s v=""/>
    <n v="0"/>
    <n v="0"/>
    <n v="1"/>
    <s v="assinatura"/>
    <n v="2325"/>
  </r>
  <r>
    <x v="55"/>
    <x v="8"/>
    <s v="6abd346e7f3e0285f25b9359"/>
    <s v="30/09/2026 04:24:40"/>
    <s v="30/09/2026 13:10:22"/>
    <s v="Henrique"/>
    <s v="30/09/2026"/>
    <s v="Guapiaçu"/>
    <s v="1 ° Turno"/>
    <n v="146"/>
    <n v="2949"/>
    <s v="EDMAR FELIPE MARTINS"/>
    <n v="29"/>
    <n v="28.999999999999996"/>
    <n v="11"/>
    <n v="11"/>
    <n v="0"/>
    <n v="0"/>
    <n v="3"/>
    <n v="3"/>
    <n v="1"/>
    <n v="1"/>
    <n v="0"/>
    <n v="0"/>
    <n v="1"/>
    <n v="0.34246575342465752"/>
    <n v="2"/>
    <n v="1.3698630136986301"/>
    <n v="0"/>
    <n v="0"/>
    <n v="1"/>
    <n v="0.68493150684931503"/>
    <n v="5"/>
    <n v="3.4246575342465753"/>
    <s v=""/>
    <n v="2"/>
    <n v="1.3698630136986301"/>
    <n v="2"/>
    <n v="1.3698630136986301"/>
    <s v=""/>
    <n v="6"/>
    <n v="4.10958904109589"/>
    <n v="1"/>
    <n v="0.68493150684931503"/>
    <n v="6"/>
    <n v="4.10958904109589"/>
    <n v="1"/>
    <n v="0.68493150684931503"/>
    <s v=""/>
    <n v="18"/>
    <n v="0"/>
    <n v="0"/>
    <n v="36"/>
    <n v="0"/>
    <n v="0"/>
    <n v="0"/>
    <n v="0"/>
    <n v="17"/>
    <n v="23"/>
    <n v="1"/>
    <n v="10"/>
    <s v=""/>
    <s v=""/>
    <s v=""/>
    <s v=""/>
    <s v="assinatura"/>
    <n v="1752"/>
  </r>
  <r>
    <x v="56"/>
    <x v="9"/>
    <s v="6abf1961826700b8f0e1b938"/>
    <s v="01/10/2026 21:46:16"/>
    <s v="01/10/2026 23:39:29"/>
    <s v="Henrique"/>
    <s v="01/10/2026"/>
    <s v="Guapiaçu"/>
    <s v="2 ° Turno"/>
    <n v="156"/>
    <n v="2978"/>
    <s v="JOBILIANA APARECIDA MAXIMO BERGAMINI"/>
    <n v="20"/>
    <n v="20"/>
    <n v="6"/>
    <n v="6"/>
    <n v="0"/>
    <n v="0"/>
    <n v="3"/>
    <n v="3"/>
    <n v="1"/>
    <n v="1"/>
    <n v="0"/>
    <n v="0"/>
    <n v="3"/>
    <n v="0.96153846153846156"/>
    <n v="2"/>
    <n v="1.2820512820512819"/>
    <n v="0"/>
    <n v="0"/>
    <n v="4"/>
    <n v="2.5641025641025639"/>
    <n v="2"/>
    <n v="1.2820512820512819"/>
    <s v=""/>
    <n v="0"/>
    <n v="0"/>
    <n v="0"/>
    <n v="0"/>
    <s v=""/>
    <n v="5"/>
    <n v="3.2051282051282048"/>
    <n v="6"/>
    <n v="3.8461538461538463"/>
    <n v="6"/>
    <n v="3.8461538461538463"/>
    <n v="0"/>
    <n v="0"/>
    <s v=""/>
    <n v="16"/>
    <n v="0"/>
    <n v="0"/>
    <n v="32"/>
    <n v="0"/>
    <n v="0"/>
    <n v="0"/>
    <n v="0"/>
    <s v="20"/>
    <s v="18"/>
    <n v="0"/>
    <n v="0"/>
    <s v=""/>
    <s v="0"/>
    <s v="0"/>
    <n v="0"/>
    <s v="assinatura"/>
    <n v="3187"/>
  </r>
  <r>
    <x v="56"/>
    <x v="9"/>
    <s v="6abf1961826700b8f0e1b91e"/>
    <s v="01/10/2026 19:14:04"/>
    <s v="01/10/2026 23:39:29"/>
    <s v="Henrique"/>
    <s v="01/10/2026"/>
    <s v="Guapiaçu"/>
    <s v="2 ° Turno"/>
    <n v="140"/>
    <n v="3071"/>
    <s v="JOBILIANA APARECIDA MAXIMO BERGAMINI"/>
    <n v="10"/>
    <n v="10"/>
    <n v="6"/>
    <n v="6"/>
    <n v="0"/>
    <n v="0"/>
    <n v="3"/>
    <n v="3"/>
    <n v="1"/>
    <n v="1"/>
    <n v="1"/>
    <n v="5"/>
    <n v="4"/>
    <n v="1.4285714285714286"/>
    <n v="3"/>
    <n v="2.1428571428571428"/>
    <n v="0"/>
    <n v="0"/>
    <n v="1"/>
    <n v="0.7142857142857143"/>
    <n v="2"/>
    <n v="1.4285714285714286"/>
    <s v=""/>
    <n v="0"/>
    <n v="0"/>
    <n v="0"/>
    <n v="0"/>
    <s v=""/>
    <n v="5"/>
    <n v="3.5714285714285712"/>
    <n v="5"/>
    <n v="3.5714285714285712"/>
    <n v="8"/>
    <n v="5.7142857142857144"/>
    <n v="0"/>
    <n v="0"/>
    <s v=""/>
    <n v="19"/>
    <n v="0"/>
    <n v="0"/>
    <n v="38"/>
    <n v="0"/>
    <n v="0"/>
    <n v="1"/>
    <n v="0.7142857142857143"/>
    <s v="21"/>
    <s v="18"/>
    <n v="0"/>
    <n v="0"/>
    <s v=""/>
    <s v="4"/>
    <s v="0"/>
    <n v="0"/>
    <s v="assinatura"/>
    <n v="9122"/>
  </r>
  <r>
    <x v="56"/>
    <x v="9"/>
    <s v="6abf1961826700b8f0e1b8f4"/>
    <s v="01/10/2026 14:11:51"/>
    <s v="01/10/2026 23:39:29"/>
    <s v="Henrique"/>
    <s v="01/10/2026"/>
    <s v="Guapiaçu"/>
    <s v="2 ° Turno"/>
    <n v="99"/>
    <n v="3008"/>
    <s v="JOBILIANA APARECIDA MAXIMO BERGAMINI"/>
    <n v="8"/>
    <n v="8"/>
    <n v="5"/>
    <n v="5"/>
    <n v="0"/>
    <n v="0"/>
    <n v="2"/>
    <n v="2"/>
    <n v="1"/>
    <n v="1"/>
    <n v="0"/>
    <n v="0"/>
    <n v="5"/>
    <n v="2.5252525252525251"/>
    <n v="1"/>
    <n v="1.0101010101010102"/>
    <n v="0"/>
    <n v="0"/>
    <n v="1"/>
    <n v="1.0101010101010102"/>
    <n v="1"/>
    <n v="1.0101010101010102"/>
    <s v=""/>
    <n v="0"/>
    <n v="0"/>
    <n v="0"/>
    <n v="0"/>
    <s v=""/>
    <n v="3"/>
    <n v="3.0303030303030303"/>
    <n v="5"/>
    <n v="5.0505050505050502"/>
    <n v="4"/>
    <n v="4.0404040404040407"/>
    <n v="0"/>
    <n v="0"/>
    <s v=""/>
    <n v="16"/>
    <n v="0"/>
    <n v="2"/>
    <n v="32"/>
    <n v="0"/>
    <n v="4"/>
    <n v="0"/>
    <n v="0"/>
    <s v="18"/>
    <s v="10"/>
    <n v="0"/>
    <n v="0"/>
    <s v=""/>
    <s v="2"/>
    <s v="0"/>
    <n v="0"/>
    <s v="assinatura"/>
    <n v="9337"/>
  </r>
  <r>
    <x v="56"/>
    <x v="9"/>
    <s v="6abe88111c9c14776a2d6325"/>
    <s v="01/10/2026 11:34:12"/>
    <s v="01/10/2026 13:19:29"/>
    <s v="Henrique"/>
    <s v="01/10/2026"/>
    <s v="Guapiaçu"/>
    <s v="1 ° Turno"/>
    <n v="161"/>
    <n v="2980"/>
    <s v="EDMAR FELIPE MARTINS"/>
    <n v="51"/>
    <n v="51"/>
    <n v="33"/>
    <n v="33"/>
    <n v="0"/>
    <n v="0"/>
    <n v="1"/>
    <n v="1"/>
    <n v="1"/>
    <n v="1"/>
    <n v="0"/>
    <n v="0"/>
    <n v="5"/>
    <n v="1.5527950310559007"/>
    <n v="3"/>
    <n v="1.8633540372670807"/>
    <n v="0"/>
    <n v="0"/>
    <n v="1"/>
    <n v="0.6211180124223602"/>
    <n v="7"/>
    <n v="4.3478260869565215"/>
    <s v=""/>
    <n v="3"/>
    <n v="1.8633540372670807"/>
    <n v="3"/>
    <n v="1.8633540372670807"/>
    <s v=""/>
    <n v="7"/>
    <n v="4.3478260869565215"/>
    <n v="3"/>
    <n v="1.8633540372670807"/>
    <n v="8"/>
    <n v="4.9689440993788816"/>
    <n v="1"/>
    <n v="0.6211180124223602"/>
    <s v=""/>
    <n v="19"/>
    <n v="0"/>
    <n v="0"/>
    <n v="38"/>
    <n v="0"/>
    <n v="0"/>
    <n v="1"/>
    <n v="0.6211180124223602"/>
    <s v="20"/>
    <s v="21"/>
    <n v="1"/>
    <n v="10"/>
    <s v=""/>
    <s v="1"/>
    <s v="0"/>
    <n v="1"/>
    <s v="assinatura"/>
    <n v="3491"/>
  </r>
  <r>
    <x v="56"/>
    <x v="9"/>
    <s v="6abe88111c9c14776a2d630d"/>
    <s v="01/10/2026 08:28:53"/>
    <s v="01/10/2026 13:19:29"/>
    <s v="Henrique"/>
    <s v="01/10/2026"/>
    <s v="Guapiaçu"/>
    <s v="1 ° Turno"/>
    <n v="161"/>
    <n v="2972"/>
    <s v="EDMAR FELIPE MARTINS"/>
    <n v="53"/>
    <n v="53"/>
    <n v="29"/>
    <n v="28.999999999999996"/>
    <n v="0"/>
    <n v="0"/>
    <n v="3"/>
    <n v="3"/>
    <n v="1"/>
    <n v="1"/>
    <n v="0"/>
    <n v="0"/>
    <n v="4"/>
    <n v="1.2422360248447204"/>
    <n v="3"/>
    <n v="1.8633540372670807"/>
    <n v="0"/>
    <n v="0"/>
    <s v=""/>
    <s v=""/>
    <n v="6"/>
    <n v="3.7267080745341614"/>
    <s v=""/>
    <n v="2"/>
    <n v="1.2422360248447204"/>
    <n v="3"/>
    <n v="1.8633540372670807"/>
    <s v=""/>
    <n v="6"/>
    <n v="3.7267080745341614"/>
    <n v="2"/>
    <n v="1.2422360248447204"/>
    <n v="7"/>
    <n v="4.3478260869565215"/>
    <n v="1"/>
    <n v="0.6211180124223602"/>
    <s v=""/>
    <n v="19"/>
    <n v="3"/>
    <n v="3"/>
    <n v="38"/>
    <n v="6"/>
    <n v="6"/>
    <n v="1"/>
    <n v="0.6211180124223602"/>
    <s v="22"/>
    <s v="19"/>
    <n v="1"/>
    <n v="10"/>
    <s v=""/>
    <s v="0"/>
    <s v="0"/>
    <n v="2"/>
    <s v="assinatura"/>
    <n v="2032"/>
  </r>
  <r>
    <x v="56"/>
    <x v="9"/>
    <s v="6abe88111c9c14776a2d6301"/>
    <s v="01/10/2026 06:27:15"/>
    <s v="01/10/2026 13:19:29"/>
    <s v="Henrique"/>
    <s v="01/10/2026"/>
    <s v="Guapiaçu"/>
    <s v="1 ° Turno"/>
    <n v="161"/>
    <n v="2968"/>
    <s v="EDMAR FELIPE MARTINS"/>
    <n v="51"/>
    <n v="51"/>
    <n v="27"/>
    <n v="27"/>
    <n v="0"/>
    <n v="0"/>
    <n v="3"/>
    <n v="3"/>
    <n v="1"/>
    <n v="1"/>
    <n v="1"/>
    <n v="5"/>
    <n v="6"/>
    <n v="1.8633540372670807"/>
    <n v="3"/>
    <n v="1.8633540372670807"/>
    <n v="0"/>
    <n v="0"/>
    <n v="0"/>
    <n v="0"/>
    <n v="5"/>
    <n v="3.1055900621118013"/>
    <s v=""/>
    <n v="3"/>
    <n v="1.8633540372670807"/>
    <n v="3"/>
    <n v="1.8633540372670807"/>
    <s v=""/>
    <n v="8"/>
    <n v="4.9689440993788816"/>
    <n v="2"/>
    <n v="1.2422360248447204"/>
    <n v="7"/>
    <n v="4.3478260869565215"/>
    <n v="1"/>
    <n v="0.6211180124223602"/>
    <s v=""/>
    <n v="19"/>
    <n v="0"/>
    <n v="0"/>
    <n v="38"/>
    <n v="0"/>
    <n v="0"/>
    <n v="0"/>
    <n v="0"/>
    <s v="21"/>
    <s v="18"/>
    <n v="1"/>
    <n v="10"/>
    <s v=""/>
    <s v="0"/>
    <s v="0"/>
    <n v="1"/>
    <s v="assinatura"/>
    <n v="2405"/>
  </r>
  <r>
    <x v="56"/>
    <x v="9"/>
    <s v="6abe88101c9c14776a2d62ef"/>
    <s v="01/10/2026 04:28:16"/>
    <s v="01/10/2026 13:19:28"/>
    <s v="Henrique"/>
    <s v="01/10/2026"/>
    <s v="Guapiaçu"/>
    <s v="1 ° Turno"/>
    <n v="161"/>
    <n v="2945"/>
    <s v="EDMAR FELIPE MARTINS"/>
    <n v="42"/>
    <n v="42"/>
    <n v="20"/>
    <n v="20"/>
    <n v="0"/>
    <n v="0"/>
    <n v="2"/>
    <n v="2"/>
    <n v="0"/>
    <n v="0"/>
    <n v="0"/>
    <n v="0"/>
    <n v="4"/>
    <n v="1.2422360248447204"/>
    <n v="2"/>
    <n v="1.2422360248447204"/>
    <n v="0"/>
    <n v="0"/>
    <n v="0"/>
    <n v="0"/>
    <n v="5"/>
    <n v="3.1055900621118013"/>
    <s v=""/>
    <n v="3"/>
    <n v="1.8633540372670807"/>
    <n v="2"/>
    <n v="1.2422360248447204"/>
    <s v=""/>
    <n v="5"/>
    <n v="3.1055900621118013"/>
    <n v="2"/>
    <n v="1.2422360248447204"/>
    <n v="6"/>
    <n v="3.7267080745341614"/>
    <n v="1"/>
    <n v="0.6211180124223602"/>
    <s v=""/>
    <n v="19"/>
    <n v="0"/>
    <n v="0"/>
    <n v="38"/>
    <n v="0"/>
    <n v="0"/>
    <n v="0"/>
    <n v="0"/>
    <s v="23"/>
    <s v="19"/>
    <n v="1"/>
    <n v="10"/>
    <s v=""/>
    <s v=""/>
    <s v=""/>
    <s v=""/>
    <s v="assinatura"/>
    <n v="16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83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R114" firstHeaderRow="1" firstDataRow="2" firstDataCol="0"/>
  <pivotFields count="67">
    <pivotField axis="axisCol" numFmtId="14" showAll="0" sortType="ascending">
      <items count="59">
        <item x="0"/>
        <item x="1"/>
        <item x="2"/>
        <item x="3"/>
        <item x="4"/>
        <item x="5"/>
        <item m="1" x="57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x="52"/>
        <item x="51"/>
        <item x="53"/>
        <item x="54"/>
        <item x="55"/>
        <item x="56"/>
        <item t="default"/>
      </items>
    </pivotField>
    <pivotField showAll="0">
      <items count="11">
        <item h="1" x="0"/>
        <item h="1" x="1"/>
        <item h="1" x="2"/>
        <item h="1" x="3"/>
        <item h="1" x="4"/>
        <item h="1" x="5"/>
        <item h="1" x="7"/>
        <item h="1" x="6"/>
        <item h="1"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1">
    <i>
      <x v="57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7"/>
        <i x="6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329" totalsRowShown="0" headerRowDxfId="58">
  <autoFilter ref="A1:BO329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6" activePane="bottomRight" state="frozen"/>
      <selection activeCell="B1" sqref="B1"/>
      <selection pane="topRight" activeCell="D1" sqref="D1"/>
      <selection pane="bottomLeft" activeCell="B6" sqref="B6"/>
      <selection pane="bottomRight" activeCell="G62" sqref="G62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46296</v>
      </c>
      <c r="S3" s="30" t="str">
        <f t="shared" si="0"/>
        <v/>
      </c>
      <c r="T3" s="30" t="str">
        <f t="shared" si="0"/>
        <v/>
      </c>
      <c r="U3" s="30" t="str">
        <f t="shared" si="0"/>
        <v/>
      </c>
      <c r="V3" s="30" t="str">
        <f t="shared" si="0"/>
        <v/>
      </c>
      <c r="W3" s="30" t="str">
        <f t="shared" si="0"/>
        <v/>
      </c>
      <c r="X3" s="30" t="str">
        <f t="shared" si="0"/>
        <v/>
      </c>
      <c r="Y3" s="30" t="str">
        <f t="shared" si="0"/>
        <v/>
      </c>
      <c r="Z3" s="30" t="str">
        <f t="shared" si="0"/>
        <v/>
      </c>
      <c r="AA3" s="30" t="str">
        <f t="shared" si="0"/>
        <v/>
      </c>
      <c r="AB3" s="30" t="str">
        <f t="shared" si="0"/>
        <v/>
      </c>
      <c r="AC3" s="30" t="str">
        <f t="shared" si="0"/>
        <v/>
      </c>
      <c r="AD3" s="30" t="str">
        <f t="shared" si="0"/>
        <v/>
      </c>
      <c r="AE3" s="30" t="str">
        <f t="shared" si="0"/>
        <v/>
      </c>
      <c r="AF3" s="30" t="str">
        <f t="shared" si="0"/>
        <v/>
      </c>
      <c r="AG3" s="30" t="str">
        <f t="shared" si="0"/>
        <v/>
      </c>
      <c r="AH3" s="30" t="str">
        <f t="shared" si="0"/>
        <v/>
      </c>
      <c r="AI3" s="30" t="str">
        <f t="shared" si="0"/>
        <v/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147 | 140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>161 | 132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161 | 132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 xml:space="preserve"> | 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 xml:space="preserve"> | 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 xml:space="preserve"> | 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 xml:space="preserve"> | 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 xml:space="preserve"> | 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 xml:space="preserve"> | 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 xml:space="preserve"> | 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 xml:space="preserve"> | 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 xml:space="preserve"> | 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 xml:space="preserve"> | 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 xml:space="preserve"> | 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 xml:space="preserve"> | 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 xml:space="preserve"> | 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 xml:space="preserve"> | 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 xml:space="preserve"> | 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 xml:space="preserve"> | 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 xml:space="preserve"> | 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2849|2834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2966|3019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2966 | 3019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 xml:space="preserve"> | 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 xml:space="preserve"> | 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 xml:space="preserve"> | 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 xml:space="preserve"> | 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 xml:space="preserve"> | 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 xml:space="preserve"> | 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 xml:space="preserve"> | 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 xml:space="preserve"> | 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 xml:space="preserve"> | 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 xml:space="preserve"> | 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 xml:space="preserve"> | 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 xml:space="preserve"> | 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 xml:space="preserve"> | 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 xml:space="preserve"> | 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 xml:space="preserve"> | 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 xml:space="preserve"> | 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 xml:space="preserve"> | 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61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0.31819277108433736</v>
      </c>
      <c r="N6" s="34">
        <f ca="1">IFERROR(AVERAGEIFS(INDIRECT("Tabela1["&amp;$B6&amp;"]"),Tabela1[Turno],$D6,Tabela1[Mês],N$3)/100,"")</f>
        <v>0.49249999999999999</v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58">
        <v>0.05</v>
      </c>
      <c r="R6" s="33">
        <f ca="1">IFERROR(AVERAGEIFS(INDIRECT("Tabela1["&amp;$B6&amp;"]"),Tabela1[Turno],$D6,Tabela1[Data Corrigida],R$3)/100,"")</f>
        <v>0.49249999999999999</v>
      </c>
      <c r="S6" s="34" t="str">
        <f ca="1">IFERROR(AVERAGEIFS(INDIRECT("Tabela1["&amp;$B6&amp;"]"),Tabela1[Turno],$D6,Tabela1[Data Corrigida],S$3)/100,"")</f>
        <v/>
      </c>
      <c r="T6" s="34" t="str">
        <f ca="1">IFERROR(AVERAGEIFS(INDIRECT("Tabela1["&amp;$B6&amp;"]"),Tabela1[Turno],$D6,Tabela1[Data Corrigida],T$3)/100,"")</f>
        <v/>
      </c>
      <c r="U6" s="34" t="str">
        <f ca="1">IFERROR(AVERAGEIFS(INDIRECT("Tabela1["&amp;$B6&amp;"]"),Tabela1[Turno],$D6,Tabela1[Data Corrigida],U$3)/100,"")</f>
        <v/>
      </c>
      <c r="V6" s="34" t="str">
        <f ca="1">IFERROR(AVERAGEIFS(INDIRECT("Tabela1["&amp;$B6&amp;"]"),Tabela1[Turno],$D6,Tabela1[Data Corrigida],V$3)/100,"")</f>
        <v/>
      </c>
      <c r="W6" s="34" t="str">
        <f ca="1">IFERROR(AVERAGEIFS(INDIRECT("Tabela1["&amp;$B6&amp;"]"),Tabela1[Turno],$D6,Tabela1[Data Corrigida],W$3)/100,"")</f>
        <v/>
      </c>
      <c r="X6" s="34" t="str">
        <f ca="1">IFERROR(AVERAGEIFS(INDIRECT("Tabela1["&amp;$B6&amp;"]"),Tabela1[Turno],$D6,Tabela1[Data Corrigida],X$3)/100,"")</f>
        <v/>
      </c>
      <c r="Y6" s="34" t="str">
        <f ca="1">IFERROR(AVERAGEIFS(INDIRECT("Tabela1["&amp;$B6&amp;"]"),Tabela1[Turno],$D6,Tabela1[Data Corrigida],Y$3)/100,"")</f>
        <v/>
      </c>
      <c r="Z6" s="34" t="str">
        <f ca="1">IFERROR(AVERAGEIFS(INDIRECT("Tabela1["&amp;$B6&amp;"]"),Tabela1[Turno],$D6,Tabela1[Data Corrigida],Z$3)/100,"")</f>
        <v/>
      </c>
      <c r="AA6" s="34" t="str">
        <f ca="1">IFERROR(AVERAGEIFS(INDIRECT("Tabela1["&amp;$B6&amp;"]"),Tabela1[Turno],$D6,Tabela1[Data Corrigida],AA$3)/100,"")</f>
        <v/>
      </c>
      <c r="AB6" s="34" t="str">
        <f ca="1">IFERROR(AVERAGEIFS(INDIRECT("Tabela1["&amp;$B6&amp;"]"),Tabela1[Turno],$D6,Tabela1[Data Corrigida],AB$3)/100,"")</f>
        <v/>
      </c>
      <c r="AC6" s="34" t="str">
        <f ca="1">IFERROR(AVERAGEIFS(INDIRECT("Tabela1["&amp;$B6&amp;"]"),Tabela1[Turno],$D6,Tabela1[Data Corrigida],AC$3)/100,"")</f>
        <v/>
      </c>
      <c r="AD6" s="34" t="str">
        <f ca="1">IFERROR(AVERAGEIFS(INDIRECT("Tabela1["&amp;$B6&amp;"]"),Tabela1[Turno],$D6,Tabela1[Data Corrigida],AD$3)/100,"")</f>
        <v/>
      </c>
      <c r="AE6" s="34" t="str">
        <f ca="1">IFERROR(AVERAGEIFS(INDIRECT("Tabela1["&amp;$B6&amp;"]"),Tabela1[Turno],$D6,Tabela1[Data Corrigida],AE$3)/100,"")</f>
        <v/>
      </c>
      <c r="AF6" s="34" t="str">
        <f ca="1">IFERROR(AVERAGEIFS(INDIRECT("Tabela1["&amp;$B6&amp;"]"),Tabela1[Turno],$D6,Tabela1[Data Corrigida],AF$3)/100,"")</f>
        <v/>
      </c>
      <c r="AG6" s="34" t="str">
        <f ca="1">IFERROR(AVERAGEIFS(INDIRECT("Tabela1["&amp;$B6&amp;"]"),Tabela1[Turno],$D6,Tabela1[Data Corrigida],AG$3)/100,"")</f>
        <v/>
      </c>
      <c r="AH6" s="34" t="str">
        <f ca="1">IFERROR(AVERAGEIFS(INDIRECT("Tabela1["&amp;$B6&amp;"]"),Tabela1[Turno],$D6,Tabela1[Data Corrigida],AH$3)/100,"")</f>
        <v/>
      </c>
      <c r="AI6" s="34" t="str">
        <f ca="1">IFERROR(AVERAGEIFS(INDIRECT("Tabela1["&amp;$B6&amp;"]"),Tabela1[Turno],$D6,Tabela1[Data Corrigida],AI$3)/100,"")</f>
        <v/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62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0.21126984126984127</v>
      </c>
      <c r="N7" s="36">
        <f ca="1">IFERROR(AVERAGEIFS(INDIRECT("Tabela1["&amp;$B7&amp;"]"),Tabela1[Turno],$D7,Tabela1[Mês],N$3)/100,"")</f>
        <v>0.12666666666666665</v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59"/>
      <c r="R7" s="35">
        <f ca="1">IFERROR(AVERAGEIFS(INDIRECT("Tabela1["&amp;$B7&amp;"]"),Tabela1[Turno],$D7,Tabela1[Data Corrigida],R$3)/100,"")</f>
        <v>0.12666666666666665</v>
      </c>
      <c r="S7" s="36" t="str">
        <f ca="1">IFERROR(AVERAGEIFS(INDIRECT("Tabela1["&amp;$B7&amp;"]"),Tabela1[Turno],$D7,Tabela1[Data Corrigida],S$3)/100,"")</f>
        <v/>
      </c>
      <c r="T7" s="36" t="str">
        <f ca="1">IFERROR(AVERAGEIFS(INDIRECT("Tabela1["&amp;$B7&amp;"]"),Tabela1[Turno],$D7,Tabela1[Data Corrigida],T$3)/100,"")</f>
        <v/>
      </c>
      <c r="U7" s="36" t="str">
        <f ca="1">IFERROR(AVERAGEIFS(INDIRECT("Tabela1["&amp;$B7&amp;"]"),Tabela1[Turno],$D7,Tabela1[Data Corrigida],U$3)/100,"")</f>
        <v/>
      </c>
      <c r="V7" s="36" t="str">
        <f ca="1">IFERROR(AVERAGEIFS(INDIRECT("Tabela1["&amp;$B7&amp;"]"),Tabela1[Turno],$D7,Tabela1[Data Corrigida],V$3)/100,"")</f>
        <v/>
      </c>
      <c r="W7" s="36" t="str">
        <f ca="1">IFERROR(AVERAGEIFS(INDIRECT("Tabela1["&amp;$B7&amp;"]"),Tabela1[Turno],$D7,Tabela1[Data Corrigida],W$3)/100,"")</f>
        <v/>
      </c>
      <c r="X7" s="36" t="str">
        <f ca="1">IFERROR(AVERAGEIFS(INDIRECT("Tabela1["&amp;$B7&amp;"]"),Tabela1[Turno],$D7,Tabela1[Data Corrigida],X$3)/100,"")</f>
        <v/>
      </c>
      <c r="Y7" s="36" t="str">
        <f ca="1">IFERROR(AVERAGEIFS(INDIRECT("Tabela1["&amp;$B7&amp;"]"),Tabela1[Turno],$D7,Tabela1[Data Corrigida],Y$3)/100,"")</f>
        <v/>
      </c>
      <c r="Z7" s="36" t="str">
        <f ca="1">IFERROR(AVERAGEIFS(INDIRECT("Tabela1["&amp;$B7&amp;"]"),Tabela1[Turno],$D7,Tabela1[Data Corrigida],Z$3)/100,"")</f>
        <v/>
      </c>
      <c r="AA7" s="36" t="str">
        <f ca="1">IFERROR(AVERAGEIFS(INDIRECT("Tabela1["&amp;$B7&amp;"]"),Tabela1[Turno],$D7,Tabela1[Data Corrigida],AA$3)/100,"")</f>
        <v/>
      </c>
      <c r="AB7" s="36" t="str">
        <f ca="1">IFERROR(AVERAGEIFS(INDIRECT("Tabela1["&amp;$B7&amp;"]"),Tabela1[Turno],$D7,Tabela1[Data Corrigida],AB$3)/100,"")</f>
        <v/>
      </c>
      <c r="AC7" s="36" t="str">
        <f ca="1">IFERROR(AVERAGEIFS(INDIRECT("Tabela1["&amp;$B7&amp;"]"),Tabela1[Turno],$D7,Tabela1[Data Corrigida],AC$3)/100,"")</f>
        <v/>
      </c>
      <c r="AD7" s="36" t="str">
        <f ca="1">IFERROR(AVERAGEIFS(INDIRECT("Tabela1["&amp;$B7&amp;"]"),Tabela1[Turno],$D7,Tabela1[Data Corrigida],AD$3)/100,"")</f>
        <v/>
      </c>
      <c r="AE7" s="36" t="str">
        <f ca="1">IFERROR(AVERAGEIFS(INDIRECT("Tabela1["&amp;$B7&amp;"]"),Tabela1[Turno],$D7,Tabela1[Data Corrigida],AE$3)/100,"")</f>
        <v/>
      </c>
      <c r="AF7" s="36" t="str">
        <f ca="1">IFERROR(AVERAGEIFS(INDIRECT("Tabela1["&amp;$B7&amp;"]"),Tabela1[Turno],$D7,Tabela1[Data Corrigida],AF$3)/100,"")</f>
        <v/>
      </c>
      <c r="AG7" s="36" t="str">
        <f ca="1">IFERROR(AVERAGEIFS(INDIRECT("Tabela1["&amp;$B7&amp;"]"),Tabela1[Turno],$D7,Tabela1[Data Corrigida],AG$3)/100,"")</f>
        <v/>
      </c>
      <c r="AH7" s="36" t="str">
        <f ca="1">IFERROR(AVERAGEIFS(INDIRECT("Tabela1["&amp;$B7&amp;"]"),Tabela1[Turno],$D7,Tabela1[Data Corrigida],AH$3)/100,"")</f>
        <v/>
      </c>
      <c r="AI7" s="36" t="str">
        <f ca="1">IFERROR(AVERAGEIFS(INDIRECT("Tabela1["&amp;$B7&amp;"]"),Tabela1[Turno],$D7,Tabela1[Data Corrigida],AI$3)/100,"")</f>
        <v/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3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0.27205479452054798</v>
      </c>
      <c r="N8" s="45">
        <f ca="1">IFERROR(AVERAGEIFS(INDIRECT("Tabela1["&amp;$B8&amp;"]"),Tabela1[Mês],N$3)/100,"")</f>
        <v>0.33571428571428569</v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0"/>
      <c r="R8" s="37">
        <f ca="1">IFERROR(AVERAGEIFS(INDIRECT("Tabela1["&amp;$B8&amp;"]"),Tabela1[Data Corrigida],R$3)/100,"")</f>
        <v>0.33571428571428569</v>
      </c>
      <c r="S8" s="38" t="str">
        <f ca="1">IFERROR(AVERAGEIFS(INDIRECT("Tabela1["&amp;$B8&amp;"]"),Tabela1[Data Corrigida],S$3)/100,"")</f>
        <v/>
      </c>
      <c r="T8" s="38" t="str">
        <f ca="1">IFERROR(AVERAGEIFS(INDIRECT("Tabela1["&amp;$B8&amp;"]"),Tabela1[Data Corrigida],T$3)/100,"")</f>
        <v/>
      </c>
      <c r="U8" s="38" t="str">
        <f ca="1">IFERROR(AVERAGEIFS(INDIRECT("Tabela1["&amp;$B8&amp;"]"),Tabela1[Data Corrigida],U$3)/100,"")</f>
        <v/>
      </c>
      <c r="V8" s="38" t="str">
        <f ca="1">IFERROR(AVERAGEIFS(INDIRECT("Tabela1["&amp;$B8&amp;"]"),Tabela1[Data Corrigida],V$3)/100,"")</f>
        <v/>
      </c>
      <c r="W8" s="38" t="str">
        <f ca="1">IFERROR(AVERAGEIFS(INDIRECT("Tabela1["&amp;$B8&amp;"]"),Tabela1[Data Corrigida],W$3)/100,"")</f>
        <v/>
      </c>
      <c r="X8" s="38" t="str">
        <f ca="1">IFERROR(AVERAGEIFS(INDIRECT("Tabela1["&amp;$B8&amp;"]"),Tabela1[Data Corrigida],X$3)/100,"")</f>
        <v/>
      </c>
      <c r="Y8" s="38" t="str">
        <f ca="1">IFERROR(AVERAGEIFS(INDIRECT("Tabela1["&amp;$B8&amp;"]"),Tabela1[Data Corrigida],Y$3)/100,"")</f>
        <v/>
      </c>
      <c r="Z8" s="38" t="str">
        <f ca="1">IFERROR(AVERAGEIFS(INDIRECT("Tabela1["&amp;$B8&amp;"]"),Tabela1[Data Corrigida],Z$3)/100,"")</f>
        <v/>
      </c>
      <c r="AA8" s="38" t="str">
        <f ca="1">IFERROR(AVERAGEIFS(INDIRECT("Tabela1["&amp;$B8&amp;"]"),Tabela1[Data Corrigida],AA$3)/100,"")</f>
        <v/>
      </c>
      <c r="AB8" s="38" t="str">
        <f ca="1">IFERROR(AVERAGEIFS(INDIRECT("Tabela1["&amp;$B8&amp;"]"),Tabela1[Data Corrigida],AB$3)/100,"")</f>
        <v/>
      </c>
      <c r="AC8" s="38" t="str">
        <f ca="1">IFERROR(AVERAGEIFS(INDIRECT("Tabela1["&amp;$B8&amp;"]"),Tabela1[Data Corrigida],AC$3)/100,"")</f>
        <v/>
      </c>
      <c r="AD8" s="38" t="str">
        <f ca="1">IFERROR(AVERAGEIFS(INDIRECT("Tabela1["&amp;$B8&amp;"]"),Tabela1[Data Corrigida],AD$3)/100,"")</f>
        <v/>
      </c>
      <c r="AE8" s="38" t="str">
        <f ca="1">IFERROR(AVERAGEIFS(INDIRECT("Tabela1["&amp;$B8&amp;"]"),Tabela1[Data Corrigida],AE$3)/100,"")</f>
        <v/>
      </c>
      <c r="AF8" s="38" t="str">
        <f ca="1">IFERROR(AVERAGEIFS(INDIRECT("Tabela1["&amp;$B8&amp;"]"),Tabela1[Data Corrigida],AF$3)/100,"")</f>
        <v/>
      </c>
      <c r="AG8" s="38" t="str">
        <f ca="1">IFERROR(AVERAGEIFS(INDIRECT("Tabela1["&amp;$B8&amp;"]"),Tabela1[Data Corrigida],AG$3)/100,"")</f>
        <v/>
      </c>
      <c r="AH8" s="38" t="str">
        <f ca="1">IFERROR(AVERAGEIFS(INDIRECT("Tabela1["&amp;$B8&amp;"]"),Tabela1[Data Corrigida],AH$3)/100,"")</f>
        <v/>
      </c>
      <c r="AI8" s="38" t="str">
        <f ca="1">IFERROR(AVERAGEIFS(INDIRECT("Tabela1["&amp;$B8&amp;"]"),Tabela1[Data Corrigida],AI$3)/100,"")</f>
        <v/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61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0.13469879518072289</v>
      </c>
      <c r="N9" s="34">
        <f ca="1">IFERROR(AVERAGEIFS(INDIRECT("Tabela1["&amp;$B9&amp;"]"),Tabela1[Turno],$D9,Tabela1[Mês],N$3)/100,"")</f>
        <v>0.27250000000000002</v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58">
        <v>0</v>
      </c>
      <c r="R9" s="39">
        <f ca="1">IFERROR(AVERAGEIFS(INDIRECT("Tabela1["&amp;$B9&amp;"]"),Tabela1[Turno],$D9,Tabela1[Data Corrigida],R$3)/100,"")</f>
        <v>0.27250000000000002</v>
      </c>
      <c r="S9" s="40" t="str">
        <f ca="1">IFERROR(AVERAGEIFS(INDIRECT("Tabela1["&amp;$B9&amp;"]"),Tabela1[Turno],$D9,Tabela1[Data Corrigida],S$3)/100,"")</f>
        <v/>
      </c>
      <c r="T9" s="40" t="str">
        <f ca="1">IFERROR(AVERAGEIFS(INDIRECT("Tabela1["&amp;$B9&amp;"]"),Tabela1[Turno],$D9,Tabela1[Data Corrigida],T$3)/100,"")</f>
        <v/>
      </c>
      <c r="U9" s="40" t="str">
        <f ca="1">IFERROR(AVERAGEIFS(INDIRECT("Tabela1["&amp;$B9&amp;"]"),Tabela1[Turno],$D9,Tabela1[Data Corrigida],U$3)/100,"")</f>
        <v/>
      </c>
      <c r="V9" s="40" t="str">
        <f ca="1">IFERROR(AVERAGEIFS(INDIRECT("Tabela1["&amp;$B9&amp;"]"),Tabela1[Turno],$D9,Tabela1[Data Corrigida],V$3)/100,"")</f>
        <v/>
      </c>
      <c r="W9" s="40" t="str">
        <f ca="1">IFERROR(AVERAGEIFS(INDIRECT("Tabela1["&amp;$B9&amp;"]"),Tabela1[Turno],$D9,Tabela1[Data Corrigida],W$3)/100,"")</f>
        <v/>
      </c>
      <c r="X9" s="40" t="str">
        <f ca="1">IFERROR(AVERAGEIFS(INDIRECT("Tabela1["&amp;$B9&amp;"]"),Tabela1[Turno],$D9,Tabela1[Data Corrigida],X$3)/100,"")</f>
        <v/>
      </c>
      <c r="Y9" s="40" t="str">
        <f ca="1">IFERROR(AVERAGEIFS(INDIRECT("Tabela1["&amp;$B9&amp;"]"),Tabela1[Turno],$D9,Tabela1[Data Corrigida],Y$3)/100,"")</f>
        <v/>
      </c>
      <c r="Z9" s="40" t="str">
        <f ca="1">IFERROR(AVERAGEIFS(INDIRECT("Tabela1["&amp;$B9&amp;"]"),Tabela1[Turno],$D9,Tabela1[Data Corrigida],Z$3)/100,"")</f>
        <v/>
      </c>
      <c r="AA9" s="40" t="str">
        <f ca="1">IFERROR(AVERAGEIFS(INDIRECT("Tabela1["&amp;$B9&amp;"]"),Tabela1[Turno],$D9,Tabela1[Data Corrigida],AA$3)/100,"")</f>
        <v/>
      </c>
      <c r="AB9" s="40" t="str">
        <f ca="1">IFERROR(AVERAGEIFS(INDIRECT("Tabela1["&amp;$B9&amp;"]"),Tabela1[Turno],$D9,Tabela1[Data Corrigida],AB$3)/100,"")</f>
        <v/>
      </c>
      <c r="AC9" s="40" t="str">
        <f ca="1">IFERROR(AVERAGEIFS(INDIRECT("Tabela1["&amp;$B9&amp;"]"),Tabela1[Turno],$D9,Tabela1[Data Corrigida],AC$3)/100,"")</f>
        <v/>
      </c>
      <c r="AD9" s="40" t="str">
        <f ca="1">IFERROR(AVERAGEIFS(INDIRECT("Tabela1["&amp;$B9&amp;"]"),Tabela1[Turno],$D9,Tabela1[Data Corrigida],AD$3)/100,"")</f>
        <v/>
      </c>
      <c r="AE9" s="40" t="str">
        <f ca="1">IFERROR(AVERAGEIFS(INDIRECT("Tabela1["&amp;$B9&amp;"]"),Tabela1[Turno],$D9,Tabela1[Data Corrigida],AE$3)/100,"")</f>
        <v/>
      </c>
      <c r="AF9" s="40" t="str">
        <f ca="1">IFERROR(AVERAGEIFS(INDIRECT("Tabela1["&amp;$B9&amp;"]"),Tabela1[Turno],$D9,Tabela1[Data Corrigida],AF$3)/100,"")</f>
        <v/>
      </c>
      <c r="AG9" s="40" t="str">
        <f ca="1">IFERROR(AVERAGEIFS(INDIRECT("Tabela1["&amp;$B9&amp;"]"),Tabela1[Turno],$D9,Tabela1[Data Corrigida],AG$3)/100,"")</f>
        <v/>
      </c>
      <c r="AH9" s="40" t="str">
        <f ca="1">IFERROR(AVERAGEIFS(INDIRECT("Tabela1["&amp;$B9&amp;"]"),Tabela1[Turno],$D9,Tabela1[Data Corrigida],AH$3)/100,"")</f>
        <v/>
      </c>
      <c r="AI9" s="40" t="str">
        <f ca="1">IFERROR(AVERAGEIFS(INDIRECT("Tabela1["&amp;$B9&amp;"]"),Tabela1[Turno],$D9,Tabela1[Data Corrigida],AI$3)/100,"")</f>
        <v/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62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8.8730158730158729E-2</v>
      </c>
      <c r="N10" s="36">
        <f ca="1">IFERROR(AVERAGEIFS(INDIRECT("Tabela1["&amp;$B10&amp;"]"),Tabela1[Turno],$D10,Tabela1[Mês],N$3)/100,"")</f>
        <v>5.6666666666666671E-2</v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59"/>
      <c r="R10" s="35">
        <f ca="1">IFERROR(AVERAGEIFS(INDIRECT("Tabela1["&amp;$B10&amp;"]"),Tabela1[Turno],$D10,Tabela1[Data Corrigida],R$3)/100,"")</f>
        <v>5.6666666666666671E-2</v>
      </c>
      <c r="S10" s="36" t="str">
        <f ca="1">IFERROR(AVERAGEIFS(INDIRECT("Tabela1["&amp;$B10&amp;"]"),Tabela1[Turno],$D10,Tabela1[Data Corrigida],S$3)/100,"")</f>
        <v/>
      </c>
      <c r="T10" s="36" t="str">
        <f ca="1">IFERROR(AVERAGEIFS(INDIRECT("Tabela1["&amp;$B10&amp;"]"),Tabela1[Turno],$D10,Tabela1[Data Corrigida],T$3)/100,"")</f>
        <v/>
      </c>
      <c r="U10" s="36" t="str">
        <f ca="1">IFERROR(AVERAGEIFS(INDIRECT("Tabela1["&amp;$B10&amp;"]"),Tabela1[Turno],$D10,Tabela1[Data Corrigida],U$3)/100,"")</f>
        <v/>
      </c>
      <c r="V10" s="36" t="str">
        <f ca="1">IFERROR(AVERAGEIFS(INDIRECT("Tabela1["&amp;$B10&amp;"]"),Tabela1[Turno],$D10,Tabela1[Data Corrigida],V$3)/100,"")</f>
        <v/>
      </c>
      <c r="W10" s="36" t="str">
        <f ca="1">IFERROR(AVERAGEIFS(INDIRECT("Tabela1["&amp;$B10&amp;"]"),Tabela1[Turno],$D10,Tabela1[Data Corrigida],W$3)/100,"")</f>
        <v/>
      </c>
      <c r="X10" s="36" t="str">
        <f ca="1">IFERROR(AVERAGEIFS(INDIRECT("Tabela1["&amp;$B10&amp;"]"),Tabela1[Turno],$D10,Tabela1[Data Corrigida],X$3)/100,"")</f>
        <v/>
      </c>
      <c r="Y10" s="36" t="str">
        <f ca="1">IFERROR(AVERAGEIFS(INDIRECT("Tabela1["&amp;$B10&amp;"]"),Tabela1[Turno],$D10,Tabela1[Data Corrigida],Y$3)/100,"")</f>
        <v/>
      </c>
      <c r="Z10" s="36" t="str">
        <f ca="1">IFERROR(AVERAGEIFS(INDIRECT("Tabela1["&amp;$B10&amp;"]"),Tabela1[Turno],$D10,Tabela1[Data Corrigida],Z$3)/100,"")</f>
        <v/>
      </c>
      <c r="AA10" s="36" t="str">
        <f ca="1">IFERROR(AVERAGEIFS(INDIRECT("Tabela1["&amp;$B10&amp;"]"),Tabela1[Turno],$D10,Tabela1[Data Corrigida],AA$3)/100,"")</f>
        <v/>
      </c>
      <c r="AB10" s="36" t="str">
        <f ca="1">IFERROR(AVERAGEIFS(INDIRECT("Tabela1["&amp;$B10&amp;"]"),Tabela1[Turno],$D10,Tabela1[Data Corrigida],AB$3)/100,"")</f>
        <v/>
      </c>
      <c r="AC10" s="36" t="str">
        <f ca="1">IFERROR(AVERAGEIFS(INDIRECT("Tabela1["&amp;$B10&amp;"]"),Tabela1[Turno],$D10,Tabela1[Data Corrigida],AC$3)/100,"")</f>
        <v/>
      </c>
      <c r="AD10" s="36" t="str">
        <f ca="1">IFERROR(AVERAGEIFS(INDIRECT("Tabela1["&amp;$B10&amp;"]"),Tabela1[Turno],$D10,Tabela1[Data Corrigida],AD$3)/100,"")</f>
        <v/>
      </c>
      <c r="AE10" s="36" t="str">
        <f ca="1">IFERROR(AVERAGEIFS(INDIRECT("Tabela1["&amp;$B10&amp;"]"),Tabela1[Turno],$D10,Tabela1[Data Corrigida],AE$3)/100,"")</f>
        <v/>
      </c>
      <c r="AF10" s="36" t="str">
        <f ca="1">IFERROR(AVERAGEIFS(INDIRECT("Tabela1["&amp;$B10&amp;"]"),Tabela1[Turno],$D10,Tabela1[Data Corrigida],AF$3)/100,"")</f>
        <v/>
      </c>
      <c r="AG10" s="36" t="str">
        <f ca="1">IFERROR(AVERAGEIFS(INDIRECT("Tabela1["&amp;$B10&amp;"]"),Tabela1[Turno],$D10,Tabela1[Data Corrigida],AG$3)/100,"")</f>
        <v/>
      </c>
      <c r="AH10" s="36" t="str">
        <f ca="1">IFERROR(AVERAGEIFS(INDIRECT("Tabela1["&amp;$B10&amp;"]"),Tabela1[Turno],$D10,Tabela1[Data Corrigida],AH$3)/100,"")</f>
        <v/>
      </c>
      <c r="AI10" s="36" t="str">
        <f ca="1">IFERROR(AVERAGEIFS(INDIRECT("Tabela1["&amp;$B10&amp;"]"),Tabela1[Turno],$D10,Tabela1[Data Corrigida],AI$3)/100,"")</f>
        <v/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3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0.11486301369863014</v>
      </c>
      <c r="N11" s="45">
        <f ca="1">IFERROR(AVERAGEIFS(INDIRECT("Tabela1["&amp;$B11&amp;"]"),Tabela1[Mês],N$3)/100,"")</f>
        <v>0.18</v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0"/>
      <c r="R11" s="42">
        <f ca="1">IFERROR(AVERAGEIFS(INDIRECT("Tabela1["&amp;$B11&amp;"]"),Tabela1[Data Corrigida],R$3)/100,"")</f>
        <v>0.18</v>
      </c>
      <c r="S11" s="43" t="str">
        <f ca="1">IFERROR(AVERAGEIFS(INDIRECT("Tabela1["&amp;$B11&amp;"]"),Tabela1[Data Corrigida],S$3)/100,"")</f>
        <v/>
      </c>
      <c r="T11" s="43" t="str">
        <f ca="1">IFERROR(AVERAGEIFS(INDIRECT("Tabela1["&amp;$B11&amp;"]"),Tabela1[Data Corrigida],T$3)/100,"")</f>
        <v/>
      </c>
      <c r="U11" s="43" t="str">
        <f ca="1">IFERROR(AVERAGEIFS(INDIRECT("Tabela1["&amp;$B11&amp;"]"),Tabela1[Data Corrigida],U$3)/100,"")</f>
        <v/>
      </c>
      <c r="V11" s="43" t="str">
        <f ca="1">IFERROR(AVERAGEIFS(INDIRECT("Tabela1["&amp;$B11&amp;"]"),Tabela1[Data Corrigida],V$3)/100,"")</f>
        <v/>
      </c>
      <c r="W11" s="43" t="str">
        <f ca="1">IFERROR(AVERAGEIFS(INDIRECT("Tabela1["&amp;$B11&amp;"]"),Tabela1[Data Corrigida],W$3)/100,"")</f>
        <v/>
      </c>
      <c r="X11" s="43" t="str">
        <f ca="1">IFERROR(AVERAGEIFS(INDIRECT("Tabela1["&amp;$B11&amp;"]"),Tabela1[Data Corrigida],X$3)/100,"")</f>
        <v/>
      </c>
      <c r="Y11" s="43" t="str">
        <f ca="1">IFERROR(AVERAGEIFS(INDIRECT("Tabela1["&amp;$B11&amp;"]"),Tabela1[Data Corrigida],Y$3)/100,"")</f>
        <v/>
      </c>
      <c r="Z11" s="43" t="str">
        <f ca="1">IFERROR(AVERAGEIFS(INDIRECT("Tabela1["&amp;$B11&amp;"]"),Tabela1[Data Corrigida],Z$3)/100,"")</f>
        <v/>
      </c>
      <c r="AA11" s="43" t="str">
        <f ca="1">IFERROR(AVERAGEIFS(INDIRECT("Tabela1["&amp;$B11&amp;"]"),Tabela1[Data Corrigida],AA$3)/100,"")</f>
        <v/>
      </c>
      <c r="AB11" s="43" t="str">
        <f ca="1">IFERROR(AVERAGEIFS(INDIRECT("Tabela1["&amp;$B11&amp;"]"),Tabela1[Data Corrigida],AB$3)/100,"")</f>
        <v/>
      </c>
      <c r="AC11" s="43" t="str">
        <f ca="1">IFERROR(AVERAGEIFS(INDIRECT("Tabela1["&amp;$B11&amp;"]"),Tabela1[Data Corrigida],AC$3)/100,"")</f>
        <v/>
      </c>
      <c r="AD11" s="43" t="str">
        <f ca="1">IFERROR(AVERAGEIFS(INDIRECT("Tabela1["&amp;$B11&amp;"]"),Tabela1[Data Corrigida],AD$3)/100,"")</f>
        <v/>
      </c>
      <c r="AE11" s="43" t="str">
        <f ca="1">IFERROR(AVERAGEIFS(INDIRECT("Tabela1["&amp;$B11&amp;"]"),Tabela1[Data Corrigida],AE$3)/100,"")</f>
        <v/>
      </c>
      <c r="AF11" s="43" t="str">
        <f ca="1">IFERROR(AVERAGEIFS(INDIRECT("Tabela1["&amp;$B11&amp;"]"),Tabela1[Data Corrigida],AF$3)/100,"")</f>
        <v/>
      </c>
      <c r="AG11" s="43" t="str">
        <f ca="1">IFERROR(AVERAGEIFS(INDIRECT("Tabela1["&amp;$B11&amp;"]"),Tabela1[Data Corrigida],AG$3)/100,"")</f>
        <v/>
      </c>
      <c r="AH11" s="43" t="str">
        <f ca="1">IFERROR(AVERAGEIFS(INDIRECT("Tabela1["&amp;$B11&amp;"]"),Tabela1[Data Corrigida],AH$3)/100,"")</f>
        <v/>
      </c>
      <c r="AI11" s="43" t="str">
        <f ca="1">IFERROR(AVERAGEIFS(INDIRECT("Tabela1["&amp;$B11&amp;"]"),Tabela1[Data Corrigida],AI$3)/100,"")</f>
        <v/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61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1.2195121951219512E-3</v>
      </c>
      <c r="N12" s="34">
        <f ca="1">IFERROR(AVERAGEIFS(INDIRECT("Tabela1["&amp;$B12&amp;"]"),Tabela1[Turno],$D12,Tabela1[Mês],N$3)/20,"")</f>
        <v>0</v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58">
        <v>0</v>
      </c>
      <c r="R12" s="33">
        <f ca="1">IFERROR(AVERAGEIFS(INDIRECT("Tabela1["&amp;$B12&amp;"]"),Tabela1[Turno],$D12,Tabela1[Data Corrigida],R$3)/20,"")</f>
        <v>0</v>
      </c>
      <c r="S12" s="34" t="str">
        <f ca="1">IFERROR(AVERAGEIFS(INDIRECT("Tabela1["&amp;$B12&amp;"]"),Tabela1[Turno],$D12,Tabela1[Data Corrigida],S$3)/20,"")</f>
        <v/>
      </c>
      <c r="T12" s="34" t="str">
        <f ca="1">IFERROR(AVERAGEIFS(INDIRECT("Tabela1["&amp;$B12&amp;"]"),Tabela1[Turno],$D12,Tabela1[Data Corrigida],T$3)/20,"")</f>
        <v/>
      </c>
      <c r="U12" s="34" t="str">
        <f ca="1">IFERROR(AVERAGEIFS(INDIRECT("Tabela1["&amp;$B12&amp;"]"),Tabela1[Turno],$D12,Tabela1[Data Corrigida],U$3)/20,"")</f>
        <v/>
      </c>
      <c r="V12" s="34" t="str">
        <f ca="1">IFERROR(AVERAGEIFS(INDIRECT("Tabela1["&amp;$B12&amp;"]"),Tabela1[Turno],$D12,Tabela1[Data Corrigida],V$3)/20,"")</f>
        <v/>
      </c>
      <c r="W12" s="34" t="str">
        <f ca="1">IFERROR(AVERAGEIFS(INDIRECT("Tabela1["&amp;$B12&amp;"]"),Tabela1[Turno],$D12,Tabela1[Data Corrigida],W$3)/20,"")</f>
        <v/>
      </c>
      <c r="X12" s="34" t="str">
        <f ca="1">IFERROR(AVERAGEIFS(INDIRECT("Tabela1["&amp;$B12&amp;"]"),Tabela1[Turno],$D12,Tabela1[Data Corrigida],X$3)/20,"")</f>
        <v/>
      </c>
      <c r="Y12" s="34" t="str">
        <f ca="1">IFERROR(AVERAGEIFS(INDIRECT("Tabela1["&amp;$B12&amp;"]"),Tabela1[Turno],$D12,Tabela1[Data Corrigida],Y$3)/20,"")</f>
        <v/>
      </c>
      <c r="Z12" s="34" t="str">
        <f ca="1">IFERROR(AVERAGEIFS(INDIRECT("Tabela1["&amp;$B12&amp;"]"),Tabela1[Turno],$D12,Tabela1[Data Corrigida],Z$3)/20,"")</f>
        <v/>
      </c>
      <c r="AA12" s="34" t="str">
        <f ca="1">IFERROR(AVERAGEIFS(INDIRECT("Tabela1["&amp;$B12&amp;"]"),Tabela1[Turno],$D12,Tabela1[Data Corrigida],AA$3)/20,"")</f>
        <v/>
      </c>
      <c r="AB12" s="34" t="str">
        <f ca="1">IFERROR(AVERAGEIFS(INDIRECT("Tabela1["&amp;$B12&amp;"]"),Tabela1[Turno],$D12,Tabela1[Data Corrigida],AB$3)/20,"")</f>
        <v/>
      </c>
      <c r="AC12" s="34" t="str">
        <f ca="1">IFERROR(AVERAGEIFS(INDIRECT("Tabela1["&amp;$B12&amp;"]"),Tabela1[Turno],$D12,Tabela1[Data Corrigida],AC$3)/20,"")</f>
        <v/>
      </c>
      <c r="AD12" s="34" t="str">
        <f ca="1">IFERROR(AVERAGEIFS(INDIRECT("Tabela1["&amp;$B12&amp;"]"),Tabela1[Turno],$D12,Tabela1[Data Corrigida],AD$3)/20,"")</f>
        <v/>
      </c>
      <c r="AE12" s="34" t="str">
        <f ca="1">IFERROR(AVERAGEIFS(INDIRECT("Tabela1["&amp;$B12&amp;"]"),Tabela1[Turno],$D12,Tabela1[Data Corrigida],AE$3)/20,"")</f>
        <v/>
      </c>
      <c r="AF12" s="34" t="str">
        <f ca="1">IFERROR(AVERAGEIFS(INDIRECT("Tabela1["&amp;$B12&amp;"]"),Tabela1[Turno],$D12,Tabela1[Data Corrigida],AF$3)/20,"")</f>
        <v/>
      </c>
      <c r="AG12" s="34" t="str">
        <f ca="1">IFERROR(AVERAGEIFS(INDIRECT("Tabela1["&amp;$B12&amp;"]"),Tabela1[Turno],$D12,Tabela1[Data Corrigida],AG$3)/20,"")</f>
        <v/>
      </c>
      <c r="AH12" s="34" t="str">
        <f ca="1">IFERROR(AVERAGEIFS(INDIRECT("Tabela1["&amp;$B12&amp;"]"),Tabela1[Turno],$D12,Tabela1[Data Corrigida],AH$3)/20,"")</f>
        <v/>
      </c>
      <c r="AI12" s="34" t="str">
        <f ca="1">IFERROR(AVERAGEIFS(INDIRECT("Tabela1["&amp;$B12&amp;"]"),Tabela1[Turno],$D12,Tabela1[Data Corrigida],AI$3)/20,"")</f>
        <v/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62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3.0952380952380953E-2</v>
      </c>
      <c r="N13" s="36">
        <f ca="1">IFERROR(AVERAGEIFS(INDIRECT("Tabela1["&amp;$B13&amp;"]"),Tabela1[Turno],$D13,Tabela1[Mês],N$3)/20,"")</f>
        <v>0</v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59"/>
      <c r="R13" s="35">
        <f ca="1">IFERROR(AVERAGEIFS(INDIRECT("Tabela1["&amp;$B13&amp;"]"),Tabela1[Turno],$D13,Tabela1[Data Corrigida],R$3)/20,"")</f>
        <v>0</v>
      </c>
      <c r="S13" s="36" t="str">
        <f ca="1">IFERROR(AVERAGEIFS(INDIRECT("Tabela1["&amp;$B13&amp;"]"),Tabela1[Turno],$D13,Tabela1[Data Corrigida],S$3)/20,"")</f>
        <v/>
      </c>
      <c r="T13" s="36" t="str">
        <f ca="1">IFERROR(AVERAGEIFS(INDIRECT("Tabela1["&amp;$B13&amp;"]"),Tabela1[Turno],$D13,Tabela1[Data Corrigida],T$3)/20,"")</f>
        <v/>
      </c>
      <c r="U13" s="36" t="str">
        <f ca="1">IFERROR(AVERAGEIFS(INDIRECT("Tabela1["&amp;$B13&amp;"]"),Tabela1[Turno],$D13,Tabela1[Data Corrigida],U$3)/20,"")</f>
        <v/>
      </c>
      <c r="V13" s="36" t="str">
        <f ca="1">IFERROR(AVERAGEIFS(INDIRECT("Tabela1["&amp;$B13&amp;"]"),Tabela1[Turno],$D13,Tabela1[Data Corrigida],V$3)/20,"")</f>
        <v/>
      </c>
      <c r="W13" s="36" t="str">
        <f ca="1">IFERROR(AVERAGEIFS(INDIRECT("Tabela1["&amp;$B13&amp;"]"),Tabela1[Turno],$D13,Tabela1[Data Corrigida],W$3)/20,"")</f>
        <v/>
      </c>
      <c r="X13" s="36" t="str">
        <f ca="1">IFERROR(AVERAGEIFS(INDIRECT("Tabela1["&amp;$B13&amp;"]"),Tabela1[Turno],$D13,Tabela1[Data Corrigida],X$3)/20,"")</f>
        <v/>
      </c>
      <c r="Y13" s="36" t="str">
        <f ca="1">IFERROR(AVERAGEIFS(INDIRECT("Tabela1["&amp;$B13&amp;"]"),Tabela1[Turno],$D13,Tabela1[Data Corrigida],Y$3)/20,"")</f>
        <v/>
      </c>
      <c r="Z13" s="36" t="str">
        <f ca="1">IFERROR(AVERAGEIFS(INDIRECT("Tabela1["&amp;$B13&amp;"]"),Tabela1[Turno],$D13,Tabela1[Data Corrigida],Z$3)/20,"")</f>
        <v/>
      </c>
      <c r="AA13" s="36" t="str">
        <f ca="1">IFERROR(AVERAGEIFS(INDIRECT("Tabela1["&amp;$B13&amp;"]"),Tabela1[Turno],$D13,Tabela1[Data Corrigida],AA$3)/20,"")</f>
        <v/>
      </c>
      <c r="AB13" s="36" t="str">
        <f ca="1">IFERROR(AVERAGEIFS(INDIRECT("Tabela1["&amp;$B13&amp;"]"),Tabela1[Turno],$D13,Tabela1[Data Corrigida],AB$3)/20,"")</f>
        <v/>
      </c>
      <c r="AC13" s="36" t="str">
        <f ca="1">IFERROR(AVERAGEIFS(INDIRECT("Tabela1["&amp;$B13&amp;"]"),Tabela1[Turno],$D13,Tabela1[Data Corrigida],AC$3)/20,"")</f>
        <v/>
      </c>
      <c r="AD13" s="36" t="str">
        <f ca="1">IFERROR(AVERAGEIFS(INDIRECT("Tabela1["&amp;$B13&amp;"]"),Tabela1[Turno],$D13,Tabela1[Data Corrigida],AD$3)/20,"")</f>
        <v/>
      </c>
      <c r="AE13" s="36" t="str">
        <f ca="1">IFERROR(AVERAGEIFS(INDIRECT("Tabela1["&amp;$B13&amp;"]"),Tabela1[Turno],$D13,Tabela1[Data Corrigida],AE$3)/20,"")</f>
        <v/>
      </c>
      <c r="AF13" s="36" t="str">
        <f ca="1">IFERROR(AVERAGEIFS(INDIRECT("Tabela1["&amp;$B13&amp;"]"),Tabela1[Turno],$D13,Tabela1[Data Corrigida],AF$3)/20,"")</f>
        <v/>
      </c>
      <c r="AG13" s="36" t="str">
        <f ca="1">IFERROR(AVERAGEIFS(INDIRECT("Tabela1["&amp;$B13&amp;"]"),Tabela1[Turno],$D13,Tabela1[Data Corrigida],AG$3)/20,"")</f>
        <v/>
      </c>
      <c r="AH13" s="36" t="str">
        <f ca="1">IFERROR(AVERAGEIFS(INDIRECT("Tabela1["&amp;$B13&amp;"]"),Tabela1[Turno],$D13,Tabela1[Data Corrigida],AH$3)/20,"")</f>
        <v/>
      </c>
      <c r="AI13" s="36" t="str">
        <f ca="1">IFERROR(AVERAGEIFS(INDIRECT("Tabela1["&amp;$B13&amp;"]"),Tabela1[Turno],$D13,Tabela1[Data Corrigida],AI$3)/20,"")</f>
        <v/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3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1.413793103448276E-2</v>
      </c>
      <c r="N14" s="45">
        <f ca="1">IFERROR(AVERAGEIFS(INDIRECT("Tabela1["&amp;$B14&amp;"]"),Tabela1[Mês],N$3)/20,"")</f>
        <v>0</v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0"/>
      <c r="R14" s="37">
        <f ca="1">IFERROR(AVERAGEIFS(INDIRECT("Tabela1["&amp;$B14&amp;"]"),Tabela1[Data Corrigida],R$3)/20,"")</f>
        <v>0</v>
      </c>
      <c r="S14" s="38" t="str">
        <f ca="1">IFERROR(AVERAGEIFS(INDIRECT("Tabela1["&amp;$B14&amp;"]"),Tabela1[Data Corrigida],S$3)/20,"")</f>
        <v/>
      </c>
      <c r="T14" s="38" t="str">
        <f ca="1">IFERROR(AVERAGEIFS(INDIRECT("Tabela1["&amp;$B14&amp;"]"),Tabela1[Data Corrigida],T$3)/20,"")</f>
        <v/>
      </c>
      <c r="U14" s="38" t="str">
        <f ca="1">IFERROR(AVERAGEIFS(INDIRECT("Tabela1["&amp;$B14&amp;"]"),Tabela1[Data Corrigida],U$3)/20,"")</f>
        <v/>
      </c>
      <c r="V14" s="38" t="str">
        <f ca="1">IFERROR(AVERAGEIFS(INDIRECT("Tabela1["&amp;$B14&amp;"]"),Tabela1[Data Corrigida],V$3)/20,"")</f>
        <v/>
      </c>
      <c r="W14" s="38" t="str">
        <f ca="1">IFERROR(AVERAGEIFS(INDIRECT("Tabela1["&amp;$B14&amp;"]"),Tabela1[Data Corrigida],W$3)/20,"")</f>
        <v/>
      </c>
      <c r="X14" s="38" t="str">
        <f ca="1">IFERROR(AVERAGEIFS(INDIRECT("Tabela1["&amp;$B14&amp;"]"),Tabela1[Data Corrigida],X$3)/20,"")</f>
        <v/>
      </c>
      <c r="Y14" s="38" t="str">
        <f ca="1">IFERROR(AVERAGEIFS(INDIRECT("Tabela1["&amp;$B14&amp;"]"),Tabela1[Data Corrigida],Y$3)/20,"")</f>
        <v/>
      </c>
      <c r="Z14" s="38" t="str">
        <f ca="1">IFERROR(AVERAGEIFS(INDIRECT("Tabela1["&amp;$B14&amp;"]"),Tabela1[Data Corrigida],Z$3)/20,"")</f>
        <v/>
      </c>
      <c r="AA14" s="38" t="str">
        <f ca="1">IFERROR(AVERAGEIFS(INDIRECT("Tabela1["&amp;$B14&amp;"]"),Tabela1[Data Corrigida],AA$3)/20,"")</f>
        <v/>
      </c>
      <c r="AB14" s="38" t="str">
        <f ca="1">IFERROR(AVERAGEIFS(INDIRECT("Tabela1["&amp;$B14&amp;"]"),Tabela1[Data Corrigida],AB$3)/20,"")</f>
        <v/>
      </c>
      <c r="AC14" s="38" t="str">
        <f ca="1">IFERROR(AVERAGEIFS(INDIRECT("Tabela1["&amp;$B14&amp;"]"),Tabela1[Data Corrigida],AC$3)/20,"")</f>
        <v/>
      </c>
      <c r="AD14" s="38" t="str">
        <f ca="1">IFERROR(AVERAGEIFS(INDIRECT("Tabela1["&amp;$B14&amp;"]"),Tabela1[Data Corrigida],AD$3)/20,"")</f>
        <v/>
      </c>
      <c r="AE14" s="38" t="str">
        <f ca="1">IFERROR(AVERAGEIFS(INDIRECT("Tabela1["&amp;$B14&amp;"]"),Tabela1[Data Corrigida],AE$3)/20,"")</f>
        <v/>
      </c>
      <c r="AF14" s="38" t="str">
        <f ca="1">IFERROR(AVERAGEIFS(INDIRECT("Tabela1["&amp;$B14&amp;"]"),Tabela1[Data Corrigida],AF$3)/20,"")</f>
        <v/>
      </c>
      <c r="AG14" s="38" t="str">
        <f ca="1">IFERROR(AVERAGEIFS(INDIRECT("Tabela1["&amp;$B14&amp;"]"),Tabela1[Data Corrigida],AG$3)/20,"")</f>
        <v/>
      </c>
      <c r="AH14" s="38" t="str">
        <f ca="1">IFERROR(AVERAGEIFS(INDIRECT("Tabela1["&amp;$B14&amp;"]"),Tabela1[Data Corrigida],AH$3)/20,"")</f>
        <v/>
      </c>
      <c r="AI14" s="38" t="str">
        <f ca="1">IFERROR(AVERAGEIFS(INDIRECT("Tabela1["&amp;$B14&amp;"]"),Tabela1[Data Corrigida],AI$3)/20,"")</f>
        <v/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61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2.3012048192771088E-2</v>
      </c>
      <c r="N15" s="34">
        <f ca="1">IFERROR(AVERAGEIFS(INDIRECT("Tabela1["&amp;$B15&amp;"]"),Tabela1[Turno],$D15,Tabela1[Mês],N$3)/100,"")</f>
        <v>2.2499999999999999E-2</v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58">
        <v>0.01</v>
      </c>
      <c r="R15" s="39">
        <f ca="1">IFERROR(AVERAGEIFS(INDIRECT("Tabela1["&amp;$B15&amp;"]"),Tabela1[Turno],$D15,Tabela1[Data Corrigida],R$3)/100,"")</f>
        <v>2.2499999999999999E-2</v>
      </c>
      <c r="S15" s="40" t="str">
        <f ca="1">IFERROR(AVERAGEIFS(INDIRECT("Tabela1["&amp;$B15&amp;"]"),Tabela1[Turno],$D15,Tabela1[Data Corrigida],S$3)/100,"")</f>
        <v/>
      </c>
      <c r="T15" s="40" t="str">
        <f ca="1">IFERROR(AVERAGEIFS(INDIRECT("Tabela1["&amp;$B15&amp;"]"),Tabela1[Turno],$D15,Tabela1[Data Corrigida],T$3)/100,"")</f>
        <v/>
      </c>
      <c r="U15" s="40" t="str">
        <f ca="1">IFERROR(AVERAGEIFS(INDIRECT("Tabela1["&amp;$B15&amp;"]"),Tabela1[Turno],$D15,Tabela1[Data Corrigida],U$3)/100,"")</f>
        <v/>
      </c>
      <c r="V15" s="40" t="str">
        <f ca="1">IFERROR(AVERAGEIFS(INDIRECT("Tabela1["&amp;$B15&amp;"]"),Tabela1[Turno],$D15,Tabela1[Data Corrigida],V$3)/100,"")</f>
        <v/>
      </c>
      <c r="W15" s="40" t="str">
        <f ca="1">IFERROR(AVERAGEIFS(INDIRECT("Tabela1["&amp;$B15&amp;"]"),Tabela1[Turno],$D15,Tabela1[Data Corrigida],W$3)/100,"")</f>
        <v/>
      </c>
      <c r="X15" s="40" t="str">
        <f ca="1">IFERROR(AVERAGEIFS(INDIRECT("Tabela1["&amp;$B15&amp;"]"),Tabela1[Turno],$D15,Tabela1[Data Corrigida],X$3)/100,"")</f>
        <v/>
      </c>
      <c r="Y15" s="40" t="str">
        <f ca="1">IFERROR(AVERAGEIFS(INDIRECT("Tabela1["&amp;$B15&amp;"]"),Tabela1[Turno],$D15,Tabela1[Data Corrigida],Y$3)/100,"")</f>
        <v/>
      </c>
      <c r="Z15" s="40" t="str">
        <f ca="1">IFERROR(AVERAGEIFS(INDIRECT("Tabela1["&amp;$B15&amp;"]"),Tabela1[Turno],$D15,Tabela1[Data Corrigida],Z$3)/100,"")</f>
        <v/>
      </c>
      <c r="AA15" s="40" t="str">
        <f ca="1">IFERROR(AVERAGEIFS(INDIRECT("Tabela1["&amp;$B15&amp;"]"),Tabela1[Turno],$D15,Tabela1[Data Corrigida],AA$3)/100,"")</f>
        <v/>
      </c>
      <c r="AB15" s="40" t="str">
        <f ca="1">IFERROR(AVERAGEIFS(INDIRECT("Tabela1["&amp;$B15&amp;"]"),Tabela1[Turno],$D15,Tabela1[Data Corrigida],AB$3)/100,"")</f>
        <v/>
      </c>
      <c r="AC15" s="40" t="str">
        <f ca="1">IFERROR(AVERAGEIFS(INDIRECT("Tabela1["&amp;$B15&amp;"]"),Tabela1[Turno],$D15,Tabela1[Data Corrigida],AC$3)/100,"")</f>
        <v/>
      </c>
      <c r="AD15" s="40" t="str">
        <f ca="1">IFERROR(AVERAGEIFS(INDIRECT("Tabela1["&amp;$B15&amp;"]"),Tabela1[Turno],$D15,Tabela1[Data Corrigida],AD$3)/100,"")</f>
        <v/>
      </c>
      <c r="AE15" s="40" t="str">
        <f ca="1">IFERROR(AVERAGEIFS(INDIRECT("Tabela1["&amp;$B15&amp;"]"),Tabela1[Turno],$D15,Tabela1[Data Corrigida],AE$3)/100,"")</f>
        <v/>
      </c>
      <c r="AF15" s="40" t="str">
        <f ca="1">IFERROR(AVERAGEIFS(INDIRECT("Tabela1["&amp;$B15&amp;"]"),Tabela1[Turno],$D15,Tabela1[Data Corrigida],AF$3)/100,"")</f>
        <v/>
      </c>
      <c r="AG15" s="40" t="str">
        <f ca="1">IFERROR(AVERAGEIFS(INDIRECT("Tabela1["&amp;$B15&amp;"]"),Tabela1[Turno],$D15,Tabela1[Data Corrigida],AG$3)/100,"")</f>
        <v/>
      </c>
      <c r="AH15" s="40" t="str">
        <f ca="1">IFERROR(AVERAGEIFS(INDIRECT("Tabela1["&amp;$B15&amp;"]"),Tabela1[Turno],$D15,Tabela1[Data Corrigida],AH$3)/100,"")</f>
        <v/>
      </c>
      <c r="AI15" s="40" t="str">
        <f ca="1">IFERROR(AVERAGEIFS(INDIRECT("Tabela1["&amp;$B15&amp;"]"),Tabela1[Turno],$D15,Tabela1[Data Corrigida],AI$3)/100,"")</f>
        <v/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62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9.0476190476190474E-3</v>
      </c>
      <c r="N16" s="36">
        <f ca="1">IFERROR(AVERAGEIFS(INDIRECT("Tabela1["&amp;$B16&amp;"]"),Tabela1[Turno],$D16,Tabela1[Mês],N$3)/100,"")</f>
        <v>2.6666666666666665E-2</v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59"/>
      <c r="R16" s="35">
        <f ca="1">IFERROR(AVERAGEIFS(INDIRECT("Tabela1["&amp;$B16&amp;"]"),Tabela1[Turno],$D16,Tabela1[Data Corrigida],R$3)/100,"")</f>
        <v>2.6666666666666665E-2</v>
      </c>
      <c r="S16" s="36" t="str">
        <f ca="1">IFERROR(AVERAGEIFS(INDIRECT("Tabela1["&amp;$B16&amp;"]"),Tabela1[Turno],$D16,Tabela1[Data Corrigida],S$3)/100,"")</f>
        <v/>
      </c>
      <c r="T16" s="36" t="str">
        <f ca="1">IFERROR(AVERAGEIFS(INDIRECT("Tabela1["&amp;$B16&amp;"]"),Tabela1[Turno],$D16,Tabela1[Data Corrigida],T$3)/100,"")</f>
        <v/>
      </c>
      <c r="U16" s="36" t="str">
        <f ca="1">IFERROR(AVERAGEIFS(INDIRECT("Tabela1["&amp;$B16&amp;"]"),Tabela1[Turno],$D16,Tabela1[Data Corrigida],U$3)/100,"")</f>
        <v/>
      </c>
      <c r="V16" s="36" t="str">
        <f ca="1">IFERROR(AVERAGEIFS(INDIRECT("Tabela1["&amp;$B16&amp;"]"),Tabela1[Turno],$D16,Tabela1[Data Corrigida],V$3)/100,"")</f>
        <v/>
      </c>
      <c r="W16" s="36" t="str">
        <f ca="1">IFERROR(AVERAGEIFS(INDIRECT("Tabela1["&amp;$B16&amp;"]"),Tabela1[Turno],$D16,Tabela1[Data Corrigida],W$3)/100,"")</f>
        <v/>
      </c>
      <c r="X16" s="36" t="str">
        <f ca="1">IFERROR(AVERAGEIFS(INDIRECT("Tabela1["&amp;$B16&amp;"]"),Tabela1[Turno],$D16,Tabela1[Data Corrigida],X$3)/100,"")</f>
        <v/>
      </c>
      <c r="Y16" s="36" t="str">
        <f ca="1">IFERROR(AVERAGEIFS(INDIRECT("Tabela1["&amp;$B16&amp;"]"),Tabela1[Turno],$D16,Tabela1[Data Corrigida],Y$3)/100,"")</f>
        <v/>
      </c>
      <c r="Z16" s="36" t="str">
        <f ca="1">IFERROR(AVERAGEIFS(INDIRECT("Tabela1["&amp;$B16&amp;"]"),Tabela1[Turno],$D16,Tabela1[Data Corrigida],Z$3)/100,"")</f>
        <v/>
      </c>
      <c r="AA16" s="36" t="str">
        <f ca="1">IFERROR(AVERAGEIFS(INDIRECT("Tabela1["&amp;$B16&amp;"]"),Tabela1[Turno],$D16,Tabela1[Data Corrigida],AA$3)/100,"")</f>
        <v/>
      </c>
      <c r="AB16" s="36" t="str">
        <f ca="1">IFERROR(AVERAGEIFS(INDIRECT("Tabela1["&amp;$B16&amp;"]"),Tabela1[Turno],$D16,Tabela1[Data Corrigida],AB$3)/100,"")</f>
        <v/>
      </c>
      <c r="AC16" s="36" t="str">
        <f ca="1">IFERROR(AVERAGEIFS(INDIRECT("Tabela1["&amp;$B16&amp;"]"),Tabela1[Turno],$D16,Tabela1[Data Corrigida],AC$3)/100,"")</f>
        <v/>
      </c>
      <c r="AD16" s="36" t="str">
        <f ca="1">IFERROR(AVERAGEIFS(INDIRECT("Tabela1["&amp;$B16&amp;"]"),Tabela1[Turno],$D16,Tabela1[Data Corrigida],AD$3)/100,"")</f>
        <v/>
      </c>
      <c r="AE16" s="36" t="str">
        <f ca="1">IFERROR(AVERAGEIFS(INDIRECT("Tabela1["&amp;$B16&amp;"]"),Tabela1[Turno],$D16,Tabela1[Data Corrigida],AE$3)/100,"")</f>
        <v/>
      </c>
      <c r="AF16" s="36" t="str">
        <f ca="1">IFERROR(AVERAGEIFS(INDIRECT("Tabela1["&amp;$B16&amp;"]"),Tabela1[Turno],$D16,Tabela1[Data Corrigida],AF$3)/100,"")</f>
        <v/>
      </c>
      <c r="AG16" s="36" t="str">
        <f ca="1">IFERROR(AVERAGEIFS(INDIRECT("Tabela1["&amp;$B16&amp;"]"),Tabela1[Turno],$D16,Tabela1[Data Corrigida],AG$3)/100,"")</f>
        <v/>
      </c>
      <c r="AH16" s="36" t="str">
        <f ca="1">IFERROR(AVERAGEIFS(INDIRECT("Tabela1["&amp;$B16&amp;"]"),Tabela1[Turno],$D16,Tabela1[Data Corrigida],AH$3)/100,"")</f>
        <v/>
      </c>
      <c r="AI16" s="36" t="str">
        <f ca="1">IFERROR(AVERAGEIFS(INDIRECT("Tabela1["&amp;$B16&amp;"]"),Tabela1[Turno],$D16,Tabela1[Data Corrigida],AI$3)/100,"")</f>
        <v/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3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1.6986301369863014E-2</v>
      </c>
      <c r="N17" s="45">
        <f ca="1">IFERROR(AVERAGEIFS(INDIRECT("Tabela1["&amp;$B17&amp;"]"),Tabela1[Mês],N$3)/100,"")</f>
        <v>2.4285714285714285E-2</v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0"/>
      <c r="R17" s="42">
        <f ca="1">IFERROR(AVERAGEIFS(INDIRECT("Tabela1["&amp;$B17&amp;"]"),Tabela1[Data Corrigida],R$3)/100,"")</f>
        <v>2.4285714285714285E-2</v>
      </c>
      <c r="S17" s="43" t="str">
        <f ca="1">IFERROR(AVERAGEIFS(INDIRECT("Tabela1["&amp;$B17&amp;"]"),Tabela1[Data Corrigida],S$3)/100,"")</f>
        <v/>
      </c>
      <c r="T17" s="43" t="str">
        <f ca="1">IFERROR(AVERAGEIFS(INDIRECT("Tabela1["&amp;$B17&amp;"]"),Tabela1[Data Corrigida],T$3)/100,"")</f>
        <v/>
      </c>
      <c r="U17" s="43" t="str">
        <f ca="1">IFERROR(AVERAGEIFS(INDIRECT("Tabela1["&amp;$B17&amp;"]"),Tabela1[Data Corrigida],U$3)/100,"")</f>
        <v/>
      </c>
      <c r="V17" s="43" t="str">
        <f ca="1">IFERROR(AVERAGEIFS(INDIRECT("Tabela1["&amp;$B17&amp;"]"),Tabela1[Data Corrigida],V$3)/100,"")</f>
        <v/>
      </c>
      <c r="W17" s="43" t="str">
        <f ca="1">IFERROR(AVERAGEIFS(INDIRECT("Tabela1["&amp;$B17&amp;"]"),Tabela1[Data Corrigida],W$3)/100,"")</f>
        <v/>
      </c>
      <c r="X17" s="43" t="str">
        <f ca="1">IFERROR(AVERAGEIFS(INDIRECT("Tabela1["&amp;$B17&amp;"]"),Tabela1[Data Corrigida],X$3)/100,"")</f>
        <v/>
      </c>
      <c r="Y17" s="43" t="str">
        <f ca="1">IFERROR(AVERAGEIFS(INDIRECT("Tabela1["&amp;$B17&amp;"]"),Tabela1[Data Corrigida],Y$3)/100,"")</f>
        <v/>
      </c>
      <c r="Z17" s="43" t="str">
        <f ca="1">IFERROR(AVERAGEIFS(INDIRECT("Tabela1["&amp;$B17&amp;"]"),Tabela1[Data Corrigida],Z$3)/100,"")</f>
        <v/>
      </c>
      <c r="AA17" s="43" t="str">
        <f ca="1">IFERROR(AVERAGEIFS(INDIRECT("Tabela1["&amp;$B17&amp;"]"),Tabela1[Data Corrigida],AA$3)/100,"")</f>
        <v/>
      </c>
      <c r="AB17" s="43" t="str">
        <f ca="1">IFERROR(AVERAGEIFS(INDIRECT("Tabela1["&amp;$B17&amp;"]"),Tabela1[Data Corrigida],AB$3)/100,"")</f>
        <v/>
      </c>
      <c r="AC17" s="43" t="str">
        <f ca="1">IFERROR(AVERAGEIFS(INDIRECT("Tabela1["&amp;$B17&amp;"]"),Tabela1[Data Corrigida],AC$3)/100,"")</f>
        <v/>
      </c>
      <c r="AD17" s="43" t="str">
        <f ca="1">IFERROR(AVERAGEIFS(INDIRECT("Tabela1["&amp;$B17&amp;"]"),Tabela1[Data Corrigida],AD$3)/100,"")</f>
        <v/>
      </c>
      <c r="AE17" s="43" t="str">
        <f ca="1">IFERROR(AVERAGEIFS(INDIRECT("Tabela1["&amp;$B17&amp;"]"),Tabela1[Data Corrigida],AE$3)/100,"")</f>
        <v/>
      </c>
      <c r="AF17" s="43" t="str">
        <f ca="1">IFERROR(AVERAGEIFS(INDIRECT("Tabela1["&amp;$B17&amp;"]"),Tabela1[Data Corrigida],AF$3)/100,"")</f>
        <v/>
      </c>
      <c r="AG17" s="43" t="str">
        <f ca="1">IFERROR(AVERAGEIFS(INDIRECT("Tabela1["&amp;$B17&amp;"]"),Tabela1[Data Corrigida],AG$3)/100,"")</f>
        <v/>
      </c>
      <c r="AH17" s="43" t="str">
        <f ca="1">IFERROR(AVERAGEIFS(INDIRECT("Tabela1["&amp;$B17&amp;"]"),Tabela1[Data Corrigida],AH$3)/100,"")</f>
        <v/>
      </c>
      <c r="AI17" s="43" t="str">
        <f ca="1">IFERROR(AVERAGEIFS(INDIRECT("Tabela1["&amp;$B17&amp;"]"),Tabela1[Data Corrigida],AI$3)/100,"")</f>
        <v/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61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9.7560975609756097E-3</v>
      </c>
      <c r="N18" s="34">
        <f ca="1">IFERROR(AVERAGEIFS(INDIRECT("Tabela1["&amp;$B18&amp;"]"),Tabela1[Turno],$D18,Tabela1[Mês],N$3)/20,"")</f>
        <v>1.2500000000000001E-2</v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58">
        <v>0</v>
      </c>
      <c r="R18" s="33">
        <f ca="1">IFERROR(AVERAGEIFS(INDIRECT("Tabela1["&amp;$B18&amp;"]"),Tabela1[Turno],$D18,Tabela1[Data Corrigida],R$3)/20,"")</f>
        <v>1.2500000000000001E-2</v>
      </c>
      <c r="S18" s="34" t="str">
        <f ca="1">IFERROR(AVERAGEIFS(INDIRECT("Tabela1["&amp;$B18&amp;"]"),Tabela1[Turno],$D18,Tabela1[Data Corrigida],S$3)/20,"")</f>
        <v/>
      </c>
      <c r="T18" s="34" t="str">
        <f ca="1">IFERROR(AVERAGEIFS(INDIRECT("Tabela1["&amp;$B18&amp;"]"),Tabela1[Turno],$D18,Tabela1[Data Corrigida],T$3)/20,"")</f>
        <v/>
      </c>
      <c r="U18" s="34" t="str">
        <f ca="1">IFERROR(AVERAGEIFS(INDIRECT("Tabela1["&amp;$B18&amp;"]"),Tabela1[Turno],$D18,Tabela1[Data Corrigida],U$3)/20,"")</f>
        <v/>
      </c>
      <c r="V18" s="34" t="str">
        <f ca="1">IFERROR(AVERAGEIFS(INDIRECT("Tabela1["&amp;$B18&amp;"]"),Tabela1[Turno],$D18,Tabela1[Data Corrigida],V$3)/20,"")</f>
        <v/>
      </c>
      <c r="W18" s="34" t="str">
        <f ca="1">IFERROR(AVERAGEIFS(INDIRECT("Tabela1["&amp;$B18&amp;"]"),Tabela1[Turno],$D18,Tabela1[Data Corrigida],W$3)/20,"")</f>
        <v/>
      </c>
      <c r="X18" s="34" t="str">
        <f ca="1">IFERROR(AVERAGEIFS(INDIRECT("Tabela1["&amp;$B18&amp;"]"),Tabela1[Turno],$D18,Tabela1[Data Corrigida],X$3)/20,"")</f>
        <v/>
      </c>
      <c r="Y18" s="34" t="str">
        <f ca="1">IFERROR(AVERAGEIFS(INDIRECT("Tabela1["&amp;$B18&amp;"]"),Tabela1[Turno],$D18,Tabela1[Data Corrigida],Y$3)/20,"")</f>
        <v/>
      </c>
      <c r="Z18" s="34" t="str">
        <f ca="1">IFERROR(AVERAGEIFS(INDIRECT("Tabela1["&amp;$B18&amp;"]"),Tabela1[Turno],$D18,Tabela1[Data Corrigida],Z$3)/20,"")</f>
        <v/>
      </c>
      <c r="AA18" s="34" t="str">
        <f ca="1">IFERROR(AVERAGEIFS(INDIRECT("Tabela1["&amp;$B18&amp;"]"),Tabela1[Turno],$D18,Tabela1[Data Corrigida],AA$3)/20,"")</f>
        <v/>
      </c>
      <c r="AB18" s="34" t="str">
        <f ca="1">IFERROR(AVERAGEIFS(INDIRECT("Tabela1["&amp;$B18&amp;"]"),Tabela1[Turno],$D18,Tabela1[Data Corrigida],AB$3)/20,"")</f>
        <v/>
      </c>
      <c r="AC18" s="34" t="str">
        <f ca="1">IFERROR(AVERAGEIFS(INDIRECT("Tabela1["&amp;$B18&amp;"]"),Tabela1[Turno],$D18,Tabela1[Data Corrigida],AC$3)/20,"")</f>
        <v/>
      </c>
      <c r="AD18" s="34" t="str">
        <f ca="1">IFERROR(AVERAGEIFS(INDIRECT("Tabela1["&amp;$B18&amp;"]"),Tabela1[Turno],$D18,Tabela1[Data Corrigida],AD$3)/20,"")</f>
        <v/>
      </c>
      <c r="AE18" s="34" t="str">
        <f ca="1">IFERROR(AVERAGEIFS(INDIRECT("Tabela1["&amp;$B18&amp;"]"),Tabela1[Turno],$D18,Tabela1[Data Corrigida],AE$3)/20,"")</f>
        <v/>
      </c>
      <c r="AF18" s="34" t="str">
        <f ca="1">IFERROR(AVERAGEIFS(INDIRECT("Tabela1["&amp;$B18&amp;"]"),Tabela1[Turno],$D18,Tabela1[Data Corrigida],AF$3)/20,"")</f>
        <v/>
      </c>
      <c r="AG18" s="34" t="str">
        <f ca="1">IFERROR(AVERAGEIFS(INDIRECT("Tabela1["&amp;$B18&amp;"]"),Tabela1[Turno],$D18,Tabela1[Data Corrigida],AG$3)/20,"")</f>
        <v/>
      </c>
      <c r="AH18" s="34" t="str">
        <f ca="1">IFERROR(AVERAGEIFS(INDIRECT("Tabela1["&amp;$B18&amp;"]"),Tabela1[Turno],$D18,Tabela1[Data Corrigida],AH$3)/20,"")</f>
        <v/>
      </c>
      <c r="AI18" s="34" t="str">
        <f ca="1">IFERROR(AVERAGEIFS(INDIRECT("Tabela1["&amp;$B18&amp;"]"),Tabela1[Turno],$D18,Tabela1[Data Corrigida],AI$3)/20,"")</f>
        <v/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62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7.1428571428571426E-3</v>
      </c>
      <c r="N19" s="36">
        <f ca="1">IFERROR(AVERAGEIFS(INDIRECT("Tabela1["&amp;$B19&amp;"]"),Tabela1[Turno],$D19,Tabela1[Mês],N$3)/20,"")</f>
        <v>1.6666666666666666E-2</v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59"/>
      <c r="R19" s="35">
        <f ca="1">IFERROR(AVERAGEIFS(INDIRECT("Tabela1["&amp;$B19&amp;"]"),Tabela1[Turno],$D19,Tabela1[Data Corrigida],R$3)/20,"")</f>
        <v>1.6666666666666666E-2</v>
      </c>
      <c r="S19" s="36" t="str">
        <f ca="1">IFERROR(AVERAGEIFS(INDIRECT("Tabela1["&amp;$B19&amp;"]"),Tabela1[Turno],$D19,Tabela1[Data Corrigida],S$3)/20,"")</f>
        <v/>
      </c>
      <c r="T19" s="36" t="str">
        <f ca="1">IFERROR(AVERAGEIFS(INDIRECT("Tabela1["&amp;$B19&amp;"]"),Tabela1[Turno],$D19,Tabela1[Data Corrigida],T$3)/20,"")</f>
        <v/>
      </c>
      <c r="U19" s="36" t="str">
        <f ca="1">IFERROR(AVERAGEIFS(INDIRECT("Tabela1["&amp;$B19&amp;"]"),Tabela1[Turno],$D19,Tabela1[Data Corrigida],U$3)/20,"")</f>
        <v/>
      </c>
      <c r="V19" s="36" t="str">
        <f ca="1">IFERROR(AVERAGEIFS(INDIRECT("Tabela1["&amp;$B19&amp;"]"),Tabela1[Turno],$D19,Tabela1[Data Corrigida],V$3)/20,"")</f>
        <v/>
      </c>
      <c r="W19" s="36" t="str">
        <f ca="1">IFERROR(AVERAGEIFS(INDIRECT("Tabela1["&amp;$B19&amp;"]"),Tabela1[Turno],$D19,Tabela1[Data Corrigida],W$3)/20,"")</f>
        <v/>
      </c>
      <c r="X19" s="36" t="str">
        <f ca="1">IFERROR(AVERAGEIFS(INDIRECT("Tabela1["&amp;$B19&amp;"]"),Tabela1[Turno],$D19,Tabela1[Data Corrigida],X$3)/20,"")</f>
        <v/>
      </c>
      <c r="Y19" s="36" t="str">
        <f ca="1">IFERROR(AVERAGEIFS(INDIRECT("Tabela1["&amp;$B19&amp;"]"),Tabela1[Turno],$D19,Tabela1[Data Corrigida],Y$3)/20,"")</f>
        <v/>
      </c>
      <c r="Z19" s="36" t="str">
        <f ca="1">IFERROR(AVERAGEIFS(INDIRECT("Tabela1["&amp;$B19&amp;"]"),Tabela1[Turno],$D19,Tabela1[Data Corrigida],Z$3)/20,"")</f>
        <v/>
      </c>
      <c r="AA19" s="36" t="str">
        <f ca="1">IFERROR(AVERAGEIFS(INDIRECT("Tabela1["&amp;$B19&amp;"]"),Tabela1[Turno],$D19,Tabela1[Data Corrigida],AA$3)/20,"")</f>
        <v/>
      </c>
      <c r="AB19" s="36" t="str">
        <f ca="1">IFERROR(AVERAGEIFS(INDIRECT("Tabela1["&amp;$B19&amp;"]"),Tabela1[Turno],$D19,Tabela1[Data Corrigida],AB$3)/20,"")</f>
        <v/>
      </c>
      <c r="AC19" s="36" t="str">
        <f ca="1">IFERROR(AVERAGEIFS(INDIRECT("Tabela1["&amp;$B19&amp;"]"),Tabela1[Turno],$D19,Tabela1[Data Corrigida],AC$3)/20,"")</f>
        <v/>
      </c>
      <c r="AD19" s="36" t="str">
        <f ca="1">IFERROR(AVERAGEIFS(INDIRECT("Tabela1["&amp;$B19&amp;"]"),Tabela1[Turno],$D19,Tabela1[Data Corrigida],AD$3)/20,"")</f>
        <v/>
      </c>
      <c r="AE19" s="36" t="str">
        <f ca="1">IFERROR(AVERAGEIFS(INDIRECT("Tabela1["&amp;$B19&amp;"]"),Tabela1[Turno],$D19,Tabela1[Data Corrigida],AE$3)/20,"")</f>
        <v/>
      </c>
      <c r="AF19" s="36" t="str">
        <f ca="1">IFERROR(AVERAGEIFS(INDIRECT("Tabela1["&amp;$B19&amp;"]"),Tabela1[Turno],$D19,Tabela1[Data Corrigida],AF$3)/20,"")</f>
        <v/>
      </c>
      <c r="AG19" s="36" t="str">
        <f ca="1">IFERROR(AVERAGEIFS(INDIRECT("Tabela1["&amp;$B19&amp;"]"),Tabela1[Turno],$D19,Tabela1[Data Corrigida],AG$3)/20,"")</f>
        <v/>
      </c>
      <c r="AH19" s="36" t="str">
        <f ca="1">IFERROR(AVERAGEIFS(INDIRECT("Tabela1["&amp;$B19&amp;"]"),Tabela1[Turno],$D19,Tabela1[Data Corrigida],AH$3)/20,"")</f>
        <v/>
      </c>
      <c r="AI19" s="36" t="str">
        <f ca="1">IFERROR(AVERAGEIFS(INDIRECT("Tabela1["&amp;$B19&amp;"]"),Tabela1[Turno],$D19,Tabela1[Data Corrigida],AI$3)/20,"")</f>
        <v/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3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8.6206896551724137E-3</v>
      </c>
      <c r="N20" s="45">
        <f ca="1">IFERROR(AVERAGEIFS(INDIRECT("Tabela1["&amp;$B20&amp;"]"),Tabela1[Mês],N$3)/20,"")</f>
        <v>1.4285714285714285E-2</v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0"/>
      <c r="R20" s="37">
        <f ca="1">IFERROR(AVERAGEIFS(INDIRECT("Tabela1["&amp;$B20&amp;"]"),Tabela1[Data Corrigida],R$3)/20,"")</f>
        <v>1.4285714285714285E-2</v>
      </c>
      <c r="S20" s="38" t="str">
        <f ca="1">IFERROR(AVERAGEIFS(INDIRECT("Tabela1["&amp;$B20&amp;"]"),Tabela1[Data Corrigida],S$3)/20,"")</f>
        <v/>
      </c>
      <c r="T20" s="38" t="str">
        <f ca="1">IFERROR(AVERAGEIFS(INDIRECT("Tabela1["&amp;$B20&amp;"]"),Tabela1[Data Corrigida],T$3)/20,"")</f>
        <v/>
      </c>
      <c r="U20" s="38" t="str">
        <f ca="1">IFERROR(AVERAGEIFS(INDIRECT("Tabela1["&amp;$B20&amp;"]"),Tabela1[Data Corrigida],U$3)/20,"")</f>
        <v/>
      </c>
      <c r="V20" s="38" t="str">
        <f ca="1">IFERROR(AVERAGEIFS(INDIRECT("Tabela1["&amp;$B20&amp;"]"),Tabela1[Data Corrigida],V$3)/20,"")</f>
        <v/>
      </c>
      <c r="W20" s="38" t="str">
        <f ca="1">IFERROR(AVERAGEIFS(INDIRECT("Tabela1["&amp;$B20&amp;"]"),Tabela1[Data Corrigida],W$3)/20,"")</f>
        <v/>
      </c>
      <c r="X20" s="38" t="str">
        <f ca="1">IFERROR(AVERAGEIFS(INDIRECT("Tabela1["&amp;$B20&amp;"]"),Tabela1[Data Corrigida],X$3)/20,"")</f>
        <v/>
      </c>
      <c r="Y20" s="38" t="str">
        <f ca="1">IFERROR(AVERAGEIFS(INDIRECT("Tabela1["&amp;$B20&amp;"]"),Tabela1[Data Corrigida],Y$3)/20,"")</f>
        <v/>
      </c>
      <c r="Z20" s="38" t="str">
        <f ca="1">IFERROR(AVERAGEIFS(INDIRECT("Tabela1["&amp;$B20&amp;"]"),Tabela1[Data Corrigida],Z$3)/20,"")</f>
        <v/>
      </c>
      <c r="AA20" s="38" t="str">
        <f ca="1">IFERROR(AVERAGEIFS(INDIRECT("Tabela1["&amp;$B20&amp;"]"),Tabela1[Data Corrigida],AA$3)/20,"")</f>
        <v/>
      </c>
      <c r="AB20" s="38" t="str">
        <f ca="1">IFERROR(AVERAGEIFS(INDIRECT("Tabela1["&amp;$B20&amp;"]"),Tabela1[Data Corrigida],AB$3)/20,"")</f>
        <v/>
      </c>
      <c r="AC20" s="38" t="str">
        <f ca="1">IFERROR(AVERAGEIFS(INDIRECT("Tabela1["&amp;$B20&amp;"]"),Tabela1[Data Corrigida],AC$3)/20,"")</f>
        <v/>
      </c>
      <c r="AD20" s="38" t="str">
        <f ca="1">IFERROR(AVERAGEIFS(INDIRECT("Tabela1["&amp;$B20&amp;"]"),Tabela1[Data Corrigida],AD$3)/20,"")</f>
        <v/>
      </c>
      <c r="AE20" s="38" t="str">
        <f ca="1">IFERROR(AVERAGEIFS(INDIRECT("Tabela1["&amp;$B20&amp;"]"),Tabela1[Data Corrigida],AE$3)/20,"")</f>
        <v/>
      </c>
      <c r="AF20" s="38" t="str">
        <f ca="1">IFERROR(AVERAGEIFS(INDIRECT("Tabela1["&amp;$B20&amp;"]"),Tabela1[Data Corrigida],AF$3)/20,"")</f>
        <v/>
      </c>
      <c r="AG20" s="38" t="str">
        <f ca="1">IFERROR(AVERAGEIFS(INDIRECT("Tabela1["&amp;$B20&amp;"]"),Tabela1[Data Corrigida],AG$3)/20,"")</f>
        <v/>
      </c>
      <c r="AH20" s="38" t="str">
        <f ca="1">IFERROR(AVERAGEIFS(INDIRECT("Tabela1["&amp;$B20&amp;"]"),Tabela1[Data Corrigida],AH$3)/20,"")</f>
        <v/>
      </c>
      <c r="AI20" s="38" t="str">
        <f ca="1">IFERROR(AVERAGEIFS(INDIRECT("Tabela1["&amp;$B20&amp;"]"),Tabela1[Data Corrigida],AI$3)/20,"")</f>
        <v/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61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7.4797886907679734E-3</v>
      </c>
      <c r="N21" s="34">
        <f ca="1">IFERROR(AVERAGEIFS(INDIRECT("Tabela1["&amp;$B21&amp;"]"),Tabela1[Turno],$D21,Tabela1[Mês],N$3)/100,"")</f>
        <v>1.4751552795031056E-2</v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58">
        <v>0.01</v>
      </c>
      <c r="R21" s="39">
        <f ca="1">IFERROR(AVERAGEIFS(INDIRECT("Tabela1["&amp;$B21&amp;"]"),Tabela1[Turno],$D21,Tabela1[Data Corrigida],R$3)/100,"")</f>
        <v>1.4751552795031056E-2</v>
      </c>
      <c r="S21" s="40" t="str">
        <f ca="1">IFERROR(AVERAGEIFS(INDIRECT("Tabela1["&amp;$B21&amp;"]"),Tabela1[Turno],$D21,Tabela1[Data Corrigida],S$3)/100,"")</f>
        <v/>
      </c>
      <c r="T21" s="40" t="str">
        <f ca="1">IFERROR(AVERAGEIFS(INDIRECT("Tabela1["&amp;$B21&amp;"]"),Tabela1[Turno],$D21,Tabela1[Data Corrigida],T$3)/100,"")</f>
        <v/>
      </c>
      <c r="U21" s="40" t="str">
        <f ca="1">IFERROR(AVERAGEIFS(INDIRECT("Tabela1["&amp;$B21&amp;"]"),Tabela1[Turno],$D21,Tabela1[Data Corrigida],U$3)/100,"")</f>
        <v/>
      </c>
      <c r="V21" s="40" t="str">
        <f ca="1">IFERROR(AVERAGEIFS(INDIRECT("Tabela1["&amp;$B21&amp;"]"),Tabela1[Turno],$D21,Tabela1[Data Corrigida],V$3)/100,"")</f>
        <v/>
      </c>
      <c r="W21" s="40" t="str">
        <f ca="1">IFERROR(AVERAGEIFS(INDIRECT("Tabela1["&amp;$B21&amp;"]"),Tabela1[Turno],$D21,Tabela1[Data Corrigida],W$3)/100,"")</f>
        <v/>
      </c>
      <c r="X21" s="40" t="str">
        <f ca="1">IFERROR(AVERAGEIFS(INDIRECT("Tabela1["&amp;$B21&amp;"]"),Tabela1[Turno],$D21,Tabela1[Data Corrigida],X$3)/100,"")</f>
        <v/>
      </c>
      <c r="Y21" s="40" t="str">
        <f ca="1">IFERROR(AVERAGEIFS(INDIRECT("Tabela1["&amp;$B21&amp;"]"),Tabela1[Turno],$D21,Tabela1[Data Corrigida],Y$3)/100,"")</f>
        <v/>
      </c>
      <c r="Z21" s="40" t="str">
        <f ca="1">IFERROR(AVERAGEIFS(INDIRECT("Tabela1["&amp;$B21&amp;"]"),Tabela1[Turno],$D21,Tabela1[Data Corrigida],Z$3)/100,"")</f>
        <v/>
      </c>
      <c r="AA21" s="40" t="str">
        <f ca="1">IFERROR(AVERAGEIFS(INDIRECT("Tabela1["&amp;$B21&amp;"]"),Tabela1[Turno],$D21,Tabela1[Data Corrigida],AA$3)/100,"")</f>
        <v/>
      </c>
      <c r="AB21" s="40" t="str">
        <f ca="1">IFERROR(AVERAGEIFS(INDIRECT("Tabela1["&amp;$B21&amp;"]"),Tabela1[Turno],$D21,Tabela1[Data Corrigida],AB$3)/100,"")</f>
        <v/>
      </c>
      <c r="AC21" s="40" t="str">
        <f ca="1">IFERROR(AVERAGEIFS(INDIRECT("Tabela1["&amp;$B21&amp;"]"),Tabela1[Turno],$D21,Tabela1[Data Corrigida],AC$3)/100,"")</f>
        <v/>
      </c>
      <c r="AD21" s="40" t="str">
        <f ca="1">IFERROR(AVERAGEIFS(INDIRECT("Tabela1["&amp;$B21&amp;"]"),Tabela1[Turno],$D21,Tabela1[Data Corrigida],AD$3)/100,"")</f>
        <v/>
      </c>
      <c r="AE21" s="40" t="str">
        <f ca="1">IFERROR(AVERAGEIFS(INDIRECT("Tabela1["&amp;$B21&amp;"]"),Tabela1[Turno],$D21,Tabela1[Data Corrigida],AE$3)/100,"")</f>
        <v/>
      </c>
      <c r="AF21" s="40" t="str">
        <f ca="1">IFERROR(AVERAGEIFS(INDIRECT("Tabela1["&amp;$B21&amp;"]"),Tabela1[Turno],$D21,Tabela1[Data Corrigida],AF$3)/100,"")</f>
        <v/>
      </c>
      <c r="AG21" s="40" t="str">
        <f ca="1">IFERROR(AVERAGEIFS(INDIRECT("Tabela1["&amp;$B21&amp;"]"),Tabela1[Turno],$D21,Tabela1[Data Corrigida],AG$3)/100,"")</f>
        <v/>
      </c>
      <c r="AH21" s="40" t="str">
        <f ca="1">IFERROR(AVERAGEIFS(INDIRECT("Tabela1["&amp;$B21&amp;"]"),Tabela1[Turno],$D21,Tabela1[Data Corrigida],AH$3)/100,"")</f>
        <v/>
      </c>
      <c r="AI21" s="40" t="str">
        <f ca="1">IFERROR(AVERAGEIFS(INDIRECT("Tabela1["&amp;$B21&amp;"]"),Tabela1[Turno],$D21,Tabela1[Data Corrigida],AI$3)/100,"")</f>
        <v/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62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1.9011498659411402E-2</v>
      </c>
      <c r="N22" s="36">
        <f ca="1">IFERROR(AVERAGEIFS(INDIRECT("Tabela1["&amp;$B22&amp;"]"),Tabela1[Turno],$D22,Tabela1[Mês],N$3)/100,"")</f>
        <v>1.6384541384541384E-2</v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59"/>
      <c r="R22" s="35">
        <f ca="1">IFERROR(AVERAGEIFS(INDIRECT("Tabela1["&amp;$B22&amp;"]"),Tabela1[Turno],$D22,Tabela1[Data Corrigida],R$3)/100,"")</f>
        <v>1.6384541384541384E-2</v>
      </c>
      <c r="S22" s="36" t="str">
        <f ca="1">IFERROR(AVERAGEIFS(INDIRECT("Tabela1["&amp;$B22&amp;"]"),Tabela1[Turno],$D22,Tabela1[Data Corrigida],S$3)/100,"")</f>
        <v/>
      </c>
      <c r="T22" s="36" t="str">
        <f ca="1">IFERROR(AVERAGEIFS(INDIRECT("Tabela1["&amp;$B22&amp;"]"),Tabela1[Turno],$D22,Tabela1[Data Corrigida],T$3)/100,"")</f>
        <v/>
      </c>
      <c r="U22" s="36" t="str">
        <f ca="1">IFERROR(AVERAGEIFS(INDIRECT("Tabela1["&amp;$B22&amp;"]"),Tabela1[Turno],$D22,Tabela1[Data Corrigida],U$3)/100,"")</f>
        <v/>
      </c>
      <c r="V22" s="36" t="str">
        <f ca="1">IFERROR(AVERAGEIFS(INDIRECT("Tabela1["&amp;$B22&amp;"]"),Tabela1[Turno],$D22,Tabela1[Data Corrigida],V$3)/100,"")</f>
        <v/>
      </c>
      <c r="W22" s="36" t="str">
        <f ca="1">IFERROR(AVERAGEIFS(INDIRECT("Tabela1["&amp;$B22&amp;"]"),Tabela1[Turno],$D22,Tabela1[Data Corrigida],W$3)/100,"")</f>
        <v/>
      </c>
      <c r="X22" s="36" t="str">
        <f ca="1">IFERROR(AVERAGEIFS(INDIRECT("Tabela1["&amp;$B22&amp;"]"),Tabela1[Turno],$D22,Tabela1[Data Corrigida],X$3)/100,"")</f>
        <v/>
      </c>
      <c r="Y22" s="36" t="str">
        <f ca="1">IFERROR(AVERAGEIFS(INDIRECT("Tabela1["&amp;$B22&amp;"]"),Tabela1[Turno],$D22,Tabela1[Data Corrigida],Y$3)/100,"")</f>
        <v/>
      </c>
      <c r="Z22" s="36" t="str">
        <f ca="1">IFERROR(AVERAGEIFS(INDIRECT("Tabela1["&amp;$B22&amp;"]"),Tabela1[Turno],$D22,Tabela1[Data Corrigida],Z$3)/100,"")</f>
        <v/>
      </c>
      <c r="AA22" s="36" t="str">
        <f ca="1">IFERROR(AVERAGEIFS(INDIRECT("Tabela1["&amp;$B22&amp;"]"),Tabela1[Turno],$D22,Tabela1[Data Corrigida],AA$3)/100,"")</f>
        <v/>
      </c>
      <c r="AB22" s="36" t="str">
        <f ca="1">IFERROR(AVERAGEIFS(INDIRECT("Tabela1["&amp;$B22&amp;"]"),Tabela1[Turno],$D22,Tabela1[Data Corrigida],AB$3)/100,"")</f>
        <v/>
      </c>
      <c r="AC22" s="36" t="str">
        <f ca="1">IFERROR(AVERAGEIFS(INDIRECT("Tabela1["&amp;$B22&amp;"]"),Tabela1[Turno],$D22,Tabela1[Data Corrigida],AC$3)/100,"")</f>
        <v/>
      </c>
      <c r="AD22" s="36" t="str">
        <f ca="1">IFERROR(AVERAGEIFS(INDIRECT("Tabela1["&amp;$B22&amp;"]"),Tabela1[Turno],$D22,Tabela1[Data Corrigida],AD$3)/100,"")</f>
        <v/>
      </c>
      <c r="AE22" s="36" t="str">
        <f ca="1">IFERROR(AVERAGEIFS(INDIRECT("Tabela1["&amp;$B22&amp;"]"),Tabela1[Turno],$D22,Tabela1[Data Corrigida],AE$3)/100,"")</f>
        <v/>
      </c>
      <c r="AF22" s="36" t="str">
        <f ca="1">IFERROR(AVERAGEIFS(INDIRECT("Tabela1["&amp;$B22&amp;"]"),Tabela1[Turno],$D22,Tabela1[Data Corrigida],AF$3)/100,"")</f>
        <v/>
      </c>
      <c r="AG22" s="36" t="str">
        <f ca="1">IFERROR(AVERAGEIFS(INDIRECT("Tabela1["&amp;$B22&amp;"]"),Tabela1[Turno],$D22,Tabela1[Data Corrigida],AG$3)/100,"")</f>
        <v/>
      </c>
      <c r="AH22" s="36" t="str">
        <f ca="1">IFERROR(AVERAGEIFS(INDIRECT("Tabela1["&amp;$B22&amp;"]"),Tabela1[Turno],$D22,Tabela1[Data Corrigida],AH$3)/100,"")</f>
        <v/>
      </c>
      <c r="AI22" s="36" t="str">
        <f ca="1">IFERROR(AVERAGEIFS(INDIRECT("Tabela1["&amp;$B22&amp;"]"),Tabela1[Turno],$D22,Tabela1[Data Corrigida],AI$3)/100,"")</f>
        <v/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3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1.2364749163596098E-2</v>
      </c>
      <c r="N23" s="45">
        <f ca="1">IFERROR(AVERAGEIFS(INDIRECT("Tabela1["&amp;$B23&amp;"]"),Tabela1[Mês],N$3)/100,"")</f>
        <v>1.545140504767834E-2</v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0"/>
      <c r="R23" s="37">
        <f ca="1">IFERROR(AVERAGEIFS(INDIRECT("Tabela1["&amp;$B23&amp;"]"),Tabela1[Data Corrigida],R$3)/100,"")</f>
        <v>1.545140504767834E-2</v>
      </c>
      <c r="S23" s="38" t="str">
        <f ca="1">IFERROR(AVERAGEIFS(INDIRECT("Tabela1["&amp;$B23&amp;"]"),Tabela1[Data Corrigida],S$3)/100,"")</f>
        <v/>
      </c>
      <c r="T23" s="38" t="str">
        <f ca="1">IFERROR(AVERAGEIFS(INDIRECT("Tabela1["&amp;$B23&amp;"]"),Tabela1[Data Corrigida],T$3)/100,"")</f>
        <v/>
      </c>
      <c r="U23" s="38" t="str">
        <f ca="1">IFERROR(AVERAGEIFS(INDIRECT("Tabela1["&amp;$B23&amp;"]"),Tabela1[Data Corrigida],U$3)/100,"")</f>
        <v/>
      </c>
      <c r="V23" s="38" t="str">
        <f ca="1">IFERROR(AVERAGEIFS(INDIRECT("Tabela1["&amp;$B23&amp;"]"),Tabela1[Data Corrigida],V$3)/100,"")</f>
        <v/>
      </c>
      <c r="W23" s="38" t="str">
        <f ca="1">IFERROR(AVERAGEIFS(INDIRECT("Tabela1["&amp;$B23&amp;"]"),Tabela1[Data Corrigida],W$3)/100,"")</f>
        <v/>
      </c>
      <c r="X23" s="38" t="str">
        <f ca="1">IFERROR(AVERAGEIFS(INDIRECT("Tabela1["&amp;$B23&amp;"]"),Tabela1[Data Corrigida],X$3)/100,"")</f>
        <v/>
      </c>
      <c r="Y23" s="38" t="str">
        <f ca="1">IFERROR(AVERAGEIFS(INDIRECT("Tabela1["&amp;$B23&amp;"]"),Tabela1[Data Corrigida],Y$3)/100,"")</f>
        <v/>
      </c>
      <c r="Z23" s="38" t="str">
        <f ca="1">IFERROR(AVERAGEIFS(INDIRECT("Tabela1["&amp;$B23&amp;"]"),Tabela1[Data Corrigida],Z$3)/100,"")</f>
        <v/>
      </c>
      <c r="AA23" s="38" t="str">
        <f ca="1">IFERROR(AVERAGEIFS(INDIRECT("Tabela1["&amp;$B23&amp;"]"),Tabela1[Data Corrigida],AA$3)/100,"")</f>
        <v/>
      </c>
      <c r="AB23" s="38" t="str">
        <f ca="1">IFERROR(AVERAGEIFS(INDIRECT("Tabela1["&amp;$B23&amp;"]"),Tabela1[Data Corrigida],AB$3)/100,"")</f>
        <v/>
      </c>
      <c r="AC23" s="38" t="str">
        <f ca="1">IFERROR(AVERAGEIFS(INDIRECT("Tabela1["&amp;$B23&amp;"]"),Tabela1[Data Corrigida],AC$3)/100,"")</f>
        <v/>
      </c>
      <c r="AD23" s="38" t="str">
        <f ca="1">IFERROR(AVERAGEIFS(INDIRECT("Tabela1["&amp;$B23&amp;"]"),Tabela1[Data Corrigida],AD$3)/100,"")</f>
        <v/>
      </c>
      <c r="AE23" s="38" t="str">
        <f ca="1">IFERROR(AVERAGEIFS(INDIRECT("Tabela1["&amp;$B23&amp;"]"),Tabela1[Data Corrigida],AE$3)/100,"")</f>
        <v/>
      </c>
      <c r="AF23" s="38" t="str">
        <f ca="1">IFERROR(AVERAGEIFS(INDIRECT("Tabela1["&amp;$B23&amp;"]"),Tabela1[Data Corrigida],AF$3)/100,"")</f>
        <v/>
      </c>
      <c r="AG23" s="38" t="str">
        <f ca="1">IFERROR(AVERAGEIFS(INDIRECT("Tabela1["&amp;$B23&amp;"]"),Tabela1[Data Corrigida],AG$3)/100,"")</f>
        <v/>
      </c>
      <c r="AH23" s="38" t="str">
        <f ca="1">IFERROR(AVERAGEIFS(INDIRECT("Tabela1["&amp;$B23&amp;"]"),Tabela1[Data Corrigida],AH$3)/100,"")</f>
        <v/>
      </c>
      <c r="AI23" s="38" t="str">
        <f ca="1">IFERROR(AVERAGEIFS(INDIRECT("Tabela1["&amp;$B23&amp;"]"),Tabela1[Data Corrigida],AI$3)/100,"")</f>
        <v/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61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3.8468725943525392E-2</v>
      </c>
      <c r="N24" s="34">
        <f ca="1">IFERROR(AVERAGEIFS(INDIRECT("Tabela1["&amp;$B24&amp;"]"),Tabela1[Turno],$D24,Tabela1[Mês],N$3)/100,"")</f>
        <v>1.7080745341614904E-2</v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58">
        <v>0.03</v>
      </c>
      <c r="R24" s="33">
        <f ca="1">IFERROR(AVERAGEIFS(INDIRECT("Tabela1["&amp;$B24&amp;"]"),Tabela1[Turno],$D24,Tabela1[Data Corrigida],R$3)/100,"")</f>
        <v>1.7080745341614904E-2</v>
      </c>
      <c r="S24" s="34" t="str">
        <f ca="1">IFERROR(AVERAGEIFS(INDIRECT("Tabela1["&amp;$B24&amp;"]"),Tabela1[Turno],$D24,Tabela1[Data Corrigida],S$3)/100,"")</f>
        <v/>
      </c>
      <c r="T24" s="34" t="str">
        <f ca="1">IFERROR(AVERAGEIFS(INDIRECT("Tabela1["&amp;$B24&amp;"]"),Tabela1[Turno],$D24,Tabela1[Data Corrigida],T$3)/100,"")</f>
        <v/>
      </c>
      <c r="U24" s="34" t="str">
        <f ca="1">IFERROR(AVERAGEIFS(INDIRECT("Tabela1["&amp;$B24&amp;"]"),Tabela1[Turno],$D24,Tabela1[Data Corrigida],U$3)/100,"")</f>
        <v/>
      </c>
      <c r="V24" s="34" t="str">
        <f ca="1">IFERROR(AVERAGEIFS(INDIRECT("Tabela1["&amp;$B24&amp;"]"),Tabela1[Turno],$D24,Tabela1[Data Corrigida],V$3)/100,"")</f>
        <v/>
      </c>
      <c r="W24" s="34" t="str">
        <f ca="1">IFERROR(AVERAGEIFS(INDIRECT("Tabela1["&amp;$B24&amp;"]"),Tabela1[Turno],$D24,Tabela1[Data Corrigida],W$3)/100,"")</f>
        <v/>
      </c>
      <c r="X24" s="34" t="str">
        <f ca="1">IFERROR(AVERAGEIFS(INDIRECT("Tabela1["&amp;$B24&amp;"]"),Tabela1[Turno],$D24,Tabela1[Data Corrigida],X$3)/100,"")</f>
        <v/>
      </c>
      <c r="Y24" s="34" t="str">
        <f ca="1">IFERROR(AVERAGEIFS(INDIRECT("Tabela1["&amp;$B24&amp;"]"),Tabela1[Turno],$D24,Tabela1[Data Corrigida],Y$3)/100,"")</f>
        <v/>
      </c>
      <c r="Z24" s="34" t="str">
        <f ca="1">IFERROR(AVERAGEIFS(INDIRECT("Tabela1["&amp;$B24&amp;"]"),Tabela1[Turno],$D24,Tabela1[Data Corrigida],Z$3)/100,"")</f>
        <v/>
      </c>
      <c r="AA24" s="34" t="str">
        <f ca="1">IFERROR(AVERAGEIFS(INDIRECT("Tabela1["&amp;$B24&amp;"]"),Tabela1[Turno],$D24,Tabela1[Data Corrigida],AA$3)/100,"")</f>
        <v/>
      </c>
      <c r="AB24" s="34" t="str">
        <f ca="1">IFERROR(AVERAGEIFS(INDIRECT("Tabela1["&amp;$B24&amp;"]"),Tabela1[Turno],$D24,Tabela1[Data Corrigida],AB$3)/100,"")</f>
        <v/>
      </c>
      <c r="AC24" s="34" t="str">
        <f ca="1">IFERROR(AVERAGEIFS(INDIRECT("Tabela1["&amp;$B24&amp;"]"),Tabela1[Turno],$D24,Tabela1[Data Corrigida],AC$3)/100,"")</f>
        <v/>
      </c>
      <c r="AD24" s="34" t="str">
        <f ca="1">IFERROR(AVERAGEIFS(INDIRECT("Tabela1["&amp;$B24&amp;"]"),Tabela1[Turno],$D24,Tabela1[Data Corrigida],AD$3)/100,"")</f>
        <v/>
      </c>
      <c r="AE24" s="34" t="str">
        <f ca="1">IFERROR(AVERAGEIFS(INDIRECT("Tabela1["&amp;$B24&amp;"]"),Tabela1[Turno],$D24,Tabela1[Data Corrigida],AE$3)/100,"")</f>
        <v/>
      </c>
      <c r="AF24" s="34" t="str">
        <f ca="1">IFERROR(AVERAGEIFS(INDIRECT("Tabela1["&amp;$B24&amp;"]"),Tabela1[Turno],$D24,Tabela1[Data Corrigida],AF$3)/100,"")</f>
        <v/>
      </c>
      <c r="AG24" s="34" t="str">
        <f ca="1">IFERROR(AVERAGEIFS(INDIRECT("Tabela1["&amp;$B24&amp;"]"),Tabela1[Turno],$D24,Tabela1[Data Corrigida],AG$3)/100,"")</f>
        <v/>
      </c>
      <c r="AH24" s="34" t="str">
        <f ca="1">IFERROR(AVERAGEIFS(INDIRECT("Tabela1["&amp;$B24&amp;"]"),Tabela1[Turno],$D24,Tabela1[Data Corrigida],AH$3)/100,"")</f>
        <v/>
      </c>
      <c r="AI24" s="34" t="str">
        <f ca="1">IFERROR(AVERAGEIFS(INDIRECT("Tabela1["&amp;$B24&amp;"]"),Tabela1[Turno],$D24,Tabela1[Data Corrigida],AI$3)/100,"")</f>
        <v/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62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5.2811496203440854E-2</v>
      </c>
      <c r="N25" s="36">
        <f ca="1">IFERROR(AVERAGEIFS(INDIRECT("Tabela1["&amp;$B25&amp;"]"),Tabela1[Turno],$D25,Tabela1[Mês],N$3)/100,"")</f>
        <v>1.4783364783364783E-2</v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59"/>
      <c r="R25" s="35">
        <f ca="1">IFERROR(AVERAGEIFS(INDIRECT("Tabela1["&amp;$B25&amp;"]"),Tabela1[Turno],$D25,Tabela1[Data Corrigida],R$3)/100,"")</f>
        <v>1.4783364783364783E-2</v>
      </c>
      <c r="S25" s="36" t="str">
        <f ca="1">IFERROR(AVERAGEIFS(INDIRECT("Tabela1["&amp;$B25&amp;"]"),Tabela1[Turno],$D25,Tabela1[Data Corrigida],S$3)/100,"")</f>
        <v/>
      </c>
      <c r="T25" s="36" t="str">
        <f ca="1">IFERROR(AVERAGEIFS(INDIRECT("Tabela1["&amp;$B25&amp;"]"),Tabela1[Turno],$D25,Tabela1[Data Corrigida],T$3)/100,"")</f>
        <v/>
      </c>
      <c r="U25" s="36" t="str">
        <f ca="1">IFERROR(AVERAGEIFS(INDIRECT("Tabela1["&amp;$B25&amp;"]"),Tabela1[Turno],$D25,Tabela1[Data Corrigida],U$3)/100,"")</f>
        <v/>
      </c>
      <c r="V25" s="36" t="str">
        <f ca="1">IFERROR(AVERAGEIFS(INDIRECT("Tabela1["&amp;$B25&amp;"]"),Tabela1[Turno],$D25,Tabela1[Data Corrigida],V$3)/100,"")</f>
        <v/>
      </c>
      <c r="W25" s="36" t="str">
        <f ca="1">IFERROR(AVERAGEIFS(INDIRECT("Tabela1["&amp;$B25&amp;"]"),Tabela1[Turno],$D25,Tabela1[Data Corrigida],W$3)/100,"")</f>
        <v/>
      </c>
      <c r="X25" s="36" t="str">
        <f ca="1">IFERROR(AVERAGEIFS(INDIRECT("Tabela1["&amp;$B25&amp;"]"),Tabela1[Turno],$D25,Tabela1[Data Corrigida],X$3)/100,"")</f>
        <v/>
      </c>
      <c r="Y25" s="36" t="str">
        <f ca="1">IFERROR(AVERAGEIFS(INDIRECT("Tabela1["&amp;$B25&amp;"]"),Tabela1[Turno],$D25,Tabela1[Data Corrigida],Y$3)/100,"")</f>
        <v/>
      </c>
      <c r="Z25" s="36" t="str">
        <f ca="1">IFERROR(AVERAGEIFS(INDIRECT("Tabela1["&amp;$B25&amp;"]"),Tabela1[Turno],$D25,Tabela1[Data Corrigida],Z$3)/100,"")</f>
        <v/>
      </c>
      <c r="AA25" s="36" t="str">
        <f ca="1">IFERROR(AVERAGEIFS(INDIRECT("Tabela1["&amp;$B25&amp;"]"),Tabela1[Turno],$D25,Tabela1[Data Corrigida],AA$3)/100,"")</f>
        <v/>
      </c>
      <c r="AB25" s="36" t="str">
        <f ca="1">IFERROR(AVERAGEIFS(INDIRECT("Tabela1["&amp;$B25&amp;"]"),Tabela1[Turno],$D25,Tabela1[Data Corrigida],AB$3)/100,"")</f>
        <v/>
      </c>
      <c r="AC25" s="36" t="str">
        <f ca="1">IFERROR(AVERAGEIFS(INDIRECT("Tabela1["&amp;$B25&amp;"]"),Tabela1[Turno],$D25,Tabela1[Data Corrigida],AC$3)/100,"")</f>
        <v/>
      </c>
      <c r="AD25" s="36" t="str">
        <f ca="1">IFERROR(AVERAGEIFS(INDIRECT("Tabela1["&amp;$B25&amp;"]"),Tabela1[Turno],$D25,Tabela1[Data Corrigida],AD$3)/100,"")</f>
        <v/>
      </c>
      <c r="AE25" s="36" t="str">
        <f ca="1">IFERROR(AVERAGEIFS(INDIRECT("Tabela1["&amp;$B25&amp;"]"),Tabela1[Turno],$D25,Tabela1[Data Corrigida],AE$3)/100,"")</f>
        <v/>
      </c>
      <c r="AF25" s="36" t="str">
        <f ca="1">IFERROR(AVERAGEIFS(INDIRECT("Tabela1["&amp;$B25&amp;"]"),Tabela1[Turno],$D25,Tabela1[Data Corrigida],AF$3)/100,"")</f>
        <v/>
      </c>
      <c r="AG25" s="36" t="str">
        <f ca="1">IFERROR(AVERAGEIFS(INDIRECT("Tabela1["&amp;$B25&amp;"]"),Tabela1[Turno],$D25,Tabela1[Data Corrigida],AG$3)/100,"")</f>
        <v/>
      </c>
      <c r="AH25" s="36" t="str">
        <f ca="1">IFERROR(AVERAGEIFS(INDIRECT("Tabela1["&amp;$B25&amp;"]"),Tabela1[Turno],$D25,Tabela1[Data Corrigida],AH$3)/100,"")</f>
        <v/>
      </c>
      <c r="AI25" s="36" t="str">
        <f ca="1">IFERROR(AVERAGEIFS(INDIRECT("Tabela1["&amp;$B25&amp;"]"),Tabela1[Turno],$D25,Tabela1[Data Corrigida],AI$3)/100,"")</f>
        <v/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3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4.4657729548831349E-2</v>
      </c>
      <c r="N26" s="45">
        <f ca="1">IFERROR(AVERAGEIFS(INDIRECT("Tabela1["&amp;$B26&amp;"]"),Tabela1[Mês],N$3)/100,"")</f>
        <v>1.6096153673793426E-2</v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0"/>
      <c r="R26" s="37">
        <f ca="1">IFERROR(AVERAGEIFS(INDIRECT("Tabela1["&amp;$B26&amp;"]"),Tabela1[Data Corrigida],R$3)/100,"")</f>
        <v>1.6096153673793426E-2</v>
      </c>
      <c r="S26" s="38" t="str">
        <f ca="1">IFERROR(AVERAGEIFS(INDIRECT("Tabela1["&amp;$B26&amp;"]"),Tabela1[Data Corrigida],S$3)/100,"")</f>
        <v/>
      </c>
      <c r="T26" s="38" t="str">
        <f ca="1">IFERROR(AVERAGEIFS(INDIRECT("Tabela1["&amp;$B26&amp;"]"),Tabela1[Data Corrigida],T$3)/100,"")</f>
        <v/>
      </c>
      <c r="U26" s="38" t="str">
        <f ca="1">IFERROR(AVERAGEIFS(INDIRECT("Tabela1["&amp;$B26&amp;"]"),Tabela1[Data Corrigida],U$3)/100,"")</f>
        <v/>
      </c>
      <c r="V26" s="38" t="str">
        <f ca="1">IFERROR(AVERAGEIFS(INDIRECT("Tabela1["&amp;$B26&amp;"]"),Tabela1[Data Corrigida],V$3)/100,"")</f>
        <v/>
      </c>
      <c r="W26" s="38" t="str">
        <f ca="1">IFERROR(AVERAGEIFS(INDIRECT("Tabela1["&amp;$B26&amp;"]"),Tabela1[Data Corrigida],W$3)/100,"")</f>
        <v/>
      </c>
      <c r="X26" s="38" t="str">
        <f ca="1">IFERROR(AVERAGEIFS(INDIRECT("Tabela1["&amp;$B26&amp;"]"),Tabela1[Data Corrigida],X$3)/100,"")</f>
        <v/>
      </c>
      <c r="Y26" s="38" t="str">
        <f ca="1">IFERROR(AVERAGEIFS(INDIRECT("Tabela1["&amp;$B26&amp;"]"),Tabela1[Data Corrigida],Y$3)/100,"")</f>
        <v/>
      </c>
      <c r="Z26" s="38" t="str">
        <f ca="1">IFERROR(AVERAGEIFS(INDIRECT("Tabela1["&amp;$B26&amp;"]"),Tabela1[Data Corrigida],Z$3)/100,"")</f>
        <v/>
      </c>
      <c r="AA26" s="38" t="str">
        <f ca="1">IFERROR(AVERAGEIFS(INDIRECT("Tabela1["&amp;$B26&amp;"]"),Tabela1[Data Corrigida],AA$3)/100,"")</f>
        <v/>
      </c>
      <c r="AB26" s="38" t="str">
        <f ca="1">IFERROR(AVERAGEIFS(INDIRECT("Tabela1["&amp;$B26&amp;"]"),Tabela1[Data Corrigida],AB$3)/100,"")</f>
        <v/>
      </c>
      <c r="AC26" s="38" t="str">
        <f ca="1">IFERROR(AVERAGEIFS(INDIRECT("Tabela1["&amp;$B26&amp;"]"),Tabela1[Data Corrigida],AC$3)/100,"")</f>
        <v/>
      </c>
      <c r="AD26" s="38" t="str">
        <f ca="1">IFERROR(AVERAGEIFS(INDIRECT("Tabela1["&amp;$B26&amp;"]"),Tabela1[Data Corrigida],AD$3)/100,"")</f>
        <v/>
      </c>
      <c r="AE26" s="38" t="str">
        <f ca="1">IFERROR(AVERAGEIFS(INDIRECT("Tabela1["&amp;$B26&amp;"]"),Tabela1[Data Corrigida],AE$3)/100,"")</f>
        <v/>
      </c>
      <c r="AF26" s="38" t="str">
        <f ca="1">IFERROR(AVERAGEIFS(INDIRECT("Tabela1["&amp;$B26&amp;"]"),Tabela1[Data Corrigida],AF$3)/100,"")</f>
        <v/>
      </c>
      <c r="AG26" s="38" t="str">
        <f ca="1">IFERROR(AVERAGEIFS(INDIRECT("Tabela1["&amp;$B26&amp;"]"),Tabela1[Data Corrigida],AG$3)/100,"")</f>
        <v/>
      </c>
      <c r="AH26" s="38" t="str">
        <f ca="1">IFERROR(AVERAGEIFS(INDIRECT("Tabela1["&amp;$B26&amp;"]"),Tabela1[Data Corrigida],AH$3)/100,"")</f>
        <v/>
      </c>
      <c r="AI26" s="38" t="str">
        <f ca="1">IFERROR(AVERAGEIFS(INDIRECT("Tabela1["&amp;$B26&amp;"]"),Tabela1[Data Corrigida],AI$3)/100,"")</f>
        <v/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61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4.8326225621614073E-4</v>
      </c>
      <c r="N27" s="34">
        <f ca="1">IFERROR(AVERAGEIFS(INDIRECT("Tabela1["&amp;$B27&amp;"]"),Tabela1[Turno],$D27,Tabela1[Mês],N$3)/100,"")</f>
        <v>0</v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58">
        <v>0.02</v>
      </c>
      <c r="R27" s="39">
        <f ca="1">IFERROR(AVERAGEIFS(INDIRECT("Tabela1["&amp;$B27&amp;"]"),Tabela1[Turno],$D27,Tabela1[Data Corrigida],R$3)/100,"")</f>
        <v>0</v>
      </c>
      <c r="S27" s="40" t="str">
        <f ca="1">IFERROR(AVERAGEIFS(INDIRECT("Tabela1["&amp;$B27&amp;"]"),Tabela1[Turno],$D27,Tabela1[Data Corrigida],S$3)/100,"")</f>
        <v/>
      </c>
      <c r="T27" s="40" t="str">
        <f ca="1">IFERROR(AVERAGEIFS(INDIRECT("Tabela1["&amp;$B27&amp;"]"),Tabela1[Turno],$D27,Tabela1[Data Corrigida],T$3)/100,"")</f>
        <v/>
      </c>
      <c r="U27" s="40" t="str">
        <f ca="1">IFERROR(AVERAGEIFS(INDIRECT("Tabela1["&amp;$B27&amp;"]"),Tabela1[Turno],$D27,Tabela1[Data Corrigida],U$3)/100,"")</f>
        <v/>
      </c>
      <c r="V27" s="40" t="str">
        <f ca="1">IFERROR(AVERAGEIFS(INDIRECT("Tabela1["&amp;$B27&amp;"]"),Tabela1[Turno],$D27,Tabela1[Data Corrigida],V$3)/100,"")</f>
        <v/>
      </c>
      <c r="W27" s="40" t="str">
        <f ca="1">IFERROR(AVERAGEIFS(INDIRECT("Tabela1["&amp;$B27&amp;"]"),Tabela1[Turno],$D27,Tabela1[Data Corrigida],W$3)/100,"")</f>
        <v/>
      </c>
      <c r="X27" s="40" t="str">
        <f ca="1">IFERROR(AVERAGEIFS(INDIRECT("Tabela1["&amp;$B27&amp;"]"),Tabela1[Turno],$D27,Tabela1[Data Corrigida],X$3)/100,"")</f>
        <v/>
      </c>
      <c r="Y27" s="40" t="str">
        <f ca="1">IFERROR(AVERAGEIFS(INDIRECT("Tabela1["&amp;$B27&amp;"]"),Tabela1[Turno],$D27,Tabela1[Data Corrigida],Y$3)/100,"")</f>
        <v/>
      </c>
      <c r="Z27" s="40" t="str">
        <f ca="1">IFERROR(AVERAGEIFS(INDIRECT("Tabela1["&amp;$B27&amp;"]"),Tabela1[Turno],$D27,Tabela1[Data Corrigida],Z$3)/100,"")</f>
        <v/>
      </c>
      <c r="AA27" s="40" t="str">
        <f ca="1">IFERROR(AVERAGEIFS(INDIRECT("Tabela1["&amp;$B27&amp;"]"),Tabela1[Turno],$D27,Tabela1[Data Corrigida],AA$3)/100,"")</f>
        <v/>
      </c>
      <c r="AB27" s="40" t="str">
        <f ca="1">IFERROR(AVERAGEIFS(INDIRECT("Tabela1["&amp;$B27&amp;"]"),Tabela1[Turno],$D27,Tabela1[Data Corrigida],AB$3)/100,"")</f>
        <v/>
      </c>
      <c r="AC27" s="40" t="str">
        <f ca="1">IFERROR(AVERAGEIFS(INDIRECT("Tabela1["&amp;$B27&amp;"]"),Tabela1[Turno],$D27,Tabela1[Data Corrigida],AC$3)/100,"")</f>
        <v/>
      </c>
      <c r="AD27" s="40" t="str">
        <f ca="1">IFERROR(AVERAGEIFS(INDIRECT("Tabela1["&amp;$B27&amp;"]"),Tabela1[Turno],$D27,Tabela1[Data Corrigida],AD$3)/100,"")</f>
        <v/>
      </c>
      <c r="AE27" s="40" t="str">
        <f ca="1">IFERROR(AVERAGEIFS(INDIRECT("Tabela1["&amp;$B27&amp;"]"),Tabela1[Turno],$D27,Tabela1[Data Corrigida],AE$3)/100,"")</f>
        <v/>
      </c>
      <c r="AF27" s="40" t="str">
        <f ca="1">IFERROR(AVERAGEIFS(INDIRECT("Tabela1["&amp;$B27&amp;"]"),Tabela1[Turno],$D27,Tabela1[Data Corrigida],AF$3)/100,"")</f>
        <v/>
      </c>
      <c r="AG27" s="40" t="str">
        <f ca="1">IFERROR(AVERAGEIFS(INDIRECT("Tabela1["&amp;$B27&amp;"]"),Tabela1[Turno],$D27,Tabela1[Data Corrigida],AG$3)/100,"")</f>
        <v/>
      </c>
      <c r="AH27" s="40" t="str">
        <f ca="1">IFERROR(AVERAGEIFS(INDIRECT("Tabela1["&amp;$B27&amp;"]"),Tabela1[Turno],$D27,Tabela1[Data Corrigida],AH$3)/100,"")</f>
        <v/>
      </c>
      <c r="AI27" s="40" t="str">
        <f ca="1">IFERROR(AVERAGEIFS(INDIRECT("Tabela1["&amp;$B27&amp;"]"),Tabela1[Turno],$D27,Tabela1[Data Corrigida],AI$3)/100,"")</f>
        <v/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62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2.2721943251744579E-4</v>
      </c>
      <c r="N28" s="36">
        <f ca="1">IFERROR(AVERAGEIFS(INDIRECT("Tabela1["&amp;$B28&amp;"]"),Tabela1[Turno],$D28,Tabela1[Mês],N$3)/100,"")</f>
        <v>0</v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59"/>
      <c r="R28" s="35">
        <f ca="1">IFERROR(AVERAGEIFS(INDIRECT("Tabela1["&amp;$B28&amp;"]"),Tabela1[Turno],$D28,Tabela1[Data Corrigida],R$3)/100,"")</f>
        <v>0</v>
      </c>
      <c r="S28" s="36" t="str">
        <f ca="1">IFERROR(AVERAGEIFS(INDIRECT("Tabela1["&amp;$B28&amp;"]"),Tabela1[Turno],$D28,Tabela1[Data Corrigida],S$3)/100,"")</f>
        <v/>
      </c>
      <c r="T28" s="36" t="str">
        <f ca="1">IFERROR(AVERAGEIFS(INDIRECT("Tabela1["&amp;$B28&amp;"]"),Tabela1[Turno],$D28,Tabela1[Data Corrigida],T$3)/100,"")</f>
        <v/>
      </c>
      <c r="U28" s="36" t="str">
        <f ca="1">IFERROR(AVERAGEIFS(INDIRECT("Tabela1["&amp;$B28&amp;"]"),Tabela1[Turno],$D28,Tabela1[Data Corrigida],U$3)/100,"")</f>
        <v/>
      </c>
      <c r="V28" s="36" t="str">
        <f ca="1">IFERROR(AVERAGEIFS(INDIRECT("Tabela1["&amp;$B28&amp;"]"),Tabela1[Turno],$D28,Tabela1[Data Corrigida],V$3)/100,"")</f>
        <v/>
      </c>
      <c r="W28" s="36" t="str">
        <f ca="1">IFERROR(AVERAGEIFS(INDIRECT("Tabela1["&amp;$B28&amp;"]"),Tabela1[Turno],$D28,Tabela1[Data Corrigida],W$3)/100,"")</f>
        <v/>
      </c>
      <c r="X28" s="36" t="str">
        <f ca="1">IFERROR(AVERAGEIFS(INDIRECT("Tabela1["&amp;$B28&amp;"]"),Tabela1[Turno],$D28,Tabela1[Data Corrigida],X$3)/100,"")</f>
        <v/>
      </c>
      <c r="Y28" s="36" t="str">
        <f ca="1">IFERROR(AVERAGEIFS(INDIRECT("Tabela1["&amp;$B28&amp;"]"),Tabela1[Turno],$D28,Tabela1[Data Corrigida],Y$3)/100,"")</f>
        <v/>
      </c>
      <c r="Z28" s="36" t="str">
        <f ca="1">IFERROR(AVERAGEIFS(INDIRECT("Tabela1["&amp;$B28&amp;"]"),Tabela1[Turno],$D28,Tabela1[Data Corrigida],Z$3)/100,"")</f>
        <v/>
      </c>
      <c r="AA28" s="36" t="str">
        <f ca="1">IFERROR(AVERAGEIFS(INDIRECT("Tabela1["&amp;$B28&amp;"]"),Tabela1[Turno],$D28,Tabela1[Data Corrigida],AA$3)/100,"")</f>
        <v/>
      </c>
      <c r="AB28" s="36" t="str">
        <f ca="1">IFERROR(AVERAGEIFS(INDIRECT("Tabela1["&amp;$B28&amp;"]"),Tabela1[Turno],$D28,Tabela1[Data Corrigida],AB$3)/100,"")</f>
        <v/>
      </c>
      <c r="AC28" s="36" t="str">
        <f ca="1">IFERROR(AVERAGEIFS(INDIRECT("Tabela1["&amp;$B28&amp;"]"),Tabela1[Turno],$D28,Tabela1[Data Corrigida],AC$3)/100,"")</f>
        <v/>
      </c>
      <c r="AD28" s="36" t="str">
        <f ca="1">IFERROR(AVERAGEIFS(INDIRECT("Tabela1["&amp;$B28&amp;"]"),Tabela1[Turno],$D28,Tabela1[Data Corrigida],AD$3)/100,"")</f>
        <v/>
      </c>
      <c r="AE28" s="36" t="str">
        <f ca="1">IFERROR(AVERAGEIFS(INDIRECT("Tabela1["&amp;$B28&amp;"]"),Tabela1[Turno],$D28,Tabela1[Data Corrigida],AE$3)/100,"")</f>
        <v/>
      </c>
      <c r="AF28" s="36" t="str">
        <f ca="1">IFERROR(AVERAGEIFS(INDIRECT("Tabela1["&amp;$B28&amp;"]"),Tabela1[Turno],$D28,Tabela1[Data Corrigida],AF$3)/100,"")</f>
        <v/>
      </c>
      <c r="AG28" s="36" t="str">
        <f ca="1">IFERROR(AVERAGEIFS(INDIRECT("Tabela1["&amp;$B28&amp;"]"),Tabela1[Turno],$D28,Tabela1[Data Corrigida],AG$3)/100,"")</f>
        <v/>
      </c>
      <c r="AH28" s="36" t="str">
        <f ca="1">IFERROR(AVERAGEIFS(INDIRECT("Tabela1["&amp;$B28&amp;"]"),Tabela1[Turno],$D28,Tabela1[Data Corrigida],AH$3)/100,"")</f>
        <v/>
      </c>
      <c r="AI28" s="36" t="str">
        <f ca="1">IFERROR(AVERAGEIFS(INDIRECT("Tabela1["&amp;$B28&amp;"]"),Tabela1[Turno],$D28,Tabela1[Data Corrigida],AI$3)/100,"")</f>
        <v/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3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3.7277802407218325E-4</v>
      </c>
      <c r="N29" s="45">
        <f ca="1">IFERROR(AVERAGEIFS(INDIRECT("Tabela1["&amp;$B29&amp;"]"),Tabela1[Mês],N$3)/100,"")</f>
        <v>0</v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0"/>
      <c r="R29" s="42">
        <f ca="1">IFERROR(AVERAGEIFS(INDIRECT("Tabela1["&amp;$B29&amp;"]"),Tabela1[Data Corrigida],R$3)/100,"")</f>
        <v>0</v>
      </c>
      <c r="S29" s="43" t="str">
        <f ca="1">IFERROR(AVERAGEIFS(INDIRECT("Tabela1["&amp;$B29&amp;"]"),Tabela1[Data Corrigida],S$3)/100,"")</f>
        <v/>
      </c>
      <c r="T29" s="43" t="str">
        <f ca="1">IFERROR(AVERAGEIFS(INDIRECT("Tabela1["&amp;$B29&amp;"]"),Tabela1[Data Corrigida],T$3)/100,"")</f>
        <v/>
      </c>
      <c r="U29" s="43" t="str">
        <f ca="1">IFERROR(AVERAGEIFS(INDIRECT("Tabela1["&amp;$B29&amp;"]"),Tabela1[Data Corrigida],U$3)/100,"")</f>
        <v/>
      </c>
      <c r="V29" s="43" t="str">
        <f ca="1">IFERROR(AVERAGEIFS(INDIRECT("Tabela1["&amp;$B29&amp;"]"),Tabela1[Data Corrigida],V$3)/100,"")</f>
        <v/>
      </c>
      <c r="W29" s="43" t="str">
        <f ca="1">IFERROR(AVERAGEIFS(INDIRECT("Tabela1["&amp;$B29&amp;"]"),Tabela1[Data Corrigida],W$3)/100,"")</f>
        <v/>
      </c>
      <c r="X29" s="43" t="str">
        <f ca="1">IFERROR(AVERAGEIFS(INDIRECT("Tabela1["&amp;$B29&amp;"]"),Tabela1[Data Corrigida],X$3)/100,"")</f>
        <v/>
      </c>
      <c r="Y29" s="43" t="str">
        <f ca="1">IFERROR(AVERAGEIFS(INDIRECT("Tabela1["&amp;$B29&amp;"]"),Tabela1[Data Corrigida],Y$3)/100,"")</f>
        <v/>
      </c>
      <c r="Z29" s="43" t="str">
        <f ca="1">IFERROR(AVERAGEIFS(INDIRECT("Tabela1["&amp;$B29&amp;"]"),Tabela1[Data Corrigida],Z$3)/100,"")</f>
        <v/>
      </c>
      <c r="AA29" s="43" t="str">
        <f ca="1">IFERROR(AVERAGEIFS(INDIRECT("Tabela1["&amp;$B29&amp;"]"),Tabela1[Data Corrigida],AA$3)/100,"")</f>
        <v/>
      </c>
      <c r="AB29" s="43" t="str">
        <f ca="1">IFERROR(AVERAGEIFS(INDIRECT("Tabela1["&amp;$B29&amp;"]"),Tabela1[Data Corrigida],AB$3)/100,"")</f>
        <v/>
      </c>
      <c r="AC29" s="43" t="str">
        <f ca="1">IFERROR(AVERAGEIFS(INDIRECT("Tabela1["&amp;$B29&amp;"]"),Tabela1[Data Corrigida],AC$3)/100,"")</f>
        <v/>
      </c>
      <c r="AD29" s="43" t="str">
        <f ca="1">IFERROR(AVERAGEIFS(INDIRECT("Tabela1["&amp;$B29&amp;"]"),Tabela1[Data Corrigida],AD$3)/100,"")</f>
        <v/>
      </c>
      <c r="AE29" s="43" t="str">
        <f ca="1">IFERROR(AVERAGEIFS(INDIRECT("Tabela1["&amp;$B29&amp;"]"),Tabela1[Data Corrigida],AE$3)/100,"")</f>
        <v/>
      </c>
      <c r="AF29" s="43" t="str">
        <f ca="1">IFERROR(AVERAGEIFS(INDIRECT("Tabela1["&amp;$B29&amp;"]"),Tabela1[Data Corrigida],AF$3)/100,"")</f>
        <v/>
      </c>
      <c r="AG29" s="43" t="str">
        <f ca="1">IFERROR(AVERAGEIFS(INDIRECT("Tabela1["&amp;$B29&amp;"]"),Tabela1[Data Corrigida],AG$3)/100,"")</f>
        <v/>
      </c>
      <c r="AH29" s="43" t="str">
        <f ca="1">IFERROR(AVERAGEIFS(INDIRECT("Tabela1["&amp;$B29&amp;"]"),Tabela1[Data Corrigida],AH$3)/100,"")</f>
        <v/>
      </c>
      <c r="AI29" s="43" t="str">
        <f ca="1">IFERROR(AVERAGEIFS(INDIRECT("Tabela1["&amp;$B29&amp;"]"),Tabela1[Data Corrigida],AI$3)/100,"")</f>
        <v/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61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1.1277139709713382E-2</v>
      </c>
      <c r="N30" s="34">
        <f ca="1">IFERROR(AVERAGEIFS(INDIRECT("Tabela1["&amp;$B30&amp;"]"),Tabela1[Turno],$D30,Tabela1[Mês],N$3)/100,"")</f>
        <v>2.0703933747412005E-3</v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58">
        <v>0.02</v>
      </c>
      <c r="R30" s="33">
        <f ca="1">IFERROR(AVERAGEIFS(INDIRECT("Tabela1["&amp;$B30&amp;"]"),Tabela1[Turno],$D30,Tabela1[Data Corrigida],R$3)/100,"")</f>
        <v>2.0703933747412005E-3</v>
      </c>
      <c r="S30" s="34" t="str">
        <f ca="1">IFERROR(AVERAGEIFS(INDIRECT("Tabela1["&amp;$B30&amp;"]"),Tabela1[Turno],$D30,Tabela1[Data Corrigida],S$3)/100,"")</f>
        <v/>
      </c>
      <c r="T30" s="34" t="str">
        <f ca="1">IFERROR(AVERAGEIFS(INDIRECT("Tabela1["&amp;$B30&amp;"]"),Tabela1[Turno],$D30,Tabela1[Data Corrigida],T$3)/100,"")</f>
        <v/>
      </c>
      <c r="U30" s="34" t="str">
        <f ca="1">IFERROR(AVERAGEIFS(INDIRECT("Tabela1["&amp;$B30&amp;"]"),Tabela1[Turno],$D30,Tabela1[Data Corrigida],U$3)/100,"")</f>
        <v/>
      </c>
      <c r="V30" s="34" t="str">
        <f ca="1">IFERROR(AVERAGEIFS(INDIRECT("Tabela1["&amp;$B30&amp;"]"),Tabela1[Turno],$D30,Tabela1[Data Corrigida],V$3)/100,"")</f>
        <v/>
      </c>
      <c r="W30" s="34" t="str">
        <f ca="1">IFERROR(AVERAGEIFS(INDIRECT("Tabela1["&amp;$B30&amp;"]"),Tabela1[Turno],$D30,Tabela1[Data Corrigida],W$3)/100,"")</f>
        <v/>
      </c>
      <c r="X30" s="34" t="str">
        <f ca="1">IFERROR(AVERAGEIFS(INDIRECT("Tabela1["&amp;$B30&amp;"]"),Tabela1[Turno],$D30,Tabela1[Data Corrigida],X$3)/100,"")</f>
        <v/>
      </c>
      <c r="Y30" s="34" t="str">
        <f ca="1">IFERROR(AVERAGEIFS(INDIRECT("Tabela1["&amp;$B30&amp;"]"),Tabela1[Turno],$D30,Tabela1[Data Corrigida],Y$3)/100,"")</f>
        <v/>
      </c>
      <c r="Z30" s="34" t="str">
        <f ca="1">IFERROR(AVERAGEIFS(INDIRECT("Tabela1["&amp;$B30&amp;"]"),Tabela1[Turno],$D30,Tabela1[Data Corrigida],Z$3)/100,"")</f>
        <v/>
      </c>
      <c r="AA30" s="34" t="str">
        <f ca="1">IFERROR(AVERAGEIFS(INDIRECT("Tabela1["&amp;$B30&amp;"]"),Tabela1[Turno],$D30,Tabela1[Data Corrigida],AA$3)/100,"")</f>
        <v/>
      </c>
      <c r="AB30" s="34" t="str">
        <f ca="1">IFERROR(AVERAGEIFS(INDIRECT("Tabela1["&amp;$B30&amp;"]"),Tabela1[Turno],$D30,Tabela1[Data Corrigida],AB$3)/100,"")</f>
        <v/>
      </c>
      <c r="AC30" s="34" t="str">
        <f ca="1">IFERROR(AVERAGEIFS(INDIRECT("Tabela1["&amp;$B30&amp;"]"),Tabela1[Turno],$D30,Tabela1[Data Corrigida],AC$3)/100,"")</f>
        <v/>
      </c>
      <c r="AD30" s="34" t="str">
        <f ca="1">IFERROR(AVERAGEIFS(INDIRECT("Tabela1["&amp;$B30&amp;"]"),Tabela1[Turno],$D30,Tabela1[Data Corrigida],AD$3)/100,"")</f>
        <v/>
      </c>
      <c r="AE30" s="34" t="str">
        <f ca="1">IFERROR(AVERAGEIFS(INDIRECT("Tabela1["&amp;$B30&amp;"]"),Tabela1[Turno],$D30,Tabela1[Data Corrigida],AE$3)/100,"")</f>
        <v/>
      </c>
      <c r="AF30" s="34" t="str">
        <f ca="1">IFERROR(AVERAGEIFS(INDIRECT("Tabela1["&amp;$B30&amp;"]"),Tabela1[Turno],$D30,Tabela1[Data Corrigida],AF$3)/100,"")</f>
        <v/>
      </c>
      <c r="AG30" s="34" t="str">
        <f ca="1">IFERROR(AVERAGEIFS(INDIRECT("Tabela1["&amp;$B30&amp;"]"),Tabela1[Turno],$D30,Tabela1[Data Corrigida],AG$3)/100,"")</f>
        <v/>
      </c>
      <c r="AH30" s="34" t="str">
        <f ca="1">IFERROR(AVERAGEIFS(INDIRECT("Tabela1["&amp;$B30&amp;"]"),Tabela1[Turno],$D30,Tabela1[Data Corrigida],AH$3)/100,"")</f>
        <v/>
      </c>
      <c r="AI30" s="34" t="str">
        <f ca="1">IFERROR(AVERAGEIFS(INDIRECT("Tabela1["&amp;$B30&amp;"]"),Tabela1[Turno],$D30,Tabela1[Data Corrigida],AI$3)/100,"")</f>
        <v/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62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8.4333465756653361E-3</v>
      </c>
      <c r="N31" s="36">
        <f ca="1">IFERROR(AVERAGEIFS(INDIRECT("Tabela1["&amp;$B31&amp;"]"),Tabela1[Turno],$D31,Tabela1[Mês],N$3)/100,"")</f>
        <v>1.4294964294964296E-2</v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59"/>
      <c r="R31" s="35">
        <f ca="1">IFERROR(AVERAGEIFS(INDIRECT("Tabela1["&amp;$B31&amp;"]"),Tabela1[Turno],$D31,Tabela1[Data Corrigida],R$3)/100,"")</f>
        <v>1.4294964294964296E-2</v>
      </c>
      <c r="S31" s="36" t="str">
        <f ca="1">IFERROR(AVERAGEIFS(INDIRECT("Tabela1["&amp;$B31&amp;"]"),Tabela1[Turno],$D31,Tabela1[Data Corrigida],S$3)/100,"")</f>
        <v/>
      </c>
      <c r="T31" s="36" t="str">
        <f ca="1">IFERROR(AVERAGEIFS(INDIRECT("Tabela1["&amp;$B31&amp;"]"),Tabela1[Turno],$D31,Tabela1[Data Corrigida],T$3)/100,"")</f>
        <v/>
      </c>
      <c r="U31" s="36" t="str">
        <f ca="1">IFERROR(AVERAGEIFS(INDIRECT("Tabela1["&amp;$B31&amp;"]"),Tabela1[Turno],$D31,Tabela1[Data Corrigida],U$3)/100,"")</f>
        <v/>
      </c>
      <c r="V31" s="36" t="str">
        <f ca="1">IFERROR(AVERAGEIFS(INDIRECT("Tabela1["&amp;$B31&amp;"]"),Tabela1[Turno],$D31,Tabela1[Data Corrigida],V$3)/100,"")</f>
        <v/>
      </c>
      <c r="W31" s="36" t="str">
        <f ca="1">IFERROR(AVERAGEIFS(INDIRECT("Tabela1["&amp;$B31&amp;"]"),Tabela1[Turno],$D31,Tabela1[Data Corrigida],W$3)/100,"")</f>
        <v/>
      </c>
      <c r="X31" s="36" t="str">
        <f ca="1">IFERROR(AVERAGEIFS(INDIRECT("Tabela1["&amp;$B31&amp;"]"),Tabela1[Turno],$D31,Tabela1[Data Corrigida],X$3)/100,"")</f>
        <v/>
      </c>
      <c r="Y31" s="36" t="str">
        <f ca="1">IFERROR(AVERAGEIFS(INDIRECT("Tabela1["&amp;$B31&amp;"]"),Tabela1[Turno],$D31,Tabela1[Data Corrigida],Y$3)/100,"")</f>
        <v/>
      </c>
      <c r="Z31" s="36" t="str">
        <f ca="1">IFERROR(AVERAGEIFS(INDIRECT("Tabela1["&amp;$B31&amp;"]"),Tabela1[Turno],$D31,Tabela1[Data Corrigida],Z$3)/100,"")</f>
        <v/>
      </c>
      <c r="AA31" s="36" t="str">
        <f ca="1">IFERROR(AVERAGEIFS(INDIRECT("Tabela1["&amp;$B31&amp;"]"),Tabela1[Turno],$D31,Tabela1[Data Corrigida],AA$3)/100,"")</f>
        <v/>
      </c>
      <c r="AB31" s="36" t="str">
        <f ca="1">IFERROR(AVERAGEIFS(INDIRECT("Tabela1["&amp;$B31&amp;"]"),Tabela1[Turno],$D31,Tabela1[Data Corrigida],AB$3)/100,"")</f>
        <v/>
      </c>
      <c r="AC31" s="36" t="str">
        <f ca="1">IFERROR(AVERAGEIFS(INDIRECT("Tabela1["&amp;$B31&amp;"]"),Tabela1[Turno],$D31,Tabela1[Data Corrigida],AC$3)/100,"")</f>
        <v/>
      </c>
      <c r="AD31" s="36" t="str">
        <f ca="1">IFERROR(AVERAGEIFS(INDIRECT("Tabela1["&amp;$B31&amp;"]"),Tabela1[Turno],$D31,Tabela1[Data Corrigida],AD$3)/100,"")</f>
        <v/>
      </c>
      <c r="AE31" s="36" t="str">
        <f ca="1">IFERROR(AVERAGEIFS(INDIRECT("Tabela1["&amp;$B31&amp;"]"),Tabela1[Turno],$D31,Tabela1[Data Corrigida],AE$3)/100,"")</f>
        <v/>
      </c>
      <c r="AF31" s="36" t="str">
        <f ca="1">IFERROR(AVERAGEIFS(INDIRECT("Tabela1["&amp;$B31&amp;"]"),Tabela1[Turno],$D31,Tabela1[Data Corrigida],AF$3)/100,"")</f>
        <v/>
      </c>
      <c r="AG31" s="36" t="str">
        <f ca="1">IFERROR(AVERAGEIFS(INDIRECT("Tabela1["&amp;$B31&amp;"]"),Tabela1[Turno],$D31,Tabela1[Data Corrigida],AG$3)/100,"")</f>
        <v/>
      </c>
      <c r="AH31" s="36" t="str">
        <f ca="1">IFERROR(AVERAGEIFS(INDIRECT("Tabela1["&amp;$B31&amp;"]"),Tabela1[Turno],$D31,Tabela1[Data Corrigida],AH$3)/100,"")</f>
        <v/>
      </c>
      <c r="AI31" s="36" t="str">
        <f ca="1">IFERROR(AVERAGEIFS(INDIRECT("Tabela1["&amp;$B31&amp;"]"),Tabela1[Turno],$D31,Tabela1[Data Corrigida],AI$3)/100,"")</f>
        <v/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3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1.0050023494336481E-2</v>
      </c>
      <c r="N32" s="45">
        <f ca="1">IFERROR(AVERAGEIFS(INDIRECT("Tabela1["&amp;$B32&amp;"]"),Tabela1[Mês],N$3)/100,"")</f>
        <v>8.1826788348527482E-3</v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0"/>
      <c r="R32" s="37">
        <f ca="1">IFERROR(AVERAGEIFS(INDIRECT("Tabela1["&amp;$B32&amp;"]"),Tabela1[Data Corrigida],R$3)/100,"")</f>
        <v>8.1826788348527482E-3</v>
      </c>
      <c r="S32" s="38" t="str">
        <f ca="1">IFERROR(AVERAGEIFS(INDIRECT("Tabela1["&amp;$B32&amp;"]"),Tabela1[Data Corrigida],S$3)/100,"")</f>
        <v/>
      </c>
      <c r="T32" s="38" t="str">
        <f ca="1">IFERROR(AVERAGEIFS(INDIRECT("Tabela1["&amp;$B32&amp;"]"),Tabela1[Data Corrigida],T$3)/100,"")</f>
        <v/>
      </c>
      <c r="U32" s="38" t="str">
        <f ca="1">IFERROR(AVERAGEIFS(INDIRECT("Tabela1["&amp;$B32&amp;"]"),Tabela1[Data Corrigida],U$3)/100,"")</f>
        <v/>
      </c>
      <c r="V32" s="38" t="str">
        <f ca="1">IFERROR(AVERAGEIFS(INDIRECT("Tabela1["&amp;$B32&amp;"]"),Tabela1[Data Corrigida],V$3)/100,"")</f>
        <v/>
      </c>
      <c r="W32" s="38" t="str">
        <f ca="1">IFERROR(AVERAGEIFS(INDIRECT("Tabela1["&amp;$B32&amp;"]"),Tabela1[Data Corrigida],W$3)/100,"")</f>
        <v/>
      </c>
      <c r="X32" s="38" t="str">
        <f ca="1">IFERROR(AVERAGEIFS(INDIRECT("Tabela1["&amp;$B32&amp;"]"),Tabela1[Data Corrigida],X$3)/100,"")</f>
        <v/>
      </c>
      <c r="Y32" s="38" t="str">
        <f ca="1">IFERROR(AVERAGEIFS(INDIRECT("Tabela1["&amp;$B32&amp;"]"),Tabela1[Data Corrigida],Y$3)/100,"")</f>
        <v/>
      </c>
      <c r="Z32" s="38" t="str">
        <f ca="1">IFERROR(AVERAGEIFS(INDIRECT("Tabela1["&amp;$B32&amp;"]"),Tabela1[Data Corrigida],Z$3)/100,"")</f>
        <v/>
      </c>
      <c r="AA32" s="38" t="str">
        <f ca="1">IFERROR(AVERAGEIFS(INDIRECT("Tabela1["&amp;$B32&amp;"]"),Tabela1[Data Corrigida],AA$3)/100,"")</f>
        <v/>
      </c>
      <c r="AB32" s="38" t="str">
        <f ca="1">IFERROR(AVERAGEIFS(INDIRECT("Tabela1["&amp;$B32&amp;"]"),Tabela1[Data Corrigida],AB$3)/100,"")</f>
        <v/>
      </c>
      <c r="AC32" s="38" t="str">
        <f ca="1">IFERROR(AVERAGEIFS(INDIRECT("Tabela1["&amp;$B32&amp;"]"),Tabela1[Data Corrigida],AC$3)/100,"")</f>
        <v/>
      </c>
      <c r="AD32" s="38" t="str">
        <f ca="1">IFERROR(AVERAGEIFS(INDIRECT("Tabela1["&amp;$B32&amp;"]"),Tabela1[Data Corrigida],AD$3)/100,"")</f>
        <v/>
      </c>
      <c r="AE32" s="38" t="str">
        <f ca="1">IFERROR(AVERAGEIFS(INDIRECT("Tabela1["&amp;$B32&amp;"]"),Tabela1[Data Corrigida],AE$3)/100,"")</f>
        <v/>
      </c>
      <c r="AF32" s="38" t="str">
        <f ca="1">IFERROR(AVERAGEIFS(INDIRECT("Tabela1["&amp;$B32&amp;"]"),Tabela1[Data Corrigida],AF$3)/100,"")</f>
        <v/>
      </c>
      <c r="AG32" s="38" t="str">
        <f ca="1">IFERROR(AVERAGEIFS(INDIRECT("Tabela1["&amp;$B32&amp;"]"),Tabela1[Data Corrigida],AG$3)/100,"")</f>
        <v/>
      </c>
      <c r="AH32" s="38" t="str">
        <f ca="1">IFERROR(AVERAGEIFS(INDIRECT("Tabela1["&amp;$B32&amp;"]"),Tabela1[Data Corrigida],AH$3)/100,"")</f>
        <v/>
      </c>
      <c r="AI32" s="38" t="str">
        <f ca="1">IFERROR(AVERAGEIFS(INDIRECT("Tabela1["&amp;$B32&amp;"]"),Tabela1[Data Corrigida],AI$3)/100,"")</f>
        <v/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61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4.0589337497278243E-2</v>
      </c>
      <c r="N33" s="34">
        <f ca="1">IFERROR(AVERAGEIFS(INDIRECT("Tabela1["&amp;$B33&amp;"]"),Tabela1[Turno],$D33,Tabela1[Mês],N$3)/100,"")</f>
        <v>3.5714285714285712E-2</v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58">
        <v>0.02</v>
      </c>
      <c r="R33" s="39">
        <f ca="1">IFERROR(AVERAGEIFS(INDIRECT("Tabela1["&amp;$B33&amp;"]"),Tabela1[Turno],$D33,Tabela1[Data Corrigida],R$3)/100,"")</f>
        <v>3.5714285714285712E-2</v>
      </c>
      <c r="S33" s="40" t="str">
        <f ca="1">IFERROR(AVERAGEIFS(INDIRECT("Tabela1["&amp;$B33&amp;"]"),Tabela1[Turno],$D33,Tabela1[Data Corrigida],S$3)/100,"")</f>
        <v/>
      </c>
      <c r="T33" s="40" t="str">
        <f ca="1">IFERROR(AVERAGEIFS(INDIRECT("Tabela1["&amp;$B33&amp;"]"),Tabela1[Turno],$D33,Tabela1[Data Corrigida],T$3)/100,"")</f>
        <v/>
      </c>
      <c r="U33" s="40" t="str">
        <f ca="1">IFERROR(AVERAGEIFS(INDIRECT("Tabela1["&amp;$B33&amp;"]"),Tabela1[Turno],$D33,Tabela1[Data Corrigida],U$3)/100,"")</f>
        <v/>
      </c>
      <c r="V33" s="40" t="str">
        <f ca="1">IFERROR(AVERAGEIFS(INDIRECT("Tabela1["&amp;$B33&amp;"]"),Tabela1[Turno],$D33,Tabela1[Data Corrigida],V$3)/100,"")</f>
        <v/>
      </c>
      <c r="W33" s="40" t="str">
        <f ca="1">IFERROR(AVERAGEIFS(INDIRECT("Tabela1["&amp;$B33&amp;"]"),Tabela1[Turno],$D33,Tabela1[Data Corrigida],W$3)/100,"")</f>
        <v/>
      </c>
      <c r="X33" s="40" t="str">
        <f ca="1">IFERROR(AVERAGEIFS(INDIRECT("Tabela1["&amp;$B33&amp;"]"),Tabela1[Turno],$D33,Tabela1[Data Corrigida],X$3)/100,"")</f>
        <v/>
      </c>
      <c r="Y33" s="40" t="str">
        <f ca="1">IFERROR(AVERAGEIFS(INDIRECT("Tabela1["&amp;$B33&amp;"]"),Tabela1[Turno],$D33,Tabela1[Data Corrigida],Y$3)/100,"")</f>
        <v/>
      </c>
      <c r="Z33" s="40" t="str">
        <f ca="1">IFERROR(AVERAGEIFS(INDIRECT("Tabela1["&amp;$B33&amp;"]"),Tabela1[Turno],$D33,Tabela1[Data Corrigida],Z$3)/100,"")</f>
        <v/>
      </c>
      <c r="AA33" s="40" t="str">
        <f ca="1">IFERROR(AVERAGEIFS(INDIRECT("Tabela1["&amp;$B33&amp;"]"),Tabela1[Turno],$D33,Tabela1[Data Corrigida],AA$3)/100,"")</f>
        <v/>
      </c>
      <c r="AB33" s="40" t="str">
        <f ca="1">IFERROR(AVERAGEIFS(INDIRECT("Tabela1["&amp;$B33&amp;"]"),Tabela1[Turno],$D33,Tabela1[Data Corrigida],AB$3)/100,"")</f>
        <v/>
      </c>
      <c r="AC33" s="40" t="str">
        <f ca="1">IFERROR(AVERAGEIFS(INDIRECT("Tabela1["&amp;$B33&amp;"]"),Tabela1[Turno],$D33,Tabela1[Data Corrigida],AC$3)/100,"")</f>
        <v/>
      </c>
      <c r="AD33" s="40" t="str">
        <f ca="1">IFERROR(AVERAGEIFS(INDIRECT("Tabela1["&amp;$B33&amp;"]"),Tabela1[Turno],$D33,Tabela1[Data Corrigida],AD$3)/100,"")</f>
        <v/>
      </c>
      <c r="AE33" s="40" t="str">
        <f ca="1">IFERROR(AVERAGEIFS(INDIRECT("Tabela1["&amp;$B33&amp;"]"),Tabela1[Turno],$D33,Tabela1[Data Corrigida],AE$3)/100,"")</f>
        <v/>
      </c>
      <c r="AF33" s="40" t="str">
        <f ca="1">IFERROR(AVERAGEIFS(INDIRECT("Tabela1["&amp;$B33&amp;"]"),Tabela1[Turno],$D33,Tabela1[Data Corrigida],AF$3)/100,"")</f>
        <v/>
      </c>
      <c r="AG33" s="40" t="str">
        <f ca="1">IFERROR(AVERAGEIFS(INDIRECT("Tabela1["&amp;$B33&amp;"]"),Tabela1[Turno],$D33,Tabela1[Data Corrigida],AG$3)/100,"")</f>
        <v/>
      </c>
      <c r="AH33" s="40" t="str">
        <f ca="1">IFERROR(AVERAGEIFS(INDIRECT("Tabela1["&amp;$B33&amp;"]"),Tabela1[Turno],$D33,Tabela1[Data Corrigida],AH$3)/100,"")</f>
        <v/>
      </c>
      <c r="AI33" s="40" t="str">
        <f ca="1">IFERROR(AVERAGEIFS(INDIRECT("Tabela1["&amp;$B33&amp;"]"),Tabela1[Turno],$D33,Tabela1[Data Corrigida],AI$3)/100,"")</f>
        <v/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62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1.5577655859850255E-2</v>
      </c>
      <c r="N34" s="36">
        <f ca="1">IFERROR(AVERAGEIFS(INDIRECT("Tabela1["&amp;$B34&amp;"]"),Tabela1[Turno],$D34,Tabela1[Mês],N$3)/100,"")</f>
        <v>1.2402412402412404E-2</v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59"/>
      <c r="R34" s="35">
        <f ca="1">IFERROR(AVERAGEIFS(INDIRECT("Tabela1["&amp;$B34&amp;"]"),Tabela1[Turno],$D34,Tabela1[Data Corrigida],R$3)/100,"")</f>
        <v>1.2402412402412404E-2</v>
      </c>
      <c r="S34" s="36" t="str">
        <f ca="1">IFERROR(AVERAGEIFS(INDIRECT("Tabela1["&amp;$B34&amp;"]"),Tabela1[Turno],$D34,Tabela1[Data Corrigida],S$3)/100,"")</f>
        <v/>
      </c>
      <c r="T34" s="36" t="str">
        <f ca="1">IFERROR(AVERAGEIFS(INDIRECT("Tabela1["&amp;$B34&amp;"]"),Tabela1[Turno],$D34,Tabela1[Data Corrigida],T$3)/100,"")</f>
        <v/>
      </c>
      <c r="U34" s="36" t="str">
        <f ca="1">IFERROR(AVERAGEIFS(INDIRECT("Tabela1["&amp;$B34&amp;"]"),Tabela1[Turno],$D34,Tabela1[Data Corrigida],U$3)/100,"")</f>
        <v/>
      </c>
      <c r="V34" s="36" t="str">
        <f ca="1">IFERROR(AVERAGEIFS(INDIRECT("Tabela1["&amp;$B34&amp;"]"),Tabela1[Turno],$D34,Tabela1[Data Corrigida],V$3)/100,"")</f>
        <v/>
      </c>
      <c r="W34" s="36" t="str">
        <f ca="1">IFERROR(AVERAGEIFS(INDIRECT("Tabela1["&amp;$B34&amp;"]"),Tabela1[Turno],$D34,Tabela1[Data Corrigida],W$3)/100,"")</f>
        <v/>
      </c>
      <c r="X34" s="36" t="str">
        <f ca="1">IFERROR(AVERAGEIFS(INDIRECT("Tabela1["&amp;$B34&amp;"]"),Tabela1[Turno],$D34,Tabela1[Data Corrigida],X$3)/100,"")</f>
        <v/>
      </c>
      <c r="Y34" s="36" t="str">
        <f ca="1">IFERROR(AVERAGEIFS(INDIRECT("Tabela1["&amp;$B34&amp;"]"),Tabela1[Turno],$D34,Tabela1[Data Corrigida],Y$3)/100,"")</f>
        <v/>
      </c>
      <c r="Z34" s="36" t="str">
        <f ca="1">IFERROR(AVERAGEIFS(INDIRECT("Tabela1["&amp;$B34&amp;"]"),Tabela1[Turno],$D34,Tabela1[Data Corrigida],Z$3)/100,"")</f>
        <v/>
      </c>
      <c r="AA34" s="36" t="str">
        <f ca="1">IFERROR(AVERAGEIFS(INDIRECT("Tabela1["&amp;$B34&amp;"]"),Tabela1[Turno],$D34,Tabela1[Data Corrigida],AA$3)/100,"")</f>
        <v/>
      </c>
      <c r="AB34" s="36" t="str">
        <f ca="1">IFERROR(AVERAGEIFS(INDIRECT("Tabela1["&amp;$B34&amp;"]"),Tabela1[Turno],$D34,Tabela1[Data Corrigida],AB$3)/100,"")</f>
        <v/>
      </c>
      <c r="AC34" s="36" t="str">
        <f ca="1">IFERROR(AVERAGEIFS(INDIRECT("Tabela1["&amp;$B34&amp;"]"),Tabela1[Turno],$D34,Tabela1[Data Corrigida],AC$3)/100,"")</f>
        <v/>
      </c>
      <c r="AD34" s="36" t="str">
        <f ca="1">IFERROR(AVERAGEIFS(INDIRECT("Tabela1["&amp;$B34&amp;"]"),Tabela1[Turno],$D34,Tabela1[Data Corrigida],AD$3)/100,"")</f>
        <v/>
      </c>
      <c r="AE34" s="36" t="str">
        <f ca="1">IFERROR(AVERAGEIFS(INDIRECT("Tabela1["&amp;$B34&amp;"]"),Tabela1[Turno],$D34,Tabela1[Data Corrigida],AE$3)/100,"")</f>
        <v/>
      </c>
      <c r="AF34" s="36" t="str">
        <f ca="1">IFERROR(AVERAGEIFS(INDIRECT("Tabela1["&amp;$B34&amp;"]"),Tabela1[Turno],$D34,Tabela1[Data Corrigida],AF$3)/100,"")</f>
        <v/>
      </c>
      <c r="AG34" s="36" t="str">
        <f ca="1">IFERROR(AVERAGEIFS(INDIRECT("Tabela1["&amp;$B34&amp;"]"),Tabela1[Turno],$D34,Tabela1[Data Corrigida],AG$3)/100,"")</f>
        <v/>
      </c>
      <c r="AH34" s="36" t="str">
        <f ca="1">IFERROR(AVERAGEIFS(INDIRECT("Tabela1["&amp;$B34&amp;"]"),Tabela1[Turno],$D34,Tabela1[Data Corrigida],AH$3)/100,"")</f>
        <v/>
      </c>
      <c r="AI34" s="36" t="str">
        <f ca="1">IFERROR(AVERAGEIFS(INDIRECT("Tabela1["&amp;$B34&amp;"]"),Tabela1[Turno],$D34,Tabela1[Data Corrigida],AI$3)/100,"")</f>
        <v/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3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2.9796625557840142E-2</v>
      </c>
      <c r="N35" s="45">
        <f ca="1">IFERROR(AVERAGEIFS(INDIRECT("Tabela1["&amp;$B35&amp;"]"),Tabela1[Mês],N$3)/100,"")</f>
        <v>2.5723482866340009E-2</v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0"/>
      <c r="R35" s="42">
        <f ca="1">IFERROR(AVERAGEIFS(INDIRECT("Tabela1["&amp;$B35&amp;"]"),Tabela1[Data Corrigida],R$3)/100,"")</f>
        <v>2.5723482866340009E-2</v>
      </c>
      <c r="S35" s="43" t="str">
        <f ca="1">IFERROR(AVERAGEIFS(INDIRECT("Tabela1["&amp;$B35&amp;"]"),Tabela1[Data Corrigida],S$3)/100,"")</f>
        <v/>
      </c>
      <c r="T35" s="43" t="str">
        <f ca="1">IFERROR(AVERAGEIFS(INDIRECT("Tabela1["&amp;$B35&amp;"]"),Tabela1[Data Corrigida],T$3)/100,"")</f>
        <v/>
      </c>
      <c r="U35" s="43" t="str">
        <f ca="1">IFERROR(AVERAGEIFS(INDIRECT("Tabela1["&amp;$B35&amp;"]"),Tabela1[Data Corrigida],U$3)/100,"")</f>
        <v/>
      </c>
      <c r="V35" s="43" t="str">
        <f ca="1">IFERROR(AVERAGEIFS(INDIRECT("Tabela1["&amp;$B35&amp;"]"),Tabela1[Data Corrigida],V$3)/100,"")</f>
        <v/>
      </c>
      <c r="W35" s="43" t="str">
        <f ca="1">IFERROR(AVERAGEIFS(INDIRECT("Tabela1["&amp;$B35&amp;"]"),Tabela1[Data Corrigida],W$3)/100,"")</f>
        <v/>
      </c>
      <c r="X35" s="43" t="str">
        <f ca="1">IFERROR(AVERAGEIFS(INDIRECT("Tabela1["&amp;$B35&amp;"]"),Tabela1[Data Corrigida],X$3)/100,"")</f>
        <v/>
      </c>
      <c r="Y35" s="43" t="str">
        <f ca="1">IFERROR(AVERAGEIFS(INDIRECT("Tabela1["&amp;$B35&amp;"]"),Tabela1[Data Corrigida],Y$3)/100,"")</f>
        <v/>
      </c>
      <c r="Z35" s="43" t="str">
        <f ca="1">IFERROR(AVERAGEIFS(INDIRECT("Tabela1["&amp;$B35&amp;"]"),Tabela1[Data Corrigida],Z$3)/100,"")</f>
        <v/>
      </c>
      <c r="AA35" s="43" t="str">
        <f ca="1">IFERROR(AVERAGEIFS(INDIRECT("Tabela1["&amp;$B35&amp;"]"),Tabela1[Data Corrigida],AA$3)/100,"")</f>
        <v/>
      </c>
      <c r="AB35" s="43" t="str">
        <f ca="1">IFERROR(AVERAGEIFS(INDIRECT("Tabela1["&amp;$B35&amp;"]"),Tabela1[Data Corrigida],AB$3)/100,"")</f>
        <v/>
      </c>
      <c r="AC35" s="43" t="str">
        <f ca="1">IFERROR(AVERAGEIFS(INDIRECT("Tabela1["&amp;$B35&amp;"]"),Tabela1[Data Corrigida],AC$3)/100,"")</f>
        <v/>
      </c>
      <c r="AD35" s="43" t="str">
        <f ca="1">IFERROR(AVERAGEIFS(INDIRECT("Tabela1["&amp;$B35&amp;"]"),Tabela1[Data Corrigida],AD$3)/100,"")</f>
        <v/>
      </c>
      <c r="AE35" s="43" t="str">
        <f ca="1">IFERROR(AVERAGEIFS(INDIRECT("Tabela1["&amp;$B35&amp;"]"),Tabela1[Data Corrigida],AE$3)/100,"")</f>
        <v/>
      </c>
      <c r="AF35" s="43" t="str">
        <f ca="1">IFERROR(AVERAGEIFS(INDIRECT("Tabela1["&amp;$B35&amp;"]"),Tabela1[Data Corrigida],AF$3)/100,"")</f>
        <v/>
      </c>
      <c r="AG35" s="43" t="str">
        <f ca="1">IFERROR(AVERAGEIFS(INDIRECT("Tabela1["&amp;$B35&amp;"]"),Tabela1[Data Corrigida],AG$3)/100,"")</f>
        <v/>
      </c>
      <c r="AH35" s="43" t="str">
        <f ca="1">IFERROR(AVERAGEIFS(INDIRECT("Tabela1["&amp;$B35&amp;"]"),Tabela1[Data Corrigida],AH$3)/100,"")</f>
        <v/>
      </c>
      <c r="AI35" s="43" t="str">
        <f ca="1">IFERROR(AVERAGEIFS(INDIRECT("Tabela1["&amp;$B35&amp;"]"),Tabela1[Data Corrigida],AI$3)/100,"")</f>
        <v/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61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2.6255454648916543E-2</v>
      </c>
      <c r="N36" s="34">
        <f ca="1">IFERROR(AVERAGEIFS(INDIRECT("Tabela1["&amp;$B36&amp;"]"),Tabela1[Turno],$D36,Tabela1[Mês],N$3)/100,"")</f>
        <v>1.7080745341614908E-2</v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58">
        <v>0.02</v>
      </c>
      <c r="R36" s="33">
        <f ca="1">IFERROR(AVERAGEIFS(INDIRECT("Tabela1["&amp;$B36&amp;"]"),Tabela1[Turno],$D36,Tabela1[Data Corrigida],R$3)/100,"")</f>
        <v>1.7080745341614908E-2</v>
      </c>
      <c r="S36" s="34" t="str">
        <f ca="1">IFERROR(AVERAGEIFS(INDIRECT("Tabela1["&amp;$B36&amp;"]"),Tabela1[Turno],$D36,Tabela1[Data Corrigida],S$3)/100,"")</f>
        <v/>
      </c>
      <c r="T36" s="34" t="str">
        <f ca="1">IFERROR(AVERAGEIFS(INDIRECT("Tabela1["&amp;$B36&amp;"]"),Tabela1[Turno],$D36,Tabela1[Data Corrigida],T$3)/100,"")</f>
        <v/>
      </c>
      <c r="U36" s="34" t="str">
        <f ca="1">IFERROR(AVERAGEIFS(INDIRECT("Tabela1["&amp;$B36&amp;"]"),Tabela1[Turno],$D36,Tabela1[Data Corrigida],U$3)/100,"")</f>
        <v/>
      </c>
      <c r="V36" s="34" t="str">
        <f ca="1">IFERROR(AVERAGEIFS(INDIRECT("Tabela1["&amp;$B36&amp;"]"),Tabela1[Turno],$D36,Tabela1[Data Corrigida],V$3)/100,"")</f>
        <v/>
      </c>
      <c r="W36" s="34" t="str">
        <f ca="1">IFERROR(AVERAGEIFS(INDIRECT("Tabela1["&amp;$B36&amp;"]"),Tabela1[Turno],$D36,Tabela1[Data Corrigida],W$3)/100,"")</f>
        <v/>
      </c>
      <c r="X36" s="34" t="str">
        <f ca="1">IFERROR(AVERAGEIFS(INDIRECT("Tabela1["&amp;$B36&amp;"]"),Tabela1[Turno],$D36,Tabela1[Data Corrigida],X$3)/100,"")</f>
        <v/>
      </c>
      <c r="Y36" s="34" t="str">
        <f ca="1">IFERROR(AVERAGEIFS(INDIRECT("Tabela1["&amp;$B36&amp;"]"),Tabela1[Turno],$D36,Tabela1[Data Corrigida],Y$3)/100,"")</f>
        <v/>
      </c>
      <c r="Z36" s="34" t="str">
        <f ca="1">IFERROR(AVERAGEIFS(INDIRECT("Tabela1["&amp;$B36&amp;"]"),Tabela1[Turno],$D36,Tabela1[Data Corrigida],Z$3)/100,"")</f>
        <v/>
      </c>
      <c r="AA36" s="34" t="str">
        <f ca="1">IFERROR(AVERAGEIFS(INDIRECT("Tabela1["&amp;$B36&amp;"]"),Tabela1[Turno],$D36,Tabela1[Data Corrigida],AA$3)/100,"")</f>
        <v/>
      </c>
      <c r="AB36" s="34" t="str">
        <f ca="1">IFERROR(AVERAGEIFS(INDIRECT("Tabela1["&amp;$B36&amp;"]"),Tabela1[Turno],$D36,Tabela1[Data Corrigida],AB$3)/100,"")</f>
        <v/>
      </c>
      <c r="AC36" s="34" t="str">
        <f ca="1">IFERROR(AVERAGEIFS(INDIRECT("Tabela1["&amp;$B36&amp;"]"),Tabela1[Turno],$D36,Tabela1[Data Corrigida],AC$3)/100,"")</f>
        <v/>
      </c>
      <c r="AD36" s="34" t="str">
        <f ca="1">IFERROR(AVERAGEIFS(INDIRECT("Tabela1["&amp;$B36&amp;"]"),Tabela1[Turno],$D36,Tabela1[Data Corrigida],AD$3)/100,"")</f>
        <v/>
      </c>
      <c r="AE36" s="34" t="str">
        <f ca="1">IFERROR(AVERAGEIFS(INDIRECT("Tabela1["&amp;$B36&amp;"]"),Tabela1[Turno],$D36,Tabela1[Data Corrigida],AE$3)/100,"")</f>
        <v/>
      </c>
      <c r="AF36" s="34" t="str">
        <f ca="1">IFERROR(AVERAGEIFS(INDIRECT("Tabela1["&amp;$B36&amp;"]"),Tabela1[Turno],$D36,Tabela1[Data Corrigida],AF$3)/100,"")</f>
        <v/>
      </c>
      <c r="AG36" s="34" t="str">
        <f ca="1">IFERROR(AVERAGEIFS(INDIRECT("Tabela1["&amp;$B36&amp;"]"),Tabela1[Turno],$D36,Tabela1[Data Corrigida],AG$3)/100,"")</f>
        <v/>
      </c>
      <c r="AH36" s="34" t="str">
        <f ca="1">IFERROR(AVERAGEIFS(INDIRECT("Tabela1["&amp;$B36&amp;"]"),Tabela1[Turno],$D36,Tabela1[Data Corrigida],AH$3)/100,"")</f>
        <v/>
      </c>
      <c r="AI36" s="34" t="str">
        <f ca="1">IFERROR(AVERAGEIFS(INDIRECT("Tabela1["&amp;$B36&amp;"]"),Tabela1[Turno],$D36,Tabela1[Data Corrigida],AI$3)/100,"")</f>
        <v/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62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2.0780884801304693E-3</v>
      </c>
      <c r="N37" s="36">
        <f ca="1">IFERROR(AVERAGEIFS(INDIRECT("Tabela1["&amp;$B37&amp;"]"),Tabela1[Turno],$D37,Tabela1[Mês],N$3)/100,"")</f>
        <v>0</v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59"/>
      <c r="R37" s="35">
        <f ca="1">IFERROR(AVERAGEIFS(INDIRECT("Tabela1["&amp;$B37&amp;"]"),Tabela1[Turno],$D37,Tabela1[Data Corrigida],R$3)/100,"")</f>
        <v>0</v>
      </c>
      <c r="S37" s="36" t="str">
        <f ca="1">IFERROR(AVERAGEIFS(INDIRECT("Tabela1["&amp;$B37&amp;"]"),Tabela1[Turno],$D37,Tabela1[Data Corrigida],S$3)/100,"")</f>
        <v/>
      </c>
      <c r="T37" s="36" t="str">
        <f ca="1">IFERROR(AVERAGEIFS(INDIRECT("Tabela1["&amp;$B37&amp;"]"),Tabela1[Turno],$D37,Tabela1[Data Corrigida],T$3)/100,"")</f>
        <v/>
      </c>
      <c r="U37" s="36" t="str">
        <f ca="1">IFERROR(AVERAGEIFS(INDIRECT("Tabela1["&amp;$B37&amp;"]"),Tabela1[Turno],$D37,Tabela1[Data Corrigida],U$3)/100,"")</f>
        <v/>
      </c>
      <c r="V37" s="36" t="str">
        <f ca="1">IFERROR(AVERAGEIFS(INDIRECT("Tabela1["&amp;$B37&amp;"]"),Tabela1[Turno],$D37,Tabela1[Data Corrigida],V$3)/100,"")</f>
        <v/>
      </c>
      <c r="W37" s="36" t="str">
        <f ca="1">IFERROR(AVERAGEIFS(INDIRECT("Tabela1["&amp;$B37&amp;"]"),Tabela1[Turno],$D37,Tabela1[Data Corrigida],W$3)/100,"")</f>
        <v/>
      </c>
      <c r="X37" s="36" t="str">
        <f ca="1">IFERROR(AVERAGEIFS(INDIRECT("Tabela1["&amp;$B37&amp;"]"),Tabela1[Turno],$D37,Tabela1[Data Corrigida],X$3)/100,"")</f>
        <v/>
      </c>
      <c r="Y37" s="36" t="str">
        <f ca="1">IFERROR(AVERAGEIFS(INDIRECT("Tabela1["&amp;$B37&amp;"]"),Tabela1[Turno],$D37,Tabela1[Data Corrigida],Y$3)/100,"")</f>
        <v/>
      </c>
      <c r="Z37" s="36" t="str">
        <f ca="1">IFERROR(AVERAGEIFS(INDIRECT("Tabela1["&amp;$B37&amp;"]"),Tabela1[Turno],$D37,Tabela1[Data Corrigida],Z$3)/100,"")</f>
        <v/>
      </c>
      <c r="AA37" s="36" t="str">
        <f ca="1">IFERROR(AVERAGEIFS(INDIRECT("Tabela1["&amp;$B37&amp;"]"),Tabela1[Turno],$D37,Tabela1[Data Corrigida],AA$3)/100,"")</f>
        <v/>
      </c>
      <c r="AB37" s="36" t="str">
        <f ca="1">IFERROR(AVERAGEIFS(INDIRECT("Tabela1["&amp;$B37&amp;"]"),Tabela1[Turno],$D37,Tabela1[Data Corrigida],AB$3)/100,"")</f>
        <v/>
      </c>
      <c r="AC37" s="36" t="str">
        <f ca="1">IFERROR(AVERAGEIFS(INDIRECT("Tabela1["&amp;$B37&amp;"]"),Tabela1[Turno],$D37,Tabela1[Data Corrigida],AC$3)/100,"")</f>
        <v/>
      </c>
      <c r="AD37" s="36" t="str">
        <f ca="1">IFERROR(AVERAGEIFS(INDIRECT("Tabela1["&amp;$B37&amp;"]"),Tabela1[Turno],$D37,Tabela1[Data Corrigida],AD$3)/100,"")</f>
        <v/>
      </c>
      <c r="AE37" s="36" t="str">
        <f ca="1">IFERROR(AVERAGEIFS(INDIRECT("Tabela1["&amp;$B37&amp;"]"),Tabela1[Turno],$D37,Tabela1[Data Corrigida],AE$3)/100,"")</f>
        <v/>
      </c>
      <c r="AF37" s="36" t="str">
        <f ca="1">IFERROR(AVERAGEIFS(INDIRECT("Tabela1["&amp;$B37&amp;"]"),Tabela1[Turno],$D37,Tabela1[Data Corrigida],AF$3)/100,"")</f>
        <v/>
      </c>
      <c r="AG37" s="36" t="str">
        <f ca="1">IFERROR(AVERAGEIFS(INDIRECT("Tabela1["&amp;$B37&amp;"]"),Tabela1[Turno],$D37,Tabela1[Data Corrigida],AG$3)/100,"")</f>
        <v/>
      </c>
      <c r="AH37" s="36" t="str">
        <f ca="1">IFERROR(AVERAGEIFS(INDIRECT("Tabela1["&amp;$B37&amp;"]"),Tabela1[Turno],$D37,Tabela1[Data Corrigida],AH$3)/100,"")</f>
        <v/>
      </c>
      <c r="AI37" s="36" t="str">
        <f ca="1">IFERROR(AVERAGEIFS(INDIRECT("Tabela1["&amp;$B37&amp;"]"),Tabela1[Turno],$D37,Tabela1[Data Corrigida],AI$3)/100,"")</f>
        <v/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3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1.5822755548686937E-2</v>
      </c>
      <c r="N38" s="45">
        <f ca="1">IFERROR(AVERAGEIFS(INDIRECT("Tabela1["&amp;$B38&amp;"]"),Tabela1[Mês],N$3)/100,"")</f>
        <v>9.7604259094942331E-3</v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0"/>
      <c r="R38" s="37">
        <f ca="1">IFERROR(AVERAGEIFS(INDIRECT("Tabela1["&amp;$B38&amp;"]"),Tabela1[Data Corrigida],R$3)/100,"")</f>
        <v>9.7604259094942331E-3</v>
      </c>
      <c r="S38" s="38" t="str">
        <f ca="1">IFERROR(AVERAGEIFS(INDIRECT("Tabela1["&amp;$B38&amp;"]"),Tabela1[Data Corrigida],S$3)/100,"")</f>
        <v/>
      </c>
      <c r="T38" s="38" t="str">
        <f ca="1">IFERROR(AVERAGEIFS(INDIRECT("Tabela1["&amp;$B38&amp;"]"),Tabela1[Data Corrigida],T$3)/100,"")</f>
        <v/>
      </c>
      <c r="U38" s="38" t="str">
        <f ca="1">IFERROR(AVERAGEIFS(INDIRECT("Tabela1["&amp;$B38&amp;"]"),Tabela1[Data Corrigida],U$3)/100,"")</f>
        <v/>
      </c>
      <c r="V38" s="38" t="str">
        <f ca="1">IFERROR(AVERAGEIFS(INDIRECT("Tabela1["&amp;$B38&amp;"]"),Tabela1[Data Corrigida],V$3)/100,"")</f>
        <v/>
      </c>
      <c r="W38" s="38" t="str">
        <f ca="1">IFERROR(AVERAGEIFS(INDIRECT("Tabela1["&amp;$B38&amp;"]"),Tabela1[Data Corrigida],W$3)/100,"")</f>
        <v/>
      </c>
      <c r="X38" s="38" t="str">
        <f ca="1">IFERROR(AVERAGEIFS(INDIRECT("Tabela1["&amp;$B38&amp;"]"),Tabela1[Data Corrigida],X$3)/100,"")</f>
        <v/>
      </c>
      <c r="Y38" s="38" t="str">
        <f ca="1">IFERROR(AVERAGEIFS(INDIRECT("Tabela1["&amp;$B38&amp;"]"),Tabela1[Data Corrigida],Y$3)/100,"")</f>
        <v/>
      </c>
      <c r="Z38" s="38" t="str">
        <f ca="1">IFERROR(AVERAGEIFS(INDIRECT("Tabela1["&amp;$B38&amp;"]"),Tabela1[Data Corrigida],Z$3)/100,"")</f>
        <v/>
      </c>
      <c r="AA38" s="38" t="str">
        <f ca="1">IFERROR(AVERAGEIFS(INDIRECT("Tabela1["&amp;$B38&amp;"]"),Tabela1[Data Corrigida],AA$3)/100,"")</f>
        <v/>
      </c>
      <c r="AB38" s="38" t="str">
        <f ca="1">IFERROR(AVERAGEIFS(INDIRECT("Tabela1["&amp;$B38&amp;"]"),Tabela1[Data Corrigida],AB$3)/100,"")</f>
        <v/>
      </c>
      <c r="AC38" s="38" t="str">
        <f ca="1">IFERROR(AVERAGEIFS(INDIRECT("Tabela1["&amp;$B38&amp;"]"),Tabela1[Data Corrigida],AC$3)/100,"")</f>
        <v/>
      </c>
      <c r="AD38" s="38" t="str">
        <f ca="1">IFERROR(AVERAGEIFS(INDIRECT("Tabela1["&amp;$B38&amp;"]"),Tabela1[Data Corrigida],AD$3)/100,"")</f>
        <v/>
      </c>
      <c r="AE38" s="38" t="str">
        <f ca="1">IFERROR(AVERAGEIFS(INDIRECT("Tabela1["&amp;$B38&amp;"]"),Tabela1[Data Corrigida],AE$3)/100,"")</f>
        <v/>
      </c>
      <c r="AF38" s="38" t="str">
        <f ca="1">IFERROR(AVERAGEIFS(INDIRECT("Tabela1["&amp;$B38&amp;"]"),Tabela1[Data Corrigida],AF$3)/100,"")</f>
        <v/>
      </c>
      <c r="AG38" s="38" t="str">
        <f ca="1">IFERROR(AVERAGEIFS(INDIRECT("Tabela1["&amp;$B38&amp;"]"),Tabela1[Data Corrigida],AG$3)/100,"")</f>
        <v/>
      </c>
      <c r="AH38" s="38" t="str">
        <f ca="1">IFERROR(AVERAGEIFS(INDIRECT("Tabela1["&amp;$B38&amp;"]"),Tabela1[Data Corrigida],AH$3)/100,"")</f>
        <v/>
      </c>
      <c r="AI38" s="38" t="str">
        <f ca="1">IFERROR(AVERAGEIFS(INDIRECT("Tabela1["&amp;$B38&amp;"]"),Tabela1[Data Corrigida],AI$3)/100,"")</f>
        <v/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61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1.4026812645817994E-2</v>
      </c>
      <c r="N39" s="34">
        <f ca="1">IFERROR(AVERAGEIFS(INDIRECT("Tabela1["&amp;$B39&amp;"]"),Tabela1[Turno],$D39,Tabela1[Mês],N$3)/100,"")</f>
        <v>1.7080745341614904E-2</v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58">
        <v>0.02</v>
      </c>
      <c r="R39" s="39">
        <f ca="1">IFERROR(AVERAGEIFS(INDIRECT("Tabela1["&amp;$B39&amp;"]"),Tabela1[Turno],$D39,Tabela1[Data Corrigida],R$3)/100,"")</f>
        <v>1.7080745341614904E-2</v>
      </c>
      <c r="S39" s="40" t="str">
        <f ca="1">IFERROR(AVERAGEIFS(INDIRECT("Tabela1["&amp;$B39&amp;"]"),Tabela1[Turno],$D39,Tabela1[Data Corrigida],S$3)/100,"")</f>
        <v/>
      </c>
      <c r="T39" s="40" t="str">
        <f ca="1">IFERROR(AVERAGEIFS(INDIRECT("Tabela1["&amp;$B39&amp;"]"),Tabela1[Turno],$D39,Tabela1[Data Corrigida],T$3)/100,"")</f>
        <v/>
      </c>
      <c r="U39" s="40" t="str">
        <f ca="1">IFERROR(AVERAGEIFS(INDIRECT("Tabela1["&amp;$B39&amp;"]"),Tabela1[Turno],$D39,Tabela1[Data Corrigida],U$3)/100,"")</f>
        <v/>
      </c>
      <c r="V39" s="40" t="str">
        <f ca="1">IFERROR(AVERAGEIFS(INDIRECT("Tabela1["&amp;$B39&amp;"]"),Tabela1[Turno],$D39,Tabela1[Data Corrigida],V$3)/100,"")</f>
        <v/>
      </c>
      <c r="W39" s="40" t="str">
        <f ca="1">IFERROR(AVERAGEIFS(INDIRECT("Tabela1["&amp;$B39&amp;"]"),Tabela1[Turno],$D39,Tabela1[Data Corrigida],W$3)/100,"")</f>
        <v/>
      </c>
      <c r="X39" s="40" t="str">
        <f ca="1">IFERROR(AVERAGEIFS(INDIRECT("Tabela1["&amp;$B39&amp;"]"),Tabela1[Turno],$D39,Tabela1[Data Corrigida],X$3)/100,"")</f>
        <v/>
      </c>
      <c r="Y39" s="40" t="str">
        <f ca="1">IFERROR(AVERAGEIFS(INDIRECT("Tabela1["&amp;$B39&amp;"]"),Tabela1[Turno],$D39,Tabela1[Data Corrigida],Y$3)/100,"")</f>
        <v/>
      </c>
      <c r="Z39" s="40" t="str">
        <f ca="1">IFERROR(AVERAGEIFS(INDIRECT("Tabela1["&amp;$B39&amp;"]"),Tabela1[Turno],$D39,Tabela1[Data Corrigida],Z$3)/100,"")</f>
        <v/>
      </c>
      <c r="AA39" s="40" t="str">
        <f ca="1">IFERROR(AVERAGEIFS(INDIRECT("Tabela1["&amp;$B39&amp;"]"),Tabela1[Turno],$D39,Tabela1[Data Corrigida],AA$3)/100,"")</f>
        <v/>
      </c>
      <c r="AB39" s="40" t="str">
        <f ca="1">IFERROR(AVERAGEIFS(INDIRECT("Tabela1["&amp;$B39&amp;"]"),Tabela1[Turno],$D39,Tabela1[Data Corrigida],AB$3)/100,"")</f>
        <v/>
      </c>
      <c r="AC39" s="40" t="str">
        <f ca="1">IFERROR(AVERAGEIFS(INDIRECT("Tabela1["&amp;$B39&amp;"]"),Tabela1[Turno],$D39,Tabela1[Data Corrigida],AC$3)/100,"")</f>
        <v/>
      </c>
      <c r="AD39" s="40" t="str">
        <f ca="1">IFERROR(AVERAGEIFS(INDIRECT("Tabela1["&amp;$B39&amp;"]"),Tabela1[Turno],$D39,Tabela1[Data Corrigida],AD$3)/100,"")</f>
        <v/>
      </c>
      <c r="AE39" s="40" t="str">
        <f ca="1">IFERROR(AVERAGEIFS(INDIRECT("Tabela1["&amp;$B39&amp;"]"),Tabela1[Turno],$D39,Tabela1[Data Corrigida],AE$3)/100,"")</f>
        <v/>
      </c>
      <c r="AF39" s="40" t="str">
        <f ca="1">IFERROR(AVERAGEIFS(INDIRECT("Tabela1["&amp;$B39&amp;"]"),Tabela1[Turno],$D39,Tabela1[Data Corrigida],AF$3)/100,"")</f>
        <v/>
      </c>
      <c r="AG39" s="40" t="str">
        <f ca="1">IFERROR(AVERAGEIFS(INDIRECT("Tabela1["&amp;$B39&amp;"]"),Tabela1[Turno],$D39,Tabela1[Data Corrigida],AG$3)/100,"")</f>
        <v/>
      </c>
      <c r="AH39" s="40" t="str">
        <f ca="1">IFERROR(AVERAGEIFS(INDIRECT("Tabela1["&amp;$B39&amp;"]"),Tabela1[Turno],$D39,Tabela1[Data Corrigida],AH$3)/100,"")</f>
        <v/>
      </c>
      <c r="AI39" s="40" t="str">
        <f ca="1">IFERROR(AVERAGEIFS(INDIRECT("Tabela1["&amp;$B39&amp;"]"),Tabela1[Turno],$D39,Tabela1[Data Corrigida],AI$3)/100,"")</f>
        <v/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62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>
        <f ca="1">IFERROR(AVERAGEIFS(INDIRECT("Tabela1["&amp;$B40&amp;"]"),Tabela1[Turno],$D40,Tabela1[Mês],N$3)/100,"")</f>
        <v>0</v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59"/>
      <c r="R40" s="35">
        <f ca="1">IFERROR(AVERAGEIFS(INDIRECT("Tabela1["&amp;$B40&amp;"]"),Tabela1[Turno],$D40,Tabela1[Data Corrigida],R$3)/100,"")</f>
        <v>0</v>
      </c>
      <c r="S40" s="36" t="str">
        <f ca="1">IFERROR(AVERAGEIFS(INDIRECT("Tabela1["&amp;$B40&amp;"]"),Tabela1[Turno],$D40,Tabela1[Data Corrigida],S$3)/100,"")</f>
        <v/>
      </c>
      <c r="T40" s="36" t="str">
        <f ca="1">IFERROR(AVERAGEIFS(INDIRECT("Tabela1["&amp;$B40&amp;"]"),Tabela1[Turno],$D40,Tabela1[Data Corrigida],T$3)/100,"")</f>
        <v/>
      </c>
      <c r="U40" s="36" t="str">
        <f ca="1">IFERROR(AVERAGEIFS(INDIRECT("Tabela1["&amp;$B40&amp;"]"),Tabela1[Turno],$D40,Tabela1[Data Corrigida],U$3)/100,"")</f>
        <v/>
      </c>
      <c r="V40" s="36" t="str">
        <f ca="1">IFERROR(AVERAGEIFS(INDIRECT("Tabela1["&amp;$B40&amp;"]"),Tabela1[Turno],$D40,Tabela1[Data Corrigida],V$3)/100,"")</f>
        <v/>
      </c>
      <c r="W40" s="36" t="str">
        <f ca="1">IFERROR(AVERAGEIFS(INDIRECT("Tabela1["&amp;$B40&amp;"]"),Tabela1[Turno],$D40,Tabela1[Data Corrigida],W$3)/100,"")</f>
        <v/>
      </c>
      <c r="X40" s="36" t="str">
        <f ca="1">IFERROR(AVERAGEIFS(INDIRECT("Tabela1["&amp;$B40&amp;"]"),Tabela1[Turno],$D40,Tabela1[Data Corrigida],X$3)/100,"")</f>
        <v/>
      </c>
      <c r="Y40" s="36" t="str">
        <f ca="1">IFERROR(AVERAGEIFS(INDIRECT("Tabela1["&amp;$B40&amp;"]"),Tabela1[Turno],$D40,Tabela1[Data Corrigida],Y$3)/100,"")</f>
        <v/>
      </c>
      <c r="Z40" s="36" t="str">
        <f ca="1">IFERROR(AVERAGEIFS(INDIRECT("Tabela1["&amp;$B40&amp;"]"),Tabela1[Turno],$D40,Tabela1[Data Corrigida],Z$3)/100,"")</f>
        <v/>
      </c>
      <c r="AA40" s="36" t="str">
        <f ca="1">IFERROR(AVERAGEIFS(INDIRECT("Tabela1["&amp;$B40&amp;"]"),Tabela1[Turno],$D40,Tabela1[Data Corrigida],AA$3)/100,"")</f>
        <v/>
      </c>
      <c r="AB40" s="36" t="str">
        <f ca="1">IFERROR(AVERAGEIFS(INDIRECT("Tabela1["&amp;$B40&amp;"]"),Tabela1[Turno],$D40,Tabela1[Data Corrigida],AB$3)/100,"")</f>
        <v/>
      </c>
      <c r="AC40" s="36" t="str">
        <f ca="1">IFERROR(AVERAGEIFS(INDIRECT("Tabela1["&amp;$B40&amp;"]"),Tabela1[Turno],$D40,Tabela1[Data Corrigida],AC$3)/100,"")</f>
        <v/>
      </c>
      <c r="AD40" s="36" t="str">
        <f ca="1">IFERROR(AVERAGEIFS(INDIRECT("Tabela1["&amp;$B40&amp;"]"),Tabela1[Turno],$D40,Tabela1[Data Corrigida],AD$3)/100,"")</f>
        <v/>
      </c>
      <c r="AE40" s="36" t="str">
        <f ca="1">IFERROR(AVERAGEIFS(INDIRECT("Tabela1["&amp;$B40&amp;"]"),Tabela1[Turno],$D40,Tabela1[Data Corrigida],AE$3)/100,"")</f>
        <v/>
      </c>
      <c r="AF40" s="36" t="str">
        <f ca="1">IFERROR(AVERAGEIFS(INDIRECT("Tabela1["&amp;$B40&amp;"]"),Tabela1[Turno],$D40,Tabela1[Data Corrigida],AF$3)/100,"")</f>
        <v/>
      </c>
      <c r="AG40" s="36" t="str">
        <f ca="1">IFERROR(AVERAGEIFS(INDIRECT("Tabela1["&amp;$B40&amp;"]"),Tabela1[Turno],$D40,Tabela1[Data Corrigida],AG$3)/100,"")</f>
        <v/>
      </c>
      <c r="AH40" s="36" t="str">
        <f ca="1">IFERROR(AVERAGEIFS(INDIRECT("Tabela1["&amp;$B40&amp;"]"),Tabela1[Turno],$D40,Tabela1[Data Corrigida],AH$3)/100,"")</f>
        <v/>
      </c>
      <c r="AI40" s="36" t="str">
        <f ca="1">IFERROR(AVERAGEIFS(INDIRECT("Tabela1["&amp;$B40&amp;"]"),Tabela1[Turno],$D40,Tabela1[Data Corrigida],AI$3)/100,"")</f>
        <v/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3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7.9741469150883121E-3</v>
      </c>
      <c r="N41" s="45">
        <f ca="1">IFERROR(AVERAGEIFS(INDIRECT("Tabela1["&amp;$B41&amp;"]"),Tabela1[Mês],N$3)/100,"")</f>
        <v>9.7604259094942313E-3</v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0"/>
      <c r="R41" s="42">
        <f ca="1">IFERROR(AVERAGEIFS(INDIRECT("Tabela1["&amp;$B41&amp;"]"),Tabela1[Data Corrigida],R$3)/100,"")</f>
        <v>9.7604259094942313E-3</v>
      </c>
      <c r="S41" s="43" t="str">
        <f ca="1">IFERROR(AVERAGEIFS(INDIRECT("Tabela1["&amp;$B41&amp;"]"),Tabela1[Data Corrigida],S$3)/100,"")</f>
        <v/>
      </c>
      <c r="T41" s="43" t="str">
        <f ca="1">IFERROR(AVERAGEIFS(INDIRECT("Tabela1["&amp;$B41&amp;"]"),Tabela1[Data Corrigida],T$3)/100,"")</f>
        <v/>
      </c>
      <c r="U41" s="43" t="str">
        <f ca="1">IFERROR(AVERAGEIFS(INDIRECT("Tabela1["&amp;$B41&amp;"]"),Tabela1[Data Corrigida],U$3)/100,"")</f>
        <v/>
      </c>
      <c r="V41" s="43" t="str">
        <f ca="1">IFERROR(AVERAGEIFS(INDIRECT("Tabela1["&amp;$B41&amp;"]"),Tabela1[Data Corrigida],V$3)/100,"")</f>
        <v/>
      </c>
      <c r="W41" s="43" t="str">
        <f ca="1">IFERROR(AVERAGEIFS(INDIRECT("Tabela1["&amp;$B41&amp;"]"),Tabela1[Data Corrigida],W$3)/100,"")</f>
        <v/>
      </c>
      <c r="X41" s="43" t="str">
        <f ca="1">IFERROR(AVERAGEIFS(INDIRECT("Tabela1["&amp;$B41&amp;"]"),Tabela1[Data Corrigida],X$3)/100,"")</f>
        <v/>
      </c>
      <c r="Y41" s="43" t="str">
        <f ca="1">IFERROR(AVERAGEIFS(INDIRECT("Tabela1["&amp;$B41&amp;"]"),Tabela1[Data Corrigida],Y$3)/100,"")</f>
        <v/>
      </c>
      <c r="Z41" s="43" t="str">
        <f ca="1">IFERROR(AVERAGEIFS(INDIRECT("Tabela1["&amp;$B41&amp;"]"),Tabela1[Data Corrigida],Z$3)/100,"")</f>
        <v/>
      </c>
      <c r="AA41" s="43" t="str">
        <f ca="1">IFERROR(AVERAGEIFS(INDIRECT("Tabela1["&amp;$B41&amp;"]"),Tabela1[Data Corrigida],AA$3)/100,"")</f>
        <v/>
      </c>
      <c r="AB41" s="43" t="str">
        <f ca="1">IFERROR(AVERAGEIFS(INDIRECT("Tabela1["&amp;$B41&amp;"]"),Tabela1[Data Corrigida],AB$3)/100,"")</f>
        <v/>
      </c>
      <c r="AC41" s="43" t="str">
        <f ca="1">IFERROR(AVERAGEIFS(INDIRECT("Tabela1["&amp;$B41&amp;"]"),Tabela1[Data Corrigida],AC$3)/100,"")</f>
        <v/>
      </c>
      <c r="AD41" s="43" t="str">
        <f ca="1">IFERROR(AVERAGEIFS(INDIRECT("Tabela1["&amp;$B41&amp;"]"),Tabela1[Data Corrigida],AD$3)/100,"")</f>
        <v/>
      </c>
      <c r="AE41" s="43" t="str">
        <f ca="1">IFERROR(AVERAGEIFS(INDIRECT("Tabela1["&amp;$B41&amp;"]"),Tabela1[Data Corrigida],AE$3)/100,"")</f>
        <v/>
      </c>
      <c r="AF41" s="43" t="str">
        <f ca="1">IFERROR(AVERAGEIFS(INDIRECT("Tabela1["&amp;$B41&amp;"]"),Tabela1[Data Corrigida],AF$3)/100,"")</f>
        <v/>
      </c>
      <c r="AG41" s="43" t="str">
        <f ca="1">IFERROR(AVERAGEIFS(INDIRECT("Tabela1["&amp;$B41&amp;"]"),Tabela1[Data Corrigida],AG$3)/100,"")</f>
        <v/>
      </c>
      <c r="AH41" s="43" t="str">
        <f ca="1">IFERROR(AVERAGEIFS(INDIRECT("Tabela1["&amp;$B41&amp;"]"),Tabela1[Data Corrigida],AH$3)/100,"")</f>
        <v/>
      </c>
      <c r="AI41" s="43" t="str">
        <f ca="1">IFERROR(AVERAGEIFS(INDIRECT("Tabela1["&amp;$B41&amp;"]"),Tabela1[Data Corrigida],AI$3)/100,"")</f>
        <v/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61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5.8084407401589239E-2</v>
      </c>
      <c r="N42" s="34">
        <f ca="1">IFERROR(AVERAGEIFS(INDIRECT("Tabela1["&amp;$B42&amp;"]"),Tabela1[Turno],$D42,Tabela1[Mês],N$3)/100,"")</f>
        <v>4.0372670807453409E-2</v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58">
        <v>0.04</v>
      </c>
      <c r="R42" s="33">
        <f ca="1">IFERROR(AVERAGEIFS(INDIRECT("Tabela1["&amp;$B42&amp;"]"),Tabela1[Turno],$D42,Tabela1[Data Corrigida],R$3)/100,"")</f>
        <v>4.0372670807453409E-2</v>
      </c>
      <c r="S42" s="34" t="str">
        <f ca="1">IFERROR(AVERAGEIFS(INDIRECT("Tabela1["&amp;$B42&amp;"]"),Tabela1[Turno],$D42,Tabela1[Data Corrigida],S$3)/100,"")</f>
        <v/>
      </c>
      <c r="T42" s="34" t="str">
        <f ca="1">IFERROR(AVERAGEIFS(INDIRECT("Tabela1["&amp;$B42&amp;"]"),Tabela1[Turno],$D42,Tabela1[Data Corrigida],T$3)/100,"")</f>
        <v/>
      </c>
      <c r="U42" s="34" t="str">
        <f ca="1">IFERROR(AVERAGEIFS(INDIRECT("Tabela1["&amp;$B42&amp;"]"),Tabela1[Turno],$D42,Tabela1[Data Corrigida],U$3)/100,"")</f>
        <v/>
      </c>
      <c r="V42" s="34" t="str">
        <f ca="1">IFERROR(AVERAGEIFS(INDIRECT("Tabela1["&amp;$B42&amp;"]"),Tabela1[Turno],$D42,Tabela1[Data Corrigida],V$3)/100,"")</f>
        <v/>
      </c>
      <c r="W42" s="34" t="str">
        <f ca="1">IFERROR(AVERAGEIFS(INDIRECT("Tabela1["&amp;$B42&amp;"]"),Tabela1[Turno],$D42,Tabela1[Data Corrigida],W$3)/100,"")</f>
        <v/>
      </c>
      <c r="X42" s="34" t="str">
        <f ca="1">IFERROR(AVERAGEIFS(INDIRECT("Tabela1["&amp;$B42&amp;"]"),Tabela1[Turno],$D42,Tabela1[Data Corrigida],X$3)/100,"")</f>
        <v/>
      </c>
      <c r="Y42" s="34" t="str">
        <f ca="1">IFERROR(AVERAGEIFS(INDIRECT("Tabela1["&amp;$B42&amp;"]"),Tabela1[Turno],$D42,Tabela1[Data Corrigida],Y$3)/100,"")</f>
        <v/>
      </c>
      <c r="Z42" s="34" t="str">
        <f ca="1">IFERROR(AVERAGEIFS(INDIRECT("Tabela1["&amp;$B42&amp;"]"),Tabela1[Turno],$D42,Tabela1[Data Corrigida],Z$3)/100,"")</f>
        <v/>
      </c>
      <c r="AA42" s="34" t="str">
        <f ca="1">IFERROR(AVERAGEIFS(INDIRECT("Tabela1["&amp;$B42&amp;"]"),Tabela1[Turno],$D42,Tabela1[Data Corrigida],AA$3)/100,"")</f>
        <v/>
      </c>
      <c r="AB42" s="34" t="str">
        <f ca="1">IFERROR(AVERAGEIFS(INDIRECT("Tabela1["&amp;$B42&amp;"]"),Tabela1[Turno],$D42,Tabela1[Data Corrigida],AB$3)/100,"")</f>
        <v/>
      </c>
      <c r="AC42" s="34" t="str">
        <f ca="1">IFERROR(AVERAGEIFS(INDIRECT("Tabela1["&amp;$B42&amp;"]"),Tabela1[Turno],$D42,Tabela1[Data Corrigida],AC$3)/100,"")</f>
        <v/>
      </c>
      <c r="AD42" s="34" t="str">
        <f ca="1">IFERROR(AVERAGEIFS(INDIRECT("Tabela1["&amp;$B42&amp;"]"),Tabela1[Turno],$D42,Tabela1[Data Corrigida],AD$3)/100,"")</f>
        <v/>
      </c>
      <c r="AE42" s="34" t="str">
        <f ca="1">IFERROR(AVERAGEIFS(INDIRECT("Tabela1["&amp;$B42&amp;"]"),Tabela1[Turno],$D42,Tabela1[Data Corrigida],AE$3)/100,"")</f>
        <v/>
      </c>
      <c r="AF42" s="34" t="str">
        <f ca="1">IFERROR(AVERAGEIFS(INDIRECT("Tabela1["&amp;$B42&amp;"]"),Tabela1[Turno],$D42,Tabela1[Data Corrigida],AF$3)/100,"")</f>
        <v/>
      </c>
      <c r="AG42" s="34" t="str">
        <f ca="1">IFERROR(AVERAGEIFS(INDIRECT("Tabela1["&amp;$B42&amp;"]"),Tabela1[Turno],$D42,Tabela1[Data Corrigida],AG$3)/100,"")</f>
        <v/>
      </c>
      <c r="AH42" s="34" t="str">
        <f ca="1">IFERROR(AVERAGEIFS(INDIRECT("Tabela1["&amp;$B42&amp;"]"),Tabela1[Turno],$D42,Tabela1[Data Corrigida],AH$3)/100,"")</f>
        <v/>
      </c>
      <c r="AI42" s="34" t="str">
        <f ca="1">IFERROR(AVERAGEIFS(INDIRECT("Tabela1["&amp;$B42&amp;"]"),Tabela1[Turno],$D42,Tabela1[Data Corrigida],AI$3)/100,"")</f>
        <v/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62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5.6970535423727854E-2</v>
      </c>
      <c r="N43" s="36">
        <f ca="1">IFERROR(AVERAGEIFS(INDIRECT("Tabela1["&amp;$B43&amp;"]"),Tabela1[Turno],$D43,Tabela1[Mês],N$3)/100,"")</f>
        <v>3.2689532689532681E-2</v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59"/>
      <c r="R43" s="35">
        <f ca="1">IFERROR(AVERAGEIFS(INDIRECT("Tabela1["&amp;$B43&amp;"]"),Tabela1[Turno],$D43,Tabela1[Data Corrigida],R$3)/100,"")</f>
        <v>3.2689532689532681E-2</v>
      </c>
      <c r="S43" s="36" t="str">
        <f ca="1">IFERROR(AVERAGEIFS(INDIRECT("Tabela1["&amp;$B43&amp;"]"),Tabela1[Turno],$D43,Tabela1[Data Corrigida],S$3)/100,"")</f>
        <v/>
      </c>
      <c r="T43" s="36" t="str">
        <f ca="1">IFERROR(AVERAGEIFS(INDIRECT("Tabela1["&amp;$B43&amp;"]"),Tabela1[Turno],$D43,Tabela1[Data Corrigida],T$3)/100,"")</f>
        <v/>
      </c>
      <c r="U43" s="36" t="str">
        <f ca="1">IFERROR(AVERAGEIFS(INDIRECT("Tabela1["&amp;$B43&amp;"]"),Tabela1[Turno],$D43,Tabela1[Data Corrigida],U$3)/100,"")</f>
        <v/>
      </c>
      <c r="V43" s="36" t="str">
        <f ca="1">IFERROR(AVERAGEIFS(INDIRECT("Tabela1["&amp;$B43&amp;"]"),Tabela1[Turno],$D43,Tabela1[Data Corrigida],V$3)/100,"")</f>
        <v/>
      </c>
      <c r="W43" s="36" t="str">
        <f ca="1">IFERROR(AVERAGEIFS(INDIRECT("Tabela1["&amp;$B43&amp;"]"),Tabela1[Turno],$D43,Tabela1[Data Corrigida],W$3)/100,"")</f>
        <v/>
      </c>
      <c r="X43" s="36" t="str">
        <f ca="1">IFERROR(AVERAGEIFS(INDIRECT("Tabela1["&amp;$B43&amp;"]"),Tabela1[Turno],$D43,Tabela1[Data Corrigida],X$3)/100,"")</f>
        <v/>
      </c>
      <c r="Y43" s="36" t="str">
        <f ca="1">IFERROR(AVERAGEIFS(INDIRECT("Tabela1["&amp;$B43&amp;"]"),Tabela1[Turno],$D43,Tabela1[Data Corrigida],Y$3)/100,"")</f>
        <v/>
      </c>
      <c r="Z43" s="36" t="str">
        <f ca="1">IFERROR(AVERAGEIFS(INDIRECT("Tabela1["&amp;$B43&amp;"]"),Tabela1[Turno],$D43,Tabela1[Data Corrigida],Z$3)/100,"")</f>
        <v/>
      </c>
      <c r="AA43" s="36" t="str">
        <f ca="1">IFERROR(AVERAGEIFS(INDIRECT("Tabela1["&amp;$B43&amp;"]"),Tabela1[Turno],$D43,Tabela1[Data Corrigida],AA$3)/100,"")</f>
        <v/>
      </c>
      <c r="AB43" s="36" t="str">
        <f ca="1">IFERROR(AVERAGEIFS(INDIRECT("Tabela1["&amp;$B43&amp;"]"),Tabela1[Turno],$D43,Tabela1[Data Corrigida],AB$3)/100,"")</f>
        <v/>
      </c>
      <c r="AC43" s="36" t="str">
        <f ca="1">IFERROR(AVERAGEIFS(INDIRECT("Tabela1["&amp;$B43&amp;"]"),Tabela1[Turno],$D43,Tabela1[Data Corrigida],AC$3)/100,"")</f>
        <v/>
      </c>
      <c r="AD43" s="36" t="str">
        <f ca="1">IFERROR(AVERAGEIFS(INDIRECT("Tabela1["&amp;$B43&amp;"]"),Tabela1[Turno],$D43,Tabela1[Data Corrigida],AD$3)/100,"")</f>
        <v/>
      </c>
      <c r="AE43" s="36" t="str">
        <f ca="1">IFERROR(AVERAGEIFS(INDIRECT("Tabela1["&amp;$B43&amp;"]"),Tabela1[Turno],$D43,Tabela1[Data Corrigida],AE$3)/100,"")</f>
        <v/>
      </c>
      <c r="AF43" s="36" t="str">
        <f ca="1">IFERROR(AVERAGEIFS(INDIRECT("Tabela1["&amp;$B43&amp;"]"),Tabela1[Turno],$D43,Tabela1[Data Corrigida],AF$3)/100,"")</f>
        <v/>
      </c>
      <c r="AG43" s="36" t="str">
        <f ca="1">IFERROR(AVERAGEIFS(INDIRECT("Tabela1["&amp;$B43&amp;"]"),Tabela1[Turno],$D43,Tabela1[Data Corrigida],AG$3)/100,"")</f>
        <v/>
      </c>
      <c r="AH43" s="36" t="str">
        <f ca="1">IFERROR(AVERAGEIFS(INDIRECT("Tabela1["&amp;$B43&amp;"]"),Tabela1[Turno],$D43,Tabela1[Data Corrigida],AH$3)/100,"")</f>
        <v/>
      </c>
      <c r="AI43" s="36" t="str">
        <f ca="1">IFERROR(AVERAGEIFS(INDIRECT("Tabela1["&amp;$B43&amp;"]"),Tabela1[Turno],$D43,Tabela1[Data Corrigida],AI$3)/100,"")</f>
        <v/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3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5.7603764013881904E-2</v>
      </c>
      <c r="N44" s="45">
        <f ca="1">IFERROR(AVERAGEIFS(INDIRECT("Tabela1["&amp;$B44&amp;"]"),Tabela1[Mês],N$3)/100,"")</f>
        <v>3.7079897328344526E-2</v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0"/>
      <c r="R44" s="37">
        <f ca="1">IFERROR(AVERAGEIFS(INDIRECT("Tabela1["&amp;$B44&amp;"]"),Tabela1[Data Corrigida],R$3)/100,"")</f>
        <v>3.7079897328344526E-2</v>
      </c>
      <c r="S44" s="38" t="str">
        <f ca="1">IFERROR(AVERAGEIFS(INDIRECT("Tabela1["&amp;$B44&amp;"]"),Tabela1[Data Corrigida],S$3)/100,"")</f>
        <v/>
      </c>
      <c r="T44" s="38" t="str">
        <f ca="1">IFERROR(AVERAGEIFS(INDIRECT("Tabela1["&amp;$B44&amp;"]"),Tabela1[Data Corrigida],T$3)/100,"")</f>
        <v/>
      </c>
      <c r="U44" s="38" t="str">
        <f ca="1">IFERROR(AVERAGEIFS(INDIRECT("Tabela1["&amp;$B44&amp;"]"),Tabela1[Data Corrigida],U$3)/100,"")</f>
        <v/>
      </c>
      <c r="V44" s="38" t="str">
        <f ca="1">IFERROR(AVERAGEIFS(INDIRECT("Tabela1["&amp;$B44&amp;"]"),Tabela1[Data Corrigida],V$3)/100,"")</f>
        <v/>
      </c>
      <c r="W44" s="38" t="str">
        <f ca="1">IFERROR(AVERAGEIFS(INDIRECT("Tabela1["&amp;$B44&amp;"]"),Tabela1[Data Corrigida],W$3)/100,"")</f>
        <v/>
      </c>
      <c r="X44" s="38" t="str">
        <f ca="1">IFERROR(AVERAGEIFS(INDIRECT("Tabela1["&amp;$B44&amp;"]"),Tabela1[Data Corrigida],X$3)/100,"")</f>
        <v/>
      </c>
      <c r="Y44" s="38" t="str">
        <f ca="1">IFERROR(AVERAGEIFS(INDIRECT("Tabela1["&amp;$B44&amp;"]"),Tabela1[Data Corrigida],Y$3)/100,"")</f>
        <v/>
      </c>
      <c r="Z44" s="38" t="str">
        <f ca="1">IFERROR(AVERAGEIFS(INDIRECT("Tabela1["&amp;$B44&amp;"]"),Tabela1[Data Corrigida],Z$3)/100,"")</f>
        <v/>
      </c>
      <c r="AA44" s="38" t="str">
        <f ca="1">IFERROR(AVERAGEIFS(INDIRECT("Tabela1["&amp;$B44&amp;"]"),Tabela1[Data Corrigida],AA$3)/100,"")</f>
        <v/>
      </c>
      <c r="AB44" s="38" t="str">
        <f ca="1">IFERROR(AVERAGEIFS(INDIRECT("Tabela1["&amp;$B44&amp;"]"),Tabela1[Data Corrigida],AB$3)/100,"")</f>
        <v/>
      </c>
      <c r="AC44" s="38" t="str">
        <f ca="1">IFERROR(AVERAGEIFS(INDIRECT("Tabela1["&amp;$B44&amp;"]"),Tabela1[Data Corrigida],AC$3)/100,"")</f>
        <v/>
      </c>
      <c r="AD44" s="38" t="str">
        <f ca="1">IFERROR(AVERAGEIFS(INDIRECT("Tabela1["&amp;$B44&amp;"]"),Tabela1[Data Corrigida],AD$3)/100,"")</f>
        <v/>
      </c>
      <c r="AE44" s="38" t="str">
        <f ca="1">IFERROR(AVERAGEIFS(INDIRECT("Tabela1["&amp;$B44&amp;"]"),Tabela1[Data Corrigida],AE$3)/100,"")</f>
        <v/>
      </c>
      <c r="AF44" s="38" t="str">
        <f ca="1">IFERROR(AVERAGEIFS(INDIRECT("Tabela1["&amp;$B44&amp;"]"),Tabela1[Data Corrigida],AF$3)/100,"")</f>
        <v/>
      </c>
      <c r="AG44" s="38" t="str">
        <f ca="1">IFERROR(AVERAGEIFS(INDIRECT("Tabela1["&amp;$B44&amp;"]"),Tabela1[Data Corrigida],AG$3)/100,"")</f>
        <v/>
      </c>
      <c r="AH44" s="38" t="str">
        <f ca="1">IFERROR(AVERAGEIFS(INDIRECT("Tabela1["&amp;$B44&amp;"]"),Tabela1[Data Corrigida],AH$3)/100,"")</f>
        <v/>
      </c>
      <c r="AI44" s="38" t="str">
        <f ca="1">IFERROR(AVERAGEIFS(INDIRECT("Tabela1["&amp;$B44&amp;"]"),Tabela1[Data Corrigida],AI$3)/100,"")</f>
        <v/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61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4.8122921418127219E-2</v>
      </c>
      <c r="N45" s="34">
        <f ca="1">IFERROR(AVERAGEIFS(INDIRECT("Tabela1["&amp;$B45&amp;"]"),Tabela1[Turno],$D45,Tabela1[Mês],N$3)/100,"")</f>
        <v>4.3478260869565216E-2</v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58">
        <v>0.05</v>
      </c>
      <c r="R45" s="39">
        <f ca="1">IFERROR(AVERAGEIFS(INDIRECT("Tabela1["&amp;$B45&amp;"]"),Tabela1[Turno],$D45,Tabela1[Data Corrigida],R$3)/100,"")</f>
        <v>4.3478260869565216E-2</v>
      </c>
      <c r="S45" s="40" t="str">
        <f ca="1">IFERROR(AVERAGEIFS(INDIRECT("Tabela1["&amp;$B45&amp;"]"),Tabela1[Turno],$D45,Tabela1[Data Corrigida],S$3)/100,"")</f>
        <v/>
      </c>
      <c r="T45" s="40" t="str">
        <f ca="1">IFERROR(AVERAGEIFS(INDIRECT("Tabela1["&amp;$B45&amp;"]"),Tabela1[Turno],$D45,Tabela1[Data Corrigida],T$3)/100,"")</f>
        <v/>
      </c>
      <c r="U45" s="40" t="str">
        <f ca="1">IFERROR(AVERAGEIFS(INDIRECT("Tabela1["&amp;$B45&amp;"]"),Tabela1[Turno],$D45,Tabela1[Data Corrigida],U$3)/100,"")</f>
        <v/>
      </c>
      <c r="V45" s="40" t="str">
        <f ca="1">IFERROR(AVERAGEIFS(INDIRECT("Tabela1["&amp;$B45&amp;"]"),Tabela1[Turno],$D45,Tabela1[Data Corrigida],V$3)/100,"")</f>
        <v/>
      </c>
      <c r="W45" s="40" t="str">
        <f ca="1">IFERROR(AVERAGEIFS(INDIRECT("Tabela1["&amp;$B45&amp;"]"),Tabela1[Turno],$D45,Tabela1[Data Corrigida],W$3)/100,"")</f>
        <v/>
      </c>
      <c r="X45" s="40" t="str">
        <f ca="1">IFERROR(AVERAGEIFS(INDIRECT("Tabela1["&amp;$B45&amp;"]"),Tabela1[Turno],$D45,Tabela1[Data Corrigida],X$3)/100,"")</f>
        <v/>
      </c>
      <c r="Y45" s="40" t="str">
        <f ca="1">IFERROR(AVERAGEIFS(INDIRECT("Tabela1["&amp;$B45&amp;"]"),Tabela1[Turno],$D45,Tabela1[Data Corrigida],Y$3)/100,"")</f>
        <v/>
      </c>
      <c r="Z45" s="40" t="str">
        <f ca="1">IFERROR(AVERAGEIFS(INDIRECT("Tabela1["&amp;$B45&amp;"]"),Tabela1[Turno],$D45,Tabela1[Data Corrigida],Z$3)/100,"")</f>
        <v/>
      </c>
      <c r="AA45" s="40" t="str">
        <f ca="1">IFERROR(AVERAGEIFS(INDIRECT("Tabela1["&amp;$B45&amp;"]"),Tabela1[Turno],$D45,Tabela1[Data Corrigida],AA$3)/100,"")</f>
        <v/>
      </c>
      <c r="AB45" s="40" t="str">
        <f ca="1">IFERROR(AVERAGEIFS(INDIRECT("Tabela1["&amp;$B45&amp;"]"),Tabela1[Turno],$D45,Tabela1[Data Corrigida],AB$3)/100,"")</f>
        <v/>
      </c>
      <c r="AC45" s="40" t="str">
        <f ca="1">IFERROR(AVERAGEIFS(INDIRECT("Tabela1["&amp;$B45&amp;"]"),Tabela1[Turno],$D45,Tabela1[Data Corrigida],AC$3)/100,"")</f>
        <v/>
      </c>
      <c r="AD45" s="40" t="str">
        <f ca="1">IFERROR(AVERAGEIFS(INDIRECT("Tabela1["&amp;$B45&amp;"]"),Tabela1[Turno],$D45,Tabela1[Data Corrigida],AD$3)/100,"")</f>
        <v/>
      </c>
      <c r="AE45" s="40" t="str">
        <f ca="1">IFERROR(AVERAGEIFS(INDIRECT("Tabela1["&amp;$B45&amp;"]"),Tabela1[Turno],$D45,Tabela1[Data Corrigida],AE$3)/100,"")</f>
        <v/>
      </c>
      <c r="AF45" s="40" t="str">
        <f ca="1">IFERROR(AVERAGEIFS(INDIRECT("Tabela1["&amp;$B45&amp;"]"),Tabela1[Turno],$D45,Tabela1[Data Corrigida],AF$3)/100,"")</f>
        <v/>
      </c>
      <c r="AG45" s="40" t="str">
        <f ca="1">IFERROR(AVERAGEIFS(INDIRECT("Tabela1["&amp;$B45&amp;"]"),Tabela1[Turno],$D45,Tabela1[Data Corrigida],AG$3)/100,"")</f>
        <v/>
      </c>
      <c r="AH45" s="40" t="str">
        <f ca="1">IFERROR(AVERAGEIFS(INDIRECT("Tabela1["&amp;$B45&amp;"]"),Tabela1[Turno],$D45,Tabela1[Data Corrigida],AH$3)/100,"")</f>
        <v/>
      </c>
      <c r="AI45" s="40" t="str">
        <f ca="1">IFERROR(AVERAGEIFS(INDIRECT("Tabela1["&amp;$B45&amp;"]"),Tabela1[Turno],$D45,Tabela1[Data Corrigida],AI$3)/100,"")</f>
        <v/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62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4.0861822319631556E-2</v>
      </c>
      <c r="N46" s="36">
        <f ca="1">IFERROR(AVERAGEIFS(INDIRECT("Tabela1["&amp;$B46&amp;"]"),Tabela1[Turno],$D46,Tabela1[Mês],N$3)/100,"")</f>
        <v>4.5336145336145328E-2</v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59"/>
      <c r="R46" s="35">
        <f ca="1">IFERROR(AVERAGEIFS(INDIRECT("Tabela1["&amp;$B46&amp;"]"),Tabela1[Turno],$D46,Tabela1[Data Corrigida],R$3)/100,"")</f>
        <v>4.5336145336145328E-2</v>
      </c>
      <c r="S46" s="36" t="str">
        <f ca="1">IFERROR(AVERAGEIFS(INDIRECT("Tabela1["&amp;$B46&amp;"]"),Tabela1[Turno],$D46,Tabela1[Data Corrigida],S$3)/100,"")</f>
        <v/>
      </c>
      <c r="T46" s="36" t="str">
        <f ca="1">IFERROR(AVERAGEIFS(INDIRECT("Tabela1["&amp;$B46&amp;"]"),Tabela1[Turno],$D46,Tabela1[Data Corrigida],T$3)/100,"")</f>
        <v/>
      </c>
      <c r="U46" s="36" t="str">
        <f ca="1">IFERROR(AVERAGEIFS(INDIRECT("Tabela1["&amp;$B46&amp;"]"),Tabela1[Turno],$D46,Tabela1[Data Corrigida],U$3)/100,"")</f>
        <v/>
      </c>
      <c r="V46" s="36" t="str">
        <f ca="1">IFERROR(AVERAGEIFS(INDIRECT("Tabela1["&amp;$B46&amp;"]"),Tabela1[Turno],$D46,Tabela1[Data Corrigida],V$3)/100,"")</f>
        <v/>
      </c>
      <c r="W46" s="36" t="str">
        <f ca="1">IFERROR(AVERAGEIFS(INDIRECT("Tabela1["&amp;$B46&amp;"]"),Tabela1[Turno],$D46,Tabela1[Data Corrigida],W$3)/100,"")</f>
        <v/>
      </c>
      <c r="X46" s="36" t="str">
        <f ca="1">IFERROR(AVERAGEIFS(INDIRECT("Tabela1["&amp;$B46&amp;"]"),Tabela1[Turno],$D46,Tabela1[Data Corrigida],X$3)/100,"")</f>
        <v/>
      </c>
      <c r="Y46" s="36" t="str">
        <f ca="1">IFERROR(AVERAGEIFS(INDIRECT("Tabela1["&amp;$B46&amp;"]"),Tabela1[Turno],$D46,Tabela1[Data Corrigida],Y$3)/100,"")</f>
        <v/>
      </c>
      <c r="Z46" s="36" t="str">
        <f ca="1">IFERROR(AVERAGEIFS(INDIRECT("Tabela1["&amp;$B46&amp;"]"),Tabela1[Turno],$D46,Tabela1[Data Corrigida],Z$3)/100,"")</f>
        <v/>
      </c>
      <c r="AA46" s="36" t="str">
        <f ca="1">IFERROR(AVERAGEIFS(INDIRECT("Tabela1["&amp;$B46&amp;"]"),Tabela1[Turno],$D46,Tabela1[Data Corrigida],AA$3)/100,"")</f>
        <v/>
      </c>
      <c r="AB46" s="36" t="str">
        <f ca="1">IFERROR(AVERAGEIFS(INDIRECT("Tabela1["&amp;$B46&amp;"]"),Tabela1[Turno],$D46,Tabela1[Data Corrigida],AB$3)/100,"")</f>
        <v/>
      </c>
      <c r="AC46" s="36" t="str">
        <f ca="1">IFERROR(AVERAGEIFS(INDIRECT("Tabela1["&amp;$B46&amp;"]"),Tabela1[Turno],$D46,Tabela1[Data Corrigida],AC$3)/100,"")</f>
        <v/>
      </c>
      <c r="AD46" s="36" t="str">
        <f ca="1">IFERROR(AVERAGEIFS(INDIRECT("Tabela1["&amp;$B46&amp;"]"),Tabela1[Turno],$D46,Tabela1[Data Corrigida],AD$3)/100,"")</f>
        <v/>
      </c>
      <c r="AE46" s="36" t="str">
        <f ca="1">IFERROR(AVERAGEIFS(INDIRECT("Tabela1["&amp;$B46&amp;"]"),Tabela1[Turno],$D46,Tabela1[Data Corrigida],AE$3)/100,"")</f>
        <v/>
      </c>
      <c r="AF46" s="36" t="str">
        <f ca="1">IFERROR(AVERAGEIFS(INDIRECT("Tabela1["&amp;$B46&amp;"]"),Tabela1[Turno],$D46,Tabela1[Data Corrigida],AF$3)/100,"")</f>
        <v/>
      </c>
      <c r="AG46" s="36" t="str">
        <f ca="1">IFERROR(AVERAGEIFS(INDIRECT("Tabela1["&amp;$B46&amp;"]"),Tabela1[Turno],$D46,Tabela1[Data Corrigida],AG$3)/100,"")</f>
        <v/>
      </c>
      <c r="AH46" s="36" t="str">
        <f ca="1">IFERROR(AVERAGEIFS(INDIRECT("Tabela1["&amp;$B46&amp;"]"),Tabela1[Turno],$D46,Tabela1[Data Corrigida],AH$3)/100,"")</f>
        <v/>
      </c>
      <c r="AI46" s="36" t="str">
        <f ca="1">IFERROR(AVERAGEIFS(INDIRECT("Tabela1["&amp;$B46&amp;"]"),Tabela1[Turno],$D46,Tabela1[Data Corrigida],AI$3)/100,"")</f>
        <v/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3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4.4989707423570877E-2</v>
      </c>
      <c r="N47" s="45">
        <f ca="1">IFERROR(AVERAGEIFS(INDIRECT("Tabela1["&amp;$B47&amp;"]"),Tabela1[Mês],N$3)/100,"")</f>
        <v>4.4274497069528122E-2</v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0"/>
      <c r="R47" s="42">
        <f ca="1">IFERROR(AVERAGEIFS(INDIRECT("Tabela1["&amp;$B47&amp;"]"),Tabela1[Data Corrigida],R$3)/100,"")</f>
        <v>4.4274497069528122E-2</v>
      </c>
      <c r="S47" s="43" t="str">
        <f ca="1">IFERROR(AVERAGEIFS(INDIRECT("Tabela1["&amp;$B47&amp;"]"),Tabela1[Data Corrigida],S$3)/100,"")</f>
        <v/>
      </c>
      <c r="T47" s="43" t="str">
        <f ca="1">IFERROR(AVERAGEIFS(INDIRECT("Tabela1["&amp;$B47&amp;"]"),Tabela1[Data Corrigida],T$3)/100,"")</f>
        <v/>
      </c>
      <c r="U47" s="43" t="str">
        <f ca="1">IFERROR(AVERAGEIFS(INDIRECT("Tabela1["&amp;$B47&amp;"]"),Tabela1[Data Corrigida],U$3)/100,"")</f>
        <v/>
      </c>
      <c r="V47" s="43" t="str">
        <f ca="1">IFERROR(AVERAGEIFS(INDIRECT("Tabela1["&amp;$B47&amp;"]"),Tabela1[Data Corrigida],V$3)/100,"")</f>
        <v/>
      </c>
      <c r="W47" s="43" t="str">
        <f ca="1">IFERROR(AVERAGEIFS(INDIRECT("Tabela1["&amp;$B47&amp;"]"),Tabela1[Data Corrigida],W$3)/100,"")</f>
        <v/>
      </c>
      <c r="X47" s="43" t="str">
        <f ca="1">IFERROR(AVERAGEIFS(INDIRECT("Tabela1["&amp;$B47&amp;"]"),Tabela1[Data Corrigida],X$3)/100,"")</f>
        <v/>
      </c>
      <c r="Y47" s="43" t="str">
        <f ca="1">IFERROR(AVERAGEIFS(INDIRECT("Tabela1["&amp;$B47&amp;"]"),Tabela1[Data Corrigida],Y$3)/100,"")</f>
        <v/>
      </c>
      <c r="Z47" s="43" t="str">
        <f ca="1">IFERROR(AVERAGEIFS(INDIRECT("Tabela1["&amp;$B47&amp;"]"),Tabela1[Data Corrigida],Z$3)/100,"")</f>
        <v/>
      </c>
      <c r="AA47" s="43" t="str">
        <f ca="1">IFERROR(AVERAGEIFS(INDIRECT("Tabela1["&amp;$B47&amp;"]"),Tabela1[Data Corrigida],AA$3)/100,"")</f>
        <v/>
      </c>
      <c r="AB47" s="43" t="str">
        <f ca="1">IFERROR(AVERAGEIFS(INDIRECT("Tabela1["&amp;$B47&amp;"]"),Tabela1[Data Corrigida],AB$3)/100,"")</f>
        <v/>
      </c>
      <c r="AC47" s="43" t="str">
        <f ca="1">IFERROR(AVERAGEIFS(INDIRECT("Tabela1["&amp;$B47&amp;"]"),Tabela1[Data Corrigida],AC$3)/100,"")</f>
        <v/>
      </c>
      <c r="AD47" s="43" t="str">
        <f ca="1">IFERROR(AVERAGEIFS(INDIRECT("Tabela1["&amp;$B47&amp;"]"),Tabela1[Data Corrigida],AD$3)/100,"")</f>
        <v/>
      </c>
      <c r="AE47" s="43" t="str">
        <f ca="1">IFERROR(AVERAGEIFS(INDIRECT("Tabela1["&amp;$B47&amp;"]"),Tabela1[Data Corrigida],AE$3)/100,"")</f>
        <v/>
      </c>
      <c r="AF47" s="43" t="str">
        <f ca="1">IFERROR(AVERAGEIFS(INDIRECT("Tabela1["&amp;$B47&amp;"]"),Tabela1[Data Corrigida],AF$3)/100,"")</f>
        <v/>
      </c>
      <c r="AG47" s="43" t="str">
        <f ca="1">IFERROR(AVERAGEIFS(INDIRECT("Tabela1["&amp;$B47&amp;"]"),Tabela1[Data Corrigida],AG$3)/100,"")</f>
        <v/>
      </c>
      <c r="AH47" s="43" t="str">
        <f ca="1">IFERROR(AVERAGEIFS(INDIRECT("Tabela1["&amp;$B47&amp;"]"),Tabela1[Data Corrigida],AH$3)/100,"")</f>
        <v/>
      </c>
      <c r="AI47" s="43" t="str">
        <f ca="1">IFERROR(AVERAGEIFS(INDIRECT("Tabela1["&amp;$B47&amp;"]"),Tabela1[Data Corrigida],AI$3)/100,"")</f>
        <v/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61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1.0567469865847829E-2</v>
      </c>
      <c r="N48" s="34">
        <f ca="1">IFERROR(AVERAGEIFS(INDIRECT("Tabela1["&amp;$B48&amp;"]"),Tabela1[Turno],$D48,Tabela1[Mês],N$3)/100,"")</f>
        <v>6.2111801242236021E-3</v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58">
        <v>0.01</v>
      </c>
      <c r="R48" s="33">
        <f ca="1">IFERROR(AVERAGEIFS(INDIRECT("Tabela1["&amp;$B48&amp;"]"),Tabela1[Turno],$D48,Tabela1[Data Corrigida],R$3)/100,"")</f>
        <v>6.2111801242236021E-3</v>
      </c>
      <c r="S48" s="34" t="str">
        <f ca="1">IFERROR(AVERAGEIFS(INDIRECT("Tabela1["&amp;$B48&amp;"]"),Tabela1[Turno],$D48,Tabela1[Data Corrigida],S$3)/100,"")</f>
        <v/>
      </c>
      <c r="T48" s="34" t="str">
        <f ca="1">IFERROR(AVERAGEIFS(INDIRECT("Tabela1["&amp;$B48&amp;"]"),Tabela1[Turno],$D48,Tabela1[Data Corrigida],T$3)/100,"")</f>
        <v/>
      </c>
      <c r="U48" s="34" t="str">
        <f ca="1">IFERROR(AVERAGEIFS(INDIRECT("Tabela1["&amp;$B48&amp;"]"),Tabela1[Turno],$D48,Tabela1[Data Corrigida],U$3)/100,"")</f>
        <v/>
      </c>
      <c r="V48" s="34" t="str">
        <f ca="1">IFERROR(AVERAGEIFS(INDIRECT("Tabela1["&amp;$B48&amp;"]"),Tabela1[Turno],$D48,Tabela1[Data Corrigida],V$3)/100,"")</f>
        <v/>
      </c>
      <c r="W48" s="34" t="str">
        <f ca="1">IFERROR(AVERAGEIFS(INDIRECT("Tabela1["&amp;$B48&amp;"]"),Tabela1[Turno],$D48,Tabela1[Data Corrigida],W$3)/100,"")</f>
        <v/>
      </c>
      <c r="X48" s="34" t="str">
        <f ca="1">IFERROR(AVERAGEIFS(INDIRECT("Tabela1["&amp;$B48&amp;"]"),Tabela1[Turno],$D48,Tabela1[Data Corrigida],X$3)/100,"")</f>
        <v/>
      </c>
      <c r="Y48" s="34" t="str">
        <f ca="1">IFERROR(AVERAGEIFS(INDIRECT("Tabela1["&amp;$B48&amp;"]"),Tabela1[Turno],$D48,Tabela1[Data Corrigida],Y$3)/100,"")</f>
        <v/>
      </c>
      <c r="Z48" s="34" t="str">
        <f ca="1">IFERROR(AVERAGEIFS(INDIRECT("Tabela1["&amp;$B48&amp;"]"),Tabela1[Turno],$D48,Tabela1[Data Corrigida],Z$3)/100,"")</f>
        <v/>
      </c>
      <c r="AA48" s="34" t="str">
        <f ca="1">IFERROR(AVERAGEIFS(INDIRECT("Tabela1["&amp;$B48&amp;"]"),Tabela1[Turno],$D48,Tabela1[Data Corrigida],AA$3)/100,"")</f>
        <v/>
      </c>
      <c r="AB48" s="34" t="str">
        <f ca="1">IFERROR(AVERAGEIFS(INDIRECT("Tabela1["&amp;$B48&amp;"]"),Tabela1[Turno],$D48,Tabela1[Data Corrigida],AB$3)/100,"")</f>
        <v/>
      </c>
      <c r="AC48" s="34" t="str">
        <f ca="1">IFERROR(AVERAGEIFS(INDIRECT("Tabela1["&amp;$B48&amp;"]"),Tabela1[Turno],$D48,Tabela1[Data Corrigida],AC$3)/100,"")</f>
        <v/>
      </c>
      <c r="AD48" s="34" t="str">
        <f ca="1">IFERROR(AVERAGEIFS(INDIRECT("Tabela1["&amp;$B48&amp;"]"),Tabela1[Turno],$D48,Tabela1[Data Corrigida],AD$3)/100,"")</f>
        <v/>
      </c>
      <c r="AE48" s="34" t="str">
        <f ca="1">IFERROR(AVERAGEIFS(INDIRECT("Tabela1["&amp;$B48&amp;"]"),Tabela1[Turno],$D48,Tabela1[Data Corrigida],AE$3)/100,"")</f>
        <v/>
      </c>
      <c r="AF48" s="34" t="str">
        <f ca="1">IFERROR(AVERAGEIFS(INDIRECT("Tabela1["&amp;$B48&amp;"]"),Tabela1[Turno],$D48,Tabela1[Data Corrigida],AF$3)/100,"")</f>
        <v/>
      </c>
      <c r="AG48" s="34" t="str">
        <f ca="1">IFERROR(AVERAGEIFS(INDIRECT("Tabela1["&amp;$B48&amp;"]"),Tabela1[Turno],$D48,Tabela1[Data Corrigida],AG$3)/100,"")</f>
        <v/>
      </c>
      <c r="AH48" s="34" t="str">
        <f ca="1">IFERROR(AVERAGEIFS(INDIRECT("Tabela1["&amp;$B48&amp;"]"),Tabela1[Turno],$D48,Tabela1[Data Corrigida],AH$3)/100,"")</f>
        <v/>
      </c>
      <c r="AI48" s="34" t="str">
        <f ca="1">IFERROR(AVERAGEIFS(INDIRECT("Tabela1["&amp;$B48&amp;"]"),Tabela1[Turno],$D48,Tabela1[Data Corrigida],AI$3)/100,"")</f>
        <v/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62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1.0897844273586323E-3</v>
      </c>
      <c r="N49" s="36">
        <f ca="1">IFERROR(AVERAGEIFS(INDIRECT("Tabela1["&amp;$B49&amp;"]"),Tabela1[Turno],$D49,Tabela1[Mês],N$3)/100,"")</f>
        <v>0</v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59"/>
      <c r="R49" s="35">
        <f ca="1">IFERROR(AVERAGEIFS(INDIRECT("Tabela1["&amp;$B49&amp;"]"),Tabela1[Turno],$D49,Tabela1[Data Corrigida],R$3)/100,"")</f>
        <v>0</v>
      </c>
      <c r="S49" s="36" t="str">
        <f ca="1">IFERROR(AVERAGEIFS(INDIRECT("Tabela1["&amp;$B49&amp;"]"),Tabela1[Turno],$D49,Tabela1[Data Corrigida],S$3)/100,"")</f>
        <v/>
      </c>
      <c r="T49" s="36" t="str">
        <f ca="1">IFERROR(AVERAGEIFS(INDIRECT("Tabela1["&amp;$B49&amp;"]"),Tabela1[Turno],$D49,Tabela1[Data Corrigida],T$3)/100,"")</f>
        <v/>
      </c>
      <c r="U49" s="36" t="str">
        <f ca="1">IFERROR(AVERAGEIFS(INDIRECT("Tabela1["&amp;$B49&amp;"]"),Tabela1[Turno],$D49,Tabela1[Data Corrigida],U$3)/100,"")</f>
        <v/>
      </c>
      <c r="V49" s="36" t="str">
        <f ca="1">IFERROR(AVERAGEIFS(INDIRECT("Tabela1["&amp;$B49&amp;"]"),Tabela1[Turno],$D49,Tabela1[Data Corrigida],V$3)/100,"")</f>
        <v/>
      </c>
      <c r="W49" s="36" t="str">
        <f ca="1">IFERROR(AVERAGEIFS(INDIRECT("Tabela1["&amp;$B49&amp;"]"),Tabela1[Turno],$D49,Tabela1[Data Corrigida],W$3)/100,"")</f>
        <v/>
      </c>
      <c r="X49" s="36" t="str">
        <f ca="1">IFERROR(AVERAGEIFS(INDIRECT("Tabela1["&amp;$B49&amp;"]"),Tabela1[Turno],$D49,Tabela1[Data Corrigida],X$3)/100,"")</f>
        <v/>
      </c>
      <c r="Y49" s="36" t="str">
        <f ca="1">IFERROR(AVERAGEIFS(INDIRECT("Tabela1["&amp;$B49&amp;"]"),Tabela1[Turno],$D49,Tabela1[Data Corrigida],Y$3)/100,"")</f>
        <v/>
      </c>
      <c r="Z49" s="36" t="str">
        <f ca="1">IFERROR(AVERAGEIFS(INDIRECT("Tabela1["&amp;$B49&amp;"]"),Tabela1[Turno],$D49,Tabela1[Data Corrigida],Z$3)/100,"")</f>
        <v/>
      </c>
      <c r="AA49" s="36" t="str">
        <f ca="1">IFERROR(AVERAGEIFS(INDIRECT("Tabela1["&amp;$B49&amp;"]"),Tabela1[Turno],$D49,Tabela1[Data Corrigida],AA$3)/100,"")</f>
        <v/>
      </c>
      <c r="AB49" s="36" t="str">
        <f ca="1">IFERROR(AVERAGEIFS(INDIRECT("Tabela1["&amp;$B49&amp;"]"),Tabela1[Turno],$D49,Tabela1[Data Corrigida],AB$3)/100,"")</f>
        <v/>
      </c>
      <c r="AC49" s="36" t="str">
        <f ca="1">IFERROR(AVERAGEIFS(INDIRECT("Tabela1["&amp;$B49&amp;"]"),Tabela1[Turno],$D49,Tabela1[Data Corrigida],AC$3)/100,"")</f>
        <v/>
      </c>
      <c r="AD49" s="36" t="str">
        <f ca="1">IFERROR(AVERAGEIFS(INDIRECT("Tabela1["&amp;$B49&amp;"]"),Tabela1[Turno],$D49,Tabela1[Data Corrigida],AD$3)/100,"")</f>
        <v/>
      </c>
      <c r="AE49" s="36" t="str">
        <f ca="1">IFERROR(AVERAGEIFS(INDIRECT("Tabela1["&amp;$B49&amp;"]"),Tabela1[Turno],$D49,Tabela1[Data Corrigida],AE$3)/100,"")</f>
        <v/>
      </c>
      <c r="AF49" s="36" t="str">
        <f ca="1">IFERROR(AVERAGEIFS(INDIRECT("Tabela1["&amp;$B49&amp;"]"),Tabela1[Turno],$D49,Tabela1[Data Corrigida],AF$3)/100,"")</f>
        <v/>
      </c>
      <c r="AG49" s="36" t="str">
        <f ca="1">IFERROR(AVERAGEIFS(INDIRECT("Tabela1["&amp;$B49&amp;"]"),Tabela1[Turno],$D49,Tabela1[Data Corrigida],AG$3)/100,"")</f>
        <v/>
      </c>
      <c r="AH49" s="36" t="str">
        <f ca="1">IFERROR(AVERAGEIFS(INDIRECT("Tabela1["&amp;$B49&amp;"]"),Tabela1[Turno],$D49,Tabela1[Data Corrigida],AH$3)/100,"")</f>
        <v/>
      </c>
      <c r="AI49" s="36" t="str">
        <f ca="1">IFERROR(AVERAGEIFS(INDIRECT("Tabela1["&amp;$B49&amp;"]"),Tabela1[Turno],$D49,Tabela1[Data Corrigida],AI$3)/100,"")</f>
        <v/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3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6.4777836834860525E-3</v>
      </c>
      <c r="N50" s="45">
        <f ca="1">IFERROR(AVERAGEIFS(INDIRECT("Tabela1["&amp;$B50&amp;"]"),Tabela1[Mês],N$3)/100,"")</f>
        <v>3.5492457852706301E-3</v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0"/>
      <c r="R50" s="37">
        <f ca="1">IFERROR(AVERAGEIFS(INDIRECT("Tabela1["&amp;$B50&amp;"]"),Tabela1[Data Corrigida],R$3)/100,"")</f>
        <v>3.5492457852706301E-3</v>
      </c>
      <c r="S50" s="38" t="str">
        <f ca="1">IFERROR(AVERAGEIFS(INDIRECT("Tabela1["&amp;$B50&amp;"]"),Tabela1[Data Corrigida],S$3)/100,"")</f>
        <v/>
      </c>
      <c r="T50" s="38" t="str">
        <f ca="1">IFERROR(AVERAGEIFS(INDIRECT("Tabela1["&amp;$B50&amp;"]"),Tabela1[Data Corrigida],T$3)/100,"")</f>
        <v/>
      </c>
      <c r="U50" s="38" t="str">
        <f ca="1">IFERROR(AVERAGEIFS(INDIRECT("Tabela1["&amp;$B50&amp;"]"),Tabela1[Data Corrigida],U$3)/100,"")</f>
        <v/>
      </c>
      <c r="V50" s="38" t="str">
        <f ca="1">IFERROR(AVERAGEIFS(INDIRECT("Tabela1["&amp;$B50&amp;"]"),Tabela1[Data Corrigida],V$3)/100,"")</f>
        <v/>
      </c>
      <c r="W50" s="38" t="str">
        <f ca="1">IFERROR(AVERAGEIFS(INDIRECT("Tabela1["&amp;$B50&amp;"]"),Tabela1[Data Corrigida],W$3)/100,"")</f>
        <v/>
      </c>
      <c r="X50" s="38" t="str">
        <f ca="1">IFERROR(AVERAGEIFS(INDIRECT("Tabela1["&amp;$B50&amp;"]"),Tabela1[Data Corrigida],X$3)/100,"")</f>
        <v/>
      </c>
      <c r="Y50" s="38" t="str">
        <f ca="1">IFERROR(AVERAGEIFS(INDIRECT("Tabela1["&amp;$B50&amp;"]"),Tabela1[Data Corrigida],Y$3)/100,"")</f>
        <v/>
      </c>
      <c r="Z50" s="38" t="str">
        <f ca="1">IFERROR(AVERAGEIFS(INDIRECT("Tabela1["&amp;$B50&amp;"]"),Tabela1[Data Corrigida],Z$3)/100,"")</f>
        <v/>
      </c>
      <c r="AA50" s="38" t="str">
        <f ca="1">IFERROR(AVERAGEIFS(INDIRECT("Tabela1["&amp;$B50&amp;"]"),Tabela1[Data Corrigida],AA$3)/100,"")</f>
        <v/>
      </c>
      <c r="AB50" s="38" t="str">
        <f ca="1">IFERROR(AVERAGEIFS(INDIRECT("Tabela1["&amp;$B50&amp;"]"),Tabela1[Data Corrigida],AB$3)/100,"")</f>
        <v/>
      </c>
      <c r="AC50" s="38" t="str">
        <f ca="1">IFERROR(AVERAGEIFS(INDIRECT("Tabela1["&amp;$B50&amp;"]"),Tabela1[Data Corrigida],AC$3)/100,"")</f>
        <v/>
      </c>
      <c r="AD50" s="38" t="str">
        <f ca="1">IFERROR(AVERAGEIFS(INDIRECT("Tabela1["&amp;$B50&amp;"]"),Tabela1[Data Corrigida],AD$3)/100,"")</f>
        <v/>
      </c>
      <c r="AE50" s="38" t="str">
        <f ca="1">IFERROR(AVERAGEIFS(INDIRECT("Tabela1["&amp;$B50&amp;"]"),Tabela1[Data Corrigida],AE$3)/100,"")</f>
        <v/>
      </c>
      <c r="AF50" s="38" t="str">
        <f ca="1">IFERROR(AVERAGEIFS(INDIRECT("Tabela1["&amp;$B50&amp;"]"),Tabela1[Data Corrigida],AF$3)/100,"")</f>
        <v/>
      </c>
      <c r="AG50" s="38" t="str">
        <f ca="1">IFERROR(AVERAGEIFS(INDIRECT("Tabela1["&amp;$B50&amp;"]"),Tabela1[Data Corrigida],AG$3)/100,"")</f>
        <v/>
      </c>
      <c r="AH50" s="38" t="str">
        <f ca="1">IFERROR(AVERAGEIFS(INDIRECT("Tabela1["&amp;$B50&amp;"]"),Tabela1[Data Corrigida],AH$3)/100,"")</f>
        <v/>
      </c>
      <c r="AI50" s="38" t="str">
        <f ca="1">IFERROR(AVERAGEIFS(INDIRECT("Tabela1["&amp;$B50&amp;"]"),Tabela1[Data Corrigida],AI$3)/100,"")</f>
        <v/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61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0.35132530120481931</v>
      </c>
      <c r="N51" s="34">
        <f ca="1">IFERROR(AVERAGEIFS(INDIRECT("Tabela1["&amp;$B51&amp;"]"),Tabela1[Turno],$D51,Tabela1[Mês],N$3)/100,"")</f>
        <v>0.38</v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58">
        <v>0.02</v>
      </c>
      <c r="R51" s="39">
        <f ca="1">IFERROR(AVERAGEIFS(INDIRECT("Tabela1["&amp;$B51&amp;"]"),Tabela1[Turno],$D51,Tabela1[Data Corrigida],R$3)/100,"")</f>
        <v>0.38</v>
      </c>
      <c r="S51" s="40" t="str">
        <f ca="1">IFERROR(AVERAGEIFS(INDIRECT("Tabela1["&amp;$B51&amp;"]"),Tabela1[Turno],$D51,Tabela1[Data Corrigida],S$3)/100,"")</f>
        <v/>
      </c>
      <c r="T51" s="40" t="str">
        <f ca="1">IFERROR(AVERAGEIFS(INDIRECT("Tabela1["&amp;$B51&amp;"]"),Tabela1[Turno],$D51,Tabela1[Data Corrigida],T$3)/100,"")</f>
        <v/>
      </c>
      <c r="U51" s="40" t="str">
        <f ca="1">IFERROR(AVERAGEIFS(INDIRECT("Tabela1["&amp;$B51&amp;"]"),Tabela1[Turno],$D51,Tabela1[Data Corrigida],U$3)/100,"")</f>
        <v/>
      </c>
      <c r="V51" s="40" t="str">
        <f ca="1">IFERROR(AVERAGEIFS(INDIRECT("Tabela1["&amp;$B51&amp;"]"),Tabela1[Turno],$D51,Tabela1[Data Corrigida],V$3)/100,"")</f>
        <v/>
      </c>
      <c r="W51" s="40" t="str">
        <f ca="1">IFERROR(AVERAGEIFS(INDIRECT("Tabela1["&amp;$B51&amp;"]"),Tabela1[Turno],$D51,Tabela1[Data Corrigida],W$3)/100,"")</f>
        <v/>
      </c>
      <c r="X51" s="40" t="str">
        <f ca="1">IFERROR(AVERAGEIFS(INDIRECT("Tabela1["&amp;$B51&amp;"]"),Tabela1[Turno],$D51,Tabela1[Data Corrigida],X$3)/100,"")</f>
        <v/>
      </c>
      <c r="Y51" s="40" t="str">
        <f ca="1">IFERROR(AVERAGEIFS(INDIRECT("Tabela1["&amp;$B51&amp;"]"),Tabela1[Turno],$D51,Tabela1[Data Corrigida],Y$3)/100,"")</f>
        <v/>
      </c>
      <c r="Z51" s="40" t="str">
        <f ca="1">IFERROR(AVERAGEIFS(INDIRECT("Tabela1["&amp;$B51&amp;"]"),Tabela1[Turno],$D51,Tabela1[Data Corrigida],Z$3)/100,"")</f>
        <v/>
      </c>
      <c r="AA51" s="40" t="str">
        <f ca="1">IFERROR(AVERAGEIFS(INDIRECT("Tabela1["&amp;$B51&amp;"]"),Tabela1[Turno],$D51,Tabela1[Data Corrigida],AA$3)/100,"")</f>
        <v/>
      </c>
      <c r="AB51" s="40" t="str">
        <f ca="1">IFERROR(AVERAGEIFS(INDIRECT("Tabela1["&amp;$B51&amp;"]"),Tabela1[Turno],$D51,Tabela1[Data Corrigida],AB$3)/100,"")</f>
        <v/>
      </c>
      <c r="AC51" s="40" t="str">
        <f ca="1">IFERROR(AVERAGEIFS(INDIRECT("Tabela1["&amp;$B51&amp;"]"),Tabela1[Turno],$D51,Tabela1[Data Corrigida],AC$3)/100,"")</f>
        <v/>
      </c>
      <c r="AD51" s="40" t="str">
        <f ca="1">IFERROR(AVERAGEIFS(INDIRECT("Tabela1["&amp;$B51&amp;"]"),Tabela1[Turno],$D51,Tabela1[Data Corrigida],AD$3)/100,"")</f>
        <v/>
      </c>
      <c r="AE51" s="40" t="str">
        <f ca="1">IFERROR(AVERAGEIFS(INDIRECT("Tabela1["&amp;$B51&amp;"]"),Tabela1[Turno],$D51,Tabela1[Data Corrigida],AE$3)/100,"")</f>
        <v/>
      </c>
      <c r="AF51" s="40" t="str">
        <f ca="1">IFERROR(AVERAGEIFS(INDIRECT("Tabela1["&amp;$B51&amp;"]"),Tabela1[Turno],$D51,Tabela1[Data Corrigida],AF$3)/100,"")</f>
        <v/>
      </c>
      <c r="AG51" s="40" t="str">
        <f ca="1">IFERROR(AVERAGEIFS(INDIRECT("Tabela1["&amp;$B51&amp;"]"),Tabela1[Turno],$D51,Tabela1[Data Corrigida],AG$3)/100,"")</f>
        <v/>
      </c>
      <c r="AH51" s="40" t="str">
        <f ca="1">IFERROR(AVERAGEIFS(INDIRECT("Tabela1["&amp;$B51&amp;"]"),Tabela1[Turno],$D51,Tabela1[Data Corrigida],AH$3)/100,"")</f>
        <v/>
      </c>
      <c r="AI51" s="40" t="str">
        <f ca="1">IFERROR(AVERAGEIFS(INDIRECT("Tabela1["&amp;$B51&amp;"]"),Tabela1[Turno],$D51,Tabela1[Data Corrigida],AI$3)/100,"")</f>
        <v/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62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0.24158730158730157</v>
      </c>
      <c r="N52" s="36">
        <f ca="1">IFERROR(AVERAGEIFS(INDIRECT("Tabela1["&amp;$B52&amp;"]"),Tabela1[Turno],$D52,Tabela1[Mês],N$3)/100,"")</f>
        <v>0.34</v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59"/>
      <c r="R52" s="35">
        <f ca="1">IFERROR(AVERAGEIFS(INDIRECT("Tabela1["&amp;$B52&amp;"]"),Tabela1[Turno],$D52,Tabela1[Data Corrigida],R$3)/100,"")</f>
        <v>0.34</v>
      </c>
      <c r="S52" s="36" t="str">
        <f ca="1">IFERROR(AVERAGEIFS(INDIRECT("Tabela1["&amp;$B52&amp;"]"),Tabela1[Turno],$D52,Tabela1[Data Corrigida],S$3)/100,"")</f>
        <v/>
      </c>
      <c r="T52" s="36" t="str">
        <f ca="1">IFERROR(AVERAGEIFS(INDIRECT("Tabela1["&amp;$B52&amp;"]"),Tabela1[Turno],$D52,Tabela1[Data Corrigida],T$3)/100,"")</f>
        <v/>
      </c>
      <c r="U52" s="36" t="str">
        <f ca="1">IFERROR(AVERAGEIFS(INDIRECT("Tabela1["&amp;$B52&amp;"]"),Tabela1[Turno],$D52,Tabela1[Data Corrigida],U$3)/100,"")</f>
        <v/>
      </c>
      <c r="V52" s="36" t="str">
        <f ca="1">IFERROR(AVERAGEIFS(INDIRECT("Tabela1["&amp;$B52&amp;"]"),Tabela1[Turno],$D52,Tabela1[Data Corrigida],V$3)/100,"")</f>
        <v/>
      </c>
      <c r="W52" s="36" t="str">
        <f ca="1">IFERROR(AVERAGEIFS(INDIRECT("Tabela1["&amp;$B52&amp;"]"),Tabela1[Turno],$D52,Tabela1[Data Corrigida],W$3)/100,"")</f>
        <v/>
      </c>
      <c r="X52" s="36" t="str">
        <f ca="1">IFERROR(AVERAGEIFS(INDIRECT("Tabela1["&amp;$B52&amp;"]"),Tabela1[Turno],$D52,Tabela1[Data Corrigida],X$3)/100,"")</f>
        <v/>
      </c>
      <c r="Y52" s="36" t="str">
        <f ca="1">IFERROR(AVERAGEIFS(INDIRECT("Tabela1["&amp;$B52&amp;"]"),Tabela1[Turno],$D52,Tabela1[Data Corrigida],Y$3)/100,"")</f>
        <v/>
      </c>
      <c r="Z52" s="36" t="str">
        <f ca="1">IFERROR(AVERAGEIFS(INDIRECT("Tabela1["&amp;$B52&amp;"]"),Tabela1[Turno],$D52,Tabela1[Data Corrigida],Z$3)/100,"")</f>
        <v/>
      </c>
      <c r="AA52" s="36" t="str">
        <f ca="1">IFERROR(AVERAGEIFS(INDIRECT("Tabela1["&amp;$B52&amp;"]"),Tabela1[Turno],$D52,Tabela1[Data Corrigida],AA$3)/100,"")</f>
        <v/>
      </c>
      <c r="AB52" s="36" t="str">
        <f ca="1">IFERROR(AVERAGEIFS(INDIRECT("Tabela1["&amp;$B52&amp;"]"),Tabela1[Turno],$D52,Tabela1[Data Corrigida],AB$3)/100,"")</f>
        <v/>
      </c>
      <c r="AC52" s="36" t="str">
        <f ca="1">IFERROR(AVERAGEIFS(INDIRECT("Tabela1["&amp;$B52&amp;"]"),Tabela1[Turno],$D52,Tabela1[Data Corrigida],AC$3)/100,"")</f>
        <v/>
      </c>
      <c r="AD52" s="36" t="str">
        <f ca="1">IFERROR(AVERAGEIFS(INDIRECT("Tabela1["&amp;$B52&amp;"]"),Tabela1[Turno],$D52,Tabela1[Data Corrigida],AD$3)/100,"")</f>
        <v/>
      </c>
      <c r="AE52" s="36" t="str">
        <f ca="1">IFERROR(AVERAGEIFS(INDIRECT("Tabela1["&amp;$B52&amp;"]"),Tabela1[Turno],$D52,Tabela1[Data Corrigida],AE$3)/100,"")</f>
        <v/>
      </c>
      <c r="AF52" s="36" t="str">
        <f ca="1">IFERROR(AVERAGEIFS(INDIRECT("Tabela1["&amp;$B52&amp;"]"),Tabela1[Turno],$D52,Tabela1[Data Corrigida],AF$3)/100,"")</f>
        <v/>
      </c>
      <c r="AG52" s="36" t="str">
        <f ca="1">IFERROR(AVERAGEIFS(INDIRECT("Tabela1["&amp;$B52&amp;"]"),Tabela1[Turno],$D52,Tabela1[Data Corrigida],AG$3)/100,"")</f>
        <v/>
      </c>
      <c r="AH52" s="36" t="str">
        <f ca="1">IFERROR(AVERAGEIFS(INDIRECT("Tabela1["&amp;$B52&amp;"]"),Tabela1[Turno],$D52,Tabela1[Data Corrigida],AH$3)/100,"")</f>
        <v/>
      </c>
      <c r="AI52" s="36" t="str">
        <f ca="1">IFERROR(AVERAGEIFS(INDIRECT("Tabela1["&amp;$B52&amp;"]"),Tabela1[Turno],$D52,Tabela1[Data Corrigida],AI$3)/100,"")</f>
        <v/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3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0.30397260273972604</v>
      </c>
      <c r="N53" s="45">
        <f ca="1">IFERROR(AVERAGEIFS(INDIRECT("Tabela1["&amp;$B53&amp;"]"),Tabela1[Mês],N$3)/100,"")</f>
        <v>0.36285714285714282</v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0"/>
      <c r="R53" s="52">
        <f ca="1">IFERROR(AVERAGEIFS(INDIRECT("Tabela1["&amp;$B53&amp;"]"),Tabela1[Data Corrigida],R$3)/100,"")</f>
        <v>0.36285714285714282</v>
      </c>
      <c r="S53" s="53" t="str">
        <f ca="1">IFERROR(AVERAGEIFS(INDIRECT("Tabela1["&amp;$B53&amp;"]"),Tabela1[Data Corrigida],S$3)/100,"")</f>
        <v/>
      </c>
      <c r="T53" s="53" t="str">
        <f ca="1">IFERROR(AVERAGEIFS(INDIRECT("Tabela1["&amp;$B53&amp;"]"),Tabela1[Data Corrigida],T$3)/100,"")</f>
        <v/>
      </c>
      <c r="U53" s="53" t="str">
        <f ca="1">IFERROR(AVERAGEIFS(INDIRECT("Tabela1["&amp;$B53&amp;"]"),Tabela1[Data Corrigida],U$3)/100,"")</f>
        <v/>
      </c>
      <c r="V53" s="53" t="str">
        <f ca="1">IFERROR(AVERAGEIFS(INDIRECT("Tabela1["&amp;$B53&amp;"]"),Tabela1[Data Corrigida],V$3)/100,"")</f>
        <v/>
      </c>
      <c r="W53" s="53" t="str">
        <f ca="1">IFERROR(AVERAGEIFS(INDIRECT("Tabela1["&amp;$B53&amp;"]"),Tabela1[Data Corrigida],W$3)/100,"")</f>
        <v/>
      </c>
      <c r="X53" s="53" t="str">
        <f ca="1">IFERROR(AVERAGEIFS(INDIRECT("Tabela1["&amp;$B53&amp;"]"),Tabela1[Data Corrigida],X$3)/100,"")</f>
        <v/>
      </c>
      <c r="Y53" s="53" t="str">
        <f ca="1">IFERROR(AVERAGEIFS(INDIRECT("Tabela1["&amp;$B53&amp;"]"),Tabela1[Data Corrigida],Y$3)/100,"")</f>
        <v/>
      </c>
      <c r="Z53" s="53" t="str">
        <f ca="1">IFERROR(AVERAGEIFS(INDIRECT("Tabela1["&amp;$B53&amp;"]"),Tabela1[Data Corrigida],Z$3)/100,"")</f>
        <v/>
      </c>
      <c r="AA53" s="53" t="str">
        <f ca="1">IFERROR(AVERAGEIFS(INDIRECT("Tabela1["&amp;$B53&amp;"]"),Tabela1[Data Corrigida],AA$3)/100,"")</f>
        <v/>
      </c>
      <c r="AB53" s="53" t="str">
        <f ca="1">IFERROR(AVERAGEIFS(INDIRECT("Tabela1["&amp;$B53&amp;"]"),Tabela1[Data Corrigida],AB$3)/100,"")</f>
        <v/>
      </c>
      <c r="AC53" s="53" t="str">
        <f ca="1">IFERROR(AVERAGEIFS(INDIRECT("Tabela1["&amp;$B53&amp;"]"),Tabela1[Data Corrigida],AC$3)/100,"")</f>
        <v/>
      </c>
      <c r="AD53" s="53" t="str">
        <f ca="1">IFERROR(AVERAGEIFS(INDIRECT("Tabela1["&amp;$B53&amp;"]"),Tabela1[Data Corrigida],AD$3)/100,"")</f>
        <v/>
      </c>
      <c r="AE53" s="53" t="str">
        <f ca="1">IFERROR(AVERAGEIFS(INDIRECT("Tabela1["&amp;$B53&amp;"]"),Tabela1[Data Corrigida],AE$3)/100,"")</f>
        <v/>
      </c>
      <c r="AF53" s="53" t="str">
        <f ca="1">IFERROR(AVERAGEIFS(INDIRECT("Tabela1["&amp;$B53&amp;"]"),Tabela1[Data Corrigida],AF$3)/100,"")</f>
        <v/>
      </c>
      <c r="AG53" s="53" t="str">
        <f ca="1">IFERROR(AVERAGEIFS(INDIRECT("Tabela1["&amp;$B53&amp;"]"),Tabela1[Data Corrigida],AG$3)/100,"")</f>
        <v/>
      </c>
      <c r="AH53" s="53" t="str">
        <f ca="1">IFERROR(AVERAGEIFS(INDIRECT("Tabela1["&amp;$B53&amp;"]"),Tabela1[Data Corrigida],AH$3)/100,"")</f>
        <v/>
      </c>
      <c r="AI53" s="53" t="str">
        <f ca="1">IFERROR(AVERAGEIFS(INDIRECT("Tabela1["&amp;$B53&amp;"]"),Tabela1[Data Corrigida],AI$3)/100,"")</f>
        <v/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61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1.2195121951219512E-3</v>
      </c>
      <c r="N54" s="34">
        <f ca="1">IFERROR(AVERAGEIFS(INDIRECT("Tabela1["&amp;$B54&amp;"]"),Tabela1[Turno],$D54,Tabela1[Mês],N$3)/100,"")</f>
        <v>1.4999999999999999E-2</v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58">
        <v>0.01</v>
      </c>
      <c r="R54" s="39">
        <f ca="1">IFERROR(AVERAGEIFS(INDIRECT("Tabela1["&amp;$B54&amp;"]"),Tabela1[Turno],$D54,Tabela1[Data Corrigida],R$3)/100,"")</f>
        <v>1.4999999999999999E-2</v>
      </c>
      <c r="S54" s="40" t="str">
        <f ca="1">IFERROR(AVERAGEIFS(INDIRECT("Tabela1["&amp;$B54&amp;"]"),Tabela1[Turno],$D54,Tabela1[Data Corrigida],S$3)/100,"")</f>
        <v/>
      </c>
      <c r="T54" s="40" t="str">
        <f ca="1">IFERROR(AVERAGEIFS(INDIRECT("Tabela1["&amp;$B54&amp;"]"),Tabela1[Turno],$D54,Tabela1[Data Corrigida],T$3)/100,"")</f>
        <v/>
      </c>
      <c r="U54" s="40" t="str">
        <f ca="1">IFERROR(AVERAGEIFS(INDIRECT("Tabela1["&amp;$B54&amp;"]"),Tabela1[Turno],$D54,Tabela1[Data Corrigida],U$3)/100,"")</f>
        <v/>
      </c>
      <c r="V54" s="40" t="str">
        <f ca="1">IFERROR(AVERAGEIFS(INDIRECT("Tabela1["&amp;$B54&amp;"]"),Tabela1[Turno],$D54,Tabela1[Data Corrigida],V$3)/100,"")</f>
        <v/>
      </c>
      <c r="W54" s="40" t="str">
        <f ca="1">IFERROR(AVERAGEIFS(INDIRECT("Tabela1["&amp;$B54&amp;"]"),Tabela1[Turno],$D54,Tabela1[Data Corrigida],W$3)/100,"")</f>
        <v/>
      </c>
      <c r="X54" s="40" t="str">
        <f ca="1">IFERROR(AVERAGEIFS(INDIRECT("Tabela1["&amp;$B54&amp;"]"),Tabela1[Turno],$D54,Tabela1[Data Corrigida],X$3)/100,"")</f>
        <v/>
      </c>
      <c r="Y54" s="40" t="str">
        <f ca="1">IFERROR(AVERAGEIFS(INDIRECT("Tabela1["&amp;$B54&amp;"]"),Tabela1[Turno],$D54,Tabela1[Data Corrigida],Y$3)/100,"")</f>
        <v/>
      </c>
      <c r="Z54" s="40" t="str">
        <f ca="1">IFERROR(AVERAGEIFS(INDIRECT("Tabela1["&amp;$B54&amp;"]"),Tabela1[Turno],$D54,Tabela1[Data Corrigida],Z$3)/100,"")</f>
        <v/>
      </c>
      <c r="AA54" s="40" t="str">
        <f ca="1">IFERROR(AVERAGEIFS(INDIRECT("Tabela1["&amp;$B54&amp;"]"),Tabela1[Turno],$D54,Tabela1[Data Corrigida],AA$3)/100,"")</f>
        <v/>
      </c>
      <c r="AB54" s="40" t="str">
        <f ca="1">IFERROR(AVERAGEIFS(INDIRECT("Tabela1["&amp;$B54&amp;"]"),Tabela1[Turno],$D54,Tabela1[Data Corrigida],AB$3)/100,"")</f>
        <v/>
      </c>
      <c r="AC54" s="40" t="str">
        <f ca="1">IFERROR(AVERAGEIFS(INDIRECT("Tabela1["&amp;$B54&amp;"]"),Tabela1[Turno],$D54,Tabela1[Data Corrigida],AC$3)/100,"")</f>
        <v/>
      </c>
      <c r="AD54" s="40" t="str">
        <f ca="1">IFERROR(AVERAGEIFS(INDIRECT("Tabela1["&amp;$B54&amp;"]"),Tabela1[Turno],$D54,Tabela1[Data Corrigida],AD$3)/100,"")</f>
        <v/>
      </c>
      <c r="AE54" s="40" t="str">
        <f ca="1">IFERROR(AVERAGEIFS(INDIRECT("Tabela1["&amp;$B54&amp;"]"),Tabela1[Turno],$D54,Tabela1[Data Corrigida],AE$3)/100,"")</f>
        <v/>
      </c>
      <c r="AF54" s="40" t="str">
        <f ca="1">IFERROR(AVERAGEIFS(INDIRECT("Tabela1["&amp;$B54&amp;"]"),Tabela1[Turno],$D54,Tabela1[Data Corrigida],AF$3)/100,"")</f>
        <v/>
      </c>
      <c r="AG54" s="40" t="str">
        <f ca="1">IFERROR(AVERAGEIFS(INDIRECT("Tabela1["&amp;$B54&amp;"]"),Tabela1[Turno],$D54,Tabela1[Data Corrigida],AG$3)/100,"")</f>
        <v/>
      </c>
      <c r="AH54" s="40" t="str">
        <f ca="1">IFERROR(AVERAGEIFS(INDIRECT("Tabela1["&amp;$B54&amp;"]"),Tabela1[Turno],$D54,Tabela1[Data Corrigida],AH$3)/100,"")</f>
        <v/>
      </c>
      <c r="AI54" s="40" t="str">
        <f ca="1">IFERROR(AVERAGEIFS(INDIRECT("Tabela1["&amp;$B54&amp;"]"),Tabela1[Turno],$D54,Tabela1[Data Corrigida],AI$3)/100,"")</f>
        <v/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62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4.4444444444444444E-3</v>
      </c>
      <c r="N55" s="36">
        <f ca="1">IFERROR(AVERAGEIFS(INDIRECT("Tabela1["&amp;$B55&amp;"]"),Tabela1[Turno],$D55,Tabela1[Mês],N$3)/100,"")</f>
        <v>0</v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59"/>
      <c r="R55" s="35">
        <f ca="1">IFERROR(AVERAGEIFS(INDIRECT("Tabela1["&amp;$B55&amp;"]"),Tabela1[Turno],$D55,Tabela1[Data Corrigida],R$3)/100,"")</f>
        <v>0</v>
      </c>
      <c r="S55" s="36" t="str">
        <f ca="1">IFERROR(AVERAGEIFS(INDIRECT("Tabela1["&amp;$B55&amp;"]"),Tabela1[Turno],$D55,Tabela1[Data Corrigida],S$3)/100,"")</f>
        <v/>
      </c>
      <c r="T55" s="36" t="str">
        <f ca="1">IFERROR(AVERAGEIFS(INDIRECT("Tabela1["&amp;$B55&amp;"]"),Tabela1[Turno],$D55,Tabela1[Data Corrigida],T$3)/100,"")</f>
        <v/>
      </c>
      <c r="U55" s="36" t="str">
        <f ca="1">IFERROR(AVERAGEIFS(INDIRECT("Tabela1["&amp;$B55&amp;"]"),Tabela1[Turno],$D55,Tabela1[Data Corrigida],U$3)/100,"")</f>
        <v/>
      </c>
      <c r="V55" s="36" t="str">
        <f ca="1">IFERROR(AVERAGEIFS(INDIRECT("Tabela1["&amp;$B55&amp;"]"),Tabela1[Turno],$D55,Tabela1[Data Corrigida],V$3)/100,"")</f>
        <v/>
      </c>
      <c r="W55" s="36" t="str">
        <f ca="1">IFERROR(AVERAGEIFS(INDIRECT("Tabela1["&amp;$B55&amp;"]"),Tabela1[Turno],$D55,Tabela1[Data Corrigida],W$3)/100,"")</f>
        <v/>
      </c>
      <c r="X55" s="36" t="str">
        <f ca="1">IFERROR(AVERAGEIFS(INDIRECT("Tabela1["&amp;$B55&amp;"]"),Tabela1[Turno],$D55,Tabela1[Data Corrigida],X$3)/100,"")</f>
        <v/>
      </c>
      <c r="Y55" s="36" t="str">
        <f ca="1">IFERROR(AVERAGEIFS(INDIRECT("Tabela1["&amp;$B55&amp;"]"),Tabela1[Turno],$D55,Tabela1[Data Corrigida],Y$3)/100,"")</f>
        <v/>
      </c>
      <c r="Z55" s="36" t="str">
        <f ca="1">IFERROR(AVERAGEIFS(INDIRECT("Tabela1["&amp;$B55&amp;"]"),Tabela1[Turno],$D55,Tabela1[Data Corrigida],Z$3)/100,"")</f>
        <v/>
      </c>
      <c r="AA55" s="36" t="str">
        <f ca="1">IFERROR(AVERAGEIFS(INDIRECT("Tabela1["&amp;$B55&amp;"]"),Tabela1[Turno],$D55,Tabela1[Data Corrigida],AA$3)/100,"")</f>
        <v/>
      </c>
      <c r="AB55" s="36" t="str">
        <f ca="1">IFERROR(AVERAGEIFS(INDIRECT("Tabela1["&amp;$B55&amp;"]"),Tabela1[Turno],$D55,Tabela1[Data Corrigida],AB$3)/100,"")</f>
        <v/>
      </c>
      <c r="AC55" s="36" t="str">
        <f ca="1">IFERROR(AVERAGEIFS(INDIRECT("Tabela1["&amp;$B55&amp;"]"),Tabela1[Turno],$D55,Tabela1[Data Corrigida],AC$3)/100,"")</f>
        <v/>
      </c>
      <c r="AD55" s="36" t="str">
        <f ca="1">IFERROR(AVERAGEIFS(INDIRECT("Tabela1["&amp;$B55&amp;"]"),Tabela1[Turno],$D55,Tabela1[Data Corrigida],AD$3)/100,"")</f>
        <v/>
      </c>
      <c r="AE55" s="36" t="str">
        <f ca="1">IFERROR(AVERAGEIFS(INDIRECT("Tabela1["&amp;$B55&amp;"]"),Tabela1[Turno],$D55,Tabela1[Data Corrigida],AE$3)/100,"")</f>
        <v/>
      </c>
      <c r="AF55" s="36" t="str">
        <f ca="1">IFERROR(AVERAGEIFS(INDIRECT("Tabela1["&amp;$B55&amp;"]"),Tabela1[Turno],$D55,Tabela1[Data Corrigida],AF$3)/100,"")</f>
        <v/>
      </c>
      <c r="AG55" s="36" t="str">
        <f ca="1">IFERROR(AVERAGEIFS(INDIRECT("Tabela1["&amp;$B55&amp;"]"),Tabela1[Turno],$D55,Tabela1[Data Corrigida],AG$3)/100,"")</f>
        <v/>
      </c>
      <c r="AH55" s="36" t="str">
        <f ca="1">IFERROR(AVERAGEIFS(INDIRECT("Tabela1["&amp;$B55&amp;"]"),Tabela1[Turno],$D55,Tabela1[Data Corrigida],AH$3)/100,"")</f>
        <v/>
      </c>
      <c r="AI55" s="36" t="str">
        <f ca="1">IFERROR(AVERAGEIFS(INDIRECT("Tabela1["&amp;$B55&amp;"]"),Tabela1[Turno],$D55,Tabela1[Data Corrigida],AI$3)/100,"")</f>
        <v/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3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2.620689655172414E-3</v>
      </c>
      <c r="N56" s="45">
        <f ca="1">IFERROR(AVERAGEIFS(INDIRECT("Tabela1["&amp;$B56&amp;"]"),Tabela1[Mês],N$3)/100,"")</f>
        <v>8.5714285714285701E-3</v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0"/>
      <c r="R56" s="37">
        <f ca="1">IFERROR(AVERAGEIFS(INDIRECT("Tabela1["&amp;$B56&amp;"]"),Tabela1[Data Corrigida],R$3)/100,"")</f>
        <v>8.5714285714285701E-3</v>
      </c>
      <c r="S56" s="38" t="str">
        <f ca="1">IFERROR(AVERAGEIFS(INDIRECT("Tabela1["&amp;$B56&amp;"]"),Tabela1[Data Corrigida],S$3)/100,"")</f>
        <v/>
      </c>
      <c r="T56" s="38" t="str">
        <f ca="1">IFERROR(AVERAGEIFS(INDIRECT("Tabela1["&amp;$B56&amp;"]"),Tabela1[Data Corrigida],T$3)/100,"")</f>
        <v/>
      </c>
      <c r="U56" s="38" t="str">
        <f ca="1">IFERROR(AVERAGEIFS(INDIRECT("Tabela1["&amp;$B56&amp;"]"),Tabela1[Data Corrigida],U$3)/100,"")</f>
        <v/>
      </c>
      <c r="V56" s="38" t="str">
        <f ca="1">IFERROR(AVERAGEIFS(INDIRECT("Tabela1["&amp;$B56&amp;"]"),Tabela1[Data Corrigida],V$3)/100,"")</f>
        <v/>
      </c>
      <c r="W56" s="38" t="str">
        <f ca="1">IFERROR(AVERAGEIFS(INDIRECT("Tabela1["&amp;$B56&amp;"]"),Tabela1[Data Corrigida],W$3)/100,"")</f>
        <v/>
      </c>
      <c r="X56" s="38" t="str">
        <f ca="1">IFERROR(AVERAGEIFS(INDIRECT("Tabela1["&amp;$B56&amp;"]"),Tabela1[Data Corrigida],X$3)/100,"")</f>
        <v/>
      </c>
      <c r="Y56" s="38" t="str">
        <f ca="1">IFERROR(AVERAGEIFS(INDIRECT("Tabela1["&amp;$B56&amp;"]"),Tabela1[Data Corrigida],Y$3)/100,"")</f>
        <v/>
      </c>
      <c r="Z56" s="38" t="str">
        <f ca="1">IFERROR(AVERAGEIFS(INDIRECT("Tabela1["&amp;$B56&amp;"]"),Tabela1[Data Corrigida],Z$3)/100,"")</f>
        <v/>
      </c>
      <c r="AA56" s="38" t="str">
        <f ca="1">IFERROR(AVERAGEIFS(INDIRECT("Tabela1["&amp;$B56&amp;"]"),Tabela1[Data Corrigida],AA$3)/100,"")</f>
        <v/>
      </c>
      <c r="AB56" s="38" t="str">
        <f ca="1">IFERROR(AVERAGEIFS(INDIRECT("Tabela1["&amp;$B56&amp;"]"),Tabela1[Data Corrigida],AB$3)/100,"")</f>
        <v/>
      </c>
      <c r="AC56" s="38" t="str">
        <f ca="1">IFERROR(AVERAGEIFS(INDIRECT("Tabela1["&amp;$B56&amp;"]"),Tabela1[Data Corrigida],AC$3)/100,"")</f>
        <v/>
      </c>
      <c r="AD56" s="38" t="str">
        <f ca="1">IFERROR(AVERAGEIFS(INDIRECT("Tabela1["&amp;$B56&amp;"]"),Tabela1[Data Corrigida],AD$3)/100,"")</f>
        <v/>
      </c>
      <c r="AE56" s="38" t="str">
        <f ca="1">IFERROR(AVERAGEIFS(INDIRECT("Tabela1["&amp;$B56&amp;"]"),Tabela1[Data Corrigida],AE$3)/100,"")</f>
        <v/>
      </c>
      <c r="AF56" s="38" t="str">
        <f ca="1">IFERROR(AVERAGEIFS(INDIRECT("Tabela1["&amp;$B56&amp;"]"),Tabela1[Data Corrigida],AF$3)/100,"")</f>
        <v/>
      </c>
      <c r="AG56" s="38" t="str">
        <f ca="1">IFERROR(AVERAGEIFS(INDIRECT("Tabela1["&amp;$B56&amp;"]"),Tabela1[Data Corrigida],AG$3)/100,"")</f>
        <v/>
      </c>
      <c r="AH56" s="38" t="str">
        <f ca="1">IFERROR(AVERAGEIFS(INDIRECT("Tabela1["&amp;$B56&amp;"]"),Tabela1[Data Corrigida],AH$3)/100,"")</f>
        <v/>
      </c>
      <c r="AI56" s="38" t="str">
        <f ca="1">IFERROR(AVERAGEIFS(INDIRECT("Tabela1["&amp;$B56&amp;"]"),Tabela1[Data Corrigida],AI$3)/100,"")</f>
        <v/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61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1.2195121951219512E-3</v>
      </c>
      <c r="N57" s="34">
        <f ca="1">IFERROR(AVERAGEIFS(INDIRECT("Tabela1["&amp;$B57&amp;"]"),Tabela1[Turno],$D57,Tabela1[Mês],N$3)/100,"")</f>
        <v>1.4999999999999999E-2</v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58">
        <v>0.01</v>
      </c>
      <c r="R57" s="39">
        <f ca="1">IFERROR(AVERAGEIFS(INDIRECT("Tabela1["&amp;$B57&amp;"]"),Tabela1[Turno],$D57,Tabela1[Data Corrigida],R$3)/100,"")</f>
        <v>1.4999999999999999E-2</v>
      </c>
      <c r="S57" s="40" t="str">
        <f ca="1">IFERROR(AVERAGEIFS(INDIRECT("Tabela1["&amp;$B57&amp;"]"),Tabela1[Turno],$D57,Tabela1[Data Corrigida],S$3)/100,"")</f>
        <v/>
      </c>
      <c r="T57" s="40" t="str">
        <f ca="1">IFERROR(AVERAGEIFS(INDIRECT("Tabela1["&amp;$B57&amp;"]"),Tabela1[Turno],$D57,Tabela1[Data Corrigida],T$3)/100,"")</f>
        <v/>
      </c>
      <c r="U57" s="40" t="str">
        <f ca="1">IFERROR(AVERAGEIFS(INDIRECT("Tabela1["&amp;$B57&amp;"]"),Tabela1[Turno],$D57,Tabela1[Data Corrigida],U$3)/100,"")</f>
        <v/>
      </c>
      <c r="V57" s="40" t="str">
        <f ca="1">IFERROR(AVERAGEIFS(INDIRECT("Tabela1["&amp;$B57&amp;"]"),Tabela1[Turno],$D57,Tabela1[Data Corrigida],V$3)/100,"")</f>
        <v/>
      </c>
      <c r="W57" s="40" t="str">
        <f ca="1">IFERROR(AVERAGEIFS(INDIRECT("Tabela1["&amp;$B57&amp;"]"),Tabela1[Turno],$D57,Tabela1[Data Corrigida],W$3)/100,"")</f>
        <v/>
      </c>
      <c r="X57" s="40" t="str">
        <f ca="1">IFERROR(AVERAGEIFS(INDIRECT("Tabela1["&amp;$B57&amp;"]"),Tabela1[Turno],$D57,Tabela1[Data Corrigida],X$3)/100,"")</f>
        <v/>
      </c>
      <c r="Y57" s="40" t="str">
        <f ca="1">IFERROR(AVERAGEIFS(INDIRECT("Tabela1["&amp;$B57&amp;"]"),Tabela1[Turno],$D57,Tabela1[Data Corrigida],Y$3)/100,"")</f>
        <v/>
      </c>
      <c r="Z57" s="40" t="str">
        <f ca="1">IFERROR(AVERAGEIFS(INDIRECT("Tabela1["&amp;$B57&amp;"]"),Tabela1[Turno],$D57,Tabela1[Data Corrigida],Z$3)/100,"")</f>
        <v/>
      </c>
      <c r="AA57" s="40" t="str">
        <f ca="1">IFERROR(AVERAGEIFS(INDIRECT("Tabela1["&amp;$B57&amp;"]"),Tabela1[Turno],$D57,Tabela1[Data Corrigida],AA$3)/100,"")</f>
        <v/>
      </c>
      <c r="AB57" s="40" t="str">
        <f ca="1">IFERROR(AVERAGEIFS(INDIRECT("Tabela1["&amp;$B57&amp;"]"),Tabela1[Turno],$D57,Tabela1[Data Corrigida],AB$3)/100,"")</f>
        <v/>
      </c>
      <c r="AC57" s="40" t="str">
        <f ca="1">IFERROR(AVERAGEIFS(INDIRECT("Tabela1["&amp;$B57&amp;"]"),Tabela1[Turno],$D57,Tabela1[Data Corrigida],AC$3)/100,"")</f>
        <v/>
      </c>
      <c r="AD57" s="40" t="str">
        <f ca="1">IFERROR(AVERAGEIFS(INDIRECT("Tabela1["&amp;$B57&amp;"]"),Tabela1[Turno],$D57,Tabela1[Data Corrigida],AD$3)/100,"")</f>
        <v/>
      </c>
      <c r="AE57" s="40" t="str">
        <f ca="1">IFERROR(AVERAGEIFS(INDIRECT("Tabela1["&amp;$B57&amp;"]"),Tabela1[Turno],$D57,Tabela1[Data Corrigida],AE$3)/100,"")</f>
        <v/>
      </c>
      <c r="AF57" s="40" t="str">
        <f ca="1">IFERROR(AVERAGEIFS(INDIRECT("Tabela1["&amp;$B57&amp;"]"),Tabela1[Turno],$D57,Tabela1[Data Corrigida],AF$3)/100,"")</f>
        <v/>
      </c>
      <c r="AG57" s="40" t="str">
        <f ca="1">IFERROR(AVERAGEIFS(INDIRECT("Tabela1["&amp;$B57&amp;"]"),Tabela1[Turno],$D57,Tabela1[Data Corrigida],AG$3)/100,"")</f>
        <v/>
      </c>
      <c r="AH57" s="40" t="str">
        <f ca="1">IFERROR(AVERAGEIFS(INDIRECT("Tabela1["&amp;$B57&amp;"]"),Tabela1[Turno],$D57,Tabela1[Data Corrigida],AH$3)/100,"")</f>
        <v/>
      </c>
      <c r="AI57" s="40" t="str">
        <f ca="1">IFERROR(AVERAGEIFS(INDIRECT("Tabela1["&amp;$B57&amp;"]"),Tabela1[Turno],$D57,Tabela1[Data Corrigida],AI$3)/100,"")</f>
        <v/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62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3.8095238095238095E-3</v>
      </c>
      <c r="N58" s="36">
        <f ca="1">IFERROR(AVERAGEIFS(INDIRECT("Tabela1["&amp;$B58&amp;"]"),Tabela1[Turno],$D58,Tabela1[Mês],N$3)/100,"")</f>
        <v>1.3333333333333332E-2</v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59"/>
      <c r="R58" s="35">
        <f ca="1">IFERROR(AVERAGEIFS(INDIRECT("Tabela1["&amp;$B58&amp;"]"),Tabela1[Turno],$D58,Tabela1[Data Corrigida],R$3)/100,"")</f>
        <v>1.3333333333333332E-2</v>
      </c>
      <c r="S58" s="36" t="str">
        <f ca="1">IFERROR(AVERAGEIFS(INDIRECT("Tabela1["&amp;$B58&amp;"]"),Tabela1[Turno],$D58,Tabela1[Data Corrigida],S$3)/100,"")</f>
        <v/>
      </c>
      <c r="T58" s="36" t="str">
        <f ca="1">IFERROR(AVERAGEIFS(INDIRECT("Tabela1["&amp;$B58&amp;"]"),Tabela1[Turno],$D58,Tabela1[Data Corrigida],T$3)/100,"")</f>
        <v/>
      </c>
      <c r="U58" s="36" t="str">
        <f ca="1">IFERROR(AVERAGEIFS(INDIRECT("Tabela1["&amp;$B58&amp;"]"),Tabela1[Turno],$D58,Tabela1[Data Corrigida],U$3)/100,"")</f>
        <v/>
      </c>
      <c r="V58" s="36" t="str">
        <f ca="1">IFERROR(AVERAGEIFS(INDIRECT("Tabela1["&amp;$B58&amp;"]"),Tabela1[Turno],$D58,Tabela1[Data Corrigida],V$3)/100,"")</f>
        <v/>
      </c>
      <c r="W58" s="36" t="str">
        <f ca="1">IFERROR(AVERAGEIFS(INDIRECT("Tabela1["&amp;$B58&amp;"]"),Tabela1[Turno],$D58,Tabela1[Data Corrigida],W$3)/100,"")</f>
        <v/>
      </c>
      <c r="X58" s="36" t="str">
        <f ca="1">IFERROR(AVERAGEIFS(INDIRECT("Tabela1["&amp;$B58&amp;"]"),Tabela1[Turno],$D58,Tabela1[Data Corrigida],X$3)/100,"")</f>
        <v/>
      </c>
      <c r="Y58" s="36" t="str">
        <f ca="1">IFERROR(AVERAGEIFS(INDIRECT("Tabela1["&amp;$B58&amp;"]"),Tabela1[Turno],$D58,Tabela1[Data Corrigida],Y$3)/100,"")</f>
        <v/>
      </c>
      <c r="Z58" s="36" t="str">
        <f ca="1">IFERROR(AVERAGEIFS(INDIRECT("Tabela1["&amp;$B58&amp;"]"),Tabela1[Turno],$D58,Tabela1[Data Corrigida],Z$3)/100,"")</f>
        <v/>
      </c>
      <c r="AA58" s="36" t="str">
        <f ca="1">IFERROR(AVERAGEIFS(INDIRECT("Tabela1["&amp;$B58&amp;"]"),Tabela1[Turno],$D58,Tabela1[Data Corrigida],AA$3)/100,"")</f>
        <v/>
      </c>
      <c r="AB58" s="36" t="str">
        <f ca="1">IFERROR(AVERAGEIFS(INDIRECT("Tabela1["&amp;$B58&amp;"]"),Tabela1[Turno],$D58,Tabela1[Data Corrigida],AB$3)/100,"")</f>
        <v/>
      </c>
      <c r="AC58" s="36" t="str">
        <f ca="1">IFERROR(AVERAGEIFS(INDIRECT("Tabela1["&amp;$B58&amp;"]"),Tabela1[Turno],$D58,Tabela1[Data Corrigida],AC$3)/100,"")</f>
        <v/>
      </c>
      <c r="AD58" s="36" t="str">
        <f ca="1">IFERROR(AVERAGEIFS(INDIRECT("Tabela1["&amp;$B58&amp;"]"),Tabela1[Turno],$D58,Tabela1[Data Corrigida],AD$3)/100,"")</f>
        <v/>
      </c>
      <c r="AE58" s="36" t="str">
        <f ca="1">IFERROR(AVERAGEIFS(INDIRECT("Tabela1["&amp;$B58&amp;"]"),Tabela1[Turno],$D58,Tabela1[Data Corrigida],AE$3)/100,"")</f>
        <v/>
      </c>
      <c r="AF58" s="36" t="str">
        <f ca="1">IFERROR(AVERAGEIFS(INDIRECT("Tabela1["&amp;$B58&amp;"]"),Tabela1[Turno],$D58,Tabela1[Data Corrigida],AF$3)/100,"")</f>
        <v/>
      </c>
      <c r="AG58" s="36" t="str">
        <f ca="1">IFERROR(AVERAGEIFS(INDIRECT("Tabela1["&amp;$B58&amp;"]"),Tabela1[Turno],$D58,Tabela1[Data Corrigida],AG$3)/100,"")</f>
        <v/>
      </c>
      <c r="AH58" s="36" t="str">
        <f ca="1">IFERROR(AVERAGEIFS(INDIRECT("Tabela1["&amp;$B58&amp;"]"),Tabela1[Turno],$D58,Tabela1[Data Corrigida],AH$3)/100,"")</f>
        <v/>
      </c>
      <c r="AI58" s="36" t="str">
        <f ca="1">IFERROR(AVERAGEIFS(INDIRECT("Tabela1["&amp;$B58&amp;"]"),Tabela1[Turno],$D58,Tabela1[Data Corrigida],AI$3)/100,"")</f>
        <v/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3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2.3448275862068967E-3</v>
      </c>
      <c r="N59" s="45">
        <f ca="1">IFERROR(AVERAGEIFS(INDIRECT("Tabela1["&amp;$B59&amp;"]"),Tabela1[Mês],N$3)/100,"")</f>
        <v>1.4285714285714285E-2</v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0"/>
      <c r="R59" s="42">
        <f ca="1">IFERROR(AVERAGEIFS(INDIRECT("Tabela1["&amp;$B59&amp;"]"),Tabela1[Data Corrigida],R$3)/100,"")</f>
        <v>1.4285714285714285E-2</v>
      </c>
      <c r="S59" s="43" t="str">
        <f ca="1">IFERROR(AVERAGEIFS(INDIRECT("Tabela1["&amp;$B59&amp;"]"),Tabela1[Data Corrigida],S$3)/100,"")</f>
        <v/>
      </c>
      <c r="T59" s="43" t="str">
        <f ca="1">IFERROR(AVERAGEIFS(INDIRECT("Tabela1["&amp;$B59&amp;"]"),Tabela1[Data Corrigida],T$3)/100,"")</f>
        <v/>
      </c>
      <c r="U59" s="43" t="str">
        <f ca="1">IFERROR(AVERAGEIFS(INDIRECT("Tabela1["&amp;$B59&amp;"]"),Tabela1[Data Corrigida],U$3)/100,"")</f>
        <v/>
      </c>
      <c r="V59" s="43" t="str">
        <f ca="1">IFERROR(AVERAGEIFS(INDIRECT("Tabela1["&amp;$B59&amp;"]"),Tabela1[Data Corrigida],V$3)/100,"")</f>
        <v/>
      </c>
      <c r="W59" s="43" t="str">
        <f ca="1">IFERROR(AVERAGEIFS(INDIRECT("Tabela1["&amp;$B59&amp;"]"),Tabela1[Data Corrigida],W$3)/100,"")</f>
        <v/>
      </c>
      <c r="X59" s="43" t="str">
        <f ca="1">IFERROR(AVERAGEIFS(INDIRECT("Tabela1["&amp;$B59&amp;"]"),Tabela1[Data Corrigida],X$3)/100,"")</f>
        <v/>
      </c>
      <c r="Y59" s="43" t="str">
        <f ca="1">IFERROR(AVERAGEIFS(INDIRECT("Tabela1["&amp;$B59&amp;"]"),Tabela1[Data Corrigida],Y$3)/100,"")</f>
        <v/>
      </c>
      <c r="Z59" s="43" t="str">
        <f ca="1">IFERROR(AVERAGEIFS(INDIRECT("Tabela1["&amp;$B59&amp;"]"),Tabela1[Data Corrigida],Z$3)/100,"")</f>
        <v/>
      </c>
      <c r="AA59" s="43" t="str">
        <f ca="1">IFERROR(AVERAGEIFS(INDIRECT("Tabela1["&amp;$B59&amp;"]"),Tabela1[Data Corrigida],AA$3)/100,"")</f>
        <v/>
      </c>
      <c r="AB59" s="43" t="str">
        <f ca="1">IFERROR(AVERAGEIFS(INDIRECT("Tabela1["&amp;$B59&amp;"]"),Tabela1[Data Corrigida],AB$3)/100,"")</f>
        <v/>
      </c>
      <c r="AC59" s="43" t="str">
        <f ca="1">IFERROR(AVERAGEIFS(INDIRECT("Tabela1["&amp;$B59&amp;"]"),Tabela1[Data Corrigida],AC$3)/100,"")</f>
        <v/>
      </c>
      <c r="AD59" s="43" t="str">
        <f ca="1">IFERROR(AVERAGEIFS(INDIRECT("Tabela1["&amp;$B59&amp;"]"),Tabela1[Data Corrigida],AD$3)/100,"")</f>
        <v/>
      </c>
      <c r="AE59" s="43" t="str">
        <f ca="1">IFERROR(AVERAGEIFS(INDIRECT("Tabela1["&amp;$B59&amp;"]"),Tabela1[Data Corrigida],AE$3)/100,"")</f>
        <v/>
      </c>
      <c r="AF59" s="43" t="str">
        <f ca="1">IFERROR(AVERAGEIFS(INDIRECT("Tabela1["&amp;$B59&amp;"]"),Tabela1[Data Corrigida],AF$3)/100,"")</f>
        <v/>
      </c>
      <c r="AG59" s="43" t="str">
        <f ca="1">IFERROR(AVERAGEIFS(INDIRECT("Tabela1["&amp;$B59&amp;"]"),Tabela1[Data Corrigida],AG$3)/100,"")</f>
        <v/>
      </c>
      <c r="AH59" s="43" t="str">
        <f ca="1">IFERROR(AVERAGEIFS(INDIRECT("Tabela1["&amp;$B59&amp;"]"),Tabela1[Data Corrigida],AH$3)/100,"")</f>
        <v/>
      </c>
      <c r="AI59" s="43" t="str">
        <f ca="1">IFERROR(AVERAGEIFS(INDIRECT("Tabela1["&amp;$B59&amp;"]"),Tabela1[Data Corrigida],AI$3)/100,"")</f>
        <v/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61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0.21216867469879516</v>
      </c>
      <c r="N60" s="34">
        <f ca="1">IFERROR(AVERAGEIFS(INDIRECT("Tabela1["&amp;$B60&amp;"]"),Tabela1[Turno],$D60,Tabela1[Mês],N$3)/100,"")</f>
        <v>0.215</v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58">
        <v>0.3</v>
      </c>
      <c r="R60" s="33">
        <f ca="1">IFERROR(AVERAGEIFS(INDIRECT("Tabela1["&amp;$B60&amp;"]"),Tabela1[Turno],$D60,Tabela1[Data Corrigida],R$3)/100,"")</f>
        <v>0.215</v>
      </c>
      <c r="S60" s="34" t="str">
        <f ca="1">IFERROR(AVERAGEIFS(INDIRECT("Tabela1["&amp;$B60&amp;"]"),Tabela1[Turno],$D60,Tabela1[Data Corrigida],S$3)/100,"")</f>
        <v/>
      </c>
      <c r="T60" s="34" t="str">
        <f ca="1">IFERROR(AVERAGEIFS(INDIRECT("Tabela1["&amp;$B60&amp;"]"),Tabela1[Turno],$D60,Tabela1[Data Corrigida],T$3)/100,"")</f>
        <v/>
      </c>
      <c r="U60" s="34" t="str">
        <f ca="1">IFERROR(AVERAGEIFS(INDIRECT("Tabela1["&amp;$B60&amp;"]"),Tabela1[Turno],$D60,Tabela1[Data Corrigida],U$3)/100,"")</f>
        <v/>
      </c>
      <c r="V60" s="34" t="str">
        <f ca="1">IFERROR(AVERAGEIFS(INDIRECT("Tabela1["&amp;$B60&amp;"]"),Tabela1[Turno],$D60,Tabela1[Data Corrigida],V$3)/100,"")</f>
        <v/>
      </c>
      <c r="W60" s="34" t="str">
        <f ca="1">IFERROR(AVERAGEIFS(INDIRECT("Tabela1["&amp;$B60&amp;"]"),Tabela1[Turno],$D60,Tabela1[Data Corrigida],W$3)/100,"")</f>
        <v/>
      </c>
      <c r="X60" s="34" t="str">
        <f ca="1">IFERROR(AVERAGEIFS(INDIRECT("Tabela1["&amp;$B60&amp;"]"),Tabela1[Turno],$D60,Tabela1[Data Corrigida],X$3)/100,"")</f>
        <v/>
      </c>
      <c r="Y60" s="34" t="str">
        <f ca="1">IFERROR(AVERAGEIFS(INDIRECT("Tabela1["&amp;$B60&amp;"]"),Tabela1[Turno],$D60,Tabela1[Data Corrigida],Y$3)/100,"")</f>
        <v/>
      </c>
      <c r="Z60" s="34" t="str">
        <f ca="1">IFERROR(AVERAGEIFS(INDIRECT("Tabela1["&amp;$B60&amp;"]"),Tabela1[Turno],$D60,Tabela1[Data Corrigida],Z$3)/100,"")</f>
        <v/>
      </c>
      <c r="AA60" s="34" t="str">
        <f ca="1">IFERROR(AVERAGEIFS(INDIRECT("Tabela1["&amp;$B60&amp;"]"),Tabela1[Turno],$D60,Tabela1[Data Corrigida],AA$3)/100,"")</f>
        <v/>
      </c>
      <c r="AB60" s="34" t="str">
        <f ca="1">IFERROR(AVERAGEIFS(INDIRECT("Tabela1["&amp;$B60&amp;"]"),Tabela1[Turno],$D60,Tabela1[Data Corrigida],AB$3)/100,"")</f>
        <v/>
      </c>
      <c r="AC60" s="34" t="str">
        <f ca="1">IFERROR(AVERAGEIFS(INDIRECT("Tabela1["&amp;$B60&amp;"]"),Tabela1[Turno],$D60,Tabela1[Data Corrigida],AC$3)/100,"")</f>
        <v/>
      </c>
      <c r="AD60" s="34" t="str">
        <f ca="1">IFERROR(AVERAGEIFS(INDIRECT("Tabela1["&amp;$B60&amp;"]"),Tabela1[Turno],$D60,Tabela1[Data Corrigida],AD$3)/100,"")</f>
        <v/>
      </c>
      <c r="AE60" s="34" t="str">
        <f ca="1">IFERROR(AVERAGEIFS(INDIRECT("Tabela1["&amp;$B60&amp;"]"),Tabela1[Turno],$D60,Tabela1[Data Corrigida],AE$3)/100,"")</f>
        <v/>
      </c>
      <c r="AF60" s="34" t="str">
        <f ca="1">IFERROR(AVERAGEIFS(INDIRECT("Tabela1["&amp;$B60&amp;"]"),Tabela1[Turno],$D60,Tabela1[Data Corrigida],AF$3)/100,"")</f>
        <v/>
      </c>
      <c r="AG60" s="34" t="str">
        <f ca="1">IFERROR(AVERAGEIFS(INDIRECT("Tabela1["&amp;$B60&amp;"]"),Tabela1[Turno],$D60,Tabela1[Data Corrigida],AG$3)/100,"")</f>
        <v/>
      </c>
      <c r="AH60" s="34" t="str">
        <f ca="1">IFERROR(AVERAGEIFS(INDIRECT("Tabela1["&amp;$B60&amp;"]"),Tabela1[Turno],$D60,Tabela1[Data Corrigida],AH$3)/100,"")</f>
        <v/>
      </c>
      <c r="AI60" s="34" t="str">
        <f ca="1">IFERROR(AVERAGEIFS(INDIRECT("Tabela1["&amp;$B60&amp;"]"),Tabela1[Turno],$D60,Tabela1[Data Corrigida],AI$3)/100,"")</f>
        <v/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62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0.14047619047619048</v>
      </c>
      <c r="N61" s="36">
        <f ca="1">IFERROR(AVERAGEIFS(INDIRECT("Tabela1["&amp;$B61&amp;"]"),Tabela1[Turno],$D61,Tabela1[Mês],N$3)/100,"")</f>
        <v>0.19666666666666668</v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59"/>
      <c r="R61" s="35">
        <f ca="1">IFERROR(AVERAGEIFS(INDIRECT("Tabela1["&amp;$B61&amp;"]"),Tabela1[Turno],$D61,Tabela1[Data Corrigida],R$3)/100,"")</f>
        <v>0.19666666666666668</v>
      </c>
      <c r="S61" s="36" t="str">
        <f ca="1">IFERROR(AVERAGEIFS(INDIRECT("Tabela1["&amp;$B61&amp;"]"),Tabela1[Turno],$D61,Tabela1[Data Corrigida],S$3)/100,"")</f>
        <v/>
      </c>
      <c r="T61" s="36" t="str">
        <f ca="1">IFERROR(AVERAGEIFS(INDIRECT("Tabela1["&amp;$B61&amp;"]"),Tabela1[Turno],$D61,Tabela1[Data Corrigida],T$3)/100,"")</f>
        <v/>
      </c>
      <c r="U61" s="36" t="str">
        <f ca="1">IFERROR(AVERAGEIFS(INDIRECT("Tabela1["&amp;$B61&amp;"]"),Tabela1[Turno],$D61,Tabela1[Data Corrigida],U$3)/100,"")</f>
        <v/>
      </c>
      <c r="V61" s="36" t="str">
        <f ca="1">IFERROR(AVERAGEIFS(INDIRECT("Tabela1["&amp;$B61&amp;"]"),Tabela1[Turno],$D61,Tabela1[Data Corrigida],V$3)/100,"")</f>
        <v/>
      </c>
      <c r="W61" s="36" t="str">
        <f ca="1">IFERROR(AVERAGEIFS(INDIRECT("Tabela1["&amp;$B61&amp;"]"),Tabela1[Turno],$D61,Tabela1[Data Corrigida],W$3)/100,"")</f>
        <v/>
      </c>
      <c r="X61" s="36" t="str">
        <f ca="1">IFERROR(AVERAGEIFS(INDIRECT("Tabela1["&amp;$B61&amp;"]"),Tabela1[Turno],$D61,Tabela1[Data Corrigida],X$3)/100,"")</f>
        <v/>
      </c>
      <c r="Y61" s="36" t="str">
        <f ca="1">IFERROR(AVERAGEIFS(INDIRECT("Tabela1["&amp;$B61&amp;"]"),Tabela1[Turno],$D61,Tabela1[Data Corrigida],Y$3)/100,"")</f>
        <v/>
      </c>
      <c r="Z61" s="36" t="str">
        <f ca="1">IFERROR(AVERAGEIFS(INDIRECT("Tabela1["&amp;$B61&amp;"]"),Tabela1[Turno],$D61,Tabela1[Data Corrigida],Z$3)/100,"")</f>
        <v/>
      </c>
      <c r="AA61" s="36" t="str">
        <f ca="1">IFERROR(AVERAGEIFS(INDIRECT("Tabela1["&amp;$B61&amp;"]"),Tabela1[Turno],$D61,Tabela1[Data Corrigida],AA$3)/100,"")</f>
        <v/>
      </c>
      <c r="AB61" s="36" t="str">
        <f ca="1">IFERROR(AVERAGEIFS(INDIRECT("Tabela1["&amp;$B61&amp;"]"),Tabela1[Turno],$D61,Tabela1[Data Corrigida],AB$3)/100,"")</f>
        <v/>
      </c>
      <c r="AC61" s="36" t="str">
        <f ca="1">IFERROR(AVERAGEIFS(INDIRECT("Tabela1["&amp;$B61&amp;"]"),Tabela1[Turno],$D61,Tabela1[Data Corrigida],AC$3)/100,"")</f>
        <v/>
      </c>
      <c r="AD61" s="36" t="str">
        <f ca="1">IFERROR(AVERAGEIFS(INDIRECT("Tabela1["&amp;$B61&amp;"]"),Tabela1[Turno],$D61,Tabela1[Data Corrigida],AD$3)/100,"")</f>
        <v/>
      </c>
      <c r="AE61" s="36" t="str">
        <f ca="1">IFERROR(AVERAGEIFS(INDIRECT("Tabela1["&amp;$B61&amp;"]"),Tabela1[Turno],$D61,Tabela1[Data Corrigida],AE$3)/100,"")</f>
        <v/>
      </c>
      <c r="AF61" s="36" t="str">
        <f ca="1">IFERROR(AVERAGEIFS(INDIRECT("Tabela1["&amp;$B61&amp;"]"),Tabela1[Turno],$D61,Tabela1[Data Corrigida],AF$3)/100,"")</f>
        <v/>
      </c>
      <c r="AG61" s="36" t="str">
        <f ca="1">IFERROR(AVERAGEIFS(INDIRECT("Tabela1["&amp;$B61&amp;"]"),Tabela1[Turno],$D61,Tabela1[Data Corrigida],AG$3)/100,"")</f>
        <v/>
      </c>
      <c r="AH61" s="36" t="str">
        <f ca="1">IFERROR(AVERAGEIFS(INDIRECT("Tabela1["&amp;$B61&amp;"]"),Tabela1[Turno],$D61,Tabela1[Data Corrigida],AH$3)/100,"")</f>
        <v/>
      </c>
      <c r="AI61" s="36" t="str">
        <f ca="1">IFERROR(AVERAGEIFS(INDIRECT("Tabela1["&amp;$B61&amp;"]"),Tabela1[Turno],$D61,Tabela1[Data Corrigida],AI$3)/100,"")</f>
        <v/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3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0.18123287671232877</v>
      </c>
      <c r="N62" s="45">
        <f ca="1">IFERROR(AVERAGEIFS(INDIRECT("Tabela1["&amp;$B62&amp;"]"),Tabela1[Mês],N$3)/100,"")</f>
        <v>0.20714285714285716</v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0"/>
      <c r="R62" s="37">
        <f ca="1">IFERROR(AVERAGEIFS(INDIRECT("Tabela1["&amp;$B62&amp;"]"),Tabela1[Data Corrigida],R$3)/100,"")</f>
        <v>0.20714285714285716</v>
      </c>
      <c r="S62" s="38" t="str">
        <f ca="1">IFERROR(AVERAGEIFS(INDIRECT("Tabela1["&amp;$B62&amp;"]"),Tabela1[Data Corrigida],S$3)/100,"")</f>
        <v/>
      </c>
      <c r="T62" s="38" t="str">
        <f ca="1">IFERROR(AVERAGEIFS(INDIRECT("Tabela1["&amp;$B62&amp;"]"),Tabela1[Data Corrigida],T$3)/100,"")</f>
        <v/>
      </c>
      <c r="U62" s="38" t="str">
        <f ca="1">IFERROR(AVERAGEIFS(INDIRECT("Tabela1["&amp;$B62&amp;"]"),Tabela1[Data Corrigida],U$3)/100,"")</f>
        <v/>
      </c>
      <c r="V62" s="38" t="str">
        <f ca="1">IFERROR(AVERAGEIFS(INDIRECT("Tabela1["&amp;$B62&amp;"]"),Tabela1[Data Corrigida],V$3)/100,"")</f>
        <v/>
      </c>
      <c r="W62" s="38" t="str">
        <f ca="1">IFERROR(AVERAGEIFS(INDIRECT("Tabela1["&amp;$B62&amp;"]"),Tabela1[Data Corrigida],W$3)/100,"")</f>
        <v/>
      </c>
      <c r="X62" s="38" t="str">
        <f ca="1">IFERROR(AVERAGEIFS(INDIRECT("Tabela1["&amp;$B62&amp;"]"),Tabela1[Data Corrigida],X$3)/100,"")</f>
        <v/>
      </c>
      <c r="Y62" s="38" t="str">
        <f ca="1">IFERROR(AVERAGEIFS(INDIRECT("Tabela1["&amp;$B62&amp;"]"),Tabela1[Data Corrigida],Y$3)/100,"")</f>
        <v/>
      </c>
      <c r="Z62" s="38" t="str">
        <f ca="1">IFERROR(AVERAGEIFS(INDIRECT("Tabela1["&amp;$B62&amp;"]"),Tabela1[Data Corrigida],Z$3)/100,"")</f>
        <v/>
      </c>
      <c r="AA62" s="38" t="str">
        <f ca="1">IFERROR(AVERAGEIFS(INDIRECT("Tabela1["&amp;$B62&amp;"]"),Tabela1[Data Corrigida],AA$3)/100,"")</f>
        <v/>
      </c>
      <c r="AB62" s="38" t="str">
        <f ca="1">IFERROR(AVERAGEIFS(INDIRECT("Tabela1["&amp;$B62&amp;"]"),Tabela1[Data Corrigida],AB$3)/100,"")</f>
        <v/>
      </c>
      <c r="AC62" s="38" t="str">
        <f ca="1">IFERROR(AVERAGEIFS(INDIRECT("Tabela1["&amp;$B62&amp;"]"),Tabela1[Data Corrigida],AC$3)/100,"")</f>
        <v/>
      </c>
      <c r="AD62" s="38" t="str">
        <f ca="1">IFERROR(AVERAGEIFS(INDIRECT("Tabela1["&amp;$B62&amp;"]"),Tabela1[Data Corrigida],AD$3)/100,"")</f>
        <v/>
      </c>
      <c r="AE62" s="38" t="str">
        <f ca="1">IFERROR(AVERAGEIFS(INDIRECT("Tabela1["&amp;$B62&amp;"]"),Tabela1[Data Corrigida],AE$3)/100,"")</f>
        <v/>
      </c>
      <c r="AF62" s="38" t="str">
        <f ca="1">IFERROR(AVERAGEIFS(INDIRECT("Tabela1["&amp;$B62&amp;"]"),Tabela1[Data Corrigida],AF$3)/100,"")</f>
        <v/>
      </c>
      <c r="AG62" s="38" t="str">
        <f ca="1">IFERROR(AVERAGEIFS(INDIRECT("Tabela1["&amp;$B62&amp;"]"),Tabela1[Data Corrigida],AG$3)/100,"")</f>
        <v/>
      </c>
      <c r="AH62" s="38" t="str">
        <f ca="1">IFERROR(AVERAGEIFS(INDIRECT("Tabela1["&amp;$B62&amp;"]"),Tabela1[Data Corrigida],AH$3)/100,"")</f>
        <v/>
      </c>
      <c r="AI62" s="38" t="str">
        <f ca="1">IFERROR(AVERAGEIFS(INDIRECT("Tabela1["&amp;$B62&amp;"]"),Tabela1[Data Corrigida],AI$3)/100,"")</f>
        <v/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61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0.17048192771084339</v>
      </c>
      <c r="N63" s="34">
        <f ca="1">IFERROR(AVERAGEIFS(INDIRECT("Tabela1["&amp;$B63&amp;"]"),Tabela1[Turno],$D63,Tabela1[Mês],N$3)/100,"")</f>
        <v>0.1925</v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58">
        <v>0.15</v>
      </c>
      <c r="R63" s="39">
        <f ca="1">IFERROR(AVERAGEIFS(INDIRECT("Tabela1["&amp;$B63&amp;"]"),Tabela1[Turno],$D63,Tabela1[Data Corrigida],R$3)/100,"")</f>
        <v>0.1925</v>
      </c>
      <c r="S63" s="40" t="str">
        <f ca="1">IFERROR(AVERAGEIFS(INDIRECT("Tabela1["&amp;$B63&amp;"]"),Tabela1[Turno],$D63,Tabela1[Data Corrigida],S$3)/100,"")</f>
        <v/>
      </c>
      <c r="T63" s="40" t="str">
        <f ca="1">IFERROR(AVERAGEIFS(INDIRECT("Tabela1["&amp;$B63&amp;"]"),Tabela1[Turno],$D63,Tabela1[Data Corrigida],T$3)/100,"")</f>
        <v/>
      </c>
      <c r="U63" s="40" t="str">
        <f ca="1">IFERROR(AVERAGEIFS(INDIRECT("Tabela1["&amp;$B63&amp;"]"),Tabela1[Turno],$D63,Tabela1[Data Corrigida],U$3)/100,"")</f>
        <v/>
      </c>
      <c r="V63" s="40" t="str">
        <f ca="1">IFERROR(AVERAGEIFS(INDIRECT("Tabela1["&amp;$B63&amp;"]"),Tabela1[Turno],$D63,Tabela1[Data Corrigida],V$3)/100,"")</f>
        <v/>
      </c>
      <c r="W63" s="40" t="str">
        <f ca="1">IFERROR(AVERAGEIFS(INDIRECT("Tabela1["&amp;$B63&amp;"]"),Tabela1[Turno],$D63,Tabela1[Data Corrigida],W$3)/100,"")</f>
        <v/>
      </c>
      <c r="X63" s="40" t="str">
        <f ca="1">IFERROR(AVERAGEIFS(INDIRECT("Tabela1["&amp;$B63&amp;"]"),Tabela1[Turno],$D63,Tabela1[Data Corrigida],X$3)/100,"")</f>
        <v/>
      </c>
      <c r="Y63" s="40" t="str">
        <f ca="1">IFERROR(AVERAGEIFS(INDIRECT("Tabela1["&amp;$B63&amp;"]"),Tabela1[Turno],$D63,Tabela1[Data Corrigida],Y$3)/100,"")</f>
        <v/>
      </c>
      <c r="Z63" s="40" t="str">
        <f ca="1">IFERROR(AVERAGEIFS(INDIRECT("Tabela1["&amp;$B63&amp;"]"),Tabela1[Turno],$D63,Tabela1[Data Corrigida],Z$3)/100,"")</f>
        <v/>
      </c>
      <c r="AA63" s="40" t="str">
        <f ca="1">IFERROR(AVERAGEIFS(INDIRECT("Tabela1["&amp;$B63&amp;"]"),Tabela1[Turno],$D63,Tabela1[Data Corrigida],AA$3)/100,"")</f>
        <v/>
      </c>
      <c r="AB63" s="40" t="str">
        <f ca="1">IFERROR(AVERAGEIFS(INDIRECT("Tabela1["&amp;$B63&amp;"]"),Tabela1[Turno],$D63,Tabela1[Data Corrigida],AB$3)/100,"")</f>
        <v/>
      </c>
      <c r="AC63" s="40" t="str">
        <f ca="1">IFERROR(AVERAGEIFS(INDIRECT("Tabela1["&amp;$B63&amp;"]"),Tabela1[Turno],$D63,Tabela1[Data Corrigida],AC$3)/100,"")</f>
        <v/>
      </c>
      <c r="AD63" s="40" t="str">
        <f ca="1">IFERROR(AVERAGEIFS(INDIRECT("Tabela1["&amp;$B63&amp;"]"),Tabela1[Turno],$D63,Tabela1[Data Corrigida],AD$3)/100,"")</f>
        <v/>
      </c>
      <c r="AE63" s="40" t="str">
        <f ca="1">IFERROR(AVERAGEIFS(INDIRECT("Tabela1["&amp;$B63&amp;"]"),Tabela1[Turno],$D63,Tabela1[Data Corrigida],AE$3)/100,"")</f>
        <v/>
      </c>
      <c r="AF63" s="40" t="str">
        <f ca="1">IFERROR(AVERAGEIFS(INDIRECT("Tabela1["&amp;$B63&amp;"]"),Tabela1[Turno],$D63,Tabela1[Data Corrigida],AF$3)/100,"")</f>
        <v/>
      </c>
      <c r="AG63" s="40" t="str">
        <f ca="1">IFERROR(AVERAGEIFS(INDIRECT("Tabela1["&amp;$B63&amp;"]"),Tabela1[Turno],$D63,Tabela1[Data Corrigida],AG$3)/100,"")</f>
        <v/>
      </c>
      <c r="AH63" s="40" t="str">
        <f ca="1">IFERROR(AVERAGEIFS(INDIRECT("Tabela1["&amp;$B63&amp;"]"),Tabela1[Turno],$D63,Tabela1[Data Corrigida],AH$3)/100,"")</f>
        <v/>
      </c>
      <c r="AI63" s="40" t="str">
        <f ca="1">IFERROR(AVERAGEIFS(INDIRECT("Tabela1["&amp;$B63&amp;"]"),Tabela1[Turno],$D63,Tabela1[Data Corrigida],AI$3)/100,"")</f>
        <v/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62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0.10412698412698412</v>
      </c>
      <c r="N64" s="36">
        <f ca="1">IFERROR(AVERAGEIFS(INDIRECT("Tabela1["&amp;$B64&amp;"]"),Tabela1[Turno],$D64,Tabela1[Mês],N$3)/100,"")</f>
        <v>0.15333333333333335</v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59"/>
      <c r="R64" s="35">
        <f ca="1">IFERROR(AVERAGEIFS(INDIRECT("Tabela1["&amp;$B64&amp;"]"),Tabela1[Turno],$D64,Tabela1[Data Corrigida],R$3)/100,"")</f>
        <v>0.15333333333333335</v>
      </c>
      <c r="S64" s="36" t="str">
        <f ca="1">IFERROR(AVERAGEIFS(INDIRECT("Tabela1["&amp;$B64&amp;"]"),Tabela1[Turno],$D64,Tabela1[Data Corrigida],S$3)/100,"")</f>
        <v/>
      </c>
      <c r="T64" s="36" t="str">
        <f ca="1">IFERROR(AVERAGEIFS(INDIRECT("Tabela1["&amp;$B64&amp;"]"),Tabela1[Turno],$D64,Tabela1[Data Corrigida],T$3)/100,"")</f>
        <v/>
      </c>
      <c r="U64" s="36" t="str">
        <f ca="1">IFERROR(AVERAGEIFS(INDIRECT("Tabela1["&amp;$B64&amp;"]"),Tabela1[Turno],$D64,Tabela1[Data Corrigida],U$3)/100,"")</f>
        <v/>
      </c>
      <c r="V64" s="36" t="str">
        <f ca="1">IFERROR(AVERAGEIFS(INDIRECT("Tabela1["&amp;$B64&amp;"]"),Tabela1[Turno],$D64,Tabela1[Data Corrigida],V$3)/100,"")</f>
        <v/>
      </c>
      <c r="W64" s="36" t="str">
        <f ca="1">IFERROR(AVERAGEIFS(INDIRECT("Tabela1["&amp;$B64&amp;"]"),Tabela1[Turno],$D64,Tabela1[Data Corrigida],W$3)/100,"")</f>
        <v/>
      </c>
      <c r="X64" s="36" t="str">
        <f ca="1">IFERROR(AVERAGEIFS(INDIRECT("Tabela1["&amp;$B64&amp;"]"),Tabela1[Turno],$D64,Tabela1[Data Corrigida],X$3)/100,"")</f>
        <v/>
      </c>
      <c r="Y64" s="36" t="str">
        <f ca="1">IFERROR(AVERAGEIFS(INDIRECT("Tabela1["&amp;$B64&amp;"]"),Tabela1[Turno],$D64,Tabela1[Data Corrigida],Y$3)/100,"")</f>
        <v/>
      </c>
      <c r="Z64" s="36" t="str">
        <f ca="1">IFERROR(AVERAGEIFS(INDIRECT("Tabela1["&amp;$B64&amp;"]"),Tabela1[Turno],$D64,Tabela1[Data Corrigida],Z$3)/100,"")</f>
        <v/>
      </c>
      <c r="AA64" s="36" t="str">
        <f ca="1">IFERROR(AVERAGEIFS(INDIRECT("Tabela1["&amp;$B64&amp;"]"),Tabela1[Turno],$D64,Tabela1[Data Corrigida],AA$3)/100,"")</f>
        <v/>
      </c>
      <c r="AB64" s="36" t="str">
        <f ca="1">IFERROR(AVERAGEIFS(INDIRECT("Tabela1["&amp;$B64&amp;"]"),Tabela1[Turno],$D64,Tabela1[Data Corrigida],AB$3)/100,"")</f>
        <v/>
      </c>
      <c r="AC64" s="36" t="str">
        <f ca="1">IFERROR(AVERAGEIFS(INDIRECT("Tabela1["&amp;$B64&amp;"]"),Tabela1[Turno],$D64,Tabela1[Data Corrigida],AC$3)/100,"")</f>
        <v/>
      </c>
      <c r="AD64" s="36" t="str">
        <f ca="1">IFERROR(AVERAGEIFS(INDIRECT("Tabela1["&amp;$B64&amp;"]"),Tabela1[Turno],$D64,Tabela1[Data Corrigida],AD$3)/100,"")</f>
        <v/>
      </c>
      <c r="AE64" s="36" t="str">
        <f ca="1">IFERROR(AVERAGEIFS(INDIRECT("Tabela1["&amp;$B64&amp;"]"),Tabela1[Turno],$D64,Tabela1[Data Corrigida],AE$3)/100,"")</f>
        <v/>
      </c>
      <c r="AF64" s="36" t="str">
        <f ca="1">IFERROR(AVERAGEIFS(INDIRECT("Tabela1["&amp;$B64&amp;"]"),Tabela1[Turno],$D64,Tabela1[Data Corrigida],AF$3)/100,"")</f>
        <v/>
      </c>
      <c r="AG64" s="36" t="str">
        <f ca="1">IFERROR(AVERAGEIFS(INDIRECT("Tabela1["&amp;$B64&amp;"]"),Tabela1[Turno],$D64,Tabela1[Data Corrigida],AG$3)/100,"")</f>
        <v/>
      </c>
      <c r="AH64" s="36" t="str">
        <f ca="1">IFERROR(AVERAGEIFS(INDIRECT("Tabela1["&amp;$B64&amp;"]"),Tabela1[Turno],$D64,Tabela1[Data Corrigida],AH$3)/100,"")</f>
        <v/>
      </c>
      <c r="AI64" s="36" t="str">
        <f ca="1">IFERROR(AVERAGEIFS(INDIRECT("Tabela1["&amp;$B64&amp;"]"),Tabela1[Turno],$D64,Tabela1[Data Corrigida],AI$3)/100,"")</f>
        <v/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3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0.14184931506849316</v>
      </c>
      <c r="N65" s="45">
        <f ca="1">IFERROR(AVERAGEIFS(INDIRECT("Tabela1["&amp;$B65&amp;"]"),Tabela1[Mês],N$3)/100,"")</f>
        <v>0.17571428571428574</v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0"/>
      <c r="R65" s="37">
        <f ca="1">IFERROR(AVERAGEIFS(INDIRECT("Tabela1["&amp;$B65&amp;"]"),Tabela1[Data Corrigida],R$3)/100,"")</f>
        <v>0.17571428571428574</v>
      </c>
      <c r="S65" s="38" t="str">
        <f ca="1">IFERROR(AVERAGEIFS(INDIRECT("Tabela1["&amp;$B65&amp;"]"),Tabela1[Data Corrigida],S$3)/100,"")</f>
        <v/>
      </c>
      <c r="T65" s="38" t="str">
        <f ca="1">IFERROR(AVERAGEIFS(INDIRECT("Tabela1["&amp;$B65&amp;"]"),Tabela1[Data Corrigida],T$3)/100,"")</f>
        <v/>
      </c>
      <c r="U65" s="38" t="str">
        <f ca="1">IFERROR(AVERAGEIFS(INDIRECT("Tabela1["&amp;$B65&amp;"]"),Tabela1[Data Corrigida],U$3)/100,"")</f>
        <v/>
      </c>
      <c r="V65" s="38" t="str">
        <f ca="1">IFERROR(AVERAGEIFS(INDIRECT("Tabela1["&amp;$B65&amp;"]"),Tabela1[Data Corrigida],V$3)/100,"")</f>
        <v/>
      </c>
      <c r="W65" s="38" t="str">
        <f ca="1">IFERROR(AVERAGEIFS(INDIRECT("Tabela1["&amp;$B65&amp;"]"),Tabela1[Data Corrigida],W$3)/100,"")</f>
        <v/>
      </c>
      <c r="X65" s="38" t="str">
        <f ca="1">IFERROR(AVERAGEIFS(INDIRECT("Tabela1["&amp;$B65&amp;"]"),Tabela1[Data Corrigida],X$3)/100,"")</f>
        <v/>
      </c>
      <c r="Y65" s="38" t="str">
        <f ca="1">IFERROR(AVERAGEIFS(INDIRECT("Tabela1["&amp;$B65&amp;"]"),Tabela1[Data Corrigida],Y$3)/100,"")</f>
        <v/>
      </c>
      <c r="Z65" s="38" t="str">
        <f ca="1">IFERROR(AVERAGEIFS(INDIRECT("Tabela1["&amp;$B65&amp;"]"),Tabela1[Data Corrigida],Z$3)/100,"")</f>
        <v/>
      </c>
      <c r="AA65" s="38" t="str">
        <f ca="1">IFERROR(AVERAGEIFS(INDIRECT("Tabela1["&amp;$B65&amp;"]"),Tabela1[Data Corrigida],AA$3)/100,"")</f>
        <v/>
      </c>
      <c r="AB65" s="38" t="str">
        <f ca="1">IFERROR(AVERAGEIFS(INDIRECT("Tabela1["&amp;$B65&amp;"]"),Tabela1[Data Corrigida],AB$3)/100,"")</f>
        <v/>
      </c>
      <c r="AC65" s="38" t="str">
        <f ca="1">IFERROR(AVERAGEIFS(INDIRECT("Tabela1["&amp;$B65&amp;"]"),Tabela1[Data Corrigida],AC$3)/100,"")</f>
        <v/>
      </c>
      <c r="AD65" s="38" t="str">
        <f ca="1">IFERROR(AVERAGEIFS(INDIRECT("Tabela1["&amp;$B65&amp;"]"),Tabela1[Data Corrigida],AD$3)/100,"")</f>
        <v/>
      </c>
      <c r="AE65" s="38" t="str">
        <f ca="1">IFERROR(AVERAGEIFS(INDIRECT("Tabela1["&amp;$B65&amp;"]"),Tabela1[Data Corrigida],AE$3)/100,"")</f>
        <v/>
      </c>
      <c r="AF65" s="38" t="str">
        <f ca="1">IFERROR(AVERAGEIFS(INDIRECT("Tabela1["&amp;$B65&amp;"]"),Tabela1[Data Corrigida],AF$3)/100,"")</f>
        <v/>
      </c>
      <c r="AG65" s="38" t="str">
        <f ca="1">IFERROR(AVERAGEIFS(INDIRECT("Tabela1["&amp;$B65&amp;"]"),Tabela1[Data Corrigida],AG$3)/100,"")</f>
        <v/>
      </c>
      <c r="AH65" s="38" t="str">
        <f ca="1">IFERROR(AVERAGEIFS(INDIRECT("Tabela1["&amp;$B65&amp;"]"),Tabela1[Data Corrigida],AH$3)/100,"")</f>
        <v/>
      </c>
      <c r="AI65" s="38" t="str">
        <f ca="1">IFERROR(AVERAGEIFS(INDIRECT("Tabela1["&amp;$B65&amp;"]"),Tabela1[Data Corrigida],AI$3)/100,"")</f>
        <v/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61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1.7992424242424244E-2</v>
      </c>
      <c r="N66" s="34">
        <f ca="1">IFERROR(AVERAGEIFS(INDIRECT("Tabela1["&amp;$B66&amp;"]"),Tabela1[Turno],$D66,Tabela1[Mês],N$3)/32,"")</f>
        <v>1.0416666666666666E-2</v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58">
        <v>0.03</v>
      </c>
      <c r="R66" s="33">
        <f ca="1">IFERROR(AVERAGEIFS(INDIRECT("Tabela1["&amp;$B66&amp;"]"),Tabela1[Turno],$D66,Tabela1[Data Corrigida],R$3)/32,"")</f>
        <v>1.0416666666666666E-2</v>
      </c>
      <c r="S66" s="34" t="str">
        <f ca="1">IFERROR(AVERAGEIFS(INDIRECT("Tabela1["&amp;$B66&amp;"]"),Tabela1[Turno],$D66,Tabela1[Data Corrigida],S$3)/32,"")</f>
        <v/>
      </c>
      <c r="T66" s="34" t="str">
        <f ca="1">IFERROR(AVERAGEIFS(INDIRECT("Tabela1["&amp;$B66&amp;"]"),Tabela1[Turno],$D66,Tabela1[Data Corrigida],T$3)/32,"")</f>
        <v/>
      </c>
      <c r="U66" s="34" t="str">
        <f ca="1">IFERROR(AVERAGEIFS(INDIRECT("Tabela1["&amp;$B66&amp;"]"),Tabela1[Turno],$D66,Tabela1[Data Corrigida],U$3)/32,"")</f>
        <v/>
      </c>
      <c r="V66" s="34" t="str">
        <f ca="1">IFERROR(AVERAGEIFS(INDIRECT("Tabela1["&amp;$B66&amp;"]"),Tabela1[Turno],$D66,Tabela1[Data Corrigida],V$3)/32,"")</f>
        <v/>
      </c>
      <c r="W66" s="34" t="str">
        <f ca="1">IFERROR(AVERAGEIFS(INDIRECT("Tabela1["&amp;$B66&amp;"]"),Tabela1[Turno],$D66,Tabela1[Data Corrigida],W$3)/32,"")</f>
        <v/>
      </c>
      <c r="X66" s="34" t="str">
        <f ca="1">IFERROR(AVERAGEIFS(INDIRECT("Tabela1["&amp;$B66&amp;"]"),Tabela1[Turno],$D66,Tabela1[Data Corrigida],X$3)/32,"")</f>
        <v/>
      </c>
      <c r="Y66" s="34" t="str">
        <f ca="1">IFERROR(AVERAGEIFS(INDIRECT("Tabela1["&amp;$B66&amp;"]"),Tabela1[Turno],$D66,Tabela1[Data Corrigida],Y$3)/32,"")</f>
        <v/>
      </c>
      <c r="Z66" s="34" t="str">
        <f ca="1">IFERROR(AVERAGEIFS(INDIRECT("Tabela1["&amp;$B66&amp;"]"),Tabela1[Turno],$D66,Tabela1[Data Corrigida],Z$3)/32,"")</f>
        <v/>
      </c>
      <c r="AA66" s="34" t="str">
        <f ca="1">IFERROR(AVERAGEIFS(INDIRECT("Tabela1["&amp;$B66&amp;"]"),Tabela1[Turno],$D66,Tabela1[Data Corrigida],AA$3)/32,"")</f>
        <v/>
      </c>
      <c r="AB66" s="34" t="str">
        <f ca="1">IFERROR(AVERAGEIFS(INDIRECT("Tabela1["&amp;$B66&amp;"]"),Tabela1[Turno],$D66,Tabela1[Data Corrigida],AB$3)/32,"")</f>
        <v/>
      </c>
      <c r="AC66" s="34" t="str">
        <f ca="1">IFERROR(AVERAGEIFS(INDIRECT("Tabela1["&amp;$B66&amp;"]"),Tabela1[Turno],$D66,Tabela1[Data Corrigida],AC$3)/32,"")</f>
        <v/>
      </c>
      <c r="AD66" s="34" t="str">
        <f ca="1">IFERROR(AVERAGEIFS(INDIRECT("Tabela1["&amp;$B66&amp;"]"),Tabela1[Turno],$D66,Tabela1[Data Corrigida],AD$3)/32,"")</f>
        <v/>
      </c>
      <c r="AE66" s="34" t="str">
        <f ca="1">IFERROR(AVERAGEIFS(INDIRECT("Tabela1["&amp;$B66&amp;"]"),Tabela1[Turno],$D66,Tabela1[Data Corrigida],AE$3)/32,"")</f>
        <v/>
      </c>
      <c r="AF66" s="34" t="str">
        <f ca="1">IFERROR(AVERAGEIFS(INDIRECT("Tabela1["&amp;$B66&amp;"]"),Tabela1[Turno],$D66,Tabela1[Data Corrigida],AF$3)/32,"")</f>
        <v/>
      </c>
      <c r="AG66" s="34" t="str">
        <f ca="1">IFERROR(AVERAGEIFS(INDIRECT("Tabela1["&amp;$B66&amp;"]"),Tabela1[Turno],$D66,Tabela1[Data Corrigida],AG$3)/32,"")</f>
        <v/>
      </c>
      <c r="AH66" s="34" t="str">
        <f ca="1">IFERROR(AVERAGEIFS(INDIRECT("Tabela1["&amp;$B66&amp;"]"),Tabela1[Turno],$D66,Tabela1[Data Corrigida],AH$3)/32,"")</f>
        <v/>
      </c>
      <c r="AI66" s="34" t="str">
        <f ca="1">IFERROR(AVERAGEIFS(INDIRECT("Tabela1["&amp;$B66&amp;"]"),Tabela1[Turno],$D66,Tabela1[Data Corrigida],AI$3)/32,"")</f>
        <v/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62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9.8790322580645157E-2</v>
      </c>
      <c r="N67" s="36">
        <f ca="1">IFERROR(AVERAGEIFS(INDIRECT("Tabela1["&amp;$B67&amp;"]"),Tabela1[Turno],$D67,Tabela1[Mês],N$3)/32,"")</f>
        <v>6.25E-2</v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59"/>
      <c r="R67" s="35">
        <f ca="1">IFERROR(AVERAGEIFS(INDIRECT("Tabela1["&amp;$B67&amp;"]"),Tabela1[Turno],$D67,Tabela1[Data Corrigida],R$3)/32,"")</f>
        <v>6.25E-2</v>
      </c>
      <c r="S67" s="36" t="str">
        <f ca="1">IFERROR(AVERAGEIFS(INDIRECT("Tabela1["&amp;$B67&amp;"]"),Tabela1[Turno],$D67,Tabela1[Data Corrigida],S$3)/32,"")</f>
        <v/>
      </c>
      <c r="T67" s="36" t="str">
        <f ca="1">IFERROR(AVERAGEIFS(INDIRECT("Tabela1["&amp;$B67&amp;"]"),Tabela1[Turno],$D67,Tabela1[Data Corrigida],T$3)/32,"")</f>
        <v/>
      </c>
      <c r="U67" s="36" t="str">
        <f ca="1">IFERROR(AVERAGEIFS(INDIRECT("Tabela1["&amp;$B67&amp;"]"),Tabela1[Turno],$D67,Tabela1[Data Corrigida],U$3)/32,"")</f>
        <v/>
      </c>
      <c r="V67" s="36" t="str">
        <f ca="1">IFERROR(AVERAGEIFS(INDIRECT("Tabela1["&amp;$B67&amp;"]"),Tabela1[Turno],$D67,Tabela1[Data Corrigida],V$3)/32,"")</f>
        <v/>
      </c>
      <c r="W67" s="36" t="str">
        <f ca="1">IFERROR(AVERAGEIFS(INDIRECT("Tabela1["&amp;$B67&amp;"]"),Tabela1[Turno],$D67,Tabela1[Data Corrigida],W$3)/32,"")</f>
        <v/>
      </c>
      <c r="X67" s="36" t="str">
        <f ca="1">IFERROR(AVERAGEIFS(INDIRECT("Tabela1["&amp;$B67&amp;"]"),Tabela1[Turno],$D67,Tabela1[Data Corrigida],X$3)/32,"")</f>
        <v/>
      </c>
      <c r="Y67" s="36" t="str">
        <f ca="1">IFERROR(AVERAGEIFS(INDIRECT("Tabela1["&amp;$B67&amp;"]"),Tabela1[Turno],$D67,Tabela1[Data Corrigida],Y$3)/32,"")</f>
        <v/>
      </c>
      <c r="Z67" s="36" t="str">
        <f ca="1">IFERROR(AVERAGEIFS(INDIRECT("Tabela1["&amp;$B67&amp;"]"),Tabela1[Turno],$D67,Tabela1[Data Corrigida],Z$3)/32,"")</f>
        <v/>
      </c>
      <c r="AA67" s="36" t="str">
        <f ca="1">IFERROR(AVERAGEIFS(INDIRECT("Tabela1["&amp;$B67&amp;"]"),Tabela1[Turno],$D67,Tabela1[Data Corrigida],AA$3)/32,"")</f>
        <v/>
      </c>
      <c r="AB67" s="36" t="str">
        <f ca="1">IFERROR(AVERAGEIFS(INDIRECT("Tabela1["&amp;$B67&amp;"]"),Tabela1[Turno],$D67,Tabela1[Data Corrigida],AB$3)/32,"")</f>
        <v/>
      </c>
      <c r="AC67" s="36" t="str">
        <f ca="1">IFERROR(AVERAGEIFS(INDIRECT("Tabela1["&amp;$B67&amp;"]"),Tabela1[Turno],$D67,Tabela1[Data Corrigida],AC$3)/32,"")</f>
        <v/>
      </c>
      <c r="AD67" s="36" t="str">
        <f ca="1">IFERROR(AVERAGEIFS(INDIRECT("Tabela1["&amp;$B67&amp;"]"),Tabela1[Turno],$D67,Tabela1[Data Corrigida],AD$3)/32,"")</f>
        <v/>
      </c>
      <c r="AE67" s="36" t="str">
        <f ca="1">IFERROR(AVERAGEIFS(INDIRECT("Tabela1["&amp;$B67&amp;"]"),Tabela1[Turno],$D67,Tabela1[Data Corrigida],AE$3)/32,"")</f>
        <v/>
      </c>
      <c r="AF67" s="36" t="str">
        <f ca="1">IFERROR(AVERAGEIFS(INDIRECT("Tabela1["&amp;$B67&amp;"]"),Tabela1[Turno],$D67,Tabela1[Data Corrigida],AF$3)/32,"")</f>
        <v/>
      </c>
      <c r="AG67" s="36" t="str">
        <f ca="1">IFERROR(AVERAGEIFS(INDIRECT("Tabela1["&amp;$B67&amp;"]"),Tabela1[Turno],$D67,Tabela1[Data Corrigida],AG$3)/32,"")</f>
        <v/>
      </c>
      <c r="AH67" s="36" t="str">
        <f ca="1">IFERROR(AVERAGEIFS(INDIRECT("Tabela1["&amp;$B67&amp;"]"),Tabela1[Turno],$D67,Tabela1[Data Corrigida],AH$3)/32,"")</f>
        <v/>
      </c>
      <c r="AI67" s="36" t="str">
        <f ca="1">IFERROR(AVERAGEIFS(INDIRECT("Tabela1["&amp;$B67&amp;"]"),Tabela1[Turno],$D67,Tabela1[Data Corrigida],AI$3)/32,"")</f>
        <v/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3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7.0723684210526314E-2</v>
      </c>
      <c r="N68" s="45">
        <f ca="1">IFERROR(AVERAGEIFS(INDIRECT("Tabela1["&amp;$B68&amp;"]"),Tabela1[Mês],N$3)/32,"")</f>
        <v>3.6458333333333336E-2</v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0"/>
      <c r="R68" s="37">
        <f ca="1">IFERROR(AVERAGEIFS(INDIRECT("Tabela1["&amp;$B68&amp;"]"),Tabela1[Data Corrigida],R$3)/32,"")</f>
        <v>3.6458333333333336E-2</v>
      </c>
      <c r="S68" s="38" t="str">
        <f ca="1">IFERROR(AVERAGEIFS(INDIRECT("Tabela1["&amp;$B68&amp;"]"),Tabela1[Data Corrigida],S$3)/32,"")</f>
        <v/>
      </c>
      <c r="T68" s="38" t="str">
        <f ca="1">IFERROR(AVERAGEIFS(INDIRECT("Tabela1["&amp;$B68&amp;"]"),Tabela1[Data Corrigida],T$3)/32,"")</f>
        <v/>
      </c>
      <c r="U68" s="38" t="str">
        <f ca="1">IFERROR(AVERAGEIFS(INDIRECT("Tabela1["&amp;$B68&amp;"]"),Tabela1[Data Corrigida],U$3)/32,"")</f>
        <v/>
      </c>
      <c r="V68" s="38" t="str">
        <f ca="1">IFERROR(AVERAGEIFS(INDIRECT("Tabela1["&amp;$B68&amp;"]"),Tabela1[Data Corrigida],V$3)/32,"")</f>
        <v/>
      </c>
      <c r="W68" s="38" t="str">
        <f ca="1">IFERROR(AVERAGEIFS(INDIRECT("Tabela1["&amp;$B68&amp;"]"),Tabela1[Data Corrigida],W$3)/32,"")</f>
        <v/>
      </c>
      <c r="X68" s="38" t="str">
        <f ca="1">IFERROR(AVERAGEIFS(INDIRECT("Tabela1["&amp;$B68&amp;"]"),Tabela1[Data Corrigida],X$3)/32,"")</f>
        <v/>
      </c>
      <c r="Y68" s="38" t="str">
        <f ca="1">IFERROR(AVERAGEIFS(INDIRECT("Tabela1["&amp;$B68&amp;"]"),Tabela1[Data Corrigida],Y$3)/32,"")</f>
        <v/>
      </c>
      <c r="Z68" s="38" t="str">
        <f ca="1">IFERROR(AVERAGEIFS(INDIRECT("Tabela1["&amp;$B68&amp;"]"),Tabela1[Data Corrigida],Z$3)/32,"")</f>
        <v/>
      </c>
      <c r="AA68" s="38" t="str">
        <f ca="1">IFERROR(AVERAGEIFS(INDIRECT("Tabela1["&amp;$B68&amp;"]"),Tabela1[Data Corrigida],AA$3)/32,"")</f>
        <v/>
      </c>
      <c r="AB68" s="38" t="str">
        <f ca="1">IFERROR(AVERAGEIFS(INDIRECT("Tabela1["&amp;$B68&amp;"]"),Tabela1[Data Corrigida],AB$3)/32,"")</f>
        <v/>
      </c>
      <c r="AC68" s="38" t="str">
        <f ca="1">IFERROR(AVERAGEIFS(INDIRECT("Tabela1["&amp;$B68&amp;"]"),Tabela1[Data Corrigida],AC$3)/32,"")</f>
        <v/>
      </c>
      <c r="AD68" s="38" t="str">
        <f ca="1">IFERROR(AVERAGEIFS(INDIRECT("Tabela1["&amp;$B68&amp;"]"),Tabela1[Data Corrigida],AD$3)/32,"")</f>
        <v/>
      </c>
      <c r="AE68" s="38" t="str">
        <f ca="1">IFERROR(AVERAGEIFS(INDIRECT("Tabela1["&amp;$B68&amp;"]"),Tabela1[Data Corrigida],AE$3)/32,"")</f>
        <v/>
      </c>
      <c r="AF68" s="38" t="str">
        <f ca="1">IFERROR(AVERAGEIFS(INDIRECT("Tabela1["&amp;$B68&amp;"]"),Tabela1[Data Corrigida],AF$3)/32,"")</f>
        <v/>
      </c>
      <c r="AG68" s="38" t="str">
        <f ca="1">IFERROR(AVERAGEIFS(INDIRECT("Tabela1["&amp;$B68&amp;"]"),Tabela1[Data Corrigida],AG$3)/32,"")</f>
        <v/>
      </c>
      <c r="AH68" s="38" t="str">
        <f ca="1">IFERROR(AVERAGEIFS(INDIRECT("Tabela1["&amp;$B68&amp;"]"),Tabela1[Data Corrigida],AH$3)/32,"")</f>
        <v/>
      </c>
      <c r="AI68" s="38" t="str">
        <f ca="1">IFERROR(AVERAGEIFS(INDIRECT("Tabela1["&amp;$B68&amp;"]"),Tabela1[Data Corrigida],AI$3)/32,"")</f>
        <v/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61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>
        <f ca="1">IFERROR(AVERAGEIFS(INDIRECT("Tabela1["&amp;$B69&amp;"]"),Tabela1[Turno],$D69,Tabela1[Mês],N$3)/32,"")</f>
        <v>0</v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58">
        <v>0</v>
      </c>
      <c r="R69" s="33">
        <f ca="1">IFERROR(AVERAGEIFS(INDIRECT("Tabela1["&amp;$B69&amp;"]"),Tabela1[Turno],$D69,Tabela1[Data Corrigida],R$3)/32,"")</f>
        <v>0</v>
      </c>
      <c r="S69" s="34" t="str">
        <f ca="1">IFERROR(AVERAGEIFS(INDIRECT("Tabela1["&amp;$B69&amp;"]"),Tabela1[Turno],$D69,Tabela1[Data Corrigida],S$3)/32,"")</f>
        <v/>
      </c>
      <c r="T69" s="34" t="str">
        <f ca="1">IFERROR(AVERAGEIFS(INDIRECT("Tabela1["&amp;$B69&amp;"]"),Tabela1[Turno],$D69,Tabela1[Data Corrigida],T$3)/32,"")</f>
        <v/>
      </c>
      <c r="U69" s="34" t="str">
        <f ca="1">IFERROR(AVERAGEIFS(INDIRECT("Tabela1["&amp;$B69&amp;"]"),Tabela1[Turno],$D69,Tabela1[Data Corrigida],U$3)/32,"")</f>
        <v/>
      </c>
      <c r="V69" s="34" t="str">
        <f ca="1">IFERROR(AVERAGEIFS(INDIRECT("Tabela1["&amp;$B69&amp;"]"),Tabela1[Turno],$D69,Tabela1[Data Corrigida],V$3)/32,"")</f>
        <v/>
      </c>
      <c r="W69" s="34" t="str">
        <f ca="1">IFERROR(AVERAGEIFS(INDIRECT("Tabela1["&amp;$B69&amp;"]"),Tabela1[Turno],$D69,Tabela1[Data Corrigida],W$3)/32,"")</f>
        <v/>
      </c>
      <c r="X69" s="34" t="str">
        <f ca="1">IFERROR(AVERAGEIFS(INDIRECT("Tabela1["&amp;$B69&amp;"]"),Tabela1[Turno],$D69,Tabela1[Data Corrigida],X$3)/32,"")</f>
        <v/>
      </c>
      <c r="Y69" s="34" t="str">
        <f ca="1">IFERROR(AVERAGEIFS(INDIRECT("Tabela1["&amp;$B69&amp;"]"),Tabela1[Turno],$D69,Tabela1[Data Corrigida],Y$3)/32,"")</f>
        <v/>
      </c>
      <c r="Z69" s="34" t="str">
        <f ca="1">IFERROR(AVERAGEIFS(INDIRECT("Tabela1["&amp;$B69&amp;"]"),Tabela1[Turno],$D69,Tabela1[Data Corrigida],Z$3)/32,"")</f>
        <v/>
      </c>
      <c r="AA69" s="34" t="str">
        <f ca="1">IFERROR(AVERAGEIFS(INDIRECT("Tabela1["&amp;$B69&amp;"]"),Tabela1[Turno],$D69,Tabela1[Data Corrigida],AA$3)/32,"")</f>
        <v/>
      </c>
      <c r="AB69" s="34" t="str">
        <f ca="1">IFERROR(AVERAGEIFS(INDIRECT("Tabela1["&amp;$B69&amp;"]"),Tabela1[Turno],$D69,Tabela1[Data Corrigida],AB$3)/32,"")</f>
        <v/>
      </c>
      <c r="AC69" s="34" t="str">
        <f ca="1">IFERROR(AVERAGEIFS(INDIRECT("Tabela1["&amp;$B69&amp;"]"),Tabela1[Turno],$D69,Tabela1[Data Corrigida],AC$3)/32,"")</f>
        <v/>
      </c>
      <c r="AD69" s="34" t="str">
        <f ca="1">IFERROR(AVERAGEIFS(INDIRECT("Tabela1["&amp;$B69&amp;"]"),Tabela1[Turno],$D69,Tabela1[Data Corrigida],AD$3)/32,"")</f>
        <v/>
      </c>
      <c r="AE69" s="34" t="str">
        <f ca="1">IFERROR(AVERAGEIFS(INDIRECT("Tabela1["&amp;$B69&amp;"]"),Tabela1[Turno],$D69,Tabela1[Data Corrigida],AE$3)/32,"")</f>
        <v/>
      </c>
      <c r="AF69" s="34" t="str">
        <f ca="1">IFERROR(AVERAGEIFS(INDIRECT("Tabela1["&amp;$B69&amp;"]"),Tabela1[Turno],$D69,Tabela1[Data Corrigida],AF$3)/32,"")</f>
        <v/>
      </c>
      <c r="AG69" s="34" t="str">
        <f ca="1">IFERROR(AVERAGEIFS(INDIRECT("Tabela1["&amp;$B69&amp;"]"),Tabela1[Turno],$D69,Tabela1[Data Corrigida],AG$3)/32,"")</f>
        <v/>
      </c>
      <c r="AH69" s="34" t="str">
        <f ca="1">IFERROR(AVERAGEIFS(INDIRECT("Tabela1["&amp;$B69&amp;"]"),Tabela1[Turno],$D69,Tabela1[Data Corrigida],AH$3)/32,"")</f>
        <v/>
      </c>
      <c r="AI69" s="34" t="str">
        <f ca="1">IFERROR(AVERAGEIFS(INDIRECT("Tabela1["&amp;$B69&amp;"]"),Tabela1[Turno],$D69,Tabela1[Data Corrigida],AI$3)/32,"")</f>
        <v/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62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>
        <f ca="1">IFERROR(AVERAGEIFS(INDIRECT("Tabela1["&amp;$B70&amp;"]"),Tabela1[Turno],$D70,Tabela1[Mês],N$3)/32,"")</f>
        <v>0</v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59"/>
      <c r="R70" s="35">
        <f ca="1">IFERROR(AVERAGEIFS(INDIRECT("Tabela1["&amp;$B70&amp;"]"),Tabela1[Turno],$D70,Tabela1[Data Corrigida],R$3)/32,"")</f>
        <v>0</v>
      </c>
      <c r="S70" s="36" t="str">
        <f ca="1">IFERROR(AVERAGEIFS(INDIRECT("Tabela1["&amp;$B70&amp;"]"),Tabela1[Turno],$D70,Tabela1[Data Corrigida],S$3)/32,"")</f>
        <v/>
      </c>
      <c r="T70" s="36" t="str">
        <f ca="1">IFERROR(AVERAGEIFS(INDIRECT("Tabela1["&amp;$B70&amp;"]"),Tabela1[Turno],$D70,Tabela1[Data Corrigida],T$3)/32,"")</f>
        <v/>
      </c>
      <c r="U70" s="36" t="str">
        <f ca="1">IFERROR(AVERAGEIFS(INDIRECT("Tabela1["&amp;$B70&amp;"]"),Tabela1[Turno],$D70,Tabela1[Data Corrigida],U$3)/32,"")</f>
        <v/>
      </c>
      <c r="V70" s="36" t="str">
        <f ca="1">IFERROR(AVERAGEIFS(INDIRECT("Tabela1["&amp;$B70&amp;"]"),Tabela1[Turno],$D70,Tabela1[Data Corrigida],V$3)/32,"")</f>
        <v/>
      </c>
      <c r="W70" s="36" t="str">
        <f ca="1">IFERROR(AVERAGEIFS(INDIRECT("Tabela1["&amp;$B70&amp;"]"),Tabela1[Turno],$D70,Tabela1[Data Corrigida],W$3)/32,"")</f>
        <v/>
      </c>
      <c r="X70" s="36" t="str">
        <f ca="1">IFERROR(AVERAGEIFS(INDIRECT("Tabela1["&amp;$B70&amp;"]"),Tabela1[Turno],$D70,Tabela1[Data Corrigida],X$3)/32,"")</f>
        <v/>
      </c>
      <c r="Y70" s="36" t="str">
        <f ca="1">IFERROR(AVERAGEIFS(INDIRECT("Tabela1["&amp;$B70&amp;"]"),Tabela1[Turno],$D70,Tabela1[Data Corrigida],Y$3)/32,"")</f>
        <v/>
      </c>
      <c r="Z70" s="36" t="str">
        <f ca="1">IFERROR(AVERAGEIFS(INDIRECT("Tabela1["&amp;$B70&amp;"]"),Tabela1[Turno],$D70,Tabela1[Data Corrigida],Z$3)/32,"")</f>
        <v/>
      </c>
      <c r="AA70" s="36" t="str">
        <f ca="1">IFERROR(AVERAGEIFS(INDIRECT("Tabela1["&amp;$B70&amp;"]"),Tabela1[Turno],$D70,Tabela1[Data Corrigida],AA$3)/32,"")</f>
        <v/>
      </c>
      <c r="AB70" s="36" t="str">
        <f ca="1">IFERROR(AVERAGEIFS(INDIRECT("Tabela1["&amp;$B70&amp;"]"),Tabela1[Turno],$D70,Tabela1[Data Corrigida],AB$3)/32,"")</f>
        <v/>
      </c>
      <c r="AC70" s="36" t="str">
        <f ca="1">IFERROR(AVERAGEIFS(INDIRECT("Tabela1["&amp;$B70&amp;"]"),Tabela1[Turno],$D70,Tabela1[Data Corrigida],AC$3)/32,"")</f>
        <v/>
      </c>
      <c r="AD70" s="36" t="str">
        <f ca="1">IFERROR(AVERAGEIFS(INDIRECT("Tabela1["&amp;$B70&amp;"]"),Tabela1[Turno],$D70,Tabela1[Data Corrigida],AD$3)/32,"")</f>
        <v/>
      </c>
      <c r="AE70" s="36" t="str">
        <f ca="1">IFERROR(AVERAGEIFS(INDIRECT("Tabela1["&amp;$B70&amp;"]"),Tabela1[Turno],$D70,Tabela1[Data Corrigida],AE$3)/32,"")</f>
        <v/>
      </c>
      <c r="AF70" s="36" t="str">
        <f ca="1">IFERROR(AVERAGEIFS(INDIRECT("Tabela1["&amp;$B70&amp;"]"),Tabela1[Turno],$D70,Tabela1[Data Corrigida],AF$3)/32,"")</f>
        <v/>
      </c>
      <c r="AG70" s="36" t="str">
        <f ca="1">IFERROR(AVERAGEIFS(INDIRECT("Tabela1["&amp;$B70&amp;"]"),Tabela1[Turno],$D70,Tabela1[Data Corrigida],AG$3)/32,"")</f>
        <v/>
      </c>
      <c r="AH70" s="36" t="str">
        <f ca="1">IFERROR(AVERAGEIFS(INDIRECT("Tabela1["&amp;$B70&amp;"]"),Tabela1[Turno],$D70,Tabela1[Data Corrigida],AH$3)/32,"")</f>
        <v/>
      </c>
      <c r="AI70" s="36" t="str">
        <f ca="1">IFERROR(AVERAGEIFS(INDIRECT("Tabela1["&amp;$B70&amp;"]"),Tabela1[Turno],$D70,Tabela1[Data Corrigida],AI$3)/32,"")</f>
        <v/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3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>
        <f ca="1">IFERROR(AVERAGEIFS(INDIRECT("Tabela1["&amp;$B71&amp;"]"),Tabela1[Mês],N$3)/32,"")</f>
        <v>0</v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0"/>
      <c r="R71" s="37">
        <f ca="1">IFERROR(AVERAGEIFS(INDIRECT("Tabela1["&amp;$B71&amp;"]"),Tabela1[Data Corrigida],R$3)/32,"")</f>
        <v>0</v>
      </c>
      <c r="S71" s="38" t="str">
        <f ca="1">IFERROR(AVERAGEIFS(INDIRECT("Tabela1["&amp;$B71&amp;"]"),Tabela1[Data Corrigida],S$3)/32,"")</f>
        <v/>
      </c>
      <c r="T71" s="38" t="str">
        <f ca="1">IFERROR(AVERAGEIFS(INDIRECT("Tabela1["&amp;$B71&amp;"]"),Tabela1[Data Corrigida],T$3)/32,"")</f>
        <v/>
      </c>
      <c r="U71" s="38" t="str">
        <f ca="1">IFERROR(AVERAGEIFS(INDIRECT("Tabela1["&amp;$B71&amp;"]"),Tabela1[Data Corrigida],U$3)/32,"")</f>
        <v/>
      </c>
      <c r="V71" s="38" t="str">
        <f ca="1">IFERROR(AVERAGEIFS(INDIRECT("Tabela1["&amp;$B71&amp;"]"),Tabela1[Data Corrigida],V$3)/32,"")</f>
        <v/>
      </c>
      <c r="W71" s="38" t="str">
        <f ca="1">IFERROR(AVERAGEIFS(INDIRECT("Tabela1["&amp;$B71&amp;"]"),Tabela1[Data Corrigida],W$3)/32,"")</f>
        <v/>
      </c>
      <c r="X71" s="38" t="str">
        <f ca="1">IFERROR(AVERAGEIFS(INDIRECT("Tabela1["&amp;$B71&amp;"]"),Tabela1[Data Corrigida],X$3)/32,"")</f>
        <v/>
      </c>
      <c r="Y71" s="38" t="str">
        <f ca="1">IFERROR(AVERAGEIFS(INDIRECT("Tabela1["&amp;$B71&amp;"]"),Tabela1[Data Corrigida],Y$3)/32,"")</f>
        <v/>
      </c>
      <c r="Z71" s="38" t="str">
        <f ca="1">IFERROR(AVERAGEIFS(INDIRECT("Tabela1["&amp;$B71&amp;"]"),Tabela1[Data Corrigida],Z$3)/32,"")</f>
        <v/>
      </c>
      <c r="AA71" s="38" t="str">
        <f ca="1">IFERROR(AVERAGEIFS(INDIRECT("Tabela1["&amp;$B71&amp;"]"),Tabela1[Data Corrigida],AA$3)/32,"")</f>
        <v/>
      </c>
      <c r="AB71" s="38" t="str">
        <f ca="1">IFERROR(AVERAGEIFS(INDIRECT("Tabela1["&amp;$B71&amp;"]"),Tabela1[Data Corrigida],AB$3)/32,"")</f>
        <v/>
      </c>
      <c r="AC71" s="38" t="str">
        <f ca="1">IFERROR(AVERAGEIFS(INDIRECT("Tabela1["&amp;$B71&amp;"]"),Tabela1[Data Corrigida],AC$3)/32,"")</f>
        <v/>
      </c>
      <c r="AD71" s="38" t="str">
        <f ca="1">IFERROR(AVERAGEIFS(INDIRECT("Tabela1["&amp;$B71&amp;"]"),Tabela1[Data Corrigida],AD$3)/32,"")</f>
        <v/>
      </c>
      <c r="AE71" s="38" t="str">
        <f ca="1">IFERROR(AVERAGEIFS(INDIRECT("Tabela1["&amp;$B71&amp;"]"),Tabela1[Data Corrigida],AE$3)/32,"")</f>
        <v/>
      </c>
      <c r="AF71" s="38" t="str">
        <f ca="1">IFERROR(AVERAGEIFS(INDIRECT("Tabela1["&amp;$B71&amp;"]"),Tabela1[Data Corrigida],AF$3)/32,"")</f>
        <v/>
      </c>
      <c r="AG71" s="38" t="str">
        <f ca="1">IFERROR(AVERAGEIFS(INDIRECT("Tabela1["&amp;$B71&amp;"]"),Tabela1[Data Corrigida],AG$3)/32,"")</f>
        <v/>
      </c>
      <c r="AH71" s="38" t="str">
        <f ca="1">IFERROR(AVERAGEIFS(INDIRECT("Tabela1["&amp;$B71&amp;"]"),Tabela1[Data Corrigida],AH$3)/32,"")</f>
        <v/>
      </c>
      <c r="AI71" s="38" t="str">
        <f ca="1">IFERROR(AVERAGEIFS(INDIRECT("Tabela1["&amp;$B71&amp;"]"),Tabela1[Data Corrigida],AI$3)/32,"")</f>
        <v/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61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3.6931818181818184E-2</v>
      </c>
      <c r="N72" s="34">
        <f ca="1">IFERROR(AVERAGEIFS(INDIRECT("Tabela1["&amp;$B72&amp;"]"),Tabela1[Turno],$D72,Tabela1[Mês],N$3)/32,"")</f>
        <v>4.1666666666666664E-2</v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58">
        <v>0</v>
      </c>
      <c r="R72" s="33">
        <f ca="1">IFERROR(AVERAGEIFS(INDIRECT("Tabela1["&amp;$B72&amp;"]"),Tabela1[Turno],$D72,Tabela1[Data Corrigida],R$3)/32,"")</f>
        <v>4.1666666666666664E-2</v>
      </c>
      <c r="S72" s="34" t="str">
        <f ca="1">IFERROR(AVERAGEIFS(INDIRECT("Tabela1["&amp;$B72&amp;"]"),Tabela1[Turno],$D72,Tabela1[Data Corrigida],S$3)/32,"")</f>
        <v/>
      </c>
      <c r="T72" s="34" t="str">
        <f ca="1">IFERROR(AVERAGEIFS(INDIRECT("Tabela1["&amp;$B72&amp;"]"),Tabela1[Turno],$D72,Tabela1[Data Corrigida],T$3)/32,"")</f>
        <v/>
      </c>
      <c r="U72" s="34" t="str">
        <f ca="1">IFERROR(AVERAGEIFS(INDIRECT("Tabela1["&amp;$B72&amp;"]"),Tabela1[Turno],$D72,Tabela1[Data Corrigida],U$3)/32,"")</f>
        <v/>
      </c>
      <c r="V72" s="34" t="str">
        <f ca="1">IFERROR(AVERAGEIFS(INDIRECT("Tabela1["&amp;$B72&amp;"]"),Tabela1[Turno],$D72,Tabela1[Data Corrigida],V$3)/32,"")</f>
        <v/>
      </c>
      <c r="W72" s="34" t="str">
        <f ca="1">IFERROR(AVERAGEIFS(INDIRECT("Tabela1["&amp;$B72&amp;"]"),Tabela1[Turno],$D72,Tabela1[Data Corrigida],W$3)/32,"")</f>
        <v/>
      </c>
      <c r="X72" s="34" t="str">
        <f ca="1">IFERROR(AVERAGEIFS(INDIRECT("Tabela1["&amp;$B72&amp;"]"),Tabela1[Turno],$D72,Tabela1[Data Corrigida],X$3)/32,"")</f>
        <v/>
      </c>
      <c r="Y72" s="34" t="str">
        <f ca="1">IFERROR(AVERAGEIFS(INDIRECT("Tabela1["&amp;$B72&amp;"]"),Tabela1[Turno],$D72,Tabela1[Data Corrigida],Y$3)/32,"")</f>
        <v/>
      </c>
      <c r="Z72" s="34" t="str">
        <f ca="1">IFERROR(AVERAGEIFS(INDIRECT("Tabela1["&amp;$B72&amp;"]"),Tabela1[Turno],$D72,Tabela1[Data Corrigida],Z$3)/32,"")</f>
        <v/>
      </c>
      <c r="AA72" s="34" t="str">
        <f ca="1">IFERROR(AVERAGEIFS(INDIRECT("Tabela1["&amp;$B72&amp;"]"),Tabela1[Turno],$D72,Tabela1[Data Corrigida],AA$3)/32,"")</f>
        <v/>
      </c>
      <c r="AB72" s="34" t="str">
        <f ca="1">IFERROR(AVERAGEIFS(INDIRECT("Tabela1["&amp;$B72&amp;"]"),Tabela1[Turno],$D72,Tabela1[Data Corrigida],AB$3)/32,"")</f>
        <v/>
      </c>
      <c r="AC72" s="34" t="str">
        <f ca="1">IFERROR(AVERAGEIFS(INDIRECT("Tabela1["&amp;$B72&amp;"]"),Tabela1[Turno],$D72,Tabela1[Data Corrigida],AC$3)/32,"")</f>
        <v/>
      </c>
      <c r="AD72" s="34" t="str">
        <f ca="1">IFERROR(AVERAGEIFS(INDIRECT("Tabela1["&amp;$B72&amp;"]"),Tabela1[Turno],$D72,Tabela1[Data Corrigida],AD$3)/32,"")</f>
        <v/>
      </c>
      <c r="AE72" s="34" t="str">
        <f ca="1">IFERROR(AVERAGEIFS(INDIRECT("Tabela1["&amp;$B72&amp;"]"),Tabela1[Turno],$D72,Tabela1[Data Corrigida],AE$3)/32,"")</f>
        <v/>
      </c>
      <c r="AF72" s="34" t="str">
        <f ca="1">IFERROR(AVERAGEIFS(INDIRECT("Tabela1["&amp;$B72&amp;"]"),Tabela1[Turno],$D72,Tabela1[Data Corrigida],AF$3)/32,"")</f>
        <v/>
      </c>
      <c r="AG72" s="34" t="str">
        <f ca="1">IFERROR(AVERAGEIFS(INDIRECT("Tabela1["&amp;$B72&amp;"]"),Tabela1[Turno],$D72,Tabela1[Data Corrigida],AG$3)/32,"")</f>
        <v/>
      </c>
      <c r="AH72" s="34" t="str">
        <f ca="1">IFERROR(AVERAGEIFS(INDIRECT("Tabela1["&amp;$B72&amp;"]"),Tabela1[Turno],$D72,Tabela1[Data Corrigida],AH$3)/32,"")</f>
        <v/>
      </c>
      <c r="AI72" s="34" t="str">
        <f ca="1">IFERROR(AVERAGEIFS(INDIRECT("Tabela1["&amp;$B72&amp;"]"),Tabela1[Turno],$D72,Tabela1[Data Corrigida],AI$3)/32,"")</f>
        <v/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62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>
        <f ca="1">IFERROR(AVERAGEIFS(INDIRECT("Tabela1["&amp;$B73&amp;"]"),Tabela1[Turno],$D73,Tabela1[Mês],N$3)/32,"")</f>
        <v>0</v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59"/>
      <c r="R73" s="35">
        <f ca="1">IFERROR(AVERAGEIFS(INDIRECT("Tabela1["&amp;$B73&amp;"]"),Tabela1[Turno],$D73,Tabela1[Data Corrigida],R$3)/32,"")</f>
        <v>0</v>
      </c>
      <c r="S73" s="36" t="str">
        <f ca="1">IFERROR(AVERAGEIFS(INDIRECT("Tabela1["&amp;$B73&amp;"]"),Tabela1[Turno],$D73,Tabela1[Data Corrigida],S$3)/32,"")</f>
        <v/>
      </c>
      <c r="T73" s="36" t="str">
        <f ca="1">IFERROR(AVERAGEIFS(INDIRECT("Tabela1["&amp;$B73&amp;"]"),Tabela1[Turno],$D73,Tabela1[Data Corrigida],T$3)/32,"")</f>
        <v/>
      </c>
      <c r="U73" s="36" t="str">
        <f ca="1">IFERROR(AVERAGEIFS(INDIRECT("Tabela1["&amp;$B73&amp;"]"),Tabela1[Turno],$D73,Tabela1[Data Corrigida],U$3)/32,"")</f>
        <v/>
      </c>
      <c r="V73" s="36" t="str">
        <f ca="1">IFERROR(AVERAGEIFS(INDIRECT("Tabela1["&amp;$B73&amp;"]"),Tabela1[Turno],$D73,Tabela1[Data Corrigida],V$3)/32,"")</f>
        <v/>
      </c>
      <c r="W73" s="36" t="str">
        <f ca="1">IFERROR(AVERAGEIFS(INDIRECT("Tabela1["&amp;$B73&amp;"]"),Tabela1[Turno],$D73,Tabela1[Data Corrigida],W$3)/32,"")</f>
        <v/>
      </c>
      <c r="X73" s="36" t="str">
        <f ca="1">IFERROR(AVERAGEIFS(INDIRECT("Tabela1["&amp;$B73&amp;"]"),Tabela1[Turno],$D73,Tabela1[Data Corrigida],X$3)/32,"")</f>
        <v/>
      </c>
      <c r="Y73" s="36" t="str">
        <f ca="1">IFERROR(AVERAGEIFS(INDIRECT("Tabela1["&amp;$B73&amp;"]"),Tabela1[Turno],$D73,Tabela1[Data Corrigida],Y$3)/32,"")</f>
        <v/>
      </c>
      <c r="Z73" s="36" t="str">
        <f ca="1">IFERROR(AVERAGEIFS(INDIRECT("Tabela1["&amp;$B73&amp;"]"),Tabela1[Turno],$D73,Tabela1[Data Corrigida],Z$3)/32,"")</f>
        <v/>
      </c>
      <c r="AA73" s="36" t="str">
        <f ca="1">IFERROR(AVERAGEIFS(INDIRECT("Tabela1["&amp;$B73&amp;"]"),Tabela1[Turno],$D73,Tabela1[Data Corrigida],AA$3)/32,"")</f>
        <v/>
      </c>
      <c r="AB73" s="36" t="str">
        <f ca="1">IFERROR(AVERAGEIFS(INDIRECT("Tabela1["&amp;$B73&amp;"]"),Tabela1[Turno],$D73,Tabela1[Data Corrigida],AB$3)/32,"")</f>
        <v/>
      </c>
      <c r="AC73" s="36" t="str">
        <f ca="1">IFERROR(AVERAGEIFS(INDIRECT("Tabela1["&amp;$B73&amp;"]"),Tabela1[Turno],$D73,Tabela1[Data Corrigida],AC$3)/32,"")</f>
        <v/>
      </c>
      <c r="AD73" s="36" t="str">
        <f ca="1">IFERROR(AVERAGEIFS(INDIRECT("Tabela1["&amp;$B73&amp;"]"),Tabela1[Turno],$D73,Tabela1[Data Corrigida],AD$3)/32,"")</f>
        <v/>
      </c>
      <c r="AE73" s="36" t="str">
        <f ca="1">IFERROR(AVERAGEIFS(INDIRECT("Tabela1["&amp;$B73&amp;"]"),Tabela1[Turno],$D73,Tabela1[Data Corrigida],AE$3)/32,"")</f>
        <v/>
      </c>
      <c r="AF73" s="36" t="str">
        <f ca="1">IFERROR(AVERAGEIFS(INDIRECT("Tabela1["&amp;$B73&amp;"]"),Tabela1[Turno],$D73,Tabela1[Data Corrigida],AF$3)/32,"")</f>
        <v/>
      </c>
      <c r="AG73" s="36" t="str">
        <f ca="1">IFERROR(AVERAGEIFS(INDIRECT("Tabela1["&amp;$B73&amp;"]"),Tabela1[Turno],$D73,Tabela1[Data Corrigida],AG$3)/32,"")</f>
        <v/>
      </c>
      <c r="AH73" s="36" t="str">
        <f ca="1">IFERROR(AVERAGEIFS(INDIRECT("Tabela1["&amp;$B73&amp;"]"),Tabela1[Turno],$D73,Tabela1[Data Corrigida],AH$3)/32,"")</f>
        <v/>
      </c>
      <c r="AI73" s="36" t="str">
        <f ca="1">IFERROR(AVERAGEIFS(INDIRECT("Tabela1["&amp;$B73&amp;"]"),Tabela1[Turno],$D73,Tabela1[Data Corrigida],AI$3)/32,"")</f>
        <v/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3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1.2965425531914893E-2</v>
      </c>
      <c r="N74" s="45">
        <f ca="1">IFERROR(AVERAGEIFS(INDIRECT("Tabela1["&amp;$B74&amp;"]"),Tabela1[Mês],N$3)/32,"")</f>
        <v>2.0833333333333332E-2</v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0"/>
      <c r="R74" s="37">
        <f ca="1">IFERROR(AVERAGEIFS(INDIRECT("Tabela1["&amp;$B74&amp;"]"),Tabela1[Data Corrigida],R$3)/32,"")</f>
        <v>2.0833333333333332E-2</v>
      </c>
      <c r="S74" s="38" t="str">
        <f ca="1">IFERROR(AVERAGEIFS(INDIRECT("Tabela1["&amp;$B74&amp;"]"),Tabela1[Data Corrigida],S$3)/32,"")</f>
        <v/>
      </c>
      <c r="T74" s="38" t="str">
        <f ca="1">IFERROR(AVERAGEIFS(INDIRECT("Tabela1["&amp;$B74&amp;"]"),Tabela1[Data Corrigida],T$3)/32,"")</f>
        <v/>
      </c>
      <c r="U74" s="38" t="str">
        <f ca="1">IFERROR(AVERAGEIFS(INDIRECT("Tabela1["&amp;$B74&amp;"]"),Tabela1[Data Corrigida],U$3)/32,"")</f>
        <v/>
      </c>
      <c r="V74" s="38" t="str">
        <f ca="1">IFERROR(AVERAGEIFS(INDIRECT("Tabela1["&amp;$B74&amp;"]"),Tabela1[Data Corrigida],V$3)/32,"")</f>
        <v/>
      </c>
      <c r="W74" s="38" t="str">
        <f ca="1">IFERROR(AVERAGEIFS(INDIRECT("Tabela1["&amp;$B74&amp;"]"),Tabela1[Data Corrigida],W$3)/32,"")</f>
        <v/>
      </c>
      <c r="X74" s="38" t="str">
        <f ca="1">IFERROR(AVERAGEIFS(INDIRECT("Tabela1["&amp;$B74&amp;"]"),Tabela1[Data Corrigida],X$3)/32,"")</f>
        <v/>
      </c>
      <c r="Y74" s="38" t="str">
        <f ca="1">IFERROR(AVERAGEIFS(INDIRECT("Tabela1["&amp;$B74&amp;"]"),Tabela1[Data Corrigida],Y$3)/32,"")</f>
        <v/>
      </c>
      <c r="Z74" s="38" t="str">
        <f ca="1">IFERROR(AVERAGEIFS(INDIRECT("Tabela1["&amp;$B74&amp;"]"),Tabela1[Data Corrigida],Z$3)/32,"")</f>
        <v/>
      </c>
      <c r="AA74" s="38" t="str">
        <f ca="1">IFERROR(AVERAGEIFS(INDIRECT("Tabela1["&amp;$B74&amp;"]"),Tabela1[Data Corrigida],AA$3)/32,"")</f>
        <v/>
      </c>
      <c r="AB74" s="38" t="str">
        <f ca="1">IFERROR(AVERAGEIFS(INDIRECT("Tabela1["&amp;$B74&amp;"]"),Tabela1[Data Corrigida],AB$3)/32,"")</f>
        <v/>
      </c>
      <c r="AC74" s="38" t="str">
        <f ca="1">IFERROR(AVERAGEIFS(INDIRECT("Tabela1["&amp;$B74&amp;"]"),Tabela1[Data Corrigida],AC$3)/32,"")</f>
        <v/>
      </c>
      <c r="AD74" s="38" t="str">
        <f ca="1">IFERROR(AVERAGEIFS(INDIRECT("Tabela1["&amp;$B74&amp;"]"),Tabela1[Data Corrigida],AD$3)/32,"")</f>
        <v/>
      </c>
      <c r="AE74" s="38" t="str">
        <f ca="1">IFERROR(AVERAGEIFS(INDIRECT("Tabela1["&amp;$B74&amp;"]"),Tabela1[Data Corrigida],AE$3)/32,"")</f>
        <v/>
      </c>
      <c r="AF74" s="38" t="str">
        <f ca="1">IFERROR(AVERAGEIFS(INDIRECT("Tabela1["&amp;$B74&amp;"]"),Tabela1[Data Corrigida],AF$3)/32,"")</f>
        <v/>
      </c>
      <c r="AG74" s="38" t="str">
        <f ca="1">IFERROR(AVERAGEIFS(INDIRECT("Tabela1["&amp;$B74&amp;"]"),Tabela1[Data Corrigida],AG$3)/32,"")</f>
        <v/>
      </c>
      <c r="AH74" s="38" t="str">
        <f ca="1">IFERROR(AVERAGEIFS(INDIRECT("Tabela1["&amp;$B74&amp;"]"),Tabela1[Data Corrigida],AH$3)/32,"")</f>
        <v/>
      </c>
      <c r="AI74" s="38" t="str">
        <f ca="1">IFERROR(AVERAGEIFS(INDIRECT("Tabela1["&amp;$B74&amp;"]"),Tabela1[Data Corrigida],AI$3)/32,"")</f>
        <v/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61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2.8201219512195123E-2</v>
      </c>
      <c r="N75" s="34">
        <f ca="1">IFERROR(AVERAGEIFS(INDIRECT("Tabela1["&amp;$B75&amp;"]"),Tabela1[Turno],$D75,Tabela1[Mês],N$3)/32,"")</f>
        <v>3.125E-2</v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58">
        <v>0.01</v>
      </c>
      <c r="R75" s="33">
        <f ca="1">IFERROR(AVERAGEIFS(INDIRECT("Tabela1["&amp;$B75&amp;"]"),Tabela1[Turno],$D75,Tabela1[Data Corrigida],R$3)/32,"")</f>
        <v>3.125E-2</v>
      </c>
      <c r="S75" s="34" t="str">
        <f ca="1">IFERROR(AVERAGEIFS(INDIRECT("Tabela1["&amp;$B75&amp;"]"),Tabela1[Turno],$D75,Tabela1[Data Corrigida],S$3)/32,"")</f>
        <v/>
      </c>
      <c r="T75" s="34" t="str">
        <f ca="1">IFERROR(AVERAGEIFS(INDIRECT("Tabela1["&amp;$B75&amp;"]"),Tabela1[Turno],$D75,Tabela1[Data Corrigida],T$3)/32,"")</f>
        <v/>
      </c>
      <c r="U75" s="34" t="str">
        <f ca="1">IFERROR(AVERAGEIFS(INDIRECT("Tabela1["&amp;$B75&amp;"]"),Tabela1[Turno],$D75,Tabela1[Data Corrigida],U$3)/32,"")</f>
        <v/>
      </c>
      <c r="V75" s="34" t="str">
        <f ca="1">IFERROR(AVERAGEIFS(INDIRECT("Tabela1["&amp;$B75&amp;"]"),Tabela1[Turno],$D75,Tabela1[Data Corrigida],V$3)/32,"")</f>
        <v/>
      </c>
      <c r="W75" s="34" t="str">
        <f ca="1">IFERROR(AVERAGEIFS(INDIRECT("Tabela1["&amp;$B75&amp;"]"),Tabela1[Turno],$D75,Tabela1[Data Corrigida],W$3)/32,"")</f>
        <v/>
      </c>
      <c r="X75" s="34" t="str">
        <f ca="1">IFERROR(AVERAGEIFS(INDIRECT("Tabela1["&amp;$B75&amp;"]"),Tabela1[Turno],$D75,Tabela1[Data Corrigida],X$3)/32,"")</f>
        <v/>
      </c>
      <c r="Y75" s="34" t="str">
        <f ca="1">IFERROR(AVERAGEIFS(INDIRECT("Tabela1["&amp;$B75&amp;"]"),Tabela1[Turno],$D75,Tabela1[Data Corrigida],Y$3)/32,"")</f>
        <v/>
      </c>
      <c r="Z75" s="34" t="str">
        <f ca="1">IFERROR(AVERAGEIFS(INDIRECT("Tabela1["&amp;$B75&amp;"]"),Tabela1[Turno],$D75,Tabela1[Data Corrigida],Z$3)/32,"")</f>
        <v/>
      </c>
      <c r="AA75" s="34" t="str">
        <f ca="1">IFERROR(AVERAGEIFS(INDIRECT("Tabela1["&amp;$B75&amp;"]"),Tabela1[Turno],$D75,Tabela1[Data Corrigida],AA$3)/32,"")</f>
        <v/>
      </c>
      <c r="AB75" s="34" t="str">
        <f ca="1">IFERROR(AVERAGEIFS(INDIRECT("Tabela1["&amp;$B75&amp;"]"),Tabela1[Turno],$D75,Tabela1[Data Corrigida],AB$3)/32,"")</f>
        <v/>
      </c>
      <c r="AC75" s="34" t="str">
        <f ca="1">IFERROR(AVERAGEIFS(INDIRECT("Tabela1["&amp;$B75&amp;"]"),Tabela1[Turno],$D75,Tabela1[Data Corrigida],AC$3)/32,"")</f>
        <v/>
      </c>
      <c r="AD75" s="34" t="str">
        <f ca="1">IFERROR(AVERAGEIFS(INDIRECT("Tabela1["&amp;$B75&amp;"]"),Tabela1[Turno],$D75,Tabela1[Data Corrigida],AD$3)/32,"")</f>
        <v/>
      </c>
      <c r="AE75" s="34" t="str">
        <f ca="1">IFERROR(AVERAGEIFS(INDIRECT("Tabela1["&amp;$B75&amp;"]"),Tabela1[Turno],$D75,Tabela1[Data Corrigida],AE$3)/32,"")</f>
        <v/>
      </c>
      <c r="AF75" s="34" t="str">
        <f ca="1">IFERROR(AVERAGEIFS(INDIRECT("Tabela1["&amp;$B75&amp;"]"),Tabela1[Turno],$D75,Tabela1[Data Corrigida],AF$3)/32,"")</f>
        <v/>
      </c>
      <c r="AG75" s="34" t="str">
        <f ca="1">IFERROR(AVERAGEIFS(INDIRECT("Tabela1["&amp;$B75&amp;"]"),Tabela1[Turno],$D75,Tabela1[Data Corrigida],AG$3)/32,"")</f>
        <v/>
      </c>
      <c r="AH75" s="34" t="str">
        <f ca="1">IFERROR(AVERAGEIFS(INDIRECT("Tabela1["&amp;$B75&amp;"]"),Tabela1[Turno],$D75,Tabela1[Data Corrigida],AH$3)/32,"")</f>
        <v/>
      </c>
      <c r="AI75" s="34" t="str">
        <f ca="1">IFERROR(AVERAGEIFS(INDIRECT("Tabela1["&amp;$B75&amp;"]"),Tabela1[Turno],$D75,Tabela1[Data Corrigida],AI$3)/32,"")</f>
        <v/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62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>
        <f ca="1">IFERROR(AVERAGEIFS(INDIRECT("Tabela1["&amp;$B76&amp;"]"),Tabela1[Turno],$D76,Tabela1[Mês],N$3)/32,"")</f>
        <v>0</v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59"/>
      <c r="R76" s="35">
        <f ca="1">IFERROR(AVERAGEIFS(INDIRECT("Tabela1["&amp;$B76&amp;"]"),Tabela1[Turno],$D76,Tabela1[Data Corrigida],R$3)/32,"")</f>
        <v>0</v>
      </c>
      <c r="S76" s="36" t="str">
        <f ca="1">IFERROR(AVERAGEIFS(INDIRECT("Tabela1["&amp;$B76&amp;"]"),Tabela1[Turno],$D76,Tabela1[Data Corrigida],S$3)/32,"")</f>
        <v/>
      </c>
      <c r="T76" s="36" t="str">
        <f ca="1">IFERROR(AVERAGEIFS(INDIRECT("Tabela1["&amp;$B76&amp;"]"),Tabela1[Turno],$D76,Tabela1[Data Corrigida],T$3)/32,"")</f>
        <v/>
      </c>
      <c r="U76" s="36" t="str">
        <f ca="1">IFERROR(AVERAGEIFS(INDIRECT("Tabela1["&amp;$B76&amp;"]"),Tabela1[Turno],$D76,Tabela1[Data Corrigida],U$3)/32,"")</f>
        <v/>
      </c>
      <c r="V76" s="36" t="str">
        <f ca="1">IFERROR(AVERAGEIFS(INDIRECT("Tabela1["&amp;$B76&amp;"]"),Tabela1[Turno],$D76,Tabela1[Data Corrigida],V$3)/32,"")</f>
        <v/>
      </c>
      <c r="W76" s="36" t="str">
        <f ca="1">IFERROR(AVERAGEIFS(INDIRECT("Tabela1["&amp;$B76&amp;"]"),Tabela1[Turno],$D76,Tabela1[Data Corrigida],W$3)/32,"")</f>
        <v/>
      </c>
      <c r="X76" s="36" t="str">
        <f ca="1">IFERROR(AVERAGEIFS(INDIRECT("Tabela1["&amp;$B76&amp;"]"),Tabela1[Turno],$D76,Tabela1[Data Corrigida],X$3)/32,"")</f>
        <v/>
      </c>
      <c r="Y76" s="36" t="str">
        <f ca="1">IFERROR(AVERAGEIFS(INDIRECT("Tabela1["&amp;$B76&amp;"]"),Tabela1[Turno],$D76,Tabela1[Data Corrigida],Y$3)/32,"")</f>
        <v/>
      </c>
      <c r="Z76" s="36" t="str">
        <f ca="1">IFERROR(AVERAGEIFS(INDIRECT("Tabela1["&amp;$B76&amp;"]"),Tabela1[Turno],$D76,Tabela1[Data Corrigida],Z$3)/32,"")</f>
        <v/>
      </c>
      <c r="AA76" s="36" t="str">
        <f ca="1">IFERROR(AVERAGEIFS(INDIRECT("Tabela1["&amp;$B76&amp;"]"),Tabela1[Turno],$D76,Tabela1[Data Corrigida],AA$3)/32,"")</f>
        <v/>
      </c>
      <c r="AB76" s="36" t="str">
        <f ca="1">IFERROR(AVERAGEIFS(INDIRECT("Tabela1["&amp;$B76&amp;"]"),Tabela1[Turno],$D76,Tabela1[Data Corrigida],AB$3)/32,"")</f>
        <v/>
      </c>
      <c r="AC76" s="36" t="str">
        <f ca="1">IFERROR(AVERAGEIFS(INDIRECT("Tabela1["&amp;$B76&amp;"]"),Tabela1[Turno],$D76,Tabela1[Data Corrigida],AC$3)/32,"")</f>
        <v/>
      </c>
      <c r="AD76" s="36" t="str">
        <f ca="1">IFERROR(AVERAGEIFS(INDIRECT("Tabela1["&amp;$B76&amp;"]"),Tabela1[Turno],$D76,Tabela1[Data Corrigida],AD$3)/32,"")</f>
        <v/>
      </c>
      <c r="AE76" s="36" t="str">
        <f ca="1">IFERROR(AVERAGEIFS(INDIRECT("Tabela1["&amp;$B76&amp;"]"),Tabela1[Turno],$D76,Tabela1[Data Corrigida],AE$3)/32,"")</f>
        <v/>
      </c>
      <c r="AF76" s="36" t="str">
        <f ca="1">IFERROR(AVERAGEIFS(INDIRECT("Tabela1["&amp;$B76&amp;"]"),Tabela1[Turno],$D76,Tabela1[Data Corrigida],AF$3)/32,"")</f>
        <v/>
      </c>
      <c r="AG76" s="36" t="str">
        <f ca="1">IFERROR(AVERAGEIFS(INDIRECT("Tabela1["&amp;$B76&amp;"]"),Tabela1[Turno],$D76,Tabela1[Data Corrigida],AG$3)/32,"")</f>
        <v/>
      </c>
      <c r="AH76" s="36" t="str">
        <f ca="1">IFERROR(AVERAGEIFS(INDIRECT("Tabela1["&amp;$B76&amp;"]"),Tabela1[Turno],$D76,Tabela1[Data Corrigida],AH$3)/32,"")</f>
        <v/>
      </c>
      <c r="AI76" s="36" t="str">
        <f ca="1">IFERROR(AVERAGEIFS(INDIRECT("Tabela1["&amp;$B76&amp;"]"),Tabela1[Turno],$D76,Tabela1[Data Corrigida],AI$3)/32,"")</f>
        <v/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3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1.6171328671328672E-2</v>
      </c>
      <c r="N77" s="45">
        <f ca="1">IFERROR(AVERAGEIFS(INDIRECT("Tabela1["&amp;$B77&amp;"]"),Tabela1[Mês],N$3)/32,"")</f>
        <v>1.7857142857142856E-2</v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0"/>
      <c r="R77" s="37">
        <f ca="1">IFERROR(AVERAGEIFS(INDIRECT("Tabela1["&amp;$B77&amp;"]"),Tabela1[Data Corrigida],R$3)/32,"")</f>
        <v>1.7857142857142856E-2</v>
      </c>
      <c r="S77" s="38" t="str">
        <f ca="1">IFERROR(AVERAGEIFS(INDIRECT("Tabela1["&amp;$B77&amp;"]"),Tabela1[Data Corrigida],S$3)/32,"")</f>
        <v/>
      </c>
      <c r="T77" s="38" t="str">
        <f ca="1">IFERROR(AVERAGEIFS(INDIRECT("Tabela1["&amp;$B77&amp;"]"),Tabela1[Data Corrigida],T$3)/32,"")</f>
        <v/>
      </c>
      <c r="U77" s="38" t="str">
        <f ca="1">IFERROR(AVERAGEIFS(INDIRECT("Tabela1["&amp;$B77&amp;"]"),Tabela1[Data Corrigida],U$3)/32,"")</f>
        <v/>
      </c>
      <c r="V77" s="38" t="str">
        <f ca="1">IFERROR(AVERAGEIFS(INDIRECT("Tabela1["&amp;$B77&amp;"]"),Tabela1[Data Corrigida],V$3)/32,"")</f>
        <v/>
      </c>
      <c r="W77" s="38" t="str">
        <f ca="1">IFERROR(AVERAGEIFS(INDIRECT("Tabela1["&amp;$B77&amp;"]"),Tabela1[Data Corrigida],W$3)/32,"")</f>
        <v/>
      </c>
      <c r="X77" s="38" t="str">
        <f ca="1">IFERROR(AVERAGEIFS(INDIRECT("Tabela1["&amp;$B77&amp;"]"),Tabela1[Data Corrigida],X$3)/32,"")</f>
        <v/>
      </c>
      <c r="Y77" s="38" t="str">
        <f ca="1">IFERROR(AVERAGEIFS(INDIRECT("Tabela1["&amp;$B77&amp;"]"),Tabela1[Data Corrigida],Y$3)/32,"")</f>
        <v/>
      </c>
      <c r="Z77" s="38" t="str">
        <f ca="1">IFERROR(AVERAGEIFS(INDIRECT("Tabela1["&amp;$B77&amp;"]"),Tabela1[Data Corrigida],Z$3)/32,"")</f>
        <v/>
      </c>
      <c r="AA77" s="38" t="str">
        <f ca="1">IFERROR(AVERAGEIFS(INDIRECT("Tabela1["&amp;$B77&amp;"]"),Tabela1[Data Corrigida],AA$3)/32,"")</f>
        <v/>
      </c>
      <c r="AB77" s="38" t="str">
        <f ca="1">IFERROR(AVERAGEIFS(INDIRECT("Tabela1["&amp;$B77&amp;"]"),Tabela1[Data Corrigida],AB$3)/32,"")</f>
        <v/>
      </c>
      <c r="AC77" s="38" t="str">
        <f ca="1">IFERROR(AVERAGEIFS(INDIRECT("Tabela1["&amp;$B77&amp;"]"),Tabela1[Data Corrigida],AC$3)/32,"")</f>
        <v/>
      </c>
      <c r="AD77" s="38" t="str">
        <f ca="1">IFERROR(AVERAGEIFS(INDIRECT("Tabela1["&amp;$B77&amp;"]"),Tabela1[Data Corrigida],AD$3)/32,"")</f>
        <v/>
      </c>
      <c r="AE77" s="38" t="str">
        <f ca="1">IFERROR(AVERAGEIFS(INDIRECT("Tabela1["&amp;$B77&amp;"]"),Tabela1[Data Corrigida],AE$3)/32,"")</f>
        <v/>
      </c>
      <c r="AF77" s="38" t="str">
        <f ca="1">IFERROR(AVERAGEIFS(INDIRECT("Tabela1["&amp;$B77&amp;"]"),Tabela1[Data Corrigida],AF$3)/32,"")</f>
        <v/>
      </c>
      <c r="AG77" s="38" t="str">
        <f ca="1">IFERROR(AVERAGEIFS(INDIRECT("Tabela1["&amp;$B77&amp;"]"),Tabela1[Data Corrigida],AG$3)/32,"")</f>
        <v/>
      </c>
      <c r="AH77" s="38" t="str">
        <f ca="1">IFERROR(AVERAGEIFS(INDIRECT("Tabela1["&amp;$B77&amp;"]"),Tabela1[Data Corrigida],AH$3)/32,"")</f>
        <v/>
      </c>
      <c r="AI77" s="38" t="str">
        <f ca="1">IFERROR(AVERAGEIFS(INDIRECT("Tabela1["&amp;$B77&amp;"]"),Tabela1[Data Corrigida],AI$3)/32,"")</f>
        <v/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61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4.5581803689406526E-3</v>
      </c>
      <c r="N78" s="34">
        <f ca="1">IFERROR(AVERAGEIFS(INDIRECT("Tabela1["&amp;$B78&amp;"]"),Tabela1[Turno],$D78,Tabela1[Mês],N$3)/100,"")</f>
        <v>3.105590062111801E-3</v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58">
        <v>0</v>
      </c>
      <c r="R78" s="33">
        <f ca="1">IFERROR(AVERAGEIFS(INDIRECT("Tabela1["&amp;$B78&amp;"]"),Tabela1[Turno],$D78,Tabela1[Data Corrigida],R$3)/100,"")</f>
        <v>3.105590062111801E-3</v>
      </c>
      <c r="S78" s="34" t="str">
        <f ca="1">IFERROR(AVERAGEIFS(INDIRECT("Tabela1["&amp;$B78&amp;"]"),Tabela1[Turno],$D78,Tabela1[Data Corrigida],S$3)/100,"")</f>
        <v/>
      </c>
      <c r="T78" s="34" t="str">
        <f ca="1">IFERROR(AVERAGEIFS(INDIRECT("Tabela1["&amp;$B78&amp;"]"),Tabela1[Turno],$D78,Tabela1[Data Corrigida],T$3)/100,"")</f>
        <v/>
      </c>
      <c r="U78" s="34" t="str">
        <f ca="1">IFERROR(AVERAGEIFS(INDIRECT("Tabela1["&amp;$B78&amp;"]"),Tabela1[Turno],$D78,Tabela1[Data Corrigida],U$3)/100,"")</f>
        <v/>
      </c>
      <c r="V78" s="34" t="str">
        <f ca="1">IFERROR(AVERAGEIFS(INDIRECT("Tabela1["&amp;$B78&amp;"]"),Tabela1[Turno],$D78,Tabela1[Data Corrigida],V$3)/100,"")</f>
        <v/>
      </c>
      <c r="W78" s="34" t="str">
        <f ca="1">IFERROR(AVERAGEIFS(INDIRECT("Tabela1["&amp;$B78&amp;"]"),Tabela1[Turno],$D78,Tabela1[Data Corrigida],W$3)/100,"")</f>
        <v/>
      </c>
      <c r="X78" s="34" t="str">
        <f ca="1">IFERROR(AVERAGEIFS(INDIRECT("Tabela1["&amp;$B78&amp;"]"),Tabela1[Turno],$D78,Tabela1[Data Corrigida],X$3)/100,"")</f>
        <v/>
      </c>
      <c r="Y78" s="34" t="str">
        <f ca="1">IFERROR(AVERAGEIFS(INDIRECT("Tabela1["&amp;$B78&amp;"]"),Tabela1[Turno],$D78,Tabela1[Data Corrigida],Y$3)/100,"")</f>
        <v/>
      </c>
      <c r="Z78" s="34" t="str">
        <f ca="1">IFERROR(AVERAGEIFS(INDIRECT("Tabela1["&amp;$B78&amp;"]"),Tabela1[Turno],$D78,Tabela1[Data Corrigida],Z$3)/100,"")</f>
        <v/>
      </c>
      <c r="AA78" s="34" t="str">
        <f ca="1">IFERROR(AVERAGEIFS(INDIRECT("Tabela1["&amp;$B78&amp;"]"),Tabela1[Turno],$D78,Tabela1[Data Corrigida],AA$3)/100,"")</f>
        <v/>
      </c>
      <c r="AB78" s="34" t="str">
        <f ca="1">IFERROR(AVERAGEIFS(INDIRECT("Tabela1["&amp;$B78&amp;"]"),Tabela1[Turno],$D78,Tabela1[Data Corrigida],AB$3)/100,"")</f>
        <v/>
      </c>
      <c r="AC78" s="34" t="str">
        <f ca="1">IFERROR(AVERAGEIFS(INDIRECT("Tabela1["&amp;$B78&amp;"]"),Tabela1[Turno],$D78,Tabela1[Data Corrigida],AC$3)/100,"")</f>
        <v/>
      </c>
      <c r="AD78" s="34" t="str">
        <f ca="1">IFERROR(AVERAGEIFS(INDIRECT("Tabela1["&amp;$B78&amp;"]"),Tabela1[Turno],$D78,Tabela1[Data Corrigida],AD$3)/100,"")</f>
        <v/>
      </c>
      <c r="AE78" s="34" t="str">
        <f ca="1">IFERROR(AVERAGEIFS(INDIRECT("Tabela1["&amp;$B78&amp;"]"),Tabela1[Turno],$D78,Tabela1[Data Corrigida],AE$3)/100,"")</f>
        <v/>
      </c>
      <c r="AF78" s="34" t="str">
        <f ca="1">IFERROR(AVERAGEIFS(INDIRECT("Tabela1["&amp;$B78&amp;"]"),Tabela1[Turno],$D78,Tabela1[Data Corrigida],AF$3)/100,"")</f>
        <v/>
      </c>
      <c r="AG78" s="34" t="str">
        <f ca="1">IFERROR(AVERAGEIFS(INDIRECT("Tabela1["&amp;$B78&amp;"]"),Tabela1[Turno],$D78,Tabela1[Data Corrigida],AG$3)/100,"")</f>
        <v/>
      </c>
      <c r="AH78" s="34" t="str">
        <f ca="1">IFERROR(AVERAGEIFS(INDIRECT("Tabela1["&amp;$B78&amp;"]"),Tabela1[Turno],$D78,Tabela1[Data Corrigida],AH$3)/100,"")</f>
        <v/>
      </c>
      <c r="AI78" s="34" t="str">
        <f ca="1">IFERROR(AVERAGEIFS(INDIRECT("Tabela1["&amp;$B78&amp;"]"),Tabela1[Turno],$D78,Tabela1[Data Corrigida],AI$3)/100,"")</f>
        <v/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62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2.605151728329896E-3</v>
      </c>
      <c r="N79" s="36">
        <f ca="1">IFERROR(AVERAGEIFS(INDIRECT("Tabela1["&amp;$B79&amp;"]"),Tabela1[Turno],$D79,Tabela1[Mês],N$3)/100,"")</f>
        <v>2.3809523809523812E-3</v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59"/>
      <c r="R79" s="35">
        <f ca="1">IFERROR(AVERAGEIFS(INDIRECT("Tabela1["&amp;$B79&amp;"]"),Tabela1[Turno],$D79,Tabela1[Data Corrigida],R$3)/100,"")</f>
        <v>2.3809523809523812E-3</v>
      </c>
      <c r="S79" s="36" t="str">
        <f ca="1">IFERROR(AVERAGEIFS(INDIRECT("Tabela1["&amp;$B79&amp;"]"),Tabela1[Turno],$D79,Tabela1[Data Corrigida],S$3)/100,"")</f>
        <v/>
      </c>
      <c r="T79" s="36" t="str">
        <f ca="1">IFERROR(AVERAGEIFS(INDIRECT("Tabela1["&amp;$B79&amp;"]"),Tabela1[Turno],$D79,Tabela1[Data Corrigida],T$3)/100,"")</f>
        <v/>
      </c>
      <c r="U79" s="36" t="str">
        <f ca="1">IFERROR(AVERAGEIFS(INDIRECT("Tabela1["&amp;$B79&amp;"]"),Tabela1[Turno],$D79,Tabela1[Data Corrigida],U$3)/100,"")</f>
        <v/>
      </c>
      <c r="V79" s="36" t="str">
        <f ca="1">IFERROR(AVERAGEIFS(INDIRECT("Tabela1["&amp;$B79&amp;"]"),Tabela1[Turno],$D79,Tabela1[Data Corrigida],V$3)/100,"")</f>
        <v/>
      </c>
      <c r="W79" s="36" t="str">
        <f ca="1">IFERROR(AVERAGEIFS(INDIRECT("Tabela1["&amp;$B79&amp;"]"),Tabela1[Turno],$D79,Tabela1[Data Corrigida],W$3)/100,"")</f>
        <v/>
      </c>
      <c r="X79" s="36" t="str">
        <f ca="1">IFERROR(AVERAGEIFS(INDIRECT("Tabela1["&amp;$B79&amp;"]"),Tabela1[Turno],$D79,Tabela1[Data Corrigida],X$3)/100,"")</f>
        <v/>
      </c>
      <c r="Y79" s="36" t="str">
        <f ca="1">IFERROR(AVERAGEIFS(INDIRECT("Tabela1["&amp;$B79&amp;"]"),Tabela1[Turno],$D79,Tabela1[Data Corrigida],Y$3)/100,"")</f>
        <v/>
      </c>
      <c r="Z79" s="36" t="str">
        <f ca="1">IFERROR(AVERAGEIFS(INDIRECT("Tabela1["&amp;$B79&amp;"]"),Tabela1[Turno],$D79,Tabela1[Data Corrigida],Z$3)/100,"")</f>
        <v/>
      </c>
      <c r="AA79" s="36" t="str">
        <f ca="1">IFERROR(AVERAGEIFS(INDIRECT("Tabela1["&amp;$B79&amp;"]"),Tabela1[Turno],$D79,Tabela1[Data Corrigida],AA$3)/100,"")</f>
        <v/>
      </c>
      <c r="AB79" s="36" t="str">
        <f ca="1">IFERROR(AVERAGEIFS(INDIRECT("Tabela1["&amp;$B79&amp;"]"),Tabela1[Turno],$D79,Tabela1[Data Corrigida],AB$3)/100,"")</f>
        <v/>
      </c>
      <c r="AC79" s="36" t="str">
        <f ca="1">IFERROR(AVERAGEIFS(INDIRECT("Tabela1["&amp;$B79&amp;"]"),Tabela1[Turno],$D79,Tabela1[Data Corrigida],AC$3)/100,"")</f>
        <v/>
      </c>
      <c r="AD79" s="36" t="str">
        <f ca="1">IFERROR(AVERAGEIFS(INDIRECT("Tabela1["&amp;$B79&amp;"]"),Tabela1[Turno],$D79,Tabela1[Data Corrigida],AD$3)/100,"")</f>
        <v/>
      </c>
      <c r="AE79" s="36" t="str">
        <f ca="1">IFERROR(AVERAGEIFS(INDIRECT("Tabela1["&amp;$B79&amp;"]"),Tabela1[Turno],$D79,Tabela1[Data Corrigida],AE$3)/100,"")</f>
        <v/>
      </c>
      <c r="AF79" s="36" t="str">
        <f ca="1">IFERROR(AVERAGEIFS(INDIRECT("Tabela1["&amp;$B79&amp;"]"),Tabela1[Turno],$D79,Tabela1[Data Corrigida],AF$3)/100,"")</f>
        <v/>
      </c>
      <c r="AG79" s="36" t="str">
        <f ca="1">IFERROR(AVERAGEIFS(INDIRECT("Tabela1["&amp;$B79&amp;"]"),Tabela1[Turno],$D79,Tabela1[Data Corrigida],AG$3)/100,"")</f>
        <v/>
      </c>
      <c r="AH79" s="36" t="str">
        <f ca="1">IFERROR(AVERAGEIFS(INDIRECT("Tabela1["&amp;$B79&amp;"]"),Tabela1[Turno],$D79,Tabela1[Data Corrigida],AH$3)/100,"")</f>
        <v/>
      </c>
      <c r="AI79" s="36" t="str">
        <f ca="1">IFERROR(AVERAGEIFS(INDIRECT("Tabela1["&amp;$B79&amp;"]"),Tabela1[Turno],$D79,Tabela1[Data Corrigida],AI$3)/100,"")</f>
        <v/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3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3.7154351336086129E-3</v>
      </c>
      <c r="N80" s="45">
        <f ca="1">IFERROR(AVERAGEIFS(INDIRECT("Tabela1["&amp;$B80&amp;"]"),Tabela1[Mês],N$3)/100,"")</f>
        <v>2.7950310559006208E-3</v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0"/>
      <c r="R80" s="37">
        <f ca="1">IFERROR(AVERAGEIFS(INDIRECT("Tabela1["&amp;$B80&amp;"]"),Tabela1[Data Corrigida],R$3)/100,"")</f>
        <v>2.7950310559006208E-3</v>
      </c>
      <c r="S80" s="38" t="str">
        <f ca="1">IFERROR(AVERAGEIFS(INDIRECT("Tabela1["&amp;$B80&amp;"]"),Tabela1[Data Corrigida],S$3)/100,"")</f>
        <v/>
      </c>
      <c r="T80" s="38" t="str">
        <f ca="1">IFERROR(AVERAGEIFS(INDIRECT("Tabela1["&amp;$B80&amp;"]"),Tabela1[Data Corrigida],T$3)/100,"")</f>
        <v/>
      </c>
      <c r="U80" s="38" t="str">
        <f ca="1">IFERROR(AVERAGEIFS(INDIRECT("Tabela1["&amp;$B80&amp;"]"),Tabela1[Data Corrigida],U$3)/100,"")</f>
        <v/>
      </c>
      <c r="V80" s="38" t="str">
        <f ca="1">IFERROR(AVERAGEIFS(INDIRECT("Tabela1["&amp;$B80&amp;"]"),Tabela1[Data Corrigida],V$3)/100,"")</f>
        <v/>
      </c>
      <c r="W80" s="38" t="str">
        <f ca="1">IFERROR(AVERAGEIFS(INDIRECT("Tabela1["&amp;$B80&amp;"]"),Tabela1[Data Corrigida],W$3)/100,"")</f>
        <v/>
      </c>
      <c r="X80" s="38" t="str">
        <f ca="1">IFERROR(AVERAGEIFS(INDIRECT("Tabela1["&amp;$B80&amp;"]"),Tabela1[Data Corrigida],X$3)/100,"")</f>
        <v/>
      </c>
      <c r="Y80" s="38" t="str">
        <f ca="1">IFERROR(AVERAGEIFS(INDIRECT("Tabela1["&amp;$B80&amp;"]"),Tabela1[Data Corrigida],Y$3)/100,"")</f>
        <v/>
      </c>
      <c r="Z80" s="38" t="str">
        <f ca="1">IFERROR(AVERAGEIFS(INDIRECT("Tabela1["&amp;$B80&amp;"]"),Tabela1[Data Corrigida],Z$3)/100,"")</f>
        <v/>
      </c>
      <c r="AA80" s="38" t="str">
        <f ca="1">IFERROR(AVERAGEIFS(INDIRECT("Tabela1["&amp;$B80&amp;"]"),Tabela1[Data Corrigida],AA$3)/100,"")</f>
        <v/>
      </c>
      <c r="AB80" s="38" t="str">
        <f ca="1">IFERROR(AVERAGEIFS(INDIRECT("Tabela1["&amp;$B80&amp;"]"),Tabela1[Data Corrigida],AB$3)/100,"")</f>
        <v/>
      </c>
      <c r="AC80" s="38" t="str">
        <f ca="1">IFERROR(AVERAGEIFS(INDIRECT("Tabela1["&amp;$B80&amp;"]"),Tabela1[Data Corrigida],AC$3)/100,"")</f>
        <v/>
      </c>
      <c r="AD80" s="38" t="str">
        <f ca="1">IFERROR(AVERAGEIFS(INDIRECT("Tabela1["&amp;$B80&amp;"]"),Tabela1[Data Corrigida],AD$3)/100,"")</f>
        <v/>
      </c>
      <c r="AE80" s="38" t="str">
        <f ca="1">IFERROR(AVERAGEIFS(INDIRECT("Tabela1["&amp;$B80&amp;"]"),Tabela1[Data Corrigida],AE$3)/100,"")</f>
        <v/>
      </c>
      <c r="AF80" s="38" t="str">
        <f ca="1">IFERROR(AVERAGEIFS(INDIRECT("Tabela1["&amp;$B80&amp;"]"),Tabela1[Data Corrigida],AF$3)/100,"")</f>
        <v/>
      </c>
      <c r="AG80" s="38" t="str">
        <f ca="1">IFERROR(AVERAGEIFS(INDIRECT("Tabela1["&amp;$B80&amp;"]"),Tabela1[Data Corrigida],AG$3)/100,"")</f>
        <v/>
      </c>
      <c r="AH80" s="38" t="str">
        <f ca="1">IFERROR(AVERAGEIFS(INDIRECT("Tabela1["&amp;$B80&amp;"]"),Tabela1[Data Corrigida],AH$3)/100,"")</f>
        <v/>
      </c>
      <c r="AI80" s="38" t="str">
        <f ca="1">IFERROR(AVERAGEIFS(INDIRECT("Tabela1["&amp;$B80&amp;"]"),Tabela1[Data Corrigida],AI$3)/100,"")</f>
        <v/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61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1.9580030290998338E-2</v>
      </c>
      <c r="N81" s="34">
        <f ca="1">IFERROR(AVERAGEIFS(INDIRECT("Tabela1["&amp;$B81&amp;"]"),Tabela1[Turno],$D81,Tabela1[Mês],N$3)/100,"")</f>
        <v>1.3975155279503104E-2</v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58">
        <v>0</v>
      </c>
      <c r="R81" s="33">
        <f ca="1">IFERROR(AVERAGEIFS(INDIRECT("Tabela1["&amp;$B81&amp;"]"),Tabela1[Turno],$D81,Tabela1[Data Corrigida],R$3)/100,"")</f>
        <v>1.3975155279503104E-2</v>
      </c>
      <c r="S81" s="34" t="str">
        <f ca="1">IFERROR(AVERAGEIFS(INDIRECT("Tabela1["&amp;$B81&amp;"]"),Tabela1[Turno],$D81,Tabela1[Data Corrigida],S$3)/100,"")</f>
        <v/>
      </c>
      <c r="T81" s="34" t="str">
        <f ca="1">IFERROR(AVERAGEIFS(INDIRECT("Tabela1["&amp;$B81&amp;"]"),Tabela1[Turno],$D81,Tabela1[Data Corrigida],T$3)/100,"")</f>
        <v/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 t="str">
        <f ca="1">IFERROR(AVERAGEIFS(INDIRECT("Tabela1["&amp;$B81&amp;"]"),Tabela1[Turno],$D81,Tabela1[Data Corrigida],AA$3)/100,"")</f>
        <v/>
      </c>
      <c r="AB81" s="34" t="str">
        <f ca="1">IFERROR(AVERAGEIFS(INDIRECT("Tabela1["&amp;$B81&amp;"]"),Tabela1[Turno],$D81,Tabela1[Data Corrigida],AB$3)/100,"")</f>
        <v/>
      </c>
      <c r="AC81" s="34" t="str">
        <f ca="1">IFERROR(AVERAGEIFS(INDIRECT("Tabela1["&amp;$B81&amp;"]"),Tabela1[Turno],$D81,Tabela1[Data Corrigida],AC$3)/100,"")</f>
        <v/>
      </c>
      <c r="AD81" s="34" t="str">
        <f ca="1">IFERROR(AVERAGEIFS(INDIRECT("Tabela1["&amp;$B81&amp;"]"),Tabela1[Turno],$D81,Tabela1[Data Corrigida],AD$3)/100,"")</f>
        <v/>
      </c>
      <c r="AE81" s="34" t="str">
        <f ca="1">IFERROR(AVERAGEIFS(INDIRECT("Tabela1["&amp;$B81&amp;"]"),Tabela1[Turno],$D81,Tabela1[Data Corrigida],AE$3)/100,"")</f>
        <v/>
      </c>
      <c r="AF81" s="34" t="str">
        <f ca="1">IFERROR(AVERAGEIFS(INDIRECT("Tabela1["&amp;$B81&amp;"]"),Tabela1[Turno],$D81,Tabela1[Data Corrigida],AF$3)/100,"")</f>
        <v/>
      </c>
      <c r="AG81" s="34" t="str">
        <f ca="1">IFERROR(AVERAGEIFS(INDIRECT("Tabela1["&amp;$B81&amp;"]"),Tabela1[Turno],$D81,Tabela1[Data Corrigida],AG$3)/100,"")</f>
        <v/>
      </c>
      <c r="AH81" s="34" t="str">
        <f ca="1">IFERROR(AVERAGEIFS(INDIRECT("Tabela1["&amp;$B81&amp;"]"),Tabela1[Turno],$D81,Tabela1[Data Corrigida],AH$3)/100,"")</f>
        <v/>
      </c>
      <c r="AI81" s="34" t="str">
        <f ca="1">IFERROR(AVERAGEIFS(INDIRECT("Tabela1["&amp;$B81&amp;"]"),Tabela1[Turno],$D81,Tabela1[Data Corrigida],AI$3)/100,"")</f>
        <v/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62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3.2446523496796054E-2</v>
      </c>
      <c r="N82" s="36">
        <f ca="1">IFERROR(AVERAGEIFS(INDIRECT("Tabela1["&amp;$B82&amp;"]"),Tabela1[Turno],$D82,Tabela1[Mês],N$3)/100,"")</f>
        <v>4.1560291560291562E-2</v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59"/>
      <c r="R82" s="35">
        <f ca="1">IFERROR(AVERAGEIFS(INDIRECT("Tabela1["&amp;$B82&amp;"]"),Tabela1[Turno],$D82,Tabela1[Data Corrigida],R$3)/100,"")</f>
        <v>4.1560291560291562E-2</v>
      </c>
      <c r="S82" s="36" t="str">
        <f ca="1">IFERROR(AVERAGEIFS(INDIRECT("Tabela1["&amp;$B82&amp;"]"),Tabela1[Turno],$D82,Tabela1[Data Corrigida],S$3)/100,"")</f>
        <v/>
      </c>
      <c r="T82" s="36" t="str">
        <f ca="1">IFERROR(AVERAGEIFS(INDIRECT("Tabela1["&amp;$B82&amp;"]"),Tabela1[Turno],$D82,Tabela1[Data Corrigida],T$3)/100,"")</f>
        <v/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 t="str">
        <f ca="1">IFERROR(AVERAGEIFS(INDIRECT("Tabela1["&amp;$B82&amp;"]"),Tabela1[Turno],$D82,Tabela1[Data Corrigida],Z$3)/100,"")</f>
        <v/>
      </c>
      <c r="AA82" s="36" t="str">
        <f ca="1">IFERROR(AVERAGEIFS(INDIRECT("Tabela1["&amp;$B82&amp;"]"),Tabela1[Turno],$D82,Tabela1[Data Corrigida],AA$3)/100,"")</f>
        <v/>
      </c>
      <c r="AB82" s="36" t="str">
        <f ca="1">IFERROR(AVERAGEIFS(INDIRECT("Tabela1["&amp;$B82&amp;"]"),Tabela1[Turno],$D82,Tabela1[Data Corrigida],AB$3)/100,"")</f>
        <v/>
      </c>
      <c r="AC82" s="36" t="str">
        <f ca="1">IFERROR(AVERAGEIFS(INDIRECT("Tabela1["&amp;$B82&amp;"]"),Tabela1[Turno],$D82,Tabela1[Data Corrigida],AC$3)/100,"")</f>
        <v/>
      </c>
      <c r="AD82" s="36" t="str">
        <f ca="1">IFERROR(AVERAGEIFS(INDIRECT("Tabela1["&amp;$B82&amp;"]"),Tabela1[Turno],$D82,Tabela1[Data Corrigida],AD$3)/100,"")</f>
        <v/>
      </c>
      <c r="AE82" s="36" t="str">
        <f ca="1">IFERROR(AVERAGEIFS(INDIRECT("Tabela1["&amp;$B82&amp;"]"),Tabela1[Turno],$D82,Tabela1[Data Corrigida],AE$3)/100,"")</f>
        <v/>
      </c>
      <c r="AF82" s="36" t="str">
        <f ca="1">IFERROR(AVERAGEIFS(INDIRECT("Tabela1["&amp;$B82&amp;"]"),Tabela1[Turno],$D82,Tabela1[Data Corrigida],AF$3)/100,"")</f>
        <v/>
      </c>
      <c r="AG82" s="36" t="str">
        <f ca="1">IFERROR(AVERAGEIFS(INDIRECT("Tabela1["&amp;$B82&amp;"]"),Tabela1[Turno],$D82,Tabela1[Data Corrigida],AG$3)/100,"")</f>
        <v/>
      </c>
      <c r="AH82" s="36" t="str">
        <f ca="1">IFERROR(AVERAGEIFS(INDIRECT("Tabela1["&amp;$B82&amp;"]"),Tabela1[Turno],$D82,Tabela1[Data Corrigida],AH$3)/100,"")</f>
        <v/>
      </c>
      <c r="AI82" s="36" t="str">
        <f ca="1">IFERROR(AVERAGEIFS(INDIRECT("Tabela1["&amp;$B82&amp;"]"),Tabela1[Turno],$D82,Tabela1[Data Corrigida],AI$3)/100,"")</f>
        <v/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3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2.5247414203075892E-2</v>
      </c>
      <c r="N83" s="45">
        <f ca="1">IFERROR(AVERAGEIFS(INDIRECT("Tabela1["&amp;$B83&amp;"]"),Tabela1[Mês],N$3)/100,"")</f>
        <v>2.5797356542698161E-2</v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0"/>
      <c r="R83" s="37">
        <f ca="1">IFERROR(AVERAGEIFS(INDIRECT("Tabela1["&amp;$B83&amp;"]"),Tabela1[Data Corrigida],R$3)/100,"")</f>
        <v>2.5797356542698161E-2</v>
      </c>
      <c r="S83" s="38" t="str">
        <f ca="1">IFERROR(AVERAGEIFS(INDIRECT("Tabela1["&amp;$B83&amp;"]"),Tabela1[Data Corrigida],S$3)/100,"")</f>
        <v/>
      </c>
      <c r="T83" s="38" t="str">
        <f ca="1">IFERROR(AVERAGEIFS(INDIRECT("Tabela1["&amp;$B83&amp;"]"),Tabela1[Data Corrigida],T$3)/100,"")</f>
        <v/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 t="str">
        <f ca="1">IFERROR(AVERAGEIFS(INDIRECT("Tabela1["&amp;$B83&amp;"]"),Tabela1[Data Corrigida],Z$3)/100,"")</f>
        <v/>
      </c>
      <c r="AA83" s="38" t="str">
        <f ca="1">IFERROR(AVERAGEIFS(INDIRECT("Tabela1["&amp;$B83&amp;"]"),Tabela1[Data Corrigida],AA$3)/100,"")</f>
        <v/>
      </c>
      <c r="AB83" s="38" t="str">
        <f ca="1">IFERROR(AVERAGEIFS(INDIRECT("Tabela1["&amp;$B83&amp;"]"),Tabela1[Data Corrigida],AB$3)/100,"")</f>
        <v/>
      </c>
      <c r="AC83" s="38" t="str">
        <f ca="1">IFERROR(AVERAGEIFS(INDIRECT("Tabela1["&amp;$B83&amp;"]"),Tabela1[Data Corrigida],AC$3)/100,"")</f>
        <v/>
      </c>
      <c r="AD83" s="38" t="str">
        <f ca="1">IFERROR(AVERAGEIFS(INDIRECT("Tabela1["&amp;$B83&amp;"]"),Tabela1[Data Corrigida],AD$3)/100,"")</f>
        <v/>
      </c>
      <c r="AE83" s="38" t="str">
        <f ca="1">IFERROR(AVERAGEIFS(INDIRECT("Tabela1["&amp;$B83&amp;"]"),Tabela1[Data Corrigida],AE$3)/100,"")</f>
        <v/>
      </c>
      <c r="AF83" s="38" t="str">
        <f ca="1">IFERROR(AVERAGEIFS(INDIRECT("Tabela1["&amp;$B83&amp;"]"),Tabela1[Data Corrigida],AF$3)/100,"")</f>
        <v/>
      </c>
      <c r="AG83" s="38" t="str">
        <f ca="1">IFERROR(AVERAGEIFS(INDIRECT("Tabela1["&amp;$B83&amp;"]"),Tabela1[Data Corrigida],AG$3)/100,"")</f>
        <v/>
      </c>
      <c r="AH83" s="38" t="str">
        <f ca="1">IFERROR(AVERAGEIFS(INDIRECT("Tabela1["&amp;$B83&amp;"]"),Tabela1[Data Corrigida],AH$3)/100,"")</f>
        <v/>
      </c>
      <c r="AI83" s="38" t="str">
        <f ca="1">IFERROR(AVERAGEIFS(INDIRECT("Tabela1["&amp;$B83&amp;"]"),Tabela1[Data Corrigida],AI$3)/100,"")</f>
        <v/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18" x14ac:dyDescent="0.25">
      <c r="B113" s="9"/>
      <c r="R113" s="7" t="s">
        <v>134</v>
      </c>
    </row>
    <row r="114" spans="2:18" x14ac:dyDescent="0.25">
      <c r="B114" s="9"/>
      <c r="R114" s="5">
        <v>46296</v>
      </c>
    </row>
    <row r="115" spans="2:18" x14ac:dyDescent="0.25">
      <c r="B115" s="9"/>
    </row>
    <row r="116" spans="2:18" x14ac:dyDescent="0.25">
      <c r="B116" s="9"/>
    </row>
    <row r="117" spans="2:18" x14ac:dyDescent="0.25">
      <c r="B117" s="9"/>
    </row>
    <row r="118" spans="2:18" x14ac:dyDescent="0.25">
      <c r="B118" s="9"/>
    </row>
    <row r="119" spans="2:18" x14ac:dyDescent="0.25">
      <c r="B119" s="9"/>
    </row>
    <row r="120" spans="2:18" x14ac:dyDescent="0.25">
      <c r="B120" s="9"/>
    </row>
    <row r="121" spans="2:18" x14ac:dyDescent="0.25">
      <c r="B121" s="9"/>
    </row>
    <row r="122" spans="2:18" x14ac:dyDescent="0.25">
      <c r="B122" s="9"/>
    </row>
    <row r="123" spans="2:18" x14ac:dyDescent="0.25">
      <c r="B123" s="9"/>
    </row>
    <row r="124" spans="2:18" x14ac:dyDescent="0.25">
      <c r="B124" s="9"/>
    </row>
    <row r="125" spans="2:18" x14ac:dyDescent="0.25">
      <c r="B125" s="9"/>
    </row>
    <row r="126" spans="2:18" x14ac:dyDescent="0.25">
      <c r="B126" s="9"/>
    </row>
    <row r="127" spans="2:18" x14ac:dyDescent="0.25">
      <c r="B127" s="9"/>
    </row>
    <row r="128" spans="2:18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  <mergeCell ref="C6:C8"/>
    <mergeCell ref="C9:C11"/>
    <mergeCell ref="C12:C14"/>
    <mergeCell ref="C15:C17"/>
    <mergeCell ref="C18:C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Q6:Q8"/>
    <mergeCell ref="Q9:Q11"/>
    <mergeCell ref="Q12:Q14"/>
    <mergeCell ref="Q15:Q17"/>
    <mergeCell ref="Q18:Q20"/>
    <mergeCell ref="Q21:Q23"/>
    <mergeCell ref="Q24:Q26"/>
    <mergeCell ref="Q27:Q29"/>
    <mergeCell ref="Q30:Q32"/>
    <mergeCell ref="Q33:Q35"/>
    <mergeCell ref="Q66:Q68"/>
    <mergeCell ref="Q69:Q71"/>
    <mergeCell ref="Q72:Q74"/>
    <mergeCell ref="C72:C74"/>
    <mergeCell ref="C63:C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5"/>
        <cfvo type="num" val="0.2"/>
        <cfvo type="num" val="0.25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329"/>
  <sheetViews>
    <sheetView topLeftCell="C296" workbookViewId="0">
      <selection activeCell="BF323" sqref="BF323:BM329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25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25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25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  <row r="288" spans="1:67" x14ac:dyDescent="0.25">
      <c r="A288" s="4">
        <f>INT(Tabela1[[#This Row],[Data e Hora]])</f>
        <v>46290</v>
      </c>
      <c r="B288" s="4" t="str">
        <f>UPPER(TEXT(Tabela1[[#This Row],[Data Corrigida]],"MMM"))</f>
        <v>SET</v>
      </c>
      <c r="C288" s="57" t="s">
        <v>850</v>
      </c>
      <c r="D288" t="s">
        <v>851</v>
      </c>
      <c r="E288" t="s">
        <v>852</v>
      </c>
      <c r="F288" t="s">
        <v>19</v>
      </c>
      <c r="G288" s="5" t="s">
        <v>853</v>
      </c>
      <c r="H288" t="s">
        <v>20</v>
      </c>
      <c r="I288" t="s">
        <v>33</v>
      </c>
      <c r="J288" s="1">
        <v>110</v>
      </c>
      <c r="K288" s="1">
        <v>2926</v>
      </c>
      <c r="L288" t="s">
        <v>34</v>
      </c>
      <c r="M288" s="1">
        <v>20</v>
      </c>
      <c r="N288" s="48">
        <v>20</v>
      </c>
      <c r="O288" s="1">
        <v>9</v>
      </c>
      <c r="P288" s="48">
        <v>9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5</v>
      </c>
      <c r="Z288" s="3">
        <v>2.2727272727272729</v>
      </c>
      <c r="AA288" s="1">
        <v>5</v>
      </c>
      <c r="AB288" s="3">
        <v>4.5454545454545459</v>
      </c>
      <c r="AC288" s="1">
        <v>0</v>
      </c>
      <c r="AD288" s="3">
        <v>0</v>
      </c>
      <c r="AE288" s="1">
        <v>1</v>
      </c>
      <c r="AF288" s="3">
        <v>0.90909090909090906</v>
      </c>
      <c r="AG288" s="1">
        <v>2</v>
      </c>
      <c r="AH288" s="3">
        <v>1.8181818181818181</v>
      </c>
      <c r="AI288" s="1" t="s">
        <v>22</v>
      </c>
      <c r="AJ288" s="1">
        <v>0</v>
      </c>
      <c r="AK288" s="3">
        <v>0</v>
      </c>
      <c r="AL288" s="1">
        <v>0</v>
      </c>
      <c r="AM288" s="3">
        <v>0</v>
      </c>
      <c r="AN288" s="1" t="s">
        <v>22</v>
      </c>
      <c r="AO288" s="1">
        <v>7</v>
      </c>
      <c r="AP288" s="3">
        <v>6.3636363636363633</v>
      </c>
      <c r="AQ288" s="3">
        <v>5</v>
      </c>
      <c r="AR288" s="3">
        <v>4.5454545454545459</v>
      </c>
      <c r="AS288" s="1">
        <v>6</v>
      </c>
      <c r="AT288" s="3">
        <v>5.4545454545454541</v>
      </c>
      <c r="AU288" s="1">
        <v>0</v>
      </c>
      <c r="AV288" s="3">
        <v>0</v>
      </c>
      <c r="AW288" s="1" t="s">
        <v>22</v>
      </c>
      <c r="AX288" s="1">
        <v>19</v>
      </c>
      <c r="AY288" s="1">
        <v>0</v>
      </c>
      <c r="AZ288" s="1">
        <v>0</v>
      </c>
      <c r="BA288" s="1">
        <v>38</v>
      </c>
      <c r="BB288" s="1">
        <v>0</v>
      </c>
      <c r="BC288" s="1">
        <v>0</v>
      </c>
      <c r="BD288" s="1">
        <v>0</v>
      </c>
      <c r="BE288" s="54">
        <v>0</v>
      </c>
      <c r="BF288" s="6">
        <v>20</v>
      </c>
      <c r="BG288" s="6">
        <v>18</v>
      </c>
      <c r="BH288" s="1">
        <v>0</v>
      </c>
      <c r="BI288" s="6">
        <v>0</v>
      </c>
      <c r="BJ288" s="1" t="s">
        <v>22</v>
      </c>
      <c r="BK288" s="6">
        <v>2</v>
      </c>
      <c r="BL288" s="6">
        <v>0</v>
      </c>
      <c r="BM288" s="1">
        <v>0</v>
      </c>
      <c r="BN288" t="s">
        <v>24</v>
      </c>
      <c r="BO288">
        <v>271</v>
      </c>
    </row>
    <row r="289" spans="1:67" x14ac:dyDescent="0.25">
      <c r="A289" s="4">
        <f>INT(Tabela1[[#This Row],[Data e Hora]])</f>
        <v>46290</v>
      </c>
      <c r="B289" s="4" t="str">
        <f>UPPER(TEXT(Tabela1[[#This Row],[Data Corrigida]],"MMM"))</f>
        <v>SET</v>
      </c>
      <c r="C289" t="s">
        <v>854</v>
      </c>
      <c r="D289" t="s">
        <v>855</v>
      </c>
      <c r="E289" t="s">
        <v>852</v>
      </c>
      <c r="F289" t="s">
        <v>19</v>
      </c>
      <c r="G289" s="5" t="s">
        <v>853</v>
      </c>
      <c r="H289" t="s">
        <v>20</v>
      </c>
      <c r="I289" t="s">
        <v>33</v>
      </c>
      <c r="J289" s="1">
        <v>79</v>
      </c>
      <c r="K289" s="1">
        <v>2926</v>
      </c>
      <c r="L289" t="s">
        <v>34</v>
      </c>
      <c r="M289" s="1">
        <v>25</v>
      </c>
      <c r="N289" s="48">
        <v>25</v>
      </c>
      <c r="O289" s="1">
        <v>8</v>
      </c>
      <c r="P289" s="48">
        <v>8</v>
      </c>
      <c r="Q289" s="1">
        <v>0</v>
      </c>
      <c r="R289" s="1">
        <v>0</v>
      </c>
      <c r="S289" s="1">
        <v>1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4</v>
      </c>
      <c r="Z289" s="3">
        <v>2.5316455696202533</v>
      </c>
      <c r="AA289" s="1">
        <v>8</v>
      </c>
      <c r="AB289" s="3">
        <v>10.126582278481013</v>
      </c>
      <c r="AC289" s="1">
        <v>0</v>
      </c>
      <c r="AD289" s="3">
        <v>0</v>
      </c>
      <c r="AE289" s="1">
        <v>0</v>
      </c>
      <c r="AF289" s="3">
        <v>0</v>
      </c>
      <c r="AG289" s="1">
        <v>1</v>
      </c>
      <c r="AH289" s="3">
        <v>1.2658227848101267</v>
      </c>
      <c r="AI289" s="1" t="s">
        <v>22</v>
      </c>
      <c r="AJ289" s="1">
        <v>0</v>
      </c>
      <c r="AK289" s="3">
        <v>0</v>
      </c>
      <c r="AL289" s="1">
        <v>0</v>
      </c>
      <c r="AM289" s="3">
        <v>0</v>
      </c>
      <c r="AN289" s="1" t="s">
        <v>22</v>
      </c>
      <c r="AO289" s="1">
        <v>9</v>
      </c>
      <c r="AP289" s="3">
        <v>11.39240506329114</v>
      </c>
      <c r="AQ289" s="3">
        <v>3</v>
      </c>
      <c r="AR289" s="3">
        <v>3.79746835443038</v>
      </c>
      <c r="AS289" s="1">
        <v>7</v>
      </c>
      <c r="AT289" s="3">
        <v>8.8607594936708853</v>
      </c>
      <c r="AU289" s="1">
        <v>1</v>
      </c>
      <c r="AV289" s="3">
        <v>1.2658227848101267</v>
      </c>
      <c r="AW289" s="1" t="s">
        <v>22</v>
      </c>
      <c r="AX289" s="1">
        <v>20</v>
      </c>
      <c r="AY289" s="1">
        <v>0</v>
      </c>
      <c r="AZ289" s="1">
        <v>0</v>
      </c>
      <c r="BA289" s="1">
        <v>40</v>
      </c>
      <c r="BB289" s="1">
        <v>0</v>
      </c>
      <c r="BC289" s="1">
        <v>0</v>
      </c>
      <c r="BD289" s="1">
        <v>0</v>
      </c>
      <c r="BE289" s="54">
        <v>0</v>
      </c>
      <c r="BF289" s="6">
        <v>20</v>
      </c>
      <c r="BG289" s="6">
        <v>19</v>
      </c>
      <c r="BH289" s="1">
        <v>0</v>
      </c>
      <c r="BI289" s="6">
        <v>0</v>
      </c>
      <c r="BJ289" s="1" t="s">
        <v>22</v>
      </c>
      <c r="BK289" s="6">
        <v>8</v>
      </c>
      <c r="BL289" s="6">
        <v>0</v>
      </c>
      <c r="BM289" s="1">
        <v>0</v>
      </c>
      <c r="BN289" t="s">
        <v>24</v>
      </c>
      <c r="BO289">
        <v>7647</v>
      </c>
    </row>
    <row r="290" spans="1:67" x14ac:dyDescent="0.25">
      <c r="A290" s="4">
        <f>INT(Tabela1[[#This Row],[Data e Hora]])</f>
        <v>46290</v>
      </c>
      <c r="B290" s="4" t="str">
        <f>UPPER(TEXT(Tabela1[[#This Row],[Data Corrigida]],"MMM"))</f>
        <v>SET</v>
      </c>
      <c r="C290" t="s">
        <v>856</v>
      </c>
      <c r="D290" t="s">
        <v>857</v>
      </c>
      <c r="E290" t="s">
        <v>852</v>
      </c>
      <c r="F290" t="s">
        <v>19</v>
      </c>
      <c r="G290" s="5" t="s">
        <v>853</v>
      </c>
      <c r="H290" t="s">
        <v>20</v>
      </c>
      <c r="I290" t="s">
        <v>33</v>
      </c>
      <c r="J290" s="1">
        <v>130</v>
      </c>
      <c r="K290" s="1">
        <v>2908</v>
      </c>
      <c r="L290" t="s">
        <v>34</v>
      </c>
      <c r="M290" s="1">
        <v>22</v>
      </c>
      <c r="N290" s="48">
        <v>22</v>
      </c>
      <c r="O290" s="1">
        <v>10</v>
      </c>
      <c r="P290" s="48">
        <v>10</v>
      </c>
      <c r="Q290" s="1">
        <v>1</v>
      </c>
      <c r="R290" s="1">
        <v>10</v>
      </c>
      <c r="S290" s="1">
        <v>1</v>
      </c>
      <c r="T290" s="1">
        <v>1</v>
      </c>
      <c r="U290" s="1">
        <v>0</v>
      </c>
      <c r="V290" s="1">
        <v>0</v>
      </c>
      <c r="W290" s="1">
        <v>0</v>
      </c>
      <c r="X290" s="1">
        <v>0</v>
      </c>
      <c r="Y290" s="1">
        <v>4</v>
      </c>
      <c r="Z290" s="3">
        <v>1.5384615384615385</v>
      </c>
      <c r="AA290" s="1">
        <v>6</v>
      </c>
      <c r="AB290" s="3">
        <v>4.6153846153846159</v>
      </c>
      <c r="AC290" s="1">
        <v>1</v>
      </c>
      <c r="AD290" s="3">
        <v>0.76923076923076927</v>
      </c>
      <c r="AE290" s="1">
        <v>1</v>
      </c>
      <c r="AF290" s="3">
        <v>0.76923076923076927</v>
      </c>
      <c r="AG290" s="1">
        <v>2</v>
      </c>
      <c r="AH290" s="3">
        <v>1.5384615384615385</v>
      </c>
      <c r="AI290" s="1" t="s">
        <v>22</v>
      </c>
      <c r="AJ290" s="1">
        <v>1</v>
      </c>
      <c r="AK290" s="3">
        <v>0.76923076923076927</v>
      </c>
      <c r="AL290" s="1">
        <v>0</v>
      </c>
      <c r="AM290" s="3">
        <v>0</v>
      </c>
      <c r="AN290" s="1" t="s">
        <v>22</v>
      </c>
      <c r="AO290" s="1">
        <v>8</v>
      </c>
      <c r="AP290" s="3">
        <v>6.1538461538461542</v>
      </c>
      <c r="AQ290" s="3" t="s">
        <v>22</v>
      </c>
      <c r="AR290" s="3" t="s">
        <v>22</v>
      </c>
      <c r="AS290" s="1">
        <v>6</v>
      </c>
      <c r="AT290" s="3">
        <v>4.6153846153846159</v>
      </c>
      <c r="AU290" s="1">
        <v>0</v>
      </c>
      <c r="AV290" s="3">
        <v>0</v>
      </c>
      <c r="AW290" s="1" t="s">
        <v>22</v>
      </c>
      <c r="AX290" s="1">
        <v>19</v>
      </c>
      <c r="AY290" s="1">
        <v>0</v>
      </c>
      <c r="AZ290" s="1">
        <v>0</v>
      </c>
      <c r="BA290" s="1">
        <v>38</v>
      </c>
      <c r="BB290" s="1">
        <v>0</v>
      </c>
      <c r="BC290" s="1">
        <v>0</v>
      </c>
      <c r="BD290" s="1">
        <v>2</v>
      </c>
      <c r="BE290" s="54">
        <v>1.5384615384615385</v>
      </c>
      <c r="BF290" s="6">
        <v>26</v>
      </c>
      <c r="BG290" s="6">
        <v>24</v>
      </c>
      <c r="BH290" s="1">
        <v>0</v>
      </c>
      <c r="BI290" s="6">
        <v>0</v>
      </c>
      <c r="BJ290" s="1" t="s">
        <v>22</v>
      </c>
      <c r="BK290" s="6">
        <v>0</v>
      </c>
      <c r="BL290" s="6">
        <v>0</v>
      </c>
      <c r="BM290" s="1">
        <v>0</v>
      </c>
      <c r="BN290" t="s">
        <v>24</v>
      </c>
      <c r="BO290">
        <v>14736</v>
      </c>
    </row>
    <row r="291" spans="1:67" x14ac:dyDescent="0.25">
      <c r="A291" s="4">
        <f>INT(Tabela1[[#This Row],[Data e Hora]])</f>
        <v>46290</v>
      </c>
      <c r="B291" s="4" t="str">
        <f>UPPER(TEXT(Tabela1[[#This Row],[Data Corrigida]],"MMM"))</f>
        <v>SET</v>
      </c>
      <c r="C291" t="s">
        <v>858</v>
      </c>
      <c r="D291" t="s">
        <v>859</v>
      </c>
      <c r="E291" t="s">
        <v>860</v>
      </c>
      <c r="F291" t="s">
        <v>19</v>
      </c>
      <c r="G291" s="5" t="s">
        <v>853</v>
      </c>
      <c r="H291" t="s">
        <v>20</v>
      </c>
      <c r="I291" t="s">
        <v>21</v>
      </c>
      <c r="J291" s="1">
        <v>100</v>
      </c>
      <c r="K291" s="1">
        <v>3079</v>
      </c>
      <c r="L291" t="s">
        <v>23</v>
      </c>
      <c r="M291" s="1">
        <v>47</v>
      </c>
      <c r="N291" s="48">
        <v>47</v>
      </c>
      <c r="O291" s="1">
        <v>19</v>
      </c>
      <c r="P291" s="48">
        <v>19</v>
      </c>
      <c r="Q291" s="1">
        <v>0</v>
      </c>
      <c r="R291" s="1">
        <v>0</v>
      </c>
      <c r="S291" s="1">
        <v>3</v>
      </c>
      <c r="T291" s="1">
        <v>3</v>
      </c>
      <c r="U291" s="1">
        <v>1</v>
      </c>
      <c r="V291" s="1">
        <v>1</v>
      </c>
      <c r="W291" s="1">
        <v>0</v>
      </c>
      <c r="X291" s="1">
        <v>0</v>
      </c>
      <c r="Y291" s="1">
        <v>2</v>
      </c>
      <c r="Z291" s="3">
        <v>1</v>
      </c>
      <c r="AA291" s="1">
        <v>6</v>
      </c>
      <c r="AB291" s="3">
        <v>6</v>
      </c>
      <c r="AC291" s="1">
        <v>0</v>
      </c>
      <c r="AD291" s="3">
        <v>0</v>
      </c>
      <c r="AE291" s="1">
        <v>4</v>
      </c>
      <c r="AF291" s="3">
        <v>4</v>
      </c>
      <c r="AG291" s="1">
        <v>9</v>
      </c>
      <c r="AH291" s="3">
        <v>9</v>
      </c>
      <c r="AI291" s="1" t="s">
        <v>22</v>
      </c>
      <c r="AJ291" s="1">
        <v>6</v>
      </c>
      <c r="AK291" s="3">
        <v>6</v>
      </c>
      <c r="AL291" s="1">
        <v>2</v>
      </c>
      <c r="AM291" s="3">
        <v>2</v>
      </c>
      <c r="AN291" s="1" t="s">
        <v>22</v>
      </c>
      <c r="AO291" s="1">
        <v>12</v>
      </c>
      <c r="AP291" s="3">
        <v>12</v>
      </c>
      <c r="AQ291" s="3">
        <v>2</v>
      </c>
      <c r="AR291" s="3">
        <v>2</v>
      </c>
      <c r="AS291" s="1">
        <v>9</v>
      </c>
      <c r="AT291" s="3">
        <v>9</v>
      </c>
      <c r="AU291" s="1">
        <v>2</v>
      </c>
      <c r="AV291" s="3">
        <v>2</v>
      </c>
      <c r="AW291" s="1" t="s">
        <v>22</v>
      </c>
      <c r="AX291" s="1">
        <v>20</v>
      </c>
      <c r="AY291" s="1">
        <v>0</v>
      </c>
      <c r="AZ291" s="1">
        <v>0</v>
      </c>
      <c r="BA291" s="1">
        <v>40</v>
      </c>
      <c r="BB291" s="1">
        <v>0</v>
      </c>
      <c r="BC291" s="1">
        <v>0</v>
      </c>
      <c r="BD291" s="1">
        <v>0</v>
      </c>
      <c r="BE291" s="54">
        <v>0</v>
      </c>
      <c r="BF291" s="6">
        <v>25</v>
      </c>
      <c r="BG291" s="6">
        <v>23</v>
      </c>
      <c r="BH291" s="1">
        <v>1</v>
      </c>
      <c r="BI291" s="6">
        <v>10</v>
      </c>
      <c r="BJ291" s="1" t="s">
        <v>22</v>
      </c>
      <c r="BK291" s="1" t="s">
        <v>22</v>
      </c>
      <c r="BL291" s="1" t="s">
        <v>22</v>
      </c>
      <c r="BM291" s="1" t="s">
        <v>22</v>
      </c>
      <c r="BN291" t="s">
        <v>24</v>
      </c>
      <c r="BO291">
        <v>1861</v>
      </c>
    </row>
    <row r="292" spans="1:67" x14ac:dyDescent="0.25">
      <c r="A292" s="4">
        <f>INT(Tabela1[[#This Row],[Data e Hora]])</f>
        <v>46290</v>
      </c>
      <c r="B292" s="4" t="str">
        <f>UPPER(TEXT(Tabela1[[#This Row],[Data Corrigida]],"MMM"))</f>
        <v>SET</v>
      </c>
      <c r="C292" t="s">
        <v>861</v>
      </c>
      <c r="D292" t="s">
        <v>862</v>
      </c>
      <c r="E292" t="s">
        <v>860</v>
      </c>
      <c r="F292" t="s">
        <v>19</v>
      </c>
      <c r="G292" s="5" t="s">
        <v>853</v>
      </c>
      <c r="H292" t="s">
        <v>20</v>
      </c>
      <c r="I292" t="s">
        <v>21</v>
      </c>
      <c r="J292" s="1">
        <v>155</v>
      </c>
      <c r="K292" s="1">
        <v>3088</v>
      </c>
      <c r="L292" t="s">
        <v>23</v>
      </c>
      <c r="M292" s="1">
        <v>43</v>
      </c>
      <c r="N292" s="48">
        <v>43</v>
      </c>
      <c r="O292" s="1">
        <v>22</v>
      </c>
      <c r="P292" s="48">
        <v>22</v>
      </c>
      <c r="Q292" s="1">
        <v>0</v>
      </c>
      <c r="R292" s="1">
        <v>0</v>
      </c>
      <c r="S292" s="1">
        <v>2</v>
      </c>
      <c r="T292" s="1">
        <v>2</v>
      </c>
      <c r="U292" s="1">
        <v>1</v>
      </c>
      <c r="V292" s="1">
        <v>1</v>
      </c>
      <c r="W292" s="1">
        <v>0</v>
      </c>
      <c r="X292" s="1">
        <v>0</v>
      </c>
      <c r="Y292" s="1">
        <v>1</v>
      </c>
      <c r="Z292" s="3">
        <v>0.32258064516129031</v>
      </c>
      <c r="AA292" s="1">
        <v>9</v>
      </c>
      <c r="AB292" s="3">
        <v>5.806451612903226</v>
      </c>
      <c r="AC292" s="1">
        <v>0</v>
      </c>
      <c r="AD292" s="3">
        <v>0</v>
      </c>
      <c r="AE292" s="1">
        <v>5</v>
      </c>
      <c r="AF292" s="3">
        <v>3.225806451612903</v>
      </c>
      <c r="AG292" s="1">
        <v>10</v>
      </c>
      <c r="AH292" s="3">
        <v>6.4516129032258061</v>
      </c>
      <c r="AI292" s="1" t="s">
        <v>22</v>
      </c>
      <c r="AJ292" s="1">
        <v>8</v>
      </c>
      <c r="AK292" s="3">
        <v>5.161290322580645</v>
      </c>
      <c r="AL292" s="1">
        <v>3</v>
      </c>
      <c r="AM292" s="3">
        <v>1.935483870967742</v>
      </c>
      <c r="AN292" s="1" t="s">
        <v>22</v>
      </c>
      <c r="AO292" s="1">
        <v>12</v>
      </c>
      <c r="AP292" s="3">
        <v>7.741935483870968</v>
      </c>
      <c r="AQ292" s="3">
        <v>2</v>
      </c>
      <c r="AR292" s="3">
        <v>1.2903225806451613</v>
      </c>
      <c r="AS292" s="1">
        <v>11</v>
      </c>
      <c r="AT292" s="3">
        <v>7.096774193548387</v>
      </c>
      <c r="AU292" s="1">
        <v>4</v>
      </c>
      <c r="AV292" s="3">
        <v>2.5806451612903225</v>
      </c>
      <c r="AW292" s="1" t="s">
        <v>22</v>
      </c>
      <c r="AX292" s="1">
        <v>20</v>
      </c>
      <c r="AY292" s="1">
        <v>0</v>
      </c>
      <c r="AZ292" s="1">
        <v>0</v>
      </c>
      <c r="BA292" s="1">
        <v>40</v>
      </c>
      <c r="BB292" s="1">
        <v>0</v>
      </c>
      <c r="BC292" s="1">
        <v>0</v>
      </c>
      <c r="BD292" s="1">
        <v>0</v>
      </c>
      <c r="BE292" s="54">
        <v>0</v>
      </c>
      <c r="BF292" s="6">
        <v>25</v>
      </c>
      <c r="BG292" s="6">
        <v>19</v>
      </c>
      <c r="BH292" s="1">
        <v>0</v>
      </c>
      <c r="BI292" s="6">
        <v>0</v>
      </c>
      <c r="BJ292" s="1" t="s">
        <v>22</v>
      </c>
      <c r="BK292" s="6">
        <v>0</v>
      </c>
      <c r="BL292" s="6">
        <v>0</v>
      </c>
      <c r="BM292" s="1">
        <v>1</v>
      </c>
      <c r="BN292" t="s">
        <v>24</v>
      </c>
      <c r="BO292">
        <v>2519</v>
      </c>
    </row>
    <row r="293" spans="1:67" x14ac:dyDescent="0.25">
      <c r="A293" s="4">
        <f>INT(Tabela1[[#This Row],[Data e Hora]])</f>
        <v>46290</v>
      </c>
      <c r="B293" s="4" t="str">
        <f>UPPER(TEXT(Tabela1[[#This Row],[Data Corrigida]],"MMM"))</f>
        <v>SET</v>
      </c>
      <c r="C293" t="s">
        <v>863</v>
      </c>
      <c r="D293" t="s">
        <v>864</v>
      </c>
      <c r="E293" t="s">
        <v>865</v>
      </c>
      <c r="F293" t="s">
        <v>19</v>
      </c>
      <c r="G293" s="5" t="s">
        <v>853</v>
      </c>
      <c r="H293" t="s">
        <v>20</v>
      </c>
      <c r="I293" t="s">
        <v>21</v>
      </c>
      <c r="J293" s="1">
        <v>125</v>
      </c>
      <c r="K293" s="1">
        <v>3100</v>
      </c>
      <c r="L293" t="s">
        <v>23</v>
      </c>
      <c r="M293" s="1">
        <v>40</v>
      </c>
      <c r="N293" s="48">
        <v>40</v>
      </c>
      <c r="O293" s="1">
        <v>21</v>
      </c>
      <c r="P293" s="48">
        <v>21</v>
      </c>
      <c r="Q293" s="1">
        <v>0</v>
      </c>
      <c r="R293" s="1">
        <v>0</v>
      </c>
      <c r="S293" s="1">
        <v>2</v>
      </c>
      <c r="T293" s="1">
        <v>2</v>
      </c>
      <c r="U293" s="1">
        <v>1</v>
      </c>
      <c r="V293" s="1">
        <v>1</v>
      </c>
      <c r="W293" s="1">
        <v>0</v>
      </c>
      <c r="X293" s="1">
        <v>0</v>
      </c>
      <c r="Y293" s="1">
        <v>1</v>
      </c>
      <c r="Z293" s="3">
        <v>0.4</v>
      </c>
      <c r="AA293" s="1">
        <v>9</v>
      </c>
      <c r="AB293" s="3">
        <v>7.1999999999999993</v>
      </c>
      <c r="AC293" s="1">
        <v>0</v>
      </c>
      <c r="AD293" s="3">
        <v>0</v>
      </c>
      <c r="AE293" s="1">
        <v>4</v>
      </c>
      <c r="AF293" s="3">
        <v>3.2</v>
      </c>
      <c r="AG293" s="1">
        <v>8</v>
      </c>
      <c r="AH293" s="3">
        <v>6.4</v>
      </c>
      <c r="AI293" s="1" t="s">
        <v>22</v>
      </c>
      <c r="AJ293" s="1">
        <v>7</v>
      </c>
      <c r="AK293" s="3">
        <v>5.6000000000000005</v>
      </c>
      <c r="AL293" s="1">
        <v>2</v>
      </c>
      <c r="AM293" s="3">
        <v>1.6</v>
      </c>
      <c r="AN293" s="1" t="s">
        <v>22</v>
      </c>
      <c r="AO293" s="1">
        <v>13</v>
      </c>
      <c r="AP293" s="3">
        <v>10.4</v>
      </c>
      <c r="AQ293" s="3">
        <v>2</v>
      </c>
      <c r="AR293" s="3">
        <v>1.6</v>
      </c>
      <c r="AS293" s="1">
        <v>12</v>
      </c>
      <c r="AT293" s="3">
        <v>9.6</v>
      </c>
      <c r="AU293" s="1">
        <v>3</v>
      </c>
      <c r="AV293" s="3">
        <v>2.4</v>
      </c>
      <c r="AW293" s="1" t="s">
        <v>22</v>
      </c>
      <c r="AX293" s="1">
        <v>19</v>
      </c>
      <c r="AY293" s="1">
        <v>1</v>
      </c>
      <c r="AZ293" s="1">
        <v>1</v>
      </c>
      <c r="BA293" s="1">
        <v>38</v>
      </c>
      <c r="BB293" s="1">
        <v>2</v>
      </c>
      <c r="BC293" s="1">
        <v>2</v>
      </c>
      <c r="BD293" s="1">
        <v>0</v>
      </c>
      <c r="BE293" s="54">
        <v>0</v>
      </c>
      <c r="BF293" s="6">
        <v>22</v>
      </c>
      <c r="BG293" s="6">
        <v>17</v>
      </c>
      <c r="BH293" s="1">
        <v>1</v>
      </c>
      <c r="BI293" s="6">
        <v>10</v>
      </c>
      <c r="BJ293" s="1" t="s">
        <v>22</v>
      </c>
      <c r="BK293" s="6">
        <v>0</v>
      </c>
      <c r="BL293" s="6">
        <v>0</v>
      </c>
      <c r="BM293" s="1">
        <v>2</v>
      </c>
      <c r="BN293" t="s">
        <v>22</v>
      </c>
      <c r="BO293">
        <v>5985</v>
      </c>
    </row>
    <row r="294" spans="1:67" x14ac:dyDescent="0.25">
      <c r="A294" s="4">
        <f>INT(Tabela1[[#This Row],[Data e Hora]])</f>
        <v>46290</v>
      </c>
      <c r="B294" s="4" t="str">
        <f>UPPER(TEXT(Tabela1[[#This Row],[Data Corrigida]],"MMM"))</f>
        <v>SET</v>
      </c>
      <c r="C294" t="s">
        <v>866</v>
      </c>
      <c r="D294" t="s">
        <v>867</v>
      </c>
      <c r="E294" t="s">
        <v>865</v>
      </c>
      <c r="F294" t="s">
        <v>19</v>
      </c>
      <c r="G294" s="5" t="s">
        <v>853</v>
      </c>
      <c r="H294" t="s">
        <v>20</v>
      </c>
      <c r="I294" t="s">
        <v>21</v>
      </c>
      <c r="J294" s="1">
        <v>137</v>
      </c>
      <c r="K294" s="1">
        <v>3120</v>
      </c>
      <c r="L294" t="s">
        <v>23</v>
      </c>
      <c r="M294" s="1">
        <v>25</v>
      </c>
      <c r="N294" s="48">
        <v>25</v>
      </c>
      <c r="O294" s="1">
        <v>6</v>
      </c>
      <c r="P294" s="48">
        <v>6</v>
      </c>
      <c r="Q294" s="1">
        <v>0</v>
      </c>
      <c r="R294" s="1">
        <v>0</v>
      </c>
      <c r="S294" s="1">
        <v>3</v>
      </c>
      <c r="T294" s="1">
        <v>3</v>
      </c>
      <c r="U294" s="1">
        <v>1</v>
      </c>
      <c r="V294" s="1">
        <v>1</v>
      </c>
      <c r="W294" s="1">
        <v>0</v>
      </c>
      <c r="X294" s="1">
        <v>0</v>
      </c>
      <c r="Y294" s="1">
        <v>1</v>
      </c>
      <c r="Z294" s="3">
        <v>0.36496350364963503</v>
      </c>
      <c r="AA294" s="1">
        <v>7</v>
      </c>
      <c r="AB294" s="3">
        <v>5.1094890510948909</v>
      </c>
      <c r="AC294" s="1">
        <v>0</v>
      </c>
      <c r="AD294" s="3">
        <v>0</v>
      </c>
      <c r="AE294" s="1">
        <v>2</v>
      </c>
      <c r="AF294" s="3">
        <v>1.4598540145985401</v>
      </c>
      <c r="AG294" s="1">
        <v>7</v>
      </c>
      <c r="AH294" s="3">
        <v>5.1094890510948909</v>
      </c>
      <c r="AI294" s="1" t="s">
        <v>22</v>
      </c>
      <c r="AJ294" s="1">
        <v>5</v>
      </c>
      <c r="AK294" s="3">
        <v>3.6496350364963499</v>
      </c>
      <c r="AL294" s="1">
        <v>2</v>
      </c>
      <c r="AM294" s="3">
        <v>1.4598540145985401</v>
      </c>
      <c r="AN294" s="1" t="s">
        <v>22</v>
      </c>
      <c r="AO294" s="1">
        <v>7</v>
      </c>
      <c r="AP294" s="3">
        <v>5.1094890510948909</v>
      </c>
      <c r="AQ294" s="3">
        <v>1</v>
      </c>
      <c r="AR294" s="3">
        <v>0.72992700729927007</v>
      </c>
      <c r="AS294" s="1">
        <v>6</v>
      </c>
      <c r="AT294" s="3">
        <v>4.3795620437956204</v>
      </c>
      <c r="AU294" s="1">
        <v>2</v>
      </c>
      <c r="AV294" s="3">
        <v>1.4598540145985401</v>
      </c>
      <c r="AW294" s="1" t="s">
        <v>22</v>
      </c>
      <c r="AX294" s="1">
        <v>21</v>
      </c>
      <c r="AY294" s="1">
        <v>0</v>
      </c>
      <c r="AZ294" s="1">
        <v>0</v>
      </c>
      <c r="BA294" s="1">
        <v>42</v>
      </c>
      <c r="BB294" s="1">
        <v>0</v>
      </c>
      <c r="BC294" s="1">
        <v>0</v>
      </c>
      <c r="BD294" s="1">
        <v>0</v>
      </c>
      <c r="BE294" s="54">
        <v>0</v>
      </c>
      <c r="BF294" s="6">
        <v>15</v>
      </c>
      <c r="BG294" s="6">
        <v>19</v>
      </c>
      <c r="BH294" s="1">
        <v>1</v>
      </c>
      <c r="BI294" s="6">
        <v>10</v>
      </c>
      <c r="BJ294" s="1" t="s">
        <v>22</v>
      </c>
      <c r="BK294" s="1" t="s">
        <v>22</v>
      </c>
      <c r="BL294" s="1" t="s">
        <v>22</v>
      </c>
      <c r="BM294" s="1" t="s">
        <v>22</v>
      </c>
      <c r="BN294" t="s">
        <v>24</v>
      </c>
      <c r="BO294">
        <v>1829</v>
      </c>
    </row>
    <row r="295" spans="1:67" x14ac:dyDescent="0.25">
      <c r="A295" s="4">
        <f>INT(Tabela1[[#This Row],[Data e Hora]])</f>
        <v>46289</v>
      </c>
      <c r="B295" s="4" t="str">
        <f>UPPER(TEXT(Tabela1[[#This Row],[Data Corrigida]],"MMM"))</f>
        <v>SET</v>
      </c>
      <c r="C295" t="s">
        <v>868</v>
      </c>
      <c r="D295" t="s">
        <v>869</v>
      </c>
      <c r="E295" t="s">
        <v>870</v>
      </c>
      <c r="F295" t="s">
        <v>19</v>
      </c>
      <c r="G295" s="5" t="s">
        <v>871</v>
      </c>
      <c r="H295" t="s">
        <v>20</v>
      </c>
      <c r="I295" t="s">
        <v>33</v>
      </c>
      <c r="J295" s="1">
        <v>156</v>
      </c>
      <c r="K295" s="1">
        <v>3001</v>
      </c>
      <c r="L295" t="s">
        <v>34</v>
      </c>
      <c r="M295" s="1">
        <v>20</v>
      </c>
      <c r="N295" s="48">
        <v>20</v>
      </c>
      <c r="O295" s="1">
        <v>5</v>
      </c>
      <c r="P295" s="48">
        <v>5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7</v>
      </c>
      <c r="Z295" s="3">
        <v>2.2435897435897436</v>
      </c>
      <c r="AA295" s="1">
        <v>4</v>
      </c>
      <c r="AB295" s="3">
        <v>2.5641025641025639</v>
      </c>
      <c r="AC295" s="1">
        <v>0</v>
      </c>
      <c r="AD295" s="3">
        <v>0</v>
      </c>
      <c r="AE295" s="1">
        <v>2</v>
      </c>
      <c r="AF295" s="3">
        <v>1.2820512820512819</v>
      </c>
      <c r="AG295" s="1">
        <v>2</v>
      </c>
      <c r="AH295" s="3">
        <v>1.2820512820512819</v>
      </c>
      <c r="AI295" s="1" t="s">
        <v>22</v>
      </c>
      <c r="AJ295" s="1">
        <v>0</v>
      </c>
      <c r="AK295" s="3">
        <v>0</v>
      </c>
      <c r="AL295" s="1">
        <v>0</v>
      </c>
      <c r="AM295" s="3">
        <v>0</v>
      </c>
      <c r="AN295" s="1" t="s">
        <v>22</v>
      </c>
      <c r="AO295" s="1">
        <v>5</v>
      </c>
      <c r="AP295" s="3">
        <v>3.2051282051282048</v>
      </c>
      <c r="AQ295" s="3">
        <v>5</v>
      </c>
      <c r="AR295" s="3">
        <v>3.2051282051282048</v>
      </c>
      <c r="AS295" s="1">
        <v>6</v>
      </c>
      <c r="AT295" s="3">
        <v>3.8461538461538463</v>
      </c>
      <c r="AU295" s="1">
        <v>1</v>
      </c>
      <c r="AV295" s="3">
        <v>0.64102564102564097</v>
      </c>
      <c r="AW295" s="1" t="s">
        <v>22</v>
      </c>
      <c r="AX295" s="1">
        <v>19</v>
      </c>
      <c r="AY295" s="1">
        <v>0</v>
      </c>
      <c r="AZ295" s="1">
        <v>0</v>
      </c>
      <c r="BA295" s="1">
        <v>38</v>
      </c>
      <c r="BB295" s="1">
        <v>0</v>
      </c>
      <c r="BC295" s="1">
        <v>0</v>
      </c>
      <c r="BD295" s="1">
        <v>0</v>
      </c>
      <c r="BE295" s="54">
        <v>0</v>
      </c>
      <c r="BF295" s="6">
        <v>20</v>
      </c>
      <c r="BG295" s="6">
        <v>16</v>
      </c>
      <c r="BH295" s="1">
        <v>0</v>
      </c>
      <c r="BI295" s="6">
        <v>0</v>
      </c>
      <c r="BJ295" s="1" t="s">
        <v>22</v>
      </c>
      <c r="BK295" s="6">
        <v>0</v>
      </c>
      <c r="BL295" s="6">
        <v>0</v>
      </c>
      <c r="BM295" s="1">
        <v>0</v>
      </c>
      <c r="BN295" t="s">
        <v>24</v>
      </c>
      <c r="BO295">
        <v>1177</v>
      </c>
    </row>
    <row r="296" spans="1:67" x14ac:dyDescent="0.25">
      <c r="A296" s="4">
        <f>INT(Tabela1[[#This Row],[Data e Hora]])</f>
        <v>46289</v>
      </c>
      <c r="B296" s="4" t="str">
        <f>UPPER(TEXT(Tabela1[[#This Row],[Data Corrigida]],"MMM"))</f>
        <v>SET</v>
      </c>
      <c r="C296" t="s">
        <v>872</v>
      </c>
      <c r="D296" t="s">
        <v>873</v>
      </c>
      <c r="E296" t="s">
        <v>870</v>
      </c>
      <c r="F296" t="s">
        <v>19</v>
      </c>
      <c r="G296" s="5" t="s">
        <v>871</v>
      </c>
      <c r="H296" t="s">
        <v>20</v>
      </c>
      <c r="I296" t="s">
        <v>33</v>
      </c>
      <c r="J296" s="1">
        <v>151</v>
      </c>
      <c r="K296" s="1">
        <v>3038</v>
      </c>
      <c r="L296" t="s">
        <v>34</v>
      </c>
      <c r="M296" s="1">
        <v>20</v>
      </c>
      <c r="N296" s="48">
        <v>20</v>
      </c>
      <c r="O296" s="1">
        <v>6</v>
      </c>
      <c r="P296" s="48">
        <v>6</v>
      </c>
      <c r="Q296" s="1">
        <v>0</v>
      </c>
      <c r="R296" s="1">
        <v>0</v>
      </c>
      <c r="S296" s="1">
        <v>1</v>
      </c>
      <c r="T296" s="1">
        <v>1</v>
      </c>
      <c r="U296" s="1">
        <v>0</v>
      </c>
      <c r="V296" s="1">
        <v>0</v>
      </c>
      <c r="W296" s="1">
        <v>0</v>
      </c>
      <c r="X296" s="1">
        <v>0</v>
      </c>
      <c r="Y296" s="1">
        <v>6</v>
      </c>
      <c r="Z296" s="3">
        <v>1.9867549668874174</v>
      </c>
      <c r="AA296" s="1">
        <v>11</v>
      </c>
      <c r="AB296" s="3">
        <v>7.2847682119205297</v>
      </c>
      <c r="AC296" s="1">
        <v>0</v>
      </c>
      <c r="AD296" s="3">
        <v>0</v>
      </c>
      <c r="AE296" s="1">
        <v>1</v>
      </c>
      <c r="AF296" s="3">
        <v>0.66225165562913912</v>
      </c>
      <c r="AG296" s="1">
        <v>2</v>
      </c>
      <c r="AH296" s="3">
        <v>1.3245033112582782</v>
      </c>
      <c r="AI296" s="1" t="s">
        <v>22</v>
      </c>
      <c r="AJ296" s="1">
        <v>0</v>
      </c>
      <c r="AK296" s="3">
        <v>0</v>
      </c>
      <c r="AL296" s="1">
        <v>0</v>
      </c>
      <c r="AM296" s="3">
        <v>0</v>
      </c>
      <c r="AN296" s="1" t="s">
        <v>22</v>
      </c>
      <c r="AO296" s="1">
        <v>8</v>
      </c>
      <c r="AP296" s="3">
        <v>5.298013245033113</v>
      </c>
      <c r="AQ296" s="3">
        <v>6</v>
      </c>
      <c r="AR296" s="3">
        <v>3.9735099337748347</v>
      </c>
      <c r="AS296" s="1">
        <v>6</v>
      </c>
      <c r="AT296" s="3">
        <v>3.9735099337748347</v>
      </c>
      <c r="AU296" s="1">
        <v>0</v>
      </c>
      <c r="AV296" s="3">
        <v>0</v>
      </c>
      <c r="AW296" s="1" t="s">
        <v>22</v>
      </c>
      <c r="AX296" s="1">
        <v>19</v>
      </c>
      <c r="AY296" s="1">
        <v>0</v>
      </c>
      <c r="AZ296" s="1">
        <v>0</v>
      </c>
      <c r="BA296" s="1">
        <v>38</v>
      </c>
      <c r="BB296" s="1">
        <v>0</v>
      </c>
      <c r="BC296" s="1">
        <v>0</v>
      </c>
      <c r="BD296" s="1">
        <v>0</v>
      </c>
      <c r="BE296" s="54">
        <v>0</v>
      </c>
      <c r="BF296" s="6">
        <v>16</v>
      </c>
      <c r="BG296" s="6">
        <v>15</v>
      </c>
      <c r="BH296" s="1">
        <v>0</v>
      </c>
      <c r="BI296" s="6">
        <v>0</v>
      </c>
      <c r="BJ296" s="1" t="s">
        <v>22</v>
      </c>
      <c r="BK296" s="6">
        <v>1</v>
      </c>
      <c r="BL296" s="6">
        <v>0</v>
      </c>
      <c r="BM296" s="1">
        <v>0</v>
      </c>
      <c r="BN296" t="s">
        <v>24</v>
      </c>
      <c r="BO296">
        <v>6645</v>
      </c>
    </row>
    <row r="297" spans="1:67" x14ac:dyDescent="0.25">
      <c r="A297" s="4">
        <f>INT(Tabela1[[#This Row],[Data e Hora]])</f>
        <v>46289</v>
      </c>
      <c r="B297" s="4" t="str">
        <f>UPPER(TEXT(Tabela1[[#This Row],[Data Corrigida]],"MMM"))</f>
        <v>SET</v>
      </c>
      <c r="C297" t="s">
        <v>874</v>
      </c>
      <c r="D297" t="s">
        <v>875</v>
      </c>
      <c r="E297" t="s">
        <v>876</v>
      </c>
      <c r="F297" t="s">
        <v>19</v>
      </c>
      <c r="G297" s="5" t="s">
        <v>871</v>
      </c>
      <c r="H297" t="s">
        <v>20</v>
      </c>
      <c r="I297" t="s">
        <v>33</v>
      </c>
      <c r="J297" s="1">
        <v>130</v>
      </c>
      <c r="K297" s="1">
        <v>2171</v>
      </c>
      <c r="L297" t="s">
        <v>34</v>
      </c>
      <c r="M297" s="1">
        <v>21</v>
      </c>
      <c r="N297" s="48">
        <v>21</v>
      </c>
      <c r="O297" s="1">
        <v>10</v>
      </c>
      <c r="P297" s="48">
        <v>10</v>
      </c>
      <c r="Q297" s="1">
        <v>0</v>
      </c>
      <c r="R297" s="1">
        <v>0</v>
      </c>
      <c r="S297" s="1">
        <v>1</v>
      </c>
      <c r="T297" s="1">
        <v>1</v>
      </c>
      <c r="U297" s="1">
        <v>0</v>
      </c>
      <c r="V297" s="1">
        <v>0</v>
      </c>
      <c r="W297" s="1">
        <v>1</v>
      </c>
      <c r="X297" s="1">
        <v>5</v>
      </c>
      <c r="Y297" s="1">
        <v>5</v>
      </c>
      <c r="Z297" s="3">
        <v>1.9230769230769231</v>
      </c>
      <c r="AA297" s="1">
        <v>1</v>
      </c>
      <c r="AB297" s="3">
        <v>0.76923076923076927</v>
      </c>
      <c r="AC297" s="1">
        <v>0</v>
      </c>
      <c r="AD297" s="3">
        <v>0</v>
      </c>
      <c r="AE297" s="1">
        <v>0</v>
      </c>
      <c r="AF297" s="3">
        <v>0</v>
      </c>
      <c r="AG297" s="1">
        <v>2</v>
      </c>
      <c r="AH297" s="3">
        <v>1.5384615384615385</v>
      </c>
      <c r="AI297" s="1" t="s">
        <v>22</v>
      </c>
      <c r="AJ297" s="1">
        <v>1</v>
      </c>
      <c r="AK297" s="3">
        <v>0.76923076923076927</v>
      </c>
      <c r="AL297" s="1">
        <v>0</v>
      </c>
      <c r="AM297" s="3">
        <v>0</v>
      </c>
      <c r="AN297" s="1" t="s">
        <v>22</v>
      </c>
      <c r="AO297" s="1">
        <v>8</v>
      </c>
      <c r="AP297" s="3">
        <v>6.1538461538461542</v>
      </c>
      <c r="AQ297" s="3">
        <v>10</v>
      </c>
      <c r="AR297" s="3">
        <v>7.6923076923076925</v>
      </c>
      <c r="AS297" s="1">
        <v>5</v>
      </c>
      <c r="AT297" s="3">
        <v>3.8461538461538463</v>
      </c>
      <c r="AU297" s="1">
        <v>0</v>
      </c>
      <c r="AV297" s="3">
        <v>0</v>
      </c>
      <c r="AW297" s="1" t="s">
        <v>22</v>
      </c>
      <c r="AX297" s="1">
        <v>20</v>
      </c>
      <c r="AY297" s="1">
        <v>0</v>
      </c>
      <c r="AZ297" s="1">
        <v>0</v>
      </c>
      <c r="BA297" s="1">
        <v>40</v>
      </c>
      <c r="BB297" s="1">
        <v>0</v>
      </c>
      <c r="BC297" s="1">
        <v>0</v>
      </c>
      <c r="BD297" s="1">
        <v>1</v>
      </c>
      <c r="BE297" s="54">
        <v>0.76923076923076927</v>
      </c>
      <c r="BF297" s="6">
        <v>16</v>
      </c>
      <c r="BG297" s="6">
        <v>12</v>
      </c>
      <c r="BH297" s="1">
        <v>0</v>
      </c>
      <c r="BI297" s="6">
        <v>0</v>
      </c>
      <c r="BJ297" s="1" t="s">
        <v>22</v>
      </c>
      <c r="BK297" s="6">
        <v>3</v>
      </c>
      <c r="BL297" s="6">
        <v>0</v>
      </c>
      <c r="BM297" s="1">
        <v>0</v>
      </c>
      <c r="BN297" t="s">
        <v>24</v>
      </c>
      <c r="BO297">
        <v>12039</v>
      </c>
    </row>
    <row r="298" spans="1:67" x14ac:dyDescent="0.25">
      <c r="A298" s="4">
        <f>INT(Tabela1[[#This Row],[Data e Hora]])</f>
        <v>46289</v>
      </c>
      <c r="B298" s="4" t="str">
        <f>UPPER(TEXT(Tabela1[[#This Row],[Data Corrigida]],"MMM"))</f>
        <v>SET</v>
      </c>
      <c r="C298" t="s">
        <v>877</v>
      </c>
      <c r="D298" t="s">
        <v>878</v>
      </c>
      <c r="E298" t="s">
        <v>879</v>
      </c>
      <c r="F298" t="s">
        <v>19</v>
      </c>
      <c r="G298" s="5" t="s">
        <v>871</v>
      </c>
      <c r="H298" t="s">
        <v>20</v>
      </c>
      <c r="I298" t="s">
        <v>21</v>
      </c>
      <c r="J298" s="1">
        <v>160</v>
      </c>
      <c r="K298" s="1">
        <v>3140</v>
      </c>
      <c r="L298" t="s">
        <v>23</v>
      </c>
      <c r="M298" s="1">
        <v>44</v>
      </c>
      <c r="N298" s="48">
        <v>44</v>
      </c>
      <c r="O298" s="1">
        <v>29</v>
      </c>
      <c r="P298" s="48">
        <v>28.999999999999996</v>
      </c>
      <c r="Q298" s="1">
        <v>0</v>
      </c>
      <c r="R298" s="1">
        <v>0</v>
      </c>
      <c r="S298" s="1">
        <v>4</v>
      </c>
      <c r="T298" s="1">
        <v>4</v>
      </c>
      <c r="U298" s="1">
        <v>1</v>
      </c>
      <c r="V298" s="1">
        <v>1</v>
      </c>
      <c r="W298" s="1">
        <v>0</v>
      </c>
      <c r="X298" s="1">
        <v>0</v>
      </c>
      <c r="Y298" s="1">
        <v>2</v>
      </c>
      <c r="Z298" s="3">
        <v>0.625</v>
      </c>
      <c r="AA298" s="1">
        <v>3</v>
      </c>
      <c r="AB298" s="3">
        <v>1.875</v>
      </c>
      <c r="AC298" s="1">
        <v>0</v>
      </c>
      <c r="AD298" s="3">
        <v>0</v>
      </c>
      <c r="AE298" s="1">
        <v>1</v>
      </c>
      <c r="AF298" s="3">
        <v>0.625</v>
      </c>
      <c r="AG298" s="1">
        <v>7</v>
      </c>
      <c r="AH298" s="3">
        <v>4.375</v>
      </c>
      <c r="AI298" s="1" t="s">
        <v>22</v>
      </c>
      <c r="AJ298" s="1">
        <v>6</v>
      </c>
      <c r="AK298" s="3">
        <v>3.75</v>
      </c>
      <c r="AL298" s="1">
        <v>2</v>
      </c>
      <c r="AM298" s="3">
        <v>1.25</v>
      </c>
      <c r="AN298" s="1" t="s">
        <v>22</v>
      </c>
      <c r="AO298" s="1">
        <v>9</v>
      </c>
      <c r="AP298" s="3">
        <v>5.625</v>
      </c>
      <c r="AQ298" s="3">
        <v>3</v>
      </c>
      <c r="AR298" s="3">
        <v>1.875</v>
      </c>
      <c r="AS298" s="1">
        <v>7</v>
      </c>
      <c r="AT298" s="3">
        <v>4.375</v>
      </c>
      <c r="AU298" s="1">
        <v>2</v>
      </c>
      <c r="AV298" s="3">
        <v>1.25</v>
      </c>
      <c r="AW298" s="1" t="s">
        <v>22</v>
      </c>
      <c r="AX298" s="1">
        <v>19</v>
      </c>
      <c r="AY298" s="1">
        <v>0</v>
      </c>
      <c r="AZ298" s="1">
        <v>0</v>
      </c>
      <c r="BA298" s="1">
        <v>38</v>
      </c>
      <c r="BB298" s="1">
        <v>0</v>
      </c>
      <c r="BC298" s="1">
        <v>0</v>
      </c>
      <c r="BD298" s="1">
        <v>0</v>
      </c>
      <c r="BE298" s="54">
        <v>0</v>
      </c>
      <c r="BF298" s="6">
        <v>22</v>
      </c>
      <c r="BG298" s="6">
        <v>21</v>
      </c>
      <c r="BH298" s="1">
        <v>1</v>
      </c>
      <c r="BI298" s="6">
        <v>10</v>
      </c>
      <c r="BJ298" s="1" t="s">
        <v>22</v>
      </c>
      <c r="BK298" s="1" t="s">
        <v>22</v>
      </c>
      <c r="BL298" s="1" t="s">
        <v>22</v>
      </c>
      <c r="BM298" s="1" t="s">
        <v>22</v>
      </c>
      <c r="BN298" t="s">
        <v>24</v>
      </c>
      <c r="BO298">
        <v>2863</v>
      </c>
    </row>
    <row r="299" spans="1:67" x14ac:dyDescent="0.25">
      <c r="A299" s="4">
        <f>INT(Tabela1[[#This Row],[Data e Hora]])</f>
        <v>46289</v>
      </c>
      <c r="B299" s="4" t="str">
        <f>UPPER(TEXT(Tabela1[[#This Row],[Data Corrigida]],"MMM"))</f>
        <v>SET</v>
      </c>
      <c r="C299" t="s">
        <v>880</v>
      </c>
      <c r="D299" t="s">
        <v>881</v>
      </c>
      <c r="E299" t="s">
        <v>879</v>
      </c>
      <c r="F299" t="s">
        <v>19</v>
      </c>
      <c r="G299" s="5" t="s">
        <v>871</v>
      </c>
      <c r="H299" t="s">
        <v>20</v>
      </c>
      <c r="I299" t="s">
        <v>21</v>
      </c>
      <c r="J299" s="1">
        <v>151</v>
      </c>
      <c r="K299" s="1">
        <v>3140</v>
      </c>
      <c r="L299" t="s">
        <v>23</v>
      </c>
      <c r="M299" s="1">
        <v>37</v>
      </c>
      <c r="N299" s="48">
        <v>37</v>
      </c>
      <c r="O299" s="1">
        <v>20</v>
      </c>
      <c r="P299" s="48">
        <v>20</v>
      </c>
      <c r="Q299" s="1">
        <v>0</v>
      </c>
      <c r="R299" s="1">
        <v>0</v>
      </c>
      <c r="S299" s="1">
        <v>4</v>
      </c>
      <c r="T299" s="1">
        <v>4</v>
      </c>
      <c r="U299" s="1">
        <v>1</v>
      </c>
      <c r="V299" s="1">
        <v>1</v>
      </c>
      <c r="W299" s="1">
        <v>0</v>
      </c>
      <c r="X299" s="1">
        <v>0</v>
      </c>
      <c r="Y299" s="1">
        <v>1</v>
      </c>
      <c r="Z299" s="3">
        <v>0.33112582781456956</v>
      </c>
      <c r="AA299" s="1">
        <v>5</v>
      </c>
      <c r="AB299" s="3">
        <v>3.3112582781456954</v>
      </c>
      <c r="AC299" s="1">
        <v>0</v>
      </c>
      <c r="AD299" s="3">
        <v>0</v>
      </c>
      <c r="AE299" s="1">
        <v>2</v>
      </c>
      <c r="AF299" s="3">
        <v>1.3245033112582782</v>
      </c>
      <c r="AG299" s="1">
        <v>6</v>
      </c>
      <c r="AH299" s="3">
        <v>3.9735099337748347</v>
      </c>
      <c r="AI299" s="1" t="s">
        <v>22</v>
      </c>
      <c r="AJ299" s="1">
        <v>5</v>
      </c>
      <c r="AK299" s="3">
        <v>3.3112582781456954</v>
      </c>
      <c r="AL299" s="1">
        <v>2</v>
      </c>
      <c r="AM299" s="3">
        <v>1.3245033112582782</v>
      </c>
      <c r="AN299" s="1" t="s">
        <v>22</v>
      </c>
      <c r="AO299" s="1">
        <v>13</v>
      </c>
      <c r="AP299" s="3">
        <v>8.6092715231788084</v>
      </c>
      <c r="AQ299" s="3">
        <v>3</v>
      </c>
      <c r="AR299" s="3">
        <v>1.9867549668874174</v>
      </c>
      <c r="AS299" s="1">
        <v>7</v>
      </c>
      <c r="AT299" s="3">
        <v>4.6357615894039732</v>
      </c>
      <c r="AU299" s="1">
        <v>2</v>
      </c>
      <c r="AV299" s="3">
        <v>1.3245033112582782</v>
      </c>
      <c r="AW299" s="1" t="s">
        <v>22</v>
      </c>
      <c r="AX299" s="1">
        <v>20</v>
      </c>
      <c r="AY299" s="1">
        <v>0</v>
      </c>
      <c r="AZ299" s="1">
        <v>0</v>
      </c>
      <c r="BA299" s="1">
        <v>40</v>
      </c>
      <c r="BB299" s="1">
        <v>0</v>
      </c>
      <c r="BC299" s="1">
        <v>0</v>
      </c>
      <c r="BD299" s="1">
        <v>1</v>
      </c>
      <c r="BE299" s="54">
        <v>0.66225165562913912</v>
      </c>
      <c r="BF299" s="6">
        <v>20</v>
      </c>
      <c r="BG299" s="6">
        <v>18</v>
      </c>
      <c r="BH299" s="1">
        <v>1</v>
      </c>
      <c r="BI299" s="6">
        <v>10</v>
      </c>
      <c r="BJ299" s="1" t="s">
        <v>22</v>
      </c>
      <c r="BK299" s="6">
        <v>2</v>
      </c>
      <c r="BL299" s="6">
        <v>0</v>
      </c>
      <c r="BM299" s="1">
        <v>1</v>
      </c>
      <c r="BN299" t="s">
        <v>24</v>
      </c>
      <c r="BO299">
        <v>2051</v>
      </c>
    </row>
    <row r="300" spans="1:67" x14ac:dyDescent="0.25">
      <c r="A300" s="4">
        <f>INT(Tabela1[[#This Row],[Data e Hora]])</f>
        <v>46289</v>
      </c>
      <c r="B300" s="4" t="str">
        <f>UPPER(TEXT(Tabela1[[#This Row],[Data Corrigida]],"MMM"))</f>
        <v>SET</v>
      </c>
      <c r="C300" t="s">
        <v>882</v>
      </c>
      <c r="D300" t="s">
        <v>883</v>
      </c>
      <c r="E300" t="s">
        <v>879</v>
      </c>
      <c r="F300" t="s">
        <v>19</v>
      </c>
      <c r="G300" s="5" t="s">
        <v>871</v>
      </c>
      <c r="H300" t="s">
        <v>20</v>
      </c>
      <c r="I300" t="s">
        <v>21</v>
      </c>
      <c r="J300" s="1">
        <v>151</v>
      </c>
      <c r="K300" s="1">
        <v>2937</v>
      </c>
      <c r="L300" t="s">
        <v>23</v>
      </c>
      <c r="M300" s="1">
        <v>37</v>
      </c>
      <c r="N300" s="48">
        <v>37</v>
      </c>
      <c r="O300" s="1">
        <v>8</v>
      </c>
      <c r="P300" s="48">
        <v>8</v>
      </c>
      <c r="Q300" s="1">
        <v>0</v>
      </c>
      <c r="R300" s="1">
        <v>0</v>
      </c>
      <c r="S300" s="1">
        <v>1</v>
      </c>
      <c r="T300" s="1">
        <v>1</v>
      </c>
      <c r="U300" s="1">
        <v>1</v>
      </c>
      <c r="V300" s="1">
        <v>1</v>
      </c>
      <c r="W300" s="1">
        <v>0</v>
      </c>
      <c r="X300" s="1">
        <v>0</v>
      </c>
      <c r="Y300" s="1">
        <v>1</v>
      </c>
      <c r="Z300" s="3">
        <v>0.33112582781456956</v>
      </c>
      <c r="AA300" s="1">
        <v>4</v>
      </c>
      <c r="AB300" s="3">
        <v>2.6490066225165565</v>
      </c>
      <c r="AC300" s="1">
        <v>0</v>
      </c>
      <c r="AD300" s="3">
        <v>0</v>
      </c>
      <c r="AE300" s="1">
        <v>2</v>
      </c>
      <c r="AF300" s="3">
        <v>1.3245033112582782</v>
      </c>
      <c r="AG300" s="1">
        <v>6</v>
      </c>
      <c r="AH300" s="3">
        <v>3.9735099337748347</v>
      </c>
      <c r="AI300" s="1" t="s">
        <v>22</v>
      </c>
      <c r="AJ300" s="1">
        <v>7</v>
      </c>
      <c r="AK300" s="3">
        <v>4.6357615894039732</v>
      </c>
      <c r="AL300" s="1">
        <v>2</v>
      </c>
      <c r="AM300" s="3">
        <v>1.3245033112582782</v>
      </c>
      <c r="AN300" s="1" t="s">
        <v>22</v>
      </c>
      <c r="AO300" s="1">
        <v>14</v>
      </c>
      <c r="AP300" s="3">
        <v>9.2715231788079464</v>
      </c>
      <c r="AQ300" s="3">
        <v>3</v>
      </c>
      <c r="AR300" s="3">
        <v>1.9867549668874174</v>
      </c>
      <c r="AS300" s="1">
        <v>6</v>
      </c>
      <c r="AT300" s="3">
        <v>3.9735099337748347</v>
      </c>
      <c r="AU300" s="1">
        <v>1</v>
      </c>
      <c r="AV300" s="3">
        <v>0.66225165562913912</v>
      </c>
      <c r="AW300" s="1" t="s">
        <v>22</v>
      </c>
      <c r="AX300" s="1">
        <v>19</v>
      </c>
      <c r="AY300" s="1">
        <v>0</v>
      </c>
      <c r="AZ300" s="1">
        <v>0</v>
      </c>
      <c r="BA300" s="1">
        <v>38</v>
      </c>
      <c r="BB300" s="1">
        <v>0</v>
      </c>
      <c r="BC300" s="1">
        <v>0</v>
      </c>
      <c r="BD300" s="1">
        <v>0</v>
      </c>
      <c r="BE300" s="54">
        <v>0</v>
      </c>
      <c r="BF300" s="6">
        <v>22</v>
      </c>
      <c r="BG300" s="6">
        <v>17</v>
      </c>
      <c r="BH300" s="1">
        <v>0</v>
      </c>
      <c r="BI300" s="6">
        <v>0</v>
      </c>
      <c r="BJ300" s="1" t="s">
        <v>22</v>
      </c>
      <c r="BK300" s="1" t="s">
        <v>22</v>
      </c>
      <c r="BL300" s="1" t="s">
        <v>22</v>
      </c>
      <c r="BM300" s="1" t="s">
        <v>22</v>
      </c>
      <c r="BN300" t="s">
        <v>24</v>
      </c>
      <c r="BO300">
        <v>2396</v>
      </c>
    </row>
    <row r="301" spans="1:67" x14ac:dyDescent="0.25">
      <c r="A301" s="4">
        <f>INT(Tabela1[[#This Row],[Data e Hora]])</f>
        <v>46289</v>
      </c>
      <c r="B301" s="4" t="str">
        <f>UPPER(TEXT(Tabela1[[#This Row],[Data Corrigida]],"MMM"))</f>
        <v>SET</v>
      </c>
      <c r="C301" t="s">
        <v>884</v>
      </c>
      <c r="D301" t="s">
        <v>885</v>
      </c>
      <c r="E301" t="s">
        <v>886</v>
      </c>
      <c r="F301" t="s">
        <v>19</v>
      </c>
      <c r="G301" s="5" t="s">
        <v>871</v>
      </c>
      <c r="H301" t="s">
        <v>20</v>
      </c>
      <c r="I301" t="s">
        <v>21</v>
      </c>
      <c r="J301" s="1">
        <v>161</v>
      </c>
      <c r="K301" s="1">
        <v>2937</v>
      </c>
      <c r="L301" t="s">
        <v>23</v>
      </c>
      <c r="M301" s="1">
        <v>41</v>
      </c>
      <c r="N301" s="48">
        <v>41</v>
      </c>
      <c r="O301" s="1">
        <v>22</v>
      </c>
      <c r="P301" s="48">
        <v>22</v>
      </c>
      <c r="Q301" s="1">
        <v>0</v>
      </c>
      <c r="R301" s="1">
        <v>0</v>
      </c>
      <c r="S301" s="1">
        <v>2</v>
      </c>
      <c r="T301" s="1">
        <v>2</v>
      </c>
      <c r="U301" s="1">
        <v>1</v>
      </c>
      <c r="V301" s="1">
        <v>1</v>
      </c>
      <c r="W301" s="1">
        <v>0</v>
      </c>
      <c r="X301" s="1">
        <v>0</v>
      </c>
      <c r="Y301" s="1">
        <v>1</v>
      </c>
      <c r="Z301" s="3">
        <v>0.3105590062111801</v>
      </c>
      <c r="AA301" s="1">
        <v>9</v>
      </c>
      <c r="AB301" s="3">
        <v>5.5900621118012426</v>
      </c>
      <c r="AC301" s="1">
        <v>0</v>
      </c>
      <c r="AD301" s="3">
        <v>0</v>
      </c>
      <c r="AE301" s="1">
        <v>2</v>
      </c>
      <c r="AF301" s="3">
        <v>1.2422360248447204</v>
      </c>
      <c r="AG301" s="1">
        <v>6</v>
      </c>
      <c r="AH301" s="3">
        <v>3.7267080745341614</v>
      </c>
      <c r="AI301" s="1" t="s">
        <v>22</v>
      </c>
      <c r="AJ301" s="1">
        <v>6</v>
      </c>
      <c r="AK301" s="3">
        <v>3.7267080745341614</v>
      </c>
      <c r="AL301" s="1">
        <v>2</v>
      </c>
      <c r="AM301" s="3">
        <v>1.2422360248447204</v>
      </c>
      <c r="AN301" s="1" t="s">
        <v>22</v>
      </c>
      <c r="AO301" s="1">
        <v>14</v>
      </c>
      <c r="AP301" s="3">
        <v>8.695652173913043</v>
      </c>
      <c r="AQ301" s="3">
        <v>3</v>
      </c>
      <c r="AR301" s="3">
        <v>1.8633540372670807</v>
      </c>
      <c r="AS301" s="1">
        <v>7</v>
      </c>
      <c r="AT301" s="3">
        <v>4.3478260869565215</v>
      </c>
      <c r="AU301" s="1">
        <v>2</v>
      </c>
      <c r="AV301" s="3">
        <v>1.2422360248447204</v>
      </c>
      <c r="AW301" s="1" t="s">
        <v>22</v>
      </c>
      <c r="AX301" s="1">
        <v>20</v>
      </c>
      <c r="AY301" s="1">
        <v>0</v>
      </c>
      <c r="AZ301" s="1">
        <v>0</v>
      </c>
      <c r="BA301" s="1">
        <v>40</v>
      </c>
      <c r="BB301" s="1">
        <v>0</v>
      </c>
      <c r="BC301" s="1">
        <v>0</v>
      </c>
      <c r="BD301" s="1">
        <v>0</v>
      </c>
      <c r="BE301" s="54">
        <v>0</v>
      </c>
      <c r="BF301" s="6">
        <v>14</v>
      </c>
      <c r="BG301" s="6">
        <v>9</v>
      </c>
      <c r="BH301" s="1">
        <v>0</v>
      </c>
      <c r="BI301" s="6">
        <v>0</v>
      </c>
      <c r="BJ301" s="1" t="s">
        <v>22</v>
      </c>
      <c r="BK301" s="1" t="s">
        <v>22</v>
      </c>
      <c r="BL301" s="1" t="s">
        <v>22</v>
      </c>
      <c r="BM301" s="1" t="s">
        <v>22</v>
      </c>
      <c r="BN301" t="s">
        <v>24</v>
      </c>
      <c r="BO301">
        <v>1403</v>
      </c>
    </row>
    <row r="302" spans="1:67" x14ac:dyDescent="0.25">
      <c r="A302" s="4">
        <f>INT(Tabela1[[#This Row],[Data e Hora]])</f>
        <v>46293</v>
      </c>
      <c r="B302" s="4" t="str">
        <f>UPPER(TEXT(Tabela1[[#This Row],[Data Corrigida]],"MMM"))</f>
        <v>SET</v>
      </c>
      <c r="C302" s="57" t="s">
        <v>887</v>
      </c>
      <c r="D302" t="s">
        <v>888</v>
      </c>
      <c r="E302" t="s">
        <v>889</v>
      </c>
      <c r="F302" t="s">
        <v>19</v>
      </c>
      <c r="G302" s="5" t="s">
        <v>890</v>
      </c>
      <c r="H302" t="s">
        <v>20</v>
      </c>
      <c r="I302" t="s">
        <v>33</v>
      </c>
      <c r="J302" s="1">
        <v>161</v>
      </c>
      <c r="K302" s="1">
        <v>3225</v>
      </c>
      <c r="L302" t="s">
        <v>34</v>
      </c>
      <c r="M302" s="1">
        <v>20</v>
      </c>
      <c r="N302" s="48">
        <v>20</v>
      </c>
      <c r="O302" s="1">
        <v>6</v>
      </c>
      <c r="P302" s="48">
        <v>6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5</v>
      </c>
      <c r="Z302" s="3">
        <v>1.5527950310559007</v>
      </c>
      <c r="AA302" s="1">
        <v>4</v>
      </c>
      <c r="AB302" s="3">
        <v>2.4844720496894408</v>
      </c>
      <c r="AC302" s="1">
        <v>0</v>
      </c>
      <c r="AD302" s="3">
        <v>0</v>
      </c>
      <c r="AE302" s="1">
        <v>2</v>
      </c>
      <c r="AF302" s="3">
        <v>1.2422360248447204</v>
      </c>
      <c r="AG302" s="1">
        <v>3</v>
      </c>
      <c r="AH302" s="3">
        <v>1.8633540372670807</v>
      </c>
      <c r="AI302" s="1" t="s">
        <v>22</v>
      </c>
      <c r="AJ302" s="1">
        <v>0</v>
      </c>
      <c r="AK302" s="3">
        <v>0</v>
      </c>
      <c r="AL302" s="1">
        <v>0</v>
      </c>
      <c r="AM302" s="3">
        <v>0</v>
      </c>
      <c r="AN302" s="1" t="s">
        <v>22</v>
      </c>
      <c r="AO302" s="1">
        <v>6</v>
      </c>
      <c r="AP302" s="3">
        <v>3.7267080745341614</v>
      </c>
      <c r="AQ302" s="3">
        <v>4</v>
      </c>
      <c r="AR302" s="3">
        <v>2.4844720496894408</v>
      </c>
      <c r="AS302" s="1">
        <v>6</v>
      </c>
      <c r="AT302" s="3">
        <v>3.7267080745341614</v>
      </c>
      <c r="AU302" s="1">
        <v>0</v>
      </c>
      <c r="AV302" s="3">
        <v>0</v>
      </c>
      <c r="AW302" s="1" t="s">
        <v>22</v>
      </c>
      <c r="AX302" s="1">
        <v>18</v>
      </c>
      <c r="AY302" s="1">
        <v>0</v>
      </c>
      <c r="AZ302" s="1">
        <v>0</v>
      </c>
      <c r="BA302" s="1">
        <v>36</v>
      </c>
      <c r="BB302" s="1">
        <v>0</v>
      </c>
      <c r="BC302" s="1">
        <v>0</v>
      </c>
      <c r="BD302" s="1">
        <v>0</v>
      </c>
      <c r="BE302" s="54">
        <v>0</v>
      </c>
      <c r="BF302" s="6">
        <v>20</v>
      </c>
      <c r="BG302" s="6">
        <v>18</v>
      </c>
      <c r="BH302" s="1">
        <v>0</v>
      </c>
      <c r="BI302" s="6">
        <v>0</v>
      </c>
      <c r="BJ302" s="1" t="s">
        <v>22</v>
      </c>
      <c r="BK302" s="6">
        <v>0</v>
      </c>
      <c r="BL302" s="6">
        <v>0</v>
      </c>
      <c r="BM302" s="1">
        <v>0</v>
      </c>
      <c r="BN302" t="s">
        <v>24</v>
      </c>
      <c r="BO302">
        <v>3787</v>
      </c>
    </row>
    <row r="303" spans="1:67" x14ac:dyDescent="0.25">
      <c r="A303" s="4">
        <f>INT(Tabela1[[#This Row],[Data e Hora]])</f>
        <v>46293</v>
      </c>
      <c r="B303" s="4" t="str">
        <f>UPPER(TEXT(Tabela1[[#This Row],[Data Corrigida]],"MMM"))</f>
        <v>SET</v>
      </c>
      <c r="C303" t="s">
        <v>891</v>
      </c>
      <c r="D303" t="s">
        <v>892</v>
      </c>
      <c r="E303" t="s">
        <v>889</v>
      </c>
      <c r="F303" t="s">
        <v>19</v>
      </c>
      <c r="G303" s="5" t="s">
        <v>890</v>
      </c>
      <c r="H303" t="s">
        <v>20</v>
      </c>
      <c r="I303" t="s">
        <v>33</v>
      </c>
      <c r="J303" s="1">
        <v>79</v>
      </c>
      <c r="K303" s="1">
        <v>3390</v>
      </c>
      <c r="L303" t="s">
        <v>34</v>
      </c>
      <c r="M303" s="1">
        <v>17</v>
      </c>
      <c r="N303" s="48">
        <v>17</v>
      </c>
      <c r="O303" s="1">
        <v>16</v>
      </c>
      <c r="P303" s="48">
        <v>16</v>
      </c>
      <c r="Q303" s="1">
        <v>0</v>
      </c>
      <c r="R303" s="1">
        <v>0</v>
      </c>
      <c r="S303" s="1">
        <v>1</v>
      </c>
      <c r="T303" s="1">
        <v>1</v>
      </c>
      <c r="U303" s="1">
        <v>0</v>
      </c>
      <c r="V303" s="1">
        <v>0</v>
      </c>
      <c r="W303" s="1">
        <v>1</v>
      </c>
      <c r="X303" s="1">
        <v>5</v>
      </c>
      <c r="Y303" s="1">
        <v>5</v>
      </c>
      <c r="Z303" s="3">
        <v>3.1645569620253164</v>
      </c>
      <c r="AA303" s="1">
        <v>5</v>
      </c>
      <c r="AB303" s="3">
        <v>6.3291139240506329</v>
      </c>
      <c r="AC303" s="1">
        <v>0</v>
      </c>
      <c r="AD303" s="3">
        <v>0</v>
      </c>
      <c r="AE303" s="1">
        <v>3</v>
      </c>
      <c r="AF303" s="3">
        <v>3.79746835443038</v>
      </c>
      <c r="AG303" s="1">
        <v>2</v>
      </c>
      <c r="AH303" s="3">
        <v>2.5316455696202533</v>
      </c>
      <c r="AI303" s="1" t="s">
        <v>22</v>
      </c>
      <c r="AJ303" s="1">
        <v>1</v>
      </c>
      <c r="AK303" s="3">
        <v>1.2658227848101267</v>
      </c>
      <c r="AL303" s="1">
        <v>0</v>
      </c>
      <c r="AM303" s="3">
        <v>0</v>
      </c>
      <c r="AN303" s="1" t="s">
        <v>22</v>
      </c>
      <c r="AO303" s="1">
        <v>11</v>
      </c>
      <c r="AP303" s="3">
        <v>13.924050632911392</v>
      </c>
      <c r="AQ303" s="3">
        <v>5</v>
      </c>
      <c r="AR303" s="3">
        <v>6.3291139240506329</v>
      </c>
      <c r="AS303" s="1">
        <v>6</v>
      </c>
      <c r="AT303" s="3">
        <v>7.59493670886076</v>
      </c>
      <c r="AU303" s="1">
        <v>0</v>
      </c>
      <c r="AV303" s="3">
        <v>0</v>
      </c>
      <c r="AW303" s="1" t="s">
        <v>22</v>
      </c>
      <c r="AX303" s="1">
        <v>19</v>
      </c>
      <c r="AY303" s="1">
        <v>0</v>
      </c>
      <c r="AZ303" s="1">
        <v>0</v>
      </c>
      <c r="BA303" s="1">
        <v>38</v>
      </c>
      <c r="BB303" s="1">
        <v>0</v>
      </c>
      <c r="BC303" s="1">
        <v>0</v>
      </c>
      <c r="BD303" s="1">
        <v>0</v>
      </c>
      <c r="BE303" s="54">
        <v>0</v>
      </c>
      <c r="BF303" s="6">
        <v>19</v>
      </c>
      <c r="BG303" s="6">
        <v>17</v>
      </c>
      <c r="BH303" s="1">
        <v>0</v>
      </c>
      <c r="BI303" s="6">
        <v>0</v>
      </c>
      <c r="BJ303" s="1" t="s">
        <v>22</v>
      </c>
      <c r="BK303" s="6">
        <v>1</v>
      </c>
      <c r="BL303" s="6">
        <v>0</v>
      </c>
      <c r="BM303" s="1">
        <v>0</v>
      </c>
      <c r="BN303" t="s">
        <v>24</v>
      </c>
      <c r="BO303">
        <v>10785</v>
      </c>
    </row>
    <row r="304" spans="1:67" x14ac:dyDescent="0.25">
      <c r="A304" s="4">
        <f>INT(Tabela1[[#This Row],[Data e Hora]])</f>
        <v>46293</v>
      </c>
      <c r="B304" s="4" t="str">
        <f>UPPER(TEXT(Tabela1[[#This Row],[Data Corrigida]],"MMM"))</f>
        <v>SET</v>
      </c>
      <c r="C304" t="s">
        <v>893</v>
      </c>
      <c r="D304" t="s">
        <v>894</v>
      </c>
      <c r="E304" t="s">
        <v>895</v>
      </c>
      <c r="F304" t="s">
        <v>19</v>
      </c>
      <c r="G304" s="5" t="s">
        <v>890</v>
      </c>
      <c r="H304" t="s">
        <v>20</v>
      </c>
      <c r="I304" t="s">
        <v>33</v>
      </c>
      <c r="J304" s="1">
        <v>130</v>
      </c>
      <c r="K304" s="1">
        <v>3231</v>
      </c>
      <c r="L304" t="s">
        <v>34</v>
      </c>
      <c r="M304" s="1">
        <v>16</v>
      </c>
      <c r="N304" s="48">
        <v>16</v>
      </c>
      <c r="O304" s="1">
        <v>6</v>
      </c>
      <c r="P304" s="48">
        <v>6</v>
      </c>
      <c r="Q304" s="1">
        <v>0</v>
      </c>
      <c r="R304" s="1">
        <v>0</v>
      </c>
      <c r="S304" s="1">
        <v>3</v>
      </c>
      <c r="T304" s="1">
        <v>3</v>
      </c>
      <c r="U304" s="1">
        <v>2</v>
      </c>
      <c r="V304" s="1">
        <v>2</v>
      </c>
      <c r="W304" s="1">
        <v>1</v>
      </c>
      <c r="X304" s="1">
        <v>5</v>
      </c>
      <c r="Y304" s="1">
        <v>4</v>
      </c>
      <c r="Z304" s="3">
        <v>1.5384615384615385</v>
      </c>
      <c r="AA304" s="1">
        <v>5</v>
      </c>
      <c r="AB304" s="3">
        <v>3.8461538461538463</v>
      </c>
      <c r="AC304" s="1">
        <v>0</v>
      </c>
      <c r="AD304" s="3">
        <v>0</v>
      </c>
      <c r="AE304" s="1">
        <v>1</v>
      </c>
      <c r="AF304" s="3">
        <v>0.76923076923076927</v>
      </c>
      <c r="AG304" s="1">
        <v>2</v>
      </c>
      <c r="AH304" s="3">
        <v>1.5384615384615385</v>
      </c>
      <c r="AI304" s="1" t="s">
        <v>22</v>
      </c>
      <c r="AJ304" s="1">
        <v>0</v>
      </c>
      <c r="AK304" s="3">
        <v>0</v>
      </c>
      <c r="AL304" s="1">
        <v>0</v>
      </c>
      <c r="AM304" s="3">
        <v>0</v>
      </c>
      <c r="AN304" s="1" t="s">
        <v>22</v>
      </c>
      <c r="AO304" s="1">
        <v>8</v>
      </c>
      <c r="AP304" s="3">
        <v>6.1538461538461542</v>
      </c>
      <c r="AQ304" s="3">
        <v>5</v>
      </c>
      <c r="AR304" s="3">
        <v>3.8461538461538463</v>
      </c>
      <c r="AS304" s="1">
        <v>6</v>
      </c>
      <c r="AT304" s="3">
        <v>4.6153846153846159</v>
      </c>
      <c r="AU304" s="1">
        <v>1</v>
      </c>
      <c r="AV304" s="3">
        <v>0.76923076923076927</v>
      </c>
      <c r="AW304" s="1" t="s">
        <v>22</v>
      </c>
      <c r="AX304" s="1">
        <v>19</v>
      </c>
      <c r="AY304" s="1">
        <v>0</v>
      </c>
      <c r="AZ304" s="1">
        <v>0</v>
      </c>
      <c r="BA304" s="1">
        <v>38</v>
      </c>
      <c r="BB304" s="1">
        <v>0</v>
      </c>
      <c r="BC304" s="1">
        <v>0</v>
      </c>
      <c r="BD304" s="1">
        <v>0</v>
      </c>
      <c r="BE304" s="54">
        <v>0</v>
      </c>
      <c r="BF304" s="6">
        <v>20</v>
      </c>
      <c r="BG304" s="6">
        <v>19</v>
      </c>
      <c r="BH304" s="1">
        <v>0</v>
      </c>
      <c r="BI304" s="6">
        <v>0</v>
      </c>
      <c r="BJ304" s="1" t="s">
        <v>22</v>
      </c>
      <c r="BK304" s="6">
        <v>2</v>
      </c>
      <c r="BL304" s="6">
        <v>0</v>
      </c>
      <c r="BM304" s="1">
        <v>0</v>
      </c>
      <c r="BN304" t="s">
        <v>24</v>
      </c>
      <c r="BO304">
        <v>10054</v>
      </c>
    </row>
    <row r="305" spans="1:67" x14ac:dyDescent="0.25">
      <c r="A305" s="4">
        <f>INT(Tabela1[[#This Row],[Data e Hora]])</f>
        <v>46293</v>
      </c>
      <c r="B305" s="4" t="str">
        <f>UPPER(TEXT(Tabela1[[#This Row],[Data Corrigida]],"MMM"))</f>
        <v>SET</v>
      </c>
      <c r="C305" t="s">
        <v>896</v>
      </c>
      <c r="D305" t="s">
        <v>897</v>
      </c>
      <c r="E305" t="s">
        <v>898</v>
      </c>
      <c r="F305" t="s">
        <v>19</v>
      </c>
      <c r="G305" s="5" t="s">
        <v>890</v>
      </c>
      <c r="H305" t="s">
        <v>20</v>
      </c>
      <c r="I305" t="s">
        <v>21</v>
      </c>
      <c r="J305" s="1">
        <v>120</v>
      </c>
      <c r="K305" s="1">
        <v>3298</v>
      </c>
      <c r="L305" t="s">
        <v>23</v>
      </c>
      <c r="M305" s="1">
        <v>39</v>
      </c>
      <c r="N305" s="48">
        <v>39</v>
      </c>
      <c r="O305" s="1">
        <v>18</v>
      </c>
      <c r="P305" s="48">
        <v>18</v>
      </c>
      <c r="Q305" s="1">
        <v>0</v>
      </c>
      <c r="R305" s="1">
        <v>0</v>
      </c>
      <c r="S305" s="1">
        <v>3</v>
      </c>
      <c r="T305" s="1">
        <v>3</v>
      </c>
      <c r="U305" s="1">
        <v>1</v>
      </c>
      <c r="V305" s="1">
        <v>1</v>
      </c>
      <c r="W305" s="1">
        <v>0</v>
      </c>
      <c r="X305" s="1">
        <v>0</v>
      </c>
      <c r="Y305" s="1">
        <v>4</v>
      </c>
      <c r="Z305" s="3">
        <v>1.6666666666666667</v>
      </c>
      <c r="AA305" s="1">
        <v>2</v>
      </c>
      <c r="AB305" s="3">
        <v>1.6666666666666667</v>
      </c>
      <c r="AC305" s="1">
        <v>0</v>
      </c>
      <c r="AD305" s="3">
        <v>0</v>
      </c>
      <c r="AE305" s="1">
        <v>1</v>
      </c>
      <c r="AF305" s="3">
        <v>0.83333333333333337</v>
      </c>
      <c r="AG305" s="1">
        <v>4</v>
      </c>
      <c r="AH305" s="3">
        <v>3.3333333333333335</v>
      </c>
      <c r="AI305" s="1" t="s">
        <v>22</v>
      </c>
      <c r="AJ305" s="1">
        <v>7</v>
      </c>
      <c r="AK305" s="3">
        <v>5.833333333333333</v>
      </c>
      <c r="AL305" s="1">
        <v>2</v>
      </c>
      <c r="AM305" s="3">
        <v>1.6666666666666667</v>
      </c>
      <c r="AN305" s="1" t="s">
        <v>22</v>
      </c>
      <c r="AO305" s="1">
        <v>11</v>
      </c>
      <c r="AP305" s="3">
        <v>9.1666666666666661</v>
      </c>
      <c r="AQ305" s="3">
        <v>2</v>
      </c>
      <c r="AR305" s="3">
        <v>1.6666666666666667</v>
      </c>
      <c r="AS305" s="1">
        <v>7</v>
      </c>
      <c r="AT305" s="3">
        <v>5.833333333333333</v>
      </c>
      <c r="AU305" s="1">
        <v>2</v>
      </c>
      <c r="AV305" s="3">
        <v>1.6666666666666667</v>
      </c>
      <c r="AW305" s="1" t="s">
        <v>22</v>
      </c>
      <c r="AX305" s="1">
        <v>20</v>
      </c>
      <c r="AY305" s="1">
        <v>0</v>
      </c>
      <c r="AZ305" s="1">
        <v>0</v>
      </c>
      <c r="BA305" s="1">
        <v>40</v>
      </c>
      <c r="BB305" s="1">
        <v>0</v>
      </c>
      <c r="BC305" s="1">
        <v>0</v>
      </c>
      <c r="BD305" s="1">
        <v>1</v>
      </c>
      <c r="BE305" s="54">
        <v>0.83333333333333337</v>
      </c>
      <c r="BF305" s="6">
        <v>19</v>
      </c>
      <c r="BG305" s="6">
        <v>21</v>
      </c>
      <c r="BH305" s="1">
        <v>1</v>
      </c>
      <c r="BI305" s="6">
        <v>10</v>
      </c>
      <c r="BJ305" s="1" t="s">
        <v>22</v>
      </c>
      <c r="BK305" s="1" t="s">
        <v>22</v>
      </c>
      <c r="BL305" s="1" t="s">
        <v>22</v>
      </c>
      <c r="BM305" s="1" t="s">
        <v>22</v>
      </c>
      <c r="BN305" t="s">
        <v>24</v>
      </c>
      <c r="BO305">
        <v>1697</v>
      </c>
    </row>
    <row r="306" spans="1:67" x14ac:dyDescent="0.25">
      <c r="A306" s="4">
        <f>INT(Tabela1[[#This Row],[Data e Hora]])</f>
        <v>46293</v>
      </c>
      <c r="B306" s="4" t="str">
        <f>UPPER(TEXT(Tabela1[[#This Row],[Data Corrigida]],"MMM"))</f>
        <v>SET</v>
      </c>
      <c r="C306" t="s">
        <v>899</v>
      </c>
      <c r="D306" t="s">
        <v>900</v>
      </c>
      <c r="E306" t="s">
        <v>901</v>
      </c>
      <c r="F306" t="s">
        <v>19</v>
      </c>
      <c r="G306" s="5" t="s">
        <v>890</v>
      </c>
      <c r="H306" t="s">
        <v>20</v>
      </c>
      <c r="I306" t="s">
        <v>21</v>
      </c>
      <c r="J306" s="1">
        <v>161</v>
      </c>
      <c r="K306" s="1">
        <v>2867</v>
      </c>
      <c r="L306" t="s">
        <v>23</v>
      </c>
      <c r="M306" s="1">
        <v>30</v>
      </c>
      <c r="N306" s="48">
        <v>30</v>
      </c>
      <c r="O306" s="1">
        <v>13</v>
      </c>
      <c r="P306" s="48">
        <v>13</v>
      </c>
      <c r="Q306" s="1">
        <v>0</v>
      </c>
      <c r="R306" s="1">
        <v>0</v>
      </c>
      <c r="S306" s="1">
        <v>1</v>
      </c>
      <c r="T306" s="1">
        <v>1</v>
      </c>
      <c r="U306" s="1">
        <v>1</v>
      </c>
      <c r="V306" s="1">
        <v>1</v>
      </c>
      <c r="W306" s="1">
        <v>0</v>
      </c>
      <c r="X306" s="1">
        <v>0</v>
      </c>
      <c r="Y306" s="1">
        <v>2</v>
      </c>
      <c r="Z306" s="3">
        <v>0.6211180124223602</v>
      </c>
      <c r="AA306" s="1">
        <v>3</v>
      </c>
      <c r="AB306" s="3">
        <v>1.8633540372670807</v>
      </c>
      <c r="AC306" s="1">
        <v>0</v>
      </c>
      <c r="AD306" s="3">
        <v>0</v>
      </c>
      <c r="AE306" s="1">
        <v>1</v>
      </c>
      <c r="AF306" s="3">
        <v>0.6211180124223602</v>
      </c>
      <c r="AG306" s="1">
        <v>5</v>
      </c>
      <c r="AH306" s="3">
        <v>3.1055900621118013</v>
      </c>
      <c r="AI306" s="1" t="s">
        <v>22</v>
      </c>
      <c r="AJ306" s="1">
        <v>7</v>
      </c>
      <c r="AK306" s="3">
        <v>4.3478260869565215</v>
      </c>
      <c r="AL306" s="1">
        <v>3</v>
      </c>
      <c r="AM306" s="3">
        <v>1.8633540372670807</v>
      </c>
      <c r="AN306" s="1" t="s">
        <v>22</v>
      </c>
      <c r="AO306" s="1">
        <v>10</v>
      </c>
      <c r="AP306" s="3">
        <v>6.2111801242236027</v>
      </c>
      <c r="AQ306" s="3">
        <v>1</v>
      </c>
      <c r="AR306" s="3">
        <v>0.6211180124223602</v>
      </c>
      <c r="AS306" s="1">
        <v>7</v>
      </c>
      <c r="AT306" s="3">
        <v>4.3478260869565215</v>
      </c>
      <c r="AU306" s="1">
        <v>1</v>
      </c>
      <c r="AV306" s="3">
        <v>0.6211180124223602</v>
      </c>
      <c r="AW306" s="1" t="s">
        <v>22</v>
      </c>
      <c r="AX306" s="1">
        <v>17</v>
      </c>
      <c r="AY306" s="1">
        <v>0</v>
      </c>
      <c r="AZ306" s="1">
        <v>0</v>
      </c>
      <c r="BA306" s="1">
        <v>34</v>
      </c>
      <c r="BB306" s="1">
        <v>0</v>
      </c>
      <c r="BC306" s="1">
        <v>0</v>
      </c>
      <c r="BD306" s="1">
        <v>0</v>
      </c>
      <c r="BE306" s="54">
        <v>0</v>
      </c>
      <c r="BF306" s="6">
        <v>19</v>
      </c>
      <c r="BG306" s="6">
        <v>25</v>
      </c>
      <c r="BH306" s="1">
        <v>1</v>
      </c>
      <c r="BI306" s="6">
        <v>10</v>
      </c>
      <c r="BJ306" s="1" t="s">
        <v>22</v>
      </c>
      <c r="BK306" s="6">
        <v>1</v>
      </c>
      <c r="BL306" s="6">
        <v>0</v>
      </c>
      <c r="BM306" s="1">
        <v>0</v>
      </c>
      <c r="BN306" t="s">
        <v>24</v>
      </c>
      <c r="BO306">
        <v>2376</v>
      </c>
    </row>
    <row r="307" spans="1:67" x14ac:dyDescent="0.25">
      <c r="A307" s="4">
        <f>INT(Tabela1[[#This Row],[Data e Hora]])</f>
        <v>46293</v>
      </c>
      <c r="B307" s="4" t="str">
        <f>UPPER(TEXT(Tabela1[[#This Row],[Data Corrigida]],"MMM"))</f>
        <v>SET</v>
      </c>
      <c r="C307" t="s">
        <v>902</v>
      </c>
      <c r="D307" t="s">
        <v>903</v>
      </c>
      <c r="E307" t="s">
        <v>901</v>
      </c>
      <c r="F307" t="s">
        <v>19</v>
      </c>
      <c r="G307" s="5" t="s">
        <v>890</v>
      </c>
      <c r="H307" t="s">
        <v>20</v>
      </c>
      <c r="I307" t="s">
        <v>21</v>
      </c>
      <c r="J307" s="1">
        <v>151</v>
      </c>
      <c r="K307" s="1">
        <v>2953</v>
      </c>
      <c r="L307" t="s">
        <v>23</v>
      </c>
      <c r="M307" s="1">
        <v>28</v>
      </c>
      <c r="N307" s="48">
        <v>28.000000000000004</v>
      </c>
      <c r="O307" s="1">
        <v>12</v>
      </c>
      <c r="P307" s="48">
        <v>12</v>
      </c>
      <c r="Q307" s="1">
        <v>0</v>
      </c>
      <c r="R307" s="1">
        <v>0</v>
      </c>
      <c r="S307" s="1">
        <v>2</v>
      </c>
      <c r="T307" s="1">
        <v>2</v>
      </c>
      <c r="U307" s="1">
        <v>1</v>
      </c>
      <c r="V307" s="1">
        <v>1</v>
      </c>
      <c r="W307" s="1">
        <v>0</v>
      </c>
      <c r="X307" s="1">
        <v>0</v>
      </c>
      <c r="Y307" s="1">
        <v>1</v>
      </c>
      <c r="Z307" s="3">
        <v>0.33112582781456956</v>
      </c>
      <c r="AA307" s="1">
        <v>3</v>
      </c>
      <c r="AB307" s="3">
        <v>1.9867549668874174</v>
      </c>
      <c r="AC307" s="1">
        <v>0</v>
      </c>
      <c r="AD307" s="3">
        <v>0</v>
      </c>
      <c r="AE307" s="1">
        <v>2</v>
      </c>
      <c r="AF307" s="3">
        <v>1.3245033112582782</v>
      </c>
      <c r="AG307" s="1">
        <v>6</v>
      </c>
      <c r="AH307" s="3">
        <v>3.9735099337748347</v>
      </c>
      <c r="AI307" s="1" t="s">
        <v>22</v>
      </c>
      <c r="AJ307" s="1">
        <v>9</v>
      </c>
      <c r="AK307" s="3">
        <v>5.9602649006622519</v>
      </c>
      <c r="AL307" s="1">
        <v>2</v>
      </c>
      <c r="AM307" s="3">
        <v>1.3245033112582782</v>
      </c>
      <c r="AN307" s="1" t="s">
        <v>22</v>
      </c>
      <c r="AO307" s="1">
        <v>14</v>
      </c>
      <c r="AP307" s="3">
        <v>9.2715231788079464</v>
      </c>
      <c r="AQ307" s="3">
        <v>2</v>
      </c>
      <c r="AR307" s="3">
        <v>1.3245033112582782</v>
      </c>
      <c r="AS307" s="1">
        <v>7</v>
      </c>
      <c r="AT307" s="3">
        <v>4.6357615894039732</v>
      </c>
      <c r="AU307" s="1">
        <v>1</v>
      </c>
      <c r="AV307" s="3">
        <v>0.66225165562913912</v>
      </c>
      <c r="AW307" s="1" t="s">
        <v>22</v>
      </c>
      <c r="AX307" s="1">
        <v>19</v>
      </c>
      <c r="AY307" s="1">
        <v>0</v>
      </c>
      <c r="AZ307" s="1">
        <v>0</v>
      </c>
      <c r="BA307" s="1">
        <v>38</v>
      </c>
      <c r="BB307" s="1">
        <v>0</v>
      </c>
      <c r="BC307" s="1">
        <v>0</v>
      </c>
      <c r="BD307" s="1">
        <v>0</v>
      </c>
      <c r="BE307" s="54">
        <v>0</v>
      </c>
      <c r="BF307" s="6">
        <v>17</v>
      </c>
      <c r="BG307" s="6">
        <v>22</v>
      </c>
      <c r="BH307" s="1">
        <v>1</v>
      </c>
      <c r="BI307" s="6">
        <v>10</v>
      </c>
      <c r="BJ307" s="1" t="s">
        <v>22</v>
      </c>
      <c r="BK307" s="6">
        <v>1</v>
      </c>
      <c r="BL307" s="6">
        <v>0</v>
      </c>
      <c r="BM307" s="1">
        <v>1</v>
      </c>
      <c r="BN307" t="s">
        <v>24</v>
      </c>
      <c r="BO307">
        <v>2966</v>
      </c>
    </row>
    <row r="308" spans="1:67" x14ac:dyDescent="0.25">
      <c r="A308" s="4">
        <f>INT(Tabela1[[#This Row],[Data e Hora]])</f>
        <v>46293</v>
      </c>
      <c r="B308" s="4" t="str">
        <f>UPPER(TEXT(Tabela1[[#This Row],[Data Corrigida]],"MMM"))</f>
        <v>SET</v>
      </c>
      <c r="C308" t="s">
        <v>904</v>
      </c>
      <c r="D308" t="s">
        <v>905</v>
      </c>
      <c r="E308" t="s">
        <v>901</v>
      </c>
      <c r="F308" t="s">
        <v>19</v>
      </c>
      <c r="G308" s="5" t="s">
        <v>890</v>
      </c>
      <c r="H308" t="s">
        <v>20</v>
      </c>
      <c r="I308" t="s">
        <v>21</v>
      </c>
      <c r="J308" s="1">
        <v>160</v>
      </c>
      <c r="K308" s="1">
        <v>3244</v>
      </c>
      <c r="L308" t="s">
        <v>23</v>
      </c>
      <c r="M308" s="1">
        <v>31</v>
      </c>
      <c r="N308" s="48">
        <v>31</v>
      </c>
      <c r="O308" s="1">
        <v>9</v>
      </c>
      <c r="P308" s="48">
        <v>9</v>
      </c>
      <c r="Q308" s="1">
        <v>0</v>
      </c>
      <c r="R308" s="1">
        <v>0</v>
      </c>
      <c r="S308" s="1">
        <v>2</v>
      </c>
      <c r="T308" s="1">
        <v>2</v>
      </c>
      <c r="U308" s="1">
        <v>1</v>
      </c>
      <c r="V308" s="1">
        <v>1</v>
      </c>
      <c r="W308" s="1">
        <v>0</v>
      </c>
      <c r="X308" s="1">
        <v>0</v>
      </c>
      <c r="Y308" s="1">
        <v>2</v>
      </c>
      <c r="Z308" s="3">
        <v>0.625</v>
      </c>
      <c r="AA308" s="1">
        <v>2</v>
      </c>
      <c r="AB308" s="3">
        <v>1.25</v>
      </c>
      <c r="AC308" s="1">
        <v>0</v>
      </c>
      <c r="AD308" s="3">
        <v>0</v>
      </c>
      <c r="AE308" s="1">
        <v>1</v>
      </c>
      <c r="AF308" s="3">
        <v>0.625</v>
      </c>
      <c r="AG308" s="1">
        <v>5</v>
      </c>
      <c r="AH308" s="3">
        <v>3.125</v>
      </c>
      <c r="AI308" s="1" t="s">
        <v>22</v>
      </c>
      <c r="AJ308" s="1">
        <v>2</v>
      </c>
      <c r="AK308" s="3">
        <v>1.25</v>
      </c>
      <c r="AL308" s="1">
        <v>1</v>
      </c>
      <c r="AM308" s="3">
        <v>0.625</v>
      </c>
      <c r="AN308" s="1" t="s">
        <v>22</v>
      </c>
      <c r="AO308" s="1">
        <v>8</v>
      </c>
      <c r="AP308" s="3">
        <v>5</v>
      </c>
      <c r="AQ308" s="3">
        <v>1</v>
      </c>
      <c r="AR308" s="3">
        <v>0.625</v>
      </c>
      <c r="AS308" s="1">
        <v>7</v>
      </c>
      <c r="AT308" s="3">
        <v>4.375</v>
      </c>
      <c r="AU308" s="1">
        <v>1</v>
      </c>
      <c r="AV308" s="3">
        <v>0.625</v>
      </c>
      <c r="AW308" s="1" t="s">
        <v>22</v>
      </c>
      <c r="AX308" s="1">
        <v>19</v>
      </c>
      <c r="AY308" s="1">
        <v>0</v>
      </c>
      <c r="AZ308" s="1">
        <v>0</v>
      </c>
      <c r="BA308" s="1">
        <v>38</v>
      </c>
      <c r="BB308" s="1">
        <v>0</v>
      </c>
      <c r="BC308" s="1">
        <v>0</v>
      </c>
      <c r="BD308" s="1">
        <v>0</v>
      </c>
      <c r="BE308" s="54">
        <v>0</v>
      </c>
      <c r="BF308" s="6">
        <v>16</v>
      </c>
      <c r="BG308" s="6">
        <v>13</v>
      </c>
      <c r="BH308" s="1">
        <v>0</v>
      </c>
      <c r="BI308" s="6">
        <v>0</v>
      </c>
      <c r="BJ308" s="1" t="s">
        <v>22</v>
      </c>
      <c r="BK308" s="1" t="s">
        <v>22</v>
      </c>
      <c r="BL308" s="1" t="s">
        <v>22</v>
      </c>
      <c r="BM308" s="1" t="s">
        <v>22</v>
      </c>
      <c r="BN308" t="s">
        <v>24</v>
      </c>
      <c r="BO308">
        <v>2291</v>
      </c>
    </row>
    <row r="309" spans="1:67" x14ac:dyDescent="0.25">
      <c r="A309" s="4">
        <f>INT(Tabela1[[#This Row],[Data e Hora]])</f>
        <v>46294</v>
      </c>
      <c r="B309" s="4" t="str">
        <f>UPPER(TEXT(Tabela1[[#This Row],[Data Corrigida]],"MMM"))</f>
        <v>SET</v>
      </c>
      <c r="C309" s="57" t="s">
        <v>906</v>
      </c>
      <c r="D309" t="s">
        <v>907</v>
      </c>
      <c r="E309" t="s">
        <v>908</v>
      </c>
      <c r="F309" t="s">
        <v>19</v>
      </c>
      <c r="G309" s="5" t="s">
        <v>909</v>
      </c>
      <c r="H309" t="s">
        <v>20</v>
      </c>
      <c r="I309" t="s">
        <v>33</v>
      </c>
      <c r="J309" s="1">
        <v>157</v>
      </c>
      <c r="K309" s="1">
        <v>2965</v>
      </c>
      <c r="L309" t="s">
        <v>34</v>
      </c>
      <c r="M309" s="1">
        <v>20</v>
      </c>
      <c r="N309" s="48">
        <v>20</v>
      </c>
      <c r="O309" s="1">
        <v>5</v>
      </c>
      <c r="P309" s="48">
        <v>5</v>
      </c>
      <c r="Q309" s="1">
        <v>8</v>
      </c>
      <c r="R309" s="1">
        <v>80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4</v>
      </c>
      <c r="Z309" s="3">
        <v>1.2738853503184715</v>
      </c>
      <c r="AA309" s="1">
        <v>4</v>
      </c>
      <c r="AB309" s="3">
        <v>2.547770700636943</v>
      </c>
      <c r="AC309" s="1">
        <v>0</v>
      </c>
      <c r="AD309" s="3">
        <v>0</v>
      </c>
      <c r="AE309" s="1">
        <v>1</v>
      </c>
      <c r="AF309" s="3">
        <v>0.63694267515923575</v>
      </c>
      <c r="AG309" s="1">
        <v>2</v>
      </c>
      <c r="AH309" s="3">
        <v>1.2738853503184715</v>
      </c>
      <c r="AI309" s="1" t="s">
        <v>22</v>
      </c>
      <c r="AJ309" s="1">
        <v>0</v>
      </c>
      <c r="AK309" s="3">
        <v>0</v>
      </c>
      <c r="AL309" s="1">
        <v>0</v>
      </c>
      <c r="AM309" s="3">
        <v>0</v>
      </c>
      <c r="AN309" s="1" t="s">
        <v>22</v>
      </c>
      <c r="AO309" s="1">
        <v>5</v>
      </c>
      <c r="AP309" s="3">
        <v>3.1847133757961785</v>
      </c>
      <c r="AQ309" s="3">
        <v>5</v>
      </c>
      <c r="AR309" s="3">
        <v>3.1847133757961785</v>
      </c>
      <c r="AS309" s="1">
        <v>6</v>
      </c>
      <c r="AT309" s="3">
        <v>3.8216560509554141</v>
      </c>
      <c r="AU309" s="1">
        <v>1</v>
      </c>
      <c r="AV309" s="3">
        <v>0.63694267515923575</v>
      </c>
      <c r="AW309" s="1" t="s">
        <v>22</v>
      </c>
      <c r="AX309" s="1">
        <v>19</v>
      </c>
      <c r="AY309" s="1">
        <v>0</v>
      </c>
      <c r="AZ309" s="1">
        <v>0</v>
      </c>
      <c r="BA309" s="1">
        <v>38</v>
      </c>
      <c r="BB309" s="1">
        <v>0</v>
      </c>
      <c r="BC309" s="1">
        <v>0</v>
      </c>
      <c r="BD309" s="1">
        <v>0</v>
      </c>
      <c r="BE309" s="54">
        <v>0</v>
      </c>
      <c r="BF309" s="6">
        <v>20</v>
      </c>
      <c r="BG309" s="6">
        <v>17</v>
      </c>
      <c r="BH309" s="1">
        <v>0</v>
      </c>
      <c r="BI309" s="6">
        <v>0</v>
      </c>
      <c r="BJ309" s="1" t="s">
        <v>22</v>
      </c>
      <c r="BK309" s="6">
        <v>2</v>
      </c>
      <c r="BL309" s="6">
        <v>0</v>
      </c>
      <c r="BM309" s="1">
        <v>0</v>
      </c>
      <c r="BN309" t="s">
        <v>24</v>
      </c>
      <c r="BO309">
        <v>214</v>
      </c>
    </row>
    <row r="310" spans="1:67" x14ac:dyDescent="0.25">
      <c r="A310" s="4">
        <f>INT(Tabela1[[#This Row],[Data e Hora]])</f>
        <v>46294</v>
      </c>
      <c r="B310" s="4" t="str">
        <f>UPPER(TEXT(Tabela1[[#This Row],[Data Corrigida]],"MMM"))</f>
        <v>SET</v>
      </c>
      <c r="C310" t="s">
        <v>910</v>
      </c>
      <c r="D310" t="s">
        <v>911</v>
      </c>
      <c r="E310" t="s">
        <v>908</v>
      </c>
      <c r="F310" t="s">
        <v>19</v>
      </c>
      <c r="G310" s="5" t="s">
        <v>909</v>
      </c>
      <c r="H310" t="s">
        <v>20</v>
      </c>
      <c r="I310" t="s">
        <v>33</v>
      </c>
      <c r="J310" s="1">
        <v>79</v>
      </c>
      <c r="K310" s="1">
        <v>2821</v>
      </c>
      <c r="L310" t="s">
        <v>34</v>
      </c>
      <c r="M310" s="1">
        <v>20</v>
      </c>
      <c r="N310" s="48">
        <v>20</v>
      </c>
      <c r="O310" s="1">
        <v>5</v>
      </c>
      <c r="P310" s="48">
        <v>5</v>
      </c>
      <c r="Q310" s="1">
        <v>0</v>
      </c>
      <c r="R310" s="1">
        <v>0</v>
      </c>
      <c r="S310" s="1">
        <v>1</v>
      </c>
      <c r="T310" s="1">
        <v>1</v>
      </c>
      <c r="U310" s="1">
        <v>0</v>
      </c>
      <c r="V310" s="1">
        <v>0</v>
      </c>
      <c r="W310" s="1">
        <v>0</v>
      </c>
      <c r="X310" s="1">
        <v>0</v>
      </c>
      <c r="Y310" s="1">
        <v>6</v>
      </c>
      <c r="Z310" s="3">
        <v>3.79746835443038</v>
      </c>
      <c r="AA310" s="1">
        <v>5</v>
      </c>
      <c r="AB310" s="3">
        <v>6.3291139240506329</v>
      </c>
      <c r="AC310" s="1">
        <v>0</v>
      </c>
      <c r="AD310" s="3">
        <v>0</v>
      </c>
      <c r="AE310" s="1">
        <v>1</v>
      </c>
      <c r="AF310" s="3">
        <v>1.2658227848101267</v>
      </c>
      <c r="AG310" s="1">
        <v>2</v>
      </c>
      <c r="AH310" s="3">
        <v>2.5316455696202533</v>
      </c>
      <c r="AI310" s="1" t="s">
        <v>22</v>
      </c>
      <c r="AJ310" s="1">
        <v>0</v>
      </c>
      <c r="AK310" s="3">
        <v>0</v>
      </c>
      <c r="AL310" s="1">
        <v>0</v>
      </c>
      <c r="AM310" s="3">
        <v>0</v>
      </c>
      <c r="AN310" s="1" t="s">
        <v>22</v>
      </c>
      <c r="AO310" s="1">
        <v>3</v>
      </c>
      <c r="AP310" s="3">
        <v>3.79746835443038</v>
      </c>
      <c r="AQ310" s="3">
        <v>6</v>
      </c>
      <c r="AR310" s="3">
        <v>7.59493670886076</v>
      </c>
      <c r="AS310" s="1">
        <v>5</v>
      </c>
      <c r="AT310" s="3">
        <v>6.3291139240506329</v>
      </c>
      <c r="AU310" s="1">
        <v>0</v>
      </c>
      <c r="AV310" s="3">
        <v>0</v>
      </c>
      <c r="AW310" s="1" t="s">
        <v>22</v>
      </c>
      <c r="AX310" s="1">
        <v>18</v>
      </c>
      <c r="AY310" s="1">
        <v>0</v>
      </c>
      <c r="AZ310" s="1">
        <v>0</v>
      </c>
      <c r="BA310" s="1">
        <v>36</v>
      </c>
      <c r="BB310" s="1">
        <v>0</v>
      </c>
      <c r="BC310" s="1">
        <v>0</v>
      </c>
      <c r="BD310" s="1">
        <v>0</v>
      </c>
      <c r="BE310" s="54">
        <v>0</v>
      </c>
      <c r="BF310" s="6">
        <v>20</v>
      </c>
      <c r="BG310" s="6">
        <v>17</v>
      </c>
      <c r="BH310" s="1">
        <v>0</v>
      </c>
      <c r="BI310" s="6">
        <v>0</v>
      </c>
      <c r="BJ310" s="1" t="s">
        <v>22</v>
      </c>
      <c r="BK310" s="6">
        <v>4</v>
      </c>
      <c r="BL310" s="6">
        <v>0</v>
      </c>
      <c r="BM310" s="1">
        <v>0</v>
      </c>
      <c r="BN310" t="s">
        <v>24</v>
      </c>
      <c r="BO310">
        <v>10836</v>
      </c>
    </row>
    <row r="311" spans="1:67" x14ac:dyDescent="0.25">
      <c r="A311" s="4">
        <f>INT(Tabela1[[#This Row],[Data e Hora]])</f>
        <v>46294</v>
      </c>
      <c r="B311" s="4" t="str">
        <f>UPPER(TEXT(Tabela1[[#This Row],[Data Corrigida]],"MMM"))</f>
        <v>SET</v>
      </c>
      <c r="C311" t="s">
        <v>912</v>
      </c>
      <c r="D311" t="s">
        <v>913</v>
      </c>
      <c r="E311" t="s">
        <v>914</v>
      </c>
      <c r="F311" t="s">
        <v>19</v>
      </c>
      <c r="G311" s="5" t="s">
        <v>909</v>
      </c>
      <c r="H311" t="s">
        <v>20</v>
      </c>
      <c r="I311" t="s">
        <v>33</v>
      </c>
      <c r="J311" s="1">
        <v>161</v>
      </c>
      <c r="K311" s="1">
        <v>3025</v>
      </c>
      <c r="L311" t="s">
        <v>34</v>
      </c>
      <c r="M311" s="1">
        <v>22</v>
      </c>
      <c r="N311" s="48">
        <v>22</v>
      </c>
      <c r="O311" s="1">
        <v>6</v>
      </c>
      <c r="P311" s="48">
        <v>6</v>
      </c>
      <c r="Q311" s="1">
        <v>0</v>
      </c>
      <c r="R311" s="1">
        <v>0</v>
      </c>
      <c r="S311" s="1">
        <v>1</v>
      </c>
      <c r="T311" s="1">
        <v>1</v>
      </c>
      <c r="U311" s="1">
        <v>0</v>
      </c>
      <c r="V311" s="1">
        <v>0</v>
      </c>
      <c r="W311" s="1">
        <v>0</v>
      </c>
      <c r="X311" s="1">
        <v>0</v>
      </c>
      <c r="Y311" s="1" t="s">
        <v>22</v>
      </c>
      <c r="Z311" s="3" t="s">
        <v>22</v>
      </c>
      <c r="AA311" s="1">
        <v>5</v>
      </c>
      <c r="AB311" s="3">
        <v>3.1055900621118013</v>
      </c>
      <c r="AC311" s="1">
        <v>0</v>
      </c>
      <c r="AD311" s="3">
        <v>0</v>
      </c>
      <c r="AE311" s="1">
        <v>3</v>
      </c>
      <c r="AF311" s="3">
        <v>1.8633540372670807</v>
      </c>
      <c r="AG311" s="1">
        <v>2</v>
      </c>
      <c r="AH311" s="3">
        <v>1.2422360248447204</v>
      </c>
      <c r="AI311" s="1" t="s">
        <v>22</v>
      </c>
      <c r="AJ311" s="1">
        <v>0</v>
      </c>
      <c r="AK311" s="3">
        <v>0</v>
      </c>
      <c r="AL311" s="1">
        <v>0</v>
      </c>
      <c r="AM311" s="3">
        <v>0</v>
      </c>
      <c r="AN311" s="1" t="s">
        <v>22</v>
      </c>
      <c r="AO311" s="1">
        <v>7</v>
      </c>
      <c r="AP311" s="3">
        <v>4.3478260869565215</v>
      </c>
      <c r="AQ311" s="3">
        <v>5</v>
      </c>
      <c r="AR311" s="3">
        <v>3.1055900621118013</v>
      </c>
      <c r="AS311" s="1">
        <v>5</v>
      </c>
      <c r="AT311" s="3">
        <v>3.1055900621118013</v>
      </c>
      <c r="AU311" s="1">
        <v>0</v>
      </c>
      <c r="AV311" s="3">
        <v>0</v>
      </c>
      <c r="AW311" s="1" t="s">
        <v>22</v>
      </c>
      <c r="AX311" s="1">
        <v>19</v>
      </c>
      <c r="AY311" s="1">
        <v>0</v>
      </c>
      <c r="AZ311" s="1">
        <v>0</v>
      </c>
      <c r="BA311" s="1">
        <v>38</v>
      </c>
      <c r="BB311" s="1">
        <v>0</v>
      </c>
      <c r="BC311" s="1">
        <v>0</v>
      </c>
      <c r="BD311" s="1">
        <v>1</v>
      </c>
      <c r="BE311" s="54">
        <v>0.6211180124223602</v>
      </c>
      <c r="BF311" s="6">
        <v>19</v>
      </c>
      <c r="BG311" s="6">
        <v>16</v>
      </c>
      <c r="BH311" s="1">
        <v>0</v>
      </c>
      <c r="BI311" s="6">
        <v>0</v>
      </c>
      <c r="BJ311" s="1" t="s">
        <v>22</v>
      </c>
      <c r="BK311" s="6">
        <v>1</v>
      </c>
      <c r="BL311" s="6">
        <v>0</v>
      </c>
      <c r="BM311" s="1">
        <v>0</v>
      </c>
      <c r="BN311" t="s">
        <v>24</v>
      </c>
      <c r="BO311">
        <v>20734</v>
      </c>
    </row>
    <row r="312" spans="1:67" x14ac:dyDescent="0.25">
      <c r="A312" s="4">
        <f>INT(Tabela1[[#This Row],[Data e Hora]])</f>
        <v>46294</v>
      </c>
      <c r="B312" s="4" t="str">
        <f>UPPER(TEXT(Tabela1[[#This Row],[Data Corrigida]],"MMM"))</f>
        <v>SET</v>
      </c>
      <c r="C312" t="s">
        <v>915</v>
      </c>
      <c r="D312" t="s">
        <v>916</v>
      </c>
      <c r="E312" t="s">
        <v>917</v>
      </c>
      <c r="F312" t="s">
        <v>19</v>
      </c>
      <c r="G312" s="5" t="s">
        <v>909</v>
      </c>
      <c r="H312" t="s">
        <v>20</v>
      </c>
      <c r="I312" t="s">
        <v>21</v>
      </c>
      <c r="J312" s="1">
        <v>150</v>
      </c>
      <c r="K312" s="1">
        <v>3094</v>
      </c>
      <c r="L312" t="s">
        <v>23</v>
      </c>
      <c r="M312" s="1">
        <v>41</v>
      </c>
      <c r="N312" s="48">
        <v>41</v>
      </c>
      <c r="O312" s="1">
        <v>23</v>
      </c>
      <c r="P312" s="48">
        <v>23</v>
      </c>
      <c r="Q312" s="1">
        <v>0</v>
      </c>
      <c r="R312" s="1">
        <v>0</v>
      </c>
      <c r="S312" s="1">
        <v>1</v>
      </c>
      <c r="T312" s="1">
        <v>1</v>
      </c>
      <c r="U312" s="1">
        <v>1</v>
      </c>
      <c r="V312" s="1">
        <v>1</v>
      </c>
      <c r="W312" s="1">
        <v>0</v>
      </c>
      <c r="X312" s="1">
        <v>0</v>
      </c>
      <c r="Y312" s="1">
        <v>2</v>
      </c>
      <c r="Z312" s="3">
        <v>0.66666666666666674</v>
      </c>
      <c r="AA312" s="1">
        <v>2</v>
      </c>
      <c r="AB312" s="3">
        <v>1.3333333333333335</v>
      </c>
      <c r="AC312" s="1">
        <v>0</v>
      </c>
      <c r="AD312" s="3">
        <v>0</v>
      </c>
      <c r="AE312" s="1">
        <v>1</v>
      </c>
      <c r="AF312" s="3">
        <v>0.66666666666666674</v>
      </c>
      <c r="AG312" s="1">
        <v>5</v>
      </c>
      <c r="AH312" s="3">
        <v>3.3333333333333335</v>
      </c>
      <c r="AI312" s="1" t="s">
        <v>22</v>
      </c>
      <c r="AJ312" s="1">
        <v>5</v>
      </c>
      <c r="AK312" s="3">
        <v>3.3333333333333335</v>
      </c>
      <c r="AL312" s="1">
        <v>2</v>
      </c>
      <c r="AM312" s="3">
        <v>1.3333333333333335</v>
      </c>
      <c r="AN312" s="1" t="s">
        <v>22</v>
      </c>
      <c r="AO312" s="1">
        <v>9</v>
      </c>
      <c r="AP312" s="3">
        <v>6</v>
      </c>
      <c r="AQ312" s="3">
        <v>1</v>
      </c>
      <c r="AR312" s="3">
        <v>0.66666666666666674</v>
      </c>
      <c r="AS312" s="1">
        <v>7</v>
      </c>
      <c r="AT312" s="3">
        <v>4.666666666666667</v>
      </c>
      <c r="AU312" s="1">
        <v>1</v>
      </c>
      <c r="AV312" s="3">
        <v>0.66666666666666674</v>
      </c>
      <c r="AW312" s="1" t="s">
        <v>22</v>
      </c>
      <c r="AX312" s="1">
        <v>19</v>
      </c>
      <c r="AY312" s="1">
        <v>0</v>
      </c>
      <c r="AZ312" s="1">
        <v>0</v>
      </c>
      <c r="BA312" s="1">
        <v>38</v>
      </c>
      <c r="BB312" s="1">
        <v>0</v>
      </c>
      <c r="BC312" s="1">
        <v>0</v>
      </c>
      <c r="BD312" s="1">
        <v>2</v>
      </c>
      <c r="BE312" s="54">
        <v>1.3333333333333335</v>
      </c>
      <c r="BF312" s="6">
        <v>25</v>
      </c>
      <c r="BG312" s="6">
        <v>20</v>
      </c>
      <c r="BH312" s="1">
        <v>1</v>
      </c>
      <c r="BI312" s="6">
        <v>10</v>
      </c>
      <c r="BJ312" s="1" t="s">
        <v>22</v>
      </c>
      <c r="BK312" s="1" t="s">
        <v>22</v>
      </c>
      <c r="BL312" s="1" t="s">
        <v>22</v>
      </c>
      <c r="BM312" s="1" t="s">
        <v>22</v>
      </c>
      <c r="BN312" t="s">
        <v>24</v>
      </c>
      <c r="BO312">
        <v>1475</v>
      </c>
    </row>
    <row r="313" spans="1:67" x14ac:dyDescent="0.25">
      <c r="A313" s="4">
        <f>INT(Tabela1[[#This Row],[Data e Hora]])</f>
        <v>46294</v>
      </c>
      <c r="B313" s="4" t="str">
        <f>UPPER(TEXT(Tabela1[[#This Row],[Data Corrigida]],"MMM"))</f>
        <v>SET</v>
      </c>
      <c r="C313" t="s">
        <v>918</v>
      </c>
      <c r="D313" t="s">
        <v>919</v>
      </c>
      <c r="E313" t="s">
        <v>917</v>
      </c>
      <c r="F313" t="s">
        <v>19</v>
      </c>
      <c r="G313" s="5" t="s">
        <v>909</v>
      </c>
      <c r="H313" t="s">
        <v>20</v>
      </c>
      <c r="I313" t="s">
        <v>21</v>
      </c>
      <c r="J313" s="1">
        <v>160</v>
      </c>
      <c r="K313" s="1">
        <v>3321</v>
      </c>
      <c r="L313" t="s">
        <v>23</v>
      </c>
      <c r="M313" s="1">
        <v>35</v>
      </c>
      <c r="N313" s="48">
        <v>35</v>
      </c>
      <c r="O313" s="1">
        <v>23</v>
      </c>
      <c r="P313" s="48">
        <v>23</v>
      </c>
      <c r="Q313" s="1">
        <v>0</v>
      </c>
      <c r="R313" s="1">
        <v>0</v>
      </c>
      <c r="S313" s="1">
        <v>3</v>
      </c>
      <c r="T313" s="1">
        <v>3</v>
      </c>
      <c r="U313" s="1">
        <v>1</v>
      </c>
      <c r="V313" s="1">
        <v>1</v>
      </c>
      <c r="W313" s="1">
        <v>2</v>
      </c>
      <c r="X313" s="1">
        <v>10</v>
      </c>
      <c r="Y313" s="1">
        <v>2</v>
      </c>
      <c r="Z313" s="3">
        <v>0.625</v>
      </c>
      <c r="AA313" s="1">
        <v>2</v>
      </c>
      <c r="AB313" s="3">
        <v>1.25</v>
      </c>
      <c r="AC313" s="1">
        <v>0</v>
      </c>
      <c r="AD313" s="3">
        <v>0</v>
      </c>
      <c r="AE313" s="1">
        <v>2</v>
      </c>
      <c r="AF313" s="3">
        <v>1.25</v>
      </c>
      <c r="AG313" s="1">
        <v>6</v>
      </c>
      <c r="AH313" s="3">
        <v>3.75</v>
      </c>
      <c r="AI313" s="1" t="s">
        <v>22</v>
      </c>
      <c r="AJ313" s="1">
        <v>7</v>
      </c>
      <c r="AK313" s="3">
        <v>4.375</v>
      </c>
      <c r="AL313" s="1">
        <v>3</v>
      </c>
      <c r="AM313" s="3">
        <v>1.875</v>
      </c>
      <c r="AN313" s="1" t="s">
        <v>22</v>
      </c>
      <c r="AO313" s="1">
        <v>11</v>
      </c>
      <c r="AP313" s="3">
        <v>6.8750000000000009</v>
      </c>
      <c r="AQ313" s="3">
        <v>1</v>
      </c>
      <c r="AR313" s="3">
        <v>0.625</v>
      </c>
      <c r="AS313" s="1">
        <v>6</v>
      </c>
      <c r="AT313" s="3">
        <v>3.75</v>
      </c>
      <c r="AU313" s="1">
        <v>1</v>
      </c>
      <c r="AV313" s="3">
        <v>0.625</v>
      </c>
      <c r="AW313" s="1" t="s">
        <v>22</v>
      </c>
      <c r="AX313" s="1">
        <v>17</v>
      </c>
      <c r="AY313" s="1">
        <v>0</v>
      </c>
      <c r="AZ313" s="1">
        <v>0</v>
      </c>
      <c r="BA313" s="1">
        <v>34</v>
      </c>
      <c r="BB313" s="1">
        <v>0</v>
      </c>
      <c r="BC313" s="1">
        <v>0</v>
      </c>
      <c r="BD313" s="1">
        <v>0</v>
      </c>
      <c r="BE313" s="54">
        <v>0</v>
      </c>
      <c r="BF313" s="6">
        <v>22</v>
      </c>
      <c r="BG313" s="6">
        <v>19</v>
      </c>
      <c r="BH313" s="1">
        <v>0</v>
      </c>
      <c r="BI313" s="6">
        <v>0</v>
      </c>
      <c r="BJ313" s="1" t="s">
        <v>22</v>
      </c>
      <c r="BK313" s="6">
        <v>0</v>
      </c>
      <c r="BL313" s="6">
        <v>0</v>
      </c>
      <c r="BM313" s="1">
        <v>1</v>
      </c>
      <c r="BN313" t="s">
        <v>22</v>
      </c>
      <c r="BO313">
        <v>1851</v>
      </c>
    </row>
    <row r="314" spans="1:67" x14ac:dyDescent="0.25">
      <c r="A314" s="4">
        <f>INT(Tabela1[[#This Row],[Data e Hora]])</f>
        <v>46294</v>
      </c>
      <c r="B314" s="4" t="str">
        <f>UPPER(TEXT(Tabela1[[#This Row],[Data Corrigida]],"MMM"))</f>
        <v>SET</v>
      </c>
      <c r="C314" t="s">
        <v>920</v>
      </c>
      <c r="D314" t="s">
        <v>921</v>
      </c>
      <c r="E314" t="s">
        <v>917</v>
      </c>
      <c r="F314" t="s">
        <v>19</v>
      </c>
      <c r="G314" s="5" t="s">
        <v>909</v>
      </c>
      <c r="H314" t="s">
        <v>20</v>
      </c>
      <c r="I314" t="s">
        <v>21</v>
      </c>
      <c r="J314" s="1">
        <v>80</v>
      </c>
      <c r="K314" s="1">
        <v>3018</v>
      </c>
      <c r="L314" t="s">
        <v>23</v>
      </c>
      <c r="M314" s="1">
        <v>33</v>
      </c>
      <c r="N314" s="48">
        <v>33</v>
      </c>
      <c r="O314" s="1">
        <v>20</v>
      </c>
      <c r="P314" s="48">
        <v>20</v>
      </c>
      <c r="Q314" s="1">
        <v>0</v>
      </c>
      <c r="R314" s="1">
        <v>0</v>
      </c>
      <c r="S314" s="1">
        <v>1</v>
      </c>
      <c r="T314" s="1">
        <v>1</v>
      </c>
      <c r="U314" s="1">
        <v>1</v>
      </c>
      <c r="V314" s="1">
        <v>1</v>
      </c>
      <c r="W314" s="1">
        <v>3</v>
      </c>
      <c r="X314" s="1">
        <v>15</v>
      </c>
      <c r="Y314" s="1">
        <v>2</v>
      </c>
      <c r="Z314" s="3">
        <v>1.25</v>
      </c>
      <c r="AA314" s="1">
        <v>2</v>
      </c>
      <c r="AB314" s="3">
        <v>2.5</v>
      </c>
      <c r="AC314" s="1">
        <v>0</v>
      </c>
      <c r="AD314" s="3">
        <v>0</v>
      </c>
      <c r="AE314" s="1">
        <v>2</v>
      </c>
      <c r="AF314" s="3">
        <v>2.5</v>
      </c>
      <c r="AG314" s="1">
        <v>4</v>
      </c>
      <c r="AH314" s="3">
        <v>5</v>
      </c>
      <c r="AI314" s="1" t="s">
        <v>22</v>
      </c>
      <c r="AJ314" s="1">
        <v>5</v>
      </c>
      <c r="AK314" s="3">
        <v>6.25</v>
      </c>
      <c r="AL314" s="1">
        <v>2</v>
      </c>
      <c r="AM314" s="3">
        <v>2.5</v>
      </c>
      <c r="AN314" s="1" t="s">
        <v>22</v>
      </c>
      <c r="AO314" s="1">
        <v>10</v>
      </c>
      <c r="AP314" s="3">
        <v>12.5</v>
      </c>
      <c r="AQ314" s="3">
        <v>2</v>
      </c>
      <c r="AR314" s="3">
        <v>2.5</v>
      </c>
      <c r="AS314" s="1">
        <v>6</v>
      </c>
      <c r="AT314" s="3">
        <v>7.5</v>
      </c>
      <c r="AU314" s="1">
        <v>2</v>
      </c>
      <c r="AV314" s="3">
        <v>2.5</v>
      </c>
      <c r="AW314" s="1" t="s">
        <v>22</v>
      </c>
      <c r="AX314" s="1">
        <v>14</v>
      </c>
      <c r="AY314" s="1">
        <v>0</v>
      </c>
      <c r="AZ314" s="1">
        <v>0</v>
      </c>
      <c r="BA314" s="1">
        <v>28</v>
      </c>
      <c r="BB314" s="1">
        <v>0</v>
      </c>
      <c r="BC314" s="1">
        <v>0</v>
      </c>
      <c r="BD314" s="1">
        <v>0</v>
      </c>
      <c r="BE314" s="54">
        <v>0</v>
      </c>
      <c r="BF314" s="6">
        <v>25</v>
      </c>
      <c r="BG314" s="6">
        <v>18</v>
      </c>
      <c r="BH314" s="1">
        <v>1</v>
      </c>
      <c r="BI314" s="6">
        <v>10</v>
      </c>
      <c r="BJ314" s="1" t="s">
        <v>22</v>
      </c>
      <c r="BK314" s="6">
        <v>0</v>
      </c>
      <c r="BL314" s="6">
        <v>0</v>
      </c>
      <c r="BM314" s="1">
        <v>1</v>
      </c>
      <c r="BN314" t="s">
        <v>24</v>
      </c>
      <c r="BO314">
        <v>1968</v>
      </c>
    </row>
    <row r="315" spans="1:67" x14ac:dyDescent="0.25">
      <c r="A315" s="4">
        <f>INT(Tabela1[[#This Row],[Data e Hora]])</f>
        <v>46294</v>
      </c>
      <c r="B315" s="4" t="str">
        <f>UPPER(TEXT(Tabela1[[#This Row],[Data Corrigida]],"MMM"))</f>
        <v>SET</v>
      </c>
      <c r="C315" t="s">
        <v>922</v>
      </c>
      <c r="D315" t="s">
        <v>923</v>
      </c>
      <c r="E315" t="s">
        <v>917</v>
      </c>
      <c r="F315" t="s">
        <v>19</v>
      </c>
      <c r="G315" s="5" t="s">
        <v>909</v>
      </c>
      <c r="H315" t="s">
        <v>20</v>
      </c>
      <c r="I315" t="s">
        <v>21</v>
      </c>
      <c r="J315" s="1">
        <v>146</v>
      </c>
      <c r="K315" s="1">
        <v>3019</v>
      </c>
      <c r="L315" t="s">
        <v>23</v>
      </c>
      <c r="M315" s="1">
        <v>30</v>
      </c>
      <c r="N315" s="48">
        <v>30</v>
      </c>
      <c r="O315" s="1">
        <v>11</v>
      </c>
      <c r="P315" s="48">
        <v>11</v>
      </c>
      <c r="Q315" s="1">
        <v>0</v>
      </c>
      <c r="R315" s="1">
        <v>0</v>
      </c>
      <c r="S315" s="1">
        <v>4</v>
      </c>
      <c r="T315" s="1">
        <v>4</v>
      </c>
      <c r="U315" s="1">
        <v>1</v>
      </c>
      <c r="V315" s="1">
        <v>1</v>
      </c>
      <c r="W315" s="1">
        <v>0</v>
      </c>
      <c r="X315" s="1">
        <v>0</v>
      </c>
      <c r="Y315" s="1">
        <v>2</v>
      </c>
      <c r="Z315" s="3">
        <v>0.68493150684931503</v>
      </c>
      <c r="AA315" s="1">
        <v>4</v>
      </c>
      <c r="AB315" s="3">
        <v>2.7397260273972601</v>
      </c>
      <c r="AC315" s="1">
        <v>0</v>
      </c>
      <c r="AD315" s="3">
        <v>0</v>
      </c>
      <c r="AE315" s="1">
        <v>3</v>
      </c>
      <c r="AF315" s="3">
        <v>2.054794520547945</v>
      </c>
      <c r="AG315" s="1">
        <v>6</v>
      </c>
      <c r="AH315" s="3">
        <v>4.10958904109589</v>
      </c>
      <c r="AI315" s="1" t="s">
        <v>22</v>
      </c>
      <c r="AJ315" s="1">
        <v>8</v>
      </c>
      <c r="AK315" s="3">
        <v>5.4794520547945202</v>
      </c>
      <c r="AL315" s="1">
        <v>2</v>
      </c>
      <c r="AM315" s="3">
        <v>1.3698630136986301</v>
      </c>
      <c r="AN315" s="1" t="s">
        <v>22</v>
      </c>
      <c r="AO315" s="1">
        <v>11</v>
      </c>
      <c r="AP315" s="3">
        <v>7.5342465753424657</v>
      </c>
      <c r="AQ315" s="3">
        <v>1</v>
      </c>
      <c r="AR315" s="3">
        <v>0.68493150684931503</v>
      </c>
      <c r="AS315" s="1">
        <v>6</v>
      </c>
      <c r="AT315" s="3">
        <v>4.10958904109589</v>
      </c>
      <c r="AU315" s="1">
        <v>2</v>
      </c>
      <c r="AV315" s="3">
        <v>1.3698630136986301</v>
      </c>
      <c r="AW315" s="1" t="s">
        <v>22</v>
      </c>
      <c r="AX315" s="1">
        <v>19</v>
      </c>
      <c r="AY315" s="1">
        <v>0</v>
      </c>
      <c r="AZ315" s="1">
        <v>0</v>
      </c>
      <c r="BA315" s="1">
        <v>38</v>
      </c>
      <c r="BB315" s="1">
        <v>0</v>
      </c>
      <c r="BC315" s="1">
        <v>0</v>
      </c>
      <c r="BD315" s="1">
        <v>0</v>
      </c>
      <c r="BE315" s="54">
        <v>0</v>
      </c>
      <c r="BF315" s="6">
        <v>20</v>
      </c>
      <c r="BG315" s="6">
        <v>18</v>
      </c>
      <c r="BH315" s="1">
        <v>1</v>
      </c>
      <c r="BI315" s="6">
        <v>10</v>
      </c>
      <c r="BJ315" s="1" t="s">
        <v>22</v>
      </c>
      <c r="BK315" s="1" t="s">
        <v>22</v>
      </c>
      <c r="BL315" s="1" t="s">
        <v>22</v>
      </c>
      <c r="BM315" s="1" t="s">
        <v>22</v>
      </c>
      <c r="BN315" t="s">
        <v>24</v>
      </c>
      <c r="BO315">
        <v>3447</v>
      </c>
    </row>
    <row r="316" spans="1:67" x14ac:dyDescent="0.25">
      <c r="A316" s="4">
        <f>INT(Tabela1[[#This Row],[Data e Hora]])</f>
        <v>46295</v>
      </c>
      <c r="B316" s="4" t="str">
        <f>UPPER(TEXT(Tabela1[[#This Row],[Data Corrigida]],"MMM"))</f>
        <v>SET</v>
      </c>
      <c r="C316" s="57" t="s">
        <v>924</v>
      </c>
      <c r="D316" t="s">
        <v>925</v>
      </c>
      <c r="E316" t="s">
        <v>926</v>
      </c>
      <c r="F316" t="s">
        <v>19</v>
      </c>
      <c r="G316" s="5" t="s">
        <v>927</v>
      </c>
      <c r="H316" t="s">
        <v>20</v>
      </c>
      <c r="I316" t="s">
        <v>33</v>
      </c>
      <c r="J316" s="1">
        <v>151</v>
      </c>
      <c r="K316" s="1">
        <v>3089</v>
      </c>
      <c r="L316" t="s">
        <v>34</v>
      </c>
      <c r="M316" s="1">
        <v>20</v>
      </c>
      <c r="N316" s="48">
        <v>20</v>
      </c>
      <c r="O316" s="1">
        <v>6</v>
      </c>
      <c r="P316" s="48">
        <v>6</v>
      </c>
      <c r="Q316" s="1">
        <v>0</v>
      </c>
      <c r="R316" s="1">
        <v>0</v>
      </c>
      <c r="S316" s="1">
        <v>1</v>
      </c>
      <c r="T316" s="1">
        <v>1</v>
      </c>
      <c r="U316" s="1">
        <v>0</v>
      </c>
      <c r="V316" s="1">
        <v>0</v>
      </c>
      <c r="W316" s="1">
        <v>0</v>
      </c>
      <c r="X316" s="1">
        <v>0</v>
      </c>
      <c r="Y316" s="1">
        <v>3</v>
      </c>
      <c r="Z316" s="3">
        <v>0.99337748344370869</v>
      </c>
      <c r="AA316" s="1">
        <v>3</v>
      </c>
      <c r="AB316" s="3">
        <v>1.9867549668874174</v>
      </c>
      <c r="AC316" s="1">
        <v>0</v>
      </c>
      <c r="AD316" s="3">
        <v>0</v>
      </c>
      <c r="AE316" s="1">
        <v>2</v>
      </c>
      <c r="AF316" s="3">
        <v>1.3245033112582782</v>
      </c>
      <c r="AG316" s="1">
        <v>3</v>
      </c>
      <c r="AH316" s="3">
        <v>1.9867549668874174</v>
      </c>
      <c r="AI316" s="1" t="s">
        <v>22</v>
      </c>
      <c r="AJ316" s="1">
        <v>0</v>
      </c>
      <c r="AK316" s="3">
        <v>0</v>
      </c>
      <c r="AL316" s="1">
        <v>0</v>
      </c>
      <c r="AM316" s="3">
        <v>0</v>
      </c>
      <c r="AN316" s="1" t="s">
        <v>22</v>
      </c>
      <c r="AO316" s="1">
        <v>4</v>
      </c>
      <c r="AP316" s="3">
        <v>2.6490066225165565</v>
      </c>
      <c r="AQ316" s="3">
        <v>4</v>
      </c>
      <c r="AR316" s="3">
        <v>2.6490066225165565</v>
      </c>
      <c r="AS316" s="1">
        <v>5</v>
      </c>
      <c r="AT316" s="3">
        <v>3.3112582781456954</v>
      </c>
      <c r="AU316" s="1">
        <v>0</v>
      </c>
      <c r="AV316" s="3">
        <v>0</v>
      </c>
      <c r="AW316" s="1" t="s">
        <v>22</v>
      </c>
      <c r="AX316" s="1">
        <v>16</v>
      </c>
      <c r="AY316" s="1">
        <v>0</v>
      </c>
      <c r="AZ316" s="1">
        <v>0</v>
      </c>
      <c r="BA316" s="1">
        <v>32</v>
      </c>
      <c r="BB316" s="1">
        <v>0</v>
      </c>
      <c r="BC316" s="1">
        <v>0</v>
      </c>
      <c r="BD316" s="1">
        <v>0</v>
      </c>
      <c r="BE316" s="54">
        <v>0</v>
      </c>
      <c r="BF316" s="6">
        <v>20</v>
      </c>
      <c r="BG316" s="6">
        <v>17</v>
      </c>
      <c r="BH316" s="1">
        <v>0</v>
      </c>
      <c r="BI316" s="6">
        <v>0</v>
      </c>
      <c r="BJ316" s="1" t="s">
        <v>22</v>
      </c>
      <c r="BK316" s="6">
        <v>0</v>
      </c>
      <c r="BL316" s="6">
        <v>0</v>
      </c>
      <c r="BM316" s="1">
        <v>0</v>
      </c>
      <c r="BN316" t="s">
        <v>24</v>
      </c>
      <c r="BO316">
        <v>1071</v>
      </c>
    </row>
    <row r="317" spans="1:67" x14ac:dyDescent="0.25">
      <c r="A317" s="4">
        <f>INT(Tabela1[[#This Row],[Data e Hora]])</f>
        <v>46295</v>
      </c>
      <c r="B317" s="4" t="str">
        <f>UPPER(TEXT(Tabela1[[#This Row],[Data Corrigida]],"MMM"))</f>
        <v>SET</v>
      </c>
      <c r="C317" t="s">
        <v>928</v>
      </c>
      <c r="D317" t="s">
        <v>929</v>
      </c>
      <c r="E317" t="s">
        <v>926</v>
      </c>
      <c r="F317" t="s">
        <v>19</v>
      </c>
      <c r="G317" s="5" t="s">
        <v>927</v>
      </c>
      <c r="H317" t="s">
        <v>20</v>
      </c>
      <c r="I317" t="s">
        <v>33</v>
      </c>
      <c r="J317" s="1">
        <v>127</v>
      </c>
      <c r="K317" s="1">
        <v>3146</v>
      </c>
      <c r="L317" t="s">
        <v>34</v>
      </c>
      <c r="M317" s="1">
        <v>15</v>
      </c>
      <c r="N317" s="48">
        <v>15</v>
      </c>
      <c r="O317" s="1">
        <v>5</v>
      </c>
      <c r="P317" s="48">
        <v>5</v>
      </c>
      <c r="Q317" s="1">
        <v>0</v>
      </c>
      <c r="R317" s="1">
        <v>0</v>
      </c>
      <c r="S317" s="1">
        <v>3</v>
      </c>
      <c r="T317" s="1">
        <v>3</v>
      </c>
      <c r="U317" s="1">
        <v>2</v>
      </c>
      <c r="V317" s="1">
        <v>2</v>
      </c>
      <c r="W317" s="1">
        <v>0</v>
      </c>
      <c r="X317" s="1">
        <v>0</v>
      </c>
      <c r="Y317" s="1">
        <v>4</v>
      </c>
      <c r="Z317" s="3">
        <v>1.5748031496062991</v>
      </c>
      <c r="AA317" s="1">
        <v>15</v>
      </c>
      <c r="AB317" s="3">
        <v>11.811023622047244</v>
      </c>
      <c r="AC317" s="1">
        <v>0</v>
      </c>
      <c r="AD317" s="3">
        <v>0</v>
      </c>
      <c r="AE317" s="1">
        <v>3</v>
      </c>
      <c r="AF317" s="3">
        <v>2.3622047244094486</v>
      </c>
      <c r="AG317" s="1">
        <v>4</v>
      </c>
      <c r="AH317" s="3">
        <v>3.1496062992125982</v>
      </c>
      <c r="AI317" s="1" t="s">
        <v>22</v>
      </c>
      <c r="AJ317" s="1">
        <v>1</v>
      </c>
      <c r="AK317" s="3">
        <v>0.78740157480314954</v>
      </c>
      <c r="AL317" s="1">
        <v>0</v>
      </c>
      <c r="AM317" s="3">
        <v>0</v>
      </c>
      <c r="AN317" s="1" t="s">
        <v>22</v>
      </c>
      <c r="AO317" s="1">
        <v>3</v>
      </c>
      <c r="AP317" s="3">
        <v>2.3622047244094486</v>
      </c>
      <c r="AQ317" s="3">
        <v>2</v>
      </c>
      <c r="AR317" s="3">
        <v>1.5748031496062991</v>
      </c>
      <c r="AS317" s="1">
        <v>4</v>
      </c>
      <c r="AT317" s="3">
        <v>3.1496062992125982</v>
      </c>
      <c r="AU317" s="1">
        <v>0</v>
      </c>
      <c r="AV317" s="3">
        <v>0</v>
      </c>
      <c r="AW317" s="1" t="s">
        <v>22</v>
      </c>
      <c r="AX317" s="1">
        <v>19</v>
      </c>
      <c r="AY317" s="1">
        <v>0</v>
      </c>
      <c r="AZ317" s="1">
        <v>0</v>
      </c>
      <c r="BA317" s="1">
        <v>38</v>
      </c>
      <c r="BB317" s="1">
        <v>0</v>
      </c>
      <c r="BC317" s="1">
        <v>0</v>
      </c>
      <c r="BD317" s="1">
        <v>0</v>
      </c>
      <c r="BE317" s="54">
        <v>0</v>
      </c>
      <c r="BF317" s="6">
        <v>27</v>
      </c>
      <c r="BG317" s="6">
        <v>14</v>
      </c>
      <c r="BH317" s="1">
        <v>0</v>
      </c>
      <c r="BI317" s="6">
        <v>0</v>
      </c>
      <c r="BJ317" s="1" t="s">
        <v>22</v>
      </c>
      <c r="BK317" s="6">
        <v>0</v>
      </c>
      <c r="BL317" s="6">
        <v>0</v>
      </c>
      <c r="BM317" s="1">
        <v>0</v>
      </c>
      <c r="BN317" t="s">
        <v>24</v>
      </c>
      <c r="BO317">
        <v>8188</v>
      </c>
    </row>
    <row r="318" spans="1:67" x14ac:dyDescent="0.25">
      <c r="A318" s="4">
        <f>INT(Tabela1[[#This Row],[Data e Hora]])</f>
        <v>46295</v>
      </c>
      <c r="B318" s="4" t="str">
        <f>UPPER(TEXT(Tabela1[[#This Row],[Data Corrigida]],"MMM"))</f>
        <v>SET</v>
      </c>
      <c r="C318" t="s">
        <v>930</v>
      </c>
      <c r="D318" t="s">
        <v>931</v>
      </c>
      <c r="E318" t="s">
        <v>932</v>
      </c>
      <c r="F318" t="s">
        <v>19</v>
      </c>
      <c r="G318" s="5" t="s">
        <v>927</v>
      </c>
      <c r="H318" t="s">
        <v>20</v>
      </c>
      <c r="I318" t="s">
        <v>33</v>
      </c>
      <c r="J318" s="1">
        <v>133</v>
      </c>
      <c r="K318" s="1">
        <v>2751</v>
      </c>
      <c r="L318" t="s">
        <v>34</v>
      </c>
      <c r="M318" s="1">
        <v>20</v>
      </c>
      <c r="N318" s="48">
        <v>20</v>
      </c>
      <c r="O318" s="1">
        <v>8</v>
      </c>
      <c r="P318" s="48">
        <v>8</v>
      </c>
      <c r="Q318" s="1">
        <v>0</v>
      </c>
      <c r="R318" s="1">
        <v>0</v>
      </c>
      <c r="S318" s="1">
        <v>1</v>
      </c>
      <c r="T318" s="1">
        <v>1</v>
      </c>
      <c r="U318" s="1">
        <v>0</v>
      </c>
      <c r="V318" s="1">
        <v>0</v>
      </c>
      <c r="W318" s="1">
        <v>0</v>
      </c>
      <c r="X318" s="1">
        <v>0</v>
      </c>
      <c r="Y318" s="1">
        <v>4</v>
      </c>
      <c r="Z318" s="3">
        <v>1.5037593984962405</v>
      </c>
      <c r="AA318" s="1">
        <v>4</v>
      </c>
      <c r="AB318" s="3">
        <v>3.007518796992481</v>
      </c>
      <c r="AC318" s="1">
        <v>0</v>
      </c>
      <c r="AD318" s="3">
        <v>0</v>
      </c>
      <c r="AE318" s="1">
        <v>1</v>
      </c>
      <c r="AF318" s="3">
        <v>0.75187969924812026</v>
      </c>
      <c r="AG318" s="1">
        <v>1</v>
      </c>
      <c r="AH318" s="3">
        <v>0.75187969924812026</v>
      </c>
      <c r="AI318" s="1" t="s">
        <v>22</v>
      </c>
      <c r="AJ318" s="1">
        <v>0</v>
      </c>
      <c r="AK318" s="3">
        <v>0</v>
      </c>
      <c r="AL318" s="1">
        <v>0</v>
      </c>
      <c r="AM318" s="3">
        <v>0</v>
      </c>
      <c r="AN318" s="1" t="s">
        <v>22</v>
      </c>
      <c r="AO318" s="1">
        <v>7</v>
      </c>
      <c r="AP318" s="3">
        <v>5.2631578947368416</v>
      </c>
      <c r="AQ318" s="3">
        <v>6</v>
      </c>
      <c r="AR318" s="3">
        <v>4.5112781954887211</v>
      </c>
      <c r="AS318" s="1">
        <v>4</v>
      </c>
      <c r="AT318" s="3">
        <v>3.007518796992481</v>
      </c>
      <c r="AU318" s="1">
        <v>0</v>
      </c>
      <c r="AV318" s="3">
        <v>0</v>
      </c>
      <c r="AW318" s="1" t="s">
        <v>22</v>
      </c>
      <c r="AX318" s="1">
        <v>16</v>
      </c>
      <c r="AY318" s="1">
        <v>0</v>
      </c>
      <c r="AZ318" s="1">
        <v>0</v>
      </c>
      <c r="BA318" s="1">
        <v>32</v>
      </c>
      <c r="BB318" s="1">
        <v>0</v>
      </c>
      <c r="BC318" s="1">
        <v>0</v>
      </c>
      <c r="BD318" s="1">
        <v>4</v>
      </c>
      <c r="BE318" s="54">
        <v>3.007518796992481</v>
      </c>
      <c r="BF318" s="6">
        <v>20</v>
      </c>
      <c r="BG318" s="6">
        <v>17</v>
      </c>
      <c r="BH318" s="1">
        <v>0</v>
      </c>
      <c r="BI318" s="6">
        <v>0</v>
      </c>
      <c r="BJ318" s="1" t="s">
        <v>22</v>
      </c>
      <c r="BK318" s="6">
        <v>1</v>
      </c>
      <c r="BL318" s="6">
        <v>0</v>
      </c>
      <c r="BM318" s="1">
        <v>0</v>
      </c>
      <c r="BN318" t="s">
        <v>24</v>
      </c>
      <c r="BO318">
        <v>11301</v>
      </c>
    </row>
    <row r="319" spans="1:67" x14ac:dyDescent="0.25">
      <c r="A319" s="4">
        <f>INT(Tabela1[[#This Row],[Data e Hora]])</f>
        <v>46295</v>
      </c>
      <c r="B319" s="4" t="str">
        <f>UPPER(TEXT(Tabela1[[#This Row],[Data Corrigida]],"MMM"))</f>
        <v>SET</v>
      </c>
      <c r="C319" t="s">
        <v>933</v>
      </c>
      <c r="D319" t="s">
        <v>934</v>
      </c>
      <c r="E319" t="s">
        <v>935</v>
      </c>
      <c r="F319" t="s">
        <v>19</v>
      </c>
      <c r="G319" s="5" t="s">
        <v>927</v>
      </c>
      <c r="H319" t="s">
        <v>20</v>
      </c>
      <c r="I319" t="s">
        <v>21</v>
      </c>
      <c r="J319" s="1">
        <v>161</v>
      </c>
      <c r="K319" s="1">
        <v>2943</v>
      </c>
      <c r="L319" t="s">
        <v>23</v>
      </c>
      <c r="M319" s="1">
        <v>35</v>
      </c>
      <c r="N319" s="48">
        <v>35</v>
      </c>
      <c r="O319" s="1">
        <v>20</v>
      </c>
      <c r="P319" s="48">
        <v>20</v>
      </c>
      <c r="Q319" s="1">
        <v>0</v>
      </c>
      <c r="R319" s="1">
        <v>0</v>
      </c>
      <c r="S319" s="1">
        <v>3</v>
      </c>
      <c r="T319" s="1">
        <v>3</v>
      </c>
      <c r="U319" s="1">
        <v>1</v>
      </c>
      <c r="V319" s="1">
        <v>1</v>
      </c>
      <c r="W319" s="1">
        <v>0</v>
      </c>
      <c r="X319" s="1">
        <v>0</v>
      </c>
      <c r="Y319" s="1">
        <v>2</v>
      </c>
      <c r="Z319" s="3">
        <v>0.6211180124223602</v>
      </c>
      <c r="AA319" s="1">
        <v>3</v>
      </c>
      <c r="AB319" s="3">
        <v>1.8633540372670807</v>
      </c>
      <c r="AC319" s="1">
        <v>0</v>
      </c>
      <c r="AD319" s="3">
        <v>0</v>
      </c>
      <c r="AE319" s="1">
        <v>1</v>
      </c>
      <c r="AF319" s="3">
        <v>0.6211180124223602</v>
      </c>
      <c r="AG319" s="1">
        <v>5</v>
      </c>
      <c r="AH319" s="3">
        <v>3.1055900621118013</v>
      </c>
      <c r="AI319" s="1" t="s">
        <v>22</v>
      </c>
      <c r="AJ319" s="1">
        <v>3</v>
      </c>
      <c r="AK319" s="3">
        <v>1.8633540372670807</v>
      </c>
      <c r="AL319" s="1">
        <v>2</v>
      </c>
      <c r="AM319" s="3">
        <v>1.2422360248447204</v>
      </c>
      <c r="AN319" s="1" t="s">
        <v>22</v>
      </c>
      <c r="AO319" s="1">
        <v>6</v>
      </c>
      <c r="AP319" s="3">
        <v>3.7267080745341614</v>
      </c>
      <c r="AQ319" s="3">
        <v>1</v>
      </c>
      <c r="AR319" s="3">
        <v>0.6211180124223602</v>
      </c>
      <c r="AS319" s="1">
        <v>7</v>
      </c>
      <c r="AT319" s="3">
        <v>4.3478260869565215</v>
      </c>
      <c r="AU319" s="1">
        <v>1</v>
      </c>
      <c r="AV319" s="3">
        <v>0.6211180124223602</v>
      </c>
      <c r="AW319" s="1" t="s">
        <v>22</v>
      </c>
      <c r="AX319" s="1">
        <v>19</v>
      </c>
      <c r="AY319" s="1">
        <v>0</v>
      </c>
      <c r="AZ319" s="1">
        <v>0</v>
      </c>
      <c r="BA319" s="1">
        <v>38</v>
      </c>
      <c r="BB319" s="1">
        <v>0</v>
      </c>
      <c r="BC319" s="1">
        <v>0</v>
      </c>
      <c r="BD319" s="1">
        <v>0</v>
      </c>
      <c r="BE319" s="54">
        <v>0</v>
      </c>
      <c r="BF319" s="6">
        <v>21</v>
      </c>
      <c r="BG319" s="6">
        <v>16</v>
      </c>
      <c r="BH319" s="1">
        <v>1</v>
      </c>
      <c r="BI319" s="6">
        <v>10</v>
      </c>
      <c r="BJ319" s="1" t="s">
        <v>22</v>
      </c>
      <c r="BK319" s="1" t="s">
        <v>22</v>
      </c>
      <c r="BL319" s="1" t="s">
        <v>22</v>
      </c>
      <c r="BM319" s="1" t="s">
        <v>22</v>
      </c>
      <c r="BN319" t="s">
        <v>24</v>
      </c>
      <c r="BO319">
        <v>1416</v>
      </c>
    </row>
    <row r="320" spans="1:67" x14ac:dyDescent="0.25">
      <c r="A320" s="4">
        <f>INT(Tabela1[[#This Row],[Data e Hora]])</f>
        <v>46295</v>
      </c>
      <c r="B320" s="4" t="str">
        <f>UPPER(TEXT(Tabela1[[#This Row],[Data Corrigida]],"MMM"))</f>
        <v>SET</v>
      </c>
      <c r="C320" t="s">
        <v>936</v>
      </c>
      <c r="D320" t="s">
        <v>937</v>
      </c>
      <c r="E320" t="s">
        <v>935</v>
      </c>
      <c r="F320" t="s">
        <v>19</v>
      </c>
      <c r="G320" s="5" t="s">
        <v>927</v>
      </c>
      <c r="H320" t="s">
        <v>20</v>
      </c>
      <c r="I320" t="s">
        <v>21</v>
      </c>
      <c r="J320" s="1">
        <v>160</v>
      </c>
      <c r="K320" s="1">
        <v>2775</v>
      </c>
      <c r="L320" t="s">
        <v>23</v>
      </c>
      <c r="M320" s="1">
        <v>49</v>
      </c>
      <c r="N320" s="48">
        <v>49</v>
      </c>
      <c r="O320" s="1">
        <v>31</v>
      </c>
      <c r="P320" s="48">
        <v>31</v>
      </c>
      <c r="Q320" s="1">
        <v>0</v>
      </c>
      <c r="R320" s="1">
        <v>0</v>
      </c>
      <c r="S320" s="1">
        <v>2</v>
      </c>
      <c r="T320" s="1">
        <v>2</v>
      </c>
      <c r="U320" s="1">
        <v>1</v>
      </c>
      <c r="V320" s="1">
        <v>1</v>
      </c>
      <c r="W320" s="1">
        <v>0</v>
      </c>
      <c r="X320" s="1">
        <v>0</v>
      </c>
      <c r="Y320" s="1">
        <v>5</v>
      </c>
      <c r="Z320" s="3">
        <v>1.5625</v>
      </c>
      <c r="AA320" s="1">
        <v>2</v>
      </c>
      <c r="AB320" s="3">
        <v>1.25</v>
      </c>
      <c r="AC320" s="1">
        <v>0</v>
      </c>
      <c r="AD320" s="3">
        <v>0</v>
      </c>
      <c r="AE320" s="1">
        <v>3</v>
      </c>
      <c r="AF320" s="3">
        <v>1.875</v>
      </c>
      <c r="AG320" s="1">
        <v>5</v>
      </c>
      <c r="AH320" s="3">
        <v>3.125</v>
      </c>
      <c r="AI320" s="1" t="s">
        <v>22</v>
      </c>
      <c r="AJ320" s="1">
        <v>3</v>
      </c>
      <c r="AK320" s="3">
        <v>1.875</v>
      </c>
      <c r="AL320" s="1">
        <v>3</v>
      </c>
      <c r="AM320" s="3">
        <v>1.875</v>
      </c>
      <c r="AN320" s="1" t="s">
        <v>22</v>
      </c>
      <c r="AO320" s="1">
        <v>7</v>
      </c>
      <c r="AP320" s="3">
        <v>4.375</v>
      </c>
      <c r="AQ320" s="3">
        <v>2</v>
      </c>
      <c r="AR320" s="3">
        <v>1.25</v>
      </c>
      <c r="AS320" s="1">
        <v>8</v>
      </c>
      <c r="AT320" s="3">
        <v>5</v>
      </c>
      <c r="AU320" s="1">
        <v>1</v>
      </c>
      <c r="AV320" s="3">
        <v>0.625</v>
      </c>
      <c r="AW320" s="1" t="s">
        <v>22</v>
      </c>
      <c r="AX320" s="1">
        <v>20</v>
      </c>
      <c r="AY320" s="1">
        <v>0</v>
      </c>
      <c r="AZ320" s="1">
        <v>0</v>
      </c>
      <c r="BA320" s="1">
        <v>40</v>
      </c>
      <c r="BB320" s="1">
        <v>0</v>
      </c>
      <c r="BC320" s="1">
        <v>0</v>
      </c>
      <c r="BD320" s="1">
        <v>0</v>
      </c>
      <c r="BE320" s="54">
        <v>0</v>
      </c>
      <c r="BF320" s="6">
        <v>19</v>
      </c>
      <c r="BG320" s="6">
        <v>17</v>
      </c>
      <c r="BH320" s="1">
        <v>1</v>
      </c>
      <c r="BI320" s="6">
        <v>10</v>
      </c>
      <c r="BJ320" s="1" t="s">
        <v>22</v>
      </c>
      <c r="BK320" s="6">
        <v>0</v>
      </c>
      <c r="BL320" s="6">
        <v>0</v>
      </c>
      <c r="BM320" s="1">
        <v>2</v>
      </c>
      <c r="BN320" t="s">
        <v>24</v>
      </c>
      <c r="BO320">
        <v>1721</v>
      </c>
    </row>
    <row r="321" spans="1:67" x14ac:dyDescent="0.25">
      <c r="A321" s="4">
        <f>INT(Tabela1[[#This Row],[Data e Hora]])</f>
        <v>46295</v>
      </c>
      <c r="B321" s="4" t="str">
        <f>UPPER(TEXT(Tabela1[[#This Row],[Data Corrigida]],"MMM"))</f>
        <v>SET</v>
      </c>
      <c r="C321" t="s">
        <v>938</v>
      </c>
      <c r="D321" t="s">
        <v>939</v>
      </c>
      <c r="E321" t="s">
        <v>935</v>
      </c>
      <c r="F321" t="s">
        <v>19</v>
      </c>
      <c r="G321" s="5" t="s">
        <v>927</v>
      </c>
      <c r="H321" t="s">
        <v>20</v>
      </c>
      <c r="I321" t="s">
        <v>21</v>
      </c>
      <c r="J321" s="1">
        <v>135</v>
      </c>
      <c r="K321" s="1">
        <v>2861</v>
      </c>
      <c r="L321" t="s">
        <v>23</v>
      </c>
      <c r="M321" s="1">
        <v>31</v>
      </c>
      <c r="N321" s="48">
        <v>31</v>
      </c>
      <c r="O321" s="1">
        <v>14</v>
      </c>
      <c r="P321" s="48">
        <v>14.000000000000002</v>
      </c>
      <c r="Q321" s="1">
        <v>0</v>
      </c>
      <c r="R321" s="1">
        <v>0</v>
      </c>
      <c r="S321" s="1">
        <v>1</v>
      </c>
      <c r="T321" s="1">
        <v>1</v>
      </c>
      <c r="U321" s="1">
        <v>0</v>
      </c>
      <c r="V321" s="1">
        <v>0</v>
      </c>
      <c r="W321" s="1">
        <v>0</v>
      </c>
      <c r="X321" s="1">
        <v>0</v>
      </c>
      <c r="Y321" s="1">
        <v>1</v>
      </c>
      <c r="Z321" s="3">
        <v>0.37037037037037041</v>
      </c>
      <c r="AA321" s="1">
        <v>3</v>
      </c>
      <c r="AB321" s="3">
        <v>2.2222222222222223</v>
      </c>
      <c r="AC321" s="1">
        <v>1</v>
      </c>
      <c r="AD321" s="3">
        <v>0.74074074074074081</v>
      </c>
      <c r="AE321" s="1">
        <v>1</v>
      </c>
      <c r="AF321" s="3">
        <v>0.74074074074074081</v>
      </c>
      <c r="AG321" s="1">
        <v>5</v>
      </c>
      <c r="AH321" s="3">
        <v>3.7037037037037033</v>
      </c>
      <c r="AI321" s="1" t="s">
        <v>22</v>
      </c>
      <c r="AJ321" s="1">
        <v>3</v>
      </c>
      <c r="AK321" s="3">
        <v>2.2222222222222223</v>
      </c>
      <c r="AL321" s="1">
        <v>1</v>
      </c>
      <c r="AM321" s="3">
        <v>0.74074074074074081</v>
      </c>
      <c r="AN321" s="1" t="s">
        <v>22</v>
      </c>
      <c r="AO321" s="1">
        <v>5</v>
      </c>
      <c r="AP321" s="3">
        <v>3.7037037037037033</v>
      </c>
      <c r="AQ321" s="3">
        <v>1</v>
      </c>
      <c r="AR321" s="3">
        <v>0.74074074074074081</v>
      </c>
      <c r="AS321" s="1">
        <v>6</v>
      </c>
      <c r="AT321" s="3">
        <v>4.4444444444444446</v>
      </c>
      <c r="AU321" s="1">
        <v>1</v>
      </c>
      <c r="AV321" s="3">
        <v>0.74074074074074081</v>
      </c>
      <c r="AW321" s="1" t="s">
        <v>22</v>
      </c>
      <c r="AX321" s="1">
        <v>21</v>
      </c>
      <c r="AY321" s="1">
        <v>0</v>
      </c>
      <c r="AZ321" s="1">
        <v>0</v>
      </c>
      <c r="BA321" s="1">
        <v>42</v>
      </c>
      <c r="BB321" s="1">
        <v>0</v>
      </c>
      <c r="BC321" s="1">
        <v>0</v>
      </c>
      <c r="BD321" s="1">
        <v>0</v>
      </c>
      <c r="BE321" s="54">
        <v>0</v>
      </c>
      <c r="BF321" s="6">
        <v>20</v>
      </c>
      <c r="BG321" s="6">
        <v>27</v>
      </c>
      <c r="BH321" s="1">
        <v>1</v>
      </c>
      <c r="BI321" s="6">
        <v>10</v>
      </c>
      <c r="BJ321" s="1" t="s">
        <v>22</v>
      </c>
      <c r="BK321" s="6">
        <v>0</v>
      </c>
      <c r="BL321" s="6">
        <v>0</v>
      </c>
      <c r="BM321" s="1">
        <v>1</v>
      </c>
      <c r="BN321" t="s">
        <v>24</v>
      </c>
      <c r="BO321">
        <v>2325</v>
      </c>
    </row>
    <row r="322" spans="1:67" x14ac:dyDescent="0.25">
      <c r="A322" s="4">
        <f>INT(Tabela1[[#This Row],[Data e Hora]])</f>
        <v>46295</v>
      </c>
      <c r="B322" s="4" t="str">
        <f>UPPER(TEXT(Tabela1[[#This Row],[Data Corrigida]],"MMM"))</f>
        <v>SET</v>
      </c>
      <c r="C322" t="s">
        <v>940</v>
      </c>
      <c r="D322" t="s">
        <v>941</v>
      </c>
      <c r="E322" t="s">
        <v>942</v>
      </c>
      <c r="F322" t="s">
        <v>19</v>
      </c>
      <c r="G322" s="5" t="s">
        <v>927</v>
      </c>
      <c r="H322" t="s">
        <v>20</v>
      </c>
      <c r="I322" t="s">
        <v>21</v>
      </c>
      <c r="J322" s="1">
        <v>146</v>
      </c>
      <c r="K322" s="1">
        <v>2949</v>
      </c>
      <c r="L322" t="s">
        <v>23</v>
      </c>
      <c r="M322" s="1">
        <v>29</v>
      </c>
      <c r="N322" s="48">
        <v>28.999999999999996</v>
      </c>
      <c r="O322" s="1">
        <v>11</v>
      </c>
      <c r="P322" s="48">
        <v>11</v>
      </c>
      <c r="Q322" s="1">
        <v>0</v>
      </c>
      <c r="R322" s="1">
        <v>0</v>
      </c>
      <c r="S322" s="1">
        <v>3</v>
      </c>
      <c r="T322" s="1">
        <v>3</v>
      </c>
      <c r="U322" s="1">
        <v>1</v>
      </c>
      <c r="V322" s="1">
        <v>1</v>
      </c>
      <c r="W322" s="1">
        <v>0</v>
      </c>
      <c r="X322" s="1">
        <v>0</v>
      </c>
      <c r="Y322" s="1">
        <v>1</v>
      </c>
      <c r="Z322" s="3">
        <v>0.34246575342465752</v>
      </c>
      <c r="AA322" s="1">
        <v>2</v>
      </c>
      <c r="AB322" s="3">
        <v>1.3698630136986301</v>
      </c>
      <c r="AC322" s="1">
        <v>0</v>
      </c>
      <c r="AD322" s="3">
        <v>0</v>
      </c>
      <c r="AE322" s="1">
        <v>1</v>
      </c>
      <c r="AF322" s="3">
        <v>0.68493150684931503</v>
      </c>
      <c r="AG322" s="1">
        <v>5</v>
      </c>
      <c r="AH322" s="3">
        <v>3.4246575342465753</v>
      </c>
      <c r="AI322" s="1" t="s">
        <v>22</v>
      </c>
      <c r="AJ322" s="1">
        <v>2</v>
      </c>
      <c r="AK322" s="3">
        <v>1.3698630136986301</v>
      </c>
      <c r="AL322" s="1">
        <v>2</v>
      </c>
      <c r="AM322" s="3">
        <v>1.3698630136986301</v>
      </c>
      <c r="AN322" s="1" t="s">
        <v>22</v>
      </c>
      <c r="AO322" s="1">
        <v>6</v>
      </c>
      <c r="AP322" s="3">
        <v>4.10958904109589</v>
      </c>
      <c r="AQ322" s="3">
        <v>1</v>
      </c>
      <c r="AR322" s="3">
        <v>0.68493150684931503</v>
      </c>
      <c r="AS322" s="1">
        <v>6</v>
      </c>
      <c r="AT322" s="3">
        <v>4.10958904109589</v>
      </c>
      <c r="AU322" s="1">
        <v>1</v>
      </c>
      <c r="AV322" s="3">
        <v>0.68493150684931503</v>
      </c>
      <c r="AW322" s="1" t="s">
        <v>22</v>
      </c>
      <c r="AX322" s="1">
        <v>18</v>
      </c>
      <c r="AY322" s="1">
        <v>0</v>
      </c>
      <c r="AZ322" s="1">
        <v>0</v>
      </c>
      <c r="BA322" s="1">
        <v>36</v>
      </c>
      <c r="BB322" s="1">
        <v>0</v>
      </c>
      <c r="BC322" s="1">
        <v>0</v>
      </c>
      <c r="BD322" s="1">
        <v>0</v>
      </c>
      <c r="BE322" s="54">
        <v>0</v>
      </c>
      <c r="BF322" s="6">
        <v>17</v>
      </c>
      <c r="BG322" s="6">
        <v>23</v>
      </c>
      <c r="BH322" s="1">
        <v>1</v>
      </c>
      <c r="BI322" s="6">
        <v>10</v>
      </c>
      <c r="BJ322" s="1" t="s">
        <v>22</v>
      </c>
      <c r="BK322" s="1" t="s">
        <v>22</v>
      </c>
      <c r="BL322" s="1" t="s">
        <v>22</v>
      </c>
      <c r="BM322" s="1" t="s">
        <v>22</v>
      </c>
      <c r="BN322" t="s">
        <v>24</v>
      </c>
      <c r="BO322">
        <v>1752</v>
      </c>
    </row>
    <row r="323" spans="1:67" x14ac:dyDescent="0.25">
      <c r="A323" s="4">
        <f>INT(Tabela1[[#This Row],[Data e Hora]])</f>
        <v>46296</v>
      </c>
      <c r="B323" s="4" t="str">
        <f>UPPER(TEXT(Tabela1[[#This Row],[Data Corrigida]],"MMM"))</f>
        <v>OUT</v>
      </c>
      <c r="C323" s="57" t="s">
        <v>943</v>
      </c>
      <c r="D323" t="s">
        <v>944</v>
      </c>
      <c r="E323" t="s">
        <v>945</v>
      </c>
      <c r="F323" t="s">
        <v>19</v>
      </c>
      <c r="G323" s="5" t="s">
        <v>946</v>
      </c>
      <c r="H323" t="s">
        <v>20</v>
      </c>
      <c r="I323" t="s">
        <v>33</v>
      </c>
      <c r="J323" s="1">
        <v>156</v>
      </c>
      <c r="K323" s="1">
        <v>2978</v>
      </c>
      <c r="L323" t="s">
        <v>34</v>
      </c>
      <c r="M323" s="1">
        <v>20</v>
      </c>
      <c r="N323" s="48">
        <v>20</v>
      </c>
      <c r="O323" s="1">
        <v>6</v>
      </c>
      <c r="P323" s="48">
        <v>6</v>
      </c>
      <c r="Q323" s="1">
        <v>0</v>
      </c>
      <c r="R323" s="1">
        <v>0</v>
      </c>
      <c r="S323" s="1">
        <v>3</v>
      </c>
      <c r="T323" s="1">
        <v>3</v>
      </c>
      <c r="U323" s="1">
        <v>1</v>
      </c>
      <c r="V323" s="1">
        <v>1</v>
      </c>
      <c r="W323" s="1">
        <v>0</v>
      </c>
      <c r="X323" s="1">
        <v>0</v>
      </c>
      <c r="Y323" s="1">
        <v>3</v>
      </c>
      <c r="Z323" s="3">
        <v>0.96153846153846156</v>
      </c>
      <c r="AA323" s="1">
        <v>2</v>
      </c>
      <c r="AB323" s="3">
        <v>1.2820512820512819</v>
      </c>
      <c r="AC323" s="1">
        <v>0</v>
      </c>
      <c r="AD323" s="3">
        <v>0</v>
      </c>
      <c r="AE323" s="1">
        <v>4</v>
      </c>
      <c r="AF323" s="3">
        <v>2.5641025641025639</v>
      </c>
      <c r="AG323" s="1">
        <v>2</v>
      </c>
      <c r="AH323" s="3">
        <v>1.2820512820512819</v>
      </c>
      <c r="AI323" s="1" t="s">
        <v>22</v>
      </c>
      <c r="AJ323" s="1">
        <v>0</v>
      </c>
      <c r="AK323" s="3">
        <v>0</v>
      </c>
      <c r="AL323" s="1">
        <v>0</v>
      </c>
      <c r="AM323" s="3">
        <v>0</v>
      </c>
      <c r="AN323" s="1" t="s">
        <v>22</v>
      </c>
      <c r="AO323" s="1">
        <v>5</v>
      </c>
      <c r="AP323" s="3">
        <v>3.2051282051282048</v>
      </c>
      <c r="AQ323" s="3">
        <v>6</v>
      </c>
      <c r="AR323" s="3">
        <v>3.8461538461538463</v>
      </c>
      <c r="AS323" s="1">
        <v>6</v>
      </c>
      <c r="AT323" s="3">
        <v>3.8461538461538463</v>
      </c>
      <c r="AU323" s="1">
        <v>0</v>
      </c>
      <c r="AV323" s="3">
        <v>0</v>
      </c>
      <c r="AW323" s="1" t="s">
        <v>22</v>
      </c>
      <c r="AX323" s="1">
        <v>16</v>
      </c>
      <c r="AY323" s="1">
        <v>0</v>
      </c>
      <c r="AZ323" s="1">
        <v>0</v>
      </c>
      <c r="BA323" s="1">
        <v>32</v>
      </c>
      <c r="BB323" s="1">
        <v>0</v>
      </c>
      <c r="BC323" s="1">
        <v>0</v>
      </c>
      <c r="BD323" s="1">
        <v>0</v>
      </c>
      <c r="BE323" s="54">
        <v>0</v>
      </c>
      <c r="BF323" s="6">
        <v>20</v>
      </c>
      <c r="BG323" s="6">
        <v>18</v>
      </c>
      <c r="BH323" s="1">
        <v>0</v>
      </c>
      <c r="BI323" s="6">
        <v>0</v>
      </c>
      <c r="BJ323" s="1" t="s">
        <v>22</v>
      </c>
      <c r="BK323" s="6">
        <v>0</v>
      </c>
      <c r="BL323" s="6">
        <v>0</v>
      </c>
      <c r="BM323" s="1">
        <v>0</v>
      </c>
      <c r="BN323" t="s">
        <v>24</v>
      </c>
      <c r="BO323">
        <v>3187</v>
      </c>
    </row>
    <row r="324" spans="1:67" x14ac:dyDescent="0.25">
      <c r="A324" s="4">
        <f>INT(Tabela1[[#This Row],[Data e Hora]])</f>
        <v>46296</v>
      </c>
      <c r="B324" s="4" t="str">
        <f>UPPER(TEXT(Tabela1[[#This Row],[Data Corrigida]],"MMM"))</f>
        <v>OUT</v>
      </c>
      <c r="C324" t="s">
        <v>947</v>
      </c>
      <c r="D324" t="s">
        <v>948</v>
      </c>
      <c r="E324" t="s">
        <v>945</v>
      </c>
      <c r="F324" t="s">
        <v>19</v>
      </c>
      <c r="G324" s="5" t="s">
        <v>946</v>
      </c>
      <c r="H324" t="s">
        <v>20</v>
      </c>
      <c r="I324" t="s">
        <v>33</v>
      </c>
      <c r="J324" s="1">
        <v>140</v>
      </c>
      <c r="K324" s="1">
        <v>3071</v>
      </c>
      <c r="L324" t="s">
        <v>34</v>
      </c>
      <c r="M324" s="1">
        <v>10</v>
      </c>
      <c r="N324" s="48">
        <v>10</v>
      </c>
      <c r="O324" s="1">
        <v>6</v>
      </c>
      <c r="P324" s="48">
        <v>6</v>
      </c>
      <c r="Q324" s="1">
        <v>0</v>
      </c>
      <c r="R324" s="1">
        <v>0</v>
      </c>
      <c r="S324" s="1">
        <v>3</v>
      </c>
      <c r="T324" s="1">
        <v>3</v>
      </c>
      <c r="U324" s="1">
        <v>1</v>
      </c>
      <c r="V324" s="1">
        <v>1</v>
      </c>
      <c r="W324" s="1">
        <v>1</v>
      </c>
      <c r="X324" s="1">
        <v>5</v>
      </c>
      <c r="Y324" s="1">
        <v>4</v>
      </c>
      <c r="Z324" s="3">
        <v>1.4285714285714286</v>
      </c>
      <c r="AA324" s="1">
        <v>3</v>
      </c>
      <c r="AB324" s="3">
        <v>2.1428571428571428</v>
      </c>
      <c r="AC324" s="1">
        <v>0</v>
      </c>
      <c r="AD324" s="3">
        <v>0</v>
      </c>
      <c r="AE324" s="1">
        <v>1</v>
      </c>
      <c r="AF324" s="3">
        <v>0.7142857142857143</v>
      </c>
      <c r="AG324" s="1">
        <v>2</v>
      </c>
      <c r="AH324" s="3">
        <v>1.4285714285714286</v>
      </c>
      <c r="AI324" s="1" t="s">
        <v>22</v>
      </c>
      <c r="AJ324" s="1">
        <v>0</v>
      </c>
      <c r="AK324" s="3">
        <v>0</v>
      </c>
      <c r="AL324" s="1">
        <v>0</v>
      </c>
      <c r="AM324" s="3">
        <v>0</v>
      </c>
      <c r="AN324" s="1" t="s">
        <v>22</v>
      </c>
      <c r="AO324" s="1">
        <v>5</v>
      </c>
      <c r="AP324" s="3">
        <v>3.5714285714285712</v>
      </c>
      <c r="AQ324" s="3">
        <v>5</v>
      </c>
      <c r="AR324" s="3">
        <v>3.5714285714285712</v>
      </c>
      <c r="AS324" s="1">
        <v>8</v>
      </c>
      <c r="AT324" s="3">
        <v>5.7142857142857144</v>
      </c>
      <c r="AU324" s="1">
        <v>0</v>
      </c>
      <c r="AV324" s="3">
        <v>0</v>
      </c>
      <c r="AW324" s="1" t="s">
        <v>22</v>
      </c>
      <c r="AX324" s="1">
        <v>19</v>
      </c>
      <c r="AY324" s="1">
        <v>0</v>
      </c>
      <c r="AZ324" s="1">
        <v>0</v>
      </c>
      <c r="BA324" s="1">
        <v>38</v>
      </c>
      <c r="BB324" s="1">
        <v>0</v>
      </c>
      <c r="BC324" s="1">
        <v>0</v>
      </c>
      <c r="BD324" s="1">
        <v>1</v>
      </c>
      <c r="BE324" s="54">
        <v>0.7142857142857143</v>
      </c>
      <c r="BF324" s="6">
        <v>21</v>
      </c>
      <c r="BG324" s="6">
        <v>18</v>
      </c>
      <c r="BH324" s="1">
        <v>0</v>
      </c>
      <c r="BI324" s="6">
        <v>0</v>
      </c>
      <c r="BJ324" s="1" t="s">
        <v>22</v>
      </c>
      <c r="BK324" s="6">
        <v>4</v>
      </c>
      <c r="BL324" s="6">
        <v>0</v>
      </c>
      <c r="BM324" s="1">
        <v>0</v>
      </c>
      <c r="BN324" t="s">
        <v>24</v>
      </c>
      <c r="BO324">
        <v>9122</v>
      </c>
    </row>
    <row r="325" spans="1:67" x14ac:dyDescent="0.25">
      <c r="A325" s="4">
        <f>INT(Tabela1[[#This Row],[Data e Hora]])</f>
        <v>46296</v>
      </c>
      <c r="B325" s="4" t="str">
        <f>UPPER(TEXT(Tabela1[[#This Row],[Data Corrigida]],"MMM"))</f>
        <v>OUT</v>
      </c>
      <c r="C325" t="s">
        <v>949</v>
      </c>
      <c r="D325" t="s">
        <v>950</v>
      </c>
      <c r="E325" t="s">
        <v>945</v>
      </c>
      <c r="F325" t="s">
        <v>19</v>
      </c>
      <c r="G325" s="5" t="s">
        <v>946</v>
      </c>
      <c r="H325" t="s">
        <v>20</v>
      </c>
      <c r="I325" t="s">
        <v>33</v>
      </c>
      <c r="J325" s="1">
        <v>99</v>
      </c>
      <c r="K325" s="1">
        <v>3008</v>
      </c>
      <c r="L325" t="s">
        <v>34</v>
      </c>
      <c r="M325" s="1">
        <v>8</v>
      </c>
      <c r="N325" s="48">
        <v>8</v>
      </c>
      <c r="O325" s="1">
        <v>5</v>
      </c>
      <c r="P325" s="48">
        <v>5</v>
      </c>
      <c r="Q325" s="1">
        <v>0</v>
      </c>
      <c r="R325" s="1">
        <v>0</v>
      </c>
      <c r="S325" s="1">
        <v>2</v>
      </c>
      <c r="T325" s="1">
        <v>2</v>
      </c>
      <c r="U325" s="1">
        <v>1</v>
      </c>
      <c r="V325" s="1">
        <v>1</v>
      </c>
      <c r="W325" s="1">
        <v>0</v>
      </c>
      <c r="X325" s="1">
        <v>0</v>
      </c>
      <c r="Y325" s="1">
        <v>5</v>
      </c>
      <c r="Z325" s="3">
        <v>2.5252525252525251</v>
      </c>
      <c r="AA325" s="1">
        <v>1</v>
      </c>
      <c r="AB325" s="3">
        <v>1.0101010101010102</v>
      </c>
      <c r="AC325" s="1">
        <v>0</v>
      </c>
      <c r="AD325" s="3">
        <v>0</v>
      </c>
      <c r="AE325" s="1">
        <v>1</v>
      </c>
      <c r="AF325" s="3">
        <v>1.0101010101010102</v>
      </c>
      <c r="AG325" s="1">
        <v>1</v>
      </c>
      <c r="AH325" s="3">
        <v>1.0101010101010102</v>
      </c>
      <c r="AI325" s="1" t="s">
        <v>22</v>
      </c>
      <c r="AJ325" s="1">
        <v>0</v>
      </c>
      <c r="AK325" s="3">
        <v>0</v>
      </c>
      <c r="AL325" s="1">
        <v>0</v>
      </c>
      <c r="AM325" s="3">
        <v>0</v>
      </c>
      <c r="AN325" s="1" t="s">
        <v>22</v>
      </c>
      <c r="AO325" s="1">
        <v>3</v>
      </c>
      <c r="AP325" s="3">
        <v>3.0303030303030303</v>
      </c>
      <c r="AQ325" s="3">
        <v>5</v>
      </c>
      <c r="AR325" s="3">
        <v>5.0505050505050502</v>
      </c>
      <c r="AS325" s="1">
        <v>4</v>
      </c>
      <c r="AT325" s="3">
        <v>4.0404040404040407</v>
      </c>
      <c r="AU325" s="1">
        <v>0</v>
      </c>
      <c r="AV325" s="3">
        <v>0</v>
      </c>
      <c r="AW325" s="1" t="s">
        <v>22</v>
      </c>
      <c r="AX325" s="1">
        <v>16</v>
      </c>
      <c r="AY325" s="1">
        <v>0</v>
      </c>
      <c r="AZ325" s="1">
        <v>2</v>
      </c>
      <c r="BA325" s="1">
        <v>32</v>
      </c>
      <c r="BB325" s="1">
        <v>0</v>
      </c>
      <c r="BC325" s="1">
        <v>4</v>
      </c>
      <c r="BD325" s="1">
        <v>0</v>
      </c>
      <c r="BE325" s="54">
        <v>0</v>
      </c>
      <c r="BF325" s="6">
        <v>18</v>
      </c>
      <c r="BG325" s="6">
        <v>10</v>
      </c>
      <c r="BH325" s="1">
        <v>0</v>
      </c>
      <c r="BI325" s="6">
        <v>0</v>
      </c>
      <c r="BJ325" s="1" t="s">
        <v>22</v>
      </c>
      <c r="BK325" s="6">
        <v>2</v>
      </c>
      <c r="BL325" s="6">
        <v>0</v>
      </c>
      <c r="BM325" s="1">
        <v>0</v>
      </c>
      <c r="BN325" t="s">
        <v>24</v>
      </c>
      <c r="BO325">
        <v>9337</v>
      </c>
    </row>
    <row r="326" spans="1:67" x14ac:dyDescent="0.25">
      <c r="A326" s="4">
        <f>INT(Tabela1[[#This Row],[Data e Hora]])</f>
        <v>46296</v>
      </c>
      <c r="B326" s="4" t="str">
        <f>UPPER(TEXT(Tabela1[[#This Row],[Data Corrigida]],"MMM"))</f>
        <v>OUT</v>
      </c>
      <c r="C326" t="s">
        <v>951</v>
      </c>
      <c r="D326" t="s">
        <v>952</v>
      </c>
      <c r="E326" t="s">
        <v>953</v>
      </c>
      <c r="F326" t="s">
        <v>19</v>
      </c>
      <c r="G326" s="5" t="s">
        <v>946</v>
      </c>
      <c r="H326" t="s">
        <v>20</v>
      </c>
      <c r="I326" t="s">
        <v>21</v>
      </c>
      <c r="J326" s="1">
        <v>161</v>
      </c>
      <c r="K326" s="1">
        <v>2980</v>
      </c>
      <c r="L326" t="s">
        <v>23</v>
      </c>
      <c r="M326" s="1">
        <v>51</v>
      </c>
      <c r="N326" s="48">
        <v>51</v>
      </c>
      <c r="O326" s="1">
        <v>33</v>
      </c>
      <c r="P326" s="48">
        <v>33</v>
      </c>
      <c r="Q326" s="1">
        <v>0</v>
      </c>
      <c r="R326" s="1">
        <v>0</v>
      </c>
      <c r="S326" s="1">
        <v>1</v>
      </c>
      <c r="T326" s="1">
        <v>1</v>
      </c>
      <c r="U326" s="1">
        <v>1</v>
      </c>
      <c r="V326" s="1">
        <v>1</v>
      </c>
      <c r="W326" s="1">
        <v>0</v>
      </c>
      <c r="X326" s="1">
        <v>0</v>
      </c>
      <c r="Y326" s="1">
        <v>5</v>
      </c>
      <c r="Z326" s="3">
        <v>1.5527950310559007</v>
      </c>
      <c r="AA326" s="1">
        <v>3</v>
      </c>
      <c r="AB326" s="3">
        <v>1.8633540372670807</v>
      </c>
      <c r="AC326" s="1">
        <v>0</v>
      </c>
      <c r="AD326" s="3">
        <v>0</v>
      </c>
      <c r="AE326" s="1">
        <v>1</v>
      </c>
      <c r="AF326" s="3">
        <v>0.6211180124223602</v>
      </c>
      <c r="AG326" s="1">
        <v>7</v>
      </c>
      <c r="AH326" s="3">
        <v>4.3478260869565215</v>
      </c>
      <c r="AI326" s="1" t="s">
        <v>22</v>
      </c>
      <c r="AJ326" s="1">
        <v>3</v>
      </c>
      <c r="AK326" s="3">
        <v>1.8633540372670807</v>
      </c>
      <c r="AL326" s="1">
        <v>3</v>
      </c>
      <c r="AM326" s="3">
        <v>1.8633540372670807</v>
      </c>
      <c r="AN326" s="1" t="s">
        <v>22</v>
      </c>
      <c r="AO326" s="1">
        <v>7</v>
      </c>
      <c r="AP326" s="3">
        <v>4.3478260869565215</v>
      </c>
      <c r="AQ326" s="3">
        <v>3</v>
      </c>
      <c r="AR326" s="3">
        <v>1.8633540372670807</v>
      </c>
      <c r="AS326" s="1">
        <v>8</v>
      </c>
      <c r="AT326" s="3">
        <v>4.9689440993788816</v>
      </c>
      <c r="AU326" s="1">
        <v>1</v>
      </c>
      <c r="AV326" s="3">
        <v>0.6211180124223602</v>
      </c>
      <c r="AW326" s="1" t="s">
        <v>22</v>
      </c>
      <c r="AX326" s="1">
        <v>19</v>
      </c>
      <c r="AY326" s="1">
        <v>0</v>
      </c>
      <c r="AZ326" s="1">
        <v>0</v>
      </c>
      <c r="BA326" s="1">
        <v>38</v>
      </c>
      <c r="BB326" s="1">
        <v>0</v>
      </c>
      <c r="BC326" s="1">
        <v>0</v>
      </c>
      <c r="BD326" s="1">
        <v>1</v>
      </c>
      <c r="BE326" s="54">
        <v>0.6211180124223602</v>
      </c>
      <c r="BF326" s="6">
        <v>20</v>
      </c>
      <c r="BG326" s="6">
        <v>21</v>
      </c>
      <c r="BH326" s="1">
        <v>1</v>
      </c>
      <c r="BI326" s="6">
        <v>10</v>
      </c>
      <c r="BJ326" s="1" t="s">
        <v>22</v>
      </c>
      <c r="BK326" s="6">
        <v>1</v>
      </c>
      <c r="BL326" s="6">
        <v>0</v>
      </c>
      <c r="BM326" s="1">
        <v>1</v>
      </c>
      <c r="BN326" t="s">
        <v>24</v>
      </c>
      <c r="BO326">
        <v>3491</v>
      </c>
    </row>
    <row r="327" spans="1:67" x14ac:dyDescent="0.25">
      <c r="A327" s="4">
        <f>INT(Tabela1[[#This Row],[Data e Hora]])</f>
        <v>46296</v>
      </c>
      <c r="B327" s="4" t="str">
        <f>UPPER(TEXT(Tabela1[[#This Row],[Data Corrigida]],"MMM"))</f>
        <v>OUT</v>
      </c>
      <c r="C327" t="s">
        <v>954</v>
      </c>
      <c r="D327" t="s">
        <v>955</v>
      </c>
      <c r="E327" t="s">
        <v>953</v>
      </c>
      <c r="F327" t="s">
        <v>19</v>
      </c>
      <c r="G327" s="5" t="s">
        <v>946</v>
      </c>
      <c r="H327" t="s">
        <v>20</v>
      </c>
      <c r="I327" t="s">
        <v>21</v>
      </c>
      <c r="J327" s="1">
        <v>161</v>
      </c>
      <c r="K327" s="1">
        <v>2972</v>
      </c>
      <c r="L327" t="s">
        <v>23</v>
      </c>
      <c r="M327" s="1">
        <v>53</v>
      </c>
      <c r="N327" s="48">
        <v>53</v>
      </c>
      <c r="O327" s="1">
        <v>29</v>
      </c>
      <c r="P327" s="48">
        <v>28.999999999999996</v>
      </c>
      <c r="Q327" s="1">
        <v>0</v>
      </c>
      <c r="R327" s="1">
        <v>0</v>
      </c>
      <c r="S327" s="1">
        <v>3</v>
      </c>
      <c r="T327" s="1">
        <v>3</v>
      </c>
      <c r="U327" s="1">
        <v>1</v>
      </c>
      <c r="V327" s="1">
        <v>1</v>
      </c>
      <c r="W327" s="1">
        <v>0</v>
      </c>
      <c r="X327" s="1">
        <v>0</v>
      </c>
      <c r="Y327" s="1">
        <v>4</v>
      </c>
      <c r="Z327" s="3">
        <v>1.2422360248447204</v>
      </c>
      <c r="AA327" s="1">
        <v>3</v>
      </c>
      <c r="AB327" s="3">
        <v>1.8633540372670807</v>
      </c>
      <c r="AC327" s="1">
        <v>0</v>
      </c>
      <c r="AD327" s="3">
        <v>0</v>
      </c>
      <c r="AE327" s="1" t="s">
        <v>22</v>
      </c>
      <c r="AF327" s="3" t="s">
        <v>22</v>
      </c>
      <c r="AG327" s="1">
        <v>6</v>
      </c>
      <c r="AH327" s="3">
        <v>3.7267080745341614</v>
      </c>
      <c r="AI327" s="1" t="s">
        <v>22</v>
      </c>
      <c r="AJ327" s="1">
        <v>2</v>
      </c>
      <c r="AK327" s="3">
        <v>1.2422360248447204</v>
      </c>
      <c r="AL327" s="1">
        <v>3</v>
      </c>
      <c r="AM327" s="3">
        <v>1.8633540372670807</v>
      </c>
      <c r="AN327" s="1" t="s">
        <v>22</v>
      </c>
      <c r="AO327" s="1">
        <v>6</v>
      </c>
      <c r="AP327" s="3">
        <v>3.7267080745341614</v>
      </c>
      <c r="AQ327" s="3">
        <v>2</v>
      </c>
      <c r="AR327" s="3">
        <v>1.2422360248447204</v>
      </c>
      <c r="AS327" s="1">
        <v>7</v>
      </c>
      <c r="AT327" s="3">
        <v>4.3478260869565215</v>
      </c>
      <c r="AU327" s="1">
        <v>1</v>
      </c>
      <c r="AV327" s="3">
        <v>0.6211180124223602</v>
      </c>
      <c r="AW327" s="1" t="s">
        <v>22</v>
      </c>
      <c r="AX327" s="1">
        <v>19</v>
      </c>
      <c r="AY327" s="1">
        <v>3</v>
      </c>
      <c r="AZ327" s="1">
        <v>3</v>
      </c>
      <c r="BA327" s="1">
        <v>38</v>
      </c>
      <c r="BB327" s="1">
        <v>6</v>
      </c>
      <c r="BC327" s="1">
        <v>6</v>
      </c>
      <c r="BD327" s="1">
        <v>1</v>
      </c>
      <c r="BE327" s="54">
        <v>0.6211180124223602</v>
      </c>
      <c r="BF327" s="6">
        <v>22</v>
      </c>
      <c r="BG327" s="6">
        <v>19</v>
      </c>
      <c r="BH327" s="1">
        <v>1</v>
      </c>
      <c r="BI327" s="6">
        <v>10</v>
      </c>
      <c r="BJ327" s="1" t="s">
        <v>22</v>
      </c>
      <c r="BK327" s="6">
        <v>0</v>
      </c>
      <c r="BL327" s="6">
        <v>0</v>
      </c>
      <c r="BM327" s="1">
        <v>2</v>
      </c>
      <c r="BN327" t="s">
        <v>24</v>
      </c>
      <c r="BO327">
        <v>2032</v>
      </c>
    </row>
    <row r="328" spans="1:67" x14ac:dyDescent="0.25">
      <c r="A328" s="4">
        <f>INT(Tabela1[[#This Row],[Data e Hora]])</f>
        <v>46296</v>
      </c>
      <c r="B328" s="4" t="str">
        <f>UPPER(TEXT(Tabela1[[#This Row],[Data Corrigida]],"MMM"))</f>
        <v>OUT</v>
      </c>
      <c r="C328" t="s">
        <v>956</v>
      </c>
      <c r="D328" t="s">
        <v>957</v>
      </c>
      <c r="E328" t="s">
        <v>953</v>
      </c>
      <c r="F328" t="s">
        <v>19</v>
      </c>
      <c r="G328" s="5" t="s">
        <v>946</v>
      </c>
      <c r="H328" t="s">
        <v>20</v>
      </c>
      <c r="I328" t="s">
        <v>21</v>
      </c>
      <c r="J328" s="1">
        <v>161</v>
      </c>
      <c r="K328" s="1">
        <v>2968</v>
      </c>
      <c r="L328" t="s">
        <v>23</v>
      </c>
      <c r="M328" s="1">
        <v>51</v>
      </c>
      <c r="N328" s="48">
        <v>51</v>
      </c>
      <c r="O328" s="1">
        <v>27</v>
      </c>
      <c r="P328" s="48">
        <v>27</v>
      </c>
      <c r="Q328" s="1">
        <v>0</v>
      </c>
      <c r="R328" s="1">
        <v>0</v>
      </c>
      <c r="S328" s="1">
        <v>3</v>
      </c>
      <c r="T328" s="1">
        <v>3</v>
      </c>
      <c r="U328" s="1">
        <v>1</v>
      </c>
      <c r="V328" s="1">
        <v>1</v>
      </c>
      <c r="W328" s="1">
        <v>1</v>
      </c>
      <c r="X328" s="1">
        <v>5</v>
      </c>
      <c r="Y328" s="1">
        <v>6</v>
      </c>
      <c r="Z328" s="3">
        <v>1.8633540372670807</v>
      </c>
      <c r="AA328" s="1">
        <v>3</v>
      </c>
      <c r="AB328" s="3">
        <v>1.8633540372670807</v>
      </c>
      <c r="AC328" s="1">
        <v>0</v>
      </c>
      <c r="AD328" s="3">
        <v>0</v>
      </c>
      <c r="AE328" s="1">
        <v>0</v>
      </c>
      <c r="AF328" s="3">
        <v>0</v>
      </c>
      <c r="AG328" s="1">
        <v>5</v>
      </c>
      <c r="AH328" s="3">
        <v>3.1055900621118013</v>
      </c>
      <c r="AI328" s="1" t="s">
        <v>22</v>
      </c>
      <c r="AJ328" s="1">
        <v>3</v>
      </c>
      <c r="AK328" s="3">
        <v>1.8633540372670807</v>
      </c>
      <c r="AL328" s="1">
        <v>3</v>
      </c>
      <c r="AM328" s="3">
        <v>1.8633540372670807</v>
      </c>
      <c r="AN328" s="1" t="s">
        <v>22</v>
      </c>
      <c r="AO328" s="1">
        <v>8</v>
      </c>
      <c r="AP328" s="3">
        <v>4.9689440993788816</v>
      </c>
      <c r="AQ328" s="3">
        <v>2</v>
      </c>
      <c r="AR328" s="3">
        <v>1.2422360248447204</v>
      </c>
      <c r="AS328" s="1">
        <v>7</v>
      </c>
      <c r="AT328" s="3">
        <v>4.3478260869565215</v>
      </c>
      <c r="AU328" s="1">
        <v>1</v>
      </c>
      <c r="AV328" s="3">
        <v>0.6211180124223602</v>
      </c>
      <c r="AW328" s="1" t="s">
        <v>22</v>
      </c>
      <c r="AX328" s="1">
        <v>19</v>
      </c>
      <c r="AY328" s="1">
        <v>0</v>
      </c>
      <c r="AZ328" s="1">
        <v>0</v>
      </c>
      <c r="BA328" s="1">
        <v>38</v>
      </c>
      <c r="BB328" s="1">
        <v>0</v>
      </c>
      <c r="BC328" s="1">
        <v>0</v>
      </c>
      <c r="BD328" s="1">
        <v>0</v>
      </c>
      <c r="BE328" s="54">
        <v>0</v>
      </c>
      <c r="BF328" s="6">
        <v>21</v>
      </c>
      <c r="BG328" s="6">
        <v>18</v>
      </c>
      <c r="BH328" s="1">
        <v>1</v>
      </c>
      <c r="BI328" s="6">
        <v>10</v>
      </c>
      <c r="BJ328" s="1" t="s">
        <v>22</v>
      </c>
      <c r="BK328" s="6">
        <v>0</v>
      </c>
      <c r="BL328" s="6">
        <v>0</v>
      </c>
      <c r="BM328" s="1">
        <v>1</v>
      </c>
      <c r="BN328" t="s">
        <v>24</v>
      </c>
      <c r="BO328">
        <v>2405</v>
      </c>
    </row>
    <row r="329" spans="1:67" x14ac:dyDescent="0.25">
      <c r="A329" s="4">
        <f>INT(Tabela1[[#This Row],[Data e Hora]])</f>
        <v>46296</v>
      </c>
      <c r="B329" s="4" t="str">
        <f>UPPER(TEXT(Tabela1[[#This Row],[Data Corrigida]],"MMM"))</f>
        <v>OUT</v>
      </c>
      <c r="C329" t="s">
        <v>958</v>
      </c>
      <c r="D329" t="s">
        <v>959</v>
      </c>
      <c r="E329" t="s">
        <v>960</v>
      </c>
      <c r="F329" t="s">
        <v>19</v>
      </c>
      <c r="G329" s="5" t="s">
        <v>946</v>
      </c>
      <c r="H329" t="s">
        <v>20</v>
      </c>
      <c r="I329" t="s">
        <v>21</v>
      </c>
      <c r="J329" s="1">
        <v>161</v>
      </c>
      <c r="K329" s="1">
        <v>2945</v>
      </c>
      <c r="L329" t="s">
        <v>23</v>
      </c>
      <c r="M329" s="1">
        <v>42</v>
      </c>
      <c r="N329" s="48">
        <v>42</v>
      </c>
      <c r="O329" s="1">
        <v>20</v>
      </c>
      <c r="P329" s="48">
        <v>20</v>
      </c>
      <c r="Q329" s="1">
        <v>0</v>
      </c>
      <c r="R329" s="1">
        <v>0</v>
      </c>
      <c r="S329" s="1">
        <v>2</v>
      </c>
      <c r="T329" s="1">
        <v>2</v>
      </c>
      <c r="U329" s="1">
        <v>0</v>
      </c>
      <c r="V329" s="1">
        <v>0</v>
      </c>
      <c r="W329" s="1">
        <v>0</v>
      </c>
      <c r="X329" s="1">
        <v>0</v>
      </c>
      <c r="Y329" s="1">
        <v>4</v>
      </c>
      <c r="Z329" s="3">
        <v>1.2422360248447204</v>
      </c>
      <c r="AA329" s="1">
        <v>2</v>
      </c>
      <c r="AB329" s="3">
        <v>1.2422360248447204</v>
      </c>
      <c r="AC329" s="1">
        <v>0</v>
      </c>
      <c r="AD329" s="3">
        <v>0</v>
      </c>
      <c r="AE329" s="1">
        <v>0</v>
      </c>
      <c r="AF329" s="3">
        <v>0</v>
      </c>
      <c r="AG329" s="1">
        <v>5</v>
      </c>
      <c r="AH329" s="3">
        <v>3.1055900621118013</v>
      </c>
      <c r="AI329" s="1" t="s">
        <v>22</v>
      </c>
      <c r="AJ329" s="1">
        <v>3</v>
      </c>
      <c r="AK329" s="3">
        <v>1.8633540372670807</v>
      </c>
      <c r="AL329" s="1">
        <v>2</v>
      </c>
      <c r="AM329" s="3">
        <v>1.2422360248447204</v>
      </c>
      <c r="AN329" s="1" t="s">
        <v>22</v>
      </c>
      <c r="AO329" s="1">
        <v>5</v>
      </c>
      <c r="AP329" s="3">
        <v>3.1055900621118013</v>
      </c>
      <c r="AQ329" s="3">
        <v>2</v>
      </c>
      <c r="AR329" s="3">
        <v>1.2422360248447204</v>
      </c>
      <c r="AS329" s="1">
        <v>6</v>
      </c>
      <c r="AT329" s="3">
        <v>3.7267080745341614</v>
      </c>
      <c r="AU329" s="1">
        <v>1</v>
      </c>
      <c r="AV329" s="3">
        <v>0.6211180124223602</v>
      </c>
      <c r="AW329" s="1" t="s">
        <v>22</v>
      </c>
      <c r="AX329" s="1">
        <v>19</v>
      </c>
      <c r="AY329" s="1">
        <v>0</v>
      </c>
      <c r="AZ329" s="1">
        <v>0</v>
      </c>
      <c r="BA329" s="1">
        <v>38</v>
      </c>
      <c r="BB329" s="1">
        <v>0</v>
      </c>
      <c r="BC329" s="1">
        <v>0</v>
      </c>
      <c r="BD329" s="1">
        <v>0</v>
      </c>
      <c r="BE329" s="54">
        <v>0</v>
      </c>
      <c r="BF329" s="6">
        <v>23</v>
      </c>
      <c r="BG329" s="6">
        <v>19</v>
      </c>
      <c r="BH329" s="1">
        <v>1</v>
      </c>
      <c r="BI329" s="6">
        <v>10</v>
      </c>
      <c r="BJ329" s="1" t="s">
        <v>22</v>
      </c>
      <c r="BK329" s="1" t="s">
        <v>22</v>
      </c>
      <c r="BL329" s="1" t="s">
        <v>22</v>
      </c>
      <c r="BM329" s="1" t="s">
        <v>22</v>
      </c>
      <c r="BN329" t="s">
        <v>24</v>
      </c>
      <c r="BO329">
        <v>1682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2026-10-02T13:21:05Z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