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slicers/slicer2.xml" ContentType="application/vnd.ms-excel.slicer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53222"/>
  <mc:AlternateContent xmlns:mc="http://schemas.openxmlformats.org/markup-compatibility/2006">
    <mc:Choice Requires="x15">
      <x15ac:absPath xmlns:x15ac="http://schemas.microsoft.com/office/spreadsheetml/2010/11/ac" url="\\brspoa173m\compartilhamentos ocultos$\Custo Fixo Guapiaçu\2026\08. Pilar Gestão\3 - Controle de Processo\"/>
    </mc:Choice>
  </mc:AlternateContent>
  <bookViews>
    <workbookView xWindow="0" yWindow="0" windowWidth="28800" windowHeight="12432"/>
  </bookViews>
  <sheets>
    <sheet name="IC Quente" sheetId="2" r:id="rId1"/>
    <sheet name="BD - 022 Evisceração" sheetId="1" r:id="rId2"/>
    <sheet name="Apoio" sheetId="3" r:id="rId3"/>
  </sheets>
  <definedNames>
    <definedName name="_xlnm._FilterDatabase" localSheetId="0" hidden="1">'IC Quente'!$B$3:$Q$163</definedName>
    <definedName name="_xlnm.Print_Area" localSheetId="0">'IC Quente'!$A$3:$AM$83</definedName>
    <definedName name="SegmentaçãodeDados_Item_1">#N/A</definedName>
    <definedName name="SegmentaçãodeDados_Mês">#N/A</definedName>
    <definedName name="SegmentaçãodeDados_Tipo">#N/A</definedName>
    <definedName name="_xlnm.Print_Titles" localSheetId="0">'IC Quente'!$C:$D,'IC Quente'!$3:$5</definedName>
  </definedNames>
  <calcPr calcId="152511"/>
  <pivotCaches>
    <pivotCache cacheId="16" r:id="rId4"/>
  </pivotCaches>
  <extLst>
    <ext xmlns:x14="http://schemas.microsoft.com/office/spreadsheetml/2009/9/main" uri="{BBE1A952-AA13-448e-AADC-164F8A28A991}">
      <x14:slicerCaches>
        <x14:slicerCache r:id="rId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59" i="1" l="1"/>
  <c r="A360" i="1"/>
  <c r="A361" i="1"/>
  <c r="A362" i="1"/>
  <c r="B362" i="1" s="1"/>
  <c r="A363" i="1"/>
  <c r="A364" i="1"/>
  <c r="A365" i="1"/>
  <c r="A366" i="1"/>
  <c r="A367" i="1"/>
  <c r="A368" i="1"/>
  <c r="B368" i="1" s="1"/>
  <c r="A369" i="1"/>
  <c r="B369" i="1" s="1"/>
  <c r="A370" i="1"/>
  <c r="B370" i="1" s="1"/>
  <c r="A371" i="1"/>
  <c r="A372" i="1"/>
  <c r="B359" i="1"/>
  <c r="B360" i="1"/>
  <c r="B361" i="1"/>
  <c r="B363" i="1"/>
  <c r="B364" i="1"/>
  <c r="B365" i="1"/>
  <c r="B366" i="1"/>
  <c r="B367" i="1"/>
  <c r="B371" i="1"/>
  <c r="B372" i="1"/>
  <c r="A341" i="1" l="1"/>
  <c r="A342" i="1"/>
  <c r="A343" i="1"/>
  <c r="A344" i="1"/>
  <c r="A345" i="1"/>
  <c r="A346" i="1"/>
  <c r="A347" i="1"/>
  <c r="B347" i="1" s="1"/>
  <c r="A348" i="1"/>
  <c r="B348" i="1" s="1"/>
  <c r="A349" i="1"/>
  <c r="B349" i="1" s="1"/>
  <c r="A350" i="1"/>
  <c r="B350" i="1" s="1"/>
  <c r="A351" i="1"/>
  <c r="B351" i="1" s="1"/>
  <c r="A352" i="1"/>
  <c r="B352" i="1" s="1"/>
  <c r="A353" i="1"/>
  <c r="A354" i="1"/>
  <c r="A355" i="1"/>
  <c r="A356" i="1"/>
  <c r="A357" i="1"/>
  <c r="B357" i="1" s="1"/>
  <c r="A358" i="1"/>
  <c r="B358" i="1" s="1"/>
  <c r="B341" i="1"/>
  <c r="B342" i="1"/>
  <c r="B343" i="1"/>
  <c r="B344" i="1"/>
  <c r="B345" i="1"/>
  <c r="B346" i="1"/>
  <c r="B353" i="1"/>
  <c r="B354" i="1"/>
  <c r="B355" i="1"/>
  <c r="B356" i="1"/>
  <c r="A330" i="1" l="1"/>
  <c r="A331" i="1"/>
  <c r="B331" i="1" s="1"/>
  <c r="A332" i="1"/>
  <c r="B332" i="1" s="1"/>
  <c r="A333" i="1"/>
  <c r="B333" i="1" s="1"/>
  <c r="A334" i="1"/>
  <c r="B334" i="1" s="1"/>
  <c r="A335" i="1"/>
  <c r="B335" i="1" s="1"/>
  <c r="A336" i="1"/>
  <c r="B336" i="1" s="1"/>
  <c r="A337" i="1"/>
  <c r="B337" i="1" s="1"/>
  <c r="A338" i="1"/>
  <c r="B338" i="1" s="1"/>
  <c r="A339" i="1"/>
  <c r="B339" i="1" s="1"/>
  <c r="A340" i="1"/>
  <c r="B340" i="1" s="1"/>
  <c r="B330" i="1"/>
  <c r="A323" i="1" l="1"/>
  <c r="B323" i="1" s="1"/>
  <c r="A324" i="1"/>
  <c r="B324" i="1" s="1"/>
  <c r="A325" i="1"/>
  <c r="B325" i="1" s="1"/>
  <c r="A326" i="1"/>
  <c r="B326" i="1" s="1"/>
  <c r="A327" i="1"/>
  <c r="B327" i="1" s="1"/>
  <c r="A328" i="1"/>
  <c r="B328" i="1" s="1"/>
  <c r="A329" i="1"/>
  <c r="B329" i="1" s="1"/>
  <c r="A316" i="1" l="1"/>
  <c r="B316" i="1" s="1"/>
  <c r="A317" i="1"/>
  <c r="B317" i="1" s="1"/>
  <c r="A318" i="1"/>
  <c r="B318" i="1" s="1"/>
  <c r="A319" i="1"/>
  <c r="B319" i="1" s="1"/>
  <c r="A320" i="1"/>
  <c r="B320" i="1" s="1"/>
  <c r="A321" i="1"/>
  <c r="B321" i="1" s="1"/>
  <c r="A322" i="1"/>
  <c r="B322" i="1" s="1"/>
  <c r="A309" i="1" l="1"/>
  <c r="B309" i="1" s="1"/>
  <c r="A310" i="1"/>
  <c r="B310" i="1" s="1"/>
  <c r="A311" i="1"/>
  <c r="B311" i="1" s="1"/>
  <c r="A312" i="1"/>
  <c r="B312" i="1" s="1"/>
  <c r="A313" i="1"/>
  <c r="B313" i="1" s="1"/>
  <c r="A314" i="1"/>
  <c r="B314" i="1" s="1"/>
  <c r="A315" i="1"/>
  <c r="B315" i="1" s="1"/>
  <c r="A302" i="1" l="1"/>
  <c r="B302" i="1" s="1"/>
  <c r="A303" i="1"/>
  <c r="B303" i="1" s="1"/>
  <c r="A304" i="1"/>
  <c r="B304" i="1" s="1"/>
  <c r="A305" i="1"/>
  <c r="B305" i="1" s="1"/>
  <c r="A306" i="1"/>
  <c r="B306" i="1" s="1"/>
  <c r="A307" i="1"/>
  <c r="B307" i="1" s="1"/>
  <c r="A308" i="1"/>
  <c r="B308" i="1" s="1"/>
  <c r="A288" i="1" l="1"/>
  <c r="B288" i="1" s="1"/>
  <c r="A289" i="1"/>
  <c r="B289" i="1" s="1"/>
  <c r="A290" i="1"/>
  <c r="B290" i="1" s="1"/>
  <c r="A291" i="1"/>
  <c r="B291" i="1" s="1"/>
  <c r="A292" i="1"/>
  <c r="B292" i="1" s="1"/>
  <c r="A293" i="1"/>
  <c r="B293" i="1" s="1"/>
  <c r="A294" i="1"/>
  <c r="B294" i="1" s="1"/>
  <c r="A295" i="1"/>
  <c r="B295" i="1" s="1"/>
  <c r="A296" i="1"/>
  <c r="B296" i="1" s="1"/>
  <c r="A297" i="1"/>
  <c r="B297" i="1" s="1"/>
  <c r="A298" i="1"/>
  <c r="B298" i="1" s="1"/>
  <c r="A299" i="1"/>
  <c r="B299" i="1" s="1"/>
  <c r="A300" i="1"/>
  <c r="B300" i="1" s="1"/>
  <c r="A301" i="1"/>
  <c r="B301" i="1" s="1"/>
  <c r="A285" i="1" l="1"/>
  <c r="B285" i="1" s="1"/>
  <c r="A286" i="1"/>
  <c r="B286" i="1" s="1"/>
  <c r="A287" i="1"/>
  <c r="B287" i="1" s="1"/>
  <c r="A274" i="1" l="1"/>
  <c r="A275" i="1"/>
  <c r="B275" i="1" s="1"/>
  <c r="A276" i="1"/>
  <c r="B276" i="1" s="1"/>
  <c r="A277" i="1"/>
  <c r="B277" i="1" s="1"/>
  <c r="A278" i="1"/>
  <c r="B278" i="1" s="1"/>
  <c r="A279" i="1"/>
  <c r="B279" i="1" s="1"/>
  <c r="A280" i="1"/>
  <c r="B280" i="1" s="1"/>
  <c r="A281" i="1"/>
  <c r="B281" i="1" s="1"/>
  <c r="A282" i="1"/>
  <c r="B282" i="1" s="1"/>
  <c r="A283" i="1"/>
  <c r="B283" i="1" s="1"/>
  <c r="A284" i="1"/>
  <c r="B284" i="1" s="1"/>
  <c r="B274" i="1"/>
  <c r="A267" i="1" l="1"/>
  <c r="B267" i="1" s="1"/>
  <c r="A268" i="1"/>
  <c r="B268" i="1" s="1"/>
  <c r="A269" i="1"/>
  <c r="B269" i="1" s="1"/>
  <c r="A270" i="1"/>
  <c r="B270" i="1" s="1"/>
  <c r="A271" i="1"/>
  <c r="B271" i="1" s="1"/>
  <c r="A272" i="1"/>
  <c r="B272" i="1" s="1"/>
  <c r="A273" i="1"/>
  <c r="B273" i="1" s="1"/>
  <c r="A254" i="1" l="1"/>
  <c r="A255" i="1"/>
  <c r="A256" i="1"/>
  <c r="B256" i="1" s="1"/>
  <c r="A257" i="1"/>
  <c r="B257" i="1" s="1"/>
  <c r="A258" i="1"/>
  <c r="B258" i="1" s="1"/>
  <c r="A259" i="1"/>
  <c r="B259" i="1" s="1"/>
  <c r="A260" i="1"/>
  <c r="B260" i="1" s="1"/>
  <c r="A261" i="1"/>
  <c r="B261" i="1" s="1"/>
  <c r="A262" i="1"/>
  <c r="B262" i="1" s="1"/>
  <c r="A263" i="1"/>
  <c r="B263" i="1" s="1"/>
  <c r="A264" i="1"/>
  <c r="B264" i="1" s="1"/>
  <c r="A265" i="1"/>
  <c r="B265" i="1" s="1"/>
  <c r="A266" i="1"/>
  <c r="B254" i="1"/>
  <c r="B255" i="1"/>
  <c r="B266" i="1"/>
  <c r="A247" i="1" l="1"/>
  <c r="A248" i="1"/>
  <c r="A249" i="1"/>
  <c r="B249" i="1" s="1"/>
  <c r="A250" i="1"/>
  <c r="A251" i="1"/>
  <c r="B251" i="1" s="1"/>
  <c r="A252" i="1"/>
  <c r="B252" i="1" s="1"/>
  <c r="A253" i="1"/>
  <c r="B253" i="1" s="1"/>
  <c r="B247" i="1"/>
  <c r="B248" i="1"/>
  <c r="B250" i="1"/>
  <c r="A240" i="1" l="1"/>
  <c r="B240" i="1" s="1"/>
  <c r="A241" i="1"/>
  <c r="B241" i="1" s="1"/>
  <c r="A242" i="1"/>
  <c r="B242" i="1" s="1"/>
  <c r="A243" i="1"/>
  <c r="B243" i="1" s="1"/>
  <c r="A244" i="1"/>
  <c r="B244" i="1" s="1"/>
  <c r="A245" i="1"/>
  <c r="B245" i="1" s="1"/>
  <c r="A246" i="1"/>
  <c r="B246" i="1" s="1"/>
  <c r="C81" i="2" l="1"/>
  <c r="B81" i="2" s="1"/>
  <c r="A81" i="2" s="1"/>
  <c r="A233" i="1"/>
  <c r="B233" i="1" s="1"/>
  <c r="A234" i="1"/>
  <c r="B234" i="1" s="1"/>
  <c r="A235" i="1"/>
  <c r="B235" i="1" s="1"/>
  <c r="A236" i="1"/>
  <c r="B236" i="1" s="1"/>
  <c r="A237" i="1"/>
  <c r="B237" i="1" s="1"/>
  <c r="A238" i="1"/>
  <c r="B238" i="1" s="1"/>
  <c r="A239" i="1"/>
  <c r="B239" i="1" s="1"/>
  <c r="B82" i="2" l="1"/>
  <c r="A82" i="2" s="1"/>
  <c r="A219" i="1"/>
  <c r="B219" i="1" s="1"/>
  <c r="A220" i="1"/>
  <c r="B220" i="1" s="1"/>
  <c r="A221" i="1"/>
  <c r="B221" i="1" s="1"/>
  <c r="A222" i="1"/>
  <c r="B222" i="1" s="1"/>
  <c r="A223" i="1"/>
  <c r="B223" i="1" s="1"/>
  <c r="A224" i="1"/>
  <c r="B224" i="1" s="1"/>
  <c r="A225" i="1"/>
  <c r="B225" i="1" s="1"/>
  <c r="A226" i="1"/>
  <c r="B226" i="1" s="1"/>
  <c r="A227" i="1"/>
  <c r="B227" i="1" s="1"/>
  <c r="A228" i="1"/>
  <c r="B228" i="1" s="1"/>
  <c r="A229" i="1"/>
  <c r="B229" i="1" s="1"/>
  <c r="A230" i="1"/>
  <c r="B230" i="1" s="1"/>
  <c r="A231" i="1"/>
  <c r="B231" i="1" s="1"/>
  <c r="A232" i="1"/>
  <c r="B232" i="1" s="1"/>
  <c r="B83" i="2" l="1"/>
  <c r="A83" i="2" s="1"/>
  <c r="A205" i="1"/>
  <c r="A206" i="1"/>
  <c r="A207" i="1"/>
  <c r="B207" i="1" s="1"/>
  <c r="A208" i="1"/>
  <c r="B208" i="1" s="1"/>
  <c r="A209" i="1"/>
  <c r="B209" i="1" s="1"/>
  <c r="A210" i="1"/>
  <c r="B210" i="1" s="1"/>
  <c r="A211" i="1"/>
  <c r="B211" i="1" s="1"/>
  <c r="A212" i="1"/>
  <c r="B212" i="1" s="1"/>
  <c r="A213" i="1"/>
  <c r="B213" i="1" s="1"/>
  <c r="A214" i="1"/>
  <c r="B214" i="1" s="1"/>
  <c r="A215" i="1"/>
  <c r="B215" i="1" s="1"/>
  <c r="A216" i="1"/>
  <c r="B216" i="1" s="1"/>
  <c r="A217" i="1"/>
  <c r="A218" i="1"/>
  <c r="B218" i="1" s="1"/>
  <c r="B205" i="1"/>
  <c r="B206" i="1"/>
  <c r="B217" i="1"/>
  <c r="A198" i="1" l="1"/>
  <c r="B198" i="1" s="1"/>
  <c r="A199" i="1"/>
  <c r="B199" i="1" s="1"/>
  <c r="A200" i="1"/>
  <c r="B200" i="1" s="1"/>
  <c r="A201" i="1"/>
  <c r="B201" i="1" s="1"/>
  <c r="A202" i="1"/>
  <c r="B202" i="1" s="1"/>
  <c r="A203" i="1"/>
  <c r="B203" i="1" s="1"/>
  <c r="A204" i="1"/>
  <c r="B204" i="1" s="1"/>
  <c r="A184" i="1" l="1"/>
  <c r="B184" i="1" s="1"/>
  <c r="A185" i="1"/>
  <c r="B185" i="1" s="1"/>
  <c r="A186" i="1"/>
  <c r="B186" i="1" s="1"/>
  <c r="A187" i="1"/>
  <c r="B187" i="1" s="1"/>
  <c r="A188" i="1"/>
  <c r="B188" i="1" s="1"/>
  <c r="A189" i="1"/>
  <c r="B189" i="1" s="1"/>
  <c r="A190" i="1"/>
  <c r="B190" i="1" s="1"/>
  <c r="A191" i="1"/>
  <c r="B191" i="1" s="1"/>
  <c r="A192" i="1"/>
  <c r="B192" i="1" s="1"/>
  <c r="A193" i="1"/>
  <c r="B193" i="1" s="1"/>
  <c r="A194" i="1"/>
  <c r="B194" i="1" s="1"/>
  <c r="A195" i="1"/>
  <c r="B195" i="1" s="1"/>
  <c r="A196" i="1"/>
  <c r="B196" i="1" s="1"/>
  <c r="A197" i="1"/>
  <c r="B197" i="1" s="1"/>
  <c r="A181" i="1" l="1"/>
  <c r="B181" i="1" s="1"/>
  <c r="A182" i="1"/>
  <c r="B182" i="1" s="1"/>
  <c r="A183" i="1"/>
  <c r="B183" i="1" s="1"/>
  <c r="A170" i="1" l="1"/>
  <c r="B170" i="1" s="1"/>
  <c r="A171" i="1"/>
  <c r="B171" i="1" s="1"/>
  <c r="A172" i="1"/>
  <c r="B172" i="1" s="1"/>
  <c r="A173" i="1"/>
  <c r="B173" i="1" s="1"/>
  <c r="A174" i="1"/>
  <c r="B174" i="1" s="1"/>
  <c r="A175" i="1"/>
  <c r="B175" i="1" s="1"/>
  <c r="A176" i="1"/>
  <c r="B176" i="1" s="1"/>
  <c r="A177" i="1"/>
  <c r="B177" i="1" s="1"/>
  <c r="A178" i="1"/>
  <c r="B178" i="1" s="1"/>
  <c r="A179" i="1"/>
  <c r="B179" i="1" s="1"/>
  <c r="A180" i="1"/>
  <c r="B180" i="1" s="1"/>
  <c r="A163" i="1" l="1"/>
  <c r="B163" i="1" s="1"/>
  <c r="A164" i="1"/>
  <c r="B164" i="1" s="1"/>
  <c r="A165" i="1"/>
  <c r="B165" i="1" s="1"/>
  <c r="A166" i="1"/>
  <c r="B166" i="1" s="1"/>
  <c r="A167" i="1"/>
  <c r="B167" i="1" s="1"/>
  <c r="A168" i="1"/>
  <c r="B168" i="1" s="1"/>
  <c r="A169" i="1"/>
  <c r="B169" i="1" s="1"/>
  <c r="A156" i="1" l="1"/>
  <c r="B156" i="1" s="1"/>
  <c r="A157" i="1"/>
  <c r="B157" i="1" s="1"/>
  <c r="A158" i="1"/>
  <c r="B158" i="1" s="1"/>
  <c r="A159" i="1"/>
  <c r="B159" i="1" s="1"/>
  <c r="A160" i="1"/>
  <c r="B160" i="1" s="1"/>
  <c r="A161" i="1"/>
  <c r="B161" i="1" s="1"/>
  <c r="A162" i="1"/>
  <c r="B162" i="1" s="1"/>
  <c r="A149" i="1" l="1"/>
  <c r="B149" i="1" s="1"/>
  <c r="A150" i="1"/>
  <c r="B150" i="1" s="1"/>
  <c r="A151" i="1"/>
  <c r="B151" i="1" s="1"/>
  <c r="A152" i="1"/>
  <c r="B152" i="1" s="1"/>
  <c r="A153" i="1"/>
  <c r="B153" i="1" s="1"/>
  <c r="A154" i="1"/>
  <c r="B154" i="1" s="1"/>
  <c r="A155" i="1"/>
  <c r="B155" i="1" s="1"/>
  <c r="A142" i="1" l="1"/>
  <c r="B142" i="1" s="1"/>
  <c r="A143" i="1"/>
  <c r="B143" i="1" s="1"/>
  <c r="A144" i="1"/>
  <c r="B144" i="1" s="1"/>
  <c r="A145" i="1"/>
  <c r="B145" i="1" s="1"/>
  <c r="A146" i="1"/>
  <c r="B146" i="1" s="1"/>
  <c r="A147" i="1"/>
  <c r="B147" i="1" s="1"/>
  <c r="A148" i="1"/>
  <c r="B148" i="1" s="1"/>
  <c r="A135" i="1" l="1"/>
  <c r="B135" i="1" s="1"/>
  <c r="A136" i="1"/>
  <c r="B136" i="1" s="1"/>
  <c r="A137" i="1"/>
  <c r="B137" i="1" s="1"/>
  <c r="A138" i="1"/>
  <c r="B138" i="1" s="1"/>
  <c r="A139" i="1"/>
  <c r="B139" i="1" s="1"/>
  <c r="A140" i="1"/>
  <c r="B140" i="1" s="1"/>
  <c r="A141" i="1"/>
  <c r="B141" i="1" s="1"/>
  <c r="A128" i="1" l="1"/>
  <c r="B128" i="1" s="1"/>
  <c r="A129" i="1"/>
  <c r="B129" i="1" s="1"/>
  <c r="A130" i="1"/>
  <c r="B130" i="1" s="1"/>
  <c r="A131" i="1"/>
  <c r="B131" i="1" s="1"/>
  <c r="A132" i="1"/>
  <c r="B132" i="1" s="1"/>
  <c r="A133" i="1"/>
  <c r="B133" i="1" s="1"/>
  <c r="A134" i="1"/>
  <c r="B134" i="1" s="1"/>
  <c r="A121" i="1" l="1"/>
  <c r="B121" i="1" s="1"/>
  <c r="A122" i="1"/>
  <c r="B122" i="1" s="1"/>
  <c r="A123" i="1"/>
  <c r="B123" i="1" s="1"/>
  <c r="A124" i="1"/>
  <c r="B124" i="1" s="1"/>
  <c r="A125" i="1"/>
  <c r="B125" i="1" s="1"/>
  <c r="A126" i="1"/>
  <c r="B126" i="1" s="1"/>
  <c r="A127" i="1"/>
  <c r="B127" i="1" s="1"/>
  <c r="Z52" i="1" l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3" i="1"/>
  <c r="Z2" i="1"/>
  <c r="Z24" i="1"/>
  <c r="A114" i="1"/>
  <c r="B114" i="1" s="1"/>
  <c r="A115" i="1"/>
  <c r="B115" i="1" s="1"/>
  <c r="A116" i="1"/>
  <c r="B116" i="1" s="1"/>
  <c r="A117" i="1"/>
  <c r="B117" i="1" s="1"/>
  <c r="A118" i="1"/>
  <c r="B118" i="1" s="1"/>
  <c r="A119" i="1"/>
  <c r="B119" i="1" s="1"/>
  <c r="A120" i="1"/>
  <c r="B120" i="1" s="1"/>
  <c r="A107" i="1" l="1"/>
  <c r="B107" i="1" s="1"/>
  <c r="A108" i="1"/>
  <c r="B108" i="1" s="1"/>
  <c r="A109" i="1"/>
  <c r="B109" i="1" s="1"/>
  <c r="A110" i="1"/>
  <c r="B110" i="1" s="1"/>
  <c r="A111" i="1"/>
  <c r="B111" i="1" s="1"/>
  <c r="A112" i="1"/>
  <c r="B112" i="1" s="1"/>
  <c r="A113" i="1"/>
  <c r="B113" i="1" s="1"/>
  <c r="A100" i="1" l="1"/>
  <c r="B100" i="1" s="1"/>
  <c r="A101" i="1"/>
  <c r="B101" i="1" s="1"/>
  <c r="A102" i="1"/>
  <c r="B102" i="1" s="1"/>
  <c r="A103" i="1"/>
  <c r="B103" i="1" s="1"/>
  <c r="A104" i="1"/>
  <c r="B104" i="1" s="1"/>
  <c r="A105" i="1"/>
  <c r="B105" i="1" s="1"/>
  <c r="A106" i="1"/>
  <c r="B106" i="1" s="1"/>
  <c r="AM3" i="2" l="1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A77" i="1"/>
  <c r="B77" i="1" s="1"/>
  <c r="A78" i="1"/>
  <c r="B78" i="1" s="1"/>
  <c r="A79" i="1"/>
  <c r="B79" i="1" s="1"/>
  <c r="A80" i="1"/>
  <c r="B80" i="1" s="1"/>
  <c r="A81" i="1"/>
  <c r="B81" i="1" s="1"/>
  <c r="A82" i="1"/>
  <c r="B82" i="1" s="1"/>
  <c r="A83" i="1"/>
  <c r="B83" i="1" s="1"/>
  <c r="A84" i="1"/>
  <c r="B84" i="1" s="1"/>
  <c r="A85" i="1"/>
  <c r="B85" i="1" s="1"/>
  <c r="A86" i="1"/>
  <c r="B86" i="1" s="1"/>
  <c r="A87" i="1"/>
  <c r="B87" i="1" s="1"/>
  <c r="A88" i="1"/>
  <c r="B88" i="1" s="1"/>
  <c r="A89" i="1"/>
  <c r="B89" i="1" s="1"/>
  <c r="A90" i="1"/>
  <c r="B90" i="1" s="1"/>
  <c r="A91" i="1"/>
  <c r="B91" i="1" s="1"/>
  <c r="A92" i="1"/>
  <c r="B92" i="1" s="1"/>
  <c r="A93" i="1"/>
  <c r="B93" i="1" s="1"/>
  <c r="A94" i="1"/>
  <c r="B94" i="1" s="1"/>
  <c r="A95" i="1"/>
  <c r="B95" i="1" s="1"/>
  <c r="A96" i="1"/>
  <c r="B96" i="1" s="1"/>
  <c r="A97" i="1"/>
  <c r="B97" i="1" s="1"/>
  <c r="A98" i="1"/>
  <c r="B98" i="1" s="1"/>
  <c r="A99" i="1"/>
  <c r="B99" i="1" s="1"/>
  <c r="N71" i="1" l="1"/>
  <c r="N72" i="1"/>
  <c r="N73" i="1"/>
  <c r="N74" i="1"/>
  <c r="N75" i="1"/>
  <c r="N76" i="1"/>
  <c r="P71" i="1"/>
  <c r="P72" i="1"/>
  <c r="P73" i="1"/>
  <c r="P74" i="1"/>
  <c r="P75" i="1"/>
  <c r="P76" i="1"/>
  <c r="Z71" i="1"/>
  <c r="Z72" i="1"/>
  <c r="Z73" i="1"/>
  <c r="Z74" i="1"/>
  <c r="Z75" i="1"/>
  <c r="Z76" i="1"/>
  <c r="A71" i="1"/>
  <c r="B71" i="1" s="1"/>
  <c r="A72" i="1"/>
  <c r="B72" i="1" s="1"/>
  <c r="A73" i="1"/>
  <c r="B73" i="1" s="1"/>
  <c r="A74" i="1"/>
  <c r="B74" i="1" s="1"/>
  <c r="A75" i="1"/>
  <c r="B75" i="1" s="1"/>
  <c r="A76" i="1"/>
  <c r="B76" i="1" s="1"/>
  <c r="A65" i="1" l="1"/>
  <c r="B65" i="1" s="1"/>
  <c r="A66" i="1"/>
  <c r="B66" i="1" s="1"/>
  <c r="A67" i="1"/>
  <c r="B67" i="1" s="1"/>
  <c r="A68" i="1"/>
  <c r="B68" i="1" s="1"/>
  <c r="A69" i="1"/>
  <c r="B69" i="1" s="1"/>
  <c r="A70" i="1"/>
  <c r="B70" i="1" s="1"/>
  <c r="C78" i="2" l="1"/>
  <c r="B78" i="2" s="1"/>
  <c r="N53" i="1"/>
  <c r="N54" i="1"/>
  <c r="N55" i="1"/>
  <c r="N56" i="1"/>
  <c r="N57" i="1"/>
  <c r="N58" i="1"/>
  <c r="N59" i="1"/>
  <c r="N60" i="1"/>
  <c r="N61" i="1"/>
  <c r="N62" i="1"/>
  <c r="N63" i="1"/>
  <c r="N64" i="1"/>
  <c r="P53" i="1"/>
  <c r="P54" i="1"/>
  <c r="P55" i="1"/>
  <c r="P56" i="1"/>
  <c r="P57" i="1"/>
  <c r="P58" i="1"/>
  <c r="P59" i="1"/>
  <c r="P60" i="1"/>
  <c r="P61" i="1"/>
  <c r="P62" i="1"/>
  <c r="P63" i="1"/>
  <c r="P64" i="1"/>
  <c r="A53" i="1"/>
  <c r="B53" i="1" s="1"/>
  <c r="A54" i="1"/>
  <c r="B54" i="1" s="1"/>
  <c r="A55" i="1"/>
  <c r="B55" i="1" s="1"/>
  <c r="A56" i="1"/>
  <c r="B56" i="1" s="1"/>
  <c r="A57" i="1"/>
  <c r="B57" i="1" s="1"/>
  <c r="A58" i="1"/>
  <c r="B58" i="1" s="1"/>
  <c r="A59" i="1"/>
  <c r="B59" i="1" s="1"/>
  <c r="A60" i="1"/>
  <c r="B60" i="1" s="1"/>
  <c r="A61" i="1"/>
  <c r="B61" i="1" s="1"/>
  <c r="A62" i="1"/>
  <c r="B62" i="1" s="1"/>
  <c r="A63" i="1"/>
  <c r="B63" i="1" s="1"/>
  <c r="A64" i="1"/>
  <c r="B64" i="1" s="1"/>
  <c r="A78" i="2" l="1"/>
  <c r="B79" i="2"/>
  <c r="C75" i="2"/>
  <c r="A79" i="2" l="1"/>
  <c r="B80" i="2"/>
  <c r="A80" i="2" s="1"/>
  <c r="C21" i="2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C9" i="2"/>
  <c r="C6" i="2"/>
  <c r="C72" i="2" l="1"/>
  <c r="C69" i="2"/>
  <c r="C66" i="2"/>
  <c r="C63" i="2"/>
  <c r="C60" i="2"/>
  <c r="C57" i="2"/>
  <c r="C54" i="2"/>
  <c r="C51" i="2"/>
  <c r="C48" i="2"/>
  <c r="C45" i="2"/>
  <c r="C42" i="2"/>
  <c r="C39" i="2"/>
  <c r="C36" i="2"/>
  <c r="C33" i="2"/>
  <c r="C30" i="2"/>
  <c r="C27" i="2"/>
  <c r="C24" i="2"/>
  <c r="C18" i="2"/>
  <c r="C15" i="2"/>
  <c r="C5" i="2"/>
  <c r="C12" i="2"/>
  <c r="C4" i="2"/>
  <c r="A32" i="1"/>
  <c r="B32" i="1" s="1"/>
  <c r="A33" i="1"/>
  <c r="B33" i="1" s="1"/>
  <c r="A34" i="1"/>
  <c r="B34" i="1" s="1"/>
  <c r="A35" i="1"/>
  <c r="B35" i="1" s="1"/>
  <c r="A36" i="1"/>
  <c r="B36" i="1" s="1"/>
  <c r="A37" i="1"/>
  <c r="B37" i="1" s="1"/>
  <c r="A38" i="1"/>
  <c r="B38" i="1" s="1"/>
  <c r="A39" i="1"/>
  <c r="B39" i="1" s="1"/>
  <c r="A40" i="1"/>
  <c r="B40" i="1" s="1"/>
  <c r="A41" i="1"/>
  <c r="B41" i="1" s="1"/>
  <c r="A42" i="1"/>
  <c r="B42" i="1" s="1"/>
  <c r="A43" i="1"/>
  <c r="B43" i="1" s="1"/>
  <c r="A44" i="1"/>
  <c r="B44" i="1" s="1"/>
  <c r="A45" i="1"/>
  <c r="B45" i="1" s="1"/>
  <c r="A46" i="1"/>
  <c r="B46" i="1" s="1"/>
  <c r="A47" i="1"/>
  <c r="B47" i="1" s="1"/>
  <c r="A48" i="1"/>
  <c r="B48" i="1" s="1"/>
  <c r="A49" i="1"/>
  <c r="B49" i="1" s="1"/>
  <c r="A50" i="1"/>
  <c r="B50" i="1" s="1"/>
  <c r="A51" i="1"/>
  <c r="B51" i="1" s="1"/>
  <c r="A52" i="1"/>
  <c r="B52" i="1" s="1"/>
  <c r="B5" i="2" l="1"/>
  <c r="B4" i="2"/>
  <c r="B63" i="2"/>
  <c r="B60" i="2"/>
  <c r="B57" i="2"/>
  <c r="B54" i="2"/>
  <c r="B51" i="2"/>
  <c r="B48" i="2"/>
  <c r="B45" i="2"/>
  <c r="B42" i="2"/>
  <c r="B39" i="2"/>
  <c r="B36" i="2"/>
  <c r="B33" i="2"/>
  <c r="B30" i="2"/>
  <c r="B27" i="2"/>
  <c r="B24" i="2"/>
  <c r="B21" i="2"/>
  <c r="B18" i="2"/>
  <c r="B15" i="2"/>
  <c r="B12" i="2"/>
  <c r="B9" i="2"/>
  <c r="B6" i="2"/>
  <c r="A18" i="2" l="1"/>
  <c r="A6" i="2"/>
  <c r="A12" i="2"/>
  <c r="A4" i="2"/>
  <c r="A5" i="2"/>
  <c r="B46" i="2"/>
  <c r="A45" i="2"/>
  <c r="B49" i="2"/>
  <c r="A48" i="2"/>
  <c r="B61" i="2"/>
  <c r="A60" i="2"/>
  <c r="B37" i="2"/>
  <c r="A36" i="2"/>
  <c r="B40" i="2"/>
  <c r="A39" i="2"/>
  <c r="B10" i="2"/>
  <c r="A9" i="2"/>
  <c r="B52" i="2"/>
  <c r="A51" i="2"/>
  <c r="B22" i="2"/>
  <c r="A21" i="2"/>
  <c r="B58" i="2"/>
  <c r="A57" i="2"/>
  <c r="B64" i="2"/>
  <c r="A63" i="2"/>
  <c r="B43" i="2"/>
  <c r="A42" i="2"/>
  <c r="B16" i="2"/>
  <c r="A15" i="2"/>
  <c r="B55" i="2"/>
  <c r="A54" i="2"/>
  <c r="B25" i="2"/>
  <c r="A24" i="2"/>
  <c r="B28" i="2"/>
  <c r="A27" i="2"/>
  <c r="B31" i="2"/>
  <c r="A30" i="2"/>
  <c r="B34" i="2"/>
  <c r="A33" i="2"/>
  <c r="B13" i="2"/>
  <c r="B7" i="2"/>
  <c r="B19" i="2"/>
  <c r="X3" i="2"/>
  <c r="W3" i="2"/>
  <c r="V3" i="2"/>
  <c r="U3" i="2"/>
  <c r="T3" i="2"/>
  <c r="S3" i="2"/>
  <c r="R3" i="2"/>
  <c r="A19" i="2" l="1"/>
  <c r="A7" i="2"/>
  <c r="A13" i="2"/>
  <c r="B11" i="2"/>
  <c r="A10" i="2"/>
  <c r="B17" i="2"/>
  <c r="A16" i="2"/>
  <c r="B41" i="2"/>
  <c r="A40" i="2"/>
  <c r="B32" i="2"/>
  <c r="A31" i="2"/>
  <c r="B59" i="2"/>
  <c r="A58" i="2"/>
  <c r="B35" i="2"/>
  <c r="A34" i="2"/>
  <c r="B65" i="2"/>
  <c r="A64" i="2"/>
  <c r="B38" i="2"/>
  <c r="A37" i="2"/>
  <c r="B29" i="2"/>
  <c r="A28" i="2"/>
  <c r="B62" i="2"/>
  <c r="A61" i="2"/>
  <c r="B44" i="2"/>
  <c r="A43" i="2"/>
  <c r="B26" i="2"/>
  <c r="A25" i="2"/>
  <c r="B23" i="2"/>
  <c r="A22" i="2"/>
  <c r="B50" i="2"/>
  <c r="A49" i="2"/>
  <c r="B56" i="2"/>
  <c r="A55" i="2"/>
  <c r="B53" i="2"/>
  <c r="A52" i="2"/>
  <c r="B47" i="2"/>
  <c r="A46" i="2"/>
  <c r="B20" i="2"/>
  <c r="B8" i="2"/>
  <c r="B14" i="2"/>
  <c r="A2" i="1"/>
  <c r="A3" i="1"/>
  <c r="A4" i="1"/>
  <c r="B4" i="1" s="1"/>
  <c r="A5" i="1"/>
  <c r="A6" i="1"/>
  <c r="B6" i="1" s="1"/>
  <c r="A7" i="1"/>
  <c r="B7" i="1" s="1"/>
  <c r="A8" i="1"/>
  <c r="B8" i="1" s="1"/>
  <c r="A9" i="1"/>
  <c r="B9" i="1" s="1"/>
  <c r="A10" i="1"/>
  <c r="B10" i="1" s="1"/>
  <c r="A11" i="1"/>
  <c r="B11" i="1" s="1"/>
  <c r="A12" i="1"/>
  <c r="B12" i="1" s="1"/>
  <c r="A13" i="1"/>
  <c r="B13" i="1" s="1"/>
  <c r="A14" i="1"/>
  <c r="B14" i="1" s="1"/>
  <c r="A15" i="1"/>
  <c r="B15" i="1" s="1"/>
  <c r="A16" i="1"/>
  <c r="B16" i="1" s="1"/>
  <c r="A17" i="1"/>
  <c r="B17" i="1" s="1"/>
  <c r="A18" i="1"/>
  <c r="B18" i="1" s="1"/>
  <c r="A19" i="1"/>
  <c r="B19" i="1" s="1"/>
  <c r="A20" i="1"/>
  <c r="B20" i="1" s="1"/>
  <c r="A21" i="1"/>
  <c r="B21" i="1" s="1"/>
  <c r="A22" i="1"/>
  <c r="B22" i="1" s="1"/>
  <c r="A23" i="1"/>
  <c r="B23" i="1" s="1"/>
  <c r="A24" i="1"/>
  <c r="B24" i="1" s="1"/>
  <c r="A25" i="1"/>
  <c r="B25" i="1" s="1"/>
  <c r="A26" i="1"/>
  <c r="B26" i="1" s="1"/>
  <c r="A27" i="1"/>
  <c r="B27" i="1" s="1"/>
  <c r="A28" i="1"/>
  <c r="B28" i="1" s="1"/>
  <c r="A29" i="1"/>
  <c r="B29" i="1" s="1"/>
  <c r="A30" i="1"/>
  <c r="B30" i="1" s="1"/>
  <c r="A31" i="1"/>
  <c r="B31" i="1" s="1"/>
  <c r="AF81" i="2"/>
  <c r="AI83" i="2"/>
  <c r="T81" i="2"/>
  <c r="Z81" i="2"/>
  <c r="U83" i="2"/>
  <c r="AB83" i="2"/>
  <c r="Y82" i="2"/>
  <c r="AK82" i="2"/>
  <c r="R82" i="2"/>
  <c r="AC83" i="2"/>
  <c r="AM83" i="2"/>
  <c r="AA81" i="2"/>
  <c r="AM81" i="2"/>
  <c r="AJ83" i="2"/>
  <c r="S81" i="2"/>
  <c r="AE82" i="2"/>
  <c r="AC81" i="2"/>
  <c r="AG83" i="2"/>
  <c r="AA82" i="2"/>
  <c r="W82" i="2"/>
  <c r="X81" i="2"/>
  <c r="AI81" i="2"/>
  <c r="AK81" i="2"/>
  <c r="AM82" i="2"/>
  <c r="Y83" i="2"/>
  <c r="AD82" i="2"/>
  <c r="U82" i="2"/>
  <c r="Z83" i="2"/>
  <c r="AH82" i="2"/>
  <c r="Z82" i="2"/>
  <c r="AH81" i="2"/>
  <c r="X82" i="2"/>
  <c r="V83" i="2"/>
  <c r="W83" i="2"/>
  <c r="X83" i="2"/>
  <c r="Y81" i="2"/>
  <c r="AK83" i="2"/>
  <c r="S82" i="2"/>
  <c r="AG82" i="2"/>
  <c r="AL82" i="2"/>
  <c r="AB82" i="2"/>
  <c r="AJ81" i="2"/>
  <c r="AJ82" i="2"/>
  <c r="AL81" i="2"/>
  <c r="AH83" i="2"/>
  <c r="V82" i="2"/>
  <c r="AF83" i="2"/>
  <c r="AI82" i="2"/>
  <c r="AD83" i="2"/>
  <c r="AE83" i="2"/>
  <c r="AE81" i="2"/>
  <c r="T83" i="2"/>
  <c r="T82" i="2"/>
  <c r="AC82" i="2"/>
  <c r="S83" i="2"/>
  <c r="AF82" i="2"/>
  <c r="W81" i="2"/>
  <c r="AA83" i="2"/>
  <c r="U81" i="2"/>
  <c r="R81" i="2"/>
  <c r="R83" i="2"/>
  <c r="AL83" i="2"/>
  <c r="AG81" i="2"/>
  <c r="AD81" i="2"/>
  <c r="AB81" i="2"/>
  <c r="V81" i="2"/>
  <c r="A53" i="2" l="1"/>
  <c r="A62" i="2"/>
  <c r="A32" i="2"/>
  <c r="A50" i="2"/>
  <c r="A38" i="2"/>
  <c r="A17" i="2"/>
  <c r="A44" i="2"/>
  <c r="A56" i="2"/>
  <c r="A14" i="2"/>
  <c r="A23" i="2"/>
  <c r="A11" i="2"/>
  <c r="A47" i="2"/>
  <c r="A8" i="2"/>
  <c r="A59" i="2"/>
  <c r="A29" i="2"/>
  <c r="A26" i="2"/>
  <c r="A35" i="2"/>
  <c r="A41" i="2"/>
  <c r="A20" i="2"/>
  <c r="B66" i="2"/>
  <c r="A65" i="2"/>
  <c r="B3" i="1"/>
  <c r="B69" i="2"/>
  <c r="B5" i="1"/>
  <c r="B2" i="1"/>
  <c r="K82" i="2"/>
  <c r="P82" i="2"/>
  <c r="E82" i="2"/>
  <c r="J83" i="2"/>
  <c r="N81" i="2"/>
  <c r="I82" i="2"/>
  <c r="K81" i="2"/>
  <c r="F81" i="2"/>
  <c r="G82" i="2"/>
  <c r="N83" i="2"/>
  <c r="I81" i="2"/>
  <c r="I83" i="2"/>
  <c r="P81" i="2"/>
  <c r="M82" i="2"/>
  <c r="H81" i="2"/>
  <c r="K83" i="2"/>
  <c r="J82" i="2"/>
  <c r="L82" i="2"/>
  <c r="M81" i="2"/>
  <c r="H83" i="2"/>
  <c r="O82" i="2"/>
  <c r="H82" i="2"/>
  <c r="E81" i="2"/>
  <c r="L81" i="2"/>
  <c r="G83" i="2"/>
  <c r="O81" i="2"/>
  <c r="F83" i="2"/>
  <c r="J81" i="2"/>
  <c r="G81" i="2"/>
  <c r="L83" i="2"/>
  <c r="M83" i="2"/>
  <c r="F82" i="2"/>
  <c r="P83" i="2"/>
  <c r="O83" i="2"/>
  <c r="E83" i="2"/>
  <c r="N82" i="2"/>
  <c r="A69" i="2" l="1"/>
  <c r="A66" i="2"/>
  <c r="B67" i="2"/>
  <c r="B70" i="2"/>
  <c r="A70" i="2" l="1"/>
  <c r="A67" i="2"/>
  <c r="B68" i="2"/>
  <c r="B71" i="2"/>
  <c r="A71" i="2" l="1"/>
  <c r="A68" i="2"/>
  <c r="B72" i="2"/>
  <c r="A72" i="2" l="1"/>
  <c r="B73" i="2"/>
  <c r="A73" i="2" l="1"/>
  <c r="B74" i="2"/>
  <c r="A74" i="2" l="1"/>
  <c r="B75" i="2"/>
  <c r="A75" i="2" l="1"/>
  <c r="B76" i="2"/>
  <c r="A76" i="2" l="1"/>
  <c r="B77" i="2"/>
  <c r="A77" i="2" l="1"/>
  <c r="AC32" i="2"/>
  <c r="AK41" i="2"/>
  <c r="F45" i="2"/>
  <c r="AH9" i="2"/>
  <c r="AC53" i="2"/>
  <c r="K24" i="2"/>
  <c r="F72" i="2"/>
  <c r="L35" i="2"/>
  <c r="AL43" i="2"/>
  <c r="AA22" i="2"/>
  <c r="J64" i="2"/>
  <c r="S11" i="2"/>
  <c r="Y45" i="2"/>
  <c r="AM71" i="2"/>
  <c r="AB37" i="2"/>
  <c r="O67" i="2"/>
  <c r="Y47" i="2"/>
  <c r="AB13" i="2"/>
  <c r="AL46" i="2"/>
  <c r="AH17" i="2"/>
  <c r="AK66" i="2"/>
  <c r="N41" i="2"/>
  <c r="S42" i="2"/>
  <c r="AJ63" i="2"/>
  <c r="Y30" i="2"/>
  <c r="E63" i="2"/>
  <c r="AA51" i="2"/>
  <c r="AI37" i="2"/>
  <c r="Y57" i="2"/>
  <c r="S24" i="2"/>
  <c r="P71" i="2"/>
  <c r="N40" i="2"/>
  <c r="U46" i="2"/>
  <c r="P44" i="2"/>
  <c r="X78" i="2"/>
  <c r="W43" i="2"/>
  <c r="Y25" i="2"/>
  <c r="X36" i="2"/>
  <c r="AJ58" i="2"/>
  <c r="U32" i="2"/>
  <c r="T70" i="2"/>
  <c r="AH68" i="2"/>
  <c r="L14" i="2"/>
  <c r="U43" i="2"/>
  <c r="E52" i="2"/>
  <c r="AL49" i="2"/>
  <c r="X44" i="2"/>
  <c r="X72" i="2"/>
  <c r="AE27" i="2"/>
  <c r="AJ32" i="2"/>
  <c r="M36" i="2"/>
  <c r="W14" i="2"/>
  <c r="P36" i="2"/>
  <c r="I36" i="2"/>
  <c r="AC11" i="2"/>
  <c r="AM34" i="2"/>
  <c r="T8" i="2"/>
  <c r="T56" i="2"/>
  <c r="AE37" i="2"/>
  <c r="Y9" i="2"/>
  <c r="L30" i="2"/>
  <c r="AF70" i="2"/>
  <c r="AH25" i="2"/>
  <c r="L70" i="2"/>
  <c r="I56" i="2"/>
  <c r="R73" i="2"/>
  <c r="AD68" i="2"/>
  <c r="AB9" i="2"/>
  <c r="X10" i="2"/>
  <c r="J68" i="2"/>
  <c r="AB24" i="2"/>
  <c r="Y56" i="2"/>
  <c r="M34" i="2"/>
  <c r="S5" i="2"/>
  <c r="N35" i="2"/>
  <c r="P16" i="2"/>
  <c r="E76" i="2"/>
  <c r="G52" i="2"/>
  <c r="J25" i="2"/>
  <c r="E58" i="2"/>
  <c r="AL74" i="2"/>
  <c r="U77" i="2"/>
  <c r="AJ26" i="2"/>
  <c r="F22" i="2"/>
  <c r="S40" i="2"/>
  <c r="AG42" i="2"/>
  <c r="N12" i="2"/>
  <c r="F64" i="2"/>
  <c r="G7" i="2"/>
  <c r="U53" i="2"/>
  <c r="M24" i="2"/>
  <c r="O41" i="2"/>
  <c r="AI10" i="2"/>
  <c r="V75" i="2"/>
  <c r="AH30" i="2"/>
  <c r="Z53" i="2"/>
  <c r="AM29" i="2"/>
  <c r="AH53" i="2"/>
  <c r="V57" i="2"/>
  <c r="O6" i="2"/>
  <c r="AC52" i="2"/>
  <c r="X42" i="2"/>
  <c r="K79" i="2"/>
  <c r="AJ52" i="2"/>
  <c r="G80" i="2"/>
  <c r="AM54" i="2"/>
  <c r="AM51" i="2"/>
  <c r="R53" i="2"/>
  <c r="AA14" i="2"/>
  <c r="M68" i="2"/>
  <c r="AG13" i="2"/>
  <c r="L15" i="2"/>
  <c r="AI74" i="2"/>
  <c r="AE7" i="2"/>
  <c r="G21" i="2"/>
  <c r="AE39" i="2"/>
  <c r="F78" i="2"/>
  <c r="P64" i="2"/>
  <c r="AL20" i="2"/>
  <c r="AL67" i="2"/>
  <c r="J45" i="2"/>
  <c r="AA28" i="2"/>
  <c r="G41" i="2"/>
  <c r="O52" i="2"/>
  <c r="P34" i="2"/>
  <c r="E39" i="2"/>
  <c r="X58" i="2"/>
  <c r="X28" i="2"/>
  <c r="AI50" i="2"/>
  <c r="AC69" i="2"/>
  <c r="O77" i="2"/>
  <c r="P52" i="2"/>
  <c r="H9" i="2"/>
  <c r="AC36" i="2"/>
  <c r="T37" i="2"/>
  <c r="AF62" i="2"/>
  <c r="T80" i="2"/>
  <c r="O30" i="2"/>
  <c r="J72" i="2"/>
  <c r="X16" i="2"/>
  <c r="AG30" i="2"/>
  <c r="E59" i="2"/>
  <c r="E16" i="2"/>
  <c r="E54" i="2"/>
  <c r="AJ24" i="2"/>
  <c r="G25" i="2"/>
  <c r="AH33" i="2"/>
  <c r="AH79" i="2"/>
  <c r="AH32" i="2"/>
  <c r="N22" i="2"/>
  <c r="AA78" i="2"/>
  <c r="V31" i="2"/>
  <c r="G23" i="2"/>
  <c r="AA37" i="2"/>
  <c r="M15" i="2"/>
  <c r="AH61" i="2"/>
  <c r="AH5" i="2"/>
  <c r="AB6" i="2"/>
  <c r="Z20" i="2"/>
  <c r="I54" i="2"/>
  <c r="W45" i="2"/>
  <c r="AC14" i="2"/>
  <c r="AD11" i="2"/>
  <c r="R43" i="2"/>
  <c r="AH49" i="2"/>
  <c r="N10" i="2"/>
  <c r="X76" i="2"/>
  <c r="M22" i="2"/>
  <c r="S9" i="2"/>
  <c r="AH48" i="2"/>
  <c r="AC42" i="2"/>
  <c r="AE8" i="2"/>
  <c r="K21" i="2"/>
  <c r="K6" i="2"/>
  <c r="AI14" i="2"/>
  <c r="I53" i="2"/>
  <c r="AL11" i="2"/>
  <c r="S75" i="2"/>
  <c r="I64" i="2"/>
  <c r="U57" i="2"/>
  <c r="AF8" i="2"/>
  <c r="AC8" i="2"/>
  <c r="T24" i="2"/>
  <c r="I62" i="2"/>
  <c r="AE25" i="2"/>
  <c r="AC55" i="2"/>
  <c r="AM80" i="2"/>
  <c r="H75" i="2"/>
  <c r="AC50" i="2"/>
  <c r="X26" i="2"/>
  <c r="AM68" i="2"/>
  <c r="R7" i="2"/>
  <c r="AJ53" i="2"/>
  <c r="AB18" i="2"/>
  <c r="AA75" i="2"/>
  <c r="K64" i="2"/>
  <c r="O10" i="2"/>
  <c r="Y35" i="2"/>
  <c r="AG39" i="2"/>
  <c r="P25" i="2"/>
  <c r="AG35" i="2"/>
  <c r="I49" i="2"/>
  <c r="P48" i="2"/>
  <c r="G5" i="2"/>
  <c r="T69" i="2"/>
  <c r="K12" i="2"/>
  <c r="W24" i="2"/>
  <c r="X47" i="2"/>
  <c r="S62" i="2"/>
  <c r="M27" i="2"/>
  <c r="AA19" i="2"/>
  <c r="S31" i="2"/>
  <c r="AD36" i="2"/>
  <c r="R72" i="2"/>
  <c r="H20" i="2"/>
  <c r="AD23" i="2"/>
  <c r="AG34" i="2"/>
  <c r="S48" i="2"/>
  <c r="F48" i="2"/>
  <c r="Y69" i="2"/>
  <c r="V40" i="2"/>
  <c r="AE30" i="2"/>
  <c r="N66" i="2"/>
  <c r="E78" i="2"/>
  <c r="K33" i="2"/>
  <c r="L54" i="2"/>
  <c r="L77" i="2"/>
  <c r="AL55" i="2"/>
  <c r="AI41" i="2"/>
  <c r="T20" i="2"/>
  <c r="E12" i="2"/>
  <c r="E34" i="2"/>
  <c r="J29" i="2"/>
  <c r="F7" i="2"/>
  <c r="AJ27" i="2"/>
  <c r="M18" i="2"/>
  <c r="L29" i="2"/>
  <c r="AD71" i="2"/>
  <c r="AM64" i="2"/>
  <c r="X32" i="2"/>
  <c r="AM55" i="2"/>
  <c r="U20" i="2"/>
  <c r="X77" i="2"/>
  <c r="N16" i="2"/>
  <c r="R31" i="2"/>
  <c r="T51" i="2"/>
  <c r="H44" i="2"/>
  <c r="AB25" i="2"/>
  <c r="Z12" i="2"/>
  <c r="T19" i="2"/>
  <c r="J10" i="2"/>
  <c r="R70" i="2"/>
  <c r="AJ18" i="2"/>
  <c r="X15" i="2"/>
  <c r="E55" i="2"/>
  <c r="S20" i="2"/>
  <c r="P45" i="2"/>
  <c r="E79" i="2"/>
  <c r="I77" i="2"/>
  <c r="AM11" i="2"/>
  <c r="AB26" i="2"/>
  <c r="L67" i="2"/>
  <c r="V67" i="2"/>
  <c r="AH37" i="2"/>
  <c r="AG48" i="2"/>
  <c r="W57" i="2"/>
  <c r="M70" i="2"/>
  <c r="AI39" i="2"/>
  <c r="N80" i="2"/>
  <c r="AK76" i="2"/>
  <c r="S28" i="2"/>
  <c r="AG63" i="2"/>
  <c r="J27" i="2"/>
  <c r="R64" i="2"/>
  <c r="AG36" i="2"/>
  <c r="AM58" i="2"/>
  <c r="W20" i="2"/>
  <c r="AD30" i="2"/>
  <c r="AJ11" i="2"/>
  <c r="K42" i="2"/>
  <c r="AK10" i="2"/>
  <c r="Y27" i="2"/>
  <c r="V64" i="2"/>
  <c r="AD29" i="2"/>
  <c r="P49" i="2"/>
  <c r="N58" i="2"/>
  <c r="AH19" i="2"/>
  <c r="AE62" i="2"/>
  <c r="AH59" i="2"/>
  <c r="AK71" i="2"/>
  <c r="V41" i="2"/>
  <c r="W10" i="2"/>
  <c r="H76" i="2"/>
  <c r="S67" i="2"/>
  <c r="S58" i="2"/>
  <c r="X34" i="2"/>
  <c r="AJ67" i="2"/>
  <c r="AE31" i="2"/>
  <c r="U67" i="2"/>
  <c r="H62" i="2"/>
  <c r="R77" i="2"/>
  <c r="AK45" i="2"/>
  <c r="H73" i="2"/>
  <c r="Y42" i="2"/>
  <c r="AM35" i="2"/>
  <c r="J7" i="2"/>
  <c r="Z31" i="2"/>
  <c r="AD76" i="2"/>
  <c r="AF58" i="2"/>
  <c r="I38" i="2"/>
  <c r="O79" i="2"/>
  <c r="M29" i="2"/>
  <c r="AF17" i="2"/>
  <c r="AE10" i="2"/>
  <c r="AA9" i="2"/>
  <c r="AF14" i="2"/>
  <c r="AC15" i="2"/>
  <c r="AA45" i="2"/>
  <c r="J32" i="2"/>
  <c r="Y66" i="2"/>
  <c r="J19" i="2"/>
  <c r="AG26" i="2"/>
  <c r="AK9" i="2"/>
  <c r="AC29" i="2"/>
  <c r="I60" i="2"/>
  <c r="K44" i="2"/>
  <c r="X59" i="2"/>
  <c r="T43" i="2"/>
  <c r="AF21" i="2"/>
  <c r="O43" i="2"/>
  <c r="AL44" i="2"/>
  <c r="U28" i="2"/>
  <c r="N11" i="2"/>
  <c r="AB70" i="2"/>
  <c r="AE34" i="2"/>
  <c r="AK36" i="2"/>
  <c r="F23" i="2"/>
  <c r="S61" i="2"/>
  <c r="K20" i="2"/>
  <c r="K67" i="2"/>
  <c r="AF31" i="2"/>
  <c r="AH45" i="2"/>
  <c r="R35" i="2"/>
  <c r="AA69" i="2"/>
  <c r="AH63" i="2"/>
  <c r="V54" i="2"/>
  <c r="K9" i="2"/>
  <c r="AF15" i="2"/>
  <c r="J47" i="2"/>
  <c r="T30" i="2"/>
  <c r="Z43" i="2"/>
  <c r="AH66" i="2"/>
  <c r="AM26" i="2"/>
  <c r="AE18" i="2"/>
  <c r="R22" i="2"/>
  <c r="G9" i="2"/>
  <c r="Y63" i="2"/>
  <c r="AF19" i="2"/>
  <c r="O11" i="2"/>
  <c r="AD31" i="2"/>
  <c r="I52" i="2"/>
  <c r="AI6" i="2"/>
  <c r="R42" i="2"/>
  <c r="AB53" i="2"/>
  <c r="AE4" i="2"/>
  <c r="U73" i="2"/>
  <c r="AL15" i="2"/>
  <c r="AK69" i="2"/>
  <c r="W72" i="2"/>
  <c r="E71" i="2"/>
  <c r="H17" i="2"/>
  <c r="H61" i="2"/>
  <c r="AH71" i="2"/>
  <c r="G16" i="2"/>
  <c r="W75" i="2"/>
  <c r="J77" i="2"/>
  <c r="AK19" i="2"/>
  <c r="R32" i="2"/>
  <c r="AJ49" i="2"/>
  <c r="AD57" i="2"/>
  <c r="AI52" i="2"/>
  <c r="L61" i="2"/>
  <c r="E43" i="2"/>
  <c r="AG60" i="2"/>
  <c r="G58" i="2"/>
  <c r="AG27" i="2"/>
  <c r="F9" i="2"/>
  <c r="AG64" i="2"/>
  <c r="AC46" i="2"/>
  <c r="AA76" i="2"/>
  <c r="S17" i="2"/>
  <c r="S25" i="2"/>
  <c r="M43" i="2"/>
  <c r="T31" i="2"/>
  <c r="AF37" i="2"/>
  <c r="AL13" i="2"/>
  <c r="V32" i="2"/>
  <c r="H55" i="2"/>
  <c r="AF55" i="2"/>
  <c r="N26" i="2"/>
  <c r="F33" i="2"/>
  <c r="AG79" i="2"/>
  <c r="AD67" i="2"/>
  <c r="F30" i="2"/>
  <c r="M60" i="2"/>
  <c r="O29" i="2"/>
  <c r="L51" i="2"/>
  <c r="K30" i="2"/>
  <c r="P51" i="2"/>
  <c r="T10" i="2"/>
  <c r="G67" i="2"/>
  <c r="S19" i="2"/>
  <c r="F47" i="2"/>
  <c r="U58" i="2"/>
  <c r="AD51" i="2"/>
  <c r="AG7" i="2"/>
  <c r="G45" i="2"/>
  <c r="T33" i="2"/>
  <c r="F61" i="2"/>
  <c r="X50" i="2"/>
  <c r="J28" i="2"/>
  <c r="AD17" i="2"/>
  <c r="AG18" i="2"/>
  <c r="M69" i="2"/>
  <c r="AC35" i="2"/>
  <c r="F18" i="2"/>
  <c r="U9" i="2"/>
  <c r="AD42" i="2"/>
  <c r="S10" i="2"/>
  <c r="AJ22" i="2"/>
  <c r="AK18" i="2"/>
  <c r="M53" i="2"/>
  <c r="P22" i="2"/>
  <c r="N70" i="2"/>
  <c r="AL64" i="2"/>
  <c r="Z25" i="2"/>
  <c r="V28" i="2"/>
  <c r="G26" i="2"/>
  <c r="R65" i="2"/>
  <c r="X73" i="2"/>
  <c r="AA12" i="2"/>
  <c r="W35" i="2"/>
  <c r="AH78" i="2"/>
  <c r="AL24" i="2"/>
  <c r="H60" i="2"/>
  <c r="AD59" i="2"/>
  <c r="L69" i="2"/>
  <c r="AG53" i="2"/>
  <c r="G64" i="2"/>
  <c r="AK48" i="2"/>
  <c r="O39" i="2"/>
  <c r="L6" i="2"/>
  <c r="AE79" i="2"/>
  <c r="X29" i="2"/>
  <c r="S53" i="2"/>
  <c r="AK80" i="2"/>
  <c r="Y70" i="2"/>
  <c r="AM40" i="2"/>
  <c r="V78" i="2"/>
  <c r="R60" i="2"/>
  <c r="S36" i="2"/>
  <c r="S47" i="2"/>
  <c r="G32" i="2"/>
  <c r="AJ35" i="2"/>
  <c r="O32" i="2"/>
  <c r="AH39" i="2"/>
  <c r="AC19" i="2"/>
  <c r="Z23" i="2"/>
  <c r="I67" i="2"/>
  <c r="J46" i="2"/>
  <c r="L50" i="2"/>
  <c r="AD22" i="2"/>
  <c r="L22" i="2"/>
  <c r="AD35" i="2"/>
  <c r="R34" i="2"/>
  <c r="AB52" i="2"/>
  <c r="W59" i="2"/>
  <c r="F14" i="2"/>
  <c r="AF12" i="2"/>
  <c r="I20" i="2"/>
  <c r="F75" i="2"/>
  <c r="I41" i="2"/>
  <c r="Y36" i="2"/>
  <c r="AB76" i="2"/>
  <c r="I47" i="2"/>
  <c r="K31" i="2"/>
  <c r="AM53" i="2"/>
  <c r="V63" i="2"/>
  <c r="H7" i="2"/>
  <c r="AC68" i="2"/>
  <c r="AJ77" i="2"/>
  <c r="AC4" i="2"/>
  <c r="AK38" i="2"/>
  <c r="E77" i="2"/>
  <c r="L25" i="2"/>
  <c r="U71" i="2"/>
  <c r="N21" i="2"/>
  <c r="AE68" i="2"/>
  <c r="V62" i="2"/>
  <c r="F5" i="2"/>
  <c r="S49" i="2"/>
  <c r="AM16" i="2"/>
  <c r="AG31" i="2"/>
  <c r="AL54" i="2"/>
  <c r="AK22" i="2"/>
  <c r="AG77" i="2"/>
  <c r="G44" i="2"/>
  <c r="AH7" i="2"/>
  <c r="M26" i="2"/>
  <c r="AC47" i="2"/>
  <c r="V61" i="2"/>
  <c r="AG32" i="2"/>
  <c r="AI60" i="2"/>
  <c r="E49" i="2"/>
  <c r="AM49" i="2"/>
  <c r="G53" i="2"/>
  <c r="E51" i="2"/>
  <c r="AC17" i="2"/>
  <c r="R21" i="2"/>
  <c r="AJ45" i="2"/>
  <c r="N57" i="2"/>
  <c r="AL9" i="2"/>
  <c r="I65" i="2"/>
  <c r="V72" i="2"/>
  <c r="AL41" i="2"/>
  <c r="AM66" i="2"/>
  <c r="U56" i="2"/>
  <c r="AA70" i="2"/>
  <c r="K26" i="2"/>
  <c r="J60" i="2"/>
  <c r="E36" i="2"/>
  <c r="Y80" i="2"/>
  <c r="W8" i="2"/>
  <c r="N79" i="2"/>
  <c r="H14" i="2"/>
  <c r="AI77" i="2"/>
  <c r="G62" i="2"/>
  <c r="M51" i="2"/>
  <c r="F58" i="2"/>
  <c r="AE23" i="2"/>
  <c r="AB55" i="2"/>
  <c r="AG56" i="2"/>
  <c r="L60" i="2"/>
  <c r="M64" i="2"/>
  <c r="AC74" i="2"/>
  <c r="U49" i="2"/>
  <c r="AF7" i="2"/>
  <c r="X12" i="2"/>
  <c r="Z56" i="2"/>
  <c r="AH8" i="2"/>
  <c r="AE56" i="2"/>
  <c r="AL58" i="2"/>
  <c r="U61" i="2"/>
  <c r="AM33" i="2"/>
  <c r="AH26" i="2"/>
  <c r="AG67" i="2"/>
  <c r="AL47" i="2"/>
  <c r="H34" i="2"/>
  <c r="U14" i="2"/>
  <c r="T66" i="2"/>
  <c r="AG24" i="2"/>
  <c r="F42" i="2"/>
  <c r="F15" i="2"/>
  <c r="AB60" i="2"/>
  <c r="L24" i="2"/>
  <c r="J30" i="2"/>
  <c r="U4" i="2"/>
  <c r="K27" i="2"/>
  <c r="AJ17" i="2"/>
  <c r="J9" i="2"/>
  <c r="AM20" i="2"/>
  <c r="T78" i="2"/>
  <c r="J40" i="2"/>
  <c r="R16" i="2"/>
  <c r="L79" i="2"/>
  <c r="AH43" i="2"/>
  <c r="T6" i="2"/>
  <c r="Z24" i="2"/>
  <c r="AH18" i="2"/>
  <c r="AA17" i="2"/>
  <c r="S12" i="2"/>
  <c r="F20" i="2"/>
  <c r="M14" i="2"/>
  <c r="W26" i="2"/>
  <c r="S8" i="2"/>
  <c r="AK55" i="2"/>
  <c r="AJ48" i="2"/>
  <c r="R12" i="2"/>
  <c r="AE40" i="2"/>
  <c r="AD45" i="2"/>
  <c r="AA25" i="2"/>
  <c r="U80" i="2"/>
  <c r="AE57" i="2"/>
  <c r="F8" i="2"/>
  <c r="AH50" i="2"/>
  <c r="AJ6" i="2"/>
  <c r="M5" i="2"/>
  <c r="V7" i="2"/>
  <c r="O46" i="2"/>
  <c r="Y5" i="2"/>
  <c r="I26" i="2"/>
  <c r="V17" i="2"/>
  <c r="AD46" i="2"/>
  <c r="I42" i="2"/>
  <c r="M77" i="2"/>
  <c r="AI11" i="2"/>
  <c r="K54" i="2"/>
  <c r="AM61" i="2"/>
  <c r="W29" i="2"/>
  <c r="AK7" i="2"/>
  <c r="AG58" i="2"/>
  <c r="I71" i="2"/>
  <c r="S45" i="2"/>
  <c r="AB16" i="2"/>
  <c r="J73" i="2"/>
  <c r="K74" i="2"/>
  <c r="S30" i="2"/>
  <c r="AL35" i="2"/>
  <c r="X27" i="2"/>
  <c r="G42" i="2"/>
  <c r="L8" i="2"/>
  <c r="T77" i="2"/>
  <c r="E62" i="2"/>
  <c r="AJ21" i="2"/>
  <c r="N62" i="2"/>
  <c r="T44" i="2"/>
  <c r="P68" i="2"/>
  <c r="AM78" i="2"/>
  <c r="AM37" i="2"/>
  <c r="L80" i="2"/>
  <c r="AK77" i="2"/>
  <c r="K36" i="2"/>
  <c r="P66" i="2"/>
  <c r="X30" i="2"/>
  <c r="AL50" i="2"/>
  <c r="G15" i="2"/>
  <c r="H78" i="2"/>
  <c r="AG40" i="2"/>
  <c r="L23" i="2"/>
  <c r="H35" i="2"/>
  <c r="F60" i="2"/>
  <c r="O25" i="2"/>
  <c r="AI34" i="2"/>
  <c r="M41" i="2"/>
  <c r="AD64" i="2"/>
  <c r="AL10" i="2"/>
  <c r="Z49" i="2"/>
  <c r="H80" i="2"/>
  <c r="AI4" i="2"/>
  <c r="Z78" i="2"/>
  <c r="AL39" i="2"/>
  <c r="G47" i="2"/>
  <c r="R50" i="2"/>
  <c r="T47" i="2"/>
  <c r="AD6" i="2"/>
  <c r="U18" i="2"/>
  <c r="L43" i="2"/>
  <c r="AA10" i="2"/>
  <c r="U27" i="2"/>
  <c r="AJ40" i="2"/>
  <c r="L10" i="2"/>
  <c r="W7" i="2"/>
  <c r="AM56" i="2"/>
  <c r="AA57" i="2"/>
  <c r="W49" i="2"/>
  <c r="Y52" i="2"/>
  <c r="AM70" i="2"/>
  <c r="Z45" i="2"/>
  <c r="AI58" i="2"/>
  <c r="AM36" i="2"/>
  <c r="L31" i="2"/>
  <c r="T12" i="2"/>
  <c r="K35" i="2"/>
  <c r="Y79" i="2"/>
  <c r="AA65" i="2"/>
  <c r="F70" i="2"/>
  <c r="Z11" i="2"/>
  <c r="R17" i="2"/>
  <c r="AE53" i="2"/>
  <c r="AH44" i="2"/>
  <c r="AI40" i="2"/>
  <c r="AD5" i="2"/>
  <c r="AK50" i="2"/>
  <c r="AJ74" i="2"/>
  <c r="F4" i="2"/>
  <c r="AD60" i="2"/>
  <c r="X45" i="2"/>
  <c r="AD8" i="2"/>
  <c r="U19" i="2"/>
  <c r="M23" i="2"/>
  <c r="V44" i="2"/>
  <c r="V20" i="2"/>
  <c r="AB58" i="2"/>
  <c r="AH46" i="2"/>
  <c r="X49" i="2"/>
  <c r="E70" i="2"/>
  <c r="H39" i="2"/>
  <c r="Y44" i="2"/>
  <c r="U12" i="2"/>
  <c r="AK39" i="2"/>
  <c r="AD43" i="2"/>
  <c r="M71" i="2"/>
  <c r="AA53" i="2"/>
  <c r="AK13" i="2"/>
  <c r="V59" i="2"/>
  <c r="U36" i="2"/>
  <c r="H15" i="2"/>
  <c r="AA8" i="2"/>
  <c r="R27" i="2"/>
  <c r="R62" i="2"/>
  <c r="S15" i="2"/>
  <c r="Z52" i="2"/>
  <c r="AF66" i="2"/>
  <c r="V34" i="2"/>
  <c r="AI53" i="2"/>
  <c r="AI13" i="2"/>
  <c r="AF80" i="2"/>
  <c r="AF69" i="2"/>
  <c r="N17" i="2"/>
  <c r="AJ62" i="2"/>
  <c r="O24" i="2"/>
  <c r="F55" i="2"/>
  <c r="AG57" i="2"/>
  <c r="Y65" i="2"/>
  <c r="H52" i="2"/>
  <c r="W12" i="2"/>
  <c r="M52" i="2"/>
  <c r="AA66" i="2"/>
  <c r="AE48" i="2"/>
  <c r="Y55" i="2"/>
  <c r="M19" i="2"/>
  <c r="AA72" i="2"/>
  <c r="AG52" i="2"/>
  <c r="X35" i="2"/>
  <c r="V39" i="2"/>
  <c r="R56" i="2"/>
  <c r="F25" i="2"/>
  <c r="AC37" i="2"/>
  <c r="AL71" i="2"/>
  <c r="O42" i="2"/>
  <c r="U17" i="2"/>
  <c r="AL5" i="2"/>
  <c r="M7" i="2"/>
  <c r="AJ15" i="2"/>
  <c r="AI46" i="2"/>
  <c r="N67" i="2"/>
  <c r="O26" i="2"/>
  <c r="AA77" i="2"/>
  <c r="W16" i="2"/>
  <c r="AE21" i="2"/>
  <c r="AG8" i="2"/>
  <c r="Z77" i="2"/>
  <c r="O66" i="2"/>
  <c r="F24" i="2"/>
  <c r="R39" i="2"/>
  <c r="F77" i="2"/>
  <c r="F27" i="2"/>
  <c r="W38" i="2"/>
  <c r="V56" i="2"/>
  <c r="H54" i="2"/>
  <c r="Z18" i="2"/>
  <c r="W54" i="2"/>
  <c r="P27" i="2"/>
  <c r="AK26" i="2"/>
  <c r="H53" i="2"/>
  <c r="I43" i="2"/>
  <c r="F28" i="2"/>
  <c r="R14" i="2"/>
  <c r="AJ61" i="2"/>
  <c r="J59" i="2"/>
  <c r="AL23" i="2"/>
  <c r="AI76" i="2"/>
  <c r="Y8" i="2"/>
  <c r="AK4" i="2"/>
  <c r="AA55" i="2"/>
  <c r="T75" i="2"/>
  <c r="AM15" i="2"/>
  <c r="AB47" i="2"/>
  <c r="R63" i="2"/>
  <c r="H47" i="2"/>
  <c r="J78" i="2"/>
  <c r="E26" i="2"/>
  <c r="V77" i="2"/>
  <c r="AM57" i="2"/>
  <c r="AM23" i="2"/>
  <c r="R69" i="2"/>
  <c r="V47" i="2"/>
  <c r="P63" i="2"/>
  <c r="J52" i="2"/>
  <c r="H50" i="2"/>
  <c r="J67" i="2"/>
  <c r="I33" i="2"/>
  <c r="S77" i="2"/>
  <c r="AD54" i="2"/>
  <c r="AB42" i="2"/>
  <c r="AC61" i="2"/>
  <c r="X39" i="2"/>
  <c r="X55" i="2"/>
  <c r="L55" i="2"/>
  <c r="I15" i="2"/>
  <c r="AJ28" i="2"/>
  <c r="X18" i="2"/>
  <c r="X80" i="2"/>
  <c r="AK57" i="2"/>
  <c r="K58" i="2"/>
  <c r="J38" i="2"/>
  <c r="L41" i="2"/>
  <c r="AC6" i="2"/>
  <c r="AG16" i="2"/>
  <c r="I14" i="2"/>
  <c r="AK56" i="2"/>
  <c r="X63" i="2"/>
  <c r="U11" i="2"/>
  <c r="M38" i="2"/>
  <c r="S21" i="2"/>
  <c r="AL22" i="2"/>
  <c r="AK65" i="2"/>
  <c r="T15" i="2"/>
  <c r="K23" i="2"/>
  <c r="M12" i="2"/>
  <c r="AF75" i="2"/>
  <c r="AJ59" i="2"/>
  <c r="Z32" i="2"/>
  <c r="Y21" i="2"/>
  <c r="AF29" i="2"/>
  <c r="AJ25" i="2"/>
  <c r="AD12" i="2"/>
  <c r="O47" i="2"/>
  <c r="R10" i="2"/>
  <c r="H32" i="2"/>
  <c r="AJ5" i="2"/>
  <c r="AC43" i="2"/>
  <c r="AH21" i="2"/>
  <c r="AL59" i="2"/>
  <c r="V10" i="2"/>
  <c r="H68" i="2"/>
  <c r="L20" i="2"/>
  <c r="M31" i="2"/>
  <c r="I34" i="2"/>
  <c r="AG29" i="2"/>
  <c r="AM13" i="2"/>
  <c r="AF73" i="2"/>
  <c r="AG62" i="2"/>
  <c r="E61" i="2"/>
  <c r="P73" i="2"/>
  <c r="W4" i="2"/>
  <c r="AB28" i="2"/>
  <c r="Y46" i="2"/>
  <c r="E13" i="2"/>
  <c r="AH38" i="2"/>
  <c r="AK42" i="2"/>
  <c r="AA11" i="2"/>
  <c r="W27" i="2"/>
  <c r="O55" i="2"/>
  <c r="R15" i="2"/>
  <c r="G33" i="2"/>
  <c r="P21" i="2"/>
  <c r="M57" i="2"/>
  <c r="AK51" i="2"/>
  <c r="AK16" i="2"/>
  <c r="AE77" i="2"/>
  <c r="P32" i="2"/>
  <c r="AF9" i="2"/>
  <c r="AB39" i="2"/>
  <c r="O38" i="2"/>
  <c r="AB71" i="2"/>
  <c r="W37" i="2"/>
  <c r="W79" i="2"/>
  <c r="T29" i="2"/>
  <c r="J75" i="2"/>
  <c r="O27" i="2"/>
  <c r="AM10" i="2"/>
  <c r="Z65" i="2"/>
  <c r="N76" i="2"/>
  <c r="P41" i="2"/>
  <c r="N42" i="2"/>
  <c r="W73" i="2"/>
  <c r="U60" i="2"/>
  <c r="K17" i="2"/>
  <c r="O59" i="2"/>
  <c r="AF72" i="2"/>
  <c r="AE44" i="2"/>
  <c r="M75" i="2"/>
  <c r="R59" i="2"/>
  <c r="R78" i="2"/>
  <c r="AJ79" i="2"/>
  <c r="W52" i="2"/>
  <c r="O80" i="2"/>
  <c r="H49" i="2"/>
  <c r="N73" i="2"/>
  <c r="AG37" i="2"/>
  <c r="AA47" i="2"/>
  <c r="N31" i="2"/>
  <c r="V69" i="2"/>
  <c r="O34" i="2"/>
  <c r="Y32" i="2"/>
  <c r="W46" i="2"/>
  <c r="AC39" i="2"/>
  <c r="AL78" i="2"/>
  <c r="S43" i="2"/>
  <c r="Z64" i="2"/>
  <c r="U65" i="2"/>
  <c r="AA27" i="2"/>
  <c r="J74" i="2"/>
  <c r="P72" i="2"/>
  <c r="AD10" i="2"/>
  <c r="T59" i="2"/>
  <c r="L4" i="2"/>
  <c r="S39" i="2"/>
  <c r="L78" i="2"/>
  <c r="G65" i="2"/>
  <c r="X37" i="2"/>
  <c r="L45" i="2"/>
  <c r="Y72" i="2"/>
  <c r="N59" i="2"/>
  <c r="W58" i="2"/>
  <c r="AF23" i="2"/>
  <c r="W17" i="2"/>
  <c r="AJ54" i="2"/>
  <c r="AJ73" i="2"/>
  <c r="R51" i="2"/>
  <c r="AM76" i="2"/>
  <c r="V8" i="2"/>
  <c r="P53" i="2"/>
  <c r="G72" i="2"/>
  <c r="Y74" i="2"/>
  <c r="E45" i="2"/>
  <c r="AB69" i="2"/>
  <c r="Z61" i="2"/>
  <c r="AI38" i="2"/>
  <c r="AK8" i="2"/>
  <c r="AB54" i="2"/>
  <c r="AE43" i="2"/>
  <c r="AB30" i="2"/>
  <c r="AI44" i="2"/>
  <c r="F79" i="2"/>
  <c r="V43" i="2"/>
  <c r="AI22" i="2"/>
  <c r="O62" i="2"/>
  <c r="L39" i="2"/>
  <c r="T60" i="2"/>
  <c r="AF63" i="2"/>
  <c r="N51" i="2"/>
  <c r="G38" i="2"/>
  <c r="R41" i="2"/>
  <c r="J48" i="2"/>
  <c r="Y37" i="2"/>
  <c r="AE75" i="2"/>
  <c r="R55" i="2"/>
  <c r="AL32" i="2"/>
  <c r="AC48" i="2"/>
  <c r="W76" i="2"/>
  <c r="L36" i="2"/>
  <c r="Z74" i="2"/>
  <c r="G77" i="2"/>
  <c r="R58" i="2"/>
  <c r="J51" i="2"/>
  <c r="AA24" i="2"/>
  <c r="H79" i="2"/>
  <c r="H63" i="2"/>
  <c r="Y19" i="2"/>
  <c r="R61" i="2"/>
  <c r="N64" i="2"/>
  <c r="K15" i="2"/>
  <c r="J50" i="2"/>
  <c r="M32" i="2"/>
  <c r="K16" i="2"/>
  <c r="AD78" i="2"/>
  <c r="H74" i="2"/>
  <c r="Y75" i="2"/>
  <c r="K66" i="2"/>
  <c r="S34" i="2"/>
  <c r="M62" i="2"/>
  <c r="AK17" i="2"/>
  <c r="AI27" i="2"/>
  <c r="V52" i="2"/>
  <c r="AH42" i="2"/>
  <c r="AF64" i="2"/>
  <c r="P31" i="2"/>
  <c r="AB23" i="2"/>
  <c r="AD63" i="2"/>
  <c r="AB5" i="2"/>
  <c r="AM65" i="2"/>
  <c r="AK34" i="2"/>
  <c r="V71" i="2"/>
  <c r="AM5" i="2"/>
  <c r="AD48" i="2"/>
  <c r="AA50" i="2"/>
  <c r="S56" i="2"/>
  <c r="X24" i="2"/>
  <c r="Y7" i="2"/>
  <c r="Y49" i="2"/>
  <c r="J53" i="2"/>
  <c r="AE76" i="2"/>
  <c r="E18" i="2"/>
  <c r="T23" i="2"/>
  <c r="H71" i="2"/>
  <c r="AC25" i="2"/>
  <c r="AF39" i="2"/>
  <c r="P17" i="2"/>
  <c r="E47" i="2"/>
  <c r="U78" i="2"/>
  <c r="AM74" i="2"/>
  <c r="N74" i="2"/>
  <c r="AJ37" i="2"/>
  <c r="O58" i="2"/>
  <c r="AD26" i="2"/>
  <c r="AH41" i="2"/>
  <c r="H29" i="2"/>
  <c r="T48" i="2"/>
  <c r="V68" i="2"/>
  <c r="AE69" i="2"/>
  <c r="R25" i="2"/>
  <c r="AM77" i="2"/>
  <c r="K75" i="2"/>
  <c r="AA15" i="2"/>
  <c r="AL77" i="2"/>
  <c r="AC24" i="2"/>
  <c r="V49" i="2"/>
  <c r="O12" i="2"/>
  <c r="K59" i="2"/>
  <c r="AC12" i="2"/>
  <c r="E14" i="2"/>
  <c r="T61" i="2"/>
  <c r="H22" i="2"/>
  <c r="H8" i="2"/>
  <c r="V9" i="2"/>
  <c r="P54" i="2"/>
  <c r="AE58" i="2"/>
  <c r="G18" i="2"/>
  <c r="AH52" i="2"/>
  <c r="AH75" i="2"/>
  <c r="AI63" i="2"/>
  <c r="E56" i="2"/>
  <c r="N32" i="2"/>
  <c r="AJ4" i="2"/>
  <c r="Z46" i="2"/>
  <c r="AJ12" i="2"/>
  <c r="E6" i="2"/>
  <c r="O23" i="2"/>
  <c r="AG44" i="2"/>
  <c r="V38" i="2"/>
  <c r="R26" i="2"/>
  <c r="AH23" i="2"/>
  <c r="F31" i="2"/>
  <c r="AG5" i="2"/>
  <c r="P39" i="2"/>
  <c r="V79" i="2"/>
  <c r="M67" i="2"/>
  <c r="AB32" i="2"/>
  <c r="K50" i="2"/>
  <c r="AL33" i="2"/>
  <c r="F26" i="2"/>
  <c r="AE42" i="2"/>
  <c r="AL65" i="2"/>
  <c r="Y64" i="2"/>
  <c r="E48" i="2"/>
  <c r="T52" i="2"/>
  <c r="AA61" i="2"/>
  <c r="AG75" i="2"/>
  <c r="AE28" i="2"/>
  <c r="J56" i="2"/>
  <c r="Z73" i="2"/>
  <c r="V73" i="2"/>
  <c r="O44" i="2"/>
  <c r="AE55" i="2"/>
  <c r="AF4" i="2"/>
  <c r="Y17" i="2"/>
  <c r="K32" i="2"/>
  <c r="Z42" i="2"/>
  <c r="R23" i="2"/>
  <c r="AD27" i="2"/>
  <c r="AJ65" i="2"/>
  <c r="I70" i="2"/>
  <c r="N38" i="2"/>
  <c r="K28" i="2"/>
  <c r="F41" i="2"/>
  <c r="N65" i="2"/>
  <c r="U23" i="2"/>
  <c r="V25" i="2"/>
  <c r="AA36" i="2"/>
  <c r="M54" i="2"/>
  <c r="M45" i="2"/>
  <c r="U35" i="2"/>
  <c r="G60" i="2"/>
  <c r="AG22" i="2"/>
  <c r="AB29" i="2"/>
  <c r="N4" i="2"/>
  <c r="O68" i="2"/>
  <c r="AI26" i="2"/>
  <c r="M76" i="2"/>
  <c r="V74" i="2"/>
  <c r="AG78" i="2"/>
  <c r="AA71" i="2"/>
  <c r="P11" i="2"/>
  <c r="AF78" i="2"/>
  <c r="M73" i="2"/>
  <c r="AB73" i="2"/>
  <c r="AH29" i="2"/>
  <c r="AH77" i="2"/>
  <c r="AJ66" i="2"/>
  <c r="K62" i="2"/>
  <c r="AG45" i="2"/>
  <c r="X68" i="2"/>
  <c r="AD13" i="2"/>
  <c r="Y16" i="2"/>
  <c r="P65" i="2"/>
  <c r="Z4" i="2"/>
  <c r="S69" i="2"/>
  <c r="AD41" i="2"/>
  <c r="J13" i="2"/>
  <c r="Z44" i="2"/>
  <c r="F65" i="2"/>
  <c r="N15" i="2"/>
  <c r="K38" i="2"/>
  <c r="G54" i="2"/>
  <c r="W42" i="2"/>
  <c r="M46" i="2"/>
  <c r="X69" i="2"/>
  <c r="AF34" i="2"/>
  <c r="K14" i="2"/>
  <c r="U16" i="2"/>
  <c r="K25" i="2"/>
  <c r="AH20" i="2"/>
  <c r="I46" i="2"/>
  <c r="K68" i="2"/>
  <c r="AE20" i="2"/>
  <c r="O63" i="2"/>
  <c r="AL31" i="2"/>
  <c r="S55" i="2"/>
  <c r="AE46" i="2"/>
  <c r="AD38" i="2"/>
  <c r="O75" i="2"/>
  <c r="X75" i="2"/>
  <c r="K65" i="2"/>
  <c r="AL80" i="2"/>
  <c r="AC67" i="2"/>
  <c r="AA74" i="2"/>
  <c r="AH4" i="2"/>
  <c r="I78" i="2"/>
  <c r="F63" i="2"/>
  <c r="AF60" i="2"/>
  <c r="AJ13" i="2"/>
  <c r="T18" i="2"/>
  <c r="AB63" i="2"/>
  <c r="AJ46" i="2"/>
  <c r="AM47" i="2"/>
  <c r="N50" i="2"/>
  <c r="F68" i="2"/>
  <c r="V76" i="2"/>
  <c r="AC23" i="2"/>
  <c r="AC58" i="2"/>
  <c r="AI59" i="2"/>
  <c r="AM30" i="2"/>
  <c r="K43" i="2"/>
  <c r="R79" i="2"/>
  <c r="Z33" i="2"/>
  <c r="N37" i="2"/>
  <c r="AF77" i="2"/>
  <c r="H46" i="2"/>
  <c r="G40" i="2"/>
  <c r="K47" i="2"/>
  <c r="W18" i="2"/>
  <c r="J26" i="2"/>
  <c r="G6" i="2"/>
  <c r="P29" i="2"/>
  <c r="L9" i="2"/>
  <c r="AF41" i="2"/>
  <c r="L7" i="2"/>
  <c r="R37" i="2"/>
  <c r="U66" i="2"/>
  <c r="X53" i="2"/>
  <c r="AH60" i="2"/>
  <c r="K37" i="2"/>
  <c r="AL7" i="2"/>
  <c r="U52" i="2"/>
  <c r="T73" i="2"/>
  <c r="AL51" i="2"/>
  <c r="AL40" i="2"/>
  <c r="E10" i="2"/>
  <c r="N5" i="2"/>
  <c r="AH54" i="2"/>
  <c r="Z15" i="2"/>
  <c r="AB8" i="2"/>
  <c r="N78" i="2"/>
  <c r="U50" i="2"/>
  <c r="G75" i="2"/>
  <c r="I75" i="2"/>
  <c r="K55" i="2"/>
  <c r="AF65" i="2"/>
  <c r="H58" i="2"/>
  <c r="Z68" i="2"/>
  <c r="M35" i="2"/>
  <c r="AD52" i="2"/>
  <c r="O35" i="2"/>
  <c r="L56" i="2"/>
  <c r="AI56" i="2"/>
  <c r="AJ51" i="2"/>
  <c r="U74" i="2"/>
  <c r="J69" i="2"/>
  <c r="T62" i="2"/>
  <c r="X57" i="2"/>
  <c r="H27" i="2"/>
  <c r="N29" i="2"/>
  <c r="AH10" i="2"/>
  <c r="AL57" i="2"/>
  <c r="G13" i="2"/>
  <c r="L74" i="2"/>
  <c r="H57" i="2"/>
  <c r="F59" i="2"/>
  <c r="AF33" i="2"/>
  <c r="F69" i="2"/>
  <c r="Y73" i="2"/>
  <c r="U21" i="2"/>
  <c r="Y33" i="2"/>
  <c r="U6" i="2"/>
  <c r="R9" i="2"/>
  <c r="AE80" i="2"/>
  <c r="P5" i="2"/>
  <c r="Y50" i="2"/>
  <c r="P35" i="2"/>
  <c r="J55" i="2"/>
  <c r="F13" i="2"/>
  <c r="S41" i="2"/>
  <c r="AH36" i="2"/>
  <c r="E31" i="2"/>
  <c r="AI29" i="2"/>
  <c r="T64" i="2"/>
  <c r="I58" i="2"/>
  <c r="G24" i="2"/>
  <c r="Z38" i="2"/>
  <c r="AE13" i="2"/>
  <c r="Z22" i="2"/>
  <c r="I6" i="2"/>
  <c r="W28" i="2"/>
  <c r="J42" i="2"/>
  <c r="AE33" i="2"/>
  <c r="AD77" i="2"/>
  <c r="N19" i="2"/>
  <c r="I40" i="2"/>
  <c r="L16" i="2"/>
  <c r="I63" i="2"/>
  <c r="H45" i="2"/>
  <c r="Y62" i="2"/>
  <c r="AG11" i="2"/>
  <c r="E33" i="2"/>
  <c r="AC34" i="2"/>
  <c r="O31" i="2"/>
  <c r="W67" i="2"/>
  <c r="AF71" i="2"/>
  <c r="Z72" i="2"/>
  <c r="W33" i="2"/>
  <c r="AK33" i="2"/>
  <c r="AE64" i="2"/>
  <c r="P61" i="2"/>
  <c r="V12" i="2"/>
  <c r="AE61" i="2"/>
  <c r="I10" i="2"/>
  <c r="AM67" i="2"/>
  <c r="E66" i="2"/>
  <c r="G70" i="2"/>
  <c r="AG17" i="2"/>
  <c r="AK24" i="2"/>
  <c r="AE35" i="2"/>
  <c r="AC38" i="2"/>
  <c r="AA67" i="2"/>
  <c r="N33" i="2"/>
  <c r="AF67" i="2"/>
  <c r="Y51" i="2"/>
  <c r="AA39" i="2"/>
  <c r="AG15" i="2"/>
  <c r="AB19" i="2"/>
  <c r="X74" i="2"/>
  <c r="AG80" i="2"/>
  <c r="AH13" i="2"/>
  <c r="AF28" i="2"/>
  <c r="O37" i="2"/>
  <c r="W61" i="2"/>
  <c r="AJ20" i="2"/>
  <c r="H43" i="2"/>
  <c r="AA54" i="2"/>
  <c r="AG12" i="2"/>
  <c r="J6" i="2"/>
  <c r="AJ64" i="2"/>
  <c r="E73" i="2"/>
  <c r="O8" i="2"/>
  <c r="AH11" i="2"/>
  <c r="Y18" i="2"/>
  <c r="AJ39" i="2"/>
  <c r="J62" i="2"/>
  <c r="AD19" i="2"/>
  <c r="AA20" i="2"/>
  <c r="S71" i="2"/>
  <c r="AM25" i="2"/>
  <c r="AF61" i="2"/>
  <c r="X13" i="2"/>
  <c r="AL45" i="2"/>
  <c r="O73" i="2"/>
  <c r="N28" i="2"/>
  <c r="M79" i="2"/>
  <c r="AM43" i="2"/>
  <c r="F80" i="2"/>
  <c r="R48" i="2"/>
  <c r="P70" i="2"/>
  <c r="AC16" i="2"/>
  <c r="H56" i="2"/>
  <c r="AC79" i="2"/>
  <c r="AD50" i="2"/>
  <c r="AH6" i="2"/>
  <c r="R44" i="2"/>
  <c r="F71" i="2"/>
  <c r="AL56" i="2"/>
  <c r="O22" i="2"/>
  <c r="S27" i="2"/>
  <c r="Y11" i="2"/>
  <c r="K63" i="2"/>
  <c r="E72" i="2"/>
  <c r="W64" i="2"/>
  <c r="M61" i="2"/>
  <c r="AH47" i="2"/>
  <c r="AD61" i="2"/>
  <c r="AJ60" i="2"/>
  <c r="S51" i="2"/>
  <c r="H21" i="2"/>
  <c r="L59" i="2"/>
  <c r="AM14" i="2"/>
  <c r="M39" i="2"/>
  <c r="X21" i="2"/>
  <c r="AD73" i="2"/>
  <c r="AM69" i="2"/>
  <c r="AI64" i="2"/>
  <c r="R29" i="2"/>
  <c r="R20" i="2"/>
  <c r="H25" i="2"/>
  <c r="AG51" i="2"/>
  <c r="AI24" i="2"/>
  <c r="N61" i="2"/>
  <c r="X6" i="2"/>
  <c r="S76" i="2"/>
  <c r="F29" i="2"/>
  <c r="AC41" i="2"/>
  <c r="W25" i="2"/>
  <c r="O45" i="2"/>
  <c r="I48" i="2"/>
  <c r="AA43" i="2"/>
  <c r="M6" i="2"/>
  <c r="AG49" i="2"/>
  <c r="Z75" i="2"/>
  <c r="AD69" i="2"/>
  <c r="AC7" i="2"/>
  <c r="AF50" i="2"/>
  <c r="AI36" i="2"/>
  <c r="M59" i="2"/>
  <c r="I73" i="2"/>
  <c r="AC26" i="2"/>
  <c r="U47" i="2"/>
  <c r="Z36" i="2"/>
  <c r="P55" i="2"/>
  <c r="N6" i="2"/>
  <c r="AC60" i="2"/>
  <c r="AK73" i="2"/>
  <c r="Y53" i="2"/>
  <c r="AB61" i="2"/>
  <c r="AL75" i="2"/>
  <c r="K72" i="2"/>
  <c r="E69" i="2"/>
  <c r="X65" i="2"/>
  <c r="E40" i="2"/>
  <c r="T46" i="2"/>
  <c r="O16" i="2"/>
  <c r="Z26" i="2"/>
  <c r="AM6" i="2"/>
  <c r="Z58" i="2"/>
  <c r="AF5" i="2"/>
  <c r="AM21" i="2"/>
  <c r="P42" i="2"/>
  <c r="T42" i="2"/>
  <c r="AH80" i="2"/>
  <c r="AI69" i="2"/>
  <c r="AA35" i="2"/>
  <c r="T11" i="2"/>
  <c r="M25" i="2"/>
  <c r="T28" i="2"/>
  <c r="X71" i="2"/>
  <c r="U70" i="2"/>
  <c r="R75" i="2"/>
  <c r="I31" i="2"/>
  <c r="E11" i="2"/>
  <c r="J20" i="2"/>
  <c r="AH56" i="2"/>
  <c r="AK63" i="2"/>
  <c r="O64" i="2"/>
  <c r="AI21" i="2"/>
  <c r="X41" i="2"/>
  <c r="V30" i="2"/>
  <c r="F43" i="2"/>
  <c r="AK49" i="2"/>
  <c r="AI70" i="2"/>
  <c r="K22" i="2"/>
  <c r="AK52" i="2"/>
  <c r="AH51" i="2"/>
  <c r="AB56" i="2"/>
  <c r="E67" i="2"/>
  <c r="AD47" i="2"/>
  <c r="U55" i="2"/>
  <c r="AC66" i="2"/>
  <c r="AK46" i="2"/>
  <c r="H24" i="2"/>
  <c r="L47" i="2"/>
  <c r="K34" i="2"/>
  <c r="AC76" i="2"/>
  <c r="W80" i="2"/>
  <c r="I16" i="2"/>
  <c r="I13" i="2"/>
  <c r="G36" i="2"/>
  <c r="AJ36" i="2"/>
  <c r="H36" i="2"/>
  <c r="AD33" i="2"/>
  <c r="R46" i="2"/>
  <c r="AL61" i="2"/>
  <c r="AF79" i="2"/>
  <c r="AA21" i="2"/>
  <c r="F37" i="2"/>
  <c r="G22" i="2"/>
  <c r="F51" i="2"/>
  <c r="Y58" i="2"/>
  <c r="X7" i="2"/>
  <c r="AK53" i="2"/>
  <c r="AB64" i="2"/>
  <c r="AH62" i="2"/>
  <c r="AI7" i="2"/>
  <c r="AG70" i="2"/>
  <c r="U25" i="2"/>
  <c r="AL63" i="2"/>
  <c r="I30" i="2"/>
  <c r="M66" i="2"/>
  <c r="AA63" i="2"/>
  <c r="X46" i="2"/>
  <c r="AD65" i="2"/>
  <c r="AK12" i="2"/>
  <c r="O72" i="2"/>
  <c r="P28" i="2"/>
  <c r="W50" i="2"/>
  <c r="L71" i="2"/>
  <c r="J41" i="2"/>
  <c r="AE9" i="2"/>
  <c r="M33" i="2"/>
  <c r="O5" i="2"/>
  <c r="AE50" i="2"/>
  <c r="V66" i="2"/>
  <c r="AI66" i="2"/>
  <c r="T65" i="2"/>
  <c r="S7" i="2"/>
  <c r="W9" i="2"/>
  <c r="AJ70" i="2"/>
  <c r="AM19" i="2"/>
  <c r="AK27" i="2"/>
  <c r="P57" i="2"/>
  <c r="J63" i="2"/>
  <c r="N13" i="2"/>
  <c r="G74" i="2"/>
  <c r="U31" i="2"/>
  <c r="F49" i="2"/>
  <c r="U10" i="2"/>
  <c r="AH69" i="2"/>
  <c r="J22" i="2"/>
  <c r="O56" i="2"/>
  <c r="V55" i="2"/>
  <c r="AB67" i="2"/>
  <c r="AB65" i="2"/>
  <c r="AK40" i="2"/>
  <c r="G27" i="2"/>
  <c r="O71" i="2"/>
  <c r="H28" i="2"/>
  <c r="G51" i="2"/>
  <c r="F10" i="2"/>
  <c r="P37" i="2"/>
  <c r="S35" i="2"/>
  <c r="AF68" i="2"/>
  <c r="AI20" i="2"/>
  <c r="W63" i="2"/>
  <c r="O15" i="2"/>
  <c r="E38" i="2"/>
  <c r="P62" i="2"/>
  <c r="AF42" i="2"/>
  <c r="AJ78" i="2"/>
  <c r="T63" i="2"/>
  <c r="AF18" i="2"/>
  <c r="AJ75" i="2"/>
  <c r="AC62" i="2"/>
  <c r="AC57" i="2"/>
  <c r="AJ7" i="2"/>
  <c r="O53" i="2"/>
  <c r="AM22" i="2"/>
  <c r="AB22" i="2"/>
  <c r="W65" i="2"/>
  <c r="AI35" i="2"/>
  <c r="AD72" i="2"/>
  <c r="G28" i="2"/>
  <c r="N44" i="2"/>
  <c r="AA73" i="2"/>
  <c r="AA38" i="2"/>
  <c r="J76" i="2"/>
  <c r="Z76" i="2"/>
  <c r="G57" i="2"/>
  <c r="O54" i="2"/>
  <c r="AC28" i="2"/>
  <c r="S63" i="2"/>
  <c r="L11" i="2"/>
  <c r="AA6" i="2"/>
  <c r="F44" i="2"/>
  <c r="L17" i="2"/>
  <c r="I21" i="2"/>
  <c r="AE54" i="2"/>
  <c r="Y39" i="2"/>
  <c r="P80" i="2"/>
  <c r="AA34" i="2"/>
  <c r="G68" i="2"/>
  <c r="L21" i="2"/>
  <c r="AE6" i="2"/>
  <c r="AL19" i="2"/>
  <c r="F74" i="2"/>
  <c r="AK21" i="2"/>
  <c r="AH74" i="2"/>
  <c r="AB33" i="2"/>
  <c r="AA59" i="2"/>
  <c r="E44" i="2"/>
  <c r="AD55" i="2"/>
  <c r="K8" i="2"/>
  <c r="AH22" i="2"/>
  <c r="J61" i="2"/>
  <c r="AA23" i="2"/>
  <c r="AM42" i="2"/>
  <c r="I28" i="2"/>
  <c r="AE63" i="2"/>
  <c r="R54" i="2"/>
  <c r="G11" i="2"/>
  <c r="N47" i="2"/>
  <c r="AJ38" i="2"/>
  <c r="AK15" i="2"/>
  <c r="X56" i="2"/>
  <c r="AC71" i="2"/>
  <c r="AB62" i="2"/>
  <c r="G35" i="2"/>
  <c r="G50" i="2"/>
  <c r="L66" i="2"/>
  <c r="AG33" i="2"/>
  <c r="AL38" i="2"/>
  <c r="AG72" i="2"/>
  <c r="K70" i="2"/>
  <c r="AA56" i="2"/>
  <c r="M58" i="2"/>
  <c r="I80" i="2"/>
  <c r="G46" i="2"/>
  <c r="AM45" i="2"/>
  <c r="AH58" i="2"/>
  <c r="T40" i="2"/>
  <c r="AL60" i="2"/>
  <c r="S59" i="2"/>
  <c r="G48" i="2"/>
  <c r="AF43" i="2"/>
  <c r="Y78" i="2"/>
  <c r="Y28" i="2"/>
  <c r="V60" i="2"/>
  <c r="J66" i="2"/>
  <c r="AK30" i="2"/>
  <c r="E27" i="2"/>
  <c r="AG71" i="2"/>
  <c r="E60" i="2"/>
  <c r="G8" i="2"/>
  <c r="U22" i="2"/>
  <c r="R68" i="2"/>
  <c r="Y10" i="2"/>
  <c r="V33" i="2"/>
  <c r="AE52" i="2"/>
  <c r="I59" i="2"/>
  <c r="S26" i="2"/>
  <c r="L26" i="2"/>
  <c r="E5" i="2"/>
  <c r="V45" i="2"/>
  <c r="AF46" i="2"/>
  <c r="M74" i="2"/>
  <c r="AE19" i="2"/>
  <c r="H72" i="2"/>
  <c r="AD56" i="2"/>
  <c r="AF24" i="2"/>
  <c r="Y26" i="2"/>
  <c r="AK59" i="2"/>
  <c r="E50" i="2"/>
  <c r="AB21" i="2"/>
  <c r="AD49" i="2"/>
  <c r="AC9" i="2"/>
  <c r="M28" i="2"/>
  <c r="E32" i="2"/>
  <c r="Z40" i="2"/>
  <c r="AJ29" i="2"/>
  <c r="W56" i="2"/>
  <c r="X43" i="2"/>
  <c r="AM52" i="2"/>
  <c r="AL4" i="2"/>
  <c r="AC10" i="2"/>
  <c r="J21" i="2"/>
  <c r="AH64" i="2"/>
  <c r="T54" i="2"/>
  <c r="W32" i="2"/>
  <c r="AB45" i="2"/>
  <c r="AJ56" i="2"/>
  <c r="F46" i="2"/>
  <c r="X51" i="2"/>
  <c r="F34" i="2"/>
  <c r="P12" i="2"/>
  <c r="P33" i="2"/>
  <c r="S52" i="2"/>
  <c r="K13" i="2"/>
  <c r="W23" i="2"/>
  <c r="AE51" i="2"/>
  <c r="F53" i="2"/>
  <c r="W78" i="2"/>
  <c r="U62" i="2"/>
  <c r="O40" i="2"/>
  <c r="AB46" i="2"/>
  <c r="AH15" i="2"/>
  <c r="V5" i="2"/>
  <c r="H30" i="2"/>
  <c r="G31" i="2"/>
  <c r="W22" i="2"/>
  <c r="E7" i="2"/>
  <c r="Y23" i="2"/>
  <c r="P19" i="2"/>
  <c r="V21" i="2"/>
  <c r="X14" i="2"/>
  <c r="Y34" i="2"/>
  <c r="AE67" i="2"/>
  <c r="AA13" i="2"/>
  <c r="I79" i="2"/>
  <c r="T74" i="2"/>
  <c r="AK44" i="2"/>
  <c r="AH73" i="2"/>
  <c r="V36" i="2"/>
  <c r="AM24" i="2"/>
  <c r="AC5" i="2"/>
  <c r="AF53" i="2"/>
  <c r="S46" i="2"/>
  <c r="AB20" i="2"/>
  <c r="V53" i="2"/>
  <c r="R66" i="2"/>
  <c r="V23" i="2"/>
  <c r="J71" i="2"/>
  <c r="F32" i="2"/>
  <c r="T58" i="2"/>
  <c r="I23" i="2"/>
  <c r="O28" i="2"/>
  <c r="AB59" i="2"/>
  <c r="AB38" i="2"/>
  <c r="AL34" i="2"/>
  <c r="K7" i="2"/>
  <c r="S4" i="2"/>
  <c r="F62" i="2"/>
  <c r="N71" i="2"/>
  <c r="Y38" i="2"/>
  <c r="I24" i="2"/>
  <c r="G63" i="2"/>
  <c r="AI19" i="2"/>
  <c r="T25" i="2"/>
  <c r="E74" i="2"/>
  <c r="AL48" i="2"/>
  <c r="Z35" i="2"/>
  <c r="AE45" i="2"/>
  <c r="J33" i="2"/>
  <c r="G10" i="2"/>
  <c r="AH40" i="2"/>
  <c r="W40" i="2"/>
  <c r="AK20" i="2"/>
  <c r="I22" i="2"/>
  <c r="AM73" i="2"/>
  <c r="AL26" i="2"/>
  <c r="G69" i="2"/>
  <c r="AK62" i="2"/>
  <c r="AD44" i="2"/>
  <c r="Z21" i="2"/>
  <c r="N43" i="2"/>
  <c r="V50" i="2"/>
  <c r="P10" i="2"/>
  <c r="H12" i="2"/>
  <c r="K78" i="2"/>
  <c r="M42" i="2"/>
  <c r="Y61" i="2"/>
  <c r="K77" i="2"/>
  <c r="AK72" i="2"/>
  <c r="Z41" i="2"/>
  <c r="AK61" i="2"/>
  <c r="AG66" i="2"/>
  <c r="Z27" i="2"/>
  <c r="U34" i="2"/>
  <c r="W41" i="2"/>
  <c r="AD80" i="2"/>
  <c r="AL72" i="2"/>
  <c r="AF26" i="2"/>
  <c r="H10" i="2"/>
  <c r="T21" i="2"/>
  <c r="I8" i="2"/>
  <c r="K80" i="2"/>
  <c r="E25" i="2"/>
  <c r="AH14" i="2"/>
  <c r="AF16" i="2"/>
  <c r="AC70" i="2"/>
  <c r="E65" i="2"/>
  <c r="AJ68" i="2"/>
  <c r="O33" i="2"/>
  <c r="F16" i="2"/>
  <c r="S72" i="2"/>
  <c r="O18" i="2"/>
  <c r="AG9" i="2"/>
  <c r="E80" i="2"/>
  <c r="K4" i="2"/>
  <c r="X4" i="2"/>
  <c r="H67" i="2"/>
  <c r="AF51" i="2"/>
  <c r="U7" i="2"/>
  <c r="AF20" i="2"/>
  <c r="M16" i="2"/>
  <c r="E53" i="2"/>
  <c r="AC21" i="2"/>
  <c r="W70" i="2"/>
  <c r="X38" i="2"/>
  <c r="P67" i="2"/>
  <c r="W77" i="2"/>
  <c r="AM44" i="2"/>
  <c r="AC80" i="2"/>
  <c r="U68" i="2"/>
  <c r="AC31" i="2"/>
  <c r="E19" i="2"/>
  <c r="K10" i="2"/>
  <c r="L57" i="2"/>
  <c r="AM79" i="2"/>
  <c r="N77" i="2"/>
  <c r="AJ9" i="2"/>
  <c r="X19" i="2"/>
  <c r="S44" i="2"/>
  <c r="H64" i="2"/>
  <c r="G39" i="2"/>
  <c r="E68" i="2"/>
  <c r="R76" i="2"/>
  <c r="J24" i="2"/>
  <c r="Y60" i="2"/>
  <c r="T36" i="2"/>
  <c r="L63" i="2"/>
  <c r="L75" i="2"/>
  <c r="W11" i="2"/>
  <c r="AD9" i="2"/>
  <c r="E15" i="2"/>
  <c r="J8" i="2"/>
  <c r="F35" i="2"/>
  <c r="E57" i="2"/>
  <c r="S60" i="2"/>
  <c r="AI80" i="2"/>
  <c r="R13" i="2"/>
  <c r="AE70" i="2"/>
  <c r="AI33" i="2"/>
  <c r="AK67" i="2"/>
  <c r="U5" i="2"/>
  <c r="AK68" i="2"/>
  <c r="Z50" i="2"/>
  <c r="L44" i="2"/>
  <c r="P6" i="2"/>
  <c r="M55" i="2"/>
  <c r="P13" i="2"/>
  <c r="AF22" i="2"/>
  <c r="AB74" i="2"/>
  <c r="H70" i="2"/>
  <c r="AG47" i="2"/>
  <c r="V27" i="2"/>
  <c r="N54" i="2"/>
  <c r="S32" i="2"/>
  <c r="AG20" i="2"/>
  <c r="I51" i="2"/>
  <c r="AC18" i="2"/>
  <c r="X20" i="2"/>
  <c r="AI78" i="2"/>
  <c r="AG38" i="2"/>
  <c r="U63" i="2"/>
  <c r="AH35" i="2"/>
  <c r="AH57" i="2"/>
  <c r="N8" i="2"/>
  <c r="AF40" i="2"/>
  <c r="AM39" i="2"/>
  <c r="H65" i="2"/>
  <c r="AJ14" i="2"/>
  <c r="AI15" i="2"/>
  <c r="AD79" i="2"/>
  <c r="AK37" i="2"/>
  <c r="K41" i="2"/>
  <c r="I25" i="2"/>
  <c r="S13" i="2"/>
  <c r="AD28" i="2"/>
  <c r="N9" i="2"/>
  <c r="AB78" i="2"/>
  <c r="N75" i="2"/>
  <c r="AH24" i="2"/>
  <c r="R40" i="2"/>
  <c r="Y29" i="2"/>
  <c r="I72" i="2"/>
  <c r="AI49" i="2"/>
  <c r="I27" i="2"/>
  <c r="AJ76" i="2"/>
  <c r="M49" i="2"/>
  <c r="T39" i="2"/>
  <c r="P76" i="2"/>
  <c r="P23" i="2"/>
  <c r="I7" i="2"/>
  <c r="AJ50" i="2"/>
  <c r="G20" i="2"/>
  <c r="P75" i="2"/>
  <c r="AJ42" i="2"/>
  <c r="Y13" i="2"/>
  <c r="AL16" i="2"/>
  <c r="AB4" i="2"/>
  <c r="R67" i="2"/>
  <c r="AB57" i="2"/>
  <c r="W21" i="2"/>
  <c r="Y59" i="2"/>
  <c r="AA42" i="2"/>
  <c r="AM27" i="2"/>
  <c r="I35" i="2"/>
  <c r="AJ57" i="2"/>
  <c r="AC51" i="2"/>
  <c r="N55" i="2"/>
  <c r="AI30" i="2"/>
  <c r="R80" i="2"/>
  <c r="V18" i="2"/>
  <c r="K71" i="2"/>
  <c r="H69" i="2"/>
  <c r="X40" i="2"/>
  <c r="P46" i="2"/>
  <c r="AF45" i="2"/>
  <c r="L58" i="2"/>
  <c r="Z6" i="2"/>
  <c r="H26" i="2"/>
  <c r="Z9" i="2"/>
  <c r="T76" i="2"/>
  <c r="AL70" i="2"/>
  <c r="S29" i="2"/>
  <c r="AF32" i="2"/>
  <c r="AA58" i="2"/>
  <c r="W60" i="2"/>
  <c r="P77" i="2"/>
  <c r="I76" i="2"/>
  <c r="V35" i="2"/>
  <c r="O57" i="2"/>
  <c r="F57" i="2"/>
  <c r="Z17" i="2"/>
  <c r="AD20" i="2"/>
  <c r="E4" i="2"/>
  <c r="U38" i="2"/>
  <c r="P18" i="2"/>
  <c r="I55" i="2"/>
  <c r="AL66" i="2"/>
  <c r="AI48" i="2"/>
  <c r="L53" i="2"/>
  <c r="N45" i="2"/>
  <c r="F76" i="2"/>
  <c r="AD39" i="2"/>
  <c r="Y67" i="2"/>
  <c r="AB34" i="2"/>
  <c r="U29" i="2"/>
  <c r="O61" i="2"/>
  <c r="Z66" i="2"/>
  <c r="AI47" i="2"/>
  <c r="AL27" i="2"/>
  <c r="O65" i="2"/>
  <c r="AA32" i="2"/>
  <c r="L46" i="2"/>
  <c r="AH76" i="2"/>
  <c r="Z48" i="2"/>
  <c r="S18" i="2"/>
  <c r="J49" i="2"/>
  <c r="H16" i="2"/>
  <c r="AB80" i="2"/>
  <c r="J31" i="2"/>
  <c r="AD53" i="2"/>
  <c r="T4" i="2"/>
  <c r="R18" i="2"/>
  <c r="AG65" i="2"/>
  <c r="N68" i="2"/>
  <c r="AC65" i="2"/>
  <c r="T26" i="2"/>
  <c r="AC64" i="2"/>
  <c r="Y77" i="2"/>
  <c r="AB12" i="2"/>
  <c r="AB11" i="2"/>
  <c r="J4" i="2"/>
  <c r="J57" i="2"/>
  <c r="U33" i="2"/>
  <c r="N30" i="2"/>
  <c r="Y71" i="2"/>
  <c r="H19" i="2"/>
  <c r="N60" i="2"/>
  <c r="T7" i="2"/>
  <c r="T49" i="2"/>
  <c r="AF11" i="2"/>
  <c r="AB75" i="2"/>
  <c r="K51" i="2"/>
  <c r="I9" i="2"/>
  <c r="Z47" i="2"/>
  <c r="AL21" i="2"/>
  <c r="X11" i="2"/>
  <c r="J43" i="2"/>
  <c r="H18" i="2"/>
  <c r="AG69" i="2"/>
  <c r="AK79" i="2"/>
  <c r="Z16" i="2"/>
  <c r="AI68" i="2"/>
  <c r="L13" i="2"/>
  <c r="G66" i="2"/>
  <c r="AA18" i="2"/>
  <c r="AC77" i="2"/>
  <c r="AM8" i="2"/>
  <c r="AF47" i="2"/>
  <c r="P79" i="2"/>
  <c r="AI51" i="2"/>
  <c r="L73" i="2"/>
  <c r="I45" i="2"/>
  <c r="AL18" i="2"/>
  <c r="G4" i="2"/>
  <c r="AL53" i="2"/>
  <c r="AM63" i="2"/>
  <c r="AD16" i="2"/>
  <c r="AD62" i="2"/>
  <c r="G14" i="2"/>
  <c r="Z63" i="2"/>
  <c r="AD58" i="2"/>
  <c r="O13" i="2"/>
  <c r="E30" i="2"/>
  <c r="AH72" i="2"/>
  <c r="AM18" i="2"/>
  <c r="G79" i="2"/>
  <c r="U42" i="2"/>
  <c r="K69" i="2"/>
  <c r="V22" i="2"/>
  <c r="E41" i="2"/>
  <c r="H77" i="2"/>
  <c r="U30" i="2"/>
  <c r="S22" i="2"/>
  <c r="U41" i="2"/>
  <c r="AA31" i="2"/>
  <c r="F6" i="2"/>
  <c r="M78" i="2"/>
  <c r="Z57" i="2"/>
  <c r="W30" i="2"/>
  <c r="AM41" i="2"/>
  <c r="V29" i="2"/>
  <c r="U8" i="2"/>
  <c r="O78" i="2"/>
  <c r="I66" i="2"/>
  <c r="H33" i="2"/>
  <c r="T57" i="2"/>
  <c r="W55" i="2"/>
  <c r="U13" i="2"/>
  <c r="AI25" i="2"/>
  <c r="AE59" i="2"/>
  <c r="I68" i="2"/>
  <c r="AJ41" i="2"/>
  <c r="AG28" i="2"/>
  <c r="N39" i="2"/>
  <c r="AF54" i="2"/>
  <c r="AA4" i="2"/>
  <c r="G29" i="2"/>
  <c r="AH70" i="2"/>
  <c r="K46" i="2"/>
  <c r="AF25" i="2"/>
  <c r="M80" i="2"/>
  <c r="S16" i="2"/>
  <c r="AI62" i="2"/>
  <c r="N52" i="2"/>
  <c r="W19" i="2"/>
  <c r="AK29" i="2"/>
  <c r="T16" i="2"/>
  <c r="N69" i="2"/>
  <c r="AC45" i="2"/>
  <c r="AL8" i="2"/>
  <c r="Z10" i="2"/>
  <c r="AC40" i="2"/>
  <c r="AH16" i="2"/>
  <c r="U75" i="2"/>
  <c r="AJ33" i="2"/>
  <c r="L62" i="2"/>
  <c r="AC59" i="2"/>
  <c r="R52" i="2"/>
  <c r="H59" i="2"/>
  <c r="L64" i="2"/>
  <c r="J35" i="2"/>
  <c r="AI79" i="2"/>
  <c r="I44" i="2"/>
  <c r="AE17" i="2"/>
  <c r="W71" i="2"/>
  <c r="L5" i="2"/>
  <c r="AI54" i="2"/>
  <c r="AG68" i="2"/>
  <c r="AJ69" i="2"/>
  <c r="U24" i="2"/>
  <c r="O49" i="2"/>
  <c r="I69" i="2"/>
  <c r="AE74" i="2"/>
  <c r="AH67" i="2"/>
  <c r="AB77" i="2"/>
  <c r="F39" i="2"/>
  <c r="G30" i="2"/>
  <c r="AB68" i="2"/>
  <c r="U76" i="2"/>
  <c r="Z71" i="2"/>
  <c r="AF74" i="2"/>
  <c r="V80" i="2"/>
  <c r="AA60" i="2"/>
  <c r="AJ31" i="2"/>
  <c r="AC44" i="2"/>
  <c r="AG14" i="2"/>
  <c r="P50" i="2"/>
  <c r="F11" i="2"/>
  <c r="P78" i="2"/>
  <c r="AM75" i="2"/>
  <c r="M21" i="2"/>
  <c r="X17" i="2"/>
  <c r="R24" i="2"/>
  <c r="L68" i="2"/>
  <c r="U51" i="2"/>
  <c r="O51" i="2"/>
  <c r="AL69" i="2"/>
  <c r="AE49" i="2"/>
  <c r="V6" i="2"/>
  <c r="T71" i="2"/>
  <c r="AD18" i="2"/>
  <c r="T67" i="2"/>
  <c r="AI65" i="2"/>
  <c r="M4" i="2"/>
  <c r="X67" i="2"/>
  <c r="H31" i="2"/>
  <c r="AI61" i="2"/>
  <c r="Z8" i="2"/>
  <c r="J58" i="2"/>
  <c r="S14" i="2"/>
  <c r="I17" i="2"/>
  <c r="AC33" i="2"/>
  <c r="AI32" i="2"/>
  <c r="G55" i="2"/>
  <c r="AA33" i="2"/>
  <c r="M30" i="2"/>
  <c r="K56" i="2"/>
  <c r="AL36" i="2"/>
  <c r="L18" i="2"/>
  <c r="M9" i="2"/>
  <c r="H66" i="2"/>
  <c r="AB31" i="2"/>
  <c r="M20" i="2"/>
  <c r="J14" i="2"/>
  <c r="AI8" i="2"/>
  <c r="S65" i="2"/>
  <c r="AG10" i="2"/>
  <c r="X5" i="2"/>
  <c r="AG50" i="2"/>
  <c r="K40" i="2"/>
  <c r="J79" i="2"/>
  <c r="X70" i="2"/>
  <c r="AI9" i="2"/>
  <c r="AA29" i="2"/>
  <c r="Z30" i="2"/>
  <c r="AI75" i="2"/>
  <c r="T50" i="2"/>
  <c r="F21" i="2"/>
  <c r="K45" i="2"/>
  <c r="X61" i="2"/>
  <c r="AK47" i="2"/>
  <c r="S54" i="2"/>
  <c r="X64" i="2"/>
  <c r="R38" i="2"/>
  <c r="AI17" i="2"/>
  <c r="T27" i="2"/>
  <c r="AB7" i="2"/>
  <c r="AH31" i="2"/>
  <c r="P8" i="2"/>
  <c r="AK60" i="2"/>
  <c r="K39" i="2"/>
  <c r="M13" i="2"/>
  <c r="AJ72" i="2"/>
  <c r="G43" i="2"/>
  <c r="AD14" i="2"/>
  <c r="AK43" i="2"/>
  <c r="Y31" i="2"/>
  <c r="L19" i="2"/>
  <c r="AK75" i="2"/>
  <c r="AC63" i="2"/>
  <c r="X66" i="2"/>
  <c r="O60" i="2"/>
  <c r="X31" i="2"/>
  <c r="H41" i="2"/>
  <c r="AI43" i="2"/>
  <c r="Z39" i="2"/>
  <c r="Z34" i="2"/>
  <c r="J37" i="2"/>
  <c r="J44" i="2"/>
  <c r="AC78" i="2"/>
  <c r="E37" i="2"/>
  <c r="E9" i="2"/>
  <c r="AI67" i="2"/>
  <c r="F56" i="2"/>
  <c r="T17" i="2"/>
  <c r="AA41" i="2"/>
  <c r="G78" i="2"/>
  <c r="W39" i="2"/>
  <c r="V70" i="2"/>
  <c r="S6" i="2"/>
  <c r="AC13" i="2"/>
  <c r="AB50" i="2"/>
  <c r="S74" i="2"/>
  <c r="H40" i="2"/>
  <c r="AF56" i="2"/>
  <c r="Z62" i="2"/>
  <c r="W74" i="2"/>
  <c r="L49" i="2"/>
  <c r="AE71" i="2"/>
  <c r="R45" i="2"/>
  <c r="Z13" i="2"/>
  <c r="Z55" i="2"/>
  <c r="U54" i="2"/>
  <c r="E22" i="2"/>
  <c r="AI71" i="2"/>
  <c r="L76" i="2"/>
  <c r="AK54" i="2"/>
  <c r="S78" i="2"/>
  <c r="AM7" i="2"/>
  <c r="AK5" i="2"/>
  <c r="AC72" i="2"/>
  <c r="G71" i="2"/>
  <c r="AJ43" i="2"/>
  <c r="AA64" i="2"/>
  <c r="AK11" i="2"/>
  <c r="Z28" i="2"/>
  <c r="J36" i="2"/>
  <c r="M10" i="2"/>
  <c r="P74" i="2"/>
  <c r="F66" i="2"/>
  <c r="L42" i="2"/>
  <c r="AD34" i="2"/>
  <c r="AL14" i="2"/>
  <c r="AG23" i="2"/>
  <c r="AI28" i="2"/>
  <c r="P26" i="2"/>
  <c r="AJ10" i="2"/>
  <c r="AE29" i="2"/>
  <c r="Y12" i="2"/>
  <c r="U39" i="2"/>
  <c r="AI5" i="2"/>
  <c r="N27" i="2"/>
  <c r="Z14" i="2"/>
  <c r="AL68" i="2"/>
  <c r="J23" i="2"/>
  <c r="W36" i="2"/>
  <c r="AK32" i="2"/>
  <c r="AE16" i="2"/>
  <c r="AK35" i="2"/>
  <c r="R4" i="2"/>
  <c r="AA5" i="2"/>
  <c r="AM9" i="2"/>
  <c r="AD32" i="2"/>
  <c r="M8" i="2"/>
  <c r="AH12" i="2"/>
  <c r="AB51" i="2"/>
  <c r="N36" i="2"/>
  <c r="I74" i="2"/>
  <c r="AF76" i="2"/>
  <c r="P15" i="2"/>
  <c r="F17" i="2"/>
  <c r="R74" i="2"/>
  <c r="I39" i="2"/>
  <c r="U72" i="2"/>
  <c r="P30" i="2"/>
  <c r="AD25" i="2"/>
  <c r="P56" i="2"/>
  <c r="AH28" i="2"/>
  <c r="U40" i="2"/>
  <c r="K52" i="2"/>
  <c r="K48" i="2"/>
  <c r="AK74" i="2"/>
  <c r="AA80" i="2"/>
  <c r="AJ44" i="2"/>
  <c r="AK28" i="2"/>
  <c r="Z19" i="2"/>
  <c r="AI42" i="2"/>
  <c r="AK14" i="2"/>
  <c r="T5" i="2"/>
  <c r="M17" i="2"/>
  <c r="Z54" i="2"/>
  <c r="I50" i="2"/>
  <c r="AF10" i="2"/>
  <c r="AC27" i="2"/>
  <c r="AH34" i="2"/>
  <c r="AI12" i="2"/>
  <c r="O69" i="2"/>
  <c r="AI31" i="2"/>
  <c r="V19" i="2"/>
  <c r="T45" i="2"/>
  <c r="AC22" i="2"/>
  <c r="K57" i="2"/>
  <c r="I29" i="2"/>
  <c r="AG41" i="2"/>
  <c r="L38" i="2"/>
  <c r="W44" i="2"/>
  <c r="V4" i="2"/>
  <c r="I12" i="2"/>
  <c r="AF52" i="2"/>
  <c r="Y15" i="2"/>
  <c r="AK6" i="2"/>
  <c r="L28" i="2"/>
  <c r="X8" i="2"/>
  <c r="J18" i="2"/>
  <c r="AG61" i="2"/>
  <c r="I4" i="2"/>
  <c r="L33" i="2"/>
  <c r="AD66" i="2"/>
  <c r="H23" i="2"/>
  <c r="AM4" i="2"/>
  <c r="AA40" i="2"/>
  <c r="Y54" i="2"/>
  <c r="H42" i="2"/>
  <c r="S64" i="2"/>
  <c r="T53" i="2"/>
  <c r="O14" i="2"/>
  <c r="AG6" i="2"/>
  <c r="AD4" i="2"/>
  <c r="P60" i="2"/>
  <c r="X48" i="2"/>
  <c r="N25" i="2"/>
  <c r="O50" i="2"/>
  <c r="I5" i="2"/>
  <c r="AL52" i="2"/>
  <c r="R8" i="2"/>
  <c r="AB40" i="2"/>
  <c r="M11" i="2"/>
  <c r="AB44" i="2"/>
  <c r="P9" i="2"/>
  <c r="K5" i="2"/>
  <c r="E23" i="2"/>
  <c r="AC54" i="2"/>
  <c r="AB43" i="2"/>
  <c r="AE36" i="2"/>
  <c r="R30" i="2"/>
  <c r="W47" i="2"/>
  <c r="AM46" i="2"/>
  <c r="AK64" i="2"/>
  <c r="AL28" i="2"/>
  <c r="I57" i="2"/>
  <c r="N63" i="2"/>
  <c r="AA79" i="2"/>
  <c r="AF6" i="2"/>
  <c r="AH65" i="2"/>
  <c r="K11" i="2"/>
  <c r="AF27" i="2"/>
  <c r="E42" i="2"/>
  <c r="AF48" i="2"/>
  <c r="J16" i="2"/>
  <c r="AM31" i="2"/>
  <c r="AF59" i="2"/>
  <c r="AB35" i="2"/>
  <c r="W53" i="2"/>
  <c r="AA48" i="2"/>
  <c r="P40" i="2"/>
  <c r="V11" i="2"/>
  <c r="X33" i="2"/>
  <c r="AA16" i="2"/>
  <c r="G49" i="2"/>
  <c r="R47" i="2"/>
  <c r="AE24" i="2"/>
  <c r="J54" i="2"/>
  <c r="U44" i="2"/>
  <c r="I18" i="2"/>
  <c r="AF13" i="2"/>
  <c r="E46" i="2"/>
  <c r="AB72" i="2"/>
  <c r="V14" i="2"/>
  <c r="G56" i="2"/>
  <c r="AE72" i="2"/>
  <c r="R36" i="2"/>
  <c r="F52" i="2"/>
  <c r="AC73" i="2"/>
  <c r="Y24" i="2"/>
  <c r="AL6" i="2"/>
  <c r="AI57" i="2"/>
  <c r="M48" i="2"/>
  <c r="AF38" i="2"/>
  <c r="AE78" i="2"/>
  <c r="O76" i="2"/>
  <c r="W6" i="2"/>
  <c r="AE14" i="2"/>
  <c r="S50" i="2"/>
  <c r="AD24" i="2"/>
  <c r="G17" i="2"/>
  <c r="AL29" i="2"/>
  <c r="AD40" i="2"/>
  <c r="AE26" i="2"/>
  <c r="AE12" i="2"/>
  <c r="S70" i="2"/>
  <c r="K76" i="2"/>
  <c r="Z79" i="2"/>
  <c r="N34" i="2"/>
  <c r="AE11" i="2"/>
  <c r="AJ80" i="2"/>
  <c r="P47" i="2"/>
  <c r="K18" i="2"/>
  <c r="H5" i="2"/>
  <c r="O17" i="2"/>
  <c r="AA46" i="2"/>
  <c r="T68" i="2"/>
  <c r="AG76" i="2"/>
  <c r="N14" i="2"/>
  <c r="H4" i="2"/>
  <c r="N56" i="2"/>
  <c r="AB36" i="2"/>
  <c r="O9" i="2"/>
  <c r="L27" i="2"/>
  <c r="T38" i="2"/>
  <c r="V42" i="2"/>
  <c r="K73" i="2"/>
  <c r="AD21" i="2"/>
  <c r="P20" i="2"/>
  <c r="AA26" i="2"/>
  <c r="V65" i="2"/>
  <c r="R57" i="2"/>
  <c r="AC20" i="2"/>
  <c r="V15" i="2"/>
  <c r="AL79" i="2"/>
  <c r="F50" i="2"/>
  <c r="AG25" i="2"/>
  <c r="K49" i="2"/>
  <c r="AI23" i="2"/>
  <c r="F36" i="2"/>
  <c r="Y14" i="2"/>
  <c r="M37" i="2"/>
  <c r="H6" i="2"/>
  <c r="AL25" i="2"/>
  <c r="L32" i="2"/>
  <c r="M65" i="2"/>
  <c r="AG19" i="2"/>
  <c r="O70" i="2"/>
  <c r="U59" i="2"/>
  <c r="Z60" i="2"/>
  <c r="T79" i="2"/>
  <c r="H48" i="2"/>
  <c r="AJ71" i="2"/>
  <c r="S80" i="2"/>
  <c r="V37" i="2"/>
  <c r="V13" i="2"/>
  <c r="AA49" i="2"/>
  <c r="AM72" i="2"/>
  <c r="M63" i="2"/>
  <c r="W51" i="2"/>
  <c r="U69" i="2"/>
  <c r="N24" i="2"/>
  <c r="W31" i="2"/>
  <c r="V48" i="2"/>
  <c r="F19" i="2"/>
  <c r="U79" i="2"/>
  <c r="S66" i="2"/>
  <c r="Y48" i="2"/>
  <c r="M47" i="2"/>
  <c r="AB79" i="2"/>
  <c r="P59" i="2"/>
  <c r="R33" i="2"/>
  <c r="J11" i="2"/>
  <c r="X54" i="2"/>
  <c r="Z7" i="2"/>
  <c r="AL76" i="2"/>
  <c r="P14" i="2"/>
  <c r="G19" i="2"/>
  <c r="AG55" i="2"/>
  <c r="AD75" i="2"/>
  <c r="P58" i="2"/>
  <c r="W48" i="2"/>
  <c r="AG59" i="2"/>
  <c r="J80" i="2"/>
  <c r="AL73" i="2"/>
  <c r="W15" i="2"/>
  <c r="K19" i="2"/>
  <c r="AA68" i="2"/>
  <c r="J12" i="2"/>
  <c r="E28" i="2"/>
  <c r="F67" i="2"/>
  <c r="H13" i="2"/>
  <c r="V26" i="2"/>
  <c r="W62" i="2"/>
  <c r="O19" i="2"/>
  <c r="J15" i="2"/>
  <c r="AD7" i="2"/>
  <c r="Y40" i="2"/>
  <c r="R49" i="2"/>
  <c r="F54" i="2"/>
  <c r="Z70" i="2"/>
  <c r="AM17" i="2"/>
  <c r="S33" i="2"/>
  <c r="AK23" i="2"/>
  <c r="AC30" i="2"/>
  <c r="AJ47" i="2"/>
  <c r="T34" i="2"/>
  <c r="V46" i="2"/>
  <c r="AE22" i="2"/>
  <c r="K29" i="2"/>
  <c r="AL30" i="2"/>
  <c r="AM28" i="2"/>
  <c r="N53" i="2"/>
  <c r="X60" i="2"/>
  <c r="AG21" i="2"/>
  <c r="X22" i="2"/>
  <c r="T35" i="2"/>
  <c r="AK70" i="2"/>
  <c r="M72" i="2"/>
  <c r="Y22" i="2"/>
  <c r="Z51" i="2"/>
  <c r="O74" i="2"/>
  <c r="Y76" i="2"/>
  <c r="Y41" i="2"/>
  <c r="L37" i="2"/>
  <c r="W5" i="2"/>
  <c r="J65" i="2"/>
  <c r="N20" i="2"/>
  <c r="AJ23" i="2"/>
  <c r="E35" i="2"/>
  <c r="AA7" i="2"/>
  <c r="R6" i="2"/>
  <c r="N18" i="2"/>
  <c r="R5" i="2"/>
  <c r="T41" i="2"/>
  <c r="G59" i="2"/>
  <c r="E20" i="2"/>
  <c r="AL42" i="2"/>
  <c r="AK58" i="2"/>
  <c r="H11" i="2"/>
  <c r="L12" i="2"/>
  <c r="AF35" i="2"/>
  <c r="AE73" i="2"/>
  <c r="AD15" i="2"/>
  <c r="I61" i="2"/>
  <c r="R71" i="2"/>
  <c r="Z59" i="2"/>
  <c r="AJ16" i="2"/>
  <c r="N46" i="2"/>
  <c r="T9" i="2"/>
  <c r="S23" i="2"/>
  <c r="AE47" i="2"/>
  <c r="AB14" i="2"/>
  <c r="X79" i="2"/>
  <c r="P24" i="2"/>
  <c r="S38" i="2"/>
  <c r="P38" i="2"/>
  <c r="U15" i="2"/>
  <c r="V58" i="2"/>
  <c r="AK78" i="2"/>
  <c r="N23" i="2"/>
  <c r="Y20" i="2"/>
  <c r="U64" i="2"/>
  <c r="E64" i="2"/>
  <c r="T55" i="2"/>
  <c r="Z80" i="2"/>
  <c r="S79" i="2"/>
  <c r="U48" i="2"/>
  <c r="AM32" i="2"/>
  <c r="AG4" i="2"/>
  <c r="Z29" i="2"/>
  <c r="X25" i="2"/>
  <c r="AI55" i="2"/>
  <c r="AL12" i="2"/>
  <c r="F73" i="2"/>
  <c r="AA44" i="2"/>
  <c r="AL17" i="2"/>
  <c r="AB49" i="2"/>
  <c r="R11" i="2"/>
  <c r="P69" i="2"/>
  <c r="G61" i="2"/>
  <c r="U37" i="2"/>
  <c r="Z67" i="2"/>
  <c r="AB27" i="2"/>
  <c r="AI18" i="2"/>
  <c r="H38" i="2"/>
  <c r="S57" i="2"/>
  <c r="AG43" i="2"/>
  <c r="T13" i="2"/>
  <c r="AJ30" i="2"/>
  <c r="R28" i="2"/>
  <c r="AB17" i="2"/>
  <c r="J5" i="2"/>
  <c r="L65" i="2"/>
  <c r="AG46" i="2"/>
  <c r="AM62" i="2"/>
  <c r="AE60" i="2"/>
  <c r="L48" i="2"/>
  <c r="AE66" i="2"/>
  <c r="L34" i="2"/>
  <c r="AE5" i="2"/>
  <c r="J39" i="2"/>
  <c r="AL37" i="2"/>
  <c r="T22" i="2"/>
  <c r="T32" i="2"/>
  <c r="E17" i="2"/>
  <c r="W34" i="2"/>
  <c r="AD74" i="2"/>
  <c r="AA62" i="2"/>
  <c r="AI16" i="2"/>
  <c r="M50" i="2"/>
  <c r="AK25" i="2"/>
  <c r="H51" i="2"/>
  <c r="W69" i="2"/>
  <c r="X9" i="2"/>
  <c r="E24" i="2"/>
  <c r="U26" i="2"/>
  <c r="AG73" i="2"/>
  <c r="AM59" i="2"/>
  <c r="G12" i="2"/>
  <c r="E21" i="2"/>
  <c r="K60" i="2"/>
  <c r="AB41" i="2"/>
  <c r="N48" i="2"/>
  <c r="G34" i="2"/>
  <c r="M40" i="2"/>
  <c r="W66" i="2"/>
  <c r="T72" i="2"/>
  <c r="P7" i="2"/>
  <c r="AF44" i="2"/>
  <c r="AB10" i="2"/>
  <c r="Z69" i="2"/>
  <c r="AG74" i="2"/>
  <c r="AM12" i="2"/>
  <c r="O20" i="2"/>
  <c r="O36" i="2"/>
  <c r="H37" i="2"/>
  <c r="M44" i="2"/>
  <c r="AA30" i="2"/>
  <c r="G76" i="2"/>
  <c r="T14" i="2"/>
  <c r="N72" i="2"/>
  <c r="AM38" i="2"/>
  <c r="AB48" i="2"/>
  <c r="AI72" i="2"/>
  <c r="X52" i="2"/>
  <c r="P43" i="2"/>
  <c r="Z5" i="2"/>
  <c r="J70" i="2"/>
  <c r="Y6" i="2"/>
  <c r="M56" i="2"/>
  <c r="AB66" i="2"/>
  <c r="AL62" i="2"/>
  <c r="J17" i="2"/>
  <c r="AF30" i="2"/>
  <c r="AC75" i="2"/>
  <c r="F40" i="2"/>
  <c r="S68" i="2"/>
  <c r="AD70" i="2"/>
  <c r="X23" i="2"/>
  <c r="AM48" i="2"/>
  <c r="AJ8" i="2"/>
  <c r="N49" i="2"/>
  <c r="AH55" i="2"/>
  <c r="I19" i="2"/>
  <c r="AG54" i="2"/>
  <c r="AC56" i="2"/>
  <c r="V24" i="2"/>
  <c r="F12" i="2"/>
  <c r="AK31" i="2"/>
  <c r="O48" i="2"/>
  <c r="E29" i="2"/>
  <c r="O4" i="2"/>
  <c r="E8" i="2"/>
  <c r="V51" i="2"/>
  <c r="I32" i="2"/>
  <c r="AM60" i="2"/>
  <c r="AI45" i="2"/>
  <c r="K61" i="2"/>
  <c r="AF49" i="2"/>
  <c r="S73" i="2"/>
  <c r="X62" i="2"/>
  <c r="U45" i="2"/>
  <c r="Y4" i="2"/>
  <c r="AF36" i="2"/>
  <c r="Y68" i="2"/>
  <c r="G73" i="2"/>
  <c r="O7" i="2"/>
  <c r="K53" i="2"/>
  <c r="F38" i="2"/>
  <c r="AJ19" i="2"/>
  <c r="L72" i="2"/>
  <c r="AH27" i="2"/>
  <c r="L40" i="2"/>
  <c r="AD37" i="2"/>
  <c r="AJ34" i="2"/>
  <c r="G37" i="2"/>
  <c r="AA52" i="2"/>
  <c r="E75" i="2"/>
  <c r="S37" i="2"/>
  <c r="AM50" i="2"/>
  <c r="P4" i="2"/>
  <c r="J34" i="2"/>
  <c r="AE41" i="2"/>
  <c r="V16" i="2"/>
  <c r="AI73" i="2"/>
  <c r="O21" i="2"/>
  <c r="L52" i="2"/>
  <c r="AE32" i="2"/>
  <c r="AJ55" i="2"/>
  <c r="AC49" i="2"/>
  <c r="W68" i="2"/>
  <c r="AF57" i="2"/>
  <c r="AE38" i="2"/>
  <c r="Z37" i="2"/>
  <c r="AE15" i="2"/>
  <c r="W13" i="2"/>
  <c r="R19" i="2"/>
  <c r="N7" i="2"/>
  <c r="Y43" i="2"/>
  <c r="AE65" i="2"/>
  <c r="I11" i="2"/>
  <c r="I37" i="2"/>
  <c r="AB15" i="2"/>
</calcChain>
</file>

<file path=xl/sharedStrings.xml><?xml version="1.0" encoding="utf-8"?>
<sst xmlns="http://schemas.openxmlformats.org/spreadsheetml/2006/main" count="5531" uniqueCount="1079">
  <si>
    <t>ID</t>
  </si>
  <si>
    <t>Data Coleta</t>
  </si>
  <si>
    <t>Data recebimento</t>
  </si>
  <si>
    <t>Usuário</t>
  </si>
  <si>
    <t>Data e Hora</t>
  </si>
  <si>
    <t>Unidade</t>
  </si>
  <si>
    <t>Turno</t>
  </si>
  <si>
    <t>Responsável pelo Monitoramento</t>
  </si>
  <si>
    <t>Observações</t>
  </si>
  <si>
    <t>Pro ventrículo não integro</t>
  </si>
  <si>
    <t>Retirada de Coração</t>
  </si>
  <si>
    <t>Retirada de Fígado</t>
  </si>
  <si>
    <t>% Retirada de Coração</t>
  </si>
  <si>
    <t>Miúdos Palma A</t>
  </si>
  <si>
    <t>Assinatura Coordenador/Supervisor/Operador</t>
  </si>
  <si>
    <t>Tempo de resposta</t>
  </si>
  <si>
    <t>6a70bdd4af01254a4c6a4e91</t>
  </si>
  <si>
    <t>03/08/2026 11:06:24</t>
  </si>
  <si>
    <t>03/08/2026 13:12:04</t>
  </si>
  <si>
    <t>Henrique</t>
  </si>
  <si>
    <t>Guapiaçu</t>
  </si>
  <si>
    <t>1 ° Turno</t>
  </si>
  <si>
    <t/>
  </si>
  <si>
    <t>EDMAR FELIPE MARTINS</t>
  </si>
  <si>
    <t>assinatura</t>
  </si>
  <si>
    <t>6a708de882116f4589b43dc5</t>
  </si>
  <si>
    <t>03/08/2026 06:44:49</t>
  </si>
  <si>
    <t>03/08/2026 09:47:36</t>
  </si>
  <si>
    <t>6a708de882116f4589b43db3</t>
  </si>
  <si>
    <t>03/08/2026 04:35:40</t>
  </si>
  <si>
    <t>6a6c0d7bf4f53d4bfad12ff4</t>
  </si>
  <si>
    <t>30/07/2026 19:17:58</t>
  </si>
  <si>
    <t>30/07/2026 23:50:35</t>
  </si>
  <si>
    <t>2 ° Turno</t>
  </si>
  <si>
    <t>JOBILIANA APARECIDA MAXIMO BERGAMINI</t>
  </si>
  <si>
    <t>6a6bbe58bb240fcb84f826bf</t>
  </si>
  <si>
    <t>30/07/2026 14:15:48</t>
  </si>
  <si>
    <t>30/07/2026 18:12:56</t>
  </si>
  <si>
    <t>6a6b75febb240fcb84f7b96a</t>
  </si>
  <si>
    <t>30/07/2026 11:19:53</t>
  </si>
  <si>
    <t>30/07/2026 13:04:14</t>
  </si>
  <si>
    <t>6a6b75fdbb240fcb84f7b956</t>
  </si>
  <si>
    <t>30/07/2026 06:51:05</t>
  </si>
  <si>
    <t>30/07/2026 13:04:13</t>
  </si>
  <si>
    <t>6a6b75fdbb240fcb84f7b944</t>
  </si>
  <si>
    <t>30/07/2026 04:33:03</t>
  </si>
  <si>
    <t>6a6af2a35c12d4b9b8912964</t>
  </si>
  <si>
    <t>29/07/2026 19:16:33</t>
  </si>
  <si>
    <t>30/07/2026 03:43:47</t>
  </si>
  <si>
    <t>6a6af2a25c12d4b9b8912940</t>
  </si>
  <si>
    <t>29/07/2026 14:14:55</t>
  </si>
  <si>
    <t>30/07/2026 03:43:46</t>
  </si>
  <si>
    <t>6a6a26f32a5728ac9e0913e8</t>
  </si>
  <si>
    <t>29/07/2026 11:25:35</t>
  </si>
  <si>
    <t>29/07/2026 13:14:43</t>
  </si>
  <si>
    <t>6a6a26f22a5728ac9e0913ca</t>
  </si>
  <si>
    <t>29/07/2026 07:00:22</t>
  </si>
  <si>
    <t>29/07/2026 13:14:42</t>
  </si>
  <si>
    <t>6a6a26f22a5728ac9e0913b2</t>
  </si>
  <si>
    <t>29/07/2026 04:32:41</t>
  </si>
  <si>
    <t>6a6963f5763dc6f7b219d910</t>
  </si>
  <si>
    <t>28/07/2026 19:20:58</t>
  </si>
  <si>
    <t>28/07/2026 23:22:45</t>
  </si>
  <si>
    <t>6a6963f4763dc6f7b219d8ea</t>
  </si>
  <si>
    <t>28/07/2026 14:02:54</t>
  </si>
  <si>
    <t>28/07/2026 23:22:44</t>
  </si>
  <si>
    <t>6a68d49285d36be5ca6d9e29</t>
  </si>
  <si>
    <t>28/07/2026 10:37:54</t>
  </si>
  <si>
    <t>28/07/2026 13:10:58</t>
  </si>
  <si>
    <t>6a68d49285d36be5ca6d9e17</t>
  </si>
  <si>
    <t>28/07/2026 07:20:23</t>
  </si>
  <si>
    <t>6a68d49285d36be5ca6d9dff</t>
  </si>
  <si>
    <t>28/07/2026 04:41:09</t>
  </si>
  <si>
    <t>6a68178fe2f725a5d4709d6c</t>
  </si>
  <si>
    <t>27/07/2026 19:43:13</t>
  </si>
  <si>
    <t>27/07/2026 23:44:31</t>
  </si>
  <si>
    <t>6a68178fe2f725a5d4709d42</t>
  </si>
  <si>
    <t>27/07/2026 14:14:27</t>
  </si>
  <si>
    <t>6a677edb27e8ab0c2bc3bd2b</t>
  </si>
  <si>
    <t>27/07/2026 11:23:59</t>
  </si>
  <si>
    <t>27/07/2026 12:52:59</t>
  </si>
  <si>
    <t>6a677edb27e8ab0c2bc3bd19</t>
  </si>
  <si>
    <t>27/07/2026 08:43:44</t>
  </si>
  <si>
    <t>6a677edb27e8ab0c2bc3bd13</t>
  </si>
  <si>
    <t>27/07/2026 08:39:55</t>
  </si>
  <si>
    <t>6a6423cd9f59a2ccd9dd0c0c</t>
  </si>
  <si>
    <t>24/07/2026 19:27:56</t>
  </si>
  <si>
    <t>24/07/2026 23:47:41</t>
  </si>
  <si>
    <t>6a6423cd9f59a2ccd9dd0bee</t>
  </si>
  <si>
    <t>24/07/2026 14:07:39</t>
  </si>
  <si>
    <t>6a63918e9b03979353f7a40d</t>
  </si>
  <si>
    <t>24/07/2026 11:20:27</t>
  </si>
  <si>
    <t>24/07/2026 13:23:42</t>
  </si>
  <si>
    <t>6a63918e9b03979353f7a3fb</t>
  </si>
  <si>
    <t>24/07/2026 08:54:53</t>
  </si>
  <si>
    <t>6a63918e9b03979353f7a3f5</t>
  </si>
  <si>
    <t>24/07/2026 08:49:45</t>
  </si>
  <si>
    <t>6a62d4f3c98691f7964019f6</t>
  </si>
  <si>
    <t>23/07/2026 19:22:49</t>
  </si>
  <si>
    <t>23/07/2026 23:58:59</t>
  </si>
  <si>
    <t>6a62d4f3c98691f7964019d8</t>
  </si>
  <si>
    <t>23/07/2026 15:46:26</t>
  </si>
  <si>
    <t>6a62d4f3c98691f7964019d2</t>
  </si>
  <si>
    <t>23/07/2026 14:15:57</t>
  </si>
  <si>
    <t>6a62390b540290449d38ecf0</t>
  </si>
  <si>
    <t>23/07/2026 11:25:40</t>
  </si>
  <si>
    <t>23/07/2026 12:53:47</t>
  </si>
  <si>
    <t>6a61f749b17f4f653eacc131</t>
  </si>
  <si>
    <t>22/07/2026 19:26:48</t>
  </si>
  <si>
    <t>23/07/2026 08:13:13</t>
  </si>
  <si>
    <t>Carcaça Quebrada</t>
  </si>
  <si>
    <t>Fratura Branca</t>
  </si>
  <si>
    <t>Hematoma Fabrica</t>
  </si>
  <si>
    <t>Peito Queimado</t>
  </si>
  <si>
    <t>Retorno Pés</t>
  </si>
  <si>
    <t>Cloca não Exposta</t>
  </si>
  <si>
    <t>Cloaca Rompida</t>
  </si>
  <si>
    <t>Contaminação após extratora</t>
  </si>
  <si>
    <t>Corte no Reto</t>
  </si>
  <si>
    <t>Abdome mal aberto</t>
  </si>
  <si>
    <t>Corte de Intestino</t>
  </si>
  <si>
    <t>Observações 2</t>
  </si>
  <si>
    <t>Carcaças com Pacotes mal extraídos</t>
  </si>
  <si>
    <t>Contaminação externa após a evisceradora</t>
  </si>
  <si>
    <t>Contaminação interna após a evisceradora</t>
  </si>
  <si>
    <t>Observações 3</t>
  </si>
  <si>
    <t>Data Corrigida</t>
  </si>
  <si>
    <t>Mês</t>
  </si>
  <si>
    <t>JUL</t>
  </si>
  <si>
    <t>AGO</t>
  </si>
  <si>
    <t>SET</t>
  </si>
  <si>
    <t>OUT</t>
  </si>
  <si>
    <t>NOV</t>
  </si>
  <si>
    <t>DEZ</t>
  </si>
  <si>
    <t>Rótulos de Coluna</t>
  </si>
  <si>
    <t>% Peito Queimado</t>
  </si>
  <si>
    <t>% Retorno Pés</t>
  </si>
  <si>
    <t>JAN</t>
  </si>
  <si>
    <t>FEV</t>
  </si>
  <si>
    <t>MAR</t>
  </si>
  <si>
    <t>ABR</t>
  </si>
  <si>
    <t>MAI</t>
  </si>
  <si>
    <t>JUN</t>
  </si>
  <si>
    <t>1° T | 2° T</t>
  </si>
  <si>
    <t>META</t>
  </si>
  <si>
    <t>TURNO</t>
  </si>
  <si>
    <t>6a735d4ee190e085c2af34ac</t>
  </si>
  <si>
    <t>05/08/2026 11:22:43</t>
  </si>
  <si>
    <t>05/08/2026 12:57:02</t>
  </si>
  <si>
    <t>05/08/2026</t>
  </si>
  <si>
    <t>6a735d4ee190e085c2af3488</t>
  </si>
  <si>
    <t>05/08/2026 06:50:55</t>
  </si>
  <si>
    <t>6a735d4de190e085c2af3470</t>
  </si>
  <si>
    <t>05/08/2026 04:30:42</t>
  </si>
  <si>
    <t>05/08/2026 12:57:01</t>
  </si>
  <si>
    <t>6a72a326e24bea36d87768e0</t>
  </si>
  <si>
    <t>04/08/2026 19:22:18</t>
  </si>
  <si>
    <t>04/08/2026 23:42:46</t>
  </si>
  <si>
    <t>04/08/2026</t>
  </si>
  <si>
    <t>6a72a326e24bea36d87768bc</t>
  </si>
  <si>
    <t>04/08/2026 14:13:15</t>
  </si>
  <si>
    <t>6a720c68c0018ab541365bd7</t>
  </si>
  <si>
    <t>04/08/2026 11:13:09</t>
  </si>
  <si>
    <t>04/08/2026 12:59:36</t>
  </si>
  <si>
    <t>6a720c67c0018ab541365bb9</t>
  </si>
  <si>
    <t>04/08/2026 06:54:59</t>
  </si>
  <si>
    <t>04/08/2026 12:59:35</t>
  </si>
  <si>
    <t>6a720c67c0018ab541365b9f</t>
  </si>
  <si>
    <t>04/08/2026 04:29:00</t>
  </si>
  <si>
    <t>6a71544f43a2a7c865871868</t>
  </si>
  <si>
    <t>03/08/2026 19:36:18</t>
  </si>
  <si>
    <t>03/08/2026 23:54:07</t>
  </si>
  <si>
    <t>03/08/2026</t>
  </si>
  <si>
    <t>6a71544e43a2a7c86587184a</t>
  </si>
  <si>
    <t>03/08/2026 14:20:09</t>
  </si>
  <si>
    <t>03/08/2026 23:54:06</t>
  </si>
  <si>
    <t>30/07/2026</t>
  </si>
  <si>
    <t>29/07/2026</t>
  </si>
  <si>
    <t xml:space="preserve">sem producao pé B </t>
  </si>
  <si>
    <t>28/07/2026</t>
  </si>
  <si>
    <t>27/07/2026</t>
  </si>
  <si>
    <t>24/07/2026</t>
  </si>
  <si>
    <t>23/07/2026</t>
  </si>
  <si>
    <t>22/07/2026</t>
  </si>
  <si>
    <t>Velocidade (FPM)</t>
  </si>
  <si>
    <t>% Pena após Repasse</t>
  </si>
  <si>
    <t>% Pena após Depenadeira</t>
  </si>
  <si>
    <t>Peso Médio (g)</t>
  </si>
  <si>
    <t>% Pro ventrículo não integro</t>
  </si>
  <si>
    <t>% Clocaca mal Exposta</t>
  </si>
  <si>
    <t>% Cloacas Rompidas</t>
  </si>
  <si>
    <t>% Contaminação Após Extratora</t>
  </si>
  <si>
    <t>% Corte no Reto</t>
  </si>
  <si>
    <t>% Abdome mal abertos</t>
  </si>
  <si>
    <t>% Corte de Intestino</t>
  </si>
  <si>
    <t>% Carcaças com Pacotes Mal Extraídos</t>
  </si>
  <si>
    <t>% Contaminação Externa Após a Evisceradora</t>
  </si>
  <si>
    <t>% Contaminação Interna Após Evisceradora</t>
  </si>
  <si>
    <t>% Erro de corte na moela</t>
  </si>
  <si>
    <t>% Queratina na moela</t>
  </si>
  <si>
    <t>% Carcaça quebrada</t>
  </si>
  <si>
    <t>% Fratura Branca</t>
  </si>
  <si>
    <t>% Hematoma Fabrica</t>
  </si>
  <si>
    <t>Pena após Depenadeira</t>
  </si>
  <si>
    <t>Pena após Repasse</t>
  </si>
  <si>
    <t>Item</t>
  </si>
  <si>
    <t>Item 1</t>
  </si>
  <si>
    <t>6a73ef91a971cc45da7803f1</t>
  </si>
  <si>
    <t>05/08/2026 19:26:55</t>
  </si>
  <si>
    <t>05/08/2026 23:21:05</t>
  </si>
  <si>
    <t>6a73ef90a971cc45da7803cd</t>
  </si>
  <si>
    <t>05/08/2026 14:54:09</t>
  </si>
  <si>
    <t>05/08/2026 23:21:04</t>
  </si>
  <si>
    <t>6a73ef90a971cc45da7803c1</t>
  </si>
  <si>
    <t>05/08/2026 14:22:12</t>
  </si>
  <si>
    <t>% Carcaças quebradas após papo - traquéia</t>
  </si>
  <si>
    <t>% Retirada de Fígado</t>
  </si>
  <si>
    <t>6a74afaaa3e210342a2b1622</t>
  </si>
  <si>
    <t>06/08/2026 11:31:26</t>
  </si>
  <si>
    <t>06/08/2026 13:00:42</t>
  </si>
  <si>
    <t>06/08/2026</t>
  </si>
  <si>
    <t>6a74afa9a3e210342a2b15fc</t>
  </si>
  <si>
    <t>06/08/2026 06:48:49</t>
  </si>
  <si>
    <t>06/08/2026 13:00:41</t>
  </si>
  <si>
    <t>6a74afa9a3e210342a2b15e4</t>
  </si>
  <si>
    <t>06/08/2026 04:28:07</t>
  </si>
  <si>
    <t>6a753d9220a96cfc4b5a956f</t>
  </si>
  <si>
    <t>06/08/2026 18:28:56</t>
  </si>
  <si>
    <t>06/08/2026 23:06:10</t>
  </si>
  <si>
    <t>6a74f0123b26ad6681a4d695</t>
  </si>
  <si>
    <t>06/08/2026 15:02:10</t>
  </si>
  <si>
    <t>06/08/2026 17:35:30</t>
  </si>
  <si>
    <t>6a74f0123b26ad6681a4d689</t>
  </si>
  <si>
    <t>06/08/2026 14:15:29</t>
  </si>
  <si>
    <t>Carcaças quebradas após papo - traquéia</t>
  </si>
  <si>
    <t>Presença de moela apos linha de retirada</t>
  </si>
  <si>
    <t>% Presença de moela apos linha de retirada</t>
  </si>
  <si>
    <t>Tipo</t>
  </si>
  <si>
    <t>Classif</t>
  </si>
  <si>
    <t>Contro</t>
  </si>
  <si>
    <t>Escald</t>
  </si>
  <si>
    <t>Eviscer</t>
  </si>
  <si>
    <t>Míudos</t>
  </si>
  <si>
    <t>6a768f2aa4ddd8f30762f175</t>
  </si>
  <si>
    <t>07/08/2026 19:16:25</t>
  </si>
  <si>
    <t>07/08/2026 23:06:34</t>
  </si>
  <si>
    <t>07/08/2026</t>
  </si>
  <si>
    <t>6a768f29a4ddd8f30762f151</t>
  </si>
  <si>
    <t>07/08/2026 14:51:00</t>
  </si>
  <si>
    <t>07/08/2026 23:06:33</t>
  </si>
  <si>
    <t>6a768f29a4ddd8f30762f14b</t>
  </si>
  <si>
    <t>07/08/2026 14:13:54</t>
  </si>
  <si>
    <t>6a76048ba971cc45da8585a4</t>
  </si>
  <si>
    <t>07/08/2026 11:32:30</t>
  </si>
  <si>
    <t>07/08/2026 13:15:07</t>
  </si>
  <si>
    <t>6a76048ba971cc45da858586</t>
  </si>
  <si>
    <t>07/08/2026 07:02:43</t>
  </si>
  <si>
    <t>6a76048aa971cc45da85856e</t>
  </si>
  <si>
    <t>07/08/2026 04:25:54</t>
  </si>
  <si>
    <t>07/08/2026 13:15:06</t>
  </si>
  <si>
    <t>Palma com Fratura externa</t>
  </si>
  <si>
    <t>Palma com Calos pós Chiller</t>
  </si>
  <si>
    <t>Palma com Fratura interna</t>
  </si>
  <si>
    <t>6a7a8a85e3b391defc73b093</t>
  </si>
  <si>
    <t>10/08/2026 21:08:02</t>
  </si>
  <si>
    <t>10/08/2026 23:35:49</t>
  </si>
  <si>
    <t>10/08/2026</t>
  </si>
  <si>
    <t>6a7a8a85e3b391defc73b081</t>
  </si>
  <si>
    <t>10/08/2026 19:18:30</t>
  </si>
  <si>
    <t>6a7a8a85e3b391defc73b05d</t>
  </si>
  <si>
    <t>10/08/2026 14:21:46</t>
  </si>
  <si>
    <t>6a79f704a0097a8c49fc7e98</t>
  </si>
  <si>
    <t>10/08/2026 11:08:35</t>
  </si>
  <si>
    <t>10/08/2026 13:06:28</t>
  </si>
  <si>
    <t>6a79f703a0097a8c49fc7e86</t>
  </si>
  <si>
    <t>10/08/2026 09:17:10</t>
  </si>
  <si>
    <t>10/08/2026 13:06:27</t>
  </si>
  <si>
    <t>6a79f703a0097a8c49fc7e59</t>
  </si>
  <si>
    <t>10/08/2026 04:27:44</t>
  </si>
  <si>
    <t>6a7fcce8b557e8f899f6a6cd</t>
  </si>
  <si>
    <t>14/08/2026 20:48:45</t>
  </si>
  <si>
    <t>14/08/2026 23:20:24</t>
  </si>
  <si>
    <t>14/08/2026</t>
  </si>
  <si>
    <t>6a7fcce7b557e8f899f6a6c1</t>
  </si>
  <si>
    <t>14/08/2026 19:21:24</t>
  </si>
  <si>
    <t>14/08/2026 23:20:23</t>
  </si>
  <si>
    <t>6a7fcce7b557e8f899f6a697</t>
  </si>
  <si>
    <t>14/08/2026 14:19:41</t>
  </si>
  <si>
    <t>6a7f4047f420bb04b02c049b</t>
  </si>
  <si>
    <t>14/08/2026 11:40:20</t>
  </si>
  <si>
    <t>14/08/2026 13:20:23</t>
  </si>
  <si>
    <t>6a7f4047f420bb04b02c0477</t>
  </si>
  <si>
    <t>14/08/2026 06:51:23</t>
  </si>
  <si>
    <t>6a7f4046f420bb04b02c045f</t>
  </si>
  <si>
    <t>14/08/2026 04:28:05</t>
  </si>
  <si>
    <t>14/08/2026 13:20:22</t>
  </si>
  <si>
    <t>6a7e7c458646cdc8463ed87c</t>
  </si>
  <si>
    <t>13/08/2026 18:10:46</t>
  </si>
  <si>
    <t>13/08/2026 23:24:05</t>
  </si>
  <si>
    <t>13/08/2026</t>
  </si>
  <si>
    <t>6a7e7c458646cdc8463ed85c</t>
  </si>
  <si>
    <t>13/08/2026 14:18:33</t>
  </si>
  <si>
    <t>6a7df522b557e8f899f30886</t>
  </si>
  <si>
    <t>13/08/2026 11:35:05</t>
  </si>
  <si>
    <t>13/08/2026 13:47:30</t>
  </si>
  <si>
    <t>6a7df521b557e8f899f30862</t>
  </si>
  <si>
    <t>13/08/2026 06:56:48</t>
  </si>
  <si>
    <t>13/08/2026 13:47:29</t>
  </si>
  <si>
    <t>6a7df521b557e8f899f3084a</t>
  </si>
  <si>
    <t>13/08/2026 04:34:07</t>
  </si>
  <si>
    <t>6a7d254a4674393fba45fa99</t>
  </si>
  <si>
    <t>12/08/2026 21:24:42</t>
  </si>
  <si>
    <t>12/08/2026 23:00:42</t>
  </si>
  <si>
    <t>12/08/2026</t>
  </si>
  <si>
    <t>6a7d25494674393fba45fa87</t>
  </si>
  <si>
    <t>12/08/2026 19:18:03</t>
  </si>
  <si>
    <t>12/08/2026 23:00:41</t>
  </si>
  <si>
    <t>6a7d25484674393fba45fa63</t>
  </si>
  <si>
    <t>12/08/2026 14:17:38</t>
  </si>
  <si>
    <t>12/08/2026 23:00:40</t>
  </si>
  <si>
    <t>6a7c9c0090ddbef31f74c840</t>
  </si>
  <si>
    <t>12/08/2026 11:32:04</t>
  </si>
  <si>
    <t>12/08/2026 13:14:56</t>
  </si>
  <si>
    <t>6a7c9c0090ddbef31f74c81c</t>
  </si>
  <si>
    <t>12/08/2026 07:06:01</t>
  </si>
  <si>
    <t>6a7c9c0090ddbef31f74c804</t>
  </si>
  <si>
    <t>12/08/2026 04:33:18</t>
  </si>
  <si>
    <t>6a7bdbb38646cdc84639c1e3</t>
  </si>
  <si>
    <t>11/08/2026 20:18:31</t>
  </si>
  <si>
    <t>11/08/2026 23:34:27</t>
  </si>
  <si>
    <t>11/08/2026</t>
  </si>
  <si>
    <t>6a7bdbb38646cdc84639c1d1</t>
  </si>
  <si>
    <t>11/08/2026 19:15:37</t>
  </si>
  <si>
    <t>6a7bdbb28646cdc84639c1ab</t>
  </si>
  <si>
    <t>11/08/2026 14:17:37</t>
  </si>
  <si>
    <t>11/08/2026 23:34:26</t>
  </si>
  <si>
    <t>6a7b483d4674393fba40e8ec</t>
  </si>
  <si>
    <t>11/08/2026 11:44:34</t>
  </si>
  <si>
    <t>11/08/2026 13:05:17</t>
  </si>
  <si>
    <t>6a7b483d4674393fba40e8c6</t>
  </si>
  <si>
    <t>11/08/2026 06:59:31</t>
  </si>
  <si>
    <t>6a7b483c4674393fba40e8ae</t>
  </si>
  <si>
    <t>11/08/2026 04:35:10</t>
  </si>
  <si>
    <t>11/08/2026 13:05:16</t>
  </si>
  <si>
    <t>6a83c7815a1f7bde24297e7f</t>
  </si>
  <si>
    <t>17/08/2026 20:47:49</t>
  </si>
  <si>
    <t>17/08/2026 23:46:25</t>
  </si>
  <si>
    <t>17/08/2026</t>
  </si>
  <si>
    <t>6a83c7805a1f7bde24297e6d</t>
  </si>
  <si>
    <t>17/08/2026 19:13:48</t>
  </si>
  <si>
    <t>17/08/2026 23:46:24</t>
  </si>
  <si>
    <t>6a83c7805a1f7bde24297e49</t>
  </si>
  <si>
    <t>17/08/2026 14:15:58</t>
  </si>
  <si>
    <t>6a83392c8dbad1217e37f023</t>
  </si>
  <si>
    <t>17/08/2026 11:31:33</t>
  </si>
  <si>
    <t>17/08/2026 13:39:08</t>
  </si>
  <si>
    <t>6a83392b8dbad1217e37f00b</t>
  </si>
  <si>
    <t>17/08/2026 08:12:32</t>
  </si>
  <si>
    <t>17/08/2026 13:39:07</t>
  </si>
  <si>
    <t>6a83392b8dbad1217e37efff</t>
  </si>
  <si>
    <t>17/08/2026 06:41:02</t>
  </si>
  <si>
    <t>6a83392b8dbad1217e37efed</t>
  </si>
  <si>
    <t>17/08/2026 04:44:13</t>
  </si>
  <si>
    <t>6a851583a12fe1209e59741d</t>
  </si>
  <si>
    <t>18/08/2026 21:27:50</t>
  </si>
  <si>
    <t>18/08/2026 23:31:31</t>
  </si>
  <si>
    <t>18/08/2026</t>
  </si>
  <si>
    <t>6a851583a12fe1209e597405</t>
  </si>
  <si>
    <t>18/08/2026 19:15:42</t>
  </si>
  <si>
    <t>6a851582a12fe1209e5973e7</t>
  </si>
  <si>
    <t>18/08/2026 14:51:12</t>
  </si>
  <si>
    <t>18/08/2026 23:31:30</t>
  </si>
  <si>
    <t>6a851582a12fe1209e5973cf</t>
  </si>
  <si>
    <t>18/08/2026 11:34:29</t>
  </si>
  <si>
    <t>6a851582a12fe1209e5973b7</t>
  </si>
  <si>
    <t>18/08/2026 08:34:50</t>
  </si>
  <si>
    <t>6a851581a12fe1209e5973a5</t>
  </si>
  <si>
    <t>18/08/2026 06:46:05</t>
  </si>
  <si>
    <t>18/08/2026 23:31:29</t>
  </si>
  <si>
    <t>6a851581a12fe1209e59738b</t>
  </si>
  <si>
    <t>18/08/2026 04:28:39</t>
  </si>
  <si>
    <t>19/08/2026 21:11:57</t>
  </si>
  <si>
    <t>19/08/2026 23:26:54</t>
  </si>
  <si>
    <t>19/08/2026</t>
  </si>
  <si>
    <t>6a8665ee13f324b2ed88098c</t>
  </si>
  <si>
    <t>19/08/2026 19:11:53</t>
  </si>
  <si>
    <t>6a8665ed13f324b2ed880960</t>
  </si>
  <si>
    <t>19/08/2026 14:16:14</t>
  </si>
  <si>
    <t>19/08/2026 23:26:53</t>
  </si>
  <si>
    <t>6a85d1b31fd846202c36dcf3</t>
  </si>
  <si>
    <t>19/08/2026 11:30:42</t>
  </si>
  <si>
    <t>19/08/2026 12:54:27</t>
  </si>
  <si>
    <t>6a85d1b31fd846202c36dcdb</t>
  </si>
  <si>
    <t>19/08/2026 08:26:31</t>
  </si>
  <si>
    <t>6a85d1b21fd846202c36dcc9</t>
  </si>
  <si>
    <t>19/08/2026 06:42:49</t>
  </si>
  <si>
    <t>19/08/2026 12:54:26</t>
  </si>
  <si>
    <t>6a85d1b21fd846202c36dcb1</t>
  </si>
  <si>
    <t>19/08/2026 04:33:42</t>
  </si>
  <si>
    <t>6a87b3d4de2c4f7d9f00df00</t>
  </si>
  <si>
    <t>20/08/2026 21:05:49</t>
  </si>
  <si>
    <t>20/08/2026 23:11:32</t>
  </si>
  <si>
    <t>20/08/2026</t>
  </si>
  <si>
    <t>6a87b3d3de2c4f7d9f00deee</t>
  </si>
  <si>
    <t>20/08/2026 19:11:30</t>
  </si>
  <si>
    <t>20/08/2026 23:11:31</t>
  </si>
  <si>
    <t>6a87b3d3de2c4f7d9f00deca</t>
  </si>
  <si>
    <t>20/08/2026 14:15:34</t>
  </si>
  <si>
    <t>6a872763ee682edc037056f4</t>
  </si>
  <si>
    <t>20/08/2026 11:39:00</t>
  </si>
  <si>
    <t>20/08/2026 13:12:19</t>
  </si>
  <si>
    <t>6a872763ee682edc037056dc</t>
  </si>
  <si>
    <t>20/08/2026 08:41:38</t>
  </si>
  <si>
    <t>6a872762ee682edc037056ca</t>
  </si>
  <si>
    <t>20/08/2026 06:54:56</t>
  </si>
  <si>
    <t>20/08/2026 13:12:18</t>
  </si>
  <si>
    <t>6a872762ee682edc037056b2</t>
  </si>
  <si>
    <t>20/08/2026 04:34:38</t>
  </si>
  <si>
    <t>6a890def40c77c195945ed56</t>
  </si>
  <si>
    <t>21/08/2026 21:15:44</t>
  </si>
  <si>
    <t>21/08/2026 23:48:15</t>
  </si>
  <si>
    <t>21/08/2026</t>
  </si>
  <si>
    <t>6a890def40c77c195945ed3c</t>
  </si>
  <si>
    <t>21/08/2026 18:27:04</t>
  </si>
  <si>
    <t>6a890def40c77c195945ed24</t>
  </si>
  <si>
    <t>21/08/2026 14:19:33</t>
  </si>
  <si>
    <t>6a887d63001482df53915e77</t>
  </si>
  <si>
    <t>21/08/2026 11:47:14</t>
  </si>
  <si>
    <t>21/08/2026 13:31:31</t>
  </si>
  <si>
    <t>6a887d63001482df53915e65</t>
  </si>
  <si>
    <t>21/08/2026 08:33:15</t>
  </si>
  <si>
    <t>6a887d63001482df53915e57</t>
  </si>
  <si>
    <t>21/08/2026 06:33:33</t>
  </si>
  <si>
    <t>6a887d63001482df53915e4b</t>
  </si>
  <si>
    <t>21/08/2026 04:26:18</t>
  </si>
  <si>
    <t>6a8d0402a7ca961a319ef8f2</t>
  </si>
  <si>
    <t>24/08/2026 20:01:22</t>
  </si>
  <si>
    <t>24/08/2026 23:54:58</t>
  </si>
  <si>
    <t>24/08/2026</t>
  </si>
  <si>
    <t>6a8d0402a7ca961a319ef8e0</t>
  </si>
  <si>
    <t>24/08/2026 18:53:35</t>
  </si>
  <si>
    <t>6a8d0401a7ca961a319ef8ba</t>
  </si>
  <si>
    <t>24/08/2026 14:05:23</t>
  </si>
  <si>
    <t>24/08/2026 23:54:57</t>
  </si>
  <si>
    <t>6a8c6e30a7ca961a319e0161</t>
  </si>
  <si>
    <t>24/08/2026 11:29:23</t>
  </si>
  <si>
    <t>24/08/2026 13:15:44</t>
  </si>
  <si>
    <t>6a8c6e30a7ca961a319e0155</t>
  </si>
  <si>
    <t>24/08/2026 08:23:42</t>
  </si>
  <si>
    <t>6a8c6e2fa7ca961a319e0149</t>
  </si>
  <si>
    <t>24/08/2026 06:43:14</t>
  </si>
  <si>
    <t>24/08/2026 13:15:43</t>
  </si>
  <si>
    <t>6a8c6e2fa7ca961a319e0137</t>
  </si>
  <si>
    <t>24/08/2026 04:41:03</t>
  </si>
  <si>
    <t>6a8e50cec85c6c9beeedfcaa</t>
  </si>
  <si>
    <t>25/08/2026 21:42:39</t>
  </si>
  <si>
    <t>25/08/2026 23:34:54</t>
  </si>
  <si>
    <t>25/08/2026</t>
  </si>
  <si>
    <t>6a8e50cdc85c6c9beeedfc92</t>
  </si>
  <si>
    <t>25/08/2026 19:17:50</t>
  </si>
  <si>
    <t>25/08/2026 23:34:53</t>
  </si>
  <si>
    <t>6a8e50cdc85c6c9beeedfc74</t>
  </si>
  <si>
    <t>25/08/2026 14:27:54</t>
  </si>
  <si>
    <t>6a8dbc3fd51d7493f8fde0e8</t>
  </si>
  <si>
    <t>25/08/2026 11:33:25</t>
  </si>
  <si>
    <t>25/08/2026 13:01:03</t>
  </si>
  <si>
    <t>6a8dbc3fd51d7493f8fde0d6</t>
  </si>
  <si>
    <t>25/08/2026 08:42:19</t>
  </si>
  <si>
    <t>6a8dbc3ed51d7493f8fde0c4</t>
  </si>
  <si>
    <t>25/08/2026 07:04:38</t>
  </si>
  <si>
    <t>25/08/2026 13:01:02</t>
  </si>
  <si>
    <t>6a8dbc3ed51d7493f8fde0ac</t>
  </si>
  <si>
    <t>25/08/2026 04:44:45</t>
  </si>
  <si>
    <t>6a8fa4e7de22f29e5a7efc97</t>
  </si>
  <si>
    <t>26/08/2026 21:28:57</t>
  </si>
  <si>
    <t>26/08/2026 23:45:59</t>
  </si>
  <si>
    <t>26/08/2026</t>
  </si>
  <si>
    <t>6a8fa4e7de22f29e5a7efc7d</t>
  </si>
  <si>
    <t>26/08/2026 19:00:27</t>
  </si>
  <si>
    <t>6a8fa4e6de22f29e5a7efc59</t>
  </si>
  <si>
    <t>26/08/2026 14:14:39</t>
  </si>
  <si>
    <t>26/08/2026 23:45:58</t>
  </si>
  <si>
    <t>6a8f0d2d583c42f9e2c764d2</t>
  </si>
  <si>
    <t>26/08/2026 11:35:01</t>
  </si>
  <si>
    <t>26/08/2026 12:58:37</t>
  </si>
  <si>
    <t>6a8f0d2d583c42f9e2c764c0</t>
  </si>
  <si>
    <t>26/08/2026 08:42:29</t>
  </si>
  <si>
    <t>6a8f0d2d583c42f9e2c764a6</t>
  </si>
  <si>
    <t>26/08/2026 06:30:51</t>
  </si>
  <si>
    <t>6a8f0d2c583c42f9e2c76494</t>
  </si>
  <si>
    <t>26/08/2026 04:27:37</t>
  </si>
  <si>
    <t>26/08/2026 12:58:36</t>
  </si>
  <si>
    <t>6a90efbdb029ff26c03390fa</t>
  </si>
  <si>
    <t>27/08/2026 21:14:21</t>
  </si>
  <si>
    <t>27/08/2026 23:17:33</t>
  </si>
  <si>
    <t>27/08/2026</t>
  </si>
  <si>
    <t>6a90efbdb029ff26c03390e8</t>
  </si>
  <si>
    <t>27/08/2026 19:13:51</t>
  </si>
  <si>
    <t>6a90efbcb029ff26c03390c4</t>
  </si>
  <si>
    <t>27/08/2026 14:17:58</t>
  </si>
  <si>
    <t>27/08/2026 23:17:32</t>
  </si>
  <si>
    <t>6a90840ebc1d2960e66644c6</t>
  </si>
  <si>
    <t>27/08/2026 11:37:04</t>
  </si>
  <si>
    <t>27/08/2026 15:38:06</t>
  </si>
  <si>
    <t>6a90840ebc1d2960e66644ae</t>
  </si>
  <si>
    <t>27/08/2026 08:34:52</t>
  </si>
  <si>
    <t>6a90840dbc1d2960e666449c</t>
  </si>
  <si>
    <t>27/08/2026 06:55:52</t>
  </si>
  <si>
    <t>27/08/2026 15:38:05</t>
  </si>
  <si>
    <t>6a90840dbc1d2960e6664484</t>
  </si>
  <si>
    <t>27/08/2026 04:55:02</t>
  </si>
  <si>
    <t>6a923a5abc1d2960e6699f85</t>
  </si>
  <si>
    <t>28/08/2026 21:05:23</t>
  </si>
  <si>
    <t>28/08/2026 22:48:10</t>
  </si>
  <si>
    <t>28/08/2026</t>
  </si>
  <si>
    <t>6a923a5abc1d2960e6699f6d</t>
  </si>
  <si>
    <t>28/08/2026 18:09:35</t>
  </si>
  <si>
    <t>6a923a59bc1d2960e6699f55</t>
  </si>
  <si>
    <t>28/08/2026 14:18:22</t>
  </si>
  <si>
    <t>28/08/2026 22:48:09</t>
  </si>
  <si>
    <t>6a91b697913240bc5471fe95</t>
  </si>
  <si>
    <t>28/08/2026 11:39:08</t>
  </si>
  <si>
    <t>28/08/2026 13:25:59</t>
  </si>
  <si>
    <t>6a91b697913240bc5471fe7b</t>
  </si>
  <si>
    <t>28/08/2026 08:35:28</t>
  </si>
  <si>
    <t>6a91b697913240bc5471fe63</t>
  </si>
  <si>
    <t>28/08/2026 06:23:24</t>
  </si>
  <si>
    <t>6a91b696913240bc5471fe51</t>
  </si>
  <si>
    <t>28/08/2026 04:30:21</t>
  </si>
  <si>
    <t>28/08/2026 13:25:58</t>
  </si>
  <si>
    <t>6a96f6fceae8bd42945029be</t>
  </si>
  <si>
    <t>01/09/2026 11:37:58</t>
  </si>
  <si>
    <t>01/09/2026 13:02:04</t>
  </si>
  <si>
    <t>01/09/2026</t>
  </si>
  <si>
    <t>6a96f6fbeae8bd42945029aa</t>
  </si>
  <si>
    <t>01/09/2026 08:49:26</t>
  </si>
  <si>
    <t>01/09/2026 13:02:03</t>
  </si>
  <si>
    <t>6a96f6fbeae8bd4294502998</t>
  </si>
  <si>
    <t>01/09/2026 06:53:08</t>
  </si>
  <si>
    <t>6a96f6fbeae8bd4294502986</t>
  </si>
  <si>
    <t>01/09/2026 04:38:35</t>
  </si>
  <si>
    <t>6a9626fb8a2cf415c7d904f4</t>
  </si>
  <si>
    <t>31/08/2026 21:29:50</t>
  </si>
  <si>
    <t>31/08/2026 22:14:35</t>
  </si>
  <si>
    <t>31/08/2026</t>
  </si>
  <si>
    <t>6a9626fb8a2cf415c7d904dc</t>
  </si>
  <si>
    <t>31/08/2026 19:11:29</t>
  </si>
  <si>
    <t>6a960806f2fc3909d38f25f6</t>
  </si>
  <si>
    <t>31/08/2026 14:16:07</t>
  </si>
  <si>
    <t>31/08/2026 20:02:30</t>
  </si>
  <si>
    <t>6a95a589d8b1ab0096e40f6d</t>
  </si>
  <si>
    <t>31/08/2026 11:25:00</t>
  </si>
  <si>
    <t>31/08/2026 13:02:17</t>
  </si>
  <si>
    <t>6a95898ec889eef898938895</t>
  </si>
  <si>
    <t>31/08/2026 08:26:09</t>
  </si>
  <si>
    <t>31/08/2026 11:02:54</t>
  </si>
  <si>
    <t>6a95898ec889eef898938883</t>
  </si>
  <si>
    <t>31/08/2026 06:41:13</t>
  </si>
  <si>
    <t>6a95898ec889eef898938871</t>
  </si>
  <si>
    <t>31/08/2026 04:32:52</t>
  </si>
  <si>
    <t>6a97908bc16eb5048ad63b9e</t>
  </si>
  <si>
    <t>01/09/2026 21:24:27</t>
  </si>
  <si>
    <t>01/09/2026 23:57:15</t>
  </si>
  <si>
    <t>6a97908ac16eb5048ad63b86</t>
  </si>
  <si>
    <t>01/09/2026 19:16:19</t>
  </si>
  <si>
    <t>01/09/2026 23:57:14</t>
  </si>
  <si>
    <t>6a97908ac16eb5048ad63b62</t>
  </si>
  <si>
    <t>01/09/2026 14:12:03</t>
  </si>
  <si>
    <t>6a9a2a9dedc9602c14d6e6b9</t>
  </si>
  <si>
    <t>03/09/2026 21:11:54</t>
  </si>
  <si>
    <t>03/09/2026 23:19:09</t>
  </si>
  <si>
    <t>03/09/2026</t>
  </si>
  <si>
    <t>6a9a2a9dedc9602c14d6e6a7</t>
  </si>
  <si>
    <t>03/09/2026 19:18:23</t>
  </si>
  <si>
    <t>6a9a2a9cedc9602c14d6e683</t>
  </si>
  <si>
    <t>03/09/2026 14:21:03</t>
  </si>
  <si>
    <t>03/09/2026 23:19:08</t>
  </si>
  <si>
    <t>6a999dc3e566260ef7f97d36</t>
  </si>
  <si>
    <t>03/09/2026 11:29:05</t>
  </si>
  <si>
    <t>03/09/2026 13:18:11</t>
  </si>
  <si>
    <t>6a999dc2e566260ef7f97d06</t>
  </si>
  <si>
    <t>03/09/2026 04:29:33</t>
  </si>
  <si>
    <t>03/09/2026 13:18:10</t>
  </si>
  <si>
    <t>6a999c97975a2c850b9544b7</t>
  </si>
  <si>
    <t>03/09/2026 08:06:33</t>
  </si>
  <si>
    <t>03/09/2026 13:13:11</t>
  </si>
  <si>
    <t>6a999c97975a2c850b9544b1</t>
  </si>
  <si>
    <t>03/09/2026 06:27:03</t>
  </si>
  <si>
    <t>6a98df8032b3ac5a42389ae2</t>
  </si>
  <si>
    <t>02/09/2026 20:18:03</t>
  </si>
  <si>
    <t>02/09/2026 23:46:24</t>
  </si>
  <si>
    <t>02/09/2026</t>
  </si>
  <si>
    <t>6a98df8032b3ac5a42389aca</t>
  </si>
  <si>
    <t>02/09/2026 18:15:50</t>
  </si>
  <si>
    <t>6a98df8032b3ac5a42389ab2</t>
  </si>
  <si>
    <t>02/09/2026 14:14:18</t>
  </si>
  <si>
    <t>6a98475be795a658e64f88ec</t>
  </si>
  <si>
    <t>02/09/2026 11:19:24</t>
  </si>
  <si>
    <t>02/09/2026 12:57:15</t>
  </si>
  <si>
    <t>6a98475be795a658e64f88d4</t>
  </si>
  <si>
    <t>02/09/2026 08:36:40</t>
  </si>
  <si>
    <t>6a98475ae795a658e64f88bc</t>
  </si>
  <si>
    <t>02/09/2026 06:36:18</t>
  </si>
  <si>
    <t>02/09/2026 12:57:14</t>
  </si>
  <si>
    <t>6a98475ae795a658e64f88aa</t>
  </si>
  <si>
    <t>02/09/2026 04:27:25</t>
  </si>
  <si>
    <t>6aa0c8d7dc0f84ea8735163b</t>
  </si>
  <si>
    <t>08/09/2026 21:08:23</t>
  </si>
  <si>
    <t>08/09/2026 23:47:51</t>
  </si>
  <si>
    <t>08/09/2026</t>
  </si>
  <si>
    <t>6aa0c8d7dc0f84ea87351627</t>
  </si>
  <si>
    <t>08/09/2026 19:18:21</t>
  </si>
  <si>
    <t>6aa0c8d6dc0f84ea87351603</t>
  </si>
  <si>
    <t>08/09/2026 14:07:51</t>
  </si>
  <si>
    <t>08/09/2026 23:47:50</t>
  </si>
  <si>
    <t>6aa0373ef98bcbe21b126b6e</t>
  </si>
  <si>
    <t>08/09/2026 11:38:24</t>
  </si>
  <si>
    <t>08/09/2026 13:26:38</t>
  </si>
  <si>
    <t>6aa0373df98bcbe21b126b5c</t>
  </si>
  <si>
    <t>08/09/2026 08:37:30</t>
  </si>
  <si>
    <t>08/09/2026 13:26:37</t>
  </si>
  <si>
    <t>6aa0373df98bcbe21b126b4e</t>
  </si>
  <si>
    <t>08/09/2026 06:33:07</t>
  </si>
  <si>
    <t>6aa0373df98bcbe21b126b42</t>
  </si>
  <si>
    <t>08/09/2026 04:32:00</t>
  </si>
  <si>
    <t>6aa36c6a52bf78b96bf15f37</t>
  </si>
  <si>
    <t>10/09/2026 21:24:29</t>
  </si>
  <si>
    <t>10/09/2026 23:50:18</t>
  </si>
  <si>
    <t>10/09/2026</t>
  </si>
  <si>
    <t>6aa36c6a52bf78b96bf15f25</t>
  </si>
  <si>
    <t>10/09/2026 19:23:42</t>
  </si>
  <si>
    <t>6aa36c6952bf78b96bf15f01</t>
  </si>
  <si>
    <t>10/09/2026 14:13:31</t>
  </si>
  <si>
    <t>10/09/2026 23:50:17</t>
  </si>
  <si>
    <t>6aa2d28fb841baacea34da0a</t>
  </si>
  <si>
    <t>10/09/2026 11:37:38</t>
  </si>
  <si>
    <t>10/09/2026 12:53:51</t>
  </si>
  <si>
    <t>6aa2d28fb841baacea34d9f2</t>
  </si>
  <si>
    <t>10/09/2026 08:31:36</t>
  </si>
  <si>
    <t>6aa2d28eb841baacea34d9de</t>
  </si>
  <si>
    <t>10/09/2026 06:34:50</t>
  </si>
  <si>
    <t>10/09/2026 12:53:50</t>
  </si>
  <si>
    <t>6aa2d28eb841baacea34d9cc</t>
  </si>
  <si>
    <t>10/09/2026 04:30:02</t>
  </si>
  <si>
    <t>6aa21d8b04d1eda90f98f196</t>
  </si>
  <si>
    <t>09/09/2026 20:48:35</t>
  </si>
  <si>
    <t>10/09/2026 00:01:31</t>
  </si>
  <si>
    <t>09/09/2026</t>
  </si>
  <si>
    <t>6aa21d8b04d1eda90f98f184</t>
  </si>
  <si>
    <t>09/09/2026 19:21:41</t>
  </si>
  <si>
    <t>6aa21d8a04d1eda90f98f160</t>
  </si>
  <si>
    <t>09/09/2026 14:09:03</t>
  </si>
  <si>
    <t>10/09/2026 00:01:30</t>
  </si>
  <si>
    <t>6aa181b852bf78b96be919c6</t>
  </si>
  <si>
    <t>09/09/2026 11:09:14</t>
  </si>
  <si>
    <t>09/09/2026 12:56:40</t>
  </si>
  <si>
    <t>6aa181b852bf78b96be919ae</t>
  </si>
  <si>
    <t>09/09/2026 08:26:16</t>
  </si>
  <si>
    <t>6aa181b852bf78b96be9199c</t>
  </si>
  <si>
    <t>09/09/2026 06:31:07</t>
  </si>
  <si>
    <t>6aa181b852bf78b96be91988</t>
  </si>
  <si>
    <t>09/09/2026 04:28:32</t>
  </si>
  <si>
    <t>6aa60ba8d22af7eaa16e4816</t>
  </si>
  <si>
    <t>12/09/2026 21:57:08</t>
  </si>
  <si>
    <t>12/09/2026 23:34:16</t>
  </si>
  <si>
    <t>12/09/2026</t>
  </si>
  <si>
    <t>6aa60ba7d22af7eaa16e47fc</t>
  </si>
  <si>
    <t>12/09/2026 19:14:16</t>
  </si>
  <si>
    <t>12/09/2026 23:34:15</t>
  </si>
  <si>
    <t>6aa60ba7d22af7eaa16e47d2</t>
  </si>
  <si>
    <t>12/09/2026 14:11:30</t>
  </si>
  <si>
    <t>6aa5830dc56867042ec5e5ee</t>
  </si>
  <si>
    <t>12/09/2026 11:51:59</t>
  </si>
  <si>
    <t>12/09/2026 13:51:25</t>
  </si>
  <si>
    <t>6aa5830cc56867042ec5e5d6</t>
  </si>
  <si>
    <t>12/09/2026 08:02:03</t>
  </si>
  <si>
    <t>12/09/2026 13:51:24</t>
  </si>
  <si>
    <t>6aa5830cc56867042ec5e5ca</t>
  </si>
  <si>
    <t>12/09/2026 06:36:04</t>
  </si>
  <si>
    <t>6aa5830cc56867042ec5e5b8</t>
  </si>
  <si>
    <t>12/09/2026 04:37:06</t>
  </si>
  <si>
    <t>6aa4bed507e3da2eb613d03f</t>
  </si>
  <si>
    <t>11/09/2026 21:19:15</t>
  </si>
  <si>
    <t>11/09/2026 23:54:13</t>
  </si>
  <si>
    <t>11/09/2026</t>
  </si>
  <si>
    <t>6aa4bed407e3da2eb613d027</t>
  </si>
  <si>
    <t>11/09/2026 18:47:13</t>
  </si>
  <si>
    <t>11/09/2026 23:54:12</t>
  </si>
  <si>
    <t>6aa4bed407e3da2eb613d001</t>
  </si>
  <si>
    <t>11/09/2026 14:08:27</t>
  </si>
  <si>
    <t>6aa424c6099e81d4947b9711</t>
  </si>
  <si>
    <t>11/09/2026 11:24:42</t>
  </si>
  <si>
    <t>11/09/2026 12:56:54</t>
  </si>
  <si>
    <t>6aa424c5099e81d4947b96ff</t>
  </si>
  <si>
    <t>11/09/2026 08:38:43</t>
  </si>
  <si>
    <t>11/09/2026 12:56:53</t>
  </si>
  <si>
    <t>6aa424c5099e81d4947b96e1</t>
  </si>
  <si>
    <t>11/09/2026 06:23:20</t>
  </si>
  <si>
    <t>6aa424c4099e81d4947b96cf</t>
  </si>
  <si>
    <t>11/09/2026 04:27:04</t>
  </si>
  <si>
    <t>11/09/2026 12:56:52</t>
  </si>
  <si>
    <t>Perda de pacotes na evisceradora</t>
  </si>
  <si>
    <t xml:space="preserve">% Perda de pacotes na evisceradora </t>
  </si>
  <si>
    <t>6aa8b396b841baacea431e3b</t>
  </si>
  <si>
    <t>14/09/2026 20:27:57</t>
  </si>
  <si>
    <t>14/09/2026 23:55:18</t>
  </si>
  <si>
    <t>14/09/2026</t>
  </si>
  <si>
    <t>6aa8b396b841baacea431e27</t>
  </si>
  <si>
    <t>14/09/2026 18:14:20</t>
  </si>
  <si>
    <t>6aa8b395b841baacea431e0f</t>
  </si>
  <si>
    <t>14/09/2026 14:36:55</t>
  </si>
  <si>
    <t>14/09/2026 23:55:17</t>
  </si>
  <si>
    <t>6aa81a18045994c753e43cb9</t>
  </si>
  <si>
    <t>14/09/2026 11:17:08</t>
  </si>
  <si>
    <t>14/09/2026 13:00:24</t>
  </si>
  <si>
    <t>6aa81a18045994c753e43cad</t>
  </si>
  <si>
    <t>14/09/2026 08:35:56</t>
  </si>
  <si>
    <t>6aa81a18045994c753e43ca1</t>
  </si>
  <si>
    <t>14/09/2026 06:43:49</t>
  </si>
  <si>
    <t>6aa81a17045994c753e43c8f</t>
  </si>
  <si>
    <t>14/09/2026 04:28:36</t>
  </si>
  <si>
    <t>14/09/2026 13:00:23</t>
  </si>
  <si>
    <t>6aaa02e0f450a2f6bc80e7d9</t>
  </si>
  <si>
    <t>15/09/2026 21:24:20</t>
  </si>
  <si>
    <t>15/09/2026 23:45:52</t>
  </si>
  <si>
    <t>15/09/2026</t>
  </si>
  <si>
    <t>6aaa02dff450a2f6bc80e7c7</t>
  </si>
  <si>
    <t>15/09/2026 19:20:26</t>
  </si>
  <si>
    <t>15/09/2026 23:45:51</t>
  </si>
  <si>
    <t>6aaa02dff450a2f6bc80e7a3</t>
  </si>
  <si>
    <t>15/09/2026 14:02:29</t>
  </si>
  <si>
    <t>6aa96eebde1f7611877409a4</t>
  </si>
  <si>
    <t>15/09/2026 11:20:44</t>
  </si>
  <si>
    <t>15/09/2026 13:14:35</t>
  </si>
  <si>
    <t>6aa96eeade1f76118774098c</t>
  </si>
  <si>
    <t>15/09/2026 08:18:44</t>
  </si>
  <si>
    <t>15/09/2026 13:14:34</t>
  </si>
  <si>
    <t>6aa96eeade1f76118774097a</t>
  </si>
  <si>
    <t>15/09/2026 06:59:52</t>
  </si>
  <si>
    <t>6aa96eeade1f761187740962</t>
  </si>
  <si>
    <t>15/09/2026 04:33:12</t>
  </si>
  <si>
    <t>6aab544ecc5ec7c996ca96ba</t>
  </si>
  <si>
    <t>16/09/2026 19:55:00</t>
  </si>
  <si>
    <t>16/09/2026 23:45:34</t>
  </si>
  <si>
    <t>16/09/2026</t>
  </si>
  <si>
    <t>6aab544ecc5ec7c996ca96ae</t>
  </si>
  <si>
    <t>16/09/2026 18:34:47</t>
  </si>
  <si>
    <t>6aab544ecc5ec7c996ca9690</t>
  </si>
  <si>
    <t>16/09/2026 14:13:26</t>
  </si>
  <si>
    <t>6aaac1aa7e065da368bd1fe5</t>
  </si>
  <si>
    <t>16/09/2026 08:29:38</t>
  </si>
  <si>
    <t>16/09/2026 13:19:54</t>
  </si>
  <si>
    <t>6aaac1aa7e065da368bd1fd3</t>
  </si>
  <si>
    <t>16/09/2026 06:42:16</t>
  </si>
  <si>
    <t>6aaac1aa7e065da368bd1fc1</t>
  </si>
  <si>
    <t>16/09/2026 04:39:12</t>
  </si>
  <si>
    <t>6aaac0eee5756b0e3c4c3bc8</t>
  </si>
  <si>
    <t>16/09/2026 12:04:18</t>
  </si>
  <si>
    <t>16/09/2026 13:16:46</t>
  </si>
  <si>
    <t>6aadf328a9cbb60cee01af37</t>
  </si>
  <si>
    <t>18/09/2026 21:28:15</t>
  </si>
  <si>
    <t>18/09/2026 23:27:52</t>
  </si>
  <si>
    <t>18/09/2026</t>
  </si>
  <si>
    <t>6aadf328a9cbb60cee01af25</t>
  </si>
  <si>
    <t>18/09/2026 19:24:37</t>
  </si>
  <si>
    <t>6aadf327a9cbb60cee01af07</t>
  </si>
  <si>
    <t>18/09/2026 14:05:03</t>
  </si>
  <si>
    <t>18/09/2026 23:27:51</t>
  </si>
  <si>
    <t>6aad5f0a34389a7f1f0f9a87</t>
  </si>
  <si>
    <t>18/09/2026 10:38:21</t>
  </si>
  <si>
    <t>18/09/2026 12:55:54</t>
  </si>
  <si>
    <t>6aad5f0a34389a7f1f0f9a69</t>
  </si>
  <si>
    <t>18/09/2026 06:30:20</t>
  </si>
  <si>
    <t>6aad5f0934389a7f1f0f9a57</t>
  </si>
  <si>
    <t>18/09/2026 04:29:48</t>
  </si>
  <si>
    <t>18/09/2026 12:55:53</t>
  </si>
  <si>
    <t>6aaca6fe17abc09bd2f12b39</t>
  </si>
  <si>
    <t>17/09/2026 20:57:26</t>
  </si>
  <si>
    <t>17/09/2026 23:50:38</t>
  </si>
  <si>
    <t>17/09/2026</t>
  </si>
  <si>
    <t>6aaca6fd17abc09bd2f12b21</t>
  </si>
  <si>
    <t>17/09/2026 18:12:43</t>
  </si>
  <si>
    <t>17/09/2026 23:50:37</t>
  </si>
  <si>
    <t>6aaca6fd17abc09bd2f12b01</t>
  </si>
  <si>
    <t>17/09/2026 14:07:11</t>
  </si>
  <si>
    <t>6aac0edf5f66c2e508293386</t>
  </si>
  <si>
    <t>17/09/2026 11:19:02</t>
  </si>
  <si>
    <t>17/09/2026 13:01:35</t>
  </si>
  <si>
    <t>6aac0edf5f66c2e508293372</t>
  </si>
  <si>
    <t>17/09/2026 08:40:32</t>
  </si>
  <si>
    <t>6aac0edf5f66c2e50829335a</t>
  </si>
  <si>
    <t>17/09/2026 06:35:32</t>
  </si>
  <si>
    <t>6aac0ede5f66c2e508293348</t>
  </si>
  <si>
    <t>17/09/2026 04:36:51</t>
  </si>
  <si>
    <t>17/09/2026 13:01:34</t>
  </si>
  <si>
    <t>6ab1f4487b71afa134f4a1c6</t>
  </si>
  <si>
    <t>21/09/2026 20:58:53</t>
  </si>
  <si>
    <t>22/09/2026 00:21:44</t>
  </si>
  <si>
    <t>21/09/2026</t>
  </si>
  <si>
    <t>6ab1f4477b71afa134f4a1ac</t>
  </si>
  <si>
    <t>21/09/2026 18:24:17</t>
  </si>
  <si>
    <t>22/09/2026 00:21:43</t>
  </si>
  <si>
    <t>6ab1f4477b71afa134f4a194</t>
  </si>
  <si>
    <t>21/09/2026 13:05:58</t>
  </si>
  <si>
    <t>6ab154eb14246dbb8f7cd283</t>
  </si>
  <si>
    <t>21/09/2026 11:05:15</t>
  </si>
  <si>
    <t>21/09/2026 13:01:47</t>
  </si>
  <si>
    <t>6ab154ea14246dbb8f7cd271</t>
  </si>
  <si>
    <t>21/09/2026 08:23:09</t>
  </si>
  <si>
    <t>21/09/2026 13:01:46</t>
  </si>
  <si>
    <t>6ab154ea14246dbb8f7cd25f</t>
  </si>
  <si>
    <t>21/09/2026 06:30:20</t>
  </si>
  <si>
    <t>6ab154ea14246dbb8f7cd24d</t>
  </si>
  <si>
    <t>21/09/2026 04:31:26</t>
  </si>
  <si>
    <t>6ab3f5fe7dc9e21ef60b45dd</t>
  </si>
  <si>
    <t>23/09/2026 11:29:57</t>
  </si>
  <si>
    <t>23/09/2026 12:53:34</t>
  </si>
  <si>
    <t>23/09/2026</t>
  </si>
  <si>
    <t>6ab3f5fe7dc9e21ef60b45c9</t>
  </si>
  <si>
    <t>23/09/2026 08:35:21</t>
  </si>
  <si>
    <t>6ab3f5fe7dc9e21ef60b45b7</t>
  </si>
  <si>
    <t>23/09/2026 06:31:49</t>
  </si>
  <si>
    <t>6ab3f5fe7dc9e21ef60b45ab</t>
  </si>
  <si>
    <t>23/09/2026 04:54:28</t>
  </si>
  <si>
    <t>6ab33d982198fdc3939087f7</t>
  </si>
  <si>
    <t>22/09/2026 21:34:31</t>
  </si>
  <si>
    <t>22/09/2026 23:46:48</t>
  </si>
  <si>
    <t>22/09/2026</t>
  </si>
  <si>
    <t>6ab33d982198fdc3939087df</t>
  </si>
  <si>
    <t>22/09/2026 17:49:08</t>
  </si>
  <si>
    <t>6ab33d972198fdc3939087bb</t>
  </si>
  <si>
    <t>22/09/2026 14:20:24</t>
  </si>
  <si>
    <t>22/09/2026 23:46:47</t>
  </si>
  <si>
    <t>6ab2a66acffb29c3dcb6c7f6</t>
  </si>
  <si>
    <t>22/09/2026 11:34:38</t>
  </si>
  <si>
    <t>22/09/2026 13:01:46</t>
  </si>
  <si>
    <t>6ab2a66acffb29c3dcb6c7e2</t>
  </si>
  <si>
    <t>22/09/2026 08:54:27</t>
  </si>
  <si>
    <t>6ab2a66acffb29c3dcb6c7c4</t>
  </si>
  <si>
    <t>22/09/2026 06:14:24</t>
  </si>
  <si>
    <t>6ab2a669cffb29c3dcb6c7b2</t>
  </si>
  <si>
    <t>22/09/2026 04:29:39</t>
  </si>
  <si>
    <t>22/09/2026 13:01:45</t>
  </si>
  <si>
    <t>6ab48a81b91ebe7368fcc31b</t>
  </si>
  <si>
    <t>23/09/2026 21:13:58</t>
  </si>
  <si>
    <t>23/09/2026 23:27:13</t>
  </si>
  <si>
    <t>6ab48a81b91ebe7368fcc30f</t>
  </si>
  <si>
    <t>23/09/2026 18:18:53</t>
  </si>
  <si>
    <t>6ab48a81b91ebe7368fcc2e5</t>
  </si>
  <si>
    <t>23/09/2026 14:00:56</t>
  </si>
  <si>
    <t>6ab72b5c11cbfa0f2c786980</t>
  </si>
  <si>
    <t>25/09/2026 21:55:26</t>
  </si>
  <si>
    <t>25/09/2026 23:18:04</t>
  </si>
  <si>
    <t>25/09/2026</t>
  </si>
  <si>
    <t>6ab72b5c11cbfa0f2c786974</t>
  </si>
  <si>
    <t>25/09/2026 19:39:18</t>
  </si>
  <si>
    <t>6ab72b5c11cbfa0f2c78694a</t>
  </si>
  <si>
    <t>25/09/2026 14:09:53</t>
  </si>
  <si>
    <t>6ab69acafde5ec03d75893a4</t>
  </si>
  <si>
    <t>25/09/2026 11:32:50</t>
  </si>
  <si>
    <t>25/09/2026 13:01:14</t>
  </si>
  <si>
    <t>6ab69acafde5ec03d7589392</t>
  </si>
  <si>
    <t>25/09/2026 08:43:28</t>
  </si>
  <si>
    <t>6ab699afacf1d04b2dd91f4b</t>
  </si>
  <si>
    <t>25/09/2026 06:25:16</t>
  </si>
  <si>
    <t>25/09/2026 12:56:31</t>
  </si>
  <si>
    <t>6ab699afacf1d04b2dd91f45</t>
  </si>
  <si>
    <t>25/09/2026 04:27:10</t>
  </si>
  <si>
    <t>6ab5df3c99cfdd26d64307e6</t>
  </si>
  <si>
    <t>24/09/2026 20:37:19</t>
  </si>
  <si>
    <t>24/09/2026 23:41:00</t>
  </si>
  <si>
    <t>24/09/2026</t>
  </si>
  <si>
    <t>6ab5df3c99cfdd26d64307d4</t>
  </si>
  <si>
    <t>24/09/2026 18:45:10</t>
  </si>
  <si>
    <t>6ab5df3b99cfdd26d64307aa</t>
  </si>
  <si>
    <t>24/09/2026 13:52:48</t>
  </si>
  <si>
    <t>24/09/2026 23:40:59</t>
  </si>
  <si>
    <t>6ab5490e591c2004f134c33d</t>
  </si>
  <si>
    <t>24/09/2026 11:24:57</t>
  </si>
  <si>
    <t>24/09/2026 13:00:14</t>
  </si>
  <si>
    <t>6ab5490e591c2004f134c325</t>
  </si>
  <si>
    <t>24/09/2026 08:14:23</t>
  </si>
  <si>
    <t>6ab5490e591c2004f134c313</t>
  </si>
  <si>
    <t>24/09/2026 06:29:39</t>
  </si>
  <si>
    <t>6ab5490d591c2004f134c2fb</t>
  </si>
  <si>
    <t>24/09/2026 04:27:44</t>
  </si>
  <si>
    <t>24/09/2026 13:00:13</t>
  </si>
  <si>
    <t>6abb28971f4352de92673b0a</t>
  </si>
  <si>
    <t>28/09/2026 21:13:10</t>
  </si>
  <si>
    <t>28/09/2026 23:55:19</t>
  </si>
  <si>
    <t>28/09/2026</t>
  </si>
  <si>
    <t>6abb28971f4352de92673af2</t>
  </si>
  <si>
    <t>28/09/2026 19:09:46</t>
  </si>
  <si>
    <t>6abb28961f4352de92673ad4</t>
  </si>
  <si>
    <t>28/09/2026 14:06:02</t>
  </si>
  <si>
    <t>28/09/2026 23:55:18</t>
  </si>
  <si>
    <t>6aba9094acf1d04b2ddb06b4</t>
  </si>
  <si>
    <t>28/09/2026 11:35:46</t>
  </si>
  <si>
    <t>28/09/2026 13:06:44</t>
  </si>
  <si>
    <t>6aba9093acf1d04b2ddb069c</t>
  </si>
  <si>
    <t>28/09/2026 08:41:09</t>
  </si>
  <si>
    <t>28/09/2026 13:06:43</t>
  </si>
  <si>
    <t>6aba9093acf1d04b2ddb0684</t>
  </si>
  <si>
    <t>28/09/2026 06:28:40</t>
  </si>
  <si>
    <t>6aba9093acf1d04b2ddb0672</t>
  </si>
  <si>
    <t>28/09/2026 04:25:11</t>
  </si>
  <si>
    <t>6abc70e143ce2b65efeb7a4d</t>
  </si>
  <si>
    <t>29/09/2026 21:34:37</t>
  </si>
  <si>
    <t>29/09/2026 23:16:01</t>
  </si>
  <si>
    <t>29/09/2026</t>
  </si>
  <si>
    <t>6abc70e143ce2b65efeb7a3b</t>
  </si>
  <si>
    <t>29/09/2026 18:27:34</t>
  </si>
  <si>
    <t>6abc70e043ce2b65efeb7a17</t>
  </si>
  <si>
    <t>29/09/2026 14:05:27</t>
  </si>
  <si>
    <t>29/09/2026 23:16:00</t>
  </si>
  <si>
    <t>6abbe112d12b6fdcdf5519ef</t>
  </si>
  <si>
    <t>29/09/2026 11:07:05</t>
  </si>
  <si>
    <t>29/09/2026 13:02:26</t>
  </si>
  <si>
    <t>6abbe112d12b6fdcdf5519dd</t>
  </si>
  <si>
    <t>29/09/2026 08:38:00</t>
  </si>
  <si>
    <t>6abbe112d12b6fdcdf5519cb</t>
  </si>
  <si>
    <t>29/09/2026 06:54:58</t>
  </si>
  <si>
    <t>6abbe112d12b6fdcdf5519b3</t>
  </si>
  <si>
    <t>29/09/2026 04:28:40</t>
  </si>
  <si>
    <t>6abdc6d0a48ad3e47d9c4cd9</t>
  </si>
  <si>
    <t>30/09/2026 21:26:04</t>
  </si>
  <si>
    <t>30/09/2026 23:34:56</t>
  </si>
  <si>
    <t>30/09/2026</t>
  </si>
  <si>
    <t>6abdc6d0a48ad3e47d9c4cc7</t>
  </si>
  <si>
    <t>30/09/2026 19:03:03</t>
  </si>
  <si>
    <t>6abd806f8c70c570f30dc379</t>
  </si>
  <si>
    <t>30/09/2026 14:09:30</t>
  </si>
  <si>
    <t>30/09/2026 18:34:39</t>
  </si>
  <si>
    <t>6abd346f7f3e0285f25b9395</t>
  </si>
  <si>
    <t>30/09/2026 11:24:22</t>
  </si>
  <si>
    <t>30/09/2026 13:10:23</t>
  </si>
  <si>
    <t>6abd346f7f3e0285f25b9383</t>
  </si>
  <si>
    <t>30/09/2026 08:48:56</t>
  </si>
  <si>
    <t>6abd346f7f3e0285f25b9371</t>
  </si>
  <si>
    <t>30/09/2026 06:35:19</t>
  </si>
  <si>
    <t>6abd346e7f3e0285f25b9359</t>
  </si>
  <si>
    <t>30/09/2026 04:24:40</t>
  </si>
  <si>
    <t>30/09/2026 13:10:22</t>
  </si>
  <si>
    <t>6abf1961826700b8f0e1b938</t>
  </si>
  <si>
    <t>01/10/2026 21:46:16</t>
  </si>
  <si>
    <t>01/10/2026 23:39:29</t>
  </si>
  <si>
    <t>01/10/2026</t>
  </si>
  <si>
    <t>6abf1961826700b8f0e1b91e</t>
  </si>
  <si>
    <t>01/10/2026 19:14:04</t>
  </si>
  <si>
    <t>6abf1961826700b8f0e1b8f4</t>
  </si>
  <si>
    <t>01/10/2026 14:11:51</t>
  </si>
  <si>
    <t>6abe88111c9c14776a2d6325</t>
  </si>
  <si>
    <t>01/10/2026 11:34:12</t>
  </si>
  <si>
    <t>01/10/2026 13:19:29</t>
  </si>
  <si>
    <t>6abe88111c9c14776a2d630d</t>
  </si>
  <si>
    <t>01/10/2026 08:28:53</t>
  </si>
  <si>
    <t>6abe88111c9c14776a2d6301</t>
  </si>
  <si>
    <t>01/10/2026 06:27:15</t>
  </si>
  <si>
    <t>6abe88101c9c14776a2d62ef</t>
  </si>
  <si>
    <t>01/10/2026 04:28:16</t>
  </si>
  <si>
    <t>01/10/2026 13:19:28</t>
  </si>
  <si>
    <t>6ac45f339b7db2ba7646ac81</t>
  </si>
  <si>
    <t>05/10/2026 21:31:32</t>
  </si>
  <si>
    <t>05/10/2026 23:38:43</t>
  </si>
  <si>
    <t>05/10/2026</t>
  </si>
  <si>
    <t>6ac45f339b7db2ba7646ac63</t>
  </si>
  <si>
    <t>05/10/2026 19:04:12</t>
  </si>
  <si>
    <t>6ac45f339b7db2ba7646ac51</t>
  </si>
  <si>
    <t>05/10/2026 15:05:03</t>
  </si>
  <si>
    <t>6ac3bbfb76e463e032fa48b2</t>
  </si>
  <si>
    <t>05/10/2026 04:16:00</t>
  </si>
  <si>
    <t>05/10/2026 12:02:19</t>
  </si>
  <si>
    <t>6ac06c36486c261c1ca097ed</t>
  </si>
  <si>
    <t>02/10/2026 21:09:11</t>
  </si>
  <si>
    <t>02/10/2026 23:45:10</t>
  </si>
  <si>
    <t>02/10/2026</t>
  </si>
  <si>
    <t>6ac06c35486c261c1ca097d5</t>
  </si>
  <si>
    <t>02/10/2026 18:37:36</t>
  </si>
  <si>
    <t>02/10/2026 23:45:09</t>
  </si>
  <si>
    <t>6ac06c35486c261c1ca097b1</t>
  </si>
  <si>
    <t>02/10/2026 14:04:49</t>
  </si>
  <si>
    <t>6abfd3bebd86e569124a213c</t>
  </si>
  <si>
    <t>02/10/2026 11:16:49</t>
  </si>
  <si>
    <t>02/10/2026 12:54:38</t>
  </si>
  <si>
    <t>6abfd3bebd86e569124a2124</t>
  </si>
  <si>
    <t>02/10/2026 08:28:51</t>
  </si>
  <si>
    <t>6abfd3bebd86e569124a2110</t>
  </si>
  <si>
    <t>02/10/2026 06:30:31</t>
  </si>
  <si>
    <t>6abfd3bdbd86e569124a20f8</t>
  </si>
  <si>
    <t>02/10/2026 04:26:40</t>
  </si>
  <si>
    <t>02/10/2026 12:54:37</t>
  </si>
  <si>
    <t>6ac7bf67db68f2f72a1e620c</t>
  </si>
  <si>
    <t>08/10/2026 11:17:13</t>
  </si>
  <si>
    <t>08/10/2026 13:05:59</t>
  </si>
  <si>
    <t>08/10/2026</t>
  </si>
  <si>
    <t>6ac7bf67db68f2f72a1e61fa</t>
  </si>
  <si>
    <t>08/10/2026 08:37:24</t>
  </si>
  <si>
    <t>6ac7bf66db68f2f72a1e61e8</t>
  </si>
  <si>
    <t>08/10/2026 06:53:10</t>
  </si>
  <si>
    <t>08/10/2026 13:05:58</t>
  </si>
  <si>
    <t>6ac7bf66db68f2f72a1e61ce</t>
  </si>
  <si>
    <t>08/10/2026 04:45:06</t>
  </si>
  <si>
    <t>6ac7080e1363200b80961f73</t>
  </si>
  <si>
    <t>07/10/2026 20:41:01</t>
  </si>
  <si>
    <t>08/10/2026 00:03:42</t>
  </si>
  <si>
    <t>07/10/2026</t>
  </si>
  <si>
    <t>6ac7080e1363200b80961f5b</t>
  </si>
  <si>
    <t>07/10/2026 18:09:17</t>
  </si>
  <si>
    <t>6ac7080d1363200b80961f43</t>
  </si>
  <si>
    <t>07/10/2026 14:07:02</t>
  </si>
  <si>
    <t>08/10/2026 00:03:41</t>
  </si>
  <si>
    <t xml:space="preserve"> </t>
  </si>
  <si>
    <t>6ac66b4f5981b750ab1ef1b3</t>
  </si>
  <si>
    <t>07/10/2026 11:02:05</t>
  </si>
  <si>
    <t>07/10/2026 12:54:55</t>
  </si>
  <si>
    <t>6ac66b4f5981b750ab1ef1a1</t>
  </si>
  <si>
    <t>07/10/2026 08:25:45</t>
  </si>
  <si>
    <t>6ac66b4e5981b750ab1ef189</t>
  </si>
  <si>
    <t>07/10/2026 06:20:19</t>
  </si>
  <si>
    <t>07/10/2026 12:54:54</t>
  </si>
  <si>
    <t>6ac66b4e5981b750ab1ef175</t>
  </si>
  <si>
    <t>07/10/2026 04:23:33</t>
  </si>
  <si>
    <t>6ac5b4223cf16866fa6d76a1</t>
  </si>
  <si>
    <t>06/10/2026 22:00:41</t>
  </si>
  <si>
    <t>06/10/2026 23:53:22</t>
  </si>
  <si>
    <t>06/10/2026</t>
  </si>
  <si>
    <t>6ac5b4213cf16866fa6d7683</t>
  </si>
  <si>
    <t>06/10/2026 19:10:07</t>
  </si>
  <si>
    <t>06/10/2026 23:53:21</t>
  </si>
  <si>
    <t>6ac5b4213cf16866fa6d7665</t>
  </si>
  <si>
    <t>06/10/2026 14:01:03</t>
  </si>
  <si>
    <t>6ac51e7b682319dccbe9eec0</t>
  </si>
  <si>
    <t>06/10/2026 11:40:00</t>
  </si>
  <si>
    <t>06/10/2026 13:14:51</t>
  </si>
  <si>
    <t>6ac51e7a682319dccbe9eea8</t>
  </si>
  <si>
    <t>06/10/2026 08:29:34</t>
  </si>
  <si>
    <t>06/10/2026 13:14:50</t>
  </si>
  <si>
    <t>6ac51e7a682319dccbe9ee96</t>
  </si>
  <si>
    <t>06/10/2026 06:35:13</t>
  </si>
  <si>
    <t>6ac51e7a682319dccbe9ee7e</t>
  </si>
  <si>
    <t>06/10/2026 04:23:32</t>
  </si>
  <si>
    <t>6ace57c9a903f9d515f5e7d7</t>
  </si>
  <si>
    <t>13/10/2026 12:03:09</t>
  </si>
  <si>
    <t>13/10/2026 13:09:45</t>
  </si>
  <si>
    <t>13/10/2026</t>
  </si>
  <si>
    <t>6ace57c9a903f9d515f5e7bd</t>
  </si>
  <si>
    <t>13/10/2026 08:34:45</t>
  </si>
  <si>
    <t>6ace57c9a903f9d515f5e7ab</t>
  </si>
  <si>
    <t>13/10/2026 06:33:56</t>
  </si>
  <si>
    <t>6ace57c8a903f9d515f5e793</t>
  </si>
  <si>
    <t>13/10/2026 04:35:04</t>
  </si>
  <si>
    <t>13/10/2026 13:09:44</t>
  </si>
  <si>
    <t>6ac9a536eef9822e921346ff</t>
  </si>
  <si>
    <t>09/10/2026 20:03:52</t>
  </si>
  <si>
    <t>09/10/2026 23:38:46</t>
  </si>
  <si>
    <t>09/10/2026</t>
  </si>
  <si>
    <t>6ac9a536eef9822e921346ed</t>
  </si>
  <si>
    <t>09/10/2026 18:06:45</t>
  </si>
  <si>
    <t>6ac9a535eef9822e921346d5</t>
  </si>
  <si>
    <t>09/10/2026 13:36:49</t>
  </si>
  <si>
    <t>09/10/2026 23:38:45</t>
  </si>
  <si>
    <t>6ac910c878034b104e280da9</t>
  </si>
  <si>
    <t>09/10/2026 11:36:14</t>
  </si>
  <si>
    <t>09/10/2026 13:05:28</t>
  </si>
  <si>
    <t>6ac910c778034b104e280d97</t>
  </si>
  <si>
    <t>09/10/2026 08:38:16</t>
  </si>
  <si>
    <t>09/10/2026 13:05:27</t>
  </si>
  <si>
    <t>6ac910c778034b104e280d85</t>
  </si>
  <si>
    <t>09/10/2026 06:38:11</t>
  </si>
  <si>
    <t>6ac910c778034b104e280d73</t>
  </si>
  <si>
    <t>09/10/2026 04:24:56</t>
  </si>
  <si>
    <t>6ac853d99b36bf80de8aa09a</t>
  </si>
  <si>
    <t>08/10/2026 21:34:23</t>
  </si>
  <si>
    <t>08/10/2026 23:39:21</t>
  </si>
  <si>
    <t>6ac853d89b36bf80de8aa082</t>
  </si>
  <si>
    <t>08/10/2026 19:28:15</t>
  </si>
  <si>
    <t>08/10/2026 23:39:20</t>
  </si>
  <si>
    <t>6ac853d89b36bf80de8aa058</t>
  </si>
  <si>
    <t>08/10/2026 14:17:36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</si>
</sst>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1F7ED"/>
        <bgColor indexed="64"/>
      </patternFill>
    </fill>
    <fill>
      <patternFill patternType="solid">
        <fgColor rgb="FFABDB77"/>
        <bgColor indexed="64"/>
      </patternFill>
    </fill>
    <fill>
      <patternFill patternType="solid">
        <fgColor rgb="FFEAF4E4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1" tint="0.499984740745262"/>
      </bottom>
      <diagonal/>
    </border>
    <border>
      <left/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2" tint="-0.74999237037263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2" tint="-0.74999237037263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4" xfId="1" applyNumberFormat="1" applyFont="1" applyBorder="1" applyAlignment="1">
      <alignment horizontal="center"/>
    </xf>
    <xf numFmtId="0" fontId="0" fillId="0" borderId="5" xfId="1" applyNumberFormat="1" applyFont="1" applyBorder="1" applyAlignment="1">
      <alignment horizontal="center"/>
    </xf>
    <xf numFmtId="0" fontId="3" fillId="0" borderId="10" xfId="1" applyNumberFormat="1" applyFont="1" applyBorder="1" applyAlignment="1">
      <alignment horizontal="center" vertical="center"/>
    </xf>
    <xf numFmtId="0" fontId="3" fillId="0" borderId="11" xfId="1" applyNumberFormat="1" applyFont="1" applyBorder="1" applyAlignment="1">
      <alignment horizontal="center" vertical="center"/>
    </xf>
    <xf numFmtId="0" fontId="0" fillId="0" borderId="3" xfId="1" applyNumberFormat="1" applyFont="1" applyBorder="1" applyAlignment="1">
      <alignment horizontal="center"/>
    </xf>
    <xf numFmtId="0" fontId="3" fillId="0" borderId="15" xfId="1" applyNumberFormat="1" applyFont="1" applyBorder="1" applyAlignment="1">
      <alignment horizontal="center" vertical="center"/>
    </xf>
    <xf numFmtId="0" fontId="3" fillId="0" borderId="16" xfId="1" applyNumberFormat="1" applyFont="1" applyBorder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Fill="1"/>
    <xf numFmtId="0" fontId="4" fillId="0" borderId="0" xfId="0" applyFont="1" applyFill="1" applyAlignment="1">
      <alignment horizontal="center" vertical="center"/>
    </xf>
    <xf numFmtId="0" fontId="0" fillId="0" borderId="0" xfId="0" applyFill="1" applyAlignment="1">
      <alignment vertical="center" wrapText="1"/>
    </xf>
    <xf numFmtId="0" fontId="4" fillId="3" borderId="2" xfId="0" applyFont="1" applyFill="1" applyBorder="1" applyAlignment="1">
      <alignment horizontal="center" vertical="center"/>
    </xf>
    <xf numFmtId="0" fontId="0" fillId="4" borderId="12" xfId="0" applyFont="1" applyFill="1" applyBorder="1" applyAlignment="1">
      <alignment horizontal="center" vertical="center"/>
    </xf>
    <xf numFmtId="0" fontId="0" fillId="4" borderId="14" xfId="0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14" fontId="5" fillId="3" borderId="2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left"/>
    </xf>
    <xf numFmtId="9" fontId="0" fillId="0" borderId="3" xfId="1" applyNumberFormat="1" applyFont="1" applyBorder="1" applyAlignment="1">
      <alignment horizontal="center"/>
    </xf>
    <xf numFmtId="9" fontId="0" fillId="0" borderId="4" xfId="1" applyNumberFormat="1" applyFont="1" applyBorder="1" applyAlignment="1">
      <alignment horizontal="center"/>
    </xf>
    <xf numFmtId="9" fontId="0" fillId="0" borderId="6" xfId="1" applyNumberFormat="1" applyFont="1" applyBorder="1" applyAlignment="1">
      <alignment horizontal="center"/>
    </xf>
    <xf numFmtId="9" fontId="0" fillId="0" borderId="7" xfId="1" applyNumberFormat="1" applyFont="1" applyBorder="1" applyAlignment="1">
      <alignment horizontal="center"/>
    </xf>
    <xf numFmtId="9" fontId="0" fillId="4" borderId="9" xfId="1" applyNumberFormat="1" applyFont="1" applyFill="1" applyBorder="1" applyAlignment="1">
      <alignment horizontal="center"/>
    </xf>
    <xf numFmtId="9" fontId="0" fillId="4" borderId="10" xfId="1" applyNumberFormat="1" applyFont="1" applyFill="1" applyBorder="1" applyAlignment="1">
      <alignment horizontal="center"/>
    </xf>
    <xf numFmtId="9" fontId="0" fillId="0" borderId="21" xfId="1" applyNumberFormat="1" applyFont="1" applyBorder="1" applyAlignment="1">
      <alignment horizontal="center"/>
    </xf>
    <xf numFmtId="9" fontId="0" fillId="0" borderId="22" xfId="1" applyNumberFormat="1" applyFont="1" applyBorder="1" applyAlignment="1">
      <alignment horizontal="center"/>
    </xf>
    <xf numFmtId="9" fontId="0" fillId="0" borderId="8" xfId="1" applyNumberFormat="1" applyFont="1" applyBorder="1" applyAlignment="1">
      <alignment horizontal="center"/>
    </xf>
    <xf numFmtId="9" fontId="0" fillId="4" borderId="15" xfId="1" applyNumberFormat="1" applyFont="1" applyFill="1" applyBorder="1" applyAlignment="1">
      <alignment horizontal="center"/>
    </xf>
    <xf numFmtId="9" fontId="0" fillId="4" borderId="16" xfId="1" applyNumberFormat="1" applyFont="1" applyFill="1" applyBorder="1" applyAlignment="1">
      <alignment horizontal="center"/>
    </xf>
    <xf numFmtId="9" fontId="0" fillId="0" borderId="5" xfId="1" applyNumberFormat="1" applyFont="1" applyBorder="1" applyAlignment="1">
      <alignment horizontal="center"/>
    </xf>
    <xf numFmtId="9" fontId="0" fillId="0" borderId="10" xfId="1" applyNumberFormat="1" applyFont="1" applyBorder="1" applyAlignment="1">
      <alignment horizontal="center"/>
    </xf>
    <xf numFmtId="9" fontId="0" fillId="0" borderId="11" xfId="1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1" fontId="0" fillId="0" borderId="0" xfId="1" applyNumberFormat="1" applyFont="1" applyAlignment="1">
      <alignment horizontal="center"/>
    </xf>
    <xf numFmtId="0" fontId="4" fillId="5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0" fillId="0" borderId="0" xfId="0" applyNumberFormat="1" applyFill="1" applyAlignment="1">
      <alignment vertical="center" wrapText="1"/>
    </xf>
    <xf numFmtId="9" fontId="0" fillId="4" borderId="26" xfId="1" applyNumberFormat="1" applyFont="1" applyFill="1" applyBorder="1" applyAlignment="1">
      <alignment horizontal="center"/>
    </xf>
    <xf numFmtId="9" fontId="0" fillId="4" borderId="27" xfId="1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3" fillId="6" borderId="11" xfId="1" applyNumberFormat="1" applyFont="1" applyFill="1" applyBorder="1" applyAlignment="1">
      <alignment horizontal="center" vertical="center"/>
    </xf>
    <xf numFmtId="0" fontId="1" fillId="6" borderId="5" xfId="1" applyNumberFormat="1" applyFont="1" applyFill="1" applyBorder="1" applyAlignment="1">
      <alignment horizontal="center"/>
    </xf>
    <xf numFmtId="0" fontId="0" fillId="7" borderId="0" xfId="0" applyFill="1"/>
    <xf numFmtId="0" fontId="4" fillId="2" borderId="23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/>
    </xf>
    <xf numFmtId="9" fontId="6" fillId="4" borderId="18" xfId="1" applyFont="1" applyFill="1" applyBorder="1" applyAlignment="1">
      <alignment horizontal="center" vertical="center"/>
    </xf>
    <xf numFmtId="9" fontId="6" fillId="4" borderId="19" xfId="1" applyFont="1" applyFill="1" applyBorder="1" applyAlignment="1">
      <alignment horizontal="center" vertical="center"/>
    </xf>
    <xf numFmtId="9" fontId="6" fillId="4" borderId="20" xfId="1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11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</dxfs>
  <tableStyles count="1" defaultTableStyle="TableStyleMedium2" defaultPivotStyle="PivotStyleLight16">
    <tableStyle name="Estilo de Tabela 1" pivot="0" count="0"/>
  </tableStyles>
  <colors>
    <mruColors>
      <color rgb="FFEAF4E4"/>
      <color rgb="FFABDB77"/>
      <color rgb="FFF1F7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3</xdr:col>
      <xdr:colOff>31750</xdr:colOff>
      <xdr:row>1</xdr:row>
      <xdr:rowOff>304800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066925" cy="742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63500</xdr:colOff>
      <xdr:row>0</xdr:row>
      <xdr:rowOff>0</xdr:rowOff>
    </xdr:from>
    <xdr:to>
      <xdr:col>17</xdr:col>
      <xdr:colOff>317501</xdr:colOff>
      <xdr:row>1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Item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tem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57500" y="0"/>
              <a:ext cx="7667626" cy="76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25401</xdr:colOff>
      <xdr:row>0</xdr:row>
      <xdr:rowOff>0</xdr:rowOff>
    </xdr:from>
    <xdr:to>
      <xdr:col>4</xdr:col>
      <xdr:colOff>63500</xdr:colOff>
      <xdr:row>1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Tip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7401" y="0"/>
              <a:ext cx="801450" cy="76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enrique Pereira Ferraz" refreshedDate="46308.562466087962" createdVersion="5" refreshedVersion="5" minRefreshableVersion="3" recordCount="371">
  <cacheSource type="worksheet">
    <worksheetSource name="Tabela1"/>
  </cacheSource>
  <cacheFields count="67">
    <cacheField name="Data Corrigida" numFmtId="14">
      <sharedItems containsSemiMixedTypes="0" containsNonDate="0" containsDate="1" containsString="0" minDate="2026-01-01T00:00:00" maxDate="2026-10-14T00:00:00" count="65">
        <d v="2026-01-01T00:00:00"/>
        <d v="2026-02-01T00:00:00"/>
        <d v="2026-03-01T00:00:00"/>
        <d v="2026-04-01T00:00:00"/>
        <d v="2026-05-01T00:00:00"/>
        <d v="2026-05-02T00:00:00"/>
        <d v="2026-06-03T00:00:00"/>
        <d v="2026-08-04T00:00:00"/>
        <d v="2026-08-03T00:00:00"/>
        <d v="2026-07-30T00:00:00"/>
        <d v="2026-07-29T00:00:00"/>
        <d v="2026-07-28T00:00:00"/>
        <d v="2026-07-27T00:00:00"/>
        <d v="2026-07-24T00:00:00"/>
        <d v="2026-07-23T00:00:00"/>
        <d v="2026-07-22T00:00:00"/>
        <d v="2026-08-06T00:00:00"/>
        <d v="2026-08-05T00:00:00"/>
        <d v="2026-08-07T00:00:00"/>
        <d v="2026-08-10T00:00:00"/>
        <d v="2026-08-14T00:00:00"/>
        <d v="2026-08-13T00:00:00"/>
        <d v="2026-08-12T00:00:00"/>
        <d v="2026-08-11T00:00:00"/>
        <d v="2026-08-17T00:00:00"/>
        <d v="2026-08-18T00:00:00"/>
        <d v="2026-08-19T00:00:00"/>
        <d v="2026-08-20T00:00:00"/>
        <d v="2026-08-21T00:00:00"/>
        <d v="2026-08-24T00:00:00"/>
        <d v="2026-08-25T00:00:00"/>
        <d v="2026-08-26T00:00:00"/>
        <d v="2026-08-27T00:00:00"/>
        <d v="2026-08-28T00:00:00"/>
        <d v="2026-09-01T00:00:00"/>
        <d v="2026-08-31T00:00:00"/>
        <d v="2026-09-03T00:00:00"/>
        <d v="2026-09-02T00:00:00"/>
        <d v="2026-09-08T00:00:00"/>
        <d v="2026-09-10T00:00:00"/>
        <d v="2026-09-09T00:00:00"/>
        <d v="2026-09-12T00:00:00"/>
        <d v="2026-09-11T00:00:00"/>
        <d v="2026-09-14T00:00:00"/>
        <d v="2026-09-15T00:00:00"/>
        <d v="2026-09-16T00:00:00"/>
        <d v="2026-09-18T00:00:00"/>
        <d v="2026-09-17T00:00:00"/>
        <d v="2026-09-21T00:00:00"/>
        <d v="2026-09-23T00:00:00"/>
        <d v="2026-09-22T00:00:00"/>
        <d v="2026-09-25T00:00:00"/>
        <d v="2026-09-24T00:00:00"/>
        <d v="2026-09-28T00:00:00"/>
        <d v="2026-09-29T00:00:00"/>
        <d v="2026-09-30T00:00:00"/>
        <d v="2026-10-01T00:00:00"/>
        <d v="2026-10-05T00:00:00"/>
        <d v="2026-10-02T00:00:00"/>
        <d v="2026-10-08T00:00:00"/>
        <d v="2026-10-07T00:00:00"/>
        <d v="2026-10-06T00:00:00"/>
        <d v="2026-10-13T00:00:00"/>
        <d v="2026-10-09T00:00:00"/>
        <d v="2026-05-03T00:00:00" u="1"/>
      </sharedItems>
    </cacheField>
    <cacheField name="Mês" numFmtId="14">
      <sharedItems count="10">
        <s v="JAN"/>
        <s v="FEV"/>
        <s v="MAR"/>
        <s v="ABR"/>
        <s v="MAI"/>
        <s v="JUN"/>
        <s v="AGO"/>
        <s v="JUL"/>
        <s v="SET"/>
        <s v="OUT"/>
      </sharedItems>
    </cacheField>
    <cacheField name="ID" numFmtId="0">
      <sharedItems containsBlank="1"/>
    </cacheField>
    <cacheField name="Data Coleta" numFmtId="0">
      <sharedItems containsMixedTypes="1" containsNumber="1" containsInteger="1" minValue="46023" maxValue="46174"/>
    </cacheField>
    <cacheField name="Data recebimento" numFmtId="0">
      <sharedItems containsMixedTypes="1" containsNumber="1" containsInteger="1" minValue="46023" maxValue="46174"/>
    </cacheField>
    <cacheField name="Usuário" numFmtId="0">
      <sharedItems/>
    </cacheField>
    <cacheField name="Data e Hora" numFmtId="14">
      <sharedItems containsDate="1" containsMixedTypes="1" minDate="2026-01-01T06:44:52" maxDate="2026-06-03T14:44:52"/>
    </cacheField>
    <cacheField name="Unidade" numFmtId="0">
      <sharedItems/>
    </cacheField>
    <cacheField name="Turno" numFmtId="0">
      <sharedItems/>
    </cacheField>
    <cacheField name="Velocidade (FPM)" numFmtId="0">
      <sharedItems containsSemiMixedTypes="0" containsString="0" containsNumber="1" containsInteger="1" minValue="78" maxValue="164"/>
    </cacheField>
    <cacheField name="Peso Médio (g)" numFmtId="0">
      <sharedItems containsMixedTypes="1" containsNumber="1" containsInteger="1" minValue="100" maxValue="6926"/>
    </cacheField>
    <cacheField name="Responsável pelo Monitoramento" numFmtId="0">
      <sharedItems containsBlank="1"/>
    </cacheField>
    <cacheField name="Pena após Depenadeira" numFmtId="0">
      <sharedItems containsSemiMixedTypes="0" containsString="0" containsNumber="1" minValue="2" maxValue="55"/>
    </cacheField>
    <cacheField name="% Pena após Depenadeira" numFmtId="1">
      <sharedItems containsSemiMixedTypes="0" containsString="0" containsNumber="1" minValue="2.5316455696202533" maxValue="53"/>
    </cacheField>
    <cacheField name="Pena após Repasse" numFmtId="0">
      <sharedItems containsMixedTypes="1" containsNumber="1" minValue="0" maxValue="62"/>
    </cacheField>
    <cacheField name="% Pena após Repasse" numFmtId="1">
      <sharedItems containsMixedTypes="1" containsNumber="1" minValue="0" maxValue="62"/>
    </cacheField>
    <cacheField name="Carcaça Quebrada" numFmtId="0">
      <sharedItems containsBlank="1" containsMixedTypes="1" containsNumber="1" containsInteger="1" minValue="0" maxValue="16"/>
    </cacheField>
    <cacheField name="% Carcaça quebrada" numFmtId="0">
      <sharedItems containsBlank="1" containsMixedTypes="1" containsNumber="1" containsInteger="1" minValue="0" maxValue="100"/>
    </cacheField>
    <cacheField name="Fratura Branca" numFmtId="0">
      <sharedItems containsMixedTypes="1" containsNumber="1" minValue="0" maxValue="6"/>
    </cacheField>
    <cacheField name="% Fratura Branca" numFmtId="0">
      <sharedItems containsBlank="1" containsMixedTypes="1" containsNumber="1" containsInteger="1" minValue="0" maxValue="6"/>
    </cacheField>
    <cacheField name="Hematoma Fabrica" numFmtId="0">
      <sharedItems containsMixedTypes="1" containsNumber="1" minValue="0" maxValue="8"/>
    </cacheField>
    <cacheField name="% Hematoma Fabrica" numFmtId="0">
      <sharedItems containsBlank="1" containsMixedTypes="1" containsNumber="1" containsInteger="1" minValue="0" maxValue="8"/>
    </cacheField>
    <cacheField name="Peito Queimado" numFmtId="0">
      <sharedItems containsMixedTypes="1" containsNumber="1" minValue="0" maxValue="10"/>
    </cacheField>
    <cacheField name="% Peito Queimado" numFmtId="0">
      <sharedItems containsBlank="1" containsMixedTypes="1" containsNumber="1" containsInteger="1" minValue="0" maxValue="30"/>
    </cacheField>
    <cacheField name="Retorno Pés" numFmtId="0">
      <sharedItems containsMixedTypes="1" containsNumber="1" minValue="0" maxValue="14"/>
    </cacheField>
    <cacheField name="% Retorno Pés" numFmtId="2">
      <sharedItems containsMixedTypes="1" containsNumber="1" minValue="0" maxValue="4.375"/>
    </cacheField>
    <cacheField name="Cloca não Exposta" numFmtId="0">
      <sharedItems containsString="0" containsBlank="1" containsNumber="1" containsInteger="1" minValue="1" maxValue="35"/>
    </cacheField>
    <cacheField name="% Clocaca mal Exposta" numFmtId="2">
      <sharedItems containsSemiMixedTypes="0" containsString="0" containsNumber="1" minValue="0.3543586109142452" maxValue="32.911392405063289"/>
    </cacheField>
    <cacheField name="Cloaca Rompida" numFmtId="0">
      <sharedItems containsString="0" containsBlank="1" containsNumber="1" containsInteger="1" minValue="0" maxValue="2"/>
    </cacheField>
    <cacheField name="% Cloacas Rompidas" numFmtId="2">
      <sharedItems containsSemiMixedTypes="0" containsString="0" containsNumber="1" minValue="0" maxValue="1.9801980198019802"/>
    </cacheField>
    <cacheField name="Contaminação após extratora" numFmtId="0">
      <sharedItems containsBlank="1" containsMixedTypes="1" containsNumber="1" containsInteger="1" minValue="0" maxValue="7"/>
    </cacheField>
    <cacheField name="% Contaminação Após Extratora" numFmtId="2">
      <sharedItems containsMixedTypes="1" containsNumber="1" minValue="0" maxValue="5.384615384615385"/>
    </cacheField>
    <cacheField name="Corte no Reto" numFmtId="0">
      <sharedItems containsString="0" containsBlank="1" containsNumber="1" containsInteger="1" minValue="0" maxValue="13"/>
    </cacheField>
    <cacheField name="% Corte no Reto" numFmtId="2">
      <sharedItems containsSemiMixedTypes="0" containsString="0" containsNumber="1" minValue="0" maxValue="13"/>
    </cacheField>
    <cacheField name="Observações" numFmtId="0">
      <sharedItems containsBlank="1"/>
    </cacheField>
    <cacheField name="Abdome mal aberto" numFmtId="0">
      <sharedItems containsBlank="1" containsMixedTypes="1" containsNumber="1" containsInteger="1" minValue="0" maxValue="10"/>
    </cacheField>
    <cacheField name="% Abdome mal abertos" numFmtId="2">
      <sharedItems containsMixedTypes="1" containsNumber="1" minValue="0" maxValue="6.9230769230769234"/>
    </cacheField>
    <cacheField name="Corte de Intestino" numFmtId="0">
      <sharedItems containsBlank="1" containsMixedTypes="1" containsNumber="1" containsInteger="1" minValue="0" maxValue="8"/>
    </cacheField>
    <cacheField name="% Corte de Intestino" numFmtId="2">
      <sharedItems containsMixedTypes="1" containsNumber="1" minValue="0" maxValue="5.2287581699346406"/>
    </cacheField>
    <cacheField name="Observações 2" numFmtId="0">
      <sharedItems containsBlank="1"/>
    </cacheField>
    <cacheField name="Carcaças com Pacotes mal extraídos" numFmtId="0">
      <sharedItems containsString="0" containsBlank="1" containsNumber="1" containsInteger="1" minValue="0" maxValue="27"/>
    </cacheField>
    <cacheField name="% Carcaças com Pacotes Mal Extraídos" numFmtId="2">
      <sharedItems containsSemiMixedTypes="0" containsString="0" containsNumber="1" minValue="0" maxValue="17.84"/>
    </cacheField>
    <cacheField name="Perda de pacotes na evisceradora" numFmtId="2">
      <sharedItems containsBlank="1" containsMixedTypes="1" containsNumber="1" containsInteger="1" minValue="0" maxValue="10"/>
    </cacheField>
    <cacheField name="% Perda de pacotes na evisceradora " numFmtId="2">
      <sharedItems containsBlank="1" containsMixedTypes="1" containsNumber="1" minValue="0" maxValue="7.6923076923076925"/>
    </cacheField>
    <cacheField name="Contaminação externa após a evisceradora" numFmtId="0">
      <sharedItems containsString="0" containsBlank="1" containsNumber="1" containsInteger="1" minValue="1" maxValue="16"/>
    </cacheField>
    <cacheField name="% Contaminação Externa Após a Evisceradora" numFmtId="2">
      <sharedItems containsSemiMixedTypes="0" containsString="0" containsNumber="1" minValue="0.14174344436569808" maxValue="14.84"/>
    </cacheField>
    <cacheField name="Contaminação interna após a evisceradora" numFmtId="0">
      <sharedItems containsString="0" containsBlank="1" containsNumber="1" containsInteger="1" minValue="0" maxValue="4"/>
    </cacheField>
    <cacheField name="% Contaminação Interna Após Evisceradora" numFmtId="2">
      <sharedItems containsSemiMixedTypes="0" containsString="0" containsNumber="1" minValue="0" maxValue="4.16"/>
    </cacheField>
    <cacheField name="Observações 3" numFmtId="0">
      <sharedItems containsBlank="1"/>
    </cacheField>
    <cacheField name="Pro ventrículo não integro" numFmtId="0">
      <sharedItems containsBlank="1" containsMixedTypes="1" containsNumber="1" containsInteger="1" minValue="5" maxValue="30"/>
    </cacheField>
    <cacheField name="Retirada de Coração" numFmtId="0">
      <sharedItems containsBlank="1" containsMixedTypes="1" containsNumber="1" containsInteger="1" minValue="0" maxValue="15"/>
    </cacheField>
    <cacheField name="Retirada de Fígado" numFmtId="0">
      <sharedItems containsBlank="1" containsMixedTypes="1" containsNumber="1" containsInteger="1" minValue="0" maxValue="17"/>
    </cacheField>
    <cacheField name="% Pro ventrículo não integro" numFmtId="0">
      <sharedItems containsMixedTypes="1" containsNumber="1" minValue="10" maxValue="60"/>
    </cacheField>
    <cacheField name="% Retirada de Coração" numFmtId="0">
      <sharedItems containsMixedTypes="1" containsNumber="1" minValue="0" maxValue="30"/>
    </cacheField>
    <cacheField name="% Retirada de Fígado" numFmtId="0">
      <sharedItems containsMixedTypes="1" containsNumber="1" minValue="0" maxValue="34"/>
    </cacheField>
    <cacheField name="Presença de moela apos linha de retirada" numFmtId="0">
      <sharedItems containsBlank="1" containsMixedTypes="1" containsNumber="1" containsInteger="1" minValue="0" maxValue="5"/>
    </cacheField>
    <cacheField name="% Presença de moela apos linha de retirada" numFmtId="164">
      <sharedItems containsBlank="1" containsMixedTypes="1" containsNumber="1" minValue="0" maxValue="3.3557046979865772"/>
    </cacheField>
    <cacheField name="% Queratina na moela" numFmtId="0">
      <sharedItems containsMixedTypes="1" containsNumber="1" minValue="2" maxValue="29"/>
    </cacheField>
    <cacheField name="% Erro de corte na moela" numFmtId="0">
      <sharedItems containsMixedTypes="1" containsNumber="1" minValue="1" maxValue="48"/>
    </cacheField>
    <cacheField name="Carcaças quebradas após papo - traquéia" numFmtId="0">
      <sharedItems containsBlank="1" containsMixedTypes="1" containsNumber="1" containsInteger="1" minValue="0" maxValue="4"/>
    </cacheField>
    <cacheField name="% Carcaças quebradas após papo - traquéia" numFmtId="0">
      <sharedItems containsBlank="1" containsMixedTypes="1" containsNumber="1" containsInteger="1" minValue="0" maxValue="30"/>
    </cacheField>
    <cacheField name="Miúdos Palma A" numFmtId="0">
      <sharedItems containsBlank="1"/>
    </cacheField>
    <cacheField name="Palma com Calos pós Chiller" numFmtId="0">
      <sharedItems containsMixedTypes="1" containsNumber="1" minValue="0" maxValue="33"/>
    </cacheField>
    <cacheField name="Palma com Fratura externa" numFmtId="0">
      <sharedItems containsMixedTypes="1" containsNumber="1" minValue="0" maxValue="0.52"/>
    </cacheField>
    <cacheField name="Palma com Fratura interna" numFmtId="0">
      <sharedItems containsMixedTypes="1" containsNumber="1" minValue="0" maxValue="10.97"/>
    </cacheField>
    <cacheField name="Assinatura Coordenador/Supervisor/Operador" numFmtId="0">
      <sharedItems containsBlank="1"/>
    </cacheField>
    <cacheField name="Tempo de resposta" numFmtId="0">
      <sharedItems containsString="0" containsBlank="1" containsNumber="1" containsInteger="1" minValue="108" maxValue="25799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71">
  <r>
    <x v="0"/>
    <x v="0"/>
    <m/>
    <n v="46023"/>
    <n v="46023"/>
    <s v="Henrique"/>
    <d v="2026-01-01T06:44:52"/>
    <s v="Guapiaçu"/>
    <s v="1 ° Turno"/>
    <n v="145"/>
    <n v="3289"/>
    <s v="EDMAR FELIPE MARTINS"/>
    <n v="33.6"/>
    <n v="23.172413793103448"/>
    <n v="22.62"/>
    <n v="15.6"/>
    <m/>
    <m/>
    <n v="1.19"/>
    <m/>
    <n v="0.92"/>
    <m/>
    <n v="0.8"/>
    <m/>
    <n v="3.82"/>
    <n v="1.3172413793103448"/>
    <m/>
    <n v="12.55"/>
    <n v="0"/>
    <n v="0"/>
    <m/>
    <n v="2.42"/>
    <m/>
    <n v="7.17"/>
    <m/>
    <m/>
    <n v="6.02"/>
    <m/>
    <n v="3.05"/>
    <m/>
    <m/>
    <n v="17.84"/>
    <m/>
    <m/>
    <m/>
    <n v="14.44"/>
    <m/>
    <n v="4.16"/>
    <m/>
    <m/>
    <m/>
    <m/>
    <n v="44.19"/>
    <n v="0.9"/>
    <n v="2.4300000000000002"/>
    <m/>
    <m/>
    <n v="24.1"/>
    <n v="13.19"/>
    <m/>
    <m/>
    <m/>
    <n v="3.45"/>
    <n v="0"/>
    <n v="4.68"/>
    <m/>
    <m/>
  </r>
  <r>
    <x v="0"/>
    <x v="0"/>
    <m/>
    <n v="46023"/>
    <n v="46023"/>
    <s v="Henrique"/>
    <d v="2026-01-01T14:44:52"/>
    <s v="Guapiaçu"/>
    <s v="2 ° Turno"/>
    <n v="145"/>
    <n v="3289"/>
    <m/>
    <n v="27.69"/>
    <n v="19.096551724137932"/>
    <n v="7.28"/>
    <n v="5.0206896551724141"/>
    <m/>
    <m/>
    <n v="1.1100000000000001"/>
    <m/>
    <n v="0.47"/>
    <m/>
    <n v="1.56"/>
    <m/>
    <n v="5.43"/>
    <n v="1.8724137931034481"/>
    <m/>
    <n v="8.4600000000000009"/>
    <m/>
    <n v="0.04"/>
    <m/>
    <n v="0.81"/>
    <m/>
    <n v="4.54"/>
    <m/>
    <m/>
    <n v="2.37"/>
    <m/>
    <n v="0.52"/>
    <m/>
    <m/>
    <n v="14.8"/>
    <m/>
    <m/>
    <m/>
    <n v="14.84"/>
    <m/>
    <n v="1.63"/>
    <m/>
    <m/>
    <m/>
    <m/>
    <n v="39.22"/>
    <n v="0.06"/>
    <n v="0.06"/>
    <m/>
    <m/>
    <n v="23.22"/>
    <n v="8.61"/>
    <m/>
    <m/>
    <m/>
    <n v="0.45"/>
    <n v="0.1"/>
    <n v="4"/>
    <m/>
    <m/>
  </r>
  <r>
    <x v="1"/>
    <x v="1"/>
    <m/>
    <n v="46054"/>
    <n v="46054"/>
    <s v="Henrique"/>
    <d v="2026-02-01T06:44:52"/>
    <s v="Guapiaçu"/>
    <s v="1 ° Turno"/>
    <n v="145"/>
    <n v="2933"/>
    <s v="EDMAR FELIPE MARTINS"/>
    <n v="12.4"/>
    <n v="8.5517241379310338"/>
    <n v="21.17"/>
    <n v="14.600000000000001"/>
    <m/>
    <m/>
    <n v="0.7"/>
    <m/>
    <n v="0.77"/>
    <m/>
    <n v="1.4"/>
    <m/>
    <n v="4.32"/>
    <n v="1.4896551724137932"/>
    <m/>
    <n v="3.8"/>
    <m/>
    <n v="0"/>
    <m/>
    <n v="0"/>
    <m/>
    <n v="4.2699999999999996"/>
    <m/>
    <m/>
    <n v="1.27"/>
    <m/>
    <n v="1.1299999999999999"/>
    <m/>
    <m/>
    <n v="6.58"/>
    <m/>
    <m/>
    <m/>
    <n v="3.32"/>
    <m/>
    <n v="0.55000000000000004"/>
    <m/>
    <m/>
    <m/>
    <m/>
    <n v="46.6"/>
    <n v="1"/>
    <n v="2.15"/>
    <m/>
    <m/>
    <n v="28.27"/>
    <n v="18.63"/>
    <m/>
    <m/>
    <m/>
    <n v="1.29"/>
    <n v="0"/>
    <n v="3.79"/>
    <m/>
    <m/>
  </r>
  <r>
    <x v="1"/>
    <x v="1"/>
    <m/>
    <n v="46054"/>
    <n v="46054"/>
    <s v="Henrique"/>
    <d v="2026-02-01T14:44:52"/>
    <s v="Guapiaçu"/>
    <s v="2 ° Turno"/>
    <n v="145"/>
    <n v="2933"/>
    <m/>
    <n v="32.729999999999997"/>
    <n v="22.572413793103447"/>
    <n v="8.18"/>
    <n v="5.6413793103448278"/>
    <m/>
    <m/>
    <n v="1.45"/>
    <m/>
    <n v="0.8"/>
    <m/>
    <n v="1.05"/>
    <m/>
    <n v="3.56"/>
    <n v="1.2275862068965517"/>
    <m/>
    <n v="2.93"/>
    <m/>
    <n v="0.18"/>
    <m/>
    <n v="0.56000000000000005"/>
    <m/>
    <n v="3.1"/>
    <m/>
    <m/>
    <n v="0.43"/>
    <m/>
    <n v="0.8"/>
    <m/>
    <m/>
    <n v="6.45"/>
    <m/>
    <m/>
    <m/>
    <n v="6.55"/>
    <m/>
    <n v="0.53"/>
    <m/>
    <m/>
    <m/>
    <m/>
    <n v="31.45"/>
    <n v="0"/>
    <n v="0"/>
    <m/>
    <m/>
    <n v="24.93"/>
    <n v="19.7"/>
    <m/>
    <m/>
    <m/>
    <n v="0.5"/>
    <n v="0.28999999999999998"/>
    <n v="0.5"/>
    <m/>
    <m/>
  </r>
  <r>
    <x v="2"/>
    <x v="2"/>
    <m/>
    <n v="46082"/>
    <n v="46082"/>
    <s v="Henrique"/>
    <d v="2026-03-01T06:44:52"/>
    <s v="Guapiaçu"/>
    <s v="1 ° Turno"/>
    <n v="145"/>
    <n v="2827"/>
    <s v="EDMAR FELIPE MARTINS"/>
    <n v="21.44"/>
    <n v="14.786206896551727"/>
    <n v="11.71"/>
    <n v="8.0758620689655185"/>
    <m/>
    <m/>
    <n v="2.04"/>
    <m/>
    <n v="1.4"/>
    <m/>
    <n v="3.96"/>
    <m/>
    <n v="3.68"/>
    <n v="1.2689655172413794"/>
    <m/>
    <n v="5.29"/>
    <m/>
    <n v="0.01"/>
    <m/>
    <n v="0"/>
    <m/>
    <n v="2.57"/>
    <m/>
    <m/>
    <n v="1.34"/>
    <m/>
    <n v="1.83"/>
    <m/>
    <m/>
    <n v="6.59"/>
    <m/>
    <m/>
    <m/>
    <n v="3.53"/>
    <m/>
    <n v="0.43"/>
    <m/>
    <m/>
    <m/>
    <m/>
    <n v="32.5"/>
    <n v="0.17"/>
    <n v="0.27"/>
    <m/>
    <m/>
    <n v="21.79"/>
    <n v="13.87"/>
    <m/>
    <m/>
    <m/>
    <n v="0.5"/>
    <n v="0.13"/>
    <n v="5.4"/>
    <m/>
    <m/>
  </r>
  <r>
    <x v="2"/>
    <x v="2"/>
    <m/>
    <n v="46082"/>
    <n v="46082"/>
    <s v="Henrique"/>
    <d v="2026-03-01T14:44:52"/>
    <s v="Guapiaçu"/>
    <s v="2 ° Turno"/>
    <n v="145"/>
    <n v="2827"/>
    <m/>
    <n v="26.09"/>
    <n v="17.993103448275864"/>
    <n v="10.02"/>
    <n v="6.9103448275862069"/>
    <m/>
    <m/>
    <n v="3.52"/>
    <m/>
    <n v="0.85"/>
    <m/>
    <n v="4.84"/>
    <m/>
    <n v="4.13"/>
    <n v="1.4241379310344826"/>
    <m/>
    <n v="4.38"/>
    <m/>
    <n v="0.03"/>
    <m/>
    <n v="0.11"/>
    <m/>
    <n v="3.35"/>
    <m/>
    <m/>
    <n v="1.4"/>
    <m/>
    <n v="1.64"/>
    <m/>
    <m/>
    <n v="7.12"/>
    <m/>
    <m/>
    <m/>
    <n v="9.69"/>
    <m/>
    <n v="2.0499999999999998"/>
    <m/>
    <m/>
    <m/>
    <m/>
    <n v="31.14"/>
    <n v="0"/>
    <n v="1.45"/>
    <m/>
    <m/>
    <n v="21.36"/>
    <n v="9.64"/>
    <m/>
    <m/>
    <m/>
    <n v="0.65"/>
    <n v="0.52"/>
    <n v="0.71"/>
    <m/>
    <m/>
  </r>
  <r>
    <x v="3"/>
    <x v="3"/>
    <m/>
    <n v="46113"/>
    <n v="46113"/>
    <s v="Henrique"/>
    <d v="2026-04-01T04:44:52"/>
    <s v="Guapiaçu"/>
    <s v="1 ° Turno"/>
    <n v="145"/>
    <n v="2877"/>
    <s v="EDMAR FELIPE MARTINS"/>
    <n v="16.78"/>
    <n v="11.572413793103449"/>
    <n v="9.7799999999999994"/>
    <n v="6.7448275862068963"/>
    <m/>
    <m/>
    <n v="2.72"/>
    <m/>
    <n v="2.72"/>
    <m/>
    <n v="1.97"/>
    <m/>
    <n v="3.65"/>
    <n v="1.2586206896551724"/>
    <m/>
    <n v="2.64"/>
    <m/>
    <n v="0.06"/>
    <m/>
    <n v="0.02"/>
    <m/>
    <n v="2.3199999999999998"/>
    <m/>
    <m/>
    <n v="2.35"/>
    <m/>
    <n v="2.12"/>
    <m/>
    <m/>
    <n v="7.58"/>
    <m/>
    <m/>
    <m/>
    <n v="3.03"/>
    <m/>
    <n v="0.51"/>
    <m/>
    <m/>
    <m/>
    <m/>
    <n v="26.59"/>
    <n v="0.18"/>
    <n v="0.44"/>
    <m/>
    <m/>
    <n v="17.940000000000001"/>
    <n v="15.06"/>
    <m/>
    <m/>
    <m/>
    <n v="1.1000000000000001"/>
    <n v="0"/>
    <n v="10.97"/>
    <m/>
    <m/>
  </r>
  <r>
    <x v="4"/>
    <x v="4"/>
    <m/>
    <n v="46143"/>
    <n v="46143"/>
    <s v="Henrique"/>
    <d v="2026-05-01T04:44:52"/>
    <s v="Guapiaçu"/>
    <s v="1 ° Turno"/>
    <n v="145"/>
    <n v="3390"/>
    <s v="EDMAR FELIPE MARTINS"/>
    <n v="23.39"/>
    <n v="16.131034482758622"/>
    <n v="15.66"/>
    <n v="10.8"/>
    <m/>
    <m/>
    <n v="3.42"/>
    <m/>
    <n v="0.87"/>
    <m/>
    <n v="0.42"/>
    <m/>
    <n v="6.43"/>
    <n v="2.2172413793103445"/>
    <m/>
    <n v="7.65"/>
    <m/>
    <n v="0"/>
    <m/>
    <n v="0"/>
    <m/>
    <n v="8.19"/>
    <m/>
    <m/>
    <n v="1.98"/>
    <m/>
    <n v="2.1800000000000002"/>
    <m/>
    <m/>
    <n v="10.15"/>
    <m/>
    <m/>
    <m/>
    <n v="5.31"/>
    <m/>
    <n v="1.21"/>
    <m/>
    <m/>
    <m/>
    <m/>
    <n v="42.11"/>
    <n v="0"/>
    <n v="0"/>
    <m/>
    <m/>
    <n v="21.61"/>
    <n v="20.87"/>
    <m/>
    <m/>
    <m/>
    <n v="1.97"/>
    <n v="0"/>
    <n v="8.5399999999999991"/>
    <m/>
    <m/>
  </r>
  <r>
    <x v="5"/>
    <x v="4"/>
    <m/>
    <n v="46143"/>
    <n v="46144"/>
    <s v="Henrique"/>
    <d v="2026-05-02T04:44:52"/>
    <s v="Guapiaçu"/>
    <s v="2 ° Turno"/>
    <n v="145"/>
    <n v="3390"/>
    <s v="JOBILIANA APARECIDA MAXIMO BERGAMINI"/>
    <n v="15.6"/>
    <n v="10.758620689655173"/>
    <n v="9.75"/>
    <n v="6.7241379310344822"/>
    <m/>
    <m/>
    <n v="5.27"/>
    <m/>
    <n v="3.29"/>
    <m/>
    <n v="2.31"/>
    <m/>
    <n v="8.69"/>
    <n v="2.9965517241379311"/>
    <m/>
    <n v="14.31"/>
    <m/>
    <n v="1.1100000000000001"/>
    <m/>
    <n v="1.1200000000000001"/>
    <m/>
    <n v="5.66"/>
    <m/>
    <m/>
    <n v="2.02"/>
    <m/>
    <n v="1.98"/>
    <m/>
    <m/>
    <n v="11.17"/>
    <m/>
    <m/>
    <m/>
    <n v="6.13"/>
    <m/>
    <n v="0.45"/>
    <m/>
    <m/>
    <m/>
    <m/>
    <n v="25.67"/>
    <n v="0.67"/>
    <n v="1.05"/>
    <m/>
    <m/>
    <n v="9.65"/>
    <n v="7.77"/>
    <m/>
    <m/>
    <m/>
    <n v="3.6"/>
    <n v="0.19"/>
    <n v="1.8"/>
    <m/>
    <m/>
  </r>
  <r>
    <x v="6"/>
    <x v="5"/>
    <m/>
    <n v="46174"/>
    <n v="46174"/>
    <s v="Henrique"/>
    <d v="2026-06-03T04:44:52"/>
    <s v="Guapiaçu"/>
    <s v="1 ° Turno"/>
    <n v="145"/>
    <n v="2969"/>
    <s v="EDMAR FELIPE MARTINS"/>
    <n v="25.92"/>
    <n v="17.875862068965517"/>
    <n v="16.920000000000002"/>
    <n v="11.66896551724138"/>
    <m/>
    <m/>
    <n v="2.17"/>
    <m/>
    <n v="0.72"/>
    <m/>
    <n v="0"/>
    <m/>
    <n v="2.76"/>
    <n v="0.9517241379310345"/>
    <m/>
    <n v="5.78"/>
    <m/>
    <n v="0"/>
    <m/>
    <n v="0"/>
    <m/>
    <n v="7.02"/>
    <m/>
    <m/>
    <n v="3.67"/>
    <m/>
    <n v="2.11"/>
    <m/>
    <m/>
    <n v="10.65"/>
    <m/>
    <m/>
    <m/>
    <n v="3.93"/>
    <m/>
    <n v="0.8"/>
    <m/>
    <m/>
    <m/>
    <m/>
    <n v="38.56"/>
    <n v="0.17"/>
    <n v="0.17"/>
    <m/>
    <m/>
    <n v="23.72"/>
    <n v="24.25"/>
    <m/>
    <m/>
    <m/>
    <n v="1.85"/>
    <n v="0"/>
    <n v="8.3800000000000008"/>
    <m/>
    <m/>
  </r>
  <r>
    <x v="6"/>
    <x v="5"/>
    <m/>
    <n v="46174"/>
    <n v="46174"/>
    <s v="Henrique"/>
    <d v="2026-06-03T14:44:52"/>
    <s v="Guapiaçu"/>
    <s v="2 ° Turno"/>
    <n v="145"/>
    <n v="2969"/>
    <m/>
    <n v="20"/>
    <n v="13.793103448275861"/>
    <n v="9.4499999999999993"/>
    <n v="6.5172413793103443"/>
    <m/>
    <m/>
    <n v="4.45"/>
    <m/>
    <n v="3.19"/>
    <m/>
    <n v="2.1"/>
    <m/>
    <n v="8.1300000000000008"/>
    <n v="2.8034482758620696"/>
    <m/>
    <n v="10.199999999999999"/>
    <m/>
    <n v="0.14000000000000001"/>
    <m/>
    <n v="1.06"/>
    <m/>
    <n v="5.64"/>
    <m/>
    <m/>
    <n v="2.94"/>
    <m/>
    <n v="1.77"/>
    <m/>
    <m/>
    <n v="9.49"/>
    <m/>
    <m/>
    <m/>
    <n v="7.32"/>
    <m/>
    <n v="0.74"/>
    <m/>
    <m/>
    <m/>
    <m/>
    <n v="20.3"/>
    <n v="2.19"/>
    <n v="3.64"/>
    <m/>
    <m/>
    <n v="10.220000000000001"/>
    <n v="7.21"/>
    <m/>
    <m/>
    <m/>
    <n v="5.49"/>
    <n v="0.13"/>
    <n v="1.36"/>
    <m/>
    <m/>
  </r>
  <r>
    <x v="7"/>
    <x v="6"/>
    <s v="6a72a326e24bea36d87768e0"/>
    <s v="04/08/2026 19:22:18"/>
    <s v="04/08/2026 23:42:46"/>
    <s v="Henrique"/>
    <s v="04/08/2026"/>
    <s v="Guapiaçu"/>
    <s v="2 ° Turno"/>
    <n v="146"/>
    <n v="3572"/>
    <s v="JOBILIANA APARECIDA MAXIMO BERGAMINI"/>
    <n v="21"/>
    <n v="14.383561643835616"/>
    <n v="7"/>
    <n v="4.7945205479452051"/>
    <n v="6"/>
    <m/>
    <n v="3"/>
    <m/>
    <n v="0"/>
    <m/>
    <n v="0"/>
    <s v=""/>
    <n v="3"/>
    <n v="1.0273972602739725"/>
    <n v="8"/>
    <n v="5.4794520547945202"/>
    <n v="0"/>
    <n v="0"/>
    <n v="0"/>
    <n v="0"/>
    <n v="3"/>
    <n v="2.054794520547945"/>
    <s v=""/>
    <n v="0"/>
    <n v="0"/>
    <n v="0"/>
    <n v="0"/>
    <s v=""/>
    <n v="15"/>
    <n v="10.273972602739725"/>
    <m/>
    <m/>
    <n v="4"/>
    <n v="2.7397260273972601"/>
    <n v="0"/>
    <n v="0"/>
    <s v=""/>
    <n v="16"/>
    <n v="15"/>
    <n v="17"/>
    <n v="32"/>
    <n v="30"/>
    <n v="34"/>
    <m/>
    <m/>
    <n v="16"/>
    <n v="10"/>
    <n v="0"/>
    <m/>
    <s v=""/>
    <n v="0"/>
    <n v="0"/>
    <n v="0"/>
    <s v="assinatura"/>
    <n v="13183"/>
  </r>
  <r>
    <x v="7"/>
    <x v="6"/>
    <s v="6a72a326e24bea36d87768bc"/>
    <s v="04/08/2026 14:13:15"/>
    <s v="04/08/2026 23:42:46"/>
    <s v="Henrique"/>
    <s v="04/08/2026"/>
    <s v="Guapiaçu"/>
    <s v="2 ° Turno"/>
    <n v="135"/>
    <n v="3312"/>
    <s v="JOBILIANA APARECIDA MAXIMO BERGAMINI"/>
    <n v="24"/>
    <n v="17.777777777777779"/>
    <n v="5"/>
    <n v="3.7037037037037033"/>
    <n v="5"/>
    <m/>
    <n v="3"/>
    <m/>
    <n v="1"/>
    <m/>
    <n v="2"/>
    <s v=""/>
    <n v="1"/>
    <n v="0.37037037037037041"/>
    <n v="1"/>
    <n v="0.74074074074074081"/>
    <n v="0"/>
    <n v="0"/>
    <n v="0"/>
    <n v="0"/>
    <n v="1"/>
    <n v="0.74074074074074081"/>
    <s v=""/>
    <n v="1"/>
    <n v="0.74074074074074081"/>
    <n v="0"/>
    <n v="0"/>
    <s v=""/>
    <n v="12"/>
    <n v="8.8888888888888893"/>
    <m/>
    <m/>
    <n v="4"/>
    <n v="2.9629629629629632"/>
    <n v="0"/>
    <n v="0"/>
    <s v=""/>
    <n v="9"/>
    <n v="0"/>
    <n v="3"/>
    <n v="18"/>
    <n v="0"/>
    <n v="6"/>
    <m/>
    <m/>
    <n v="10"/>
    <n v="11"/>
    <n v="0"/>
    <m/>
    <s v=""/>
    <n v="0"/>
    <n v="0"/>
    <n v="0"/>
    <s v="assinatura"/>
    <n v="14608"/>
  </r>
  <r>
    <x v="7"/>
    <x v="6"/>
    <s v="6a720c68c0018ab541365bd7"/>
    <s v="04/08/2026 11:13:09"/>
    <s v="04/08/2026 12:59:36"/>
    <s v="Henrique"/>
    <s v="04/08/2026"/>
    <s v="Guapiaçu"/>
    <s v="1 ° Turno"/>
    <n v="145"/>
    <n v="2901"/>
    <s v="EDMAR FELIPE MARTINS"/>
    <n v="33"/>
    <n v="22.758620689655174"/>
    <n v="21"/>
    <n v="14.482758620689657"/>
    <n v="0"/>
    <m/>
    <n v="1"/>
    <m/>
    <n v="0"/>
    <m/>
    <n v="0"/>
    <s v=""/>
    <n v="4"/>
    <n v="1.3793103448275863"/>
    <n v="3"/>
    <n v="2.0689655172413794"/>
    <n v="1"/>
    <n v="0.68965517241379315"/>
    <n v="3"/>
    <n v="2.0689655172413794"/>
    <n v="8"/>
    <n v="5.5172413793103452"/>
    <s v=""/>
    <n v="1"/>
    <n v="0.68965517241379315"/>
    <n v="3"/>
    <n v="2.0689655172413794"/>
    <s v=""/>
    <n v="6"/>
    <n v="4.1379310344827589"/>
    <m/>
    <m/>
    <n v="11"/>
    <n v="7.5862068965517242"/>
    <n v="3"/>
    <n v="2.0689655172413794"/>
    <s v=""/>
    <n v="19"/>
    <n v="0"/>
    <n v="0"/>
    <n v="38"/>
    <n v="0"/>
    <n v="0"/>
    <m/>
    <m/>
    <n v="28"/>
    <n v="26"/>
    <n v="1"/>
    <m/>
    <s v=""/>
    <s v=""/>
    <s v=""/>
    <s v=""/>
    <s v=""/>
    <n v="3046"/>
  </r>
  <r>
    <x v="7"/>
    <x v="6"/>
    <s v="6a720c67c0018ab541365bb9"/>
    <s v="04/08/2026 06:54:59"/>
    <s v="04/08/2026 12:59:35"/>
    <s v="Henrique"/>
    <s v="04/08/2026"/>
    <s v="Guapiaçu"/>
    <s v="1 ° Turno"/>
    <n v="155"/>
    <n v="2980"/>
    <s v="EDMAR FELIPE MARTINS"/>
    <n v="44"/>
    <n v="28.387096774193548"/>
    <n v="29"/>
    <n v="18.70967741935484"/>
    <s v=""/>
    <m/>
    <n v="1"/>
    <m/>
    <n v="0"/>
    <m/>
    <n v="0"/>
    <s v=""/>
    <n v="4"/>
    <n v="1.2903225806451613"/>
    <n v="12"/>
    <n v="7.741935483870968"/>
    <n v="2"/>
    <n v="1.2903225806451613"/>
    <n v="1"/>
    <n v="0.64516129032258063"/>
    <n v="6"/>
    <n v="3.870967741935484"/>
    <s v=""/>
    <n v="2"/>
    <n v="1.2903225806451613"/>
    <n v="2"/>
    <n v="1.2903225806451613"/>
    <s v=""/>
    <n v="5"/>
    <n v="3.225806451612903"/>
    <m/>
    <m/>
    <n v="6"/>
    <n v="3.870967741935484"/>
    <n v="1"/>
    <n v="0.64516129032258063"/>
    <s v=""/>
    <n v="17"/>
    <n v="0"/>
    <n v="0"/>
    <n v="34"/>
    <n v="0"/>
    <n v="0"/>
    <m/>
    <m/>
    <n v="24"/>
    <n v="29"/>
    <n v="2"/>
    <m/>
    <s v=""/>
    <s v=""/>
    <s v=""/>
    <s v=""/>
    <s v="assinatura"/>
    <n v="1474"/>
  </r>
  <r>
    <x v="7"/>
    <x v="6"/>
    <s v="6a720c67c0018ab541365b9f"/>
    <s v="04/08/2026 04:29:00"/>
    <s v="04/08/2026 12:59:35"/>
    <s v="Henrique"/>
    <s v="04/08/2026"/>
    <s v="Guapiaçu"/>
    <s v="1 ° Turno"/>
    <n v="140"/>
    <n v="2990"/>
    <s v="EDMAR FELIPE MARTINS"/>
    <n v="42"/>
    <n v="30"/>
    <n v="25"/>
    <n v="17.857142857142858"/>
    <n v="0"/>
    <m/>
    <n v="1"/>
    <m/>
    <n v="1"/>
    <m/>
    <n v="0"/>
    <s v=""/>
    <n v="2"/>
    <n v="0.7142857142857143"/>
    <n v="13"/>
    <n v="9.2857142857142865"/>
    <n v="0"/>
    <n v="0"/>
    <n v="3"/>
    <n v="2.1428571428571428"/>
    <n v="4"/>
    <n v="2.8571428571428572"/>
    <s v=""/>
    <n v="1"/>
    <n v="0.7142857142857143"/>
    <n v="2"/>
    <n v="1.4285714285714286"/>
    <s v=""/>
    <n v="4"/>
    <n v="2.8571428571428572"/>
    <m/>
    <m/>
    <n v="6"/>
    <n v="4.2857142857142856"/>
    <n v="1"/>
    <n v="0.7142857142857143"/>
    <s v=""/>
    <n v="20"/>
    <n v="0"/>
    <n v="0"/>
    <n v="40"/>
    <n v="0"/>
    <n v="0"/>
    <m/>
    <m/>
    <n v="22"/>
    <n v="35"/>
    <n v="0"/>
    <m/>
    <s v=""/>
    <s v=""/>
    <s v=""/>
    <s v=""/>
    <s v=""/>
    <n v="1635"/>
  </r>
  <r>
    <x v="8"/>
    <x v="6"/>
    <s v="6a71544f43a2a7c865871868"/>
    <s v="03/08/2026 19:36:18"/>
    <s v="03/08/2026 23:54:07"/>
    <s v="Henrique"/>
    <s v="03/08/2026"/>
    <s v="Guapiaçu"/>
    <s v="2 ° Turno"/>
    <n v="98"/>
    <n v="3088"/>
    <s v="JOBILIANA APARECIDA MAXIMO BERGAMINI"/>
    <n v="22"/>
    <n v="22.448979591836736"/>
    <n v="13"/>
    <n v="13.26530612244898"/>
    <n v="4"/>
    <m/>
    <n v="4"/>
    <m/>
    <n v="0"/>
    <m/>
    <n v="0"/>
    <s v=""/>
    <n v="2"/>
    <n v="1.0204081632653061"/>
    <n v="4"/>
    <n v="4.0816326530612246"/>
    <n v="0"/>
    <n v="0"/>
    <n v="0"/>
    <n v="0"/>
    <n v="3"/>
    <n v="3.0612244897959182"/>
    <s v=""/>
    <n v="0"/>
    <n v="0"/>
    <n v="0"/>
    <n v="0"/>
    <s v=""/>
    <n v="1"/>
    <n v="1.0204081632653061"/>
    <m/>
    <m/>
    <n v="3"/>
    <n v="3.0612244897959182"/>
    <n v="0"/>
    <n v="0"/>
    <s v=""/>
    <n v="7"/>
    <n v="1"/>
    <n v="2"/>
    <n v="14"/>
    <n v="2"/>
    <n v="4"/>
    <m/>
    <m/>
    <n v="8"/>
    <n v="5"/>
    <n v="0"/>
    <m/>
    <s v=""/>
    <n v="2"/>
    <n v="0"/>
    <n v="0"/>
    <s v="assinatura"/>
    <n v="12886"/>
  </r>
  <r>
    <x v="8"/>
    <x v="6"/>
    <s v="6a71544e43a2a7c86587184a"/>
    <s v="03/08/2026 14:20:09"/>
    <s v="03/08/2026 23:54:06"/>
    <s v="Henrique"/>
    <s v="03/08/2026"/>
    <s v="Guapiaçu"/>
    <s v="2 ° Turno"/>
    <n v="79"/>
    <n v="3285"/>
    <s v="JOBILIANA APARECIDA MAXIMO BERGAMINI"/>
    <n v="7"/>
    <n v="8.8607594936708853"/>
    <n v="2"/>
    <n v="2.5316455696202533"/>
    <n v="4"/>
    <m/>
    <n v="3"/>
    <m/>
    <n v="1"/>
    <m/>
    <n v="1"/>
    <s v=""/>
    <n v="2"/>
    <n v="1.2658227848101267"/>
    <n v="26"/>
    <n v="32.911392405063289"/>
    <n v="0"/>
    <n v="0"/>
    <n v="0"/>
    <n v="0"/>
    <n v="7"/>
    <n v="8.8607594936708853"/>
    <s v=""/>
    <n v="4"/>
    <n v="5.0632911392405067"/>
    <n v="0"/>
    <n v="0"/>
    <s v=""/>
    <n v="4"/>
    <n v="5.0632911392405067"/>
    <m/>
    <m/>
    <n v="3"/>
    <n v="3.79746835443038"/>
    <n v="0"/>
    <n v="0"/>
    <s v=""/>
    <n v="9"/>
    <n v="0"/>
    <n v="3"/>
    <n v="18"/>
    <n v="0"/>
    <n v="6"/>
    <m/>
    <m/>
    <n v="7"/>
    <n v="2"/>
    <n v="0"/>
    <m/>
    <s v=""/>
    <n v="3"/>
    <n v="0"/>
    <n v="0"/>
    <s v="assinatura"/>
    <n v="12727"/>
  </r>
  <r>
    <x v="8"/>
    <x v="6"/>
    <s v="6a70bdd4af01254a4c6a4e91"/>
    <s v="03/08/2026 11:06:24"/>
    <s v="03/08/2026 13:12:04"/>
    <s v="Henrique"/>
    <s v="03/08/2026"/>
    <s v="Guapiaçu"/>
    <s v="1 ° Turno"/>
    <n v="151"/>
    <n v="3341"/>
    <s v="EDMAR FELIPE MARTINS"/>
    <n v="23"/>
    <n v="15.231788079470199"/>
    <n v="7"/>
    <n v="4.6357615894039732"/>
    <s v=""/>
    <m/>
    <n v="3"/>
    <m/>
    <n v="1"/>
    <m/>
    <n v="10"/>
    <s v=""/>
    <n v="2"/>
    <n v="0.66225165562913912"/>
    <n v="25"/>
    <n v="16.556291390728479"/>
    <n v="0"/>
    <n v="0"/>
    <n v="2"/>
    <n v="1.3245033112582782"/>
    <n v="8"/>
    <n v="5.298013245033113"/>
    <s v=""/>
    <n v="10"/>
    <n v="6.6225165562913908"/>
    <n v="4"/>
    <n v="2.6490066225165565"/>
    <s v=""/>
    <n v="18"/>
    <n v="11.920529801324504"/>
    <m/>
    <m/>
    <n v="12"/>
    <n v="7.9470198675496695"/>
    <n v="3"/>
    <n v="1.9867549668874174"/>
    <s v=""/>
    <n v="18"/>
    <n v="0"/>
    <n v="0"/>
    <n v="36"/>
    <n v="0"/>
    <n v="0"/>
    <m/>
    <m/>
    <n v="27"/>
    <n v="36"/>
    <n v="3"/>
    <m/>
    <s v=""/>
    <s v=""/>
    <s v=""/>
    <s v=""/>
    <s v="assinatura"/>
    <n v="2599"/>
  </r>
  <r>
    <x v="8"/>
    <x v="6"/>
    <s v="6a708de882116f4589b43dc5"/>
    <s v="03/08/2026 06:44:49"/>
    <s v="03/08/2026 09:47:36"/>
    <s v="Henrique"/>
    <s v="03/08/2026"/>
    <s v="Guapiaçu"/>
    <s v="1 ° Turno"/>
    <n v="146"/>
    <n v="3276"/>
    <s v="EDMAR FELIPE MARTINS"/>
    <n v="19"/>
    <n v="13.013698630136986"/>
    <n v="7"/>
    <n v="4.7945205479452051"/>
    <n v="0"/>
    <m/>
    <n v="4"/>
    <m/>
    <n v="1"/>
    <m/>
    <n v="0"/>
    <s v=""/>
    <n v="1"/>
    <n v="0.34246575342465752"/>
    <n v="10"/>
    <n v="6.8493150684931505"/>
    <n v="0"/>
    <n v="0"/>
    <n v="2"/>
    <n v="1.3698630136986301"/>
    <n v="2"/>
    <n v="1.3698630136986301"/>
    <s v=""/>
    <n v="4"/>
    <n v="2.7397260273972601"/>
    <n v="2"/>
    <n v="1.3698630136986301"/>
    <s v=""/>
    <n v="8"/>
    <n v="5.4794520547945202"/>
    <m/>
    <m/>
    <n v="6"/>
    <n v="4.10958904109589"/>
    <n v="1"/>
    <n v="0.68493150684931503"/>
    <s v=""/>
    <n v="19"/>
    <n v="0"/>
    <n v="0"/>
    <n v="38"/>
    <n v="0"/>
    <n v="0"/>
    <m/>
    <m/>
    <n v="25"/>
    <n v="29"/>
    <n v="1"/>
    <m/>
    <s v=""/>
    <n v="0"/>
    <n v="0"/>
    <n v="1"/>
    <s v="assinatura"/>
    <n v="1715"/>
  </r>
  <r>
    <x v="8"/>
    <x v="6"/>
    <s v="6a708de882116f4589b43db3"/>
    <s v="03/08/2026 04:35:40"/>
    <s v="03/08/2026 09:47:36"/>
    <s v="Henrique"/>
    <s v="03/08/2026"/>
    <s v="Guapiaçu"/>
    <s v="1 ° Turno"/>
    <n v="135"/>
    <n v="3123"/>
    <s v="EDMAR FELIPE MARTINS"/>
    <n v="25"/>
    <n v="18.518518518518519"/>
    <n v="5"/>
    <n v="3.7037037037037033"/>
    <n v="1"/>
    <m/>
    <n v="4"/>
    <m/>
    <n v="0"/>
    <m/>
    <s v=""/>
    <s v=""/>
    <n v="2"/>
    <n v="0.74074074074074081"/>
    <n v="2"/>
    <n v="1.4814814814814816"/>
    <n v="0"/>
    <n v="0"/>
    <n v="1"/>
    <n v="0.74074074074074081"/>
    <n v="2"/>
    <n v="1.4814814814814816"/>
    <s v=""/>
    <n v="4"/>
    <n v="2.9629629629629632"/>
    <n v="3"/>
    <n v="2.2222222222222223"/>
    <s v=""/>
    <n v="10"/>
    <n v="7.4074074074074066"/>
    <m/>
    <m/>
    <n v="9"/>
    <n v="6.666666666666667"/>
    <n v="3"/>
    <n v="2.2222222222222223"/>
    <s v=""/>
    <n v="17"/>
    <n v="0"/>
    <n v="0"/>
    <n v="34"/>
    <n v="0"/>
    <n v="0"/>
    <m/>
    <m/>
    <n v="25"/>
    <n v="37"/>
    <n v="4"/>
    <m/>
    <s v=""/>
    <s v=""/>
    <s v=""/>
    <s v=""/>
    <s v="assinatura"/>
    <n v="2275"/>
  </r>
  <r>
    <x v="9"/>
    <x v="7"/>
    <s v="6a6c0d7bf4f53d4bfad12ff4"/>
    <s v="30/07/2026 19:17:58"/>
    <s v="30/07/2026 23:50:35"/>
    <s v="Henrique"/>
    <s v="30/07/2026"/>
    <s v="Guapiaçu"/>
    <s v="2 ° Turno"/>
    <n v="153"/>
    <n v="2882"/>
    <s v="JOBILIANA APARECIDA MAXIMO BERGAMINI"/>
    <n v="14"/>
    <n v="9.1503267973856204"/>
    <n v="15"/>
    <n v="9.8039215686274517"/>
    <n v="5"/>
    <m/>
    <n v="4"/>
    <m/>
    <n v="1"/>
    <m/>
    <n v="1"/>
    <s v=""/>
    <s v=""/>
    <s v=""/>
    <n v="20"/>
    <n v="13.071895424836603"/>
    <n v="1"/>
    <n v="0.65359477124183007"/>
    <n v="1"/>
    <n v="0.65359477124183007"/>
    <n v="4"/>
    <n v="2.6143790849673203"/>
    <s v=""/>
    <n v="2"/>
    <n v="1.3071895424836601"/>
    <n v="8"/>
    <n v="5.2287581699346406"/>
    <s v=""/>
    <n v="14"/>
    <n v="9.1503267973856204"/>
    <m/>
    <m/>
    <n v="4"/>
    <n v="2.6143790849673203"/>
    <n v="2"/>
    <n v="1.3071895424836601"/>
    <s v=""/>
    <n v="20"/>
    <n v="3"/>
    <n v="6"/>
    <n v="40"/>
    <n v="6"/>
    <n v="12"/>
    <m/>
    <m/>
    <n v="11"/>
    <n v="6"/>
    <n v="0"/>
    <m/>
    <s v=""/>
    <n v="13"/>
    <n v="0"/>
    <n v="0"/>
    <s v="assinatura"/>
    <n v="8657"/>
  </r>
  <r>
    <x v="9"/>
    <x v="7"/>
    <s v="6a6bbe58bb240fcb84f826bf"/>
    <s v="30/07/2026 14:15:48"/>
    <s v="30/07/2026 18:12:56"/>
    <s v="Henrique"/>
    <s v="30/07/2026"/>
    <s v="Guapiaçu"/>
    <s v="2 ° Turno"/>
    <n v="100"/>
    <n v="2882"/>
    <s v="JOBILIANA APARECIDA MAXIMO BERGAMINI"/>
    <n v="5"/>
    <n v="5"/>
    <n v="0"/>
    <n v="0"/>
    <n v="5"/>
    <m/>
    <n v="3"/>
    <m/>
    <n v="2"/>
    <m/>
    <n v="2"/>
    <s v=""/>
    <n v="5"/>
    <n v="2.5"/>
    <n v="7"/>
    <n v="7.0000000000000009"/>
    <n v="0"/>
    <n v="0"/>
    <n v="1"/>
    <n v="1"/>
    <n v="13"/>
    <n v="13"/>
    <s v=""/>
    <n v="0"/>
    <n v="0"/>
    <n v="0"/>
    <n v="0"/>
    <s v=""/>
    <n v="15"/>
    <n v="15"/>
    <m/>
    <m/>
    <n v="6"/>
    <n v="6"/>
    <n v="0"/>
    <n v="0"/>
    <s v=""/>
    <n v="16"/>
    <n v="1"/>
    <n v="5"/>
    <n v="32"/>
    <n v="2"/>
    <n v="10"/>
    <m/>
    <m/>
    <n v="14"/>
    <n v="5"/>
    <n v="1"/>
    <m/>
    <s v=""/>
    <n v="10"/>
    <n v="0"/>
    <n v="0"/>
    <s v="assinatura"/>
    <n v="12526"/>
  </r>
  <r>
    <x v="9"/>
    <x v="7"/>
    <s v="6a6b75febb240fcb84f7b96a"/>
    <s v="30/07/2026 11:19:53"/>
    <s v="30/07/2026 13:04:14"/>
    <s v="Henrique"/>
    <s v="30/07/2026"/>
    <s v="Guapiaçu"/>
    <s v="1 ° Turno"/>
    <n v="150"/>
    <n v="2818"/>
    <s v="EDMAR FELIPE MARTINS"/>
    <n v="15"/>
    <n v="10"/>
    <n v="4"/>
    <n v="2.666666666666667"/>
    <n v="0"/>
    <m/>
    <n v="3"/>
    <m/>
    <n v="1"/>
    <m/>
    <n v="0"/>
    <s v=""/>
    <n v="3"/>
    <n v="1"/>
    <n v="12"/>
    <n v="8"/>
    <n v="1"/>
    <n v="0.66666666666666674"/>
    <n v="3"/>
    <n v="2"/>
    <n v="11"/>
    <n v="7.333333333333333"/>
    <s v=""/>
    <n v="3"/>
    <n v="2"/>
    <n v="2"/>
    <n v="1.3333333333333335"/>
    <s v=""/>
    <n v="13"/>
    <n v="8.6666666666666679"/>
    <m/>
    <m/>
    <n v="8"/>
    <n v="5.3333333333333339"/>
    <n v="1"/>
    <n v="0.66666666666666674"/>
    <s v=""/>
    <n v="19"/>
    <n v="0"/>
    <n v="0"/>
    <n v="38"/>
    <n v="0"/>
    <n v="0"/>
    <m/>
    <m/>
    <n v="27"/>
    <n v="30"/>
    <n v="2"/>
    <m/>
    <s v=""/>
    <n v="1"/>
    <n v="0"/>
    <n v="2"/>
    <s v="assinatura"/>
    <n v="2524"/>
  </r>
  <r>
    <x v="9"/>
    <x v="7"/>
    <s v="6a6b75fdbb240fcb84f7b956"/>
    <s v="30/07/2026 06:51:05"/>
    <s v="30/07/2026 13:04:13"/>
    <s v="Henrique"/>
    <s v="30/07/2026"/>
    <s v="Guapiaçu"/>
    <s v="1 ° Turno"/>
    <n v="151"/>
    <n v="2818"/>
    <s v="EDMAR FELIPE MARTINS"/>
    <n v="14"/>
    <n v="9.2715231788079464"/>
    <n v="4"/>
    <n v="2.6490066225165565"/>
    <n v="1"/>
    <m/>
    <n v="2"/>
    <m/>
    <n v="1"/>
    <m/>
    <n v="0"/>
    <s v=""/>
    <n v="3"/>
    <n v="0.99337748344370869"/>
    <n v="9"/>
    <n v="5.9602649006622519"/>
    <n v="0"/>
    <n v="0"/>
    <n v="0"/>
    <n v="0"/>
    <n v="6"/>
    <n v="3.9735099337748347"/>
    <s v=""/>
    <n v="2"/>
    <n v="1.3245033112582782"/>
    <n v="1"/>
    <n v="0.66225165562913912"/>
    <s v=""/>
    <n v="13"/>
    <n v="8.6092715231788084"/>
    <m/>
    <m/>
    <n v="6"/>
    <n v="3.9735099337748347"/>
    <n v="1"/>
    <n v="0.66225165562913912"/>
    <s v=""/>
    <n v="18"/>
    <n v="0"/>
    <n v="0"/>
    <n v="36"/>
    <n v="0"/>
    <n v="0"/>
    <m/>
    <m/>
    <n v="26"/>
    <n v="31"/>
    <n v="3"/>
    <m/>
    <s v=""/>
    <n v="0"/>
    <n v="0"/>
    <n v="2"/>
    <s v=""/>
    <n v="3378"/>
  </r>
  <r>
    <x v="9"/>
    <x v="7"/>
    <s v="6a6b75fdbb240fcb84f7b944"/>
    <s v="30/07/2026 04:33:03"/>
    <s v="30/07/2026 13:04:13"/>
    <s v="Henrique"/>
    <s v="30/07/2026"/>
    <s v="Guapiaçu"/>
    <s v="1 ° Turno"/>
    <n v="140"/>
    <n v="2818"/>
    <s v="EDMAR FELIPE MARTINS"/>
    <n v="15"/>
    <n v="10.714285714285714"/>
    <n v="3"/>
    <n v="2.1428571428571428"/>
    <n v="0"/>
    <m/>
    <n v="2"/>
    <m/>
    <n v="1"/>
    <m/>
    <s v=""/>
    <s v=""/>
    <n v="1"/>
    <n v="0.35714285714285715"/>
    <n v="11"/>
    <n v="7.8571428571428568"/>
    <n v="0"/>
    <n v="0"/>
    <n v="1"/>
    <n v="0.7142857142857143"/>
    <n v="6"/>
    <n v="4.2857142857142856"/>
    <s v=""/>
    <n v="1"/>
    <n v="0.7142857142857143"/>
    <n v="2"/>
    <n v="1.4285714285714286"/>
    <s v=""/>
    <n v="12"/>
    <n v="8.5714285714285712"/>
    <m/>
    <m/>
    <n v="8"/>
    <n v="5.7142857142857144"/>
    <n v="1"/>
    <n v="0.7142857142857143"/>
    <s v=""/>
    <n v="15"/>
    <n v="0"/>
    <n v="0"/>
    <n v="30"/>
    <n v="0"/>
    <n v="0"/>
    <m/>
    <m/>
    <n v="23"/>
    <n v="26"/>
    <n v="2"/>
    <m/>
    <s v=""/>
    <s v=""/>
    <s v=""/>
    <s v=""/>
    <s v="assinatura"/>
    <n v="1686"/>
  </r>
  <r>
    <x v="10"/>
    <x v="7"/>
    <s v="6a6af2a35c12d4b9b8912964"/>
    <s v="29/07/2026 19:16:33"/>
    <s v="30/07/2026 03:43:47"/>
    <s v="Henrique"/>
    <s v="29/07/2026"/>
    <s v="Guapiaçu"/>
    <s v="2 ° Turno"/>
    <n v="135"/>
    <n v="2745"/>
    <s v="JOBILIANA APARECIDA MAXIMO BERGAMINI"/>
    <n v="21"/>
    <n v="15.555555555555555"/>
    <n v="7"/>
    <n v="5.1851851851851851"/>
    <n v="4"/>
    <m/>
    <n v="4"/>
    <m/>
    <n v="3"/>
    <m/>
    <n v="1"/>
    <s v=""/>
    <n v="3"/>
    <n v="1.1111111111111112"/>
    <n v="29"/>
    <n v="21.481481481481481"/>
    <n v="0"/>
    <n v="0"/>
    <n v="0"/>
    <n v="0"/>
    <n v="4"/>
    <n v="2.9629629629629632"/>
    <s v=""/>
    <n v="1"/>
    <n v="0.74074074074074081"/>
    <n v="0"/>
    <n v="0"/>
    <s v=""/>
    <n v="10"/>
    <n v="7.4074074074074066"/>
    <m/>
    <m/>
    <n v="4"/>
    <n v="2.9629629629629632"/>
    <n v="1"/>
    <n v="0.74074074074074081"/>
    <s v=""/>
    <n v="20"/>
    <n v="2"/>
    <n v="2"/>
    <n v="40"/>
    <n v="4"/>
    <n v="4"/>
    <m/>
    <m/>
    <n v="11"/>
    <n v="9"/>
    <n v="1"/>
    <m/>
    <s v=""/>
    <n v="3"/>
    <n v="0"/>
    <n v="0"/>
    <s v="assinatura"/>
    <n v="7615"/>
  </r>
  <r>
    <x v="10"/>
    <x v="7"/>
    <s v="6a6af2a25c12d4b9b8912940"/>
    <s v="29/07/2026 14:14:55"/>
    <s v="30/07/2026 03:43:46"/>
    <s v="Henrique"/>
    <s v="29/07/2026"/>
    <s v="Guapiaçu"/>
    <s v="2 ° Turno"/>
    <n v="79"/>
    <n v="2745"/>
    <s v="JOBILIANA APARECIDA MAXIMO BERGAMINI"/>
    <n v="2"/>
    <n v="2.5316455696202533"/>
    <n v="4"/>
    <n v="5.0632911392405067"/>
    <n v="4"/>
    <m/>
    <n v="1"/>
    <m/>
    <n v="0"/>
    <m/>
    <n v="3"/>
    <s v=""/>
    <n v="0"/>
    <n v="0"/>
    <n v="15"/>
    <n v="18.9873417721519"/>
    <n v="0"/>
    <n v="0"/>
    <n v="0"/>
    <n v="0"/>
    <n v="4"/>
    <n v="5.0632911392405067"/>
    <s v=""/>
    <n v="1"/>
    <n v="1.2658227848101267"/>
    <n v="1"/>
    <n v="1.2658227848101267"/>
    <s v=""/>
    <n v="3"/>
    <n v="3.79746835443038"/>
    <m/>
    <m/>
    <n v="1"/>
    <n v="1.2658227848101267"/>
    <n v="0"/>
    <n v="0"/>
    <s v=""/>
    <n v="18"/>
    <n v="1"/>
    <n v="10"/>
    <n v="36"/>
    <n v="2"/>
    <n v="20"/>
    <m/>
    <m/>
    <n v="12"/>
    <n v="3"/>
    <n v="0"/>
    <m/>
    <s v="sem producao pé B "/>
    <s v=""/>
    <s v=""/>
    <s v=""/>
    <s v="assinatura"/>
    <n v="9507"/>
  </r>
  <r>
    <x v="10"/>
    <x v="7"/>
    <s v="6a6a26f32a5728ac9e0913e8"/>
    <s v="29/07/2026 11:25:35"/>
    <s v="29/07/2026 13:14:43"/>
    <s v="Henrique"/>
    <s v="29/07/2026"/>
    <s v="Guapiaçu"/>
    <s v="1 ° Turno"/>
    <n v="140"/>
    <n v="2690"/>
    <s v="EDMAR FELIPE MARTINS"/>
    <n v="21"/>
    <n v="15"/>
    <n v="9"/>
    <n v="6.4285714285714279"/>
    <n v="0"/>
    <m/>
    <n v="3"/>
    <m/>
    <n v="1"/>
    <m/>
    <n v="4"/>
    <s v=""/>
    <n v="0"/>
    <n v="0"/>
    <n v="9"/>
    <n v="6.4285714285714279"/>
    <n v="1"/>
    <n v="0.7142857142857143"/>
    <n v="3"/>
    <n v="2.1428571428571428"/>
    <n v="9"/>
    <n v="6.4285714285714279"/>
    <s v=""/>
    <n v="2"/>
    <n v="1.4285714285714286"/>
    <n v="1"/>
    <n v="0.7142857142857143"/>
    <s v=""/>
    <n v="15"/>
    <n v="10.714285714285714"/>
    <m/>
    <m/>
    <n v="8"/>
    <n v="5.7142857142857144"/>
    <n v="1"/>
    <n v="0.7142857142857143"/>
    <s v=""/>
    <n v="19"/>
    <n v="0"/>
    <n v="0"/>
    <n v="38"/>
    <n v="0"/>
    <n v="0"/>
    <m/>
    <m/>
    <n v="23"/>
    <n v="34"/>
    <n v="2"/>
    <m/>
    <s v=""/>
    <s v=""/>
    <s v=""/>
    <s v=""/>
    <s v=""/>
    <n v="2803"/>
  </r>
  <r>
    <x v="10"/>
    <x v="7"/>
    <s v="6a6a26f22a5728ac9e0913ca"/>
    <s v="29/07/2026 07:00:22"/>
    <s v="29/07/2026 13:14:42"/>
    <s v="Henrique"/>
    <s v="29/07/2026"/>
    <s v="Guapiaçu"/>
    <s v="1 ° Turno"/>
    <n v="151"/>
    <n v="2690"/>
    <s v="EDMAR FELIPE MARTINS"/>
    <n v="45"/>
    <n v="29.80132450331126"/>
    <n v="27"/>
    <n v="17.880794701986755"/>
    <n v="0"/>
    <m/>
    <n v="1"/>
    <m/>
    <n v="2"/>
    <m/>
    <n v="0"/>
    <s v=""/>
    <n v="2"/>
    <n v="0.66225165562913912"/>
    <n v="4"/>
    <n v="2.6490066225165565"/>
    <n v="0"/>
    <n v="0"/>
    <n v="1"/>
    <n v="0.66225165562913912"/>
    <n v="8"/>
    <n v="5.298013245033113"/>
    <s v=""/>
    <n v="2"/>
    <n v="1.3245033112582782"/>
    <n v="2"/>
    <n v="1.3245033112582782"/>
    <s v=""/>
    <n v="10"/>
    <n v="6.6225165562913908"/>
    <m/>
    <m/>
    <n v="6"/>
    <n v="3.9735099337748347"/>
    <n v="1"/>
    <n v="0.66225165562913912"/>
    <s v=""/>
    <n v="17"/>
    <n v="0"/>
    <n v="0"/>
    <n v="34"/>
    <n v="0"/>
    <n v="0"/>
    <m/>
    <m/>
    <n v="23"/>
    <n v="35"/>
    <n v="2"/>
    <m/>
    <s v=""/>
    <n v="0"/>
    <n v="0"/>
    <n v="2"/>
    <s v="assinatura"/>
    <n v="1916"/>
  </r>
  <r>
    <x v="10"/>
    <x v="7"/>
    <s v="6a6a26f22a5728ac9e0913b2"/>
    <s v="29/07/2026 04:32:41"/>
    <s v="29/07/2026 13:14:42"/>
    <s v="Henrique"/>
    <s v="29/07/2026"/>
    <s v="Guapiaçu"/>
    <s v="1 ° Turno"/>
    <n v="130"/>
    <n v="2690"/>
    <s v="EDMAR FELIPE MARTINS"/>
    <n v="30"/>
    <n v="23.076923076923077"/>
    <n v="11"/>
    <n v="8.4615384615384617"/>
    <s v=""/>
    <m/>
    <n v="4"/>
    <m/>
    <n v="1"/>
    <m/>
    <n v="0"/>
    <s v=""/>
    <n v="0"/>
    <n v="0"/>
    <n v="10"/>
    <n v="7.6923076923076925"/>
    <n v="2"/>
    <n v="1.5384615384615385"/>
    <n v="7"/>
    <n v="5.384615384615385"/>
    <n v="12"/>
    <n v="9.2307692307692317"/>
    <s v=""/>
    <n v="9"/>
    <n v="6.9230769230769234"/>
    <n v="3"/>
    <n v="2.3076923076923079"/>
    <s v=""/>
    <n v="12"/>
    <n v="9.2307692307692317"/>
    <m/>
    <m/>
    <n v="11"/>
    <n v="8.4615384615384617"/>
    <n v="1"/>
    <n v="0.76923076923076927"/>
    <s v=""/>
    <n v="19"/>
    <n v="0"/>
    <n v="0"/>
    <n v="38"/>
    <n v="0"/>
    <n v="0"/>
    <m/>
    <m/>
    <n v="26"/>
    <n v="33"/>
    <n v="2"/>
    <m/>
    <s v=""/>
    <s v=""/>
    <s v=""/>
    <s v=""/>
    <s v="assinatura"/>
    <n v="3280"/>
  </r>
  <r>
    <x v="11"/>
    <x v="7"/>
    <s v="6a6963f5763dc6f7b219d910"/>
    <s v="28/07/2026 19:20:58"/>
    <s v="28/07/2026 23:22:45"/>
    <s v="Henrique"/>
    <s v="28/07/2026"/>
    <s v="Guapiaçu"/>
    <s v="2 ° Turno"/>
    <n v="145"/>
    <n v="2631"/>
    <s v="JOBILIANA APARECIDA MAXIMO BERGAMINI"/>
    <n v="27"/>
    <n v="18.620689655172416"/>
    <n v="16"/>
    <n v="11.03448275862069"/>
    <n v="5"/>
    <m/>
    <n v="3"/>
    <m/>
    <n v="2"/>
    <m/>
    <n v="1"/>
    <s v=""/>
    <n v="5"/>
    <n v="1.7241379310344827"/>
    <n v="16"/>
    <n v="11.03448275862069"/>
    <n v="1"/>
    <n v="0.68965517241379315"/>
    <n v="2"/>
    <n v="1.3793103448275863"/>
    <n v="6"/>
    <n v="4.1379310344827589"/>
    <s v=""/>
    <n v="0"/>
    <n v="0"/>
    <n v="0"/>
    <n v="0"/>
    <s v=""/>
    <n v="16"/>
    <n v="11.03448275862069"/>
    <m/>
    <m/>
    <n v="5"/>
    <n v="3.4482758620689653"/>
    <n v="0"/>
    <n v="0"/>
    <s v=""/>
    <n v="16"/>
    <n v="0"/>
    <n v="5"/>
    <n v="32"/>
    <n v="0"/>
    <n v="10"/>
    <m/>
    <m/>
    <n v="15"/>
    <n v="5"/>
    <n v="0"/>
    <m/>
    <s v=""/>
    <n v="3"/>
    <n v="0"/>
    <n v="0"/>
    <s v="assinatura"/>
    <n v="13010"/>
  </r>
  <r>
    <x v="11"/>
    <x v="7"/>
    <s v="6a6963f4763dc6f7b219d8ea"/>
    <s v="28/07/2026 14:02:54"/>
    <s v="28/07/2026 23:22:44"/>
    <s v="Henrique"/>
    <s v="28/07/2026"/>
    <s v="Guapiaçu"/>
    <s v="2 ° Turno"/>
    <n v="130"/>
    <n v="2631"/>
    <s v="JOBILIANA APARECIDA MAXIMO BERGAMINI"/>
    <n v="22"/>
    <n v="16.923076923076923"/>
    <n v="13"/>
    <n v="10"/>
    <n v="6"/>
    <m/>
    <n v="2"/>
    <m/>
    <n v="1"/>
    <m/>
    <n v="1"/>
    <s v=""/>
    <n v="3"/>
    <n v="1.153846153846154"/>
    <n v="15"/>
    <n v="11.538461538461538"/>
    <n v="1"/>
    <n v="0.76923076923076927"/>
    <n v="1"/>
    <n v="0.76923076923076927"/>
    <n v="6"/>
    <n v="4.6153846153846159"/>
    <s v=""/>
    <n v="0"/>
    <n v="0"/>
    <n v="0"/>
    <n v="0"/>
    <s v=""/>
    <n v="8"/>
    <n v="6.1538461538461542"/>
    <m/>
    <m/>
    <n v="3"/>
    <n v="2.3076923076923079"/>
    <n v="0"/>
    <n v="0"/>
    <s v=""/>
    <n v="15"/>
    <n v="1"/>
    <n v="6"/>
    <n v="30"/>
    <n v="2"/>
    <n v="12"/>
    <m/>
    <m/>
    <n v="16"/>
    <n v="7"/>
    <n v="0"/>
    <m/>
    <s v=""/>
    <n v="0"/>
    <n v="0"/>
    <n v="0"/>
    <s v="assinatura"/>
    <n v="11203"/>
  </r>
  <r>
    <x v="11"/>
    <x v="7"/>
    <s v="6a68d49285d36be5ca6d9e29"/>
    <s v="28/07/2026 10:37:54"/>
    <s v="28/07/2026 13:10:58"/>
    <s v="Henrique"/>
    <s v="28/07/2026"/>
    <s v="Guapiaçu"/>
    <s v="1 ° Turno"/>
    <n v="151"/>
    <n v="2747"/>
    <s v="EDMAR FELIPE MARTINS"/>
    <n v="22"/>
    <n v="14.569536423841059"/>
    <n v="12"/>
    <n v="7.9470198675496695"/>
    <n v="0"/>
    <m/>
    <n v="2"/>
    <m/>
    <n v="1"/>
    <m/>
    <n v="0"/>
    <s v=""/>
    <n v="0"/>
    <n v="0"/>
    <n v="30"/>
    <n v="19.867549668874172"/>
    <n v="2"/>
    <n v="1.3245033112582782"/>
    <n v="2"/>
    <n v="1.3245033112582782"/>
    <n v="8"/>
    <n v="5.298013245033113"/>
    <s v=""/>
    <n v="2"/>
    <n v="1.3245033112582782"/>
    <n v="1"/>
    <n v="0.66225165562913912"/>
    <s v=""/>
    <n v="18"/>
    <n v="11.920529801324504"/>
    <m/>
    <m/>
    <n v="8"/>
    <n v="5.298013245033113"/>
    <n v="1"/>
    <n v="0.66225165562913912"/>
    <s v=""/>
    <n v="19"/>
    <n v="0"/>
    <n v="0"/>
    <n v="38"/>
    <n v="0"/>
    <n v="0"/>
    <m/>
    <m/>
    <n v="27"/>
    <n v="25"/>
    <n v="4"/>
    <m/>
    <s v=""/>
    <n v="1"/>
    <n v="0"/>
    <n v="1"/>
    <s v=""/>
    <n v="6566"/>
  </r>
  <r>
    <x v="11"/>
    <x v="7"/>
    <s v="6a68d49285d36be5ca6d9e17"/>
    <s v="28/07/2026 07:20:23"/>
    <s v="28/07/2026 13:10:58"/>
    <s v="Henrique"/>
    <s v="28/07/2026"/>
    <s v="Guapiaçu"/>
    <s v="1 ° Turno"/>
    <n v="151"/>
    <n v="2747"/>
    <s v="EDMAR FELIPE MARTINS"/>
    <n v="55"/>
    <n v="36.423841059602644"/>
    <n v="41"/>
    <n v="27.152317880794701"/>
    <n v="0"/>
    <m/>
    <n v="2"/>
    <m/>
    <n v="1"/>
    <m/>
    <n v="0"/>
    <s v=""/>
    <n v="1"/>
    <n v="0.33112582781456956"/>
    <n v="17"/>
    <n v="11.258278145695364"/>
    <n v="1"/>
    <n v="0.66225165562913912"/>
    <n v="4"/>
    <n v="2.6490066225165565"/>
    <n v="8"/>
    <n v="5.298013245033113"/>
    <s v=""/>
    <n v="2"/>
    <n v="1.3245033112582782"/>
    <n v="3"/>
    <n v="1.9867549668874174"/>
    <s v=""/>
    <n v="14"/>
    <n v="9.2715231788079464"/>
    <m/>
    <m/>
    <n v="8"/>
    <n v="5.298013245033113"/>
    <n v="1"/>
    <n v="0.66225165562913912"/>
    <s v=""/>
    <n v="16"/>
    <n v="0"/>
    <n v="0"/>
    <n v="32"/>
    <n v="0"/>
    <n v="0"/>
    <m/>
    <m/>
    <n v="25"/>
    <n v="22"/>
    <n v="3"/>
    <m/>
    <s v=""/>
    <s v=""/>
    <s v=""/>
    <s v=""/>
    <s v="assinatura"/>
    <n v="1799"/>
  </r>
  <r>
    <x v="11"/>
    <x v="7"/>
    <s v="6a68d49285d36be5ca6d9dff"/>
    <s v="28/07/2026 04:41:09"/>
    <s v="28/07/2026 13:10:58"/>
    <s v="Henrique"/>
    <s v="28/07/2026"/>
    <s v="Guapiaçu"/>
    <s v="1 ° Turno"/>
    <n v="145"/>
    <n v="2747"/>
    <s v="EDMAR FELIPE MARTINS"/>
    <n v="44"/>
    <n v="30.344827586206897"/>
    <n v="30"/>
    <n v="20.689655172413794"/>
    <n v="0"/>
    <m/>
    <n v="4"/>
    <m/>
    <n v="1"/>
    <m/>
    <n v="0"/>
    <s v=""/>
    <n v="2"/>
    <n v="0.68965517241379315"/>
    <n v="22"/>
    <n v="15.172413793103448"/>
    <n v="0"/>
    <n v="0"/>
    <n v="2"/>
    <n v="1.3793103448275863"/>
    <n v="9"/>
    <n v="6.2068965517241379"/>
    <s v=""/>
    <n v="2"/>
    <n v="1.3793103448275863"/>
    <n v="3"/>
    <n v="2.0689655172413794"/>
    <s v=""/>
    <n v="11"/>
    <n v="7.5862068965517242"/>
    <m/>
    <m/>
    <n v="5"/>
    <n v="3.4482758620689653"/>
    <n v="1"/>
    <n v="0.68965517241379315"/>
    <s v=""/>
    <n v="18"/>
    <n v="0"/>
    <n v="0"/>
    <n v="36"/>
    <n v="0"/>
    <n v="0"/>
    <m/>
    <m/>
    <n v="27"/>
    <n v="22"/>
    <n v="1"/>
    <m/>
    <s v=""/>
    <s v=""/>
    <s v=""/>
    <s v=""/>
    <s v="assinatura"/>
    <n v="1521"/>
  </r>
  <r>
    <x v="12"/>
    <x v="7"/>
    <s v="6a68178fe2f725a5d4709d6c"/>
    <s v="27/07/2026 19:43:13"/>
    <s v="27/07/2026 23:44:31"/>
    <s v="Henrique"/>
    <s v="27/07/2026"/>
    <s v="Guapiaçu"/>
    <s v="2 ° Turno"/>
    <n v="155"/>
    <n v="2771"/>
    <s v="JOBILIANA APARECIDA MAXIMO BERGAMINI"/>
    <n v="37"/>
    <n v="23.870967741935484"/>
    <n v="27"/>
    <n v="17.419354838709676"/>
    <n v="7"/>
    <m/>
    <n v="5"/>
    <m/>
    <n v="3"/>
    <m/>
    <n v="2"/>
    <s v=""/>
    <n v="3"/>
    <n v="0.967741935483871"/>
    <n v="23"/>
    <n v="14.838709677419354"/>
    <n v="0"/>
    <n v="0"/>
    <n v="1"/>
    <n v="0.64516129032258063"/>
    <n v="13"/>
    <n v="8.3870967741935498"/>
    <s v=""/>
    <n v="1"/>
    <n v="0.64516129032258063"/>
    <n v="0"/>
    <n v="0"/>
    <s v=""/>
    <n v="5"/>
    <n v="3.225806451612903"/>
    <m/>
    <m/>
    <n v="9"/>
    <n v="5.806451612903226"/>
    <n v="0"/>
    <n v="0"/>
    <s v=""/>
    <n v="20"/>
    <n v="0"/>
    <n v="10"/>
    <n v="40"/>
    <n v="0"/>
    <n v="20"/>
    <m/>
    <m/>
    <n v="20"/>
    <n v="3"/>
    <n v="1"/>
    <m/>
    <s v=""/>
    <n v="3"/>
    <n v="0"/>
    <n v="0"/>
    <s v="assinatura"/>
    <n v="8427"/>
  </r>
  <r>
    <x v="12"/>
    <x v="7"/>
    <s v="6a68178fe2f725a5d4709d42"/>
    <s v="27/07/2026 14:14:27"/>
    <s v="27/07/2026 23:44:31"/>
    <s v="Henrique"/>
    <s v="27/07/2026"/>
    <s v="Guapiaçu"/>
    <s v="2 ° Turno"/>
    <n v="130"/>
    <n v="2771"/>
    <s v="JOBILIANA APARECIDA MAXIMO BERGAMINI"/>
    <n v="8"/>
    <n v="6.1538461538461542"/>
    <n v="13"/>
    <n v="10"/>
    <n v="6"/>
    <m/>
    <n v="0"/>
    <m/>
    <n v="1"/>
    <m/>
    <n v="1"/>
    <s v=""/>
    <n v="6"/>
    <n v="2.3076923076923079"/>
    <n v="13"/>
    <n v="10"/>
    <n v="1"/>
    <n v="0.76923076923076927"/>
    <n v="0"/>
    <n v="0"/>
    <n v="5"/>
    <n v="3.8461538461538463"/>
    <s v=""/>
    <n v="2"/>
    <n v="1.5384615384615385"/>
    <n v="1"/>
    <n v="0.76923076923076927"/>
    <s v=""/>
    <n v="1"/>
    <n v="0.76923076923076927"/>
    <m/>
    <m/>
    <n v="5"/>
    <n v="3.8461538461538463"/>
    <n v="0"/>
    <n v="0"/>
    <s v=""/>
    <n v="16"/>
    <n v="0"/>
    <n v="5"/>
    <n v="32"/>
    <n v="0"/>
    <n v="10"/>
    <m/>
    <m/>
    <n v="6"/>
    <n v="3"/>
    <n v="3"/>
    <m/>
    <s v=""/>
    <n v="1"/>
    <n v="0"/>
    <n v="0"/>
    <s v=""/>
    <n v="11508"/>
  </r>
  <r>
    <x v="12"/>
    <x v="7"/>
    <s v="6a677edb27e8ab0c2bc3bd2b"/>
    <s v="27/07/2026 11:23:59"/>
    <s v="27/07/2026 12:52:59"/>
    <s v="Henrique"/>
    <s v="27/07/2026"/>
    <s v="Guapiaçu"/>
    <s v="1 ° Turno"/>
    <n v="150"/>
    <n v="3008"/>
    <s v="EDMAR FELIPE MARTINS"/>
    <n v="40"/>
    <n v="26.666666666666668"/>
    <n v="23"/>
    <n v="15.333333333333332"/>
    <n v="0"/>
    <m/>
    <n v="4"/>
    <m/>
    <n v="1"/>
    <m/>
    <n v="0"/>
    <s v=""/>
    <n v="1"/>
    <n v="0.33333333333333337"/>
    <n v="33"/>
    <n v="22"/>
    <n v="2"/>
    <n v="1.3333333333333335"/>
    <n v="1"/>
    <n v="0.66666666666666674"/>
    <n v="12"/>
    <n v="8"/>
    <s v=""/>
    <n v="7"/>
    <n v="4.666666666666667"/>
    <n v="2"/>
    <n v="1.3333333333333335"/>
    <s v=""/>
    <n v="13"/>
    <n v="8.6666666666666679"/>
    <m/>
    <m/>
    <n v="5"/>
    <n v="3.3333333333333335"/>
    <n v="1"/>
    <n v="0.66666666666666674"/>
    <s v=""/>
    <n v="15"/>
    <n v="0"/>
    <n v="0"/>
    <n v="30"/>
    <n v="0"/>
    <n v="0"/>
    <m/>
    <m/>
    <s v=""/>
    <s v=""/>
    <s v=""/>
    <m/>
    <s v=""/>
    <s v=""/>
    <s v=""/>
    <s v=""/>
    <s v="assinatura"/>
    <n v="2210"/>
  </r>
  <r>
    <x v="12"/>
    <x v="7"/>
    <s v="6a677edb27e8ab0c2bc3bd19"/>
    <s v="27/07/2026 08:43:44"/>
    <s v="27/07/2026 12:52:59"/>
    <s v="Henrique"/>
    <s v="27/07/2026"/>
    <s v="Guapiaçu"/>
    <s v="1 ° Turno"/>
    <n v="140"/>
    <n v="3008"/>
    <s v="EDMAR FELIPE MARTINS"/>
    <n v="27"/>
    <n v="19.285714285714288"/>
    <n v="14"/>
    <n v="10"/>
    <n v="0"/>
    <m/>
    <n v="3"/>
    <m/>
    <n v="1"/>
    <m/>
    <n v="0"/>
    <s v=""/>
    <n v="1"/>
    <n v="0.35714285714285715"/>
    <n v="7"/>
    <n v="5"/>
    <n v="1"/>
    <n v="0.7142857142857143"/>
    <n v="2"/>
    <n v="1.4285714285714286"/>
    <n v="5"/>
    <n v="3.5714285714285712"/>
    <s v=""/>
    <n v="1"/>
    <n v="0.7142857142857143"/>
    <n v="1"/>
    <n v="0.7142857142857143"/>
    <s v=""/>
    <n v="6"/>
    <n v="4.2857142857142856"/>
    <m/>
    <m/>
    <n v="5"/>
    <n v="3.5714285714285712"/>
    <n v="0"/>
    <n v="0"/>
    <s v=""/>
    <n v="19"/>
    <n v="0"/>
    <n v="0"/>
    <n v="38"/>
    <n v="0"/>
    <n v="0"/>
    <m/>
    <m/>
    <n v="23"/>
    <n v="27"/>
    <n v="1"/>
    <m/>
    <s v=""/>
    <s v=""/>
    <s v=""/>
    <s v=""/>
    <s v="assinatura"/>
    <n v="337"/>
  </r>
  <r>
    <x v="12"/>
    <x v="7"/>
    <s v="6a677edb27e8ab0c2bc3bd13"/>
    <s v="27/07/2026 08:39:55"/>
    <s v="27/07/2026 12:52:59"/>
    <s v="Henrique"/>
    <s v="27/07/2026"/>
    <s v="Guapiaçu"/>
    <s v="1 ° Turno"/>
    <n v="130"/>
    <n v="3008"/>
    <s v="EDMAR FELIPE MARTINS"/>
    <n v="34"/>
    <n v="26.153846153846157"/>
    <n v="16"/>
    <n v="12.307692307692308"/>
    <n v="0"/>
    <m/>
    <n v="3"/>
    <m/>
    <n v="1"/>
    <m/>
    <n v="0"/>
    <s v=""/>
    <n v="1"/>
    <n v="0.38461538461538464"/>
    <n v="3"/>
    <n v="2.3076923076923079"/>
    <n v="0"/>
    <n v="0"/>
    <n v="0"/>
    <n v="0"/>
    <n v="2"/>
    <n v="1.5384615384615385"/>
    <s v=""/>
    <n v="1"/>
    <n v="0.76923076923076927"/>
    <n v="2"/>
    <n v="1.5384615384615385"/>
    <s v=""/>
    <n v="7"/>
    <n v="5.384615384615385"/>
    <m/>
    <m/>
    <n v="3"/>
    <n v="2.3076923076923079"/>
    <n v="0"/>
    <n v="0"/>
    <s v=""/>
    <n v="17"/>
    <n v="0"/>
    <n v="0"/>
    <n v="34"/>
    <n v="0"/>
    <n v="0"/>
    <m/>
    <m/>
    <n v="20"/>
    <n v="21"/>
    <n v="1"/>
    <m/>
    <s v=""/>
    <s v=""/>
    <s v=""/>
    <s v=""/>
    <s v=""/>
    <n v="228"/>
  </r>
  <r>
    <x v="13"/>
    <x v="7"/>
    <s v="6a6423cd9f59a2ccd9dd0c0c"/>
    <s v="24/07/2026 19:27:56"/>
    <s v="24/07/2026 23:47:41"/>
    <s v="Henrique"/>
    <s v="24/07/2026"/>
    <s v="Guapiaçu"/>
    <s v="2 ° Turno"/>
    <n v="142"/>
    <n v="2772"/>
    <s v="JOBILIANA APARECIDA MAXIMO BERGAMINI"/>
    <n v="17"/>
    <n v="11.971830985915492"/>
    <n v="19"/>
    <n v="13.380281690140844"/>
    <n v="16"/>
    <m/>
    <n v="1"/>
    <m/>
    <n v="2"/>
    <m/>
    <n v="1"/>
    <s v=""/>
    <n v="2"/>
    <n v="0.70422535211267612"/>
    <n v="19"/>
    <n v="13.380281690140844"/>
    <n v="0"/>
    <n v="0"/>
    <n v="0"/>
    <n v="0"/>
    <n v="5"/>
    <n v="3.5211267605633805"/>
    <s v=""/>
    <n v="2"/>
    <n v="1.4084507042253522"/>
    <n v="0"/>
    <n v="0"/>
    <s v=""/>
    <n v="8"/>
    <n v="5.6338028169014089"/>
    <m/>
    <m/>
    <n v="4"/>
    <n v="2.8169014084507045"/>
    <n v="0"/>
    <n v="0"/>
    <s v=""/>
    <n v="20"/>
    <n v="0"/>
    <n v="0"/>
    <n v="40"/>
    <n v="0"/>
    <n v="0"/>
    <m/>
    <m/>
    <n v="20"/>
    <n v="12"/>
    <n v="1"/>
    <m/>
    <s v=""/>
    <n v="1"/>
    <n v="0"/>
    <n v="0"/>
    <s v="assinatura"/>
    <n v="6684"/>
  </r>
  <r>
    <x v="13"/>
    <x v="7"/>
    <s v="6a6423cd9f59a2ccd9dd0bee"/>
    <s v="24/07/2026 14:07:39"/>
    <s v="24/07/2026 23:47:41"/>
    <s v="Henrique"/>
    <s v="24/07/2026"/>
    <s v="Guapiaçu"/>
    <s v="2 ° Turno"/>
    <n v="130"/>
    <n v="2772"/>
    <s v="JOBILIANA APARECIDA MAXIMO BERGAMINI"/>
    <n v="25"/>
    <n v="19.230769230769234"/>
    <n v="22"/>
    <n v="16.923076923076923"/>
    <n v="7"/>
    <m/>
    <n v="4"/>
    <m/>
    <n v="3"/>
    <m/>
    <n v="2"/>
    <s v=""/>
    <n v="1"/>
    <n v="0.38461538461538464"/>
    <n v="25"/>
    <n v="19.230769230769234"/>
    <n v="0"/>
    <n v="0"/>
    <n v="2"/>
    <n v="1.5384615384615385"/>
    <n v="6"/>
    <n v="4.6153846153846159"/>
    <s v=""/>
    <n v="2"/>
    <n v="1.5384615384615385"/>
    <n v="1"/>
    <n v="0.76923076923076927"/>
    <s v=""/>
    <n v="3"/>
    <n v="2.3076923076923079"/>
    <m/>
    <m/>
    <n v="5"/>
    <n v="3.8461538461538463"/>
    <n v="0"/>
    <n v="0"/>
    <s v=""/>
    <n v="20"/>
    <n v="1"/>
    <n v="16"/>
    <n v="40"/>
    <n v="2"/>
    <n v="32"/>
    <m/>
    <m/>
    <n v="10"/>
    <n v="4"/>
    <n v="0"/>
    <m/>
    <s v=""/>
    <n v="2"/>
    <n v="0"/>
    <n v="0"/>
    <s v="assinatura"/>
    <n v="10297"/>
  </r>
  <r>
    <x v="13"/>
    <x v="7"/>
    <s v="6a63918e9b03979353f7a40d"/>
    <s v="24/07/2026 11:20:27"/>
    <s v="24/07/2026 13:23:42"/>
    <s v="Henrique"/>
    <s v="24/07/2026"/>
    <s v="Guapiaçu"/>
    <s v="1 ° Turno"/>
    <n v="140"/>
    <n v="2653"/>
    <s v="EDMAR FELIPE MARTINS"/>
    <n v="49"/>
    <n v="35"/>
    <n v="34"/>
    <n v="24.285714285714285"/>
    <n v="0"/>
    <m/>
    <n v="1"/>
    <m/>
    <n v="1"/>
    <m/>
    <n v="0"/>
    <s v=""/>
    <n v="1"/>
    <n v="0.35714285714285715"/>
    <n v="29"/>
    <n v="20.714285714285715"/>
    <n v="0"/>
    <n v="0"/>
    <n v="1"/>
    <n v="0.7142857142857143"/>
    <n v="8"/>
    <n v="5.7142857142857144"/>
    <s v=""/>
    <n v="7"/>
    <n v="5"/>
    <n v="2"/>
    <n v="1.4285714285714286"/>
    <s v=""/>
    <n v="19"/>
    <n v="13.571428571428571"/>
    <m/>
    <m/>
    <n v="7"/>
    <n v="5"/>
    <n v="0"/>
    <n v="0"/>
    <s v=""/>
    <n v="16"/>
    <n v="0"/>
    <n v="0"/>
    <n v="32"/>
    <n v="0"/>
    <n v="0"/>
    <m/>
    <m/>
    <n v="21"/>
    <n v="44"/>
    <n v="1"/>
    <m/>
    <s v=""/>
    <n v="0"/>
    <n v="0"/>
    <n v="2"/>
    <s v="assinatura"/>
    <n v="2099"/>
  </r>
  <r>
    <x v="13"/>
    <x v="7"/>
    <s v="6a63918e9b03979353f7a3fb"/>
    <s v="24/07/2026 08:54:53"/>
    <s v="24/07/2026 13:23:42"/>
    <s v="Henrique"/>
    <s v="24/07/2026"/>
    <s v="Guapiaçu"/>
    <s v="1 ° Turno"/>
    <n v="135"/>
    <n v="2653"/>
    <s v="EDMAR FELIPE MARTINS"/>
    <n v="39"/>
    <n v="28.888888888888886"/>
    <n v="25"/>
    <n v="18.518518518518519"/>
    <n v="0"/>
    <m/>
    <s v=""/>
    <m/>
    <n v="1"/>
    <m/>
    <n v="0"/>
    <s v=""/>
    <n v="0"/>
    <n v="0"/>
    <n v="22"/>
    <n v="16.296296296296298"/>
    <n v="0"/>
    <n v="0"/>
    <n v="6"/>
    <n v="4.4444444444444446"/>
    <n v="9"/>
    <n v="6.666666666666667"/>
    <s v=""/>
    <n v="5"/>
    <n v="3.7037037037037033"/>
    <n v="2"/>
    <n v="1.4814814814814816"/>
    <s v=""/>
    <n v="23"/>
    <n v="17.037037037037038"/>
    <m/>
    <m/>
    <n v="9"/>
    <n v="6.666666666666667"/>
    <n v="1"/>
    <n v="0.74074074074074081"/>
    <s v=""/>
    <n v="19"/>
    <n v="0"/>
    <n v="0"/>
    <n v="38"/>
    <n v="0"/>
    <n v="0"/>
    <m/>
    <m/>
    <n v="25"/>
    <n v="48"/>
    <n v="2"/>
    <m/>
    <s v=""/>
    <n v="0"/>
    <n v="0"/>
    <n v="1"/>
    <s v=""/>
    <n v="544"/>
  </r>
  <r>
    <x v="13"/>
    <x v="7"/>
    <s v="6a63918e9b03979353f7a3f5"/>
    <s v="24/07/2026 08:49:45"/>
    <s v="24/07/2026 13:23:42"/>
    <s v="Henrique"/>
    <s v="24/07/2026"/>
    <s v="Guapiaçu"/>
    <s v="1 ° Turno"/>
    <n v="135"/>
    <n v="2653"/>
    <s v="EDMAR FELIPE MARTINS"/>
    <n v="33"/>
    <n v="24.444444444444443"/>
    <n v="23"/>
    <n v="17.037037037037038"/>
    <n v="0"/>
    <m/>
    <n v="2"/>
    <m/>
    <n v="3"/>
    <m/>
    <n v="0"/>
    <s v=""/>
    <n v="1"/>
    <n v="0.37037037037037041"/>
    <n v="10"/>
    <n v="7.4074074074074066"/>
    <n v="0"/>
    <n v="0"/>
    <n v="3"/>
    <n v="2.2222222222222223"/>
    <n v="6"/>
    <n v="4.4444444444444446"/>
    <s v=""/>
    <n v="2"/>
    <n v="1.4814814814814816"/>
    <n v="2"/>
    <n v="1.4814814814814816"/>
    <s v=""/>
    <n v="19"/>
    <n v="14.074074074074074"/>
    <m/>
    <m/>
    <n v="11"/>
    <n v="8.1481481481481488"/>
    <n v="3"/>
    <n v="2.2222222222222223"/>
    <s v=""/>
    <n v="17"/>
    <n v="0"/>
    <n v="0"/>
    <n v="34"/>
    <n v="0"/>
    <n v="0"/>
    <m/>
    <m/>
    <n v="28"/>
    <n v="25"/>
    <n v="0"/>
    <m/>
    <s v=""/>
    <s v=""/>
    <s v=""/>
    <s v=""/>
    <s v=""/>
    <n v="305"/>
  </r>
  <r>
    <x v="14"/>
    <x v="7"/>
    <s v="6a62d4f3c98691f7964019f6"/>
    <s v="23/07/2026 19:22:49"/>
    <s v="23/07/2026 23:58:59"/>
    <s v="Henrique"/>
    <s v="23/07/2026"/>
    <s v="Guapiaçu"/>
    <s v="2 ° Turno"/>
    <n v="120"/>
    <n v="2707"/>
    <s v="JOBILIANA APARECIDA MAXIMO BERGAMINI"/>
    <n v="28"/>
    <n v="23.333333333333332"/>
    <n v="7"/>
    <n v="5.833333333333333"/>
    <n v="8"/>
    <m/>
    <n v="3"/>
    <m/>
    <n v="2"/>
    <m/>
    <n v="2"/>
    <s v=""/>
    <n v="1"/>
    <n v="0.41666666666666669"/>
    <n v="13"/>
    <n v="10.833333333333334"/>
    <n v="1"/>
    <n v="0.83333333333333337"/>
    <n v="0"/>
    <n v="0"/>
    <n v="7"/>
    <n v="5.833333333333333"/>
    <s v=""/>
    <n v="0"/>
    <n v="0"/>
    <n v="0"/>
    <n v="0"/>
    <s v=""/>
    <n v="6"/>
    <n v="5"/>
    <m/>
    <m/>
    <n v="7"/>
    <n v="5.833333333333333"/>
    <n v="1"/>
    <n v="0.83333333333333337"/>
    <s v=""/>
    <n v="20"/>
    <n v="0"/>
    <n v="8"/>
    <n v="40"/>
    <n v="0"/>
    <n v="16"/>
    <m/>
    <m/>
    <n v="10"/>
    <n v="4"/>
    <n v="0"/>
    <m/>
    <s v=""/>
    <s v=""/>
    <s v=""/>
    <s v=""/>
    <s v="assinatura"/>
    <n v="7354"/>
  </r>
  <r>
    <x v="14"/>
    <x v="7"/>
    <s v="6a62d4f3c98691f7964019d8"/>
    <s v="23/07/2026 15:46:26"/>
    <s v="23/07/2026 23:58:59"/>
    <s v="Henrique"/>
    <s v="23/07/2026"/>
    <s v="Guapiaçu"/>
    <s v="2 ° Turno"/>
    <n v="122"/>
    <n v="2707"/>
    <s v="JOBILIANA APARECIDA MAXIMO BERGAMINI"/>
    <n v="28"/>
    <n v="22.950819672131146"/>
    <n v="14"/>
    <n v="11.475409836065573"/>
    <s v=""/>
    <m/>
    <n v="3"/>
    <m/>
    <n v="1"/>
    <m/>
    <n v="2"/>
    <s v=""/>
    <n v="3"/>
    <n v="1.2295081967213115"/>
    <n v="9"/>
    <n v="7.3770491803278686"/>
    <n v="1"/>
    <n v="0.81967213114754101"/>
    <n v="2"/>
    <n v="1.639344262295082"/>
    <n v="4"/>
    <n v="3.278688524590164"/>
    <s v=""/>
    <n v="0"/>
    <n v="0"/>
    <n v="0"/>
    <n v="0"/>
    <s v=""/>
    <n v="5"/>
    <n v="4.0983606557377046"/>
    <m/>
    <m/>
    <n v="5"/>
    <n v="4.0983606557377046"/>
    <n v="1"/>
    <n v="0.81967213114754101"/>
    <s v=""/>
    <n v="15"/>
    <n v="0"/>
    <n v="6"/>
    <n v="30"/>
    <n v="0"/>
    <n v="12"/>
    <m/>
    <m/>
    <n v="16"/>
    <n v="5"/>
    <s v=""/>
    <m/>
    <s v=""/>
    <n v="3"/>
    <n v="0"/>
    <n v="0"/>
    <s v=""/>
    <n v="5679"/>
  </r>
  <r>
    <x v="14"/>
    <x v="7"/>
    <s v="6a62d4f3c98691f7964019d2"/>
    <s v="23/07/2026 14:15:57"/>
    <s v="23/07/2026 23:58:59"/>
    <s v="Henrique"/>
    <s v="23/07/2026"/>
    <s v="Guapiaçu"/>
    <s v="2 ° Turno"/>
    <n v="130"/>
    <n v="270"/>
    <s v="JOBILIANA APARECIDA MAXIMO BERGAMINI"/>
    <n v="22"/>
    <n v="16.923076923076923"/>
    <n v="9"/>
    <n v="6.9230769230769234"/>
    <n v="3"/>
    <m/>
    <n v="6"/>
    <m/>
    <n v="3"/>
    <m/>
    <n v="3"/>
    <s v=""/>
    <n v="5"/>
    <n v="1.9230769230769231"/>
    <n v="10"/>
    <n v="7.6923076923076925"/>
    <n v="1"/>
    <n v="0.76923076923076927"/>
    <n v="2"/>
    <n v="1.5384615384615385"/>
    <n v="6"/>
    <n v="4.6153846153846159"/>
    <s v=""/>
    <n v="0"/>
    <n v="0"/>
    <n v="0"/>
    <n v="0"/>
    <s v=""/>
    <n v="10"/>
    <n v="7.6923076923076925"/>
    <m/>
    <m/>
    <n v="7"/>
    <n v="5.384615384615385"/>
    <n v="0"/>
    <n v="0"/>
    <s v=""/>
    <n v="15"/>
    <n v="1"/>
    <n v="5"/>
    <n v="30"/>
    <n v="2"/>
    <n v="10"/>
    <m/>
    <m/>
    <n v="9"/>
    <n v="4"/>
    <n v="0"/>
    <m/>
    <s v=""/>
    <s v=""/>
    <s v=""/>
    <s v=""/>
    <s v="assinatura"/>
    <n v="25799"/>
  </r>
  <r>
    <x v="14"/>
    <x v="7"/>
    <s v="6a62390b540290449d38ecf0"/>
    <s v="23/07/2026 11:25:40"/>
    <s v="23/07/2026 12:53:47"/>
    <s v="Henrique"/>
    <s v="23/07/2026"/>
    <s v="Guapiaçu"/>
    <s v="1 ° Turno"/>
    <n v="155"/>
    <n v="2839"/>
    <s v="EDMAR FELIPE MARTINS"/>
    <n v="41"/>
    <n v="26.451612903225808"/>
    <n v="28"/>
    <n v="18.064516129032256"/>
    <n v="1"/>
    <m/>
    <n v="3"/>
    <m/>
    <n v="1"/>
    <m/>
    <n v="0"/>
    <s v=""/>
    <n v="2"/>
    <n v="0.64516129032258063"/>
    <n v="12"/>
    <n v="7.741935483870968"/>
    <n v="1"/>
    <n v="0.64516129032258063"/>
    <n v="4"/>
    <n v="2.5806451612903225"/>
    <n v="7"/>
    <n v="4.5161290322580641"/>
    <s v=""/>
    <n v="1"/>
    <n v="0.64516129032258063"/>
    <n v="2"/>
    <n v="1.2903225806451613"/>
    <s v=""/>
    <n v="19"/>
    <n v="12.258064516129032"/>
    <m/>
    <m/>
    <n v="6"/>
    <n v="3.870967741935484"/>
    <n v="1"/>
    <n v="0.64516129032258063"/>
    <s v=""/>
    <n v="30"/>
    <n v="4"/>
    <n v="4"/>
    <n v="60"/>
    <n v="8"/>
    <n v="8"/>
    <m/>
    <m/>
    <n v="21"/>
    <n v="29"/>
    <n v="2"/>
    <m/>
    <s v=""/>
    <s v=""/>
    <s v=""/>
    <s v=""/>
    <s v="assinatura"/>
    <n v="1614"/>
  </r>
  <r>
    <x v="15"/>
    <x v="7"/>
    <s v="6a61f749b17f4f653eacc131"/>
    <s v="22/07/2026 19:26:48"/>
    <s v="23/07/2026 08:13:13"/>
    <s v="Henrique"/>
    <s v="22/07/2026"/>
    <s v="Guapiaçu"/>
    <s v="2 ° Turno"/>
    <n v="101"/>
    <n v="2693"/>
    <s v="JOBILIANA APARECIDA MAXIMO BERGAMINI"/>
    <n v="16"/>
    <n v="15.841584158415841"/>
    <n v="7"/>
    <n v="6.9306930693069315"/>
    <n v="5"/>
    <m/>
    <n v="5"/>
    <m/>
    <n v="3"/>
    <m/>
    <n v="1"/>
    <s v=""/>
    <n v="3"/>
    <n v="1.4851485148514851"/>
    <n v="11"/>
    <n v="10.891089108910892"/>
    <n v="2"/>
    <n v="1.9801980198019802"/>
    <n v="0"/>
    <n v="0"/>
    <n v="4"/>
    <n v="3.9603960396039604"/>
    <s v=""/>
    <n v="1"/>
    <n v="0.99009900990099009"/>
    <n v="1"/>
    <n v="0.99009900990099009"/>
    <s v=""/>
    <n v="4"/>
    <n v="3.9603960396039604"/>
    <m/>
    <m/>
    <n v="3"/>
    <n v="2.9702970297029703"/>
    <n v="0"/>
    <n v="0"/>
    <s v=""/>
    <n v="18"/>
    <n v="0"/>
    <n v="7"/>
    <n v="36"/>
    <n v="0"/>
    <n v="14"/>
    <m/>
    <m/>
    <n v="15"/>
    <n v="10"/>
    <n v="0"/>
    <m/>
    <s v=""/>
    <n v="10"/>
    <n v="0"/>
    <n v="0"/>
    <s v="assinatura"/>
    <n v="11815"/>
  </r>
  <r>
    <x v="16"/>
    <x v="6"/>
    <s v="6a753d9220a96cfc4b5a956f"/>
    <s v="06/08/2026 18:28:56"/>
    <s v="06/08/2026 23:06:10"/>
    <s v="Henrique"/>
    <s v="06/08/2026"/>
    <s v="Guapiaçu"/>
    <s v="2 ° Turno"/>
    <n v="135"/>
    <n v="3281"/>
    <s v="JOBILIANA APARECIDA MAXIMO BERGAMINI"/>
    <n v="20"/>
    <n v="14.814814814814813"/>
    <n v="12"/>
    <n v="8.8888888888888893"/>
    <n v="0"/>
    <n v="0"/>
    <n v="1"/>
    <n v="1"/>
    <n v="0"/>
    <n v="0"/>
    <n v="0"/>
    <n v="0"/>
    <n v="3"/>
    <n v="1.1111111111111112"/>
    <n v="14"/>
    <n v="10.37037037037037"/>
    <n v="0"/>
    <n v="0"/>
    <n v="1"/>
    <n v="0.74074074074074081"/>
    <n v="3"/>
    <n v="2.2222222222222223"/>
    <s v=""/>
    <n v="4"/>
    <n v="2.9629629629629632"/>
    <n v="0"/>
    <n v="0"/>
    <s v=""/>
    <n v="4"/>
    <n v="2.9629629629629632"/>
    <m/>
    <m/>
    <n v="7"/>
    <n v="5.1851851851851851"/>
    <n v="0"/>
    <n v="0"/>
    <s v=""/>
    <n v="14"/>
    <n v="0"/>
    <n v="0"/>
    <n v="28"/>
    <n v="0"/>
    <n v="0"/>
    <n v="0"/>
    <n v="0"/>
    <n v="20"/>
    <n v="8"/>
    <n v="0"/>
    <n v="0"/>
    <s v=""/>
    <n v="6"/>
    <n v="0"/>
    <n v="0"/>
    <s v="assinatura"/>
    <n v="9777"/>
  </r>
  <r>
    <x v="16"/>
    <x v="6"/>
    <s v="6a74f0123b26ad6681a4d695"/>
    <s v="06/08/2026 15:02:10"/>
    <s v="06/08/2026 17:35:30"/>
    <s v="Henrique"/>
    <s v="06/08/2026"/>
    <s v="Guapiaçu"/>
    <s v="2 ° Turno"/>
    <n v="137"/>
    <n v="3181"/>
    <s v="JOBILIANA APARECIDA MAXIMO BERGAMINI"/>
    <n v="19"/>
    <n v="13.868613138686131"/>
    <n v="14"/>
    <n v="10.218978102189782"/>
    <n v="0"/>
    <n v="0"/>
    <n v="2"/>
    <n v="2"/>
    <n v="0"/>
    <n v="0"/>
    <n v="0"/>
    <n v="0"/>
    <n v="3"/>
    <n v="1.0948905109489051"/>
    <n v="8"/>
    <n v="5.8394160583941606"/>
    <n v="0"/>
    <n v="0"/>
    <n v="0"/>
    <n v="0"/>
    <n v="1"/>
    <n v="0.72992700729927007"/>
    <s v=""/>
    <n v="1"/>
    <n v="0.72992700729927007"/>
    <n v="0"/>
    <n v="0"/>
    <s v=""/>
    <n v="8"/>
    <n v="5.8394160583941606"/>
    <m/>
    <m/>
    <n v="4"/>
    <n v="2.9197080291970803"/>
    <n v="1"/>
    <n v="0.72992700729927007"/>
    <s v=""/>
    <n v="6"/>
    <n v="0"/>
    <n v="1"/>
    <n v="12"/>
    <n v="0"/>
    <n v="2"/>
    <s v=""/>
    <s v=""/>
    <n v="2"/>
    <n v="3"/>
    <s v=""/>
    <s v=""/>
    <s v=""/>
    <n v="3"/>
    <n v="0"/>
    <s v=""/>
    <s v="assinatura"/>
    <n v="7703"/>
  </r>
  <r>
    <x v="16"/>
    <x v="6"/>
    <s v="6a74f0123b26ad6681a4d689"/>
    <s v="06/08/2026 14:15:29"/>
    <s v="06/08/2026 17:35:30"/>
    <s v="Henrique"/>
    <s v="06/08/2026"/>
    <s v="Guapiaçu"/>
    <s v="2 ° Turno"/>
    <n v="130"/>
    <n v="3156"/>
    <s v="JOBILIANA APARECIDA MAXIMO BERGAMINI"/>
    <n v="20"/>
    <n v="15.384615384615385"/>
    <n v="6"/>
    <n v="4.6153846153846159"/>
    <n v="2"/>
    <n v="20"/>
    <n v="1"/>
    <n v="1"/>
    <n v="0"/>
    <n v="0"/>
    <n v="1"/>
    <n v="5"/>
    <n v="2"/>
    <n v="0.76923076923076927"/>
    <n v="3"/>
    <n v="2.3076923076923079"/>
    <n v="0"/>
    <n v="0"/>
    <n v="0"/>
    <n v="0"/>
    <n v="3"/>
    <n v="2.3076923076923079"/>
    <s v=""/>
    <n v="4"/>
    <n v="3.0769230769230771"/>
    <n v="0"/>
    <n v="0"/>
    <s v=""/>
    <n v="4"/>
    <n v="3.0769230769230771"/>
    <m/>
    <m/>
    <n v="2"/>
    <n v="1.5384615384615385"/>
    <n v="0"/>
    <n v="0"/>
    <s v=""/>
    <n v="9"/>
    <n v="0"/>
    <n v="0"/>
    <n v="18"/>
    <n v="0"/>
    <n v="0"/>
    <s v=""/>
    <s v=""/>
    <n v="4"/>
    <n v="2"/>
    <s v=""/>
    <s v=""/>
    <s v=""/>
    <n v="1"/>
    <n v="0"/>
    <s v=""/>
    <s v="assinatura"/>
    <n v="6568"/>
  </r>
  <r>
    <x v="16"/>
    <x v="6"/>
    <s v="6a74afaaa3e210342a2b1622"/>
    <s v="06/08/2026 11:31:26"/>
    <s v="06/08/2026 13:00:42"/>
    <s v="Henrique"/>
    <s v="06/08/2026"/>
    <s v="Guapiaçu"/>
    <s v="1 ° Turno"/>
    <n v="157"/>
    <n v="2922"/>
    <s v="EDMAR FELIPE MARTINS"/>
    <n v="39"/>
    <n v="24.840764331210192"/>
    <n v="20"/>
    <n v="12.738853503184714"/>
    <n v="0"/>
    <n v="0"/>
    <n v="1"/>
    <n v="1"/>
    <n v="1"/>
    <n v="1"/>
    <n v="0"/>
    <n v="0"/>
    <n v="2"/>
    <n v="0.63694267515923575"/>
    <n v="4"/>
    <n v="2.547770700636943"/>
    <n v="1"/>
    <n v="0.63694267515923575"/>
    <n v="4"/>
    <n v="2.547770700636943"/>
    <n v="6"/>
    <n v="3.8216560509554141"/>
    <s v=""/>
    <n v="2"/>
    <n v="1.2738853503184715"/>
    <n v="1"/>
    <n v="0.63694267515923575"/>
    <s v=""/>
    <n v="3"/>
    <n v="1.910828025477707"/>
    <m/>
    <m/>
    <n v="6"/>
    <n v="3.8216560509554141"/>
    <n v="0"/>
    <n v="0"/>
    <s v=""/>
    <n v="21"/>
    <n v="0"/>
    <n v="0"/>
    <n v="42"/>
    <n v="0"/>
    <n v="0"/>
    <s v=""/>
    <s v=""/>
    <n v="27"/>
    <n v="34"/>
    <n v="1"/>
    <s v=""/>
    <s v=""/>
    <s v=""/>
    <s v=""/>
    <s v=""/>
    <s v=""/>
    <n v="2240"/>
  </r>
  <r>
    <x v="16"/>
    <x v="6"/>
    <s v="6a74afa9a3e210342a2b15fc"/>
    <s v="06/08/2026 06:48:49"/>
    <s v="06/08/2026 13:00:41"/>
    <s v="Henrique"/>
    <s v="06/08/2026"/>
    <s v="Guapiaçu"/>
    <s v="1 ° Turno"/>
    <n v="161"/>
    <n v="2922"/>
    <s v="EDMAR FELIPE MARTINS"/>
    <n v="44"/>
    <n v="27.329192546583851"/>
    <n v="23"/>
    <n v="14.285714285714285"/>
    <n v="0"/>
    <n v="0"/>
    <n v="1"/>
    <n v="1"/>
    <n v="1"/>
    <n v="1"/>
    <n v="0"/>
    <n v="0"/>
    <n v="2"/>
    <n v="0.6211180124223602"/>
    <n v="4"/>
    <n v="2.4844720496894408"/>
    <n v="0"/>
    <n v="0"/>
    <n v="4"/>
    <n v="2.4844720496894408"/>
    <n v="8"/>
    <n v="4.9689440993788816"/>
    <s v=""/>
    <n v="3"/>
    <n v="1.8633540372670807"/>
    <n v="2"/>
    <n v="1.2422360248447204"/>
    <s v=""/>
    <n v="5"/>
    <n v="3.1055900621118013"/>
    <m/>
    <m/>
    <n v="6"/>
    <n v="3.7267080745341614"/>
    <n v="0"/>
    <n v="0"/>
    <s v=""/>
    <n v="17"/>
    <n v="0"/>
    <n v="0"/>
    <n v="34"/>
    <n v="0"/>
    <n v="0"/>
    <s v=""/>
    <s v=""/>
    <n v="25"/>
    <n v="29"/>
    <n v="1"/>
    <s v=""/>
    <s v=""/>
    <s v=""/>
    <s v=""/>
    <s v=""/>
    <s v=""/>
    <n v="2942"/>
  </r>
  <r>
    <x v="16"/>
    <x v="6"/>
    <s v="6a74afa9a3e210342a2b15e4"/>
    <s v="06/08/2026 04:28:07"/>
    <s v="06/08/2026 13:00:41"/>
    <s v="Henrique"/>
    <s v="06/08/2026"/>
    <s v="Guapiaçu"/>
    <s v="1 ° Turno"/>
    <n v="151"/>
    <n v="2990"/>
    <s v="EDMAR FELIPE MARTINS"/>
    <n v="47"/>
    <n v="31.125827814569533"/>
    <n v="25"/>
    <n v="16.556291390728479"/>
    <n v="0"/>
    <n v="0"/>
    <n v="1"/>
    <n v="1"/>
    <n v="1"/>
    <n v="1"/>
    <n v="0"/>
    <n v="0"/>
    <n v="2"/>
    <n v="0.66225165562913912"/>
    <n v="4"/>
    <n v="2.6490066225165565"/>
    <n v="0"/>
    <n v="0"/>
    <n v="1"/>
    <n v="0.66225165562913912"/>
    <n v="4"/>
    <n v="2.6490066225165565"/>
    <s v=""/>
    <n v="2"/>
    <n v="1.3245033112582782"/>
    <n v="2"/>
    <n v="1.3245033112582782"/>
    <s v=""/>
    <n v="6"/>
    <n v="3.9735099337748347"/>
    <m/>
    <m/>
    <n v="7"/>
    <n v="4.6357615894039732"/>
    <n v="1"/>
    <n v="0.66225165562913912"/>
    <s v=""/>
    <n v="15"/>
    <n v="0"/>
    <n v="0"/>
    <n v="30"/>
    <n v="0"/>
    <n v="0"/>
    <s v=""/>
    <s v=""/>
    <n v="25"/>
    <n v="27"/>
    <n v="1"/>
    <s v=""/>
    <s v=""/>
    <s v=""/>
    <s v=""/>
    <s v=""/>
    <s v="assinatura"/>
    <n v="2030"/>
  </r>
  <r>
    <x v="17"/>
    <x v="6"/>
    <s v="6a73ef91a971cc45da7803f1"/>
    <s v="05/08/2026 19:26:55"/>
    <s v="05/08/2026 23:21:05"/>
    <s v="Henrique"/>
    <s v="05/08/2026"/>
    <s v="Guapiaçu"/>
    <s v="2 ° Turno"/>
    <n v="146"/>
    <n v="3313"/>
    <s v="JOBILIANA APARECIDA MAXIMO BERGAMINI"/>
    <n v="18"/>
    <n v="12.328767123287671"/>
    <n v="5"/>
    <n v="3.4246575342465753"/>
    <n v="3"/>
    <n v="30"/>
    <n v="2"/>
    <n v="2"/>
    <n v="0"/>
    <n v="0"/>
    <n v="2"/>
    <n v="10"/>
    <n v="5"/>
    <n v="1.7123287671232876"/>
    <n v="12"/>
    <n v="8.2191780821917799"/>
    <n v="0"/>
    <n v="0"/>
    <n v="0"/>
    <n v="0"/>
    <n v="4"/>
    <n v="2.7397260273972601"/>
    <s v=""/>
    <n v="3"/>
    <n v="2.054794520547945"/>
    <n v="0"/>
    <n v="0"/>
    <s v=""/>
    <n v="3"/>
    <n v="2.054794520547945"/>
    <m/>
    <m/>
    <n v="3"/>
    <n v="2.054794520547945"/>
    <n v="2"/>
    <n v="1.3698630136986301"/>
    <s v=""/>
    <n v="8"/>
    <n v="0"/>
    <n v="0"/>
    <n v="16"/>
    <n v="0"/>
    <n v="0"/>
    <s v=""/>
    <s v=""/>
    <n v="9"/>
    <n v="4"/>
    <n v="0"/>
    <s v=""/>
    <s v=""/>
    <n v="3"/>
    <n v="0"/>
    <n v="0"/>
    <s v="assinatura"/>
    <n v="6570"/>
  </r>
  <r>
    <x v="17"/>
    <x v="6"/>
    <s v="6a73ef90a971cc45da7803cd"/>
    <s v="05/08/2026 14:54:09"/>
    <s v="05/08/2026 23:21:04"/>
    <s v="Henrique"/>
    <s v="05/08/2026"/>
    <s v="Guapiaçu"/>
    <s v="2 ° Turno"/>
    <n v="146"/>
    <n v="4634"/>
    <s v="JOBILIANA APARECIDA MAXIMO BERGAMINI"/>
    <n v="16"/>
    <n v="10.95890410958904"/>
    <n v="10"/>
    <n v="6.8493150684931505"/>
    <n v="2"/>
    <n v="20"/>
    <n v="0"/>
    <n v="0"/>
    <n v="0"/>
    <n v="0"/>
    <n v="3"/>
    <n v="15"/>
    <n v="3"/>
    <n v="1.0273972602739725"/>
    <n v="6"/>
    <n v="4.10958904109589"/>
    <n v="0"/>
    <n v="0"/>
    <n v="2"/>
    <n v="1.3698630136986301"/>
    <n v="4"/>
    <n v="2.7397260273972601"/>
    <s v=""/>
    <n v="0"/>
    <n v="0"/>
    <n v="0"/>
    <n v="0"/>
    <s v=""/>
    <n v="3"/>
    <n v="2.054794520547945"/>
    <m/>
    <m/>
    <n v="2"/>
    <n v="1.3698630136986301"/>
    <n v="0"/>
    <n v="0"/>
    <s v=""/>
    <n v="8"/>
    <n v="1"/>
    <n v="1"/>
    <n v="16"/>
    <n v="2"/>
    <n v="2"/>
    <s v=""/>
    <s v=""/>
    <n v="3"/>
    <n v="4"/>
    <n v="0"/>
    <s v=""/>
    <s v=""/>
    <n v="2"/>
    <n v="0"/>
    <n v="0"/>
    <s v="assinatura"/>
    <n v="11872"/>
  </r>
  <r>
    <x v="17"/>
    <x v="6"/>
    <s v="6a73ef90a971cc45da7803c1"/>
    <s v="05/08/2026 14:22:12"/>
    <s v="05/08/2026 23:21:04"/>
    <s v="Henrique"/>
    <s v="05/08/2026"/>
    <s v="Guapiaçu"/>
    <s v="2 ° Turno"/>
    <n v="109"/>
    <n v="3095"/>
    <s v="JOBILIANA APARECIDA MAXIMO BERGAMINI"/>
    <n v="12"/>
    <n v="11.009174311926607"/>
    <n v="6"/>
    <n v="5.5045871559633035"/>
    <n v="3"/>
    <n v="30"/>
    <n v="2"/>
    <n v="2"/>
    <n v="0"/>
    <n v="0"/>
    <n v="0"/>
    <n v="0"/>
    <n v="2"/>
    <n v="0.91743119266055051"/>
    <n v="5"/>
    <n v="4.5871559633027523"/>
    <n v="0"/>
    <n v="0"/>
    <n v="0"/>
    <n v="0"/>
    <n v="0"/>
    <n v="0"/>
    <s v=""/>
    <n v="0"/>
    <n v="0"/>
    <n v="0"/>
    <n v="0"/>
    <s v=""/>
    <n v="5"/>
    <n v="4.5871559633027523"/>
    <m/>
    <m/>
    <n v="4"/>
    <n v="3.669724770642202"/>
    <n v="0"/>
    <n v="0"/>
    <s v=""/>
    <n v="7"/>
    <n v="0"/>
    <n v="2"/>
    <n v="14"/>
    <n v="0"/>
    <n v="4"/>
    <s v=""/>
    <s v=""/>
    <n v="9"/>
    <n v="4"/>
    <n v="0"/>
    <s v=""/>
    <s v=""/>
    <n v="4"/>
    <n v="0"/>
    <n v="0"/>
    <s v="assinatura"/>
    <n v="10667"/>
  </r>
  <r>
    <x v="17"/>
    <x v="6"/>
    <s v="6a735d4ee190e085c2af34ac"/>
    <s v="05/08/2026 11:22:43"/>
    <s v="05/08/2026 12:57:02"/>
    <s v="Henrique"/>
    <s v="05/08/2026"/>
    <s v="Guapiaçu"/>
    <s v="1 ° Turno"/>
    <n v="156"/>
    <n v="3153"/>
    <s v="EDMAR FELIPE MARTINS"/>
    <n v="27"/>
    <n v="17.307692307692307"/>
    <n v="12"/>
    <n v="7.6923076923076925"/>
    <n v="0"/>
    <s v=""/>
    <n v="2"/>
    <s v=""/>
    <n v="0"/>
    <s v=""/>
    <n v="0"/>
    <s v=""/>
    <n v="3"/>
    <s v=""/>
    <n v="11"/>
    <n v="7.0512820512820511"/>
    <n v="1"/>
    <n v="0.64102564102564097"/>
    <n v="1"/>
    <n v="0.64102564102564097"/>
    <n v="7"/>
    <n v="4.4871794871794872"/>
    <s v=""/>
    <n v="3"/>
    <n v="1.9230769230769231"/>
    <n v="2"/>
    <n v="1.2820512820512819"/>
    <s v=""/>
    <n v="15"/>
    <n v="9.6153846153846168"/>
    <m/>
    <m/>
    <n v="5"/>
    <n v="3.2051282051282048"/>
    <n v="1"/>
    <n v="0.64102564102564097"/>
    <s v=""/>
    <n v="18"/>
    <n v="0"/>
    <n v="0"/>
    <n v="36"/>
    <n v="0"/>
    <n v="0"/>
    <s v=""/>
    <s v=""/>
    <n v="25"/>
    <n v="37"/>
    <n v="2"/>
    <s v=""/>
    <s v=""/>
    <s v=""/>
    <s v=""/>
    <s v=""/>
    <s v="assinatura"/>
    <n v="2496"/>
  </r>
  <r>
    <x v="17"/>
    <x v="6"/>
    <s v="6a735d4ee190e085c2af3488"/>
    <s v="05/08/2026 06:50:55"/>
    <s v="05/08/2026 12:57:02"/>
    <s v="Henrique"/>
    <s v="05/08/2026"/>
    <s v="Guapiaçu"/>
    <s v="1 ° Turno"/>
    <n v="161"/>
    <n v="3083"/>
    <s v="EDMAR FELIPE MARTINS"/>
    <n v="30"/>
    <n v="18.633540372670808"/>
    <n v="17"/>
    <n v="10.559006211180124"/>
    <n v="0"/>
    <s v=""/>
    <n v="1"/>
    <s v=""/>
    <n v="1"/>
    <s v=""/>
    <n v="0"/>
    <s v=""/>
    <n v="2"/>
    <s v=""/>
    <n v="12"/>
    <n v="7.4534161490683228"/>
    <n v="0"/>
    <n v="0"/>
    <n v="1"/>
    <n v="0.6211180124223602"/>
    <n v="8"/>
    <n v="4.9689440993788816"/>
    <s v=""/>
    <n v="1"/>
    <n v="0.6211180124223602"/>
    <n v="2"/>
    <n v="1.2422360248447204"/>
    <s v=""/>
    <n v="9"/>
    <n v="5.5900621118012426"/>
    <m/>
    <m/>
    <n v="6"/>
    <n v="3.7267080745341614"/>
    <n v="1"/>
    <n v="0.6211180124223602"/>
    <s v=""/>
    <n v="18"/>
    <n v="0"/>
    <n v="0"/>
    <n v="36"/>
    <n v="0"/>
    <n v="0"/>
    <s v=""/>
    <s v=""/>
    <n v="27"/>
    <n v="33"/>
    <n v="1"/>
    <s v=""/>
    <s v=""/>
    <n v="0"/>
    <n v="0"/>
    <n v="3"/>
    <s v="assinatura"/>
    <n v="3225"/>
  </r>
  <r>
    <x v="17"/>
    <x v="6"/>
    <s v="6a735d4de190e085c2af3470"/>
    <s v="05/08/2026 04:30:42"/>
    <s v="05/08/2026 12:57:01"/>
    <s v="Henrique"/>
    <s v="05/08/2026"/>
    <s v="Guapiaçu"/>
    <s v="1 ° Turno"/>
    <n v="150"/>
    <n v="3001"/>
    <s v="EDMAR FELIPE MARTINS"/>
    <n v="27"/>
    <n v="18"/>
    <n v="7"/>
    <n v="4.666666666666667"/>
    <n v="0"/>
    <s v=""/>
    <n v="3"/>
    <s v=""/>
    <n v="1"/>
    <s v=""/>
    <n v="0"/>
    <s v=""/>
    <n v="3"/>
    <s v=""/>
    <n v="3"/>
    <n v="2"/>
    <n v="0"/>
    <n v="0"/>
    <n v="3"/>
    <n v="2"/>
    <n v="9"/>
    <n v="6"/>
    <s v=""/>
    <n v="2"/>
    <n v="1.3333333333333335"/>
    <n v="1"/>
    <n v="0.66666666666666674"/>
    <s v=""/>
    <n v="8"/>
    <n v="5.3333333333333339"/>
    <m/>
    <m/>
    <n v="6"/>
    <n v="4"/>
    <n v="1"/>
    <n v="0.66666666666666674"/>
    <s v=""/>
    <n v="16"/>
    <n v="0"/>
    <n v="0"/>
    <n v="32"/>
    <n v="0"/>
    <n v="0"/>
    <s v=""/>
    <s v=""/>
    <n v="19"/>
    <n v="31"/>
    <n v="2"/>
    <s v=""/>
    <s v=""/>
    <s v=""/>
    <s v=""/>
    <s v=""/>
    <s v="assinatura"/>
    <n v="2840"/>
  </r>
  <r>
    <x v="18"/>
    <x v="6"/>
    <s v="6a768f2aa4ddd8f30762f175"/>
    <s v="07/08/2026 19:16:25"/>
    <s v="07/08/2026 23:06:34"/>
    <s v="Henrique"/>
    <s v="07/08/2026"/>
    <s v="Guapiaçu"/>
    <s v="2 ° Turno"/>
    <n v="154"/>
    <n v="2570"/>
    <s v="JOBILIANA APARECIDA MAXIMO BERGAMINI"/>
    <n v="35"/>
    <n v="35"/>
    <n v="14"/>
    <n v="14.000000000000002"/>
    <n v="0"/>
    <n v="0"/>
    <n v="1"/>
    <n v="1"/>
    <n v="0"/>
    <n v="0"/>
    <n v="0"/>
    <n v="0"/>
    <n v="2"/>
    <n v="0.64935064935064934"/>
    <n v="11"/>
    <n v="7.1428571428571423"/>
    <n v="0"/>
    <n v="0"/>
    <n v="0"/>
    <n v="0"/>
    <n v="2"/>
    <n v="1.2987012987012987"/>
    <s v=""/>
    <n v="0"/>
    <n v="0"/>
    <n v="0"/>
    <n v="0"/>
    <s v=""/>
    <n v="4"/>
    <n v="2.5974025974025974"/>
    <m/>
    <m/>
    <n v="3"/>
    <n v="1.948051948051948"/>
    <n v="4"/>
    <n v="2.5974025974025974"/>
    <s v=""/>
    <n v="20"/>
    <n v="1"/>
    <n v="1"/>
    <n v="40"/>
    <n v="2"/>
    <n v="2"/>
    <n v="2"/>
    <n v="1.2987012987012987"/>
    <n v="16"/>
    <n v="7"/>
    <n v="0"/>
    <n v="0"/>
    <s v=""/>
    <n v="1"/>
    <n v="0"/>
    <n v="0"/>
    <s v="assinatura"/>
    <n v="9195"/>
  </r>
  <r>
    <x v="18"/>
    <x v="6"/>
    <s v="6a768f29a4ddd8f30762f151"/>
    <s v="07/08/2026 14:51:00"/>
    <s v="07/08/2026 23:06:33"/>
    <s v="Henrique"/>
    <s v="07/08/2026"/>
    <s v="Guapiaçu"/>
    <s v="2 ° Turno"/>
    <n v="128"/>
    <n v="2608"/>
    <s v="JOBILIANA APARECIDA MAXIMO BERGAMINI"/>
    <n v="14"/>
    <n v="14.000000000000002"/>
    <n v="16"/>
    <n v="16"/>
    <n v="0"/>
    <n v="0"/>
    <n v="1"/>
    <n v="1"/>
    <n v="0"/>
    <n v="0"/>
    <n v="1"/>
    <n v="5"/>
    <n v="2"/>
    <n v="0.78125"/>
    <n v="14"/>
    <n v="10.9375"/>
    <n v="0"/>
    <n v="0"/>
    <n v="1"/>
    <n v="0.78125"/>
    <n v="3"/>
    <n v="2.34375"/>
    <s v=""/>
    <n v="4"/>
    <n v="3.125"/>
    <n v="0"/>
    <n v="0"/>
    <s v=""/>
    <n v="5"/>
    <n v="3.90625"/>
    <m/>
    <m/>
    <n v="3"/>
    <n v="2.34375"/>
    <n v="0"/>
    <n v="0"/>
    <s v=""/>
    <n v="10"/>
    <n v="0"/>
    <n v="0"/>
    <n v="20"/>
    <n v="0"/>
    <n v="0"/>
    <n v="1"/>
    <n v="0.78125"/>
    <n v="8"/>
    <n v="4"/>
    <n v="0"/>
    <n v="0"/>
    <s v=""/>
    <n v="1"/>
    <n v="0"/>
    <n v="0"/>
    <s v="assinatura"/>
    <n v="19021"/>
  </r>
  <r>
    <x v="18"/>
    <x v="6"/>
    <s v="6a768f29a4ddd8f30762f14b"/>
    <s v="07/08/2026 14:13:54"/>
    <s v="07/08/2026 23:06:33"/>
    <s v="Henrique"/>
    <s v="07/08/2026"/>
    <s v="Guapiaçu"/>
    <s v="2 ° Turno"/>
    <n v="99"/>
    <n v="2744"/>
    <s v="JOBILIANA APARECIDA MAXIMO BERGAMINI"/>
    <n v="30"/>
    <n v="30"/>
    <n v="9"/>
    <n v="9"/>
    <n v="1"/>
    <n v="10"/>
    <n v="0"/>
    <n v="0"/>
    <n v="0"/>
    <n v="0"/>
    <n v="0"/>
    <n v="0"/>
    <n v="4"/>
    <n v="2.0202020202020203"/>
    <n v="1"/>
    <n v="1.0101010101010102"/>
    <n v="0"/>
    <n v="0"/>
    <n v="0"/>
    <n v="0"/>
    <n v="3"/>
    <n v="3.0303030303030303"/>
    <s v=""/>
    <n v="1"/>
    <n v="1.0101010101010102"/>
    <n v="0"/>
    <n v="0"/>
    <s v=""/>
    <n v="1"/>
    <n v="1.0101010101010102"/>
    <m/>
    <m/>
    <n v="2"/>
    <n v="2.0202020202020203"/>
    <n v="0"/>
    <n v="0"/>
    <s v=""/>
    <n v="10"/>
    <n v="0"/>
    <n v="1"/>
    <n v="20"/>
    <n v="0"/>
    <n v="2"/>
    <n v="2"/>
    <n v="2.0202020202020203"/>
    <n v="9"/>
    <n v="3"/>
    <n v="0"/>
    <n v="0"/>
    <s v=""/>
    <n v="1"/>
    <n v="0"/>
    <n v="0"/>
    <s v="assinatura"/>
    <n v="7019"/>
  </r>
  <r>
    <x v="18"/>
    <x v="6"/>
    <s v="6a76048ba971cc45da8585a4"/>
    <s v="07/08/2026 11:32:30"/>
    <s v="07/08/2026 13:15:07"/>
    <s v="Henrique"/>
    <s v="07/08/2026"/>
    <s v="Guapiaçu"/>
    <s v="1 ° Turno"/>
    <n v="151"/>
    <n v="2773"/>
    <s v="EDMAR FELIPE MARTINS"/>
    <n v="38"/>
    <n v="38"/>
    <n v="23"/>
    <n v="38"/>
    <n v="0"/>
    <n v="0"/>
    <n v="1"/>
    <n v="1"/>
    <n v="1"/>
    <n v="1"/>
    <n v="0"/>
    <n v="0"/>
    <n v="2"/>
    <n v="0.66225165562913912"/>
    <n v="3"/>
    <n v="1.9867549668874174"/>
    <n v="0"/>
    <n v="0"/>
    <n v="3"/>
    <n v="1.9867549668874174"/>
    <n v="4"/>
    <n v="2.6490066225165565"/>
    <s v=""/>
    <n v="2"/>
    <n v="1.3245033112582782"/>
    <n v="1"/>
    <n v="0.66225165562913912"/>
    <s v=""/>
    <n v="4"/>
    <n v="2.6490066225165565"/>
    <m/>
    <m/>
    <n v="6"/>
    <n v="3.9735099337748347"/>
    <n v="1"/>
    <n v="0.66225165562913912"/>
    <s v=""/>
    <n v="20"/>
    <n v="0"/>
    <n v="0"/>
    <n v="40"/>
    <n v="0"/>
    <n v="0"/>
    <s v=""/>
    <s v=""/>
    <n v="23"/>
    <n v="27"/>
    <n v="1"/>
    <n v="10"/>
    <s v=""/>
    <n v="0"/>
    <n v="0"/>
    <n v="1"/>
    <s v="assinatura"/>
    <n v="4250"/>
  </r>
  <r>
    <x v="18"/>
    <x v="6"/>
    <s v="6a76048ba971cc45da858586"/>
    <s v="07/08/2026 07:02:43"/>
    <s v="07/08/2026 13:15:07"/>
    <s v="Henrique"/>
    <s v="07/08/2026"/>
    <s v="Guapiaçu"/>
    <s v="1 ° Turno"/>
    <n v="151"/>
    <n v="2753"/>
    <s v="EDMAR FELIPE MARTINS"/>
    <n v="42"/>
    <n v="42"/>
    <n v="22"/>
    <n v="42"/>
    <n v="0"/>
    <n v="0"/>
    <n v="2"/>
    <n v="2"/>
    <n v="1"/>
    <n v="1"/>
    <n v="0"/>
    <n v="0"/>
    <n v="1"/>
    <n v="0.33112582781456956"/>
    <n v="3"/>
    <n v="1.9867549668874174"/>
    <n v="1"/>
    <n v="0.66225165562913912"/>
    <n v="4"/>
    <n v="2.6490066225165565"/>
    <n v="8"/>
    <n v="5.298013245033113"/>
    <s v=""/>
    <n v="3"/>
    <n v="1.9867549668874174"/>
    <n v="2"/>
    <n v="1.3245033112582782"/>
    <s v=""/>
    <n v="4"/>
    <n v="2.6490066225165565"/>
    <m/>
    <m/>
    <n v="8"/>
    <n v="5.298013245033113"/>
    <n v="1"/>
    <n v="0.66225165562913912"/>
    <s v=""/>
    <n v="16"/>
    <n v="0"/>
    <n v="0"/>
    <n v="32"/>
    <n v="0"/>
    <n v="0"/>
    <s v=""/>
    <s v=""/>
    <n v="24"/>
    <n v="22"/>
    <n v="1"/>
    <n v="10"/>
    <s v=""/>
    <n v="0"/>
    <n v="0"/>
    <n v="2"/>
    <s v="assinatura"/>
    <n v="7356"/>
  </r>
  <r>
    <x v="18"/>
    <x v="6"/>
    <s v="6a76048aa971cc45da85856e"/>
    <s v="07/08/2026 04:25:54"/>
    <s v="07/08/2026 13:15:06"/>
    <s v="Henrique"/>
    <s v="07/08/2026"/>
    <s v="Guapiaçu"/>
    <s v="1 ° Turno"/>
    <n v="146"/>
    <n v="2870"/>
    <s v="EDMAR FELIPE MARTINS"/>
    <n v="31"/>
    <n v="31"/>
    <n v="23"/>
    <n v="31"/>
    <s v=""/>
    <s v=""/>
    <n v="1"/>
    <n v="1"/>
    <n v="0"/>
    <n v="0"/>
    <n v="0"/>
    <n v="0"/>
    <n v="1"/>
    <n v="0.34246575342465752"/>
    <n v="1"/>
    <n v="0.68493150684931503"/>
    <n v="0"/>
    <n v="0"/>
    <n v="0"/>
    <n v="0"/>
    <n v="3"/>
    <n v="2.054794520547945"/>
    <s v=""/>
    <n v="1"/>
    <n v="0.68493150684931503"/>
    <n v="1"/>
    <n v="0.68493150684931503"/>
    <s v=""/>
    <n v="4"/>
    <n v="2.7397260273972601"/>
    <m/>
    <m/>
    <n v="6"/>
    <n v="4.10958904109589"/>
    <n v="1"/>
    <n v="0.68493150684931503"/>
    <s v=""/>
    <n v="19"/>
    <n v="0"/>
    <n v="0"/>
    <n v="38"/>
    <n v="0"/>
    <n v="0"/>
    <s v=""/>
    <s v=""/>
    <n v="25"/>
    <n v="29"/>
    <n v="3"/>
    <n v="30"/>
    <s v=""/>
    <s v=""/>
    <s v=""/>
    <s v=""/>
    <s v="assinatura"/>
    <n v="12711"/>
  </r>
  <r>
    <x v="19"/>
    <x v="6"/>
    <s v="6a7a8a85e3b391defc73b093"/>
    <s v="10/08/2026 21:08:02"/>
    <s v="10/08/2026 23:35:49"/>
    <s v="Henrique"/>
    <s v="10/08/2026"/>
    <s v="Guapiaçu"/>
    <s v="2 ° Turno"/>
    <n v="135"/>
    <n v="2893"/>
    <s v="JOBILIANA APARECIDA MAXIMO BERGAMINI"/>
    <n v="19"/>
    <n v="14.074074074074074"/>
    <n v="5"/>
    <n v="3.7037037037037033"/>
    <n v="1"/>
    <n v="10"/>
    <n v="0"/>
    <n v="0"/>
    <n v="1"/>
    <n v="1"/>
    <n v="0"/>
    <n v="0"/>
    <n v="3"/>
    <n v="2.2222222222222223"/>
    <n v="3"/>
    <n v="2.2222222222222223"/>
    <n v="0"/>
    <n v="0"/>
    <n v="0"/>
    <n v="0"/>
    <n v="1"/>
    <n v="0.74074074074074081"/>
    <s v=""/>
    <n v="1"/>
    <n v="0.74074074074074081"/>
    <n v="0"/>
    <n v="0"/>
    <s v=""/>
    <n v="1"/>
    <n v="0.74074074074074081"/>
    <m/>
    <m/>
    <n v="1"/>
    <n v="0.74074074074074081"/>
    <n v="0"/>
    <n v="0"/>
    <s v=""/>
    <n v="15"/>
    <n v="0"/>
    <n v="0"/>
    <n v="30"/>
    <n v="0"/>
    <n v="0"/>
    <n v="0"/>
    <n v="0"/>
    <n v="7"/>
    <n v="3"/>
    <n v="0"/>
    <n v="0"/>
    <s v=""/>
    <n v="0"/>
    <n v="0"/>
    <n v="0"/>
    <s v="assinatura"/>
    <n v="3696"/>
  </r>
  <r>
    <x v="19"/>
    <x v="6"/>
    <s v="6a7a8a85e3b391defc73b081"/>
    <s v="10/08/2026 19:18:30"/>
    <s v="10/08/2026 23:35:49"/>
    <s v="Henrique"/>
    <s v="10/08/2026"/>
    <s v="Guapiaçu"/>
    <s v="2 ° Turno"/>
    <n v="145"/>
    <n v="2932"/>
    <s v="JOBILIANA APARECIDA MAXIMO BERGAMINI"/>
    <n v="15"/>
    <n v="10.344827586206897"/>
    <n v="17"/>
    <n v="11.724137931034482"/>
    <n v="3"/>
    <n v="30"/>
    <n v="1"/>
    <n v="1"/>
    <n v="0"/>
    <n v="0"/>
    <n v="0"/>
    <n v="0"/>
    <n v="4"/>
    <n v="2.7586206896551726"/>
    <n v="4"/>
    <n v="2.7586206896551726"/>
    <n v="0"/>
    <n v="0"/>
    <n v="1"/>
    <n v="0.68965517241379315"/>
    <n v="4"/>
    <n v="2.7586206896551726"/>
    <s v=""/>
    <n v="0"/>
    <n v="0"/>
    <n v="0"/>
    <n v="0"/>
    <s v=""/>
    <n v="3"/>
    <n v="2.0689655172413794"/>
    <m/>
    <m/>
    <n v="6"/>
    <n v="4.1379310344827589"/>
    <n v="0"/>
    <n v="0"/>
    <s v=""/>
    <n v="5"/>
    <n v="0"/>
    <n v="0"/>
    <n v="10"/>
    <n v="0"/>
    <n v="0"/>
    <n v="1"/>
    <n v="0.68965517241379315"/>
    <n v="6"/>
    <n v="1"/>
    <n v="0"/>
    <n v="0"/>
    <s v=""/>
    <n v="4"/>
    <n v="0"/>
    <n v="0"/>
    <s v="assinatura"/>
    <n v="12799"/>
  </r>
  <r>
    <x v="19"/>
    <x v="6"/>
    <s v="6a7a8a85e3b391defc73b05d"/>
    <s v="10/08/2026 14:21:46"/>
    <s v="10/08/2026 23:35:49"/>
    <s v="Henrique"/>
    <s v="10/08/2026"/>
    <s v="Guapiaçu"/>
    <s v="2 ° Turno"/>
    <n v="100"/>
    <n v="2982"/>
    <s v="JOBILIANA APARECIDA MAXIMO BERGAMINI"/>
    <n v="16"/>
    <n v="16"/>
    <n v="4"/>
    <n v="4"/>
    <n v="2"/>
    <n v="20"/>
    <n v="0"/>
    <n v="0"/>
    <n v="0"/>
    <n v="0"/>
    <n v="0"/>
    <n v="0"/>
    <n v="0"/>
    <n v="0"/>
    <n v="4"/>
    <n v="4"/>
    <n v="0"/>
    <n v="0"/>
    <n v="0"/>
    <n v="0"/>
    <n v="3"/>
    <n v="3"/>
    <s v=""/>
    <n v="0"/>
    <n v="0"/>
    <n v="1"/>
    <n v="1"/>
    <s v=""/>
    <n v="4"/>
    <n v="4"/>
    <m/>
    <m/>
    <n v="3"/>
    <n v="3"/>
    <n v="0"/>
    <n v="0"/>
    <s v=""/>
    <n v="15"/>
    <n v="1"/>
    <n v="1"/>
    <n v="30"/>
    <n v="2"/>
    <n v="2"/>
    <n v="0"/>
    <n v="0"/>
    <n v="10"/>
    <n v="4"/>
    <n v="0"/>
    <n v="0"/>
    <s v=""/>
    <n v="0"/>
    <n v="0"/>
    <n v="0"/>
    <s v="assinatura"/>
    <n v="8690"/>
  </r>
  <r>
    <x v="19"/>
    <x v="6"/>
    <s v="6a79f704a0097a8c49fc7e98"/>
    <s v="10/08/2026 11:08:35"/>
    <s v="10/08/2026 13:06:28"/>
    <s v="Henrique"/>
    <s v="10/08/2026"/>
    <s v="Guapiaçu"/>
    <s v="1 ° Turno"/>
    <n v="145"/>
    <n v="2989"/>
    <s v="EDMAR FELIPE MARTINS"/>
    <n v="42"/>
    <n v="28.965517241379313"/>
    <n v="27"/>
    <n v="18.620689655172416"/>
    <n v="0"/>
    <n v="0"/>
    <n v="3"/>
    <n v="3"/>
    <n v="1"/>
    <n v="1"/>
    <n v="0"/>
    <n v="0"/>
    <n v="3"/>
    <n v="2.0689655172413794"/>
    <n v="3"/>
    <n v="2.0689655172413794"/>
    <n v="0"/>
    <n v="0"/>
    <n v="0"/>
    <n v="0"/>
    <n v="3"/>
    <n v="2.0689655172413794"/>
    <s v=""/>
    <n v="1"/>
    <n v="0.68965517241379315"/>
    <n v="1"/>
    <n v="0.68965517241379315"/>
    <s v=""/>
    <n v="4"/>
    <n v="2.7586206896551726"/>
    <m/>
    <m/>
    <n v="5"/>
    <n v="3.4482758620689653"/>
    <n v="1"/>
    <n v="0.68965517241379315"/>
    <s v=""/>
    <n v="19"/>
    <n v="2"/>
    <n v="2"/>
    <n v="38"/>
    <n v="4"/>
    <n v="4"/>
    <n v="1"/>
    <n v="0.68965517241379315"/>
    <n v="22"/>
    <n v="20"/>
    <s v=""/>
    <s v=""/>
    <s v=""/>
    <n v="0"/>
    <n v="0"/>
    <n v="1"/>
    <s v="assinatura"/>
    <n v="5342"/>
  </r>
  <r>
    <x v="19"/>
    <x v="6"/>
    <s v="6a79f703a0097a8c49fc7e86"/>
    <s v="10/08/2026 09:17:10"/>
    <s v="10/08/2026 13:06:27"/>
    <s v="Henrique"/>
    <s v="10/08/2026"/>
    <s v="Guapiaçu"/>
    <s v="1 ° Turno"/>
    <n v="135"/>
    <n v="2933"/>
    <s v="EDMAR FELIPE MARTINS"/>
    <n v="45"/>
    <n v="33.333333333333329"/>
    <n v="29"/>
    <n v="21.481481481481481"/>
    <n v="0"/>
    <n v="0"/>
    <n v="1"/>
    <n v="1"/>
    <n v="1"/>
    <n v="1"/>
    <n v="0"/>
    <n v="0"/>
    <n v="3"/>
    <n v="2.2222222222222223"/>
    <n v="2"/>
    <n v="1.4814814814814816"/>
    <n v="0"/>
    <n v="0"/>
    <n v="1"/>
    <n v="0.74074074074074081"/>
    <n v="4"/>
    <n v="2.9629629629629632"/>
    <s v=""/>
    <n v="1"/>
    <n v="0.74074074074074081"/>
    <n v="2"/>
    <n v="1.4814814814814816"/>
    <s v=""/>
    <n v="4"/>
    <n v="2.9629629629629632"/>
    <m/>
    <m/>
    <n v="5"/>
    <n v="3.7037037037037033"/>
    <n v="1"/>
    <n v="0.74074074074074081"/>
    <s v=""/>
    <n v="17"/>
    <n v="0"/>
    <n v="0"/>
    <n v="34"/>
    <n v="0"/>
    <n v="0"/>
    <n v="1"/>
    <n v="0.74074074074074081"/>
    <n v="26"/>
    <n v="23"/>
    <n v="1"/>
    <n v="10"/>
    <s v=""/>
    <n v="0"/>
    <n v="0"/>
    <n v="1"/>
    <s v=""/>
    <n v="111"/>
  </r>
  <r>
    <x v="19"/>
    <x v="6"/>
    <s v="6a79f703a0097a8c49fc7e59"/>
    <s v="10/08/2026 04:27:44"/>
    <s v="10/08/2026 13:06:27"/>
    <s v="Henrique"/>
    <s v="10/08/2026"/>
    <s v="Guapiaçu"/>
    <s v="1 ° Turno"/>
    <n v="140"/>
    <n v="3060"/>
    <s v="EDMAR FELIPE MARTINS"/>
    <n v="27"/>
    <n v="19.285714285714288"/>
    <n v="20"/>
    <n v="14.285714285714285"/>
    <n v="0"/>
    <n v="0"/>
    <n v="1"/>
    <n v="1"/>
    <n v="0"/>
    <n v="0"/>
    <n v="0"/>
    <n v="0"/>
    <n v="4"/>
    <n v="2.8571428571428572"/>
    <n v="1"/>
    <n v="0.7142857142857143"/>
    <n v="0"/>
    <n v="0"/>
    <n v="3"/>
    <n v="2.1428571428571428"/>
    <n v="8"/>
    <n v="5.7142857142857144"/>
    <s v=""/>
    <n v="2"/>
    <n v="1.4285714285714286"/>
    <n v="2"/>
    <n v="1.4285714285714286"/>
    <s v=""/>
    <n v="2"/>
    <n v="1.4285714285714286"/>
    <m/>
    <m/>
    <n v="4"/>
    <n v="2.8571428571428572"/>
    <n v="1"/>
    <n v="0.7142857142857143"/>
    <s v=""/>
    <n v="19"/>
    <n v="0"/>
    <n v="0"/>
    <n v="38"/>
    <n v="0"/>
    <n v="0"/>
    <n v="2"/>
    <n v="1.4285714285714286"/>
    <n v="24"/>
    <n v="19"/>
    <n v="1"/>
    <n v="10"/>
    <s v=""/>
    <s v=""/>
    <s v=""/>
    <s v=""/>
    <s v="assinatura"/>
    <n v="7655"/>
  </r>
  <r>
    <x v="20"/>
    <x v="6"/>
    <s v="6a7fcce8b557e8f899f6a6cd"/>
    <s v="14/08/2026 20:48:45"/>
    <s v="14/08/2026 23:20:24"/>
    <s v="Henrique"/>
    <s v="14/08/2026"/>
    <s v="Guapiaçu"/>
    <s v="2 ° Turno"/>
    <n v="157"/>
    <n v="2993"/>
    <s v="JOBILIANA APARECIDA MAXIMO BERGAMINI"/>
    <n v="21"/>
    <n v="21"/>
    <n v="10"/>
    <n v="10"/>
    <n v="0"/>
    <n v="0"/>
    <n v="0"/>
    <n v="0"/>
    <n v="0"/>
    <n v="0"/>
    <n v="0"/>
    <n v="0"/>
    <n v="1"/>
    <n v="0.31847133757961787"/>
    <n v="6"/>
    <n v="3.8216560509554141"/>
    <n v="0"/>
    <n v="0"/>
    <n v="0"/>
    <n v="0"/>
    <n v="4"/>
    <n v="2.547770700636943"/>
    <s v=""/>
    <n v="0"/>
    <n v="0"/>
    <n v="0"/>
    <n v="0"/>
    <s v=""/>
    <n v="6"/>
    <n v="3.8216560509554141"/>
    <m/>
    <m/>
    <n v="4"/>
    <n v="2.547770700636943"/>
    <n v="0"/>
    <n v="0"/>
    <s v=""/>
    <n v="5"/>
    <n v="0"/>
    <n v="1"/>
    <n v="10"/>
    <n v="0"/>
    <n v="2"/>
    <n v="0"/>
    <n v="0"/>
    <n v="10"/>
    <n v="7"/>
    <n v="0"/>
    <n v="0"/>
    <s v=""/>
    <s v=""/>
    <s v=""/>
    <s v=""/>
    <s v=""/>
    <n v="3451"/>
  </r>
  <r>
    <x v="20"/>
    <x v="6"/>
    <s v="6a7fcce7b557e8f899f6a6c1"/>
    <s v="14/08/2026 19:21:24"/>
    <s v="14/08/2026 23:20:23"/>
    <s v="Henrique"/>
    <s v="14/08/2026"/>
    <s v="Guapiaçu"/>
    <s v="2 ° Turno"/>
    <n v="149"/>
    <n v="2996"/>
    <s v="JOBILIANA APARECIDA MAXIMO BERGAMINI"/>
    <n v="17"/>
    <n v="17"/>
    <n v="7"/>
    <n v="7.0000000000000009"/>
    <n v="1"/>
    <n v="10"/>
    <n v="1"/>
    <n v="1"/>
    <n v="0"/>
    <n v="0"/>
    <n v="0"/>
    <n v="0"/>
    <n v="3"/>
    <n v="1.006711409395973"/>
    <n v="16"/>
    <n v="10.738255033557047"/>
    <n v="0"/>
    <n v="0"/>
    <n v="0"/>
    <n v="0"/>
    <n v="5"/>
    <n v="3.3557046979865772"/>
    <s v=""/>
    <n v="0"/>
    <n v="0"/>
    <n v="0"/>
    <n v="0"/>
    <s v=""/>
    <n v="9"/>
    <n v="6.0402684563758395"/>
    <m/>
    <m/>
    <n v="6"/>
    <n v="4.0268456375838921"/>
    <n v="2"/>
    <n v="1.3422818791946309"/>
    <s v=""/>
    <n v="18"/>
    <n v="0"/>
    <n v="1"/>
    <n v="36"/>
    <n v="0"/>
    <n v="2"/>
    <n v="0"/>
    <n v="0"/>
    <n v="10"/>
    <n v="5"/>
    <n v="0"/>
    <n v="0"/>
    <s v=""/>
    <n v="7"/>
    <n v="0"/>
    <n v="0"/>
    <s v="assinatura"/>
    <n v="8483"/>
  </r>
  <r>
    <x v="20"/>
    <x v="6"/>
    <s v="6a7fcce7b557e8f899f6a697"/>
    <s v="14/08/2026 14:19:41"/>
    <s v="14/08/2026 23:20:23"/>
    <s v="Henrique"/>
    <s v="14/08/2026"/>
    <s v="Guapiaçu"/>
    <s v="2 ° Turno"/>
    <n v="130"/>
    <n v="2614"/>
    <s v="JOBILIANA APARECIDA MAXIMO BERGAMINI"/>
    <n v="21"/>
    <n v="21"/>
    <n v="12"/>
    <n v="12"/>
    <n v="1"/>
    <n v="10"/>
    <n v="0"/>
    <n v="0"/>
    <n v="0"/>
    <n v="0"/>
    <n v="0"/>
    <n v="0"/>
    <n v="2"/>
    <n v="0.76923076923076927"/>
    <n v="8"/>
    <n v="6.1538461538461542"/>
    <n v="0"/>
    <n v="0"/>
    <n v="0"/>
    <n v="0"/>
    <n v="3"/>
    <n v="2.3076923076923079"/>
    <s v=""/>
    <s v=""/>
    <s v=""/>
    <n v="0"/>
    <n v="0"/>
    <s v=""/>
    <n v="4"/>
    <n v="3.0769230769230771"/>
    <m/>
    <m/>
    <n v="4"/>
    <n v="3.0769230769230771"/>
    <n v="0"/>
    <n v="0"/>
    <s v=""/>
    <n v="10"/>
    <n v="0"/>
    <n v="0"/>
    <n v="20"/>
    <n v="0"/>
    <n v="0"/>
    <n v="0"/>
    <n v="0"/>
    <n v="6"/>
    <n v="4"/>
    <n v="0"/>
    <n v="0"/>
    <s v=""/>
    <s v=""/>
    <s v=""/>
    <s v=""/>
    <s v="assinatura"/>
    <n v="12095"/>
  </r>
  <r>
    <x v="20"/>
    <x v="6"/>
    <s v="6a7f4047f420bb04b02c049b"/>
    <s v="14/08/2026 11:40:20"/>
    <s v="14/08/2026 13:20:23"/>
    <s v="Henrique"/>
    <s v="14/08/2026"/>
    <s v="Guapiaçu"/>
    <s v="1 ° Turno"/>
    <n v="150"/>
    <n v="2601"/>
    <s v="EDMAR FELIPE MARTINS"/>
    <n v="30"/>
    <n v="30"/>
    <n v="17"/>
    <n v="17"/>
    <n v="0"/>
    <n v="0"/>
    <n v="1"/>
    <n v="1"/>
    <n v="1"/>
    <n v="1"/>
    <n v="0"/>
    <n v="0"/>
    <n v="2"/>
    <n v="0.66666666666666674"/>
    <n v="4"/>
    <n v="2.666666666666667"/>
    <n v="0"/>
    <n v="0"/>
    <n v="0"/>
    <n v="0"/>
    <n v="6"/>
    <n v="4"/>
    <s v=""/>
    <n v="3"/>
    <n v="2"/>
    <n v="2"/>
    <n v="1.3333333333333335"/>
    <s v=""/>
    <n v="4"/>
    <n v="2.666666666666667"/>
    <m/>
    <m/>
    <n v="5"/>
    <n v="3.3333333333333335"/>
    <n v="1"/>
    <n v="0.66666666666666674"/>
    <s v=""/>
    <n v="19"/>
    <n v="0"/>
    <n v="0"/>
    <n v="38"/>
    <n v="0"/>
    <n v="0"/>
    <n v="1"/>
    <n v="0.66666666666666674"/>
    <n v="25"/>
    <n v="20"/>
    <n v="1"/>
    <n v="10"/>
    <s v=""/>
    <s v=""/>
    <s v=""/>
    <s v=""/>
    <s v=""/>
    <n v="3512"/>
  </r>
  <r>
    <x v="20"/>
    <x v="6"/>
    <s v="6a7f4047f420bb04b02c0477"/>
    <s v="14/08/2026 06:51:23"/>
    <s v="14/08/2026 13:20:23"/>
    <s v="Henrique"/>
    <s v="14/08/2026"/>
    <s v="Guapiaçu"/>
    <s v="1 ° Turno"/>
    <n v="161"/>
    <n v="2766"/>
    <s v="EDMAR FELIPE MARTINS"/>
    <n v="29"/>
    <n v="28.999999999999996"/>
    <n v="16"/>
    <n v="16"/>
    <n v="0"/>
    <n v="0"/>
    <n v="4"/>
    <n v="4"/>
    <n v="1"/>
    <n v="1"/>
    <n v="0"/>
    <n v="0"/>
    <n v="2"/>
    <n v="0.6211180124223602"/>
    <n v="5"/>
    <n v="3.1055900621118013"/>
    <n v="0"/>
    <n v="0"/>
    <n v="1"/>
    <n v="0.6211180124223602"/>
    <n v="5"/>
    <n v="3.1055900621118013"/>
    <s v=""/>
    <n v="3"/>
    <n v="1.8633540372670807"/>
    <n v="2"/>
    <n v="1.2422360248447204"/>
    <s v=""/>
    <n v="6"/>
    <n v="3.7267080745341614"/>
    <m/>
    <m/>
    <n v="5"/>
    <n v="3.1055900621118013"/>
    <n v="1"/>
    <n v="0.6211180124223602"/>
    <s v=""/>
    <n v="21"/>
    <n v="2"/>
    <n v="2"/>
    <n v="42"/>
    <n v="4"/>
    <n v="4"/>
    <n v="2"/>
    <n v="1.2422360248447204"/>
    <n v="26"/>
    <n v="20"/>
    <n v="0"/>
    <n v="0"/>
    <s v=""/>
    <n v="1"/>
    <n v="0"/>
    <n v="1"/>
    <s v="assinatura"/>
    <n v="3294"/>
  </r>
  <r>
    <x v="20"/>
    <x v="6"/>
    <s v="6a7f4046f420bb04b02c045f"/>
    <s v="14/08/2026 04:28:05"/>
    <s v="14/08/2026 13:20:22"/>
    <s v="Henrique"/>
    <s v="14/08/2026"/>
    <s v="Guapiaçu"/>
    <s v="1 ° Turno"/>
    <n v="156"/>
    <n v="2600"/>
    <s v="EDMAR FELIPE MARTINS"/>
    <n v="33"/>
    <n v="33"/>
    <n v="15"/>
    <n v="15"/>
    <n v="0"/>
    <n v="0"/>
    <n v="1"/>
    <n v="1"/>
    <n v="0"/>
    <n v="0"/>
    <n v="0"/>
    <n v="0"/>
    <n v="2"/>
    <n v="0.64102564102564097"/>
    <n v="4"/>
    <n v="2.5641025641025639"/>
    <n v="0"/>
    <n v="0"/>
    <n v="2"/>
    <n v="1.2820512820512819"/>
    <n v="6"/>
    <n v="3.8461538461538463"/>
    <s v=""/>
    <n v="2"/>
    <n v="1.2820512820512819"/>
    <n v="1"/>
    <n v="0.64102564102564097"/>
    <s v=""/>
    <n v="4"/>
    <n v="2.5641025641025639"/>
    <m/>
    <m/>
    <n v="5"/>
    <n v="3.2051282051282048"/>
    <n v="1"/>
    <n v="0.64102564102564097"/>
    <s v=""/>
    <n v="19"/>
    <n v="2"/>
    <n v="2"/>
    <n v="38"/>
    <n v="4"/>
    <n v="4"/>
    <n v="2"/>
    <n v="1.2820512820512819"/>
    <n v="27"/>
    <n v="19"/>
    <n v="0"/>
    <n v="0"/>
    <s v=""/>
    <s v=""/>
    <s v=""/>
    <s v=""/>
    <s v="assinatura"/>
    <n v="1679"/>
  </r>
  <r>
    <x v="21"/>
    <x v="6"/>
    <s v="6a7e7c458646cdc8463ed87c"/>
    <s v="13/08/2026 18:10:46"/>
    <s v="13/08/2026 23:24:05"/>
    <s v="Henrique"/>
    <s v="13/08/2026"/>
    <s v="Guapiaçu"/>
    <s v="2 ° Turno"/>
    <n v="139"/>
    <n v="2815"/>
    <s v="JOBILIANA APARECIDA MAXIMO BERGAMINI"/>
    <n v="15"/>
    <n v="15"/>
    <n v="3"/>
    <n v="3"/>
    <n v="1"/>
    <n v="10"/>
    <n v="0"/>
    <n v="0"/>
    <n v="0"/>
    <n v="0"/>
    <n v="1"/>
    <n v="5"/>
    <n v="3"/>
    <n v="1.079136690647482"/>
    <n v="5"/>
    <n v="3.5971223021582732"/>
    <n v="0"/>
    <n v="0"/>
    <n v="0"/>
    <n v="0"/>
    <n v="4"/>
    <n v="2.877697841726619"/>
    <s v=""/>
    <n v="0"/>
    <n v="0"/>
    <n v="0"/>
    <n v="0"/>
    <s v=""/>
    <n v="4"/>
    <n v="2.877697841726619"/>
    <m/>
    <m/>
    <n v="1"/>
    <n v="0.71942446043165476"/>
    <n v="0"/>
    <n v="0"/>
    <s v=""/>
    <n v="10"/>
    <n v="0"/>
    <n v="0"/>
    <n v="20"/>
    <n v="0"/>
    <n v="0"/>
    <n v="0"/>
    <n v="0"/>
    <n v="5"/>
    <n v="2"/>
    <n v="0"/>
    <n v="0"/>
    <s v=""/>
    <n v="4"/>
    <n v="0"/>
    <n v="0"/>
    <s v="assinatura"/>
    <n v="11268"/>
  </r>
  <r>
    <x v="21"/>
    <x v="6"/>
    <s v="6a7e7c458646cdc8463ed85c"/>
    <s v="13/08/2026 14:18:33"/>
    <s v="13/08/2026 23:24:05"/>
    <s v="Henrique"/>
    <s v="13/08/2026"/>
    <s v="Guapiaçu"/>
    <s v="2 ° Turno"/>
    <n v="140"/>
    <n v="2852"/>
    <s v="JOBILIANA APARECIDA MAXIMO BERGAMINI"/>
    <n v="21"/>
    <n v="21"/>
    <n v="16"/>
    <n v="16"/>
    <n v="1"/>
    <n v="10"/>
    <n v="0"/>
    <n v="0"/>
    <n v="0"/>
    <n v="0"/>
    <n v="0"/>
    <n v="0"/>
    <n v="5"/>
    <n v="1.7857142857142856"/>
    <n v="7"/>
    <n v="5"/>
    <n v="0"/>
    <n v="0"/>
    <n v="1"/>
    <n v="0.7142857142857143"/>
    <n v="3"/>
    <n v="2.1428571428571428"/>
    <s v=""/>
    <n v="0"/>
    <n v="0"/>
    <n v="0"/>
    <n v="0"/>
    <s v=""/>
    <n v="3"/>
    <n v="2.1428571428571428"/>
    <m/>
    <m/>
    <n v="3"/>
    <n v="2.1428571428571428"/>
    <n v="0"/>
    <n v="0"/>
    <s v=""/>
    <n v="14"/>
    <n v="0"/>
    <n v="0"/>
    <n v="28"/>
    <n v="0"/>
    <n v="0"/>
    <n v="0"/>
    <n v="0"/>
    <n v="6"/>
    <n v="4"/>
    <n v="0"/>
    <n v="0"/>
    <s v=""/>
    <n v="4"/>
    <n v="0"/>
    <n v="0"/>
    <s v="assinatura"/>
    <n v="9964"/>
  </r>
  <r>
    <x v="21"/>
    <x v="6"/>
    <s v="6a7df522b557e8f899f30886"/>
    <s v="13/08/2026 11:35:05"/>
    <s v="13/08/2026 13:47:30"/>
    <s v="Henrique"/>
    <s v="13/08/2026"/>
    <s v="Guapiaçu"/>
    <s v="1 ° Turno"/>
    <n v="160"/>
    <n v="2890"/>
    <s v="EDMAR FELIPE MARTINS"/>
    <n v="25"/>
    <n v="25"/>
    <n v="13"/>
    <n v="13"/>
    <n v="0"/>
    <n v="0"/>
    <n v="4"/>
    <n v="4"/>
    <n v="1"/>
    <n v="1"/>
    <n v="0"/>
    <n v="0"/>
    <n v="2"/>
    <n v="0.625"/>
    <n v="4"/>
    <n v="2.5"/>
    <n v="0"/>
    <n v="0"/>
    <n v="1"/>
    <n v="0.625"/>
    <n v="5"/>
    <n v="3.125"/>
    <s v=""/>
    <n v="1"/>
    <n v="0.625"/>
    <n v="1"/>
    <n v="0.625"/>
    <s v=""/>
    <n v="5"/>
    <n v="3.125"/>
    <m/>
    <m/>
    <n v="5"/>
    <n v="3.125"/>
    <n v="1"/>
    <n v="0.625"/>
    <s v=""/>
    <n v="19"/>
    <n v="0"/>
    <n v="0"/>
    <n v="38"/>
    <n v="0"/>
    <n v="0"/>
    <n v="0"/>
    <n v="0"/>
    <n v="28"/>
    <n v="20"/>
    <n v="1"/>
    <n v="10"/>
    <s v=""/>
    <n v="0"/>
    <n v="0"/>
    <n v="1"/>
    <s v="assinatura"/>
    <n v="2074"/>
  </r>
  <r>
    <x v="21"/>
    <x v="6"/>
    <s v="6a7df521b557e8f899f30862"/>
    <s v="13/08/2026 06:56:48"/>
    <s v="13/08/2026 13:47:29"/>
    <s v="Henrique"/>
    <s v="13/08/2026"/>
    <s v="Guapiaçu"/>
    <s v="1 ° Turno"/>
    <n v="151"/>
    <n v="2931"/>
    <s v="EDMAR FELIPE MARTINS"/>
    <n v="39"/>
    <n v="39"/>
    <n v="17"/>
    <n v="17"/>
    <n v="0"/>
    <n v="0"/>
    <n v="2"/>
    <n v="2"/>
    <n v="1"/>
    <n v="1"/>
    <n v="0"/>
    <n v="0"/>
    <n v="2"/>
    <n v="0.66225165562913912"/>
    <n v="3"/>
    <n v="1.9867549668874174"/>
    <n v="0"/>
    <n v="0"/>
    <n v="2"/>
    <n v="1.3245033112582782"/>
    <n v="5"/>
    <n v="3.3112582781456954"/>
    <s v=""/>
    <n v="1"/>
    <n v="0.66225165562913912"/>
    <n v="2"/>
    <n v="1.3245033112582782"/>
    <s v=""/>
    <n v="5"/>
    <n v="3.3112582781456954"/>
    <m/>
    <m/>
    <n v="6"/>
    <n v="3.9735099337748347"/>
    <n v="1"/>
    <n v="0.66225165562913912"/>
    <s v=""/>
    <n v="19"/>
    <n v="2"/>
    <n v="2"/>
    <n v="38"/>
    <n v="4"/>
    <n v="4"/>
    <n v="1"/>
    <n v="0.66225165562913912"/>
    <n v="28"/>
    <n v="22"/>
    <n v="1"/>
    <n v="10"/>
    <s v=""/>
    <n v="0"/>
    <n v="0"/>
    <n v="2"/>
    <s v="assinatura"/>
    <n v="14672"/>
  </r>
  <r>
    <x v="21"/>
    <x v="6"/>
    <s v="6a7df521b557e8f899f3084a"/>
    <s v="13/08/2026 04:34:07"/>
    <s v="13/08/2026 13:47:29"/>
    <s v="Henrique"/>
    <s v="13/08/2026"/>
    <s v="Guapiaçu"/>
    <s v="1 ° Turno"/>
    <n v="150"/>
    <n v="2900"/>
    <s v="EDMAR FELIPE MARTINS"/>
    <n v="11"/>
    <n v="11"/>
    <n v="3"/>
    <n v="3"/>
    <n v="0"/>
    <n v="0"/>
    <n v="1"/>
    <n v="1"/>
    <n v="0"/>
    <n v="0"/>
    <n v="0"/>
    <n v="0"/>
    <n v="2"/>
    <n v="0.66666666666666674"/>
    <n v="4"/>
    <n v="2.666666666666667"/>
    <n v="0"/>
    <n v="0"/>
    <n v="2"/>
    <n v="1.3333333333333335"/>
    <n v="5"/>
    <n v="3.3333333333333335"/>
    <s v=""/>
    <n v="3"/>
    <n v="2"/>
    <n v="1"/>
    <n v="0.66666666666666674"/>
    <s v=""/>
    <n v="4"/>
    <n v="2.666666666666667"/>
    <m/>
    <m/>
    <n v="5"/>
    <n v="3.3333333333333335"/>
    <n v="1"/>
    <n v="0.66666666666666674"/>
    <s v=""/>
    <n v="16"/>
    <n v="0"/>
    <n v="0"/>
    <n v="32"/>
    <n v="0"/>
    <n v="0"/>
    <n v="2"/>
    <n v="1.3333333333333335"/>
    <n v="27"/>
    <n v="19"/>
    <n v="1"/>
    <n v="10"/>
    <s v=""/>
    <s v=""/>
    <s v=""/>
    <s v=""/>
    <s v="assinatura"/>
    <n v="1737"/>
  </r>
  <r>
    <x v="22"/>
    <x v="6"/>
    <s v="6a7d254a4674393fba45fa99"/>
    <s v="12/08/2026 21:24:42"/>
    <s v="12/08/2026 23:00:42"/>
    <s v="Henrique"/>
    <s v="12/08/2026"/>
    <s v="Guapiaçu"/>
    <s v="2 ° Turno"/>
    <n v="139"/>
    <n v="3088"/>
    <s v="JOBILIANA APARECIDA MAXIMO BERGAMINI"/>
    <n v="20"/>
    <n v="20"/>
    <n v="15"/>
    <n v="15"/>
    <n v="1"/>
    <n v="10"/>
    <n v="0"/>
    <n v="0"/>
    <n v="0"/>
    <n v="0"/>
    <n v="0"/>
    <n v="0"/>
    <n v="2"/>
    <n v="0.71942446043165476"/>
    <n v="4"/>
    <n v="2.877697841726619"/>
    <n v="0"/>
    <n v="0"/>
    <n v="0"/>
    <n v="0"/>
    <n v="4"/>
    <n v="2.877697841726619"/>
    <s v=""/>
    <n v="1"/>
    <n v="0.71942446043165476"/>
    <n v="0"/>
    <n v="0"/>
    <s v=""/>
    <n v="4"/>
    <n v="2.877697841726619"/>
    <m/>
    <m/>
    <n v="6"/>
    <n v="4.3165467625899279"/>
    <n v="0"/>
    <n v="0"/>
    <s v=""/>
    <n v="16"/>
    <n v="0"/>
    <n v="0"/>
    <n v="32"/>
    <n v="0"/>
    <n v="0"/>
    <n v="0"/>
    <n v="0"/>
    <n v="5"/>
    <n v="4"/>
    <n v="0"/>
    <n v="0"/>
    <s v=""/>
    <n v="1"/>
    <n v="0"/>
    <n v="0"/>
    <s v="assinatura"/>
    <n v="183"/>
  </r>
  <r>
    <x v="22"/>
    <x v="6"/>
    <s v="6a7d25494674393fba45fa87"/>
    <s v="12/08/2026 19:18:03"/>
    <s v="12/08/2026 23:00:41"/>
    <s v="Henrique"/>
    <s v="12/08/2026"/>
    <s v="Guapiaçu"/>
    <s v="2 ° Turno"/>
    <n v="140"/>
    <n v="3136"/>
    <s v="JOBILIANA APARECIDA MAXIMO BERGAMINI"/>
    <n v="15"/>
    <n v="15"/>
    <n v="8"/>
    <n v="8"/>
    <n v="2"/>
    <n v="20"/>
    <n v="0"/>
    <n v="0"/>
    <n v="0"/>
    <n v="0"/>
    <n v="1"/>
    <n v="5"/>
    <n v="2"/>
    <n v="0.7142857142857143"/>
    <n v="4"/>
    <n v="2.8571428571428572"/>
    <n v="0"/>
    <n v="0"/>
    <n v="2"/>
    <n v="1.4285714285714286"/>
    <n v="4"/>
    <n v="2.8571428571428572"/>
    <s v=""/>
    <n v="2"/>
    <n v="1.4285714285714286"/>
    <n v="0"/>
    <n v="0"/>
    <s v=""/>
    <n v="2"/>
    <n v="1.4285714285714286"/>
    <m/>
    <m/>
    <n v="5"/>
    <n v="3.5714285714285712"/>
    <n v="1"/>
    <n v="0.7142857142857143"/>
    <s v=""/>
    <n v="9"/>
    <n v="0"/>
    <n v="0"/>
    <n v="18"/>
    <n v="0"/>
    <n v="0"/>
    <n v="2"/>
    <n v="1.4285714285714286"/>
    <n v="3"/>
    <n v="4"/>
    <n v="0"/>
    <n v="0"/>
    <s v=""/>
    <n v="4"/>
    <n v="0"/>
    <n v="0"/>
    <s v="assinatura"/>
    <n v="7136"/>
  </r>
  <r>
    <x v="22"/>
    <x v="6"/>
    <s v="6a7d25484674393fba45fa63"/>
    <s v="12/08/2026 14:17:38"/>
    <s v="12/08/2026 23:00:40"/>
    <s v="Henrique"/>
    <s v="12/08/2026"/>
    <s v="Guapiaçu"/>
    <s v="2 ° Turno"/>
    <n v="145"/>
    <n v="2878"/>
    <s v="JOBILIANA APARECIDA MAXIMO BERGAMINI"/>
    <n v="22"/>
    <n v="22"/>
    <n v="16"/>
    <n v="16"/>
    <n v="0"/>
    <n v="0"/>
    <n v="2"/>
    <n v="2"/>
    <n v="0"/>
    <n v="0"/>
    <n v="0"/>
    <n v="0"/>
    <n v="3"/>
    <n v="1.0344827586206897"/>
    <n v="3"/>
    <n v="2.0689655172413794"/>
    <n v="0"/>
    <n v="0"/>
    <n v="2"/>
    <n v="1.3793103448275863"/>
    <n v="3"/>
    <n v="2.0689655172413794"/>
    <s v=""/>
    <n v="1"/>
    <n v="0.68965517241379315"/>
    <s v=""/>
    <s v=""/>
    <s v=""/>
    <n v="3"/>
    <n v="2.0689655172413794"/>
    <m/>
    <m/>
    <n v="4"/>
    <n v="2.7586206896551726"/>
    <n v="0"/>
    <n v="0"/>
    <s v=""/>
    <n v="6"/>
    <n v="0"/>
    <n v="0"/>
    <n v="12"/>
    <n v="0"/>
    <n v="0"/>
    <n v="0"/>
    <n v="0"/>
    <n v="6"/>
    <n v="2"/>
    <n v="0"/>
    <n v="0"/>
    <s v=""/>
    <n v="0"/>
    <n v="0"/>
    <n v="0"/>
    <s v="assinatura"/>
    <n v="9757"/>
  </r>
  <r>
    <x v="22"/>
    <x v="6"/>
    <s v="6a7c9c0090ddbef31f74c840"/>
    <s v="12/08/2026 11:32:04"/>
    <s v="12/08/2026 13:14:56"/>
    <s v="Henrique"/>
    <s v="12/08/2026"/>
    <s v="Guapiaçu"/>
    <s v="1 ° Turno"/>
    <n v="161"/>
    <n v="2792"/>
    <s v="EDMAR FELIPE MARTINS"/>
    <n v="27"/>
    <n v="27"/>
    <n v="7"/>
    <n v="7.0000000000000009"/>
    <n v="0"/>
    <n v="0"/>
    <n v="2"/>
    <n v="2"/>
    <n v="1"/>
    <n v="1"/>
    <n v="0"/>
    <n v="0"/>
    <n v="1"/>
    <n v="0.3105590062111801"/>
    <n v="4"/>
    <n v="2.4844720496894408"/>
    <n v="0"/>
    <n v="0"/>
    <n v="0"/>
    <n v="0"/>
    <n v="7"/>
    <n v="4.3478260869565215"/>
    <s v=""/>
    <n v="2"/>
    <n v="1.2422360248447204"/>
    <n v="1"/>
    <n v="0.6211180124223602"/>
    <s v=""/>
    <n v="3"/>
    <n v="1.8633540372670807"/>
    <m/>
    <m/>
    <n v="4"/>
    <n v="2.4844720496894408"/>
    <n v="0"/>
    <n v="0"/>
    <s v=""/>
    <n v="18"/>
    <n v="0"/>
    <n v="0"/>
    <n v="36"/>
    <n v="0"/>
    <n v="0"/>
    <n v="1"/>
    <n v="0.6211180124223602"/>
    <n v="29"/>
    <n v="17"/>
    <n v="1"/>
    <n v="10"/>
    <s v=""/>
    <s v=""/>
    <s v=""/>
    <s v=""/>
    <s v="assinatura"/>
    <n v="3554"/>
  </r>
  <r>
    <x v="22"/>
    <x v="6"/>
    <s v="6a7c9c0090ddbef31f74c81c"/>
    <s v="12/08/2026 07:06:01"/>
    <s v="12/08/2026 13:14:56"/>
    <s v="Henrique"/>
    <s v="12/08/2026"/>
    <s v="Guapiaçu"/>
    <s v="1 ° Turno"/>
    <n v="150"/>
    <n v="2871"/>
    <s v="EDMAR FELIPE MARTINS"/>
    <n v="38"/>
    <n v="38"/>
    <n v="20"/>
    <n v="20"/>
    <n v="0"/>
    <n v="0"/>
    <n v="3"/>
    <n v="3"/>
    <n v="1"/>
    <n v="1"/>
    <n v="0"/>
    <n v="0"/>
    <n v="3"/>
    <n v="1"/>
    <n v="4"/>
    <n v="2.666666666666667"/>
    <n v="0"/>
    <n v="0"/>
    <n v="1"/>
    <n v="0.66666666666666674"/>
    <n v="6"/>
    <n v="4"/>
    <s v=""/>
    <n v="2"/>
    <n v="1.3333333333333335"/>
    <n v="2"/>
    <n v="1.3333333333333335"/>
    <s v=""/>
    <n v="5"/>
    <n v="3.3333333333333335"/>
    <m/>
    <m/>
    <n v="6"/>
    <n v="4"/>
    <n v="1"/>
    <n v="0.66666666666666674"/>
    <s v=""/>
    <n v="15"/>
    <s v=""/>
    <n v="0"/>
    <n v="30"/>
    <s v=""/>
    <n v="0"/>
    <n v="1"/>
    <n v="0.66666666666666674"/>
    <n v="29"/>
    <n v="20"/>
    <n v="1"/>
    <n v="10"/>
    <s v=""/>
    <n v="0"/>
    <n v="0"/>
    <n v="1"/>
    <s v="assinatura"/>
    <n v="3566"/>
  </r>
  <r>
    <x v="22"/>
    <x v="6"/>
    <s v="6a7c9c0090ddbef31f74c804"/>
    <s v="12/08/2026 04:33:18"/>
    <s v="12/08/2026 13:14:56"/>
    <s v="Henrique"/>
    <s v="12/08/2026"/>
    <s v="Guapiaçu"/>
    <s v="1 ° Turno"/>
    <n v="161"/>
    <n v="2860"/>
    <s v="EDMAR FELIPE MARTINS"/>
    <n v="40"/>
    <n v="40"/>
    <n v="25"/>
    <n v="25"/>
    <n v="0"/>
    <n v="0"/>
    <n v="1"/>
    <n v="1"/>
    <n v="1"/>
    <n v="1"/>
    <n v="0"/>
    <n v="0"/>
    <n v="2"/>
    <n v="0.6211180124223602"/>
    <n v="4"/>
    <n v="2.4844720496894408"/>
    <n v="0"/>
    <n v="0"/>
    <n v="2"/>
    <n v="1.2422360248447204"/>
    <n v="6"/>
    <n v="3.7267080745341614"/>
    <s v=""/>
    <n v="1"/>
    <n v="0.6211180124223602"/>
    <n v="2"/>
    <n v="1.2422360248447204"/>
    <s v=""/>
    <n v="4"/>
    <n v="2.4844720496894408"/>
    <m/>
    <m/>
    <n v="5"/>
    <n v="3.1055900621118013"/>
    <n v="1"/>
    <n v="0.6211180124223602"/>
    <s v=""/>
    <n v="18"/>
    <n v="0"/>
    <n v="0"/>
    <n v="36"/>
    <n v="0"/>
    <n v="0"/>
    <n v="3"/>
    <n v="1.8633540372670807"/>
    <n v="25"/>
    <n v="14"/>
    <n v="0"/>
    <n v="0"/>
    <s v=""/>
    <s v=""/>
    <s v=""/>
    <s v=""/>
    <s v="assinatura"/>
    <n v="1832"/>
  </r>
  <r>
    <x v="23"/>
    <x v="6"/>
    <s v="6a7bdbb38646cdc84639c1e3"/>
    <s v="11/08/2026 20:18:31"/>
    <s v="11/08/2026 23:34:27"/>
    <s v="Henrique"/>
    <s v="11/08/2026"/>
    <s v="Guapiaçu"/>
    <s v="2 ° Turno"/>
    <n v="151"/>
    <n v="2812"/>
    <s v="JOBILIANA APARECIDA MAXIMO BERGAMINI"/>
    <n v="20"/>
    <n v="20"/>
    <n v="15"/>
    <n v="15"/>
    <n v="3"/>
    <n v="30"/>
    <n v="0"/>
    <n v="0"/>
    <n v="0"/>
    <n v="0"/>
    <n v="0"/>
    <n v="0"/>
    <n v="4"/>
    <n v="1.3245033112582782"/>
    <n v="3"/>
    <n v="1.9867549668874174"/>
    <n v="0"/>
    <n v="0"/>
    <n v="0"/>
    <n v="0"/>
    <n v="6"/>
    <n v="3.9735099337748347"/>
    <s v=""/>
    <n v="1"/>
    <n v="0.66225165562913912"/>
    <n v="0"/>
    <n v="0"/>
    <s v=""/>
    <n v="7"/>
    <n v="4.6357615894039732"/>
    <m/>
    <m/>
    <n v="4"/>
    <n v="2.6490066225165565"/>
    <n v="0"/>
    <n v="0"/>
    <s v=""/>
    <n v="12"/>
    <n v="0"/>
    <n v="0"/>
    <n v="24"/>
    <n v="0"/>
    <n v="0"/>
    <n v="0"/>
    <n v="0"/>
    <n v="7"/>
    <n v="3"/>
    <n v="0"/>
    <n v="0"/>
    <s v=""/>
    <n v="3"/>
    <n v="0"/>
    <n v="0"/>
    <s v="assinatura"/>
    <n v="4618"/>
  </r>
  <r>
    <x v="23"/>
    <x v="6"/>
    <s v="6a7bdbb38646cdc84639c1d1"/>
    <s v="11/08/2026 19:15:37"/>
    <s v="11/08/2026 23:34:27"/>
    <s v="Henrique"/>
    <s v="11/08/2026"/>
    <s v="Guapiaçu"/>
    <s v="2 ° Turno"/>
    <n v="78"/>
    <n v="2978"/>
    <s v="JOBILIANA APARECIDA MAXIMO BERGAMINI"/>
    <n v="16"/>
    <n v="16"/>
    <n v="8"/>
    <n v="8"/>
    <n v="2"/>
    <n v="20"/>
    <n v="4"/>
    <n v="4"/>
    <n v="0"/>
    <n v="0"/>
    <n v="2"/>
    <n v="10"/>
    <n v="4"/>
    <n v="2.5641025641025639"/>
    <n v="2"/>
    <n v="2.5641025641025639"/>
    <n v="0"/>
    <n v="0"/>
    <n v="1"/>
    <n v="1.2820512820512819"/>
    <n v="3"/>
    <n v="3.8461538461538463"/>
    <s v=""/>
    <n v="4"/>
    <n v="5.1282051282051277"/>
    <n v="0"/>
    <n v="0"/>
    <s v=""/>
    <n v="5"/>
    <n v="6.4102564102564097"/>
    <m/>
    <m/>
    <n v="7"/>
    <n v="8.9743589743589745"/>
    <n v="0"/>
    <n v="0"/>
    <s v=""/>
    <n v="17"/>
    <n v="0"/>
    <n v="1"/>
    <n v="34"/>
    <n v="0"/>
    <n v="2"/>
    <n v="1"/>
    <n v="1.2820512820512819"/>
    <n v="12"/>
    <n v="4"/>
    <n v="0"/>
    <n v="0"/>
    <s v=""/>
    <n v="3"/>
    <n v="0"/>
    <n v="0"/>
    <s v="assinatura"/>
    <n v="8351"/>
  </r>
  <r>
    <x v="23"/>
    <x v="6"/>
    <s v="6a7bdbb28646cdc84639c1ab"/>
    <s v="11/08/2026 14:17:37"/>
    <s v="11/08/2026 23:34:26"/>
    <s v="Henrique"/>
    <s v="11/08/2026"/>
    <s v="Guapiaçu"/>
    <s v="2 ° Turno"/>
    <n v="130"/>
    <n v="2946"/>
    <s v="JOBILIANA APARECIDA MAXIMO BERGAMINI"/>
    <n v="37"/>
    <n v="37"/>
    <n v="23"/>
    <n v="23"/>
    <n v="0"/>
    <n v="0"/>
    <n v="1"/>
    <n v="1"/>
    <n v="0"/>
    <n v="0"/>
    <n v="1"/>
    <n v="5"/>
    <n v="4"/>
    <n v="1.5384615384615385"/>
    <n v="12"/>
    <n v="9.2307692307692317"/>
    <n v="0"/>
    <n v="0"/>
    <n v="1"/>
    <n v="0.76923076923076927"/>
    <n v="4"/>
    <n v="3.0769230769230771"/>
    <s v=""/>
    <n v="6"/>
    <n v="4.6153846153846159"/>
    <n v="0"/>
    <n v="0"/>
    <s v=""/>
    <n v="13"/>
    <n v="10"/>
    <m/>
    <m/>
    <n v="3"/>
    <n v="2.3076923076923079"/>
    <n v="0"/>
    <n v="0"/>
    <s v=""/>
    <n v="10"/>
    <n v="0"/>
    <n v="0"/>
    <n v="20"/>
    <n v="0"/>
    <n v="0"/>
    <n v="1"/>
    <n v="0.76923076923076927"/>
    <n v="15"/>
    <n v="9"/>
    <n v="1"/>
    <n v="10"/>
    <s v=""/>
    <n v="3"/>
    <n v="0"/>
    <n v="0"/>
    <s v=""/>
    <n v="9209"/>
  </r>
  <r>
    <x v="23"/>
    <x v="6"/>
    <s v="6a7b483d4674393fba40e8ec"/>
    <s v="11/08/2026 11:44:34"/>
    <s v="11/08/2026 13:05:17"/>
    <s v="Henrique"/>
    <s v="11/08/2026"/>
    <s v="Guapiaçu"/>
    <s v="1 ° Turno"/>
    <n v="146"/>
    <n v="2931"/>
    <s v="EDMAR FELIPE MARTINS"/>
    <n v="40"/>
    <n v="40"/>
    <n v="25"/>
    <n v="25"/>
    <n v="0"/>
    <n v="0"/>
    <n v="3"/>
    <n v="3"/>
    <n v="0"/>
    <n v="0"/>
    <n v="0"/>
    <n v="0"/>
    <n v="2"/>
    <n v="0.68493150684931503"/>
    <n v="4"/>
    <n v="2.7397260273972601"/>
    <n v="0"/>
    <n v="0"/>
    <n v="4"/>
    <n v="2.7397260273972601"/>
    <n v="10"/>
    <n v="6.8493150684931505"/>
    <s v=""/>
    <n v="8"/>
    <n v="5.4794520547945202"/>
    <n v="2"/>
    <n v="1.3698630136986301"/>
    <s v=""/>
    <n v="10"/>
    <n v="6.8493150684931505"/>
    <m/>
    <m/>
    <n v="6"/>
    <n v="4.10958904109589"/>
    <n v="1"/>
    <n v="0.68493150684931503"/>
    <s v=""/>
    <n v="19"/>
    <n v="2"/>
    <n v="2"/>
    <n v="38"/>
    <n v="4"/>
    <n v="4"/>
    <n v="1"/>
    <n v="0.68493150684931503"/>
    <n v="27"/>
    <n v="22"/>
    <n v="1"/>
    <n v="10"/>
    <s v=""/>
    <n v="0"/>
    <n v="0"/>
    <n v="1"/>
    <s v="assinatura"/>
    <n v="1020"/>
  </r>
  <r>
    <x v="23"/>
    <x v="6"/>
    <s v="6a7b483d4674393fba40e8c6"/>
    <s v="11/08/2026 06:59:31"/>
    <s v="11/08/2026 13:05:17"/>
    <s v="Henrique"/>
    <s v="11/08/2026"/>
    <s v="Guapiaçu"/>
    <s v="1 ° Turno"/>
    <n v="150"/>
    <n v="2792"/>
    <s v="EDMAR FELIPE MARTINS"/>
    <n v="27"/>
    <n v="27"/>
    <n v="10"/>
    <n v="10"/>
    <n v="0"/>
    <n v="0"/>
    <n v="2"/>
    <n v="2"/>
    <n v="1"/>
    <n v="1"/>
    <n v="0"/>
    <n v="0"/>
    <n v="3"/>
    <n v="1"/>
    <n v="4"/>
    <n v="2.666666666666667"/>
    <n v="0"/>
    <n v="0"/>
    <n v="3"/>
    <n v="2"/>
    <n v="9"/>
    <n v="6"/>
    <s v=""/>
    <n v="2"/>
    <n v="1.3333333333333335"/>
    <n v="2"/>
    <n v="1.3333333333333335"/>
    <s v=""/>
    <n v="4"/>
    <n v="2.666666666666667"/>
    <m/>
    <m/>
    <n v="5"/>
    <n v="3.3333333333333335"/>
    <n v="1"/>
    <n v="0.66666666666666674"/>
    <s v=""/>
    <n v="19"/>
    <n v="0"/>
    <n v="0"/>
    <n v="38"/>
    <n v="0"/>
    <n v="0"/>
    <n v="3"/>
    <n v="2"/>
    <s v=""/>
    <n v="26"/>
    <n v="1"/>
    <n v="10"/>
    <s v=""/>
    <n v="0"/>
    <n v="0"/>
    <n v="1"/>
    <s v="assinatura"/>
    <n v="7065"/>
  </r>
  <r>
    <x v="23"/>
    <x v="6"/>
    <s v="6a7b483c4674393fba40e8ae"/>
    <s v="11/08/2026 04:35:10"/>
    <s v="11/08/2026 13:05:16"/>
    <s v="Henrique"/>
    <s v="11/08/2026"/>
    <s v="Guapiaçu"/>
    <s v="1 ° Turno"/>
    <n v="150"/>
    <n v="2910"/>
    <s v="EDMAR FELIPE MARTINS"/>
    <n v="29"/>
    <n v="28.999999999999996"/>
    <n v="11"/>
    <n v="11"/>
    <n v="0"/>
    <n v="0"/>
    <n v="3"/>
    <n v="3"/>
    <n v="1"/>
    <n v="1"/>
    <n v="0"/>
    <n v="0"/>
    <n v="2"/>
    <n v="0.66666666666666674"/>
    <n v="3"/>
    <n v="2"/>
    <n v="0"/>
    <n v="0"/>
    <n v="3"/>
    <n v="2"/>
    <n v="7"/>
    <n v="4.666666666666667"/>
    <s v=""/>
    <n v="2"/>
    <n v="1.3333333333333335"/>
    <n v="1"/>
    <n v="0.66666666666666674"/>
    <s v=""/>
    <n v="4"/>
    <n v="2.666666666666667"/>
    <m/>
    <m/>
    <n v="8"/>
    <n v="5.3333333333333339"/>
    <n v="1"/>
    <n v="0.66666666666666674"/>
    <s v=""/>
    <n v="16"/>
    <n v="0"/>
    <n v="0"/>
    <n v="32"/>
    <n v="0"/>
    <n v="0"/>
    <n v="2"/>
    <n v="1.3333333333333335"/>
    <n v="23"/>
    <n v="21"/>
    <n v="0"/>
    <n v="0"/>
    <s v=""/>
    <s v=""/>
    <s v=""/>
    <s v=""/>
    <s v="assinatura"/>
    <n v="1818"/>
  </r>
  <r>
    <x v="24"/>
    <x v="6"/>
    <s v="6a83c7815a1f7bde24297e7f"/>
    <s v="17/08/2026 20:47:49"/>
    <s v="17/08/2026 23:46:25"/>
    <s v="Henrique"/>
    <s v="17/08/2026"/>
    <s v="Guapiaçu"/>
    <s v="2 ° Turno"/>
    <n v="159"/>
    <n v="2931"/>
    <s v="JOBILIANA APARECIDA MAXIMO BERGAMINI"/>
    <n v="20"/>
    <n v="20"/>
    <n v="14"/>
    <n v="14.000000000000002"/>
    <n v="1"/>
    <n v="10"/>
    <n v="0"/>
    <n v="0"/>
    <n v="0"/>
    <n v="0"/>
    <n v="1"/>
    <n v="5"/>
    <n v="1"/>
    <n v="0.31446540880503149"/>
    <n v="22"/>
    <n v="13.836477987421384"/>
    <n v="0"/>
    <n v="0"/>
    <n v="0"/>
    <n v="0"/>
    <n v="2"/>
    <n v="1.257861635220126"/>
    <s v=""/>
    <n v="3"/>
    <n v="1.8867924528301887"/>
    <n v="0"/>
    <n v="0"/>
    <s v=""/>
    <n v="6"/>
    <n v="3.7735849056603774"/>
    <m/>
    <m/>
    <n v="4"/>
    <n v="2.5157232704402519"/>
    <n v="0"/>
    <n v="0"/>
    <s v=""/>
    <n v="15"/>
    <n v="0"/>
    <n v="0"/>
    <n v="30"/>
    <n v="0"/>
    <n v="0"/>
    <n v="0"/>
    <n v="0"/>
    <n v="11"/>
    <n v="6"/>
    <n v="0"/>
    <n v="0"/>
    <s v=""/>
    <s v=""/>
    <s v=""/>
    <s v=""/>
    <s v=""/>
    <n v="1520"/>
  </r>
  <r>
    <x v="24"/>
    <x v="6"/>
    <s v="6a83c7805a1f7bde24297e6d"/>
    <s v="17/08/2026 19:13:48"/>
    <s v="17/08/2026 23:46:24"/>
    <s v="Henrique"/>
    <s v="17/08/2026"/>
    <s v="Guapiaçu"/>
    <s v="2 ° Turno"/>
    <n v="162"/>
    <n v="2862"/>
    <s v="JOBILIANA APARECIDA MAXIMO BERGAMINI"/>
    <n v="29"/>
    <n v="28.999999999999996"/>
    <n v="21"/>
    <n v="21"/>
    <n v="0"/>
    <n v="0"/>
    <n v="0"/>
    <n v="0"/>
    <n v="0"/>
    <n v="0"/>
    <n v="0"/>
    <n v="0"/>
    <n v="3"/>
    <n v="0.92592592592592582"/>
    <n v="22"/>
    <n v="13.580246913580247"/>
    <n v="0"/>
    <n v="0"/>
    <n v="1"/>
    <n v="0.61728395061728392"/>
    <n v="4"/>
    <n v="2.4691358024691357"/>
    <s v=""/>
    <s v=""/>
    <s v=""/>
    <s v=""/>
    <s v=""/>
    <s v=""/>
    <n v="8"/>
    <n v="4.9382716049382713"/>
    <m/>
    <m/>
    <n v="5"/>
    <n v="3.0864197530864197"/>
    <n v="0"/>
    <n v="0"/>
    <s v=""/>
    <n v="20"/>
    <n v="1"/>
    <n v="1"/>
    <n v="40"/>
    <n v="2"/>
    <n v="2"/>
    <n v="0"/>
    <n v="0"/>
    <n v="12"/>
    <n v="3"/>
    <n v="0"/>
    <n v="0"/>
    <s v=""/>
    <n v="22"/>
    <n v="0"/>
    <n v="0"/>
    <s v="assinatura"/>
    <n v="7140"/>
  </r>
  <r>
    <x v="24"/>
    <x v="6"/>
    <s v="6a83c7805a1f7bde24297e49"/>
    <s v="17/08/2026 14:15:58"/>
    <s v="17/08/2026 23:46:24"/>
    <s v="Henrique"/>
    <s v="17/08/2026"/>
    <s v="Guapiaçu"/>
    <s v="2 ° Turno"/>
    <n v="158"/>
    <n v="2840"/>
    <s v="JOBILIANA APARECIDA MAXIMO BERGAMINI"/>
    <n v="26"/>
    <n v="26"/>
    <n v="14"/>
    <n v="14.000000000000002"/>
    <n v="0"/>
    <n v="0"/>
    <n v="0"/>
    <n v="0"/>
    <n v="0"/>
    <n v="0"/>
    <n v="1"/>
    <n v="5"/>
    <n v="3"/>
    <n v="0.949367088607595"/>
    <n v="20"/>
    <n v="12.658227848101266"/>
    <n v="1"/>
    <n v="0.63291139240506333"/>
    <n v="0"/>
    <n v="0"/>
    <n v="1"/>
    <n v="0.63291139240506333"/>
    <s v=""/>
    <n v="1"/>
    <n v="0.63291139240506333"/>
    <n v="0"/>
    <n v="0"/>
    <s v=""/>
    <n v="5"/>
    <n v="3.1645569620253164"/>
    <m/>
    <m/>
    <n v="4"/>
    <n v="2.5316455696202533"/>
    <n v="0"/>
    <n v="0"/>
    <s v=""/>
    <n v="15"/>
    <n v="2"/>
    <n v="2"/>
    <n v="30"/>
    <n v="4"/>
    <n v="4"/>
    <n v="0"/>
    <n v="0"/>
    <n v="5"/>
    <n v="3"/>
    <n v="0"/>
    <n v="0"/>
    <s v=""/>
    <n v="10"/>
    <n v="0"/>
    <n v="0"/>
    <s v="assinatura"/>
    <n v="9137"/>
  </r>
  <r>
    <x v="24"/>
    <x v="6"/>
    <s v="6a83392c8dbad1217e37f023"/>
    <s v="17/08/2026 11:31:33"/>
    <s v="17/08/2026 13:39:08"/>
    <s v="Henrique"/>
    <s v="17/08/2026"/>
    <s v="Guapiaçu"/>
    <s v="1 ° Turno"/>
    <n v="150"/>
    <n v="2985"/>
    <s v="EDMAR FELIPE MARTINS"/>
    <n v="19"/>
    <n v="19"/>
    <n v="6"/>
    <n v="6"/>
    <n v="0"/>
    <n v="0"/>
    <n v="2"/>
    <n v="2"/>
    <n v="1"/>
    <n v="1"/>
    <n v="0"/>
    <n v="0"/>
    <n v="0"/>
    <n v="0"/>
    <n v="30"/>
    <n v="20"/>
    <n v="1"/>
    <n v="0.66666666666666674"/>
    <n v="3"/>
    <n v="2"/>
    <n v="7"/>
    <n v="4.666666666666667"/>
    <s v=""/>
    <n v="5"/>
    <n v="3.3333333333333335"/>
    <n v="2"/>
    <n v="1.3333333333333335"/>
    <s v=""/>
    <n v="7"/>
    <n v="4.666666666666667"/>
    <m/>
    <m/>
    <n v="5"/>
    <n v="3.3333333333333335"/>
    <n v="1"/>
    <n v="0.66666666666666674"/>
    <s v=""/>
    <n v="18"/>
    <n v="0"/>
    <n v="0"/>
    <n v="36"/>
    <n v="0"/>
    <n v="0"/>
    <n v="1"/>
    <n v="0.66666666666666674"/>
    <n v="24"/>
    <n v="15"/>
    <n v="1"/>
    <n v="10"/>
    <s v=""/>
    <s v=""/>
    <s v=""/>
    <s v=""/>
    <s v="assinatura"/>
    <n v="1888"/>
  </r>
  <r>
    <x v="24"/>
    <x v="6"/>
    <s v="6a83392b8dbad1217e37f00b"/>
    <s v="17/08/2026 08:12:32"/>
    <s v="17/08/2026 13:39:07"/>
    <s v="Henrique"/>
    <s v="17/08/2026"/>
    <s v="Guapiaçu"/>
    <s v="1 ° Turno"/>
    <n v="161"/>
    <n v="2953"/>
    <s v="EDMAR FELIPE MARTINS"/>
    <n v="27"/>
    <n v="27"/>
    <n v="17"/>
    <n v="17"/>
    <n v="0"/>
    <n v="0"/>
    <n v="2"/>
    <n v="2"/>
    <n v="1"/>
    <n v="1"/>
    <n v="0"/>
    <n v="0"/>
    <n v="1"/>
    <n v="0.3105590062111801"/>
    <n v="18"/>
    <n v="11.180124223602485"/>
    <n v="0"/>
    <n v="0"/>
    <n v="1"/>
    <n v="0.6211180124223602"/>
    <n v="6"/>
    <n v="3.7267080745341614"/>
    <s v=""/>
    <n v="3"/>
    <n v="1.8633540372670807"/>
    <n v="1"/>
    <n v="0.6211180124223602"/>
    <s v=""/>
    <n v="10"/>
    <n v="6.2111801242236027"/>
    <m/>
    <m/>
    <n v="5"/>
    <n v="3.1055900621118013"/>
    <n v="1"/>
    <n v="0.6211180124223602"/>
    <s v=""/>
    <n v="20"/>
    <n v="2"/>
    <n v="2"/>
    <n v="40"/>
    <n v="4"/>
    <n v="4"/>
    <n v="1"/>
    <n v="0.6211180124223602"/>
    <n v="21"/>
    <n v="12"/>
    <n v="0"/>
    <n v="0"/>
    <s v=""/>
    <n v="0"/>
    <n v="0"/>
    <n v="1"/>
    <s v="assinatura"/>
    <n v="1733"/>
  </r>
  <r>
    <x v="24"/>
    <x v="6"/>
    <s v="6a83392b8dbad1217e37efff"/>
    <s v="17/08/2026 06:41:02"/>
    <s v="17/08/2026 13:39:07"/>
    <s v="Henrique"/>
    <s v="17/08/2026"/>
    <s v="Guapiaçu"/>
    <s v="1 ° Turno"/>
    <n v="150"/>
    <n v="2907"/>
    <s v="EDMAR FELIPE MARTINS"/>
    <n v="37"/>
    <n v="37"/>
    <n v="16"/>
    <n v="16"/>
    <n v="0"/>
    <n v="0"/>
    <n v="2"/>
    <n v="2"/>
    <n v="1"/>
    <n v="1"/>
    <n v="0"/>
    <n v="0"/>
    <n v="3"/>
    <n v="1"/>
    <n v="15"/>
    <n v="10"/>
    <n v="0"/>
    <n v="0"/>
    <n v="3"/>
    <n v="2"/>
    <n v="4"/>
    <n v="2.666666666666667"/>
    <s v=""/>
    <n v="5"/>
    <n v="3.3333333333333335"/>
    <n v="3"/>
    <n v="2"/>
    <s v=""/>
    <n v="10"/>
    <n v="6.666666666666667"/>
    <m/>
    <m/>
    <n v="5"/>
    <n v="3.3333333333333335"/>
    <n v="1"/>
    <n v="0.66666666666666674"/>
    <s v=""/>
    <n v="20"/>
    <n v="8"/>
    <n v="0"/>
    <n v="40"/>
    <n v="16"/>
    <n v="0"/>
    <n v="1"/>
    <n v="0.66666666666666674"/>
    <n v="19"/>
    <n v="13"/>
    <n v="1"/>
    <n v="10"/>
    <s v=""/>
    <n v="2"/>
    <n v="0"/>
    <n v="1"/>
    <s v=""/>
    <n v="1817"/>
  </r>
  <r>
    <x v="24"/>
    <x v="6"/>
    <s v="6a83392b8dbad1217e37efed"/>
    <s v="17/08/2026 04:44:13"/>
    <s v="17/08/2026 13:39:07"/>
    <s v="Henrique"/>
    <s v="17/08/2026"/>
    <s v="Guapiaçu"/>
    <s v="1 ° Turno"/>
    <n v="151"/>
    <n v="3143"/>
    <s v="EDMAR FELIPE MARTINS"/>
    <n v="37"/>
    <n v="37"/>
    <n v="17"/>
    <n v="17"/>
    <n v="0"/>
    <n v="0"/>
    <n v="4"/>
    <n v="4"/>
    <n v="1"/>
    <n v="1"/>
    <n v="0"/>
    <n v="0"/>
    <n v="2"/>
    <n v="0.66225165562913912"/>
    <n v="15"/>
    <n v="9.9337748344370862"/>
    <n v="0"/>
    <n v="0"/>
    <n v="2"/>
    <n v="1.3245033112582782"/>
    <n v="3"/>
    <n v="1.9867549668874174"/>
    <s v=""/>
    <n v="8"/>
    <n v="5.298013245033113"/>
    <n v="1"/>
    <n v="0.66225165562913912"/>
    <s v=""/>
    <n v="10"/>
    <n v="6.6225165562913908"/>
    <m/>
    <m/>
    <n v="6"/>
    <n v="3.9735099337748347"/>
    <n v="1"/>
    <n v="0.66225165562913912"/>
    <s v=""/>
    <n v="17"/>
    <n v="0"/>
    <n v="0"/>
    <n v="34"/>
    <n v="0"/>
    <n v="0"/>
    <n v="2"/>
    <n v="1.3245033112582782"/>
    <n v="23"/>
    <n v="14"/>
    <n v="1"/>
    <n v="10"/>
    <s v=""/>
    <s v=""/>
    <s v=""/>
    <s v=""/>
    <s v="assinatura"/>
    <n v="1669"/>
  </r>
  <r>
    <x v="25"/>
    <x v="6"/>
    <s v="6a851583a12fe1209e59741d"/>
    <s v="18/08/2026 21:27:50"/>
    <s v="18/08/2026 23:31:31"/>
    <s v="Henrique"/>
    <s v="18/08/2026"/>
    <s v="Guapiaçu"/>
    <s v="2 ° Turno"/>
    <n v="161"/>
    <n v="2822"/>
    <s v="JOBILIANA APARECIDA MAXIMO BERGAMINI"/>
    <n v="20"/>
    <n v="20"/>
    <n v="15"/>
    <n v="15"/>
    <n v="0"/>
    <n v="0"/>
    <n v="0"/>
    <n v="0"/>
    <n v="0"/>
    <n v="0"/>
    <n v="0"/>
    <n v="0"/>
    <n v="4"/>
    <n v="7.087172218284904E-2"/>
    <n v="10"/>
    <n v="0.3543586109142452"/>
    <n v="0"/>
    <n v="0"/>
    <n v="0"/>
    <n v="0"/>
    <n v="4"/>
    <n v="0.14174344436569808"/>
    <s v=""/>
    <n v="1"/>
    <n v="3.543586109142452E-2"/>
    <n v="0"/>
    <n v="0"/>
    <s v=""/>
    <n v="9"/>
    <n v="0.31892274982282065"/>
    <m/>
    <m/>
    <n v="4"/>
    <n v="0.14174344436569808"/>
    <n v="0"/>
    <n v="0"/>
    <s v=""/>
    <n v="12"/>
    <n v="3"/>
    <n v="4"/>
    <n v="24"/>
    <n v="6"/>
    <n v="8"/>
    <n v="0"/>
    <n v="0"/>
    <n v="13"/>
    <n v="7"/>
    <n v="0"/>
    <n v="0"/>
    <s v=""/>
    <n v="4"/>
    <n v="0"/>
    <n v="0"/>
    <s v=""/>
    <n v="175"/>
  </r>
  <r>
    <x v="25"/>
    <x v="6"/>
    <s v="6a851583a12fe1209e597405"/>
    <s v="18/08/2026 19:15:42"/>
    <s v="18/08/2026 23:31:31"/>
    <s v="Henrique"/>
    <s v="18/08/2026"/>
    <s v="Guapiaçu"/>
    <s v="2 ° Turno"/>
    <n v="149"/>
    <n v="2825"/>
    <s v="JOBILIANA APARECIDA MAXIMO BERGAMINI"/>
    <n v="30"/>
    <n v="30"/>
    <n v="15"/>
    <n v="15"/>
    <n v="0"/>
    <n v="0"/>
    <n v="0"/>
    <n v="0"/>
    <n v="0"/>
    <n v="0"/>
    <n v="0"/>
    <n v="0"/>
    <n v="2"/>
    <n v="0.67114093959731547"/>
    <n v="11"/>
    <n v="7.3825503355704702"/>
    <n v="1"/>
    <n v="0.67114093959731547"/>
    <n v="1"/>
    <n v="0.67114093959731547"/>
    <n v="5"/>
    <n v="3.3557046979865772"/>
    <s v=""/>
    <n v="1"/>
    <n v="0.67114093959731547"/>
    <n v="0"/>
    <n v="0"/>
    <s v=""/>
    <n v="6"/>
    <n v="4.0268456375838921"/>
    <m/>
    <m/>
    <n v="5"/>
    <n v="3.3557046979865772"/>
    <n v="0"/>
    <n v="0"/>
    <s v=""/>
    <n v="14"/>
    <n v="0"/>
    <n v="0"/>
    <n v="28"/>
    <n v="0"/>
    <n v="0"/>
    <n v="1"/>
    <n v="0.67114093959731547"/>
    <n v="8"/>
    <n v="4"/>
    <n v="0"/>
    <n v="0"/>
    <s v=""/>
    <n v="8"/>
    <n v="0"/>
    <n v="0"/>
    <s v="assinatura"/>
    <n v="7421"/>
  </r>
  <r>
    <x v="25"/>
    <x v="6"/>
    <s v="6a851582a12fe1209e5973e7"/>
    <s v="18/08/2026 14:51:12"/>
    <s v="18/08/2026 23:31:30"/>
    <s v="Henrique"/>
    <s v="18/08/2026"/>
    <s v="Guapiaçu"/>
    <s v="2 ° Turno"/>
    <n v="149"/>
    <n v="2857"/>
    <s v="JOBILIANA APARECIDA MAXIMO BERGAMINI"/>
    <n v="28"/>
    <n v="28.000000000000004"/>
    <n v="15"/>
    <n v="15"/>
    <n v="1"/>
    <n v="10"/>
    <n v="0"/>
    <n v="0"/>
    <n v="0"/>
    <n v="0"/>
    <n v="1"/>
    <n v="5"/>
    <n v="3"/>
    <n v="1.006711409395973"/>
    <n v="16"/>
    <n v="10.738255033557047"/>
    <n v="0"/>
    <n v="0"/>
    <n v="1"/>
    <n v="0.67114093959731547"/>
    <n v="4"/>
    <n v="2.6845637583892619"/>
    <s v=""/>
    <n v="4"/>
    <n v="2.6845637583892619"/>
    <n v="0"/>
    <n v="0"/>
    <s v=""/>
    <n v="3"/>
    <n v="2.0134228187919461"/>
    <m/>
    <m/>
    <n v="4"/>
    <n v="2.6845637583892619"/>
    <n v="0"/>
    <n v="0"/>
    <s v=""/>
    <n v="16"/>
    <n v="1"/>
    <n v="1"/>
    <n v="32"/>
    <n v="2"/>
    <n v="2"/>
    <n v="5"/>
    <n v="3.3557046979865772"/>
    <n v="10"/>
    <n v="6"/>
    <n v="0"/>
    <n v="0"/>
    <s v=""/>
    <n v="7"/>
    <n v="0"/>
    <n v="0"/>
    <s v="assinatura"/>
    <n v="6958"/>
  </r>
  <r>
    <x v="25"/>
    <x v="6"/>
    <s v="6a851582a12fe1209e5973cf"/>
    <s v="18/08/2026 11:34:29"/>
    <s v="18/08/2026 23:31:30"/>
    <s v="Henrique"/>
    <s v="18/08/2026"/>
    <s v="Guapiaçu"/>
    <s v="1 ° Turno"/>
    <n v="160"/>
    <n v="3165"/>
    <s v="EDMAR FELIPE MARTINS"/>
    <n v="19"/>
    <n v="19"/>
    <n v="6"/>
    <n v="6"/>
    <n v="0"/>
    <n v="0"/>
    <n v="1"/>
    <n v="1"/>
    <n v="0"/>
    <n v="0"/>
    <n v="0"/>
    <n v="0"/>
    <n v="1"/>
    <n v="0.3125"/>
    <n v="10"/>
    <n v="6.25"/>
    <n v="0"/>
    <n v="0"/>
    <n v="2"/>
    <n v="1.25"/>
    <n v="7"/>
    <n v="4.375"/>
    <s v=""/>
    <n v="3"/>
    <n v="1.875"/>
    <n v="2"/>
    <n v="1.25"/>
    <s v=""/>
    <n v="5"/>
    <n v="3.125"/>
    <m/>
    <m/>
    <n v="6"/>
    <n v="3.75"/>
    <n v="1"/>
    <n v="0.625"/>
    <s v=""/>
    <n v="17"/>
    <n v="0"/>
    <n v="0"/>
    <n v="34"/>
    <n v="0"/>
    <n v="0"/>
    <n v="1"/>
    <n v="0.625"/>
    <n v="19"/>
    <n v="21"/>
    <n v="1"/>
    <n v="10"/>
    <s v=""/>
    <n v="0"/>
    <n v="0"/>
    <n v="0"/>
    <s v=""/>
    <n v="3536"/>
  </r>
  <r>
    <x v="25"/>
    <x v="6"/>
    <s v="6a851582a12fe1209e5973b7"/>
    <s v="18/08/2026 08:34:50"/>
    <s v="18/08/2026 23:31:30"/>
    <s v="Henrique"/>
    <s v="18/08/2026"/>
    <s v="Guapiaçu"/>
    <s v="1 ° Turno"/>
    <n v="161"/>
    <n v="2719"/>
    <s v="EDMAR FELIPE MARTINS"/>
    <n v="22"/>
    <n v="22"/>
    <n v="7"/>
    <n v="7.0000000000000009"/>
    <n v="0"/>
    <n v="0"/>
    <n v="2"/>
    <n v="2"/>
    <n v="1"/>
    <n v="1"/>
    <n v="0"/>
    <n v="0"/>
    <n v="2"/>
    <n v="0.6211180124223602"/>
    <n v="11"/>
    <n v="6.8322981366459627"/>
    <n v="0"/>
    <n v="0"/>
    <n v="1"/>
    <n v="0.6211180124223602"/>
    <n v="6"/>
    <n v="3.7267080745341614"/>
    <s v=""/>
    <n v="2"/>
    <n v="1.2422360248447204"/>
    <n v="2"/>
    <n v="1.2422360248447204"/>
    <s v=""/>
    <n v="5"/>
    <n v="3.1055900621118013"/>
    <m/>
    <m/>
    <n v="5"/>
    <n v="3.1055900621118013"/>
    <n v="1"/>
    <n v="0.6211180124223602"/>
    <s v=""/>
    <n v="19"/>
    <n v="0"/>
    <n v="0"/>
    <n v="38"/>
    <n v="0"/>
    <n v="0"/>
    <n v="3"/>
    <n v="1.8633540372670807"/>
    <n v="17"/>
    <n v="23"/>
    <n v="1"/>
    <n v="10"/>
    <s v=""/>
    <n v="0"/>
    <n v="0"/>
    <n v="1"/>
    <s v="assinatura"/>
    <n v="1840"/>
  </r>
  <r>
    <x v="25"/>
    <x v="6"/>
    <s v="6a851581a12fe1209e5973a5"/>
    <s v="18/08/2026 06:46:05"/>
    <s v="18/08/2026 23:31:29"/>
    <s v="Henrique"/>
    <s v="18/08/2026"/>
    <s v="Guapiaçu"/>
    <s v="1 ° Turno"/>
    <n v="161"/>
    <n v="2881"/>
    <s v="EDMAR FELIPE MARTINS"/>
    <n v="25"/>
    <n v="25"/>
    <n v="13"/>
    <n v="13"/>
    <n v="0"/>
    <n v="0"/>
    <n v="1"/>
    <n v="1"/>
    <n v="1"/>
    <n v="1"/>
    <n v="0"/>
    <n v="0"/>
    <n v="2"/>
    <n v="0.6211180124223602"/>
    <n v="11"/>
    <n v="6.8322981366459627"/>
    <n v="0"/>
    <n v="0"/>
    <n v="3"/>
    <n v="1.8633540372670807"/>
    <n v="10"/>
    <n v="6.2111801242236027"/>
    <s v=""/>
    <n v="6"/>
    <n v="3.7267080745341614"/>
    <n v="2"/>
    <n v="1.2422360248447204"/>
    <s v=""/>
    <n v="9"/>
    <n v="5.5900621118012426"/>
    <m/>
    <m/>
    <n v="6"/>
    <n v="3.7267080745341614"/>
    <n v="1"/>
    <n v="0.6211180124223602"/>
    <s v=""/>
    <n v="19"/>
    <n v="0"/>
    <n v="0"/>
    <n v="38"/>
    <n v="0"/>
    <n v="0"/>
    <n v="0"/>
    <n v="0"/>
    <n v="16"/>
    <n v="14"/>
    <n v="0"/>
    <n v="0"/>
    <s v=""/>
    <s v=""/>
    <s v=""/>
    <s v=""/>
    <s v="assinatura"/>
    <n v="1727"/>
  </r>
  <r>
    <x v="25"/>
    <x v="6"/>
    <s v="6a851581a12fe1209e59738b"/>
    <s v="18/08/2026 04:28:39"/>
    <s v="18/08/2026 23:31:29"/>
    <s v="Henrique"/>
    <s v="18/08/2026"/>
    <s v="Guapiaçu"/>
    <s v="1 ° Turno"/>
    <n v="160"/>
    <n v="2917"/>
    <s v="EDMAR FELIPE MARTINS"/>
    <n v="25"/>
    <n v="25"/>
    <n v="9"/>
    <n v="9"/>
    <n v="0"/>
    <n v="0"/>
    <n v="2"/>
    <n v="2"/>
    <n v="1"/>
    <n v="1"/>
    <n v="0"/>
    <n v="0"/>
    <n v="0"/>
    <n v="0"/>
    <n v="11"/>
    <n v="6.8750000000000009"/>
    <n v="0"/>
    <n v="0"/>
    <n v="1"/>
    <n v="0.625"/>
    <n v="4"/>
    <n v="2.5"/>
    <s v=""/>
    <n v="2"/>
    <n v="1.25"/>
    <n v="1"/>
    <n v="0.625"/>
    <s v=""/>
    <n v="10"/>
    <n v="6.25"/>
    <m/>
    <m/>
    <n v="5"/>
    <n v="3.125"/>
    <n v="0"/>
    <n v="0"/>
    <s v=""/>
    <n v="16"/>
    <n v="0"/>
    <n v="0"/>
    <n v="32"/>
    <n v="0"/>
    <n v="0"/>
    <n v="0"/>
    <n v="0"/>
    <n v="19"/>
    <n v="14"/>
    <n v="0"/>
    <n v="0"/>
    <s v=""/>
    <s v=""/>
    <s v=""/>
    <s v=""/>
    <s v=""/>
    <n v="1802"/>
  </r>
  <r>
    <x v="26"/>
    <x v="6"/>
    <s v="6a851581a12fe1209e59738b"/>
    <s v="19/08/2026 21:11:57"/>
    <s v="19/08/2026 23:26:54"/>
    <s v="Henrique"/>
    <s v="19/08/2026"/>
    <s v="Guapiaçu"/>
    <s v="2 ° Turno"/>
    <n v="161"/>
    <n v="2996"/>
    <s v="JOBILIANA APARECIDA MAXIMO BERGAMINI"/>
    <n v="20"/>
    <n v="20"/>
    <n v="15"/>
    <n v="15"/>
    <n v="0"/>
    <n v="0"/>
    <n v="0"/>
    <n v="0"/>
    <n v="0"/>
    <n v="0"/>
    <n v="0"/>
    <n v="0"/>
    <n v="7"/>
    <n v="2.1739130434782608"/>
    <n v="2"/>
    <n v="1.2422360248447204"/>
    <n v="0"/>
    <n v="0"/>
    <n v="0"/>
    <n v="0"/>
    <n v="3"/>
    <n v="1.8633540372670807"/>
    <s v=""/>
    <n v="0"/>
    <n v="0"/>
    <n v="0"/>
    <n v="0"/>
    <s v=""/>
    <n v="6"/>
    <n v="3.7267080745341614"/>
    <m/>
    <m/>
    <n v="4"/>
    <n v="2.4844720496894408"/>
    <n v="0"/>
    <n v="0"/>
    <s v=""/>
    <n v="16"/>
    <n v="0"/>
    <n v="0"/>
    <n v="32"/>
    <n v="0"/>
    <n v="0"/>
    <n v="1"/>
    <n v="0.6211180124223602"/>
    <n v="9"/>
    <n v="5"/>
    <n v="0"/>
    <n v="0"/>
    <s v=""/>
    <s v=""/>
    <s v=""/>
    <s v=""/>
    <s v="assinatura"/>
    <n v="1282"/>
  </r>
  <r>
    <x v="26"/>
    <x v="6"/>
    <s v="6a8665ee13f324b2ed88098c"/>
    <s v="19/08/2026 19:11:53"/>
    <s v="19/08/2026 23:26:54"/>
    <s v="Henrique"/>
    <s v="19/08/2026"/>
    <s v="Guapiaçu"/>
    <s v="2 ° Turno"/>
    <n v="161"/>
    <n v="2988"/>
    <s v="JOBILIANA APARECIDA MAXIMO BERGAMINI"/>
    <n v="42"/>
    <n v="42"/>
    <n v="25"/>
    <n v="25"/>
    <n v="0"/>
    <n v="0"/>
    <n v="0"/>
    <n v="0"/>
    <n v="0"/>
    <n v="0"/>
    <n v="0"/>
    <n v="0"/>
    <n v="6"/>
    <n v="1.8633540372670807"/>
    <n v="2"/>
    <n v="1.2422360248447204"/>
    <n v="0"/>
    <n v="0"/>
    <n v="0"/>
    <n v="0"/>
    <n v="2"/>
    <n v="1.2422360248447204"/>
    <s v=""/>
    <n v="2"/>
    <n v="1.2422360248447204"/>
    <n v="0"/>
    <n v="0"/>
    <s v=""/>
    <n v="10"/>
    <n v="6.2111801242236027"/>
    <m/>
    <m/>
    <n v="4"/>
    <n v="2.4844720496894408"/>
    <n v="0"/>
    <n v="0"/>
    <s v=""/>
    <n v="10"/>
    <n v="0"/>
    <n v="1"/>
    <n v="20"/>
    <n v="0"/>
    <n v="2"/>
    <n v="3"/>
    <n v="1.8633540372670807"/>
    <n v="6"/>
    <n v="3"/>
    <n v="0"/>
    <n v="0"/>
    <s v=""/>
    <s v=""/>
    <s v=""/>
    <s v=""/>
    <s v="assinatura"/>
    <n v="8346"/>
  </r>
  <r>
    <x v="26"/>
    <x v="6"/>
    <s v="6a8665ed13f324b2ed880960"/>
    <s v="19/08/2026 14:16:14"/>
    <s v="19/08/2026 23:26:53"/>
    <s v="Henrique"/>
    <s v="19/08/2026"/>
    <s v="Guapiaçu"/>
    <s v="2 ° Turno"/>
    <n v="152"/>
    <n v="2946"/>
    <s v="JOBILIANA APARECIDA MAXIMO BERGAMINI"/>
    <n v="23"/>
    <n v="23"/>
    <n v="10"/>
    <n v="10"/>
    <n v="1"/>
    <n v="10"/>
    <n v="0"/>
    <n v="0"/>
    <n v="0"/>
    <n v="0"/>
    <n v="1"/>
    <n v="5"/>
    <n v="3"/>
    <n v="0.98684210526315785"/>
    <n v="7"/>
    <n v="4.6052631578947363"/>
    <n v="0"/>
    <n v="0"/>
    <n v="0"/>
    <n v="0"/>
    <n v="1"/>
    <n v="0.6578947368421052"/>
    <s v=""/>
    <n v="0"/>
    <n v="0"/>
    <n v="0"/>
    <n v="0"/>
    <s v=""/>
    <n v="7"/>
    <n v="4.6052631578947363"/>
    <m/>
    <m/>
    <n v="3"/>
    <n v="1.9736842105263157"/>
    <n v="0"/>
    <n v="0"/>
    <s v=""/>
    <n v="14"/>
    <n v="0"/>
    <n v="1"/>
    <n v="28"/>
    <n v="0"/>
    <n v="2"/>
    <n v="0"/>
    <n v="0"/>
    <n v="9"/>
    <n v="5"/>
    <n v="0"/>
    <n v="0"/>
    <s v=""/>
    <s v=""/>
    <s v=""/>
    <s v=""/>
    <s v="assinatura"/>
    <n v="7098"/>
  </r>
  <r>
    <x v="26"/>
    <x v="6"/>
    <s v="6a85d1b31fd846202c36dcf3"/>
    <s v="19/08/2026 11:30:42"/>
    <s v="19/08/2026 12:54:27"/>
    <s v="Henrique"/>
    <s v="19/08/2026"/>
    <s v="Guapiaçu"/>
    <s v="1 ° Turno"/>
    <n v="146"/>
    <n v="2850"/>
    <s v="EDMAR FELIPE MARTINS"/>
    <n v="21"/>
    <n v="21"/>
    <n v="10"/>
    <n v="10"/>
    <n v="0"/>
    <n v="0"/>
    <n v="1"/>
    <n v="1"/>
    <n v="1"/>
    <n v="1"/>
    <n v="0"/>
    <n v="0"/>
    <n v="1"/>
    <n v="0.34246575342465752"/>
    <n v="4"/>
    <n v="2.7397260273972601"/>
    <n v="1"/>
    <n v="0.68493150684931503"/>
    <n v="1"/>
    <n v="0.68493150684931503"/>
    <n v="6"/>
    <n v="4.10958904109589"/>
    <s v=""/>
    <n v="1"/>
    <n v="0.68493150684931503"/>
    <n v="1"/>
    <n v="0.68493150684931503"/>
    <s v=""/>
    <n v="5"/>
    <n v="3.4246575342465753"/>
    <m/>
    <m/>
    <n v="5"/>
    <n v="3.4246575342465753"/>
    <n v="2"/>
    <n v="1.3698630136986301"/>
    <s v=""/>
    <n v="16"/>
    <n v="2"/>
    <n v="2"/>
    <n v="32"/>
    <n v="4"/>
    <n v="4"/>
    <n v="1"/>
    <n v="0.68493150684931503"/>
    <n v="25"/>
    <n v="13"/>
    <n v="0"/>
    <n v="0"/>
    <s v=""/>
    <s v=""/>
    <s v=""/>
    <s v=""/>
    <s v="assinatura"/>
    <n v="1978"/>
  </r>
  <r>
    <x v="26"/>
    <x v="6"/>
    <s v="6a85d1b31fd846202c36dcdb"/>
    <s v="19/08/2026 08:26:31"/>
    <s v="19/08/2026 12:54:27"/>
    <s v="Henrique"/>
    <s v="19/08/2026"/>
    <s v="Guapiaçu"/>
    <s v="1 ° Turno"/>
    <n v="144"/>
    <n v="2850"/>
    <s v="EDMAR FELIPE MARTINS"/>
    <n v="19"/>
    <n v="19"/>
    <n v="7"/>
    <n v="7.0000000000000009"/>
    <n v="0"/>
    <n v="0"/>
    <n v="2"/>
    <n v="2"/>
    <n v="1"/>
    <n v="1"/>
    <n v="0"/>
    <n v="0"/>
    <n v="1"/>
    <n v="0.34722222222222221"/>
    <n v="4"/>
    <n v="2.7777777777777777"/>
    <n v="0"/>
    <n v="0"/>
    <n v="1"/>
    <n v="0.69444444444444442"/>
    <n v="5"/>
    <n v="3.4722222222222223"/>
    <s v=""/>
    <n v="1"/>
    <n v="0.69444444444444442"/>
    <n v="2"/>
    <n v="1.3888888888888888"/>
    <s v=""/>
    <n v="5"/>
    <n v="3.4722222222222223"/>
    <m/>
    <m/>
    <n v="6"/>
    <n v="4.1666666666666661"/>
    <n v="1"/>
    <n v="0.69444444444444442"/>
    <s v=""/>
    <n v="17"/>
    <n v="0"/>
    <n v="0"/>
    <n v="34"/>
    <n v="0"/>
    <n v="0"/>
    <n v="1"/>
    <n v="0.69444444444444442"/>
    <n v="22"/>
    <n v="14"/>
    <n v="0"/>
    <n v="0"/>
    <s v=""/>
    <n v="0"/>
    <n v="0"/>
    <n v="1"/>
    <s v=""/>
    <n v="3052"/>
  </r>
  <r>
    <x v="26"/>
    <x v="6"/>
    <s v="6a85d1b21fd846202c36dcc9"/>
    <s v="19/08/2026 06:42:49"/>
    <s v="19/08/2026 12:54:26"/>
    <s v="Henrique"/>
    <s v="19/08/2026"/>
    <s v="Guapiaçu"/>
    <s v="1 ° Turno"/>
    <n v="160"/>
    <n v="100"/>
    <s v="EDMAR FELIPE MARTINS"/>
    <n v="45"/>
    <n v="45"/>
    <n v="12"/>
    <n v="12"/>
    <n v="0"/>
    <n v="0"/>
    <n v="2"/>
    <n v="2"/>
    <n v="1"/>
    <n v="1"/>
    <n v="0"/>
    <n v="0"/>
    <n v="0"/>
    <n v="0"/>
    <n v="11"/>
    <n v="6.8750000000000009"/>
    <n v="1"/>
    <n v="0.625"/>
    <n v="2"/>
    <n v="1.25"/>
    <n v="8"/>
    <n v="5"/>
    <s v=""/>
    <n v="1"/>
    <n v="0.625"/>
    <n v="2"/>
    <n v="1.25"/>
    <s v=""/>
    <n v="4"/>
    <n v="2.5"/>
    <m/>
    <m/>
    <n v="5"/>
    <n v="3.125"/>
    <n v="1"/>
    <n v="0.625"/>
    <s v=""/>
    <n v="19"/>
    <n v="0"/>
    <n v="0"/>
    <n v="38"/>
    <n v="0"/>
    <n v="0"/>
    <n v="1"/>
    <n v="0.625"/>
    <n v="23"/>
    <n v="15"/>
    <n v="1"/>
    <n v="10"/>
    <s v=""/>
    <s v=""/>
    <s v=""/>
    <s v=""/>
    <s v="assinatura"/>
    <n v="9049"/>
  </r>
  <r>
    <x v="26"/>
    <x v="6"/>
    <s v="6a85d1b21fd846202c36dcb1"/>
    <s v="19/08/2026 04:33:42"/>
    <s v="19/08/2026 12:54:26"/>
    <s v="Henrique"/>
    <s v="19/08/2026"/>
    <s v="Guapiaçu"/>
    <s v="1 ° Turno"/>
    <n v="154"/>
    <n v="2890"/>
    <s v="EDMAR FELIPE MARTINS"/>
    <n v="27"/>
    <n v="27"/>
    <n v="11"/>
    <n v="11"/>
    <n v="0"/>
    <n v="0"/>
    <n v="3"/>
    <n v="3"/>
    <n v="1"/>
    <n v="1"/>
    <n v="0"/>
    <n v="0"/>
    <n v="1"/>
    <n v="0.32467532467532467"/>
    <n v="7"/>
    <n v="4.5454545454545459"/>
    <n v="1"/>
    <n v="0.64935064935064934"/>
    <n v="4"/>
    <n v="2.5974025974025974"/>
    <n v="11"/>
    <n v="7.1428571428571423"/>
    <s v=""/>
    <n v="2"/>
    <n v="1.2987012987012987"/>
    <n v="1"/>
    <n v="0.64935064935064934"/>
    <s v=""/>
    <n v="5"/>
    <n v="3.2467532467532463"/>
    <m/>
    <m/>
    <n v="6"/>
    <n v="3.8961038961038961"/>
    <n v="1"/>
    <n v="0.64935064935064934"/>
    <s v=""/>
    <n v="19"/>
    <n v="2"/>
    <n v="2"/>
    <n v="38"/>
    <n v="4"/>
    <n v="4"/>
    <n v="1"/>
    <n v="0.64935064935064934"/>
    <n v="28"/>
    <n v="18"/>
    <n v="1"/>
    <n v="10"/>
    <s v=""/>
    <s v=""/>
    <s v=""/>
    <s v=""/>
    <s v="assinatura"/>
    <n v="3350"/>
  </r>
  <r>
    <x v="27"/>
    <x v="6"/>
    <s v="6a87b3d4de2c4f7d9f00df00"/>
    <s v="20/08/2026 21:05:49"/>
    <s v="20/08/2026 23:11:32"/>
    <s v="Henrique"/>
    <s v="20/08/2026"/>
    <s v="Guapiaçu"/>
    <s v="2 ° Turno"/>
    <n v="99"/>
    <n v="3047"/>
    <s v="JOBILIANA APARECIDA MAXIMO BERGAMINI"/>
    <n v="20"/>
    <n v="20"/>
    <n v="14"/>
    <n v="14.000000000000002"/>
    <n v="0"/>
    <n v="0"/>
    <n v="0"/>
    <n v="0"/>
    <n v="0"/>
    <n v="0"/>
    <n v="0"/>
    <n v="0"/>
    <n v="4"/>
    <n v="2.0202020202020203"/>
    <n v="3"/>
    <n v="3.0303030303030303"/>
    <n v="0"/>
    <n v="0"/>
    <n v="0"/>
    <n v="0"/>
    <n v="3"/>
    <n v="3.0303030303030303"/>
    <s v=""/>
    <n v="1"/>
    <n v="1.0101010101010102"/>
    <n v="0"/>
    <n v="0"/>
    <s v=""/>
    <n v="6"/>
    <n v="6.0606060606060606"/>
    <m/>
    <m/>
    <n v="4"/>
    <n v="4.0404040404040407"/>
    <n v="0"/>
    <n v="0"/>
    <s v=""/>
    <n v="15"/>
    <n v="0"/>
    <n v="0"/>
    <n v="30"/>
    <n v="0"/>
    <n v="0"/>
    <n v="0"/>
    <n v="0"/>
    <n v="5"/>
    <n v="3"/>
    <n v="0"/>
    <n v="0"/>
    <s v=""/>
    <n v="4"/>
    <n v="0"/>
    <n v="0"/>
    <s v="assinatura"/>
    <n v="550"/>
  </r>
  <r>
    <x v="27"/>
    <x v="6"/>
    <s v="6a87b3d3de2c4f7d9f00deee"/>
    <s v="20/08/2026 19:11:30"/>
    <s v="20/08/2026 23:11:31"/>
    <s v="Henrique"/>
    <s v="20/08/2026"/>
    <s v="Guapiaçu"/>
    <s v="2 ° Turno"/>
    <n v="150"/>
    <n v="2945"/>
    <s v="JOBILIANA APARECIDA MAXIMO BERGAMINI"/>
    <n v="20"/>
    <n v="20"/>
    <n v="14"/>
    <n v="14.000000000000002"/>
    <n v="0"/>
    <n v="0"/>
    <n v="0"/>
    <n v="0"/>
    <n v="0"/>
    <n v="0"/>
    <n v="0"/>
    <n v="0"/>
    <n v="2"/>
    <n v="0.66666666666666674"/>
    <n v="15"/>
    <n v="10"/>
    <n v="0"/>
    <n v="0"/>
    <n v="0"/>
    <n v="0"/>
    <n v="3"/>
    <n v="2"/>
    <s v=""/>
    <n v="0"/>
    <n v="0"/>
    <n v="0"/>
    <n v="0"/>
    <s v=""/>
    <n v="7"/>
    <n v="4.666666666666667"/>
    <m/>
    <m/>
    <n v="4"/>
    <n v="2.666666666666667"/>
    <n v="0"/>
    <n v="0"/>
    <s v=""/>
    <n v="6"/>
    <n v="1"/>
    <n v="0"/>
    <n v="12"/>
    <n v="2"/>
    <n v="0"/>
    <n v="0"/>
    <n v="0"/>
    <n v="5"/>
    <n v="3"/>
    <n v="0"/>
    <n v="0"/>
    <s v=""/>
    <n v="1"/>
    <n v="0"/>
    <n v="0"/>
    <s v="assinatura"/>
    <n v="7440"/>
  </r>
  <r>
    <x v="27"/>
    <x v="6"/>
    <s v="6a87b3d3de2c4f7d9f00deca"/>
    <s v="20/08/2026 14:15:34"/>
    <s v="20/08/2026 23:11:31"/>
    <s v="Henrique"/>
    <s v="20/08/2026"/>
    <s v="Guapiaçu"/>
    <s v="2 ° Turno"/>
    <n v="128"/>
    <n v="5852"/>
    <s v="JOBILIANA APARECIDA MAXIMO BERGAMINI"/>
    <n v="23"/>
    <n v="23"/>
    <n v="13"/>
    <n v="13"/>
    <n v="0"/>
    <n v="0"/>
    <n v="1"/>
    <n v="1"/>
    <n v="0"/>
    <n v="0"/>
    <n v="0"/>
    <n v="0"/>
    <n v="3"/>
    <n v="1.171875"/>
    <n v="3"/>
    <n v="2.34375"/>
    <n v="0"/>
    <n v="0"/>
    <n v="0"/>
    <n v="0"/>
    <n v="1"/>
    <n v="0.78125"/>
    <s v=""/>
    <n v="3"/>
    <n v="2.34375"/>
    <n v="0"/>
    <n v="0"/>
    <s v=""/>
    <n v="6"/>
    <n v="4.6875"/>
    <m/>
    <m/>
    <n v="1"/>
    <n v="0.78125"/>
    <n v="0"/>
    <n v="0"/>
    <s v=""/>
    <n v="10"/>
    <n v="0"/>
    <n v="0"/>
    <n v="20"/>
    <n v="0"/>
    <n v="0"/>
    <n v="0"/>
    <n v="0"/>
    <n v="3"/>
    <n v="1"/>
    <n v="0"/>
    <n v="0"/>
    <s v=""/>
    <n v="1"/>
    <n v="0"/>
    <n v="0"/>
    <s v="assinatura"/>
    <n v="7827"/>
  </r>
  <r>
    <x v="27"/>
    <x v="6"/>
    <s v="6a872763ee682edc037056f4"/>
    <s v="20/08/2026 11:39:00"/>
    <s v="20/08/2026 13:12:19"/>
    <s v="Henrique"/>
    <s v="20/08/2026"/>
    <s v="Guapiaçu"/>
    <s v="1 ° Turno"/>
    <n v="160"/>
    <n v="3018"/>
    <s v="EDMAR FELIPE MARTINS"/>
    <n v="38"/>
    <n v="38"/>
    <n v="22"/>
    <n v="22"/>
    <n v="0"/>
    <n v="0"/>
    <n v="1"/>
    <n v="1"/>
    <n v="1"/>
    <n v="1"/>
    <n v="0"/>
    <n v="0"/>
    <n v="2"/>
    <n v="0.625"/>
    <n v="4"/>
    <n v="2.5"/>
    <n v="0"/>
    <n v="0"/>
    <n v="2"/>
    <n v="1.25"/>
    <n v="4"/>
    <n v="2.5"/>
    <s v=""/>
    <n v="2"/>
    <n v="1.25"/>
    <n v="2"/>
    <n v="1.25"/>
    <s v=""/>
    <n v="6"/>
    <n v="3.75"/>
    <m/>
    <m/>
    <n v="5"/>
    <n v="3.125"/>
    <n v="1"/>
    <n v="0.625"/>
    <s v=""/>
    <n v="18"/>
    <n v="0"/>
    <n v="0"/>
    <n v="36"/>
    <n v="0"/>
    <n v="0"/>
    <n v="1"/>
    <n v="0.625"/>
    <n v="20"/>
    <n v="19"/>
    <n v="1"/>
    <n v="10"/>
    <s v=""/>
    <s v=""/>
    <s v=""/>
    <s v=""/>
    <s v="assinatura"/>
    <n v="1432"/>
  </r>
  <r>
    <x v="27"/>
    <x v="6"/>
    <s v="6a872763ee682edc037056dc"/>
    <s v="20/08/2026 08:41:38"/>
    <s v="20/08/2026 13:12:19"/>
    <s v="Henrique"/>
    <s v="20/08/2026"/>
    <s v="Guapiaçu"/>
    <s v="1 ° Turno"/>
    <n v="160"/>
    <n v="2987"/>
    <s v="EDMAR FELIPE MARTINS"/>
    <n v="43"/>
    <n v="43"/>
    <n v="23"/>
    <n v="23"/>
    <n v="0"/>
    <n v="0"/>
    <n v="1"/>
    <n v="1"/>
    <n v="1"/>
    <n v="1"/>
    <n v="0"/>
    <n v="0"/>
    <n v="2"/>
    <n v="0.625"/>
    <n v="4"/>
    <n v="2.5"/>
    <n v="0"/>
    <n v="0"/>
    <n v="3"/>
    <n v="1.875"/>
    <n v="4"/>
    <n v="2.5"/>
    <s v=""/>
    <n v="2"/>
    <n v="1.25"/>
    <n v="1"/>
    <n v="0.625"/>
    <s v=""/>
    <n v="4"/>
    <n v="2.5"/>
    <m/>
    <m/>
    <n v="6"/>
    <n v="3.75"/>
    <n v="1"/>
    <n v="0.625"/>
    <s v=""/>
    <n v="16"/>
    <n v="0"/>
    <n v="0"/>
    <n v="32"/>
    <n v="0"/>
    <n v="0"/>
    <n v="1"/>
    <n v="0.625"/>
    <n v="23"/>
    <n v="12"/>
    <n v="0"/>
    <n v="0"/>
    <s v=""/>
    <s v=""/>
    <s v=""/>
    <s v=""/>
    <s v="assinatura"/>
    <n v="1443"/>
  </r>
  <r>
    <x v="27"/>
    <x v="6"/>
    <s v="6a872762ee682edc037056ca"/>
    <s v="20/08/2026 06:54:56"/>
    <s v="20/08/2026 13:12:18"/>
    <s v="Henrique"/>
    <s v="20/08/2026"/>
    <s v="Guapiaçu"/>
    <s v="1 ° Turno"/>
    <n v="156"/>
    <n v="2842"/>
    <s v="EDMAR FELIPE MARTINS"/>
    <n v="40"/>
    <n v="40"/>
    <n v="21"/>
    <n v="21"/>
    <n v="0"/>
    <n v="0"/>
    <n v="1"/>
    <n v="1"/>
    <n v="0"/>
    <n v="0"/>
    <n v="0"/>
    <n v="0"/>
    <n v="1"/>
    <n v="0.32051282051282048"/>
    <n v="3"/>
    <n v="1.9230769230769231"/>
    <n v="0"/>
    <n v="0"/>
    <n v="0"/>
    <n v="0"/>
    <n v="5"/>
    <n v="3.2051282051282048"/>
    <s v=""/>
    <n v="1"/>
    <n v="0.64102564102564097"/>
    <n v="2"/>
    <n v="1.2820512820512819"/>
    <s v=""/>
    <n v="4"/>
    <n v="2.5641025641025639"/>
    <m/>
    <m/>
    <n v="5"/>
    <n v="3.2051282051282048"/>
    <n v="1"/>
    <n v="0.64102564102564097"/>
    <s v=""/>
    <n v="19"/>
    <n v="0"/>
    <s v=""/>
    <n v="38"/>
    <n v="0"/>
    <s v=""/>
    <n v="2"/>
    <n v="1.2820512820512819"/>
    <n v="22"/>
    <n v="14"/>
    <n v="1"/>
    <n v="10"/>
    <s v=""/>
    <n v="1"/>
    <n v="0"/>
    <n v="1"/>
    <s v=""/>
    <n v="1830"/>
  </r>
  <r>
    <x v="27"/>
    <x v="6"/>
    <s v="6a872762ee682edc037056b2"/>
    <s v="20/08/2026 04:34:38"/>
    <s v="20/08/2026 13:12:18"/>
    <s v="Henrique"/>
    <s v="20/08/2026"/>
    <s v="Guapiaçu"/>
    <s v="1 ° Turno"/>
    <n v="140"/>
    <n v="3066"/>
    <s v="EDMAR FELIPE MARTINS"/>
    <n v="35"/>
    <n v="35"/>
    <n v="16"/>
    <n v="16"/>
    <n v="0"/>
    <n v="0"/>
    <n v="1"/>
    <n v="1"/>
    <n v="1"/>
    <n v="1"/>
    <n v="0"/>
    <n v="0"/>
    <n v="5"/>
    <n v="1.7857142857142856"/>
    <n v="3"/>
    <n v="2.1428571428571428"/>
    <n v="0"/>
    <n v="0"/>
    <n v="0"/>
    <n v="0"/>
    <n v="5"/>
    <n v="3.5714285714285712"/>
    <s v=""/>
    <n v="2"/>
    <n v="1.4285714285714286"/>
    <n v="2"/>
    <n v="1.4285714285714286"/>
    <s v=""/>
    <n v="5"/>
    <n v="3.5714285714285712"/>
    <m/>
    <m/>
    <n v="6"/>
    <n v="4.2857142857142856"/>
    <n v="1"/>
    <n v="0.7142857142857143"/>
    <s v=""/>
    <n v="17"/>
    <n v="0"/>
    <n v="0"/>
    <n v="34"/>
    <n v="0"/>
    <n v="0"/>
    <n v="2"/>
    <n v="1.4285714285714286"/>
    <n v="21"/>
    <n v="12"/>
    <n v="1"/>
    <n v="10"/>
    <s v=""/>
    <s v=""/>
    <s v=""/>
    <s v=""/>
    <s v="assinatura"/>
    <n v="1614"/>
  </r>
  <r>
    <x v="28"/>
    <x v="6"/>
    <s v="6a890def40c77c195945ed56"/>
    <s v="21/08/2026 21:15:44"/>
    <s v="21/08/2026 23:48:15"/>
    <s v="Henrique"/>
    <s v="21/08/2026"/>
    <s v="Guapiaçu"/>
    <s v="2 ° Turno"/>
    <n v="157"/>
    <n v="2783"/>
    <s v="JOBILIANA APARECIDA MAXIMO BERGAMINI"/>
    <n v="20"/>
    <n v="20"/>
    <n v="14"/>
    <n v="14.000000000000002"/>
    <n v="3"/>
    <n v="30"/>
    <n v="0"/>
    <n v="0"/>
    <n v="0"/>
    <n v="0"/>
    <n v="3"/>
    <n v="15"/>
    <n v="4"/>
    <n v="1.2738853503184715"/>
    <n v="10"/>
    <n v="6.369426751592357"/>
    <n v="0"/>
    <n v="0"/>
    <n v="2"/>
    <n v="1.2738853503184715"/>
    <n v="4"/>
    <n v="2.547770700636943"/>
    <s v=""/>
    <n v="1"/>
    <n v="0.63694267515923575"/>
    <n v="0"/>
    <n v="0"/>
    <s v=""/>
    <n v="6"/>
    <n v="3.8216560509554141"/>
    <m/>
    <m/>
    <n v="5"/>
    <n v="3.1847133757961785"/>
    <n v="0"/>
    <n v="0"/>
    <s v=""/>
    <n v="13"/>
    <n v="0"/>
    <n v="0"/>
    <n v="26"/>
    <n v="0"/>
    <n v="0"/>
    <n v="0"/>
    <n v="0"/>
    <n v="7"/>
    <n v="4"/>
    <n v="0"/>
    <n v="0"/>
    <s v=""/>
    <s v=""/>
    <s v=""/>
    <s v=""/>
    <s v="assinatura"/>
    <n v="125"/>
  </r>
  <r>
    <x v="28"/>
    <x v="6"/>
    <s v="6a890def40c77c195945ed3c"/>
    <s v="21/08/2026 18:27:04"/>
    <s v="21/08/2026 23:48:15"/>
    <s v="Henrique"/>
    <s v="21/08/2026"/>
    <s v="Guapiaçu"/>
    <s v="2 ° Turno"/>
    <n v="160"/>
    <n v="2833"/>
    <s v="JOBILIANA APARECIDA MAXIMO BERGAMINI"/>
    <n v="22"/>
    <n v="22"/>
    <n v="6"/>
    <n v="6"/>
    <n v="1"/>
    <n v="10"/>
    <n v="0"/>
    <n v="0"/>
    <n v="0"/>
    <n v="0"/>
    <n v="0"/>
    <n v="0"/>
    <n v="3"/>
    <n v="0.9375"/>
    <n v="13"/>
    <n v="8.125"/>
    <n v="0"/>
    <n v="0"/>
    <n v="2"/>
    <n v="1.25"/>
    <n v="2"/>
    <n v="1.25"/>
    <s v=""/>
    <n v="1"/>
    <n v="0.625"/>
    <n v="0"/>
    <n v="0"/>
    <s v=""/>
    <n v="11"/>
    <n v="6.8750000000000009"/>
    <m/>
    <m/>
    <n v="5"/>
    <n v="3.125"/>
    <n v="0"/>
    <n v="0"/>
    <s v=""/>
    <n v="12"/>
    <n v="0"/>
    <n v="0"/>
    <n v="24"/>
    <n v="0"/>
    <n v="0"/>
    <n v="3"/>
    <n v="1.875"/>
    <n v="8"/>
    <n v="3"/>
    <n v="0"/>
    <n v="0"/>
    <s v=""/>
    <s v=""/>
    <s v=""/>
    <s v=""/>
    <s v="assinatura"/>
    <n v="9681"/>
  </r>
  <r>
    <x v="28"/>
    <x v="6"/>
    <s v="6a890def40c77c195945ed24"/>
    <s v="21/08/2026 14:19:33"/>
    <s v="21/08/2026 23:48:15"/>
    <s v="Henrique"/>
    <s v="21/08/2026"/>
    <s v="Guapiaçu"/>
    <s v="2 ° Turno"/>
    <n v="141"/>
    <n v="2796"/>
    <s v="JOBILIANA APARECIDA MAXIMO BERGAMINI"/>
    <n v="25"/>
    <n v="25"/>
    <n v="7"/>
    <n v="7.0000000000000009"/>
    <n v="3"/>
    <n v="30"/>
    <n v="1"/>
    <n v="1"/>
    <n v="8"/>
    <n v="8"/>
    <n v="2"/>
    <n v="10"/>
    <n v="2"/>
    <n v="0.70921985815602839"/>
    <n v="5"/>
    <n v="3.5460992907801421"/>
    <n v="0"/>
    <n v="0"/>
    <n v="0"/>
    <n v="0"/>
    <n v="4"/>
    <n v="2.8368794326241136"/>
    <s v=""/>
    <n v="0"/>
    <n v="0"/>
    <n v="0"/>
    <n v="0"/>
    <s v=""/>
    <n v="8"/>
    <n v="5.6737588652482271"/>
    <m/>
    <m/>
    <n v="5"/>
    <n v="3.5460992907801421"/>
    <n v="0"/>
    <n v="0"/>
    <s v=""/>
    <n v="10"/>
    <n v="0"/>
    <n v="0"/>
    <n v="20"/>
    <n v="0"/>
    <n v="0"/>
    <n v="0"/>
    <n v="0"/>
    <n v="5"/>
    <n v="3"/>
    <n v="1"/>
    <n v="10"/>
    <s v=""/>
    <n v="2"/>
    <n v="0"/>
    <n v="0"/>
    <s v="assinatura"/>
    <n v="7052"/>
  </r>
  <r>
    <x v="28"/>
    <x v="6"/>
    <s v="6a887d63001482df53915e77"/>
    <s v="21/08/2026 11:47:14"/>
    <s v="21/08/2026 13:31:31"/>
    <s v="Henrique"/>
    <s v="21/08/2026"/>
    <s v="Guapiaçu"/>
    <s v="1 ° Turno"/>
    <n v="150"/>
    <n v="2753"/>
    <s v="EDMAR FELIPE MARTINS"/>
    <n v="40"/>
    <n v="40"/>
    <n v="21"/>
    <n v="21"/>
    <n v="0"/>
    <n v="0"/>
    <n v="1"/>
    <n v="1"/>
    <n v="1"/>
    <n v="1"/>
    <n v="0"/>
    <n v="0"/>
    <n v="0"/>
    <n v="0"/>
    <n v="3"/>
    <n v="2"/>
    <n v="0"/>
    <n v="0"/>
    <n v="1"/>
    <n v="0.66666666666666674"/>
    <n v="4"/>
    <n v="2.666666666666667"/>
    <s v=""/>
    <n v="1"/>
    <n v="0.66666666666666674"/>
    <n v="2"/>
    <n v="1.3333333333333335"/>
    <s v=""/>
    <n v="6"/>
    <n v="4"/>
    <m/>
    <m/>
    <n v="5"/>
    <n v="3.3333333333333335"/>
    <n v="1"/>
    <n v="0.66666666666666674"/>
    <s v=""/>
    <n v="19"/>
    <n v="0"/>
    <n v="0"/>
    <n v="38"/>
    <n v="0"/>
    <n v="0"/>
    <n v="1"/>
    <n v="0.66666666666666674"/>
    <n v="15"/>
    <n v="11"/>
    <n v="1"/>
    <n v="10"/>
    <s v=""/>
    <s v=""/>
    <s v=""/>
    <s v=""/>
    <s v=""/>
    <n v="1734"/>
  </r>
  <r>
    <x v="28"/>
    <x v="6"/>
    <s v="6a887d63001482df53915e65"/>
    <s v="21/08/2026 08:33:15"/>
    <s v="21/08/2026 13:31:31"/>
    <s v="Henrique"/>
    <s v="21/08/2026"/>
    <s v="Guapiaçu"/>
    <s v="1 ° Turno"/>
    <n v="160"/>
    <n v="2852"/>
    <s v="EDMAR FELIPE MARTINS"/>
    <n v="44"/>
    <n v="44"/>
    <n v="25"/>
    <n v="25"/>
    <n v="0"/>
    <n v="0"/>
    <n v="1"/>
    <n v="1"/>
    <n v="1"/>
    <n v="1"/>
    <n v="0"/>
    <n v="0"/>
    <n v="0"/>
    <n v="0"/>
    <n v="4"/>
    <n v="2.5"/>
    <n v="0"/>
    <n v="0"/>
    <n v="0"/>
    <n v="0"/>
    <n v="4"/>
    <n v="2.5"/>
    <s v=""/>
    <n v="3"/>
    <n v="1.875"/>
    <n v="2"/>
    <n v="1.25"/>
    <s v=""/>
    <n v="6"/>
    <n v="3.75"/>
    <m/>
    <m/>
    <n v="4"/>
    <n v="2.5"/>
    <n v="1"/>
    <n v="0.625"/>
    <s v=""/>
    <n v="17"/>
    <n v="0"/>
    <n v="0"/>
    <n v="34"/>
    <n v="0"/>
    <n v="0"/>
    <n v="1"/>
    <n v="0.625"/>
    <n v="16"/>
    <n v="13"/>
    <n v="1"/>
    <n v="10"/>
    <s v=""/>
    <n v="0"/>
    <n v="0"/>
    <n v="1"/>
    <s v=""/>
    <n v="1749"/>
  </r>
  <r>
    <x v="28"/>
    <x v="6"/>
    <s v="6a887d63001482df53915e57"/>
    <s v="21/08/2026 06:33:33"/>
    <s v="21/08/2026 13:31:31"/>
    <s v="Henrique"/>
    <s v="21/08/2026"/>
    <s v="Guapiaçu"/>
    <s v="1 ° Turno"/>
    <n v="160"/>
    <n v="2768"/>
    <s v="EDMAR FELIPE MARTINS"/>
    <n v="37"/>
    <n v="37"/>
    <n v="19"/>
    <n v="19"/>
    <n v="0"/>
    <n v="0"/>
    <n v="1"/>
    <n v="1"/>
    <n v="0"/>
    <n v="0"/>
    <n v="0"/>
    <n v="0"/>
    <n v="1"/>
    <n v="0.3125"/>
    <n v="3"/>
    <n v="1.875"/>
    <n v="0"/>
    <n v="0"/>
    <n v="4"/>
    <n v="2.5"/>
    <n v="9"/>
    <n v="5.625"/>
    <s v=""/>
    <n v="1"/>
    <n v="0.625"/>
    <n v="2"/>
    <n v="1.25"/>
    <s v=""/>
    <n v="6"/>
    <n v="3.75"/>
    <m/>
    <m/>
    <n v="7"/>
    <n v="4.375"/>
    <n v="1"/>
    <n v="0.625"/>
    <s v=""/>
    <n v="19"/>
    <n v="2"/>
    <n v="2"/>
    <n v="38"/>
    <n v="4"/>
    <n v="4"/>
    <n v="1"/>
    <n v="0.625"/>
    <n v="17"/>
    <n v="10"/>
    <n v="1"/>
    <n v="10"/>
    <s v=""/>
    <s v=""/>
    <s v=""/>
    <s v=""/>
    <s v="assinatura"/>
    <n v="2295"/>
  </r>
  <r>
    <x v="28"/>
    <x v="6"/>
    <s v="6a887d63001482df53915e4b"/>
    <s v="21/08/2026 04:26:18"/>
    <s v="21/08/2026 13:31:31"/>
    <s v="Henrique"/>
    <s v="21/08/2026"/>
    <s v="Guapiaçu"/>
    <s v="1 ° Turno"/>
    <n v="150"/>
    <n v="2768"/>
    <s v="EDMAR FELIPE MARTINS"/>
    <n v="27"/>
    <n v="27"/>
    <n v="7"/>
    <n v="7.0000000000000009"/>
    <n v="0"/>
    <n v="0"/>
    <n v="1"/>
    <n v="1"/>
    <n v="0"/>
    <n v="0"/>
    <n v="0"/>
    <n v="0"/>
    <n v="2"/>
    <n v="0.66666666666666674"/>
    <n v="3"/>
    <n v="2"/>
    <n v="0"/>
    <n v="0"/>
    <n v="0"/>
    <n v="0"/>
    <n v="5"/>
    <n v="3.3333333333333335"/>
    <s v=""/>
    <n v="1"/>
    <n v="0.66666666666666674"/>
    <n v="1"/>
    <n v="0.66666666666666674"/>
    <s v=""/>
    <n v="5"/>
    <n v="3.3333333333333335"/>
    <m/>
    <m/>
    <n v="4"/>
    <n v="2.666666666666667"/>
    <n v="1"/>
    <n v="0.66666666666666674"/>
    <s v=""/>
    <n v="20"/>
    <n v="0"/>
    <n v="0"/>
    <n v="40"/>
    <n v="0"/>
    <n v="0"/>
    <n v="2"/>
    <n v="1.3333333333333335"/>
    <n v="17"/>
    <n v="11"/>
    <n v="0"/>
    <n v="0"/>
    <s v=""/>
    <s v=""/>
    <s v=""/>
    <s v=""/>
    <s v="assinatura"/>
    <n v="1686"/>
  </r>
  <r>
    <x v="29"/>
    <x v="6"/>
    <s v="6a8d0402a7ca961a319ef8f2"/>
    <s v="24/08/2026 20:01:22"/>
    <s v="24/08/2026 23:54:58"/>
    <s v="Henrique"/>
    <s v="24/08/2026"/>
    <s v="Guapiaçu"/>
    <s v="2 ° Turno"/>
    <n v="161"/>
    <n v="2994"/>
    <s v="JOBILIANA APARECIDA MAXIMO BERGAMINI"/>
    <n v="20"/>
    <n v="20"/>
    <n v="15"/>
    <n v="15"/>
    <n v="0"/>
    <n v="0"/>
    <n v="0"/>
    <n v="0"/>
    <n v="0"/>
    <n v="0"/>
    <n v="0"/>
    <n v="0"/>
    <n v="6"/>
    <n v="1.8633540372670807"/>
    <n v="10"/>
    <n v="6.2111801242236027"/>
    <n v="0"/>
    <n v="0"/>
    <n v="2"/>
    <n v="1.2422360248447204"/>
    <n v="3"/>
    <n v="1.8633540372670807"/>
    <s v=""/>
    <n v="0"/>
    <n v="0"/>
    <n v="0"/>
    <n v="0"/>
    <s v=""/>
    <n v="6"/>
    <n v="3.7267080745341614"/>
    <m/>
    <m/>
    <n v="4"/>
    <n v="2.4844720496894408"/>
    <n v="0"/>
    <n v="0"/>
    <s v=""/>
    <n v="9"/>
    <n v="0"/>
    <n v="0"/>
    <n v="18"/>
    <n v="0"/>
    <n v="0"/>
    <n v="0"/>
    <n v="0"/>
    <n v="6"/>
    <n v="3"/>
    <n v="0"/>
    <n v="0"/>
    <s v=""/>
    <n v="6"/>
    <n v="0"/>
    <n v="0"/>
    <s v="assinatura"/>
    <n v="5467"/>
  </r>
  <r>
    <x v="29"/>
    <x v="6"/>
    <s v="6a8d0402a7ca961a319ef8e0"/>
    <s v="24/08/2026 18:53:35"/>
    <s v="24/08/2026 23:54:58"/>
    <s v="Henrique"/>
    <s v="24/08/2026"/>
    <s v="Guapiaçu"/>
    <s v="2 ° Turno"/>
    <n v="151"/>
    <n v="2970"/>
    <s v="JOBILIANA APARECIDA MAXIMO BERGAMINI"/>
    <n v="20"/>
    <n v="20"/>
    <n v="23"/>
    <n v="23"/>
    <n v="1"/>
    <n v="10"/>
    <n v="0"/>
    <n v="0"/>
    <n v="0"/>
    <n v="0"/>
    <n v="1"/>
    <n v="5"/>
    <n v="6"/>
    <n v="1.9867549668874174"/>
    <n v="13"/>
    <n v="8.6092715231788084"/>
    <n v="0"/>
    <n v="0"/>
    <n v="1"/>
    <n v="0.66225165562913912"/>
    <n v="1"/>
    <n v="0.66225165562913912"/>
    <s v=""/>
    <n v="1"/>
    <n v="0.66225165562913912"/>
    <n v="0"/>
    <n v="0"/>
    <s v=""/>
    <n v="3"/>
    <n v="1.9867549668874174"/>
    <m/>
    <m/>
    <n v="4"/>
    <n v="2.6490066225165565"/>
    <n v="0"/>
    <n v="0"/>
    <s v=""/>
    <n v="10"/>
    <n v="0"/>
    <n v="0"/>
    <n v="20"/>
    <n v="0"/>
    <n v="0"/>
    <n v="1"/>
    <n v="0.66225165562913912"/>
    <n v="17"/>
    <n v="6"/>
    <n v="0"/>
    <n v="0"/>
    <s v=""/>
    <n v="3"/>
    <n v="0"/>
    <n v="0"/>
    <s v="assinatura"/>
    <n v="3924"/>
  </r>
  <r>
    <x v="29"/>
    <x v="6"/>
    <s v="6a8d0401a7ca961a319ef8ba"/>
    <s v="24/08/2026 14:05:23"/>
    <s v="24/08/2026 23:54:57"/>
    <s v="Henrique"/>
    <s v="24/08/2026"/>
    <s v="Guapiaçu"/>
    <s v="2 ° Turno"/>
    <n v="130"/>
    <n v="3115"/>
    <s v="JOBILIANA APARECIDA MAXIMO BERGAMINI"/>
    <n v="24"/>
    <n v="24"/>
    <n v="23"/>
    <n v="23"/>
    <n v="0"/>
    <n v="0"/>
    <n v="1"/>
    <n v="1"/>
    <n v="0"/>
    <n v="0"/>
    <n v="2"/>
    <n v="10"/>
    <n v="3"/>
    <n v="1.153846153846154"/>
    <n v="12"/>
    <n v="9.2307692307692317"/>
    <n v="0"/>
    <n v="0"/>
    <n v="0"/>
    <n v="0"/>
    <n v="3"/>
    <n v="2.3076923076923079"/>
    <s v=""/>
    <n v="0"/>
    <n v="0"/>
    <n v="0"/>
    <n v="0"/>
    <s v=""/>
    <n v="5"/>
    <n v="3.8461538461538463"/>
    <m/>
    <m/>
    <n v="4"/>
    <n v="3.0769230769230771"/>
    <n v="0"/>
    <n v="0"/>
    <s v=""/>
    <n v="10"/>
    <n v="0"/>
    <n v="0"/>
    <n v="20"/>
    <n v="0"/>
    <n v="0"/>
    <n v="4"/>
    <n v="3.0769230769230771"/>
    <n v="12"/>
    <n v="6"/>
    <n v="1"/>
    <n v="10"/>
    <s v=""/>
    <n v="0"/>
    <n v="0"/>
    <n v="0"/>
    <s v="assinatura"/>
    <n v="16627"/>
  </r>
  <r>
    <x v="29"/>
    <x v="6"/>
    <s v="6a8c6e30a7ca961a319e0161"/>
    <s v="24/08/2026 11:29:23"/>
    <s v="24/08/2026 13:15:44"/>
    <s v="Henrique"/>
    <s v="24/08/2026"/>
    <s v="Guapiaçu"/>
    <s v="1 ° Turno"/>
    <n v="160"/>
    <n v="2913"/>
    <s v="EDMAR FELIPE MARTINS"/>
    <n v="27"/>
    <n v="27"/>
    <n v="12"/>
    <n v="12"/>
    <n v="0"/>
    <n v="0"/>
    <n v="1"/>
    <n v="1"/>
    <n v="1"/>
    <n v="1"/>
    <n v="0"/>
    <n v="0"/>
    <n v="14"/>
    <n v="4.375"/>
    <n v="11"/>
    <n v="6.8750000000000009"/>
    <n v="0"/>
    <n v="0"/>
    <n v="3"/>
    <n v="1.875"/>
    <n v="6"/>
    <n v="3.75"/>
    <s v=""/>
    <n v="2"/>
    <n v="1.25"/>
    <n v="1"/>
    <n v="0.625"/>
    <s v=""/>
    <n v="5"/>
    <n v="3.125"/>
    <m/>
    <m/>
    <n v="6"/>
    <n v="3.75"/>
    <n v="1"/>
    <n v="0.625"/>
    <s v=""/>
    <s v=""/>
    <s v=""/>
    <s v=""/>
    <s v=""/>
    <s v=""/>
    <s v=""/>
    <s v=""/>
    <s v=""/>
    <s v=""/>
    <s v=""/>
    <s v=""/>
    <s v=""/>
    <s v=""/>
    <s v=""/>
    <s v=""/>
    <s v=""/>
    <s v="assinatura"/>
    <n v="2242"/>
  </r>
  <r>
    <x v="29"/>
    <x v="6"/>
    <s v="6a8c6e30a7ca961a319e0155"/>
    <s v="24/08/2026 08:23:42"/>
    <s v="24/08/2026 13:15:44"/>
    <s v="Henrique"/>
    <s v="24/08/2026"/>
    <s v="Guapiaçu"/>
    <s v="1 ° Turno"/>
    <n v="156"/>
    <n v="2946"/>
    <s v="EDMAR FELIPE MARTINS"/>
    <n v="28"/>
    <n v="28.000000000000004"/>
    <n v="11"/>
    <n v="11"/>
    <n v="0"/>
    <n v="0"/>
    <n v="1"/>
    <n v="1"/>
    <n v="1"/>
    <n v="1"/>
    <n v="0"/>
    <n v="0"/>
    <n v="2"/>
    <n v="0.64102564102564097"/>
    <n v="19"/>
    <n v="12.179487179487179"/>
    <n v="0"/>
    <n v="0"/>
    <n v="2"/>
    <n v="1.2820512820512819"/>
    <n v="6"/>
    <n v="3.8461538461538463"/>
    <s v=""/>
    <n v="1"/>
    <n v="0.64102564102564097"/>
    <n v="1"/>
    <n v="0.64102564102564097"/>
    <s v=""/>
    <n v="6"/>
    <n v="3.8461538461538463"/>
    <m/>
    <m/>
    <n v="5"/>
    <n v="3.2051282051282048"/>
    <n v="0"/>
    <n v="0"/>
    <s v=""/>
    <n v="17"/>
    <n v="0"/>
    <n v="0"/>
    <n v="34"/>
    <n v="0"/>
    <n v="0"/>
    <n v="0"/>
    <n v="0"/>
    <n v="22"/>
    <n v="10"/>
    <n v="1"/>
    <n v="10"/>
    <s v=""/>
    <n v="0"/>
    <n v="0"/>
    <n v="1"/>
    <s v="assinatura"/>
    <n v="1677"/>
  </r>
  <r>
    <x v="29"/>
    <x v="6"/>
    <s v="6a8c6e2fa7ca961a319e0149"/>
    <s v="24/08/2026 06:43:14"/>
    <s v="24/08/2026 13:15:43"/>
    <s v="Henrique"/>
    <s v="24/08/2026"/>
    <s v="Guapiaçu"/>
    <s v="1 ° Turno"/>
    <n v="140"/>
    <n v="2939"/>
    <s v="EDMAR FELIPE MARTINS"/>
    <n v="14"/>
    <n v="14.000000000000002"/>
    <n v="5"/>
    <n v="5"/>
    <n v="0"/>
    <n v="0"/>
    <n v="4"/>
    <n v="4"/>
    <n v="1"/>
    <n v="1"/>
    <n v="0"/>
    <n v="0"/>
    <n v="1"/>
    <n v="0.35714285714285715"/>
    <n v="22"/>
    <n v="15.714285714285714"/>
    <n v="0"/>
    <n v="0"/>
    <n v="3"/>
    <n v="2.1428571428571428"/>
    <n v="6"/>
    <n v="4.2857142857142856"/>
    <s v=""/>
    <n v="1"/>
    <n v="0.7142857142857143"/>
    <n v="1"/>
    <n v="0.7142857142857143"/>
    <s v=""/>
    <n v="5"/>
    <n v="3.5714285714285712"/>
    <m/>
    <m/>
    <n v="5"/>
    <n v="3.5714285714285712"/>
    <n v="1"/>
    <n v="0.7142857142857143"/>
    <s v=""/>
    <n v="17"/>
    <n v="0"/>
    <n v="0"/>
    <n v="34"/>
    <n v="0"/>
    <n v="0"/>
    <n v="0"/>
    <n v="0"/>
    <n v="23"/>
    <n v="12"/>
    <n v="0"/>
    <n v="0"/>
    <s v=""/>
    <s v=""/>
    <s v=""/>
    <s v=""/>
    <s v="assinatura"/>
    <n v="1689"/>
  </r>
  <r>
    <x v="29"/>
    <x v="6"/>
    <s v="6a8c6e2fa7ca961a319e0137"/>
    <s v="24/08/2026 04:41:03"/>
    <s v="24/08/2026 13:15:43"/>
    <s v="Henrique"/>
    <s v="24/08/2026"/>
    <s v="Guapiaçu"/>
    <s v="1 ° Turno"/>
    <n v="140"/>
    <n v="3083"/>
    <s v="EDMAR FELIPE MARTINS"/>
    <n v="13"/>
    <n v="13"/>
    <n v="3"/>
    <n v="3"/>
    <n v="0"/>
    <n v="0"/>
    <n v="1"/>
    <n v="1"/>
    <n v="2"/>
    <n v="2"/>
    <n v="0"/>
    <n v="0"/>
    <n v="1"/>
    <n v="0.35714285714285715"/>
    <n v="11"/>
    <n v="7.8571428571428568"/>
    <n v="0"/>
    <n v="0"/>
    <n v="2"/>
    <n v="1.4285714285714286"/>
    <n v="7"/>
    <n v="5"/>
    <s v=""/>
    <n v="1"/>
    <n v="0.7142857142857143"/>
    <n v="2"/>
    <n v="1.4285714285714286"/>
    <s v=""/>
    <n v="5"/>
    <n v="3.5714285714285712"/>
    <m/>
    <m/>
    <n v="4"/>
    <n v="2.8571428571428572"/>
    <n v="1"/>
    <n v="0.7142857142857143"/>
    <s v=""/>
    <n v="15"/>
    <n v="0"/>
    <n v="0"/>
    <n v="30"/>
    <n v="0"/>
    <n v="0"/>
    <n v="2"/>
    <n v="1.4285714285714286"/>
    <n v="17"/>
    <n v="11"/>
    <n v="1"/>
    <n v="10"/>
    <s v=""/>
    <s v=""/>
    <s v=""/>
    <s v=""/>
    <s v="assinatura"/>
    <n v="3446"/>
  </r>
  <r>
    <x v="30"/>
    <x v="6"/>
    <s v="6a8e50cec85c6c9beeedfcaa"/>
    <s v="25/08/2026 21:42:39"/>
    <s v="25/08/2026 23:34:54"/>
    <s v="Henrique"/>
    <s v="25/08/2026"/>
    <s v="Guapiaçu"/>
    <s v="2 ° Turno"/>
    <n v="151"/>
    <n v="2898"/>
    <s v="JOBILIANA APARECIDA MAXIMO BERGAMINI"/>
    <n v="20"/>
    <n v="20"/>
    <n v="15"/>
    <n v="15"/>
    <n v="0"/>
    <n v="0"/>
    <n v="0"/>
    <n v="0"/>
    <n v="0"/>
    <n v="0"/>
    <n v="0"/>
    <n v="0"/>
    <n v="3"/>
    <n v="0.99337748344370869"/>
    <n v="6"/>
    <n v="3.9735099337748347"/>
    <n v="0"/>
    <n v="0"/>
    <n v="0"/>
    <n v="0"/>
    <n v="2"/>
    <n v="1.3245033112582782"/>
    <s v=""/>
    <n v="1"/>
    <n v="0.66225165562913912"/>
    <n v="0"/>
    <n v="0"/>
    <s v=""/>
    <n v="5"/>
    <n v="3.3112582781456954"/>
    <m/>
    <m/>
    <n v="4"/>
    <n v="2.6490066225165565"/>
    <n v="0"/>
    <n v="0"/>
    <s v=""/>
    <n v="12"/>
    <n v="0"/>
    <n v="0"/>
    <n v="24"/>
    <n v="0"/>
    <n v="0"/>
    <n v="0"/>
    <n v="0"/>
    <n v="8"/>
    <n v="4"/>
    <n v="0"/>
    <n v="0"/>
    <s v=""/>
    <n v="7"/>
    <n v="0"/>
    <n v="0"/>
    <s v="assinatura"/>
    <n v="186"/>
  </r>
  <r>
    <x v="30"/>
    <x v="6"/>
    <s v="6a8e50cdc85c6c9beeedfc92"/>
    <s v="25/08/2026 19:17:50"/>
    <s v="25/08/2026 23:34:53"/>
    <s v="Henrique"/>
    <s v="25/08/2026"/>
    <s v="Guapiaçu"/>
    <s v="2 ° Turno"/>
    <n v="160"/>
    <n v="3102"/>
    <s v="JOBILIANA APARECIDA MAXIMO BERGAMINI"/>
    <n v="19"/>
    <n v="19"/>
    <n v="3"/>
    <n v="3"/>
    <n v="0"/>
    <n v="0"/>
    <n v="0"/>
    <n v="0"/>
    <n v="0"/>
    <n v="0"/>
    <n v="1"/>
    <n v="5"/>
    <n v="3"/>
    <n v="0.9375"/>
    <n v="21"/>
    <n v="13.125"/>
    <n v="0"/>
    <n v="0"/>
    <n v="0"/>
    <n v="0"/>
    <n v="4"/>
    <n v="2.5"/>
    <s v=""/>
    <n v="3"/>
    <n v="1.875"/>
    <n v="0"/>
    <n v="0"/>
    <s v=""/>
    <n v="2"/>
    <n v="1.25"/>
    <m/>
    <m/>
    <n v="2"/>
    <n v="1.25"/>
    <n v="0"/>
    <n v="0"/>
    <s v=""/>
    <n v="11"/>
    <n v="0"/>
    <n v="0"/>
    <n v="22"/>
    <n v="0"/>
    <n v="0"/>
    <n v="0"/>
    <n v="0"/>
    <n v="5"/>
    <n v="2"/>
    <n v="0"/>
    <n v="0"/>
    <s v=""/>
    <n v="5"/>
    <n v="0"/>
    <n v="0"/>
    <s v="assinatura"/>
    <n v="7309"/>
  </r>
  <r>
    <x v="30"/>
    <x v="6"/>
    <s v="6a8e50cdc85c6c9beeedfc74"/>
    <s v="25/08/2026 14:27:54"/>
    <s v="25/08/2026 23:34:53"/>
    <s v="Henrique"/>
    <s v="25/08/2026"/>
    <s v="Guapiaçu"/>
    <s v="2 ° Turno"/>
    <n v="127"/>
    <n v="2953"/>
    <s v="JOBILIANA APARECIDA MAXIMO BERGAMINI"/>
    <n v="17"/>
    <n v="17"/>
    <n v="5"/>
    <n v="5"/>
    <n v="0"/>
    <n v="0"/>
    <n v="6"/>
    <n v="6"/>
    <n v="3"/>
    <n v="3"/>
    <n v="2"/>
    <n v="10"/>
    <n v="1"/>
    <n v="0.39370078740157477"/>
    <n v="8"/>
    <n v="6.2992125984251963"/>
    <n v="0"/>
    <n v="0"/>
    <n v="0"/>
    <n v="0"/>
    <n v="4"/>
    <n v="3.1496062992125982"/>
    <s v=""/>
    <n v="1"/>
    <n v="0.78740157480314954"/>
    <n v="0"/>
    <n v="0"/>
    <s v=""/>
    <n v="4"/>
    <n v="3.1496062992125982"/>
    <m/>
    <m/>
    <n v="3"/>
    <n v="2.3622047244094486"/>
    <n v="0"/>
    <n v="0"/>
    <s v=""/>
    <n v="9"/>
    <n v="1"/>
    <n v="1"/>
    <n v="18"/>
    <n v="2"/>
    <n v="2"/>
    <n v="0"/>
    <n v="0"/>
    <n v="10"/>
    <n v="5"/>
    <n v="0"/>
    <n v="0"/>
    <s v=""/>
    <n v="0"/>
    <n v="0"/>
    <n v="0"/>
    <s v="assinatura"/>
    <n v="9491"/>
  </r>
  <r>
    <x v="30"/>
    <x v="6"/>
    <s v="6a8dbc3fd51d7493f8fde0e8"/>
    <s v="25/08/2026 11:33:25"/>
    <s v="25/08/2026 13:01:03"/>
    <s v="Henrique"/>
    <s v="25/08/2026"/>
    <s v="Guapiaçu"/>
    <s v="1 ° Turno"/>
    <n v="160"/>
    <n v="2934"/>
    <s v="EDMAR FELIPE MARTINS"/>
    <n v="35"/>
    <n v="35"/>
    <n v="21"/>
    <n v="21"/>
    <n v="0"/>
    <n v="0"/>
    <n v="1"/>
    <n v="1"/>
    <n v="1"/>
    <n v="1"/>
    <n v="0"/>
    <n v="0"/>
    <n v="6"/>
    <n v="1.875"/>
    <n v="12"/>
    <n v="7.5"/>
    <n v="0"/>
    <n v="0"/>
    <n v="1"/>
    <n v="0.625"/>
    <n v="5"/>
    <n v="3.125"/>
    <s v=""/>
    <n v="2"/>
    <n v="1.25"/>
    <n v="2"/>
    <n v="1.25"/>
    <s v=""/>
    <n v="5"/>
    <n v="3.125"/>
    <m/>
    <m/>
    <n v="6"/>
    <n v="3.75"/>
    <n v="1"/>
    <n v="0.625"/>
    <s v=""/>
    <n v="15"/>
    <n v="0"/>
    <n v="0"/>
    <n v="30"/>
    <n v="0"/>
    <n v="0"/>
    <n v="1"/>
    <n v="0.625"/>
    <n v="13"/>
    <n v="12"/>
    <n v="1"/>
    <n v="10"/>
    <s v=""/>
    <s v=""/>
    <s v=""/>
    <s v=""/>
    <s v="assinatura"/>
    <n v="2007"/>
  </r>
  <r>
    <x v="30"/>
    <x v="6"/>
    <s v="6a8dbc3fd51d7493f8fde0d6"/>
    <s v="25/08/2026 08:42:19"/>
    <s v="25/08/2026 13:01:03"/>
    <s v="Henrique"/>
    <s v="25/08/2026"/>
    <s v="Guapiaçu"/>
    <s v="1 ° Turno"/>
    <n v="156"/>
    <n v="2854"/>
    <s v="EDMAR FELIPE MARTINS"/>
    <n v="41"/>
    <n v="41"/>
    <n v="23"/>
    <n v="23"/>
    <n v="0"/>
    <n v="0"/>
    <n v="1"/>
    <n v="1"/>
    <n v="1"/>
    <n v="1"/>
    <n v="0"/>
    <n v="0"/>
    <n v="4"/>
    <n v="1.2820512820512819"/>
    <n v="20"/>
    <n v="12.820512820512819"/>
    <n v="0"/>
    <n v="0"/>
    <n v="2"/>
    <n v="1.2820512820512819"/>
    <n v="7"/>
    <n v="4.4871794871794872"/>
    <s v=""/>
    <n v="2"/>
    <n v="1.2820512820512819"/>
    <n v="2"/>
    <n v="1.2820512820512819"/>
    <s v=""/>
    <n v="5"/>
    <n v="3.2051282051282048"/>
    <m/>
    <m/>
    <n v="6"/>
    <n v="3.8461538461538463"/>
    <n v="1"/>
    <n v="0.64102564102564097"/>
    <s v=""/>
    <n v="17"/>
    <n v="0"/>
    <n v="0"/>
    <n v="34"/>
    <n v="0"/>
    <n v="0"/>
    <n v="1"/>
    <n v="0.64102564102564097"/>
    <n v="19"/>
    <n v="12"/>
    <n v="1"/>
    <n v="10"/>
    <s v=""/>
    <n v="2"/>
    <n v="0"/>
    <n v="3"/>
    <s v="assinatura"/>
    <n v="1819"/>
  </r>
  <r>
    <x v="30"/>
    <x v="6"/>
    <s v="6a8dbc3ed51d7493f8fde0c4"/>
    <s v="25/08/2026 07:04:38"/>
    <s v="25/08/2026 13:01:02"/>
    <s v="Henrique"/>
    <s v="25/08/2026"/>
    <s v="Guapiaçu"/>
    <s v="1 ° Turno"/>
    <n v="156"/>
    <n v="2771"/>
    <s v="EDMAR FELIPE MARTINS"/>
    <n v="25"/>
    <n v="25"/>
    <n v="8"/>
    <n v="8"/>
    <n v="0"/>
    <n v="0"/>
    <n v="1"/>
    <n v="1"/>
    <n v="0"/>
    <n v="0"/>
    <n v="0"/>
    <n v="0"/>
    <n v="2"/>
    <n v="0.64102564102564097"/>
    <n v="22"/>
    <n v="14.102564102564102"/>
    <n v="1"/>
    <n v="0.64102564102564097"/>
    <n v="2"/>
    <n v="1.2820512820512819"/>
    <n v="7"/>
    <n v="4.4871794871794872"/>
    <s v=""/>
    <n v="2"/>
    <n v="1.2820512820512819"/>
    <n v="1"/>
    <n v="0.64102564102564097"/>
    <s v=""/>
    <n v="6"/>
    <n v="3.8461538461538463"/>
    <m/>
    <m/>
    <n v="6"/>
    <n v="3.8461538461538463"/>
    <n v="1"/>
    <n v="0.64102564102564097"/>
    <s v=""/>
    <n v="20"/>
    <n v="0"/>
    <n v="0"/>
    <n v="40"/>
    <n v="0"/>
    <n v="0"/>
    <n v="1"/>
    <n v="0.64102564102564097"/>
    <n v="23"/>
    <n v="11"/>
    <n v="0"/>
    <n v="0"/>
    <s v=""/>
    <n v="1"/>
    <n v="0"/>
    <n v="1"/>
    <s v="assinatura"/>
    <n v="1591"/>
  </r>
  <r>
    <x v="30"/>
    <x v="6"/>
    <s v="6a8dbc3ed51d7493f8fde0ac"/>
    <s v="25/08/2026 04:44:45"/>
    <s v="25/08/2026 13:01:02"/>
    <s v="Henrique"/>
    <s v="25/08/2026"/>
    <s v="Guapiaçu"/>
    <s v="1 ° Turno"/>
    <n v="150"/>
    <n v="2815"/>
    <s v="EDMAR FELIPE MARTINS"/>
    <n v="23"/>
    <n v="23"/>
    <n v="5"/>
    <n v="5"/>
    <n v="0"/>
    <n v="0"/>
    <n v="2"/>
    <n v="2"/>
    <n v="1"/>
    <n v="1"/>
    <n v="0"/>
    <n v="0"/>
    <n v="2"/>
    <n v="0.66666666666666674"/>
    <n v="18"/>
    <n v="12"/>
    <n v="1"/>
    <n v="0.66666666666666674"/>
    <n v="2"/>
    <n v="1.3333333333333335"/>
    <n v="6"/>
    <n v="4"/>
    <s v=""/>
    <n v="1"/>
    <n v="0.66666666666666674"/>
    <n v="1"/>
    <n v="0.66666666666666674"/>
    <s v=""/>
    <n v="5"/>
    <n v="3.3333333333333335"/>
    <m/>
    <m/>
    <n v="6"/>
    <n v="4"/>
    <n v="1"/>
    <n v="0.66666666666666674"/>
    <s v=""/>
    <n v="15"/>
    <n v="0"/>
    <n v="0"/>
    <n v="30"/>
    <n v="0"/>
    <n v="0"/>
    <n v="0"/>
    <n v="0"/>
    <n v="26"/>
    <n v="10"/>
    <n v="0"/>
    <n v="0"/>
    <s v=""/>
    <s v=""/>
    <s v=""/>
    <s v=""/>
    <s v="assinatura"/>
    <n v="1882"/>
  </r>
  <r>
    <x v="31"/>
    <x v="6"/>
    <s v="6a8fa4e7de22f29e5a7efc97"/>
    <s v="26/08/2026 21:28:57"/>
    <s v="26/08/2026 23:45:59"/>
    <s v="Henrique"/>
    <s v="26/08/2026"/>
    <s v="Guapiaçu"/>
    <s v="2 ° Turno"/>
    <n v="159"/>
    <n v="2937"/>
    <s v="JOBILIANA APARECIDA MAXIMO BERGAMINI"/>
    <n v="20"/>
    <n v="20"/>
    <n v="14"/>
    <n v="14.000000000000002"/>
    <n v="0"/>
    <n v="0"/>
    <n v="0"/>
    <n v="0"/>
    <n v="0"/>
    <n v="0"/>
    <n v="0"/>
    <n v="0"/>
    <n v="3"/>
    <n v="0.94339622641509435"/>
    <n v="4"/>
    <n v="2.5157232704402519"/>
    <n v="0"/>
    <n v="0"/>
    <n v="1"/>
    <n v="0.62893081761006298"/>
    <n v="5"/>
    <n v="3.1446540880503147"/>
    <s v=""/>
    <n v="0"/>
    <n v="0"/>
    <n v="0"/>
    <n v="0"/>
    <s v=""/>
    <n v="7"/>
    <n v="4.4025157232704402"/>
    <m/>
    <m/>
    <n v="5"/>
    <n v="3.1446540880503147"/>
    <n v="0"/>
    <n v="0"/>
    <s v=""/>
    <n v="10"/>
    <n v="0"/>
    <n v="0"/>
    <n v="20"/>
    <n v="0"/>
    <n v="0"/>
    <n v="0"/>
    <n v="0"/>
    <n v="6"/>
    <n v="3"/>
    <n v="0"/>
    <n v="0"/>
    <s v=""/>
    <n v="1"/>
    <n v="0"/>
    <n v="0"/>
    <s v="assinatura"/>
    <n v="272"/>
  </r>
  <r>
    <x v="31"/>
    <x v="6"/>
    <s v="6a8fa4e7de22f29e5a7efc7d"/>
    <s v="26/08/2026 19:00:27"/>
    <s v="26/08/2026 23:45:59"/>
    <s v="Henrique"/>
    <s v="26/08/2026"/>
    <s v="Guapiaçu"/>
    <s v="2 ° Turno"/>
    <n v="161"/>
    <n v="3033"/>
    <s v="JOBILIANA APARECIDA MAXIMO BERGAMINI"/>
    <n v="18"/>
    <n v="18"/>
    <n v="28"/>
    <n v="28.000000000000004"/>
    <n v="0"/>
    <n v="0"/>
    <n v="0"/>
    <n v="0"/>
    <n v="0"/>
    <n v="0"/>
    <n v="0"/>
    <n v="0"/>
    <n v="1"/>
    <n v="0.3105590062111801"/>
    <n v="7"/>
    <n v="4.3478260869565215"/>
    <n v="0"/>
    <n v="0"/>
    <n v="0"/>
    <n v="0"/>
    <n v="3"/>
    <n v="1.8633540372670807"/>
    <s v=""/>
    <n v="1"/>
    <n v="0.6211180124223602"/>
    <n v="0"/>
    <n v="0"/>
    <s v=""/>
    <n v="9"/>
    <n v="5.5900621118012426"/>
    <m/>
    <m/>
    <n v="4"/>
    <n v="2.4844720496894408"/>
    <n v="2"/>
    <n v="1.2422360248447204"/>
    <s v=""/>
    <n v="6"/>
    <n v="0"/>
    <n v="0"/>
    <n v="12"/>
    <n v="0"/>
    <n v="0"/>
    <n v="0"/>
    <n v="0"/>
    <n v="3"/>
    <n v="2"/>
    <n v="0"/>
    <n v="0"/>
    <s v=""/>
    <n v="0"/>
    <n v="0"/>
    <n v="0"/>
    <s v="assinatura"/>
    <n v="8905"/>
  </r>
  <r>
    <x v="31"/>
    <x v="6"/>
    <s v="6a8fa4e6de22f29e5a7efc59"/>
    <s v="26/08/2026 14:14:39"/>
    <s v="26/08/2026 23:45:58"/>
    <s v="Henrique"/>
    <s v="26/08/2026"/>
    <s v="Guapiaçu"/>
    <s v="2 ° Turno"/>
    <n v="130"/>
    <n v="2840"/>
    <s v="JOBILIANA APARECIDA MAXIMO BERGAMINI"/>
    <n v="5"/>
    <n v="5"/>
    <n v="7"/>
    <n v="7.0000000000000009"/>
    <n v="0"/>
    <n v="0"/>
    <n v="0"/>
    <n v="0"/>
    <n v="0"/>
    <n v="0"/>
    <n v="1"/>
    <n v="5"/>
    <n v="0"/>
    <n v="0"/>
    <n v="10"/>
    <n v="7.6923076923076925"/>
    <n v="0"/>
    <n v="0"/>
    <n v="0"/>
    <n v="0"/>
    <n v="1"/>
    <n v="0.76923076923076927"/>
    <s v=""/>
    <n v="0"/>
    <n v="0"/>
    <n v="0"/>
    <n v="0"/>
    <s v=""/>
    <n v="5"/>
    <n v="3.8461538461538463"/>
    <m/>
    <m/>
    <n v="2"/>
    <n v="1.5384615384615385"/>
    <n v="0"/>
    <n v="0"/>
    <s v=""/>
    <n v="6"/>
    <n v="0"/>
    <n v="0"/>
    <n v="12"/>
    <n v="0"/>
    <n v="0"/>
    <n v="0"/>
    <n v="0"/>
    <n v="4"/>
    <n v="3"/>
    <n v="0"/>
    <n v="0"/>
    <s v=""/>
    <n v="0"/>
    <n v="0"/>
    <n v="0"/>
    <s v="assinatura"/>
    <n v="6186"/>
  </r>
  <r>
    <x v="31"/>
    <x v="6"/>
    <s v="6a8f0d2d583c42f9e2c764d2"/>
    <s v="26/08/2026 11:35:01"/>
    <s v="26/08/2026 12:58:37"/>
    <s v="Henrique"/>
    <s v="26/08/2026"/>
    <s v="Guapiaçu"/>
    <s v="1 ° Turno"/>
    <n v="150"/>
    <n v="3120"/>
    <s v="EDMAR FELIPE MARTINS"/>
    <n v="21"/>
    <n v="21"/>
    <n v="9"/>
    <n v="9"/>
    <n v="0"/>
    <n v="0"/>
    <n v="4"/>
    <n v="4"/>
    <n v="1"/>
    <n v="1"/>
    <n v="0"/>
    <n v="0"/>
    <n v="1"/>
    <n v="0.33333333333333337"/>
    <n v="10"/>
    <n v="6.666666666666667"/>
    <n v="0"/>
    <n v="0"/>
    <n v="2"/>
    <n v="1.3333333333333335"/>
    <n v="8"/>
    <n v="5.3333333333333339"/>
    <s v=""/>
    <n v="3"/>
    <n v="2"/>
    <n v="2"/>
    <n v="1.3333333333333335"/>
    <s v=""/>
    <n v="6"/>
    <n v="4"/>
    <m/>
    <m/>
    <n v="6"/>
    <n v="4"/>
    <n v="1"/>
    <n v="0.66666666666666674"/>
    <s v=""/>
    <n v="19"/>
    <n v="0"/>
    <n v="0"/>
    <n v="38"/>
    <n v="0"/>
    <n v="0"/>
    <n v="1"/>
    <n v="0.66666666666666674"/>
    <n v="21"/>
    <n v="12"/>
    <n v="1"/>
    <n v="10"/>
    <s v=""/>
    <s v=""/>
    <s v=""/>
    <s v=""/>
    <s v="assinatura"/>
    <n v="1999"/>
  </r>
  <r>
    <x v="31"/>
    <x v="6"/>
    <s v="6a8f0d2d583c42f9e2c764c0"/>
    <s v="26/08/2026 08:42:29"/>
    <s v="26/08/2026 12:58:37"/>
    <s v="Henrique"/>
    <s v="26/08/2026"/>
    <s v="Guapiaçu"/>
    <s v="1 ° Turno"/>
    <n v="150"/>
    <n v="3217"/>
    <s v="EDMAR FELIPE MARTINS"/>
    <n v="19"/>
    <n v="19"/>
    <n v="5"/>
    <n v="5"/>
    <n v="0"/>
    <n v="0"/>
    <n v="4"/>
    <n v="4"/>
    <n v="1"/>
    <n v="1"/>
    <n v="0"/>
    <n v="0"/>
    <n v="2"/>
    <n v="0.66666666666666674"/>
    <n v="8"/>
    <n v="5.3333333333333339"/>
    <n v="0"/>
    <n v="0"/>
    <n v="0"/>
    <n v="0"/>
    <n v="3"/>
    <n v="2"/>
    <s v=""/>
    <n v="1"/>
    <n v="0.66666666666666674"/>
    <n v="1"/>
    <n v="0.66666666666666674"/>
    <s v=""/>
    <n v="5"/>
    <n v="3.3333333333333335"/>
    <m/>
    <m/>
    <n v="4"/>
    <n v="2.666666666666667"/>
    <n v="1"/>
    <n v="0.66666666666666674"/>
    <s v=""/>
    <n v="17"/>
    <n v="0"/>
    <n v="0"/>
    <n v="34"/>
    <n v="0"/>
    <n v="0"/>
    <n v="1"/>
    <n v="0.66666666666666674"/>
    <n v="19"/>
    <n v="14"/>
    <n v="1"/>
    <n v="10"/>
    <s v=""/>
    <s v=""/>
    <s v=""/>
    <s v=""/>
    <s v="assinatura"/>
    <n v="1396"/>
  </r>
  <r>
    <x v="31"/>
    <x v="6"/>
    <s v="6a8f0d2d583c42f9e2c764a6"/>
    <s v="26/08/2026 06:30:51"/>
    <s v="26/08/2026 12:58:37"/>
    <s v="Henrique"/>
    <s v="26/08/2026"/>
    <s v="Guapiaçu"/>
    <s v="1 ° Turno"/>
    <n v="150"/>
    <n v="2641"/>
    <s v="EDMAR FELIPE MARTINS"/>
    <n v="29"/>
    <n v="28.999999999999996"/>
    <n v="14"/>
    <n v="14.000000000000002"/>
    <n v="0"/>
    <n v="0"/>
    <n v="1"/>
    <n v="1"/>
    <n v="0"/>
    <n v="0"/>
    <n v="0"/>
    <n v="0"/>
    <n v="1"/>
    <n v="0.33333333333333337"/>
    <n v="31"/>
    <n v="20.666666666666668"/>
    <n v="0"/>
    <n v="0"/>
    <n v="4"/>
    <n v="2.666666666666667"/>
    <n v="8"/>
    <n v="5.3333333333333339"/>
    <s v=""/>
    <n v="1"/>
    <n v="0.66666666666666674"/>
    <n v="1"/>
    <n v="0.66666666666666674"/>
    <s v=""/>
    <n v="7"/>
    <n v="4.666666666666667"/>
    <m/>
    <m/>
    <n v="8"/>
    <n v="5.3333333333333339"/>
    <n v="1"/>
    <n v="0.66666666666666674"/>
    <s v=""/>
    <n v="18"/>
    <n v="0"/>
    <n v="0"/>
    <n v="36"/>
    <n v="0"/>
    <n v="0"/>
    <n v="1"/>
    <n v="0.66666666666666674"/>
    <n v="28"/>
    <n v="14"/>
    <n v="1"/>
    <n v="10"/>
    <s v=""/>
    <s v=""/>
    <s v=""/>
    <s v=""/>
    <s v="assinatura"/>
    <n v="1577"/>
  </r>
  <r>
    <x v="31"/>
    <x v="6"/>
    <s v="6a8f0d2c583c42f9e2c76494"/>
    <s v="26/08/2026 04:27:37"/>
    <s v="26/08/2026 12:58:36"/>
    <s v="Henrique"/>
    <s v="26/08/2026"/>
    <s v="Guapiaçu"/>
    <s v="1 ° Turno"/>
    <n v="150"/>
    <n v="2679"/>
    <s v="EDMAR FELIPE MARTINS"/>
    <n v="21"/>
    <n v="21"/>
    <n v="6"/>
    <n v="6"/>
    <n v="0"/>
    <n v="0"/>
    <n v="1"/>
    <n v="1"/>
    <n v="1"/>
    <n v="1"/>
    <n v="0"/>
    <n v="0"/>
    <n v="0"/>
    <n v="0"/>
    <n v="35"/>
    <n v="23.333333333333332"/>
    <n v="0"/>
    <n v="0"/>
    <n v="3"/>
    <n v="2"/>
    <n v="10"/>
    <n v="6.666666666666667"/>
    <s v=""/>
    <n v="1"/>
    <n v="0.66666666666666674"/>
    <n v="2"/>
    <n v="1.3333333333333335"/>
    <s v=""/>
    <n v="9"/>
    <n v="6"/>
    <m/>
    <m/>
    <n v="5"/>
    <n v="3.3333333333333335"/>
    <n v="1"/>
    <n v="0.66666666666666674"/>
    <s v=""/>
    <n v="16"/>
    <n v="0"/>
    <n v="0"/>
    <n v="32"/>
    <n v="0"/>
    <n v="0"/>
    <n v="1"/>
    <n v="0.66666666666666674"/>
    <n v="21"/>
    <n v="19"/>
    <n v="1"/>
    <n v="10"/>
    <s v=""/>
    <s v=""/>
    <s v=""/>
    <s v=""/>
    <s v="assinatura"/>
    <n v="2241"/>
  </r>
  <r>
    <x v="32"/>
    <x v="6"/>
    <s v="6a90efbdb029ff26c03390fa"/>
    <s v="27/08/2026 21:14:21"/>
    <s v="27/08/2026 23:17:33"/>
    <s v="Henrique"/>
    <s v="27/08/2026"/>
    <s v="Guapiaçu"/>
    <s v="2 ° Turno"/>
    <n v="161"/>
    <n v="2616"/>
    <s v="JOBILIANA APARECIDA MAXIMO BERGAMINI"/>
    <n v="20"/>
    <n v="20"/>
    <n v="14"/>
    <n v="14.000000000000002"/>
    <n v="0"/>
    <n v="0"/>
    <n v="1"/>
    <n v="1"/>
    <n v="0"/>
    <n v="0"/>
    <n v="0"/>
    <n v="0"/>
    <n v="7"/>
    <n v="2.1739130434782608"/>
    <n v="5"/>
    <n v="3.1055900621118013"/>
    <n v="0"/>
    <n v="0"/>
    <n v="1"/>
    <n v="0.6211180124223602"/>
    <n v="2"/>
    <n v="1.2422360248447204"/>
    <s v=""/>
    <n v="0"/>
    <n v="0"/>
    <n v="0"/>
    <n v="0"/>
    <s v=""/>
    <n v="5"/>
    <n v="3.1055900621118013"/>
    <m/>
    <m/>
    <n v="4"/>
    <n v="2.4844720496894408"/>
    <n v="0"/>
    <n v="0"/>
    <s v=""/>
    <n v="7"/>
    <n v="0"/>
    <n v="0"/>
    <n v="14"/>
    <n v="0"/>
    <n v="0"/>
    <n v="0"/>
    <n v="0"/>
    <n v="4"/>
    <n v="2"/>
    <n v="0"/>
    <n v="0"/>
    <s v=""/>
    <n v="0"/>
    <n v="0"/>
    <n v="0"/>
    <s v="assinatura"/>
    <n v="1193"/>
  </r>
  <r>
    <x v="32"/>
    <x v="6"/>
    <s v="6a90efbdb029ff26c03390e8"/>
    <s v="27/08/2026 19:13:51"/>
    <s v="27/08/2026 23:17:33"/>
    <s v="Henrique"/>
    <s v="27/08/2026"/>
    <s v="Guapiaçu"/>
    <s v="2 ° Turno"/>
    <n v="148"/>
    <n v="2697"/>
    <s v="JOBILIANA APARECIDA MAXIMO BERGAMINI"/>
    <n v="29"/>
    <n v="28.999999999999996"/>
    <n v="6"/>
    <n v="6"/>
    <n v="0"/>
    <n v="0"/>
    <n v="0"/>
    <n v="0"/>
    <n v="1"/>
    <n v="1"/>
    <n v="0"/>
    <n v="0"/>
    <n v="5"/>
    <n v="1.6891891891891893"/>
    <n v="7"/>
    <n v="4.7297297297297298"/>
    <n v="0"/>
    <n v="0"/>
    <n v="5"/>
    <n v="3.3783783783783785"/>
    <n v="3"/>
    <n v="2.0270270270270272"/>
    <s v=""/>
    <n v="0"/>
    <n v="0"/>
    <n v="0"/>
    <n v="0"/>
    <s v=""/>
    <n v="4"/>
    <n v="2.7027027027027026"/>
    <m/>
    <m/>
    <n v="3"/>
    <n v="2.0270270270270272"/>
    <n v="2"/>
    <n v="1.3513513513513513"/>
    <s v=""/>
    <n v="6"/>
    <n v="0"/>
    <n v="0"/>
    <n v="12"/>
    <n v="0"/>
    <n v="0"/>
    <n v="0"/>
    <n v="0"/>
    <n v="3"/>
    <n v="1"/>
    <n v="0"/>
    <n v="0"/>
    <s v=""/>
    <n v="2"/>
    <n v="0"/>
    <n v="0"/>
    <s v="assinatura"/>
    <n v="7198"/>
  </r>
  <r>
    <x v="32"/>
    <x v="6"/>
    <s v="6a90efbcb029ff26c03390c4"/>
    <s v="27/08/2026 14:17:58"/>
    <s v="27/08/2026 23:17:32"/>
    <s v="Henrique"/>
    <s v="27/08/2026"/>
    <s v="Guapiaçu"/>
    <s v="2 ° Turno"/>
    <n v="138"/>
    <n v="2734"/>
    <s v="JOBILIANA APARECIDA MAXIMO BERGAMINI"/>
    <n v="26"/>
    <n v="26"/>
    <n v="7"/>
    <n v="7.0000000000000009"/>
    <n v="0"/>
    <n v="0"/>
    <n v="1"/>
    <n v="1"/>
    <n v="3"/>
    <n v="3"/>
    <n v="1"/>
    <n v="5"/>
    <n v="3"/>
    <n v="1.0869565217391304"/>
    <n v="8"/>
    <n v="5.7971014492753623"/>
    <n v="1"/>
    <n v="0.72463768115942029"/>
    <n v="0"/>
    <n v="0"/>
    <n v="2"/>
    <n v="1.4492753623188406"/>
    <s v=""/>
    <n v="0"/>
    <n v="0"/>
    <n v="0"/>
    <n v="0"/>
    <s v=""/>
    <n v="5"/>
    <n v="3.6231884057971016"/>
    <m/>
    <m/>
    <n v="3"/>
    <n v="2.1739130434782608"/>
    <n v="0"/>
    <n v="0"/>
    <s v=""/>
    <n v="6"/>
    <n v="0"/>
    <n v="0"/>
    <n v="12"/>
    <n v="0"/>
    <n v="0"/>
    <n v="1"/>
    <n v="0.72463768115942029"/>
    <n v="3"/>
    <n v="1"/>
    <n v="0"/>
    <n v="0"/>
    <s v=""/>
    <n v="4"/>
    <n v="0"/>
    <n v="0"/>
    <s v="assinatura"/>
    <n v="10019"/>
  </r>
  <r>
    <x v="32"/>
    <x v="6"/>
    <s v="6a90840ebc1d2960e66644c6"/>
    <s v="27/08/2026 11:37:04"/>
    <s v="27/08/2026 15:38:06"/>
    <s v="Henrique"/>
    <s v="27/08/2026"/>
    <s v="Guapiaçu"/>
    <s v="1 ° Turno"/>
    <n v="150"/>
    <n v="3071"/>
    <s v="EDMAR FELIPE MARTINS"/>
    <n v="44"/>
    <n v="44"/>
    <n v="27"/>
    <n v="27"/>
    <n v="0"/>
    <n v="0"/>
    <n v="2"/>
    <n v="2"/>
    <n v="1"/>
    <n v="1"/>
    <n v="0"/>
    <n v="0"/>
    <n v="2"/>
    <n v="0.66666666666666674"/>
    <n v="9"/>
    <n v="6"/>
    <n v="0"/>
    <n v="0"/>
    <n v="1"/>
    <n v="0.66666666666666674"/>
    <n v="6"/>
    <n v="4"/>
    <s v=""/>
    <n v="2"/>
    <n v="1.3333333333333335"/>
    <n v="2"/>
    <n v="1.3333333333333335"/>
    <s v=""/>
    <n v="5"/>
    <n v="3.3333333333333335"/>
    <m/>
    <m/>
    <n v="5"/>
    <n v="3.3333333333333335"/>
    <n v="0"/>
    <n v="0"/>
    <s v=""/>
    <n v="16"/>
    <n v="0"/>
    <n v="0"/>
    <n v="32"/>
    <n v="0"/>
    <n v="0"/>
    <n v="1"/>
    <n v="0.66666666666666674"/>
    <n v="26"/>
    <n v="13"/>
    <n v="1"/>
    <n v="10"/>
    <s v=""/>
    <s v=""/>
    <s v=""/>
    <s v=""/>
    <s v="assinatura"/>
    <n v="1490"/>
  </r>
  <r>
    <x v="32"/>
    <x v="6"/>
    <s v="6a90840ebc1d2960e66644ae"/>
    <s v="27/08/2026 08:34:52"/>
    <s v="27/08/2026 15:38:06"/>
    <s v="Henrique"/>
    <s v="27/08/2026"/>
    <s v="Guapiaçu"/>
    <s v="1 ° Turno"/>
    <n v="153"/>
    <n v="3066"/>
    <s v="EDMAR FELIPE MARTINS"/>
    <n v="25"/>
    <n v="25"/>
    <n v="7"/>
    <n v="7.0000000000000009"/>
    <n v="0"/>
    <n v="0"/>
    <n v="2"/>
    <n v="2"/>
    <n v="1"/>
    <n v="1"/>
    <n v="0"/>
    <n v="0"/>
    <n v="4"/>
    <n v="1.3071895424836601"/>
    <n v="12"/>
    <n v="7.8431372549019605"/>
    <n v="0"/>
    <n v="0"/>
    <n v="1"/>
    <n v="0.65359477124183007"/>
    <n v="6"/>
    <n v="3.9215686274509802"/>
    <s v=""/>
    <n v="3"/>
    <n v="1.9607843137254901"/>
    <n v="2"/>
    <n v="1.3071895424836601"/>
    <s v=""/>
    <n v="6"/>
    <n v="3.9215686274509802"/>
    <m/>
    <m/>
    <n v="5"/>
    <n v="3.2679738562091507"/>
    <n v="1"/>
    <n v="0.65359477124183007"/>
    <s v=""/>
    <n v="14"/>
    <n v="0"/>
    <n v="0"/>
    <n v="28"/>
    <n v="0"/>
    <n v="0"/>
    <n v="0"/>
    <n v="0"/>
    <n v="21"/>
    <n v="11"/>
    <n v="0"/>
    <n v="0"/>
    <s v=""/>
    <s v=""/>
    <s v=""/>
    <s v=""/>
    <s v=""/>
    <n v="1623"/>
  </r>
  <r>
    <x v="32"/>
    <x v="6"/>
    <s v="6a90840dbc1d2960e666449c"/>
    <s v="27/08/2026 06:55:52"/>
    <s v="27/08/2026 15:38:05"/>
    <s v="Henrique"/>
    <s v="27/08/2026"/>
    <s v="Guapiaçu"/>
    <s v="1 ° Turno"/>
    <n v="155"/>
    <n v="2959"/>
    <s v="EDMAR FELIPE MARTINS"/>
    <n v="35"/>
    <n v="35"/>
    <n v="17"/>
    <n v="17"/>
    <n v="0"/>
    <n v="0"/>
    <n v="1"/>
    <n v="1"/>
    <n v="1"/>
    <n v="1"/>
    <n v="0"/>
    <n v="0"/>
    <n v="3"/>
    <n v="0.967741935483871"/>
    <n v="12"/>
    <n v="7.741935483870968"/>
    <n v="0"/>
    <n v="0"/>
    <n v="3"/>
    <n v="1.935483870967742"/>
    <n v="9"/>
    <n v="5.806451612903226"/>
    <s v=""/>
    <n v="3"/>
    <n v="1.935483870967742"/>
    <n v="2"/>
    <n v="1.2903225806451613"/>
    <s v=""/>
    <n v="6"/>
    <n v="3.870967741935484"/>
    <m/>
    <m/>
    <n v="5"/>
    <n v="3.225806451612903"/>
    <n v="1"/>
    <n v="0.64516129032258063"/>
    <s v=""/>
    <n v="17"/>
    <n v="0"/>
    <n v="0"/>
    <n v="34"/>
    <n v="0"/>
    <n v="0"/>
    <n v="1"/>
    <n v="0.64516129032258063"/>
    <n v="23"/>
    <n v="13"/>
    <n v="1"/>
    <n v="10"/>
    <s v=""/>
    <n v="0"/>
    <n v="0"/>
    <n v="2"/>
    <s v="assinatura"/>
    <n v="1762"/>
  </r>
  <r>
    <x v="32"/>
    <x v="6"/>
    <s v="6a90840dbc1d2960e6664484"/>
    <s v="27/08/2026 04:55:02"/>
    <s v="27/08/2026 15:38:05"/>
    <s v="Henrique"/>
    <s v="27/08/2026"/>
    <s v="Guapiaçu"/>
    <s v="1 ° Turno"/>
    <n v="150"/>
    <n v="2757"/>
    <s v="EDMAR FELIPE MARTINS"/>
    <n v="35"/>
    <n v="35"/>
    <n v="15"/>
    <n v="15"/>
    <n v="0"/>
    <n v="0"/>
    <n v="1"/>
    <n v="1"/>
    <n v="0"/>
    <n v="0"/>
    <n v="0"/>
    <n v="0"/>
    <n v="1"/>
    <n v="0.33333333333333337"/>
    <n v="9"/>
    <n v="6"/>
    <n v="0"/>
    <n v="0"/>
    <n v="2"/>
    <n v="1.3333333333333335"/>
    <n v="8"/>
    <n v="5.3333333333333339"/>
    <s v=""/>
    <n v="1"/>
    <n v="0.66666666666666674"/>
    <n v="1"/>
    <n v="0.66666666666666674"/>
    <s v=""/>
    <n v="4"/>
    <n v="2.666666666666667"/>
    <m/>
    <m/>
    <n v="6"/>
    <n v="4"/>
    <n v="1"/>
    <n v="0.66666666666666674"/>
    <s v=""/>
    <n v="15"/>
    <n v="0"/>
    <n v="0"/>
    <n v="30"/>
    <n v="0"/>
    <n v="0"/>
    <n v="0"/>
    <n v="0"/>
    <n v="25"/>
    <n v="10"/>
    <n v="1"/>
    <n v="10"/>
    <s v=""/>
    <s v=""/>
    <s v=""/>
    <s v=""/>
    <s v=""/>
    <n v="1687"/>
  </r>
  <r>
    <x v="33"/>
    <x v="6"/>
    <s v="6a923a5abc1d2960e6699f85"/>
    <s v="28/08/2026 21:05:23"/>
    <s v="28/08/2026 22:48:10"/>
    <s v="Henrique"/>
    <s v="28/08/2026"/>
    <s v="Guapiaçu"/>
    <s v="2 ° Turno"/>
    <n v="161"/>
    <n v="2761"/>
    <s v="JOBILIANA APARECIDA MAXIMO BERGAMINI"/>
    <n v="20"/>
    <n v="20"/>
    <n v="15"/>
    <n v="15"/>
    <n v="0"/>
    <n v="0"/>
    <n v="0"/>
    <n v="0"/>
    <n v="0"/>
    <n v="0"/>
    <n v="0"/>
    <n v="0"/>
    <n v="3"/>
    <n v="0.93167701863354035"/>
    <n v="3"/>
    <n v="1.8633540372670807"/>
    <n v="0"/>
    <n v="0"/>
    <n v="2"/>
    <n v="1.2422360248447204"/>
    <n v="3"/>
    <n v="1.8633540372670807"/>
    <s v=""/>
    <n v="0"/>
    <n v="0"/>
    <n v="0"/>
    <n v="0"/>
    <s v=""/>
    <n v="5"/>
    <n v="3.1055900621118013"/>
    <m/>
    <m/>
    <n v="4"/>
    <n v="2.4844720496894408"/>
    <n v="0"/>
    <n v="0"/>
    <s v=""/>
    <n v="6"/>
    <n v="0"/>
    <n v="0"/>
    <n v="12"/>
    <n v="0"/>
    <n v="0"/>
    <n v="0"/>
    <n v="0"/>
    <n v="4"/>
    <n v="3"/>
    <n v="0"/>
    <n v="0"/>
    <s v=""/>
    <n v="1"/>
    <n v="0"/>
    <n v="0"/>
    <s v="assinatura"/>
    <n v="1002"/>
  </r>
  <r>
    <x v="33"/>
    <x v="6"/>
    <s v="6a923a5abc1d2960e6699f6d"/>
    <s v="28/08/2026 18:09:35"/>
    <s v="28/08/2026 22:48:10"/>
    <s v="Henrique"/>
    <s v="28/08/2026"/>
    <s v="Guapiaçu"/>
    <s v="2 ° Turno"/>
    <n v="131"/>
    <n v="6926"/>
    <s v="JOBILIANA APARECIDA MAXIMO BERGAMINI"/>
    <n v="22"/>
    <n v="22"/>
    <n v="20"/>
    <n v="20"/>
    <n v="0"/>
    <n v="0"/>
    <n v="0"/>
    <n v="0"/>
    <n v="0"/>
    <n v="0"/>
    <n v="1"/>
    <n v="5"/>
    <n v="6"/>
    <n v="2.2900763358778624"/>
    <n v="3"/>
    <n v="2.2900763358778624"/>
    <n v="0"/>
    <n v="0"/>
    <n v="1"/>
    <n v="0.76335877862595414"/>
    <n v="2"/>
    <n v="1.5267175572519083"/>
    <s v=""/>
    <n v="0"/>
    <n v="0"/>
    <n v="0"/>
    <n v="0"/>
    <s v=""/>
    <n v="3"/>
    <n v="2.2900763358778624"/>
    <m/>
    <m/>
    <n v="3"/>
    <n v="2.2900763358778624"/>
    <n v="1"/>
    <n v="0.76335877862595414"/>
    <s v=""/>
    <n v="5"/>
    <n v="1"/>
    <n v="0"/>
    <n v="10"/>
    <n v="2"/>
    <n v="0"/>
    <n v="0"/>
    <n v="0"/>
    <n v="4"/>
    <n v="3"/>
    <n v="0"/>
    <n v="0"/>
    <s v=""/>
    <n v="6"/>
    <n v="0"/>
    <n v="0"/>
    <s v="assinatura"/>
    <n v="10542"/>
  </r>
  <r>
    <x v="33"/>
    <x v="6"/>
    <s v="6a923a59bc1d2960e6699f55"/>
    <s v="28/08/2026 14:18:22"/>
    <s v="28/08/2026 22:48:09"/>
    <s v="Henrique"/>
    <s v="28/08/2026"/>
    <s v="Guapiaçu"/>
    <s v="2 ° Turno"/>
    <n v="130"/>
    <n v="2701"/>
    <s v="JOBILIANA APARECIDA MAXIMO BERGAMINI"/>
    <n v="24"/>
    <n v="24"/>
    <n v="18"/>
    <n v="18"/>
    <n v="0"/>
    <n v="0"/>
    <n v="1"/>
    <n v="1"/>
    <n v="0"/>
    <n v="0"/>
    <n v="0"/>
    <n v="0"/>
    <n v="5"/>
    <n v="1.9230769230769231"/>
    <n v="4"/>
    <n v="3.0769230769230771"/>
    <n v="0"/>
    <n v="0"/>
    <n v="0"/>
    <n v="0"/>
    <n v="2"/>
    <n v="1.5384615384615385"/>
    <s v=""/>
    <n v="0"/>
    <n v="0"/>
    <n v="0"/>
    <n v="0"/>
    <s v=""/>
    <n v="2"/>
    <n v="1.5384615384615385"/>
    <m/>
    <m/>
    <n v="4"/>
    <n v="3.0769230769230771"/>
    <n v="0"/>
    <n v="0"/>
    <s v=""/>
    <n v="6"/>
    <n v="0"/>
    <n v="0"/>
    <n v="12"/>
    <n v="0"/>
    <n v="0"/>
    <n v="0"/>
    <n v="0"/>
    <n v="4"/>
    <n v="2"/>
    <n v="0"/>
    <n v="0"/>
    <s v=""/>
    <n v="3"/>
    <n v="0"/>
    <n v="0"/>
    <s v="assinatura"/>
    <n v="8118"/>
  </r>
  <r>
    <x v="33"/>
    <x v="6"/>
    <s v="6a91b697913240bc5471fe95"/>
    <s v="28/08/2026 11:39:08"/>
    <s v="28/08/2026 13:25:59"/>
    <s v="Henrique"/>
    <s v="28/08/2026"/>
    <s v="Guapiaçu"/>
    <s v="1 ° Turno"/>
    <n v="160"/>
    <n v="2688"/>
    <s v="EDMAR FELIPE MARTINS"/>
    <n v="25"/>
    <n v="25"/>
    <n v="16"/>
    <n v="16"/>
    <n v="0"/>
    <n v="0"/>
    <n v="1"/>
    <n v="1"/>
    <n v="1"/>
    <n v="1"/>
    <n v="0"/>
    <n v="0"/>
    <n v="2"/>
    <n v="0.625"/>
    <n v="4"/>
    <n v="2.5"/>
    <n v="0"/>
    <n v="0"/>
    <n v="1"/>
    <n v="0.625"/>
    <n v="6"/>
    <n v="3.75"/>
    <s v=""/>
    <n v="1"/>
    <n v="0.625"/>
    <n v="1"/>
    <n v="0.625"/>
    <s v=""/>
    <n v="5"/>
    <n v="3.125"/>
    <m/>
    <m/>
    <n v="4"/>
    <n v="2.5"/>
    <n v="0"/>
    <n v="0"/>
    <s v=""/>
    <n v="19"/>
    <n v="0"/>
    <n v="0"/>
    <n v="38"/>
    <n v="0"/>
    <n v="0"/>
    <n v="1"/>
    <n v="0.625"/>
    <n v="24"/>
    <n v="18"/>
    <n v="1"/>
    <n v="10"/>
    <s v=""/>
    <s v=""/>
    <s v=""/>
    <s v=""/>
    <s v="assinatura"/>
    <n v="1366"/>
  </r>
  <r>
    <x v="33"/>
    <x v="6"/>
    <s v="6a91b697913240bc5471fe7b"/>
    <s v="28/08/2026 08:35:28"/>
    <s v="28/08/2026 13:25:59"/>
    <s v="Henrique"/>
    <s v="28/08/2026"/>
    <s v="Guapiaçu"/>
    <s v="1 ° Turno"/>
    <n v="160"/>
    <n v="2759"/>
    <s v="EDMAR FELIPE MARTINS"/>
    <n v="27"/>
    <n v="27"/>
    <n v="8"/>
    <n v="8"/>
    <n v="0"/>
    <n v="0"/>
    <n v="2"/>
    <n v="2"/>
    <n v="1"/>
    <n v="1"/>
    <n v="0"/>
    <n v="0"/>
    <n v="1"/>
    <n v="0.3125"/>
    <n v="6"/>
    <n v="3.75"/>
    <n v="1"/>
    <n v="0.625"/>
    <n v="3"/>
    <n v="1.875"/>
    <n v="11"/>
    <n v="6.8750000000000009"/>
    <s v=""/>
    <n v="1"/>
    <n v="0.625"/>
    <n v="2"/>
    <n v="1.25"/>
    <s v=""/>
    <n v="5"/>
    <n v="3.125"/>
    <m/>
    <m/>
    <n v="7"/>
    <n v="4.375"/>
    <n v="1"/>
    <n v="0.625"/>
    <s v=""/>
    <n v="19"/>
    <n v="0"/>
    <n v="0"/>
    <n v="38"/>
    <n v="0"/>
    <n v="0"/>
    <n v="1"/>
    <n v="0.625"/>
    <n v="23"/>
    <n v="20"/>
    <n v="0"/>
    <n v="0"/>
    <s v=""/>
    <n v="0"/>
    <n v="0"/>
    <n v="2"/>
    <s v=""/>
    <n v="1506"/>
  </r>
  <r>
    <x v="33"/>
    <x v="6"/>
    <s v="6a91b697913240bc5471fe63"/>
    <s v="28/08/2026 06:23:24"/>
    <s v="28/08/2026 13:25:59"/>
    <s v="Henrique"/>
    <s v="28/08/2026"/>
    <s v="Guapiaçu"/>
    <s v="1 ° Turno"/>
    <n v="156"/>
    <n v="2676"/>
    <s v="EDMAR FELIPE MARTINS"/>
    <n v="28"/>
    <n v="28.000000000000004"/>
    <n v="10"/>
    <n v="10"/>
    <n v="0"/>
    <n v="0"/>
    <n v="1"/>
    <n v="1"/>
    <n v="1"/>
    <n v="1"/>
    <n v="0"/>
    <n v="0"/>
    <n v="2"/>
    <n v="0.64102564102564097"/>
    <n v="5"/>
    <n v="3.2051282051282048"/>
    <n v="0"/>
    <n v="0"/>
    <n v="1"/>
    <n v="0.64102564102564097"/>
    <n v="7"/>
    <n v="4.4871794871794872"/>
    <s v=""/>
    <n v="1"/>
    <n v="0.64102564102564097"/>
    <n v="2"/>
    <n v="1.2820512820512819"/>
    <s v=""/>
    <n v="4"/>
    <n v="2.5641025641025639"/>
    <m/>
    <m/>
    <n v="5"/>
    <n v="3.2051282051282048"/>
    <n v="1"/>
    <n v="0.64102564102564097"/>
    <s v=""/>
    <n v="18"/>
    <n v="0"/>
    <n v="0"/>
    <n v="36"/>
    <n v="0"/>
    <n v="0"/>
    <n v="1"/>
    <n v="0.64102564102564097"/>
    <n v="23"/>
    <n v="19"/>
    <n v="1"/>
    <n v="10"/>
    <s v=""/>
    <n v="1"/>
    <n v="0"/>
    <n v="1"/>
    <s v="assinatura"/>
    <n v="2203"/>
  </r>
  <r>
    <x v="33"/>
    <x v="6"/>
    <s v="6a91b696913240bc5471fe51"/>
    <s v="28/08/2026 04:30:21"/>
    <s v="28/08/2026 13:25:58"/>
    <s v="Henrique"/>
    <s v="28/08/2026"/>
    <s v="Guapiaçu"/>
    <s v="1 ° Turno"/>
    <n v="160"/>
    <n v="2768"/>
    <s v="EDMAR FELIPE MARTINS"/>
    <n v="21"/>
    <n v="21"/>
    <n v="5"/>
    <n v="5"/>
    <n v="0"/>
    <n v="0"/>
    <n v="0"/>
    <n v="0"/>
    <n v="1"/>
    <n v="1"/>
    <n v="0"/>
    <n v="0"/>
    <n v="1"/>
    <n v="0.3125"/>
    <n v="3"/>
    <n v="1.875"/>
    <n v="0"/>
    <n v="0"/>
    <n v="1"/>
    <n v="0.625"/>
    <n v="6"/>
    <n v="3.75"/>
    <s v=""/>
    <n v="1"/>
    <n v="0.625"/>
    <n v="1"/>
    <n v="0.625"/>
    <s v=""/>
    <n v="5"/>
    <n v="3.125"/>
    <m/>
    <m/>
    <n v="5"/>
    <n v="3.125"/>
    <n v="1"/>
    <n v="0.625"/>
    <s v=""/>
    <n v="15"/>
    <n v="0"/>
    <n v="0"/>
    <n v="30"/>
    <n v="0"/>
    <n v="0"/>
    <n v="0"/>
    <n v="0"/>
    <n v="19"/>
    <n v="18"/>
    <n v="1"/>
    <n v="10"/>
    <s v=""/>
    <s v=""/>
    <s v=""/>
    <s v=""/>
    <s v="assinatura"/>
    <n v="1563"/>
  </r>
  <r>
    <x v="34"/>
    <x v="8"/>
    <s v="6a96f6fceae8bd42945029be"/>
    <s v="01/09/2026 11:37:58"/>
    <s v="01/09/2026 13:02:04"/>
    <s v="Henrique"/>
    <s v="01/09/2026"/>
    <s v="Guapiaçu"/>
    <s v="1 ° Turno"/>
    <n v="160"/>
    <n v="2868"/>
    <s v="EDMAR FELIPE MARTINS"/>
    <n v="27"/>
    <n v="27"/>
    <n v="13"/>
    <n v="13"/>
    <n v="0"/>
    <n v="0"/>
    <n v="2"/>
    <n v="2"/>
    <n v="1"/>
    <n v="1"/>
    <n v="0"/>
    <n v="0"/>
    <n v="2"/>
    <n v="0.625"/>
    <n v="4"/>
    <n v="2.5"/>
    <n v="1"/>
    <n v="0.625"/>
    <n v="2"/>
    <n v="1.25"/>
    <n v="7"/>
    <n v="4.375"/>
    <s v=""/>
    <n v="2"/>
    <n v="1.25"/>
    <n v="2"/>
    <n v="1.25"/>
    <s v=""/>
    <n v="7"/>
    <n v="4.375"/>
    <m/>
    <m/>
    <n v="5"/>
    <n v="3.125"/>
    <n v="1"/>
    <n v="0.625"/>
    <s v=""/>
    <n v="18"/>
    <s v=""/>
    <n v="0"/>
    <n v="36"/>
    <s v=""/>
    <n v="0"/>
    <n v="1"/>
    <n v="0.625"/>
    <n v="19"/>
    <n v="11"/>
    <n v="1"/>
    <n v="10"/>
    <s v=""/>
    <s v=""/>
    <s v=""/>
    <s v=""/>
    <s v="assinatura"/>
    <n v="3206"/>
  </r>
  <r>
    <x v="34"/>
    <x v="8"/>
    <s v="6a96f6fbeae8bd42945029aa"/>
    <s v="01/09/2026 08:49:26"/>
    <s v="01/09/2026 13:02:03"/>
    <s v="Henrique"/>
    <s v="01/09/2026"/>
    <s v="Guapiaçu"/>
    <s v="1 ° Turno"/>
    <n v="146"/>
    <n v="2883"/>
    <s v="EDMAR FELIPE MARTINS"/>
    <n v="34"/>
    <n v="34"/>
    <n v="15"/>
    <n v="15"/>
    <n v="0"/>
    <n v="0"/>
    <n v="2"/>
    <n v="2"/>
    <n v="1"/>
    <n v="1"/>
    <n v="0"/>
    <n v="0"/>
    <n v="3"/>
    <n v="1.0273972602739725"/>
    <n v="12"/>
    <n v="8.2191780821917799"/>
    <n v="0"/>
    <n v="0"/>
    <n v="3"/>
    <n v="2.054794520547945"/>
    <n v="7"/>
    <n v="4.7945205479452051"/>
    <s v=""/>
    <n v="2"/>
    <n v="1.3698630136986301"/>
    <n v="2"/>
    <n v="1.3698630136986301"/>
    <s v=""/>
    <n v="6"/>
    <n v="4.10958904109589"/>
    <m/>
    <m/>
    <n v="6"/>
    <n v="4.10958904109589"/>
    <n v="1"/>
    <n v="0.68493150684931503"/>
    <s v=""/>
    <n v="18"/>
    <n v="0"/>
    <n v="0"/>
    <n v="36"/>
    <n v="0"/>
    <n v="0"/>
    <n v="1"/>
    <n v="0.68493150684931503"/>
    <n v="19"/>
    <n v="1"/>
    <n v="1"/>
    <n v="10"/>
    <s v=""/>
    <s v=""/>
    <s v=""/>
    <s v=""/>
    <s v="assinatura"/>
    <n v="1519"/>
  </r>
  <r>
    <x v="34"/>
    <x v="8"/>
    <s v="6a96f6fbeae8bd4294502998"/>
    <s v="01/09/2026 06:53:08"/>
    <s v="01/09/2026 13:02:03"/>
    <s v="Henrique"/>
    <s v="01/09/2026"/>
    <s v="Guapiaçu"/>
    <s v="1 ° Turno"/>
    <n v="146"/>
    <n v="2785"/>
    <s v="EDMAR FELIPE MARTINS"/>
    <n v="17"/>
    <n v="17"/>
    <n v="5"/>
    <n v="5"/>
    <n v="0"/>
    <n v="0"/>
    <n v="1"/>
    <n v="1"/>
    <n v="0"/>
    <n v="0"/>
    <n v="0"/>
    <n v="0"/>
    <n v="2"/>
    <n v="0.68493150684931503"/>
    <n v="4"/>
    <n v="2.7397260273972601"/>
    <n v="0"/>
    <n v="0"/>
    <n v="1"/>
    <n v="0.68493150684931503"/>
    <n v="6"/>
    <n v="4.10958904109589"/>
    <s v=""/>
    <n v="1"/>
    <n v="0.68493150684931503"/>
    <n v="1"/>
    <n v="0.68493150684931503"/>
    <s v=""/>
    <n v="5"/>
    <n v="3.4246575342465753"/>
    <m/>
    <m/>
    <n v="6"/>
    <n v="4.10958904109589"/>
    <n v="1"/>
    <n v="0.68493150684931503"/>
    <s v=""/>
    <n v="19"/>
    <n v="0"/>
    <n v="0"/>
    <n v="38"/>
    <n v="0"/>
    <n v="0"/>
    <n v="0"/>
    <n v="0"/>
    <n v="17"/>
    <n v="9"/>
    <n v="1"/>
    <n v="10"/>
    <s v=""/>
    <s v=""/>
    <s v=""/>
    <s v=""/>
    <s v="assinatura"/>
    <n v="1617"/>
  </r>
  <r>
    <x v="34"/>
    <x v="8"/>
    <s v="6a96f6fbeae8bd4294502986"/>
    <s v="01/09/2026 04:38:35"/>
    <s v="01/09/2026 13:02:03"/>
    <s v="Henrique"/>
    <s v="01/09/2026"/>
    <s v="Guapiaçu"/>
    <s v="1 ° Turno"/>
    <n v="156"/>
    <n v="2972"/>
    <s v="EDMAR FELIPE MARTINS"/>
    <n v="35"/>
    <n v="35"/>
    <n v="15"/>
    <n v="15"/>
    <n v="0"/>
    <n v="0"/>
    <n v="1"/>
    <n v="1"/>
    <n v="1"/>
    <n v="1"/>
    <n v="0"/>
    <n v="0"/>
    <n v="3"/>
    <n v="0.96153846153846156"/>
    <n v="1"/>
    <n v="0.64102564102564097"/>
    <n v="0"/>
    <n v="0"/>
    <n v="3"/>
    <n v="1.9230769230769231"/>
    <n v="9"/>
    <n v="5.7692307692307692"/>
    <s v=""/>
    <n v="1"/>
    <n v="0.64102564102564097"/>
    <n v="1"/>
    <n v="0.64102564102564097"/>
    <s v=""/>
    <n v="6"/>
    <n v="3.8461538461538463"/>
    <m/>
    <m/>
    <n v="5"/>
    <n v="3.2051282051282048"/>
    <n v="1"/>
    <n v="0.64102564102564097"/>
    <s v=""/>
    <n v="19"/>
    <n v="0"/>
    <n v="0"/>
    <n v="38"/>
    <n v="0"/>
    <n v="0"/>
    <n v="3"/>
    <n v="1.9230769230769231"/>
    <n v="17"/>
    <n v="14"/>
    <n v="1"/>
    <n v="10"/>
    <s v=""/>
    <s v=""/>
    <s v=""/>
    <s v=""/>
    <s v="assinatura"/>
    <n v="2029"/>
  </r>
  <r>
    <x v="35"/>
    <x v="6"/>
    <s v="6a9626fb8a2cf415c7d904f4"/>
    <s v="31/08/2026 21:29:50"/>
    <s v="31/08/2026 22:14:35"/>
    <s v="Henrique"/>
    <s v="31/08/2026"/>
    <s v="Guapiaçu"/>
    <s v="2 ° Turno"/>
    <n v="164"/>
    <n v="3497"/>
    <s v="JOBILIANA APARECIDA MAXIMO BERGAMINI"/>
    <n v="20"/>
    <n v="20"/>
    <n v="14"/>
    <n v="14.000000000000002"/>
    <n v="0"/>
    <n v="0"/>
    <n v="0"/>
    <n v="0"/>
    <n v="0"/>
    <n v="0"/>
    <n v="0"/>
    <n v="0"/>
    <n v="4"/>
    <n v="1.2195121951219512"/>
    <n v="4"/>
    <n v="2.4390243902439024"/>
    <n v="0"/>
    <n v="0"/>
    <n v="0"/>
    <n v="0"/>
    <n v="3"/>
    <n v="1.8292682926829267"/>
    <s v=""/>
    <n v="0"/>
    <n v="0"/>
    <n v="0"/>
    <n v="0"/>
    <s v=""/>
    <n v="5"/>
    <n v="3.0487804878048781"/>
    <m/>
    <m/>
    <n v="4"/>
    <n v="2.4390243902439024"/>
    <n v="0"/>
    <n v="0"/>
    <s v=""/>
    <n v="6"/>
    <n v="0"/>
    <n v="0"/>
    <n v="12"/>
    <n v="0"/>
    <n v="0"/>
    <n v="3"/>
    <n v="1.8292682926829267"/>
    <n v="4"/>
    <n v="3"/>
    <n v="0"/>
    <n v="0"/>
    <s v=""/>
    <n v="1"/>
    <n v="0"/>
    <n v="0"/>
    <s v="assinatura"/>
    <n v="244"/>
  </r>
  <r>
    <x v="35"/>
    <x v="6"/>
    <s v="6a9626fb8a2cf415c7d904dc"/>
    <s v="31/08/2026 19:11:29"/>
    <s v="31/08/2026 22:14:35"/>
    <s v="Henrique"/>
    <s v="31/08/2026"/>
    <s v="Guapiaçu"/>
    <s v="2 ° Turno"/>
    <n v="161"/>
    <n v="2901"/>
    <s v="JOBILIANA APARECIDA MAXIMO BERGAMINI"/>
    <n v="21"/>
    <n v="21"/>
    <n v="15"/>
    <n v="15"/>
    <n v="0"/>
    <n v="0"/>
    <n v="1"/>
    <n v="1"/>
    <n v="0"/>
    <n v="0"/>
    <n v="0"/>
    <n v="0"/>
    <n v="5"/>
    <n v="1.5527950310559007"/>
    <n v="8"/>
    <n v="4.9689440993788816"/>
    <n v="0"/>
    <n v="0"/>
    <n v="1"/>
    <n v="0.6211180124223602"/>
    <n v="3"/>
    <n v="1.8633540372670807"/>
    <s v=""/>
    <n v="1"/>
    <n v="0.6211180124223602"/>
    <n v="0"/>
    <n v="0"/>
    <s v=""/>
    <n v="6"/>
    <n v="3.7267080745341614"/>
    <m/>
    <m/>
    <n v="4"/>
    <n v="2.4844720496894408"/>
    <n v="0"/>
    <n v="0"/>
    <s v=""/>
    <n v="5"/>
    <n v="0"/>
    <n v="0"/>
    <n v="10"/>
    <n v="0"/>
    <n v="0"/>
    <n v="0"/>
    <n v="0"/>
    <n v="4"/>
    <n v="2"/>
    <n v="0"/>
    <n v="0"/>
    <s v=""/>
    <n v="6"/>
    <n v="0"/>
    <n v="0"/>
    <s v="assinatura"/>
    <n v="7585"/>
  </r>
  <r>
    <x v="35"/>
    <x v="6"/>
    <s v="6a960806f2fc3909d38f25f6"/>
    <s v="31/08/2026 14:16:07"/>
    <s v="31/08/2026 20:02:30"/>
    <s v="Henrique"/>
    <s v="31/08/2026"/>
    <s v="Guapiaçu"/>
    <s v="2 ° Turno"/>
    <n v="140"/>
    <n v="2888"/>
    <s v="JOBILIANA APARECIDA MAXIMO BERGAMINI"/>
    <n v="37"/>
    <n v="37"/>
    <n v="18"/>
    <n v="18"/>
    <n v="1"/>
    <n v="10"/>
    <n v="0"/>
    <n v="0"/>
    <n v="0"/>
    <n v="0"/>
    <n v="1"/>
    <n v="5"/>
    <n v="4"/>
    <n v="1.4285714285714286"/>
    <n v="4"/>
    <n v="2.8571428571428572"/>
    <n v="0"/>
    <n v="0"/>
    <n v="0"/>
    <n v="0"/>
    <n v="2"/>
    <n v="1.4285714285714286"/>
    <s v=""/>
    <n v="0"/>
    <n v="0"/>
    <n v="0"/>
    <n v="0"/>
    <s v=""/>
    <n v="2"/>
    <n v="1.4285714285714286"/>
    <m/>
    <m/>
    <n v="4"/>
    <n v="2.8571428571428572"/>
    <n v="0"/>
    <n v="0"/>
    <s v=""/>
    <n v="5"/>
    <n v="0"/>
    <n v="0"/>
    <n v="10"/>
    <n v="0"/>
    <n v="0"/>
    <n v="0"/>
    <n v="0"/>
    <n v="3"/>
    <n v="1"/>
    <n v="0"/>
    <n v="0"/>
    <s v=""/>
    <n v="3"/>
    <n v="0"/>
    <n v="0"/>
    <s v="assinatura"/>
    <n v="10585"/>
  </r>
  <r>
    <x v="35"/>
    <x v="6"/>
    <s v="6a95a589d8b1ab0096e40f6d"/>
    <s v="31/08/2026 11:25:00"/>
    <s v="31/08/2026 13:02:17"/>
    <s v="Henrique"/>
    <s v="31/08/2026"/>
    <s v="Guapiaçu"/>
    <s v="1 ° Turno"/>
    <n v="140"/>
    <n v="2924"/>
    <s v="EDMAR FELIPE MARTINS"/>
    <n v="21"/>
    <n v="21"/>
    <n v="10"/>
    <n v="10"/>
    <n v="0"/>
    <n v="0"/>
    <n v="4"/>
    <n v="4"/>
    <n v="0"/>
    <n v="0"/>
    <n v="4"/>
    <n v="20"/>
    <n v="2"/>
    <n v="0.7142857142857143"/>
    <n v="3"/>
    <n v="2.1428571428571428"/>
    <n v="0"/>
    <n v="0"/>
    <n v="1"/>
    <n v="0.7142857142857143"/>
    <n v="6"/>
    <n v="4.2857142857142856"/>
    <s v=""/>
    <n v="3"/>
    <n v="2.1428571428571428"/>
    <n v="2"/>
    <n v="1.4285714285714286"/>
    <s v=""/>
    <n v="5"/>
    <n v="3.5714285714285712"/>
    <m/>
    <m/>
    <n v="6"/>
    <n v="4.2857142857142856"/>
    <n v="1"/>
    <n v="0.7142857142857143"/>
    <s v=""/>
    <n v="15"/>
    <n v="0"/>
    <n v="0"/>
    <n v="30"/>
    <n v="0"/>
    <n v="0"/>
    <n v="0"/>
    <n v="0"/>
    <n v="21"/>
    <n v="14"/>
    <s v=""/>
    <s v=""/>
    <s v=""/>
    <s v=""/>
    <s v=""/>
    <s v=""/>
    <s v=""/>
    <n v="2259"/>
  </r>
  <r>
    <x v="35"/>
    <x v="6"/>
    <s v="6a95898ec889eef898938895"/>
    <s v="31/08/2026 08:26:09"/>
    <s v="31/08/2026 11:02:54"/>
    <s v="Henrique"/>
    <s v="31/08/2026"/>
    <s v="Guapiaçu"/>
    <s v="1 ° Turno"/>
    <n v="151"/>
    <n v="2949"/>
    <s v="EDMAR FELIPE MARTINS"/>
    <n v="25"/>
    <n v="25"/>
    <n v="5"/>
    <n v="5"/>
    <n v="0"/>
    <n v="0"/>
    <n v="2"/>
    <n v="2"/>
    <n v="1"/>
    <n v="1"/>
    <n v="0"/>
    <n v="0"/>
    <n v="2"/>
    <n v="0.66225165562913912"/>
    <n v="4"/>
    <n v="2.6490066225165565"/>
    <n v="0"/>
    <n v="0"/>
    <n v="0"/>
    <n v="0"/>
    <n v="8"/>
    <n v="5.298013245033113"/>
    <s v=""/>
    <n v="2"/>
    <n v="1.3245033112582782"/>
    <n v="2"/>
    <n v="1.3245033112582782"/>
    <s v=""/>
    <n v="5"/>
    <n v="3.3112582781456954"/>
    <m/>
    <m/>
    <n v="6"/>
    <n v="3.9735099337748347"/>
    <n v="1"/>
    <n v="0.66225165562913912"/>
    <s v=""/>
    <n v="14"/>
    <n v="0"/>
    <n v="0"/>
    <n v="28"/>
    <n v="0"/>
    <n v="0"/>
    <n v="1"/>
    <n v="0.66225165562913912"/>
    <n v="23"/>
    <n v="12"/>
    <n v="1"/>
    <n v="10"/>
    <s v=""/>
    <n v="1"/>
    <n v="0"/>
    <n v="1"/>
    <s v="assinatura"/>
    <n v="1352"/>
  </r>
  <r>
    <x v="35"/>
    <x v="6"/>
    <s v="6a95898ec889eef898938883"/>
    <s v="31/08/2026 06:41:13"/>
    <s v="31/08/2026 11:02:54"/>
    <s v="Henrique"/>
    <s v="31/08/2026"/>
    <s v="Guapiaçu"/>
    <s v="1 ° Turno"/>
    <n v="160"/>
    <n v="2987"/>
    <s v="EDMAR FELIPE MARTINS"/>
    <n v="33"/>
    <n v="33"/>
    <n v="19"/>
    <n v="19"/>
    <n v="0"/>
    <n v="0"/>
    <n v="2"/>
    <n v="2"/>
    <n v="1"/>
    <n v="1"/>
    <n v="0"/>
    <n v="0"/>
    <n v="3"/>
    <n v="0.9375"/>
    <n v="4"/>
    <n v="2.5"/>
    <n v="0"/>
    <n v="0"/>
    <n v="0"/>
    <n v="0"/>
    <n v="7"/>
    <n v="4.375"/>
    <s v=""/>
    <n v="2"/>
    <n v="1.25"/>
    <n v="2"/>
    <n v="1.25"/>
    <s v=""/>
    <n v="6"/>
    <n v="3.75"/>
    <m/>
    <m/>
    <n v="6"/>
    <n v="3.75"/>
    <n v="1"/>
    <n v="0.625"/>
    <s v=""/>
    <n v="15"/>
    <n v="0"/>
    <n v="0"/>
    <n v="30"/>
    <n v="0"/>
    <n v="0"/>
    <n v="0"/>
    <n v="0"/>
    <n v="27"/>
    <n v="13"/>
    <n v="1"/>
    <n v="10"/>
    <s v=""/>
    <s v=""/>
    <s v=""/>
    <s v=""/>
    <s v="assinatura"/>
    <n v="1462"/>
  </r>
  <r>
    <x v="35"/>
    <x v="6"/>
    <s v="6a95898ec889eef898938871"/>
    <s v="31/08/2026 04:32:52"/>
    <s v="31/08/2026 11:02:54"/>
    <s v="Henrique"/>
    <s v="31/08/2026"/>
    <s v="Guapiaçu"/>
    <s v="1 ° Turno"/>
    <n v="160"/>
    <n v="2992"/>
    <s v="EDMAR FELIPE MARTINS"/>
    <n v="25"/>
    <n v="25"/>
    <n v="6"/>
    <n v="6"/>
    <n v="0"/>
    <n v="0"/>
    <n v="1"/>
    <n v="1"/>
    <n v="0"/>
    <n v="0"/>
    <n v="0"/>
    <n v="0"/>
    <n v="2"/>
    <n v="0.625"/>
    <n v="4"/>
    <n v="2.5"/>
    <n v="0"/>
    <n v="0"/>
    <n v="1"/>
    <n v="0.625"/>
    <n v="5"/>
    <n v="3.125"/>
    <s v=""/>
    <n v="3"/>
    <n v="1.875"/>
    <n v="2"/>
    <n v="1.25"/>
    <s v=""/>
    <n v="6"/>
    <n v="3.75"/>
    <m/>
    <m/>
    <n v="5"/>
    <n v="3.125"/>
    <n v="1"/>
    <n v="0.625"/>
    <s v=""/>
    <n v="17"/>
    <n v="0"/>
    <n v="0"/>
    <n v="34"/>
    <n v="0"/>
    <n v="0"/>
    <n v="1"/>
    <n v="0.625"/>
    <n v="19"/>
    <n v="12"/>
    <n v="1"/>
    <n v="10"/>
    <s v=""/>
    <s v=""/>
    <s v=""/>
    <s v=""/>
    <s v="assinatura"/>
    <n v="2934"/>
  </r>
  <r>
    <x v="34"/>
    <x v="8"/>
    <s v="6a97908bc16eb5048ad63b9e"/>
    <s v="01/09/2026 21:24:27"/>
    <s v="01/09/2026 23:57:15"/>
    <s v="Henrique"/>
    <s v="01/09/2026"/>
    <s v="Guapiaçu"/>
    <s v="2 ° Turno"/>
    <n v="163"/>
    <n v="3243"/>
    <s v="JOBILIANA APARECIDA MAXIMO BERGAMINI"/>
    <n v="20"/>
    <n v="20"/>
    <n v="14"/>
    <n v="14.000000000000002"/>
    <n v="0"/>
    <n v="0"/>
    <n v="0"/>
    <n v="0"/>
    <n v="0"/>
    <n v="0"/>
    <n v="0"/>
    <n v="0"/>
    <n v="5"/>
    <n v="1.5337423312883436"/>
    <n v="15"/>
    <n v="9.2024539877300615"/>
    <n v="0"/>
    <n v="0"/>
    <n v="2"/>
    <n v="1.2269938650306749"/>
    <n v="3"/>
    <n v="1.8404907975460123"/>
    <s v=""/>
    <n v="0"/>
    <n v="0"/>
    <n v="0"/>
    <n v="0"/>
    <s v=""/>
    <n v="9"/>
    <n v="5.5214723926380369"/>
    <m/>
    <m/>
    <n v="6"/>
    <n v="3.6809815950920246"/>
    <n v="0"/>
    <n v="0"/>
    <s v=""/>
    <n v="10"/>
    <n v="0"/>
    <n v="0"/>
    <n v="20"/>
    <n v="0"/>
    <n v="0"/>
    <n v="0"/>
    <n v="0"/>
    <n v="9"/>
    <n v="4"/>
    <n v="0"/>
    <n v="0"/>
    <s v=""/>
    <n v="7"/>
    <n v="0"/>
    <n v="0"/>
    <s v="assinatura"/>
    <n v="3716"/>
  </r>
  <r>
    <x v="34"/>
    <x v="8"/>
    <s v="6a97908ac16eb5048ad63b86"/>
    <s v="01/09/2026 19:16:19"/>
    <s v="01/09/2026 23:57:14"/>
    <s v="Henrique"/>
    <s v="01/09/2026"/>
    <s v="Guapiaçu"/>
    <s v="2 ° Turno"/>
    <n v="162"/>
    <n v="3272"/>
    <s v="JOBILIANA APARECIDA MAXIMO BERGAMINI"/>
    <n v="22"/>
    <n v="22"/>
    <n v="8"/>
    <n v="8"/>
    <n v="0"/>
    <n v="0"/>
    <n v="1"/>
    <n v="1"/>
    <n v="0"/>
    <n v="0"/>
    <n v="1"/>
    <n v="5"/>
    <n v="8"/>
    <n v="2.4691358024691357"/>
    <n v="34"/>
    <n v="20.987654320987652"/>
    <n v="0"/>
    <n v="0"/>
    <n v="2"/>
    <n v="1.2345679012345678"/>
    <n v="4"/>
    <n v="2.4691358024691357"/>
    <s v=""/>
    <n v="0"/>
    <n v="0"/>
    <n v="0"/>
    <n v="0"/>
    <s v=""/>
    <n v="27"/>
    <n v="16.666666666666664"/>
    <m/>
    <m/>
    <n v="6"/>
    <n v="3.7037037037037033"/>
    <n v="0"/>
    <n v="0"/>
    <s v=""/>
    <n v="14"/>
    <n v="1"/>
    <n v="1"/>
    <n v="28"/>
    <n v="2"/>
    <n v="2"/>
    <n v="1"/>
    <n v="0.61728395061728392"/>
    <n v="10"/>
    <n v="4"/>
    <n v="0"/>
    <n v="0"/>
    <s v=""/>
    <n v="6"/>
    <n v="0"/>
    <n v="0"/>
    <s v="assinatura"/>
    <n v="11371"/>
  </r>
  <r>
    <x v="34"/>
    <x v="8"/>
    <s v="6a97908ac16eb5048ad63b62"/>
    <s v="01/09/2026 14:12:03"/>
    <s v="01/09/2026 23:57:14"/>
    <s v="Henrique"/>
    <s v="01/09/2026"/>
    <s v="Guapiaçu"/>
    <s v="2 ° Turno"/>
    <n v="140"/>
    <n v="3074"/>
    <s v="JOBILIANA APARECIDA MAXIMO BERGAMINI"/>
    <n v="19"/>
    <n v="19"/>
    <n v="4"/>
    <n v="4"/>
    <n v="0"/>
    <n v="0"/>
    <n v="0"/>
    <n v="0"/>
    <n v="0"/>
    <n v="0"/>
    <n v="0"/>
    <n v="0"/>
    <n v="5"/>
    <n v="1.7857142857142856"/>
    <n v="30"/>
    <n v="21.428571428571427"/>
    <n v="0"/>
    <n v="0"/>
    <n v="0"/>
    <n v="0"/>
    <n v="3"/>
    <n v="2.1428571428571428"/>
    <s v=""/>
    <n v="1"/>
    <n v="0.7142857142857143"/>
    <n v="0"/>
    <n v="0"/>
    <s v=""/>
    <n v="4"/>
    <n v="2.8571428571428572"/>
    <m/>
    <m/>
    <n v="4"/>
    <n v="2.8571428571428572"/>
    <n v="0"/>
    <n v="0"/>
    <s v=""/>
    <n v="6"/>
    <n v="0"/>
    <n v="0"/>
    <n v="12"/>
    <n v="0"/>
    <n v="0"/>
    <n v="0"/>
    <n v="0"/>
    <n v="10"/>
    <n v="3"/>
    <n v="0"/>
    <n v="0"/>
    <s v=""/>
    <n v="10"/>
    <n v="0"/>
    <n v="0"/>
    <s v="assinatura"/>
    <n v="10075"/>
  </r>
  <r>
    <x v="36"/>
    <x v="8"/>
    <s v="6a9a2a9dedc9602c14d6e6b9"/>
    <s v="03/09/2026 21:11:54"/>
    <s v="03/09/2026 23:19:09"/>
    <s v="Henrique"/>
    <s v="03/09/2026"/>
    <s v="Guapiaçu"/>
    <s v="2 ° Turno"/>
    <n v="161"/>
    <n v="2564"/>
    <s v="JOBILIANA APARECIDA MAXIMO BERGAMINI"/>
    <n v="20"/>
    <n v="20"/>
    <n v="6"/>
    <n v="6"/>
    <n v="0"/>
    <n v="0"/>
    <n v="0"/>
    <n v="0"/>
    <n v="0"/>
    <n v="0"/>
    <n v="0"/>
    <n v="0"/>
    <n v="6"/>
    <n v="1.8633540372670807"/>
    <n v="2"/>
    <n v="1.2422360248447204"/>
    <n v="0"/>
    <n v="0"/>
    <n v="1"/>
    <n v="0.6211180124223602"/>
    <n v="2"/>
    <n v="1.2422360248447204"/>
    <s v=""/>
    <n v="0"/>
    <n v="0"/>
    <n v="0"/>
    <n v="0"/>
    <s v=""/>
    <n v="5"/>
    <n v="3.1055900621118013"/>
    <m/>
    <m/>
    <n v="4"/>
    <n v="2.4844720496894408"/>
    <n v="0"/>
    <n v="0"/>
    <s v=""/>
    <n v="6"/>
    <n v="0"/>
    <n v="0"/>
    <n v="12"/>
    <n v="0"/>
    <n v="0"/>
    <n v="0"/>
    <n v="0"/>
    <n v="7"/>
    <n v="3"/>
    <n v="0"/>
    <n v="0"/>
    <s v=""/>
    <n v="0"/>
    <n v="0"/>
    <s v=""/>
    <s v="assinatura"/>
    <n v="291"/>
  </r>
  <r>
    <x v="36"/>
    <x v="8"/>
    <s v="6a9a2a9dedc9602c14d6e6a7"/>
    <s v="03/09/2026 19:18:23"/>
    <s v="03/09/2026 23:19:09"/>
    <s v="Henrique"/>
    <s v="03/09/2026"/>
    <s v="Guapiaçu"/>
    <s v="2 ° Turno"/>
    <n v="161"/>
    <n v="2325"/>
    <s v="JOBILIANA APARECIDA MAXIMO BERGAMINI"/>
    <n v="22"/>
    <n v="22"/>
    <n v="5"/>
    <n v="5"/>
    <n v="1"/>
    <n v="10"/>
    <n v="0"/>
    <n v="0"/>
    <n v="0"/>
    <n v="0"/>
    <n v="0"/>
    <n v="0"/>
    <n v="4"/>
    <n v="1.2422360248447204"/>
    <n v="2"/>
    <n v="1.2422360248447204"/>
    <n v="0"/>
    <n v="0"/>
    <n v="0"/>
    <n v="0"/>
    <n v="1"/>
    <n v="0.6211180124223602"/>
    <s v=""/>
    <n v="0"/>
    <n v="0"/>
    <n v="0"/>
    <n v="0"/>
    <s v=""/>
    <n v="5"/>
    <n v="3.1055900621118013"/>
    <m/>
    <m/>
    <n v="4"/>
    <n v="2.4844720496894408"/>
    <n v="0"/>
    <n v="0"/>
    <s v=""/>
    <n v="6"/>
    <n v="2"/>
    <n v="2"/>
    <n v="12"/>
    <n v="4"/>
    <n v="4"/>
    <n v="0"/>
    <n v="0"/>
    <n v="5"/>
    <n v="2"/>
    <n v="0"/>
    <n v="0"/>
    <s v=""/>
    <n v="3"/>
    <n v="0"/>
    <n v="0"/>
    <s v="assinatura"/>
    <n v="6345"/>
  </r>
  <r>
    <x v="36"/>
    <x v="8"/>
    <s v="6a9a2a9cedc9602c14d6e683"/>
    <s v="03/09/2026 14:21:03"/>
    <s v="03/09/2026 23:19:08"/>
    <s v="Henrique"/>
    <s v="03/09/2026"/>
    <s v="Guapiaçu"/>
    <s v="2 ° Turno"/>
    <n v="140"/>
    <n v="2961"/>
    <s v="JOBILIANA APARECIDA MAXIMO BERGAMINI"/>
    <n v="24"/>
    <n v="24"/>
    <n v="6"/>
    <n v="6"/>
    <n v="2"/>
    <n v="20"/>
    <n v="1"/>
    <n v="1"/>
    <n v="0"/>
    <n v="0"/>
    <n v="0"/>
    <n v="0"/>
    <n v="4"/>
    <n v="1.4285714285714286"/>
    <n v="1"/>
    <n v="0.7142857142857143"/>
    <n v="0"/>
    <n v="0"/>
    <n v="0"/>
    <n v="0"/>
    <n v="2"/>
    <n v="1.4285714285714286"/>
    <s v=""/>
    <n v="0"/>
    <n v="0"/>
    <n v="0"/>
    <n v="0"/>
    <s v=""/>
    <n v="3"/>
    <n v="2.1428571428571428"/>
    <m/>
    <m/>
    <n v="4"/>
    <n v="2.8571428571428572"/>
    <n v="0"/>
    <n v="0"/>
    <s v=""/>
    <n v="9"/>
    <n v="1"/>
    <n v="1"/>
    <n v="18"/>
    <n v="2"/>
    <n v="2"/>
    <n v="1"/>
    <n v="0.7142857142857143"/>
    <n v="6"/>
    <n v="3"/>
    <n v="0"/>
    <n v="0"/>
    <s v=""/>
    <n v="7"/>
    <n v="0"/>
    <n v="0"/>
    <s v="assinatura"/>
    <n v="9808"/>
  </r>
  <r>
    <x v="36"/>
    <x v="8"/>
    <s v="6a999dc3e566260ef7f97d36"/>
    <s v="03/09/2026 11:29:05"/>
    <s v="03/09/2026 13:18:11"/>
    <s v="Henrique"/>
    <s v="03/09/2026"/>
    <s v="Guapiaçu"/>
    <s v="1 ° Turno"/>
    <n v="160"/>
    <n v="2415"/>
    <s v="EDMAR FELIPE MARTINS"/>
    <n v="35"/>
    <n v="35"/>
    <n v="20"/>
    <n v="20"/>
    <n v="0"/>
    <n v="0"/>
    <n v="1"/>
    <n v="1"/>
    <n v="1"/>
    <n v="1"/>
    <n v="0"/>
    <n v="0"/>
    <n v="2"/>
    <n v="0.625"/>
    <n v="4"/>
    <n v="2.5"/>
    <n v="0"/>
    <n v="0"/>
    <n v="0"/>
    <n v="0"/>
    <n v="5"/>
    <n v="3.125"/>
    <s v=""/>
    <n v="1"/>
    <n v="0.625"/>
    <n v="1"/>
    <n v="0.625"/>
    <s v=""/>
    <n v="6"/>
    <n v="3.75"/>
    <m/>
    <m/>
    <n v="4"/>
    <n v="2.5"/>
    <n v="1"/>
    <n v="0.625"/>
    <s v=""/>
    <n v="16"/>
    <n v="0"/>
    <n v="0"/>
    <n v="32"/>
    <n v="0"/>
    <n v="0"/>
    <n v="1"/>
    <n v="0.625"/>
    <n v="21"/>
    <n v="19"/>
    <n v="1"/>
    <n v="10"/>
    <s v=""/>
    <n v="0"/>
    <n v="0"/>
    <n v="3"/>
    <s v="assinatura"/>
    <n v="1560"/>
  </r>
  <r>
    <x v="36"/>
    <x v="8"/>
    <s v="6a999dc2e566260ef7f97d06"/>
    <s v="03/09/2026 04:29:33"/>
    <s v="03/09/2026 13:18:10"/>
    <s v="Henrique"/>
    <s v="03/09/2026"/>
    <s v="Guapiaçu"/>
    <s v="1 ° Turno"/>
    <n v="150"/>
    <n v="2800"/>
    <s v="EDMAR FELIPE MARTINS"/>
    <n v="28"/>
    <n v="28.000000000000004"/>
    <n v="12"/>
    <n v="12"/>
    <n v="0"/>
    <n v="0"/>
    <n v="2"/>
    <n v="2"/>
    <n v="2"/>
    <n v="2"/>
    <n v="0"/>
    <n v="0"/>
    <n v="1"/>
    <n v="0.33333333333333337"/>
    <n v="4"/>
    <n v="2.666666666666667"/>
    <n v="0"/>
    <n v="0"/>
    <n v="1"/>
    <n v="0.66666666666666674"/>
    <n v="5"/>
    <n v="3.3333333333333335"/>
    <s v=""/>
    <n v="3"/>
    <n v="2"/>
    <n v="2"/>
    <n v="1.3333333333333335"/>
    <s v=""/>
    <n v="5"/>
    <n v="3.3333333333333335"/>
    <m/>
    <m/>
    <n v="6"/>
    <n v="4"/>
    <n v="1"/>
    <n v="0.66666666666666674"/>
    <s v=""/>
    <n v="16"/>
    <n v="0"/>
    <n v="0"/>
    <n v="32"/>
    <n v="0"/>
    <n v="0"/>
    <n v="0"/>
    <n v="0"/>
    <n v="25"/>
    <n v="19"/>
    <n v="0"/>
    <n v="0"/>
    <s v=""/>
    <s v=""/>
    <s v=""/>
    <s v=""/>
    <s v="assinatura"/>
    <n v="1600"/>
  </r>
  <r>
    <x v="36"/>
    <x v="8"/>
    <s v="6a999c97975a2c850b9544b7"/>
    <s v="03/09/2026 08:06:33"/>
    <s v="03/09/2026 13:13:11"/>
    <s v="Henrique"/>
    <s v="03/09/2026"/>
    <s v="Guapiaçu"/>
    <s v="1 ° Turno"/>
    <n v="160"/>
    <n v="2519"/>
    <s v="EDMAR FELIPE MARTINS"/>
    <n v="39"/>
    <n v="39"/>
    <n v="15"/>
    <n v="15"/>
    <n v="0"/>
    <n v="0"/>
    <n v="1"/>
    <n v="1"/>
    <n v="2"/>
    <n v="2"/>
    <n v="0"/>
    <n v="0"/>
    <n v="1"/>
    <n v="0.3125"/>
    <n v="5"/>
    <n v="3.125"/>
    <n v="0"/>
    <n v="0"/>
    <n v="0"/>
    <n v="0"/>
    <n v="6"/>
    <n v="3.75"/>
    <s v=""/>
    <n v="3"/>
    <n v="1.875"/>
    <n v="2"/>
    <n v="1.25"/>
    <s v=""/>
    <n v="7"/>
    <n v="4.375"/>
    <m/>
    <m/>
    <n v="6"/>
    <n v="3.75"/>
    <n v="1"/>
    <n v="0.625"/>
    <s v=""/>
    <n v="14"/>
    <n v="0"/>
    <n v="0"/>
    <n v="28"/>
    <n v="0"/>
    <n v="0"/>
    <n v="1"/>
    <n v="0.625"/>
    <n v="27"/>
    <n v="20"/>
    <n v="1"/>
    <n v="10"/>
    <s v=""/>
    <s v=""/>
    <s v=""/>
    <s v=""/>
    <s v=""/>
    <n v="2560"/>
  </r>
  <r>
    <x v="36"/>
    <x v="8"/>
    <s v="6a999c97975a2c850b9544b1"/>
    <s v="03/09/2026 06:27:03"/>
    <s v="03/09/2026 13:13:11"/>
    <s v="Henrique"/>
    <s v="03/09/2026"/>
    <s v="Guapiaçu"/>
    <s v="1 ° Turno"/>
    <n v="160"/>
    <n v="2440"/>
    <s v="EDMAR FELIPE MARTINS"/>
    <n v="22"/>
    <n v="22"/>
    <n v="5"/>
    <n v="5"/>
    <n v="1"/>
    <n v="10"/>
    <n v="1"/>
    <n v="1"/>
    <n v="0"/>
    <n v="0"/>
    <n v="0"/>
    <n v="0"/>
    <n v="1"/>
    <n v="0.3125"/>
    <n v="4"/>
    <n v="2.5"/>
    <n v="0"/>
    <n v="0"/>
    <n v="0"/>
    <n v="0"/>
    <n v="5"/>
    <n v="3.125"/>
    <s v=""/>
    <n v="1"/>
    <n v="0.625"/>
    <n v="1"/>
    <n v="0.625"/>
    <s v=""/>
    <n v="6"/>
    <n v="3.75"/>
    <m/>
    <m/>
    <n v="4"/>
    <n v="2.5"/>
    <n v="1"/>
    <n v="0.625"/>
    <s v=""/>
    <n v="15"/>
    <n v="0"/>
    <n v="0"/>
    <n v="30"/>
    <n v="0"/>
    <n v="0"/>
    <n v="1"/>
    <n v="0.625"/>
    <n v="20"/>
    <n v="17"/>
    <n v="2"/>
    <n v="20"/>
    <s v=""/>
    <n v="0"/>
    <n v="0"/>
    <n v="2"/>
    <s v=""/>
    <n v="1701"/>
  </r>
  <r>
    <x v="37"/>
    <x v="8"/>
    <s v="6a98df8032b3ac5a42389ae2"/>
    <s v="02/09/2026 20:18:03"/>
    <s v="02/09/2026 23:46:24"/>
    <s v="Henrique"/>
    <s v="02/09/2026"/>
    <s v="Guapiaçu"/>
    <s v="2 ° Turno"/>
    <n v="161"/>
    <n v="2732"/>
    <s v="JOBILIANA APARECIDA MAXIMO BERGAMINI"/>
    <n v="20"/>
    <n v="20"/>
    <n v="14"/>
    <n v="14.000000000000002"/>
    <n v="0"/>
    <n v="0"/>
    <n v="0"/>
    <n v="0"/>
    <n v="0"/>
    <n v="0"/>
    <n v="0"/>
    <n v="0"/>
    <n v="4"/>
    <n v="1.2422360248447204"/>
    <n v="4"/>
    <n v="2.4844720496894408"/>
    <n v="0"/>
    <n v="0"/>
    <n v="1"/>
    <n v="0.6211180124223602"/>
    <n v="0"/>
    <n v="0"/>
    <s v=""/>
    <n v="0"/>
    <n v="0"/>
    <n v="0"/>
    <n v="0"/>
    <s v=""/>
    <n v="7"/>
    <n v="4.3478260869565215"/>
    <m/>
    <m/>
    <n v="5"/>
    <n v="3.1055900621118013"/>
    <n v="0"/>
    <n v="0"/>
    <s v=""/>
    <n v="9"/>
    <n v="0"/>
    <n v="0"/>
    <n v="18"/>
    <n v="0"/>
    <n v="0"/>
    <n v="0"/>
    <n v="0"/>
    <n v="10"/>
    <n v="4"/>
    <n v="0"/>
    <n v="0"/>
    <s v=""/>
    <n v="0"/>
    <n v="0"/>
    <n v="0"/>
    <s v="assinatura"/>
    <n v="3680"/>
  </r>
  <r>
    <x v="37"/>
    <x v="8"/>
    <s v="6a98df8032b3ac5a42389aca"/>
    <s v="02/09/2026 18:15:50"/>
    <s v="02/09/2026 23:46:24"/>
    <s v="Henrique"/>
    <s v="02/09/2026"/>
    <s v="Guapiaçu"/>
    <s v="2 ° Turno"/>
    <n v="150"/>
    <n v="2825"/>
    <s v="JOBILIANA APARECIDA MAXIMO BERGAMINI"/>
    <n v="25"/>
    <n v="25"/>
    <n v="5"/>
    <n v="5"/>
    <n v="2"/>
    <n v="20"/>
    <n v="1"/>
    <n v="1"/>
    <n v="0"/>
    <n v="0"/>
    <n v="0"/>
    <n v="0"/>
    <n v="6"/>
    <n v="2"/>
    <n v="3"/>
    <n v="2"/>
    <n v="0"/>
    <n v="0"/>
    <n v="0"/>
    <n v="0"/>
    <n v="1"/>
    <n v="0.66666666666666674"/>
    <s v=""/>
    <n v="1"/>
    <n v="0.66666666666666674"/>
    <n v="0"/>
    <n v="0"/>
    <s v=""/>
    <n v="15"/>
    <n v="10"/>
    <m/>
    <m/>
    <n v="5"/>
    <n v="3.3333333333333335"/>
    <n v="0"/>
    <n v="0"/>
    <s v=""/>
    <n v="10"/>
    <n v="0"/>
    <n v="0"/>
    <n v="20"/>
    <n v="0"/>
    <n v="0"/>
    <n v="0"/>
    <n v="0"/>
    <n v="8"/>
    <n v="5"/>
    <n v="0"/>
    <n v="0"/>
    <s v=""/>
    <n v="0"/>
    <n v="0"/>
    <n v="0"/>
    <s v="assinatura"/>
    <n v="7307"/>
  </r>
  <r>
    <x v="37"/>
    <x v="8"/>
    <s v="6a98df8032b3ac5a42389ab2"/>
    <s v="02/09/2026 14:14:18"/>
    <s v="02/09/2026 23:46:24"/>
    <s v="Henrique"/>
    <s v="02/09/2026"/>
    <s v="Guapiaçu"/>
    <s v="2 ° Turno"/>
    <n v="140"/>
    <n v="2797"/>
    <s v="JOBILIANA APARECIDA MAXIMO BERGAMINI"/>
    <n v="27"/>
    <n v="27"/>
    <n v="5"/>
    <n v="5"/>
    <n v="0"/>
    <n v="0"/>
    <n v="0"/>
    <n v="0"/>
    <n v="0"/>
    <n v="0"/>
    <n v="0"/>
    <n v="0"/>
    <n v="3"/>
    <n v="1.0714285714285714"/>
    <n v="3"/>
    <n v="2.1428571428571428"/>
    <n v="0"/>
    <n v="0"/>
    <n v="2"/>
    <n v="1.4285714285714286"/>
    <n v="3"/>
    <n v="2.1428571428571428"/>
    <s v=""/>
    <n v="0"/>
    <n v="0"/>
    <n v="0"/>
    <n v="0"/>
    <s v=""/>
    <n v="9"/>
    <n v="6.4285714285714279"/>
    <m/>
    <m/>
    <n v="5"/>
    <n v="3.5714285714285712"/>
    <n v="0"/>
    <n v="0"/>
    <s v=""/>
    <n v="6"/>
    <n v="0"/>
    <n v="0"/>
    <n v="12"/>
    <n v="0"/>
    <n v="0"/>
    <n v="0"/>
    <n v="0"/>
    <n v="10"/>
    <n v="3"/>
    <n v="0"/>
    <n v="0"/>
    <s v=""/>
    <n v="0"/>
    <n v="0"/>
    <n v="0"/>
    <s v="assinatura"/>
    <n v="21761"/>
  </r>
  <r>
    <x v="37"/>
    <x v="8"/>
    <s v="6a98475be795a658e64f88ec"/>
    <s v="02/09/2026 11:19:24"/>
    <s v="02/09/2026 12:57:15"/>
    <s v="Henrique"/>
    <s v="02/09/2026"/>
    <s v="Guapiaçu"/>
    <s v="1 ° Turno"/>
    <n v="160"/>
    <n v="2835"/>
    <s v="EDMAR FELIPE MARTINS"/>
    <n v="37"/>
    <n v="37"/>
    <n v="11"/>
    <n v="11"/>
    <n v="0"/>
    <n v="0"/>
    <n v="2"/>
    <n v="2"/>
    <n v="1"/>
    <n v="1"/>
    <n v="0"/>
    <n v="0"/>
    <n v="2"/>
    <n v="0.625"/>
    <n v="4"/>
    <n v="2.5"/>
    <n v="0"/>
    <n v="0"/>
    <n v="0"/>
    <n v="0"/>
    <n v="7"/>
    <n v="4.375"/>
    <s v=""/>
    <n v="3"/>
    <n v="1.875"/>
    <n v="2"/>
    <n v="1.25"/>
    <s v=""/>
    <n v="6"/>
    <n v="3.75"/>
    <m/>
    <m/>
    <n v="6"/>
    <n v="3.75"/>
    <n v="1"/>
    <n v="0.625"/>
    <s v=""/>
    <n v="15"/>
    <n v="0"/>
    <n v="0"/>
    <n v="30"/>
    <n v="0"/>
    <n v="0"/>
    <n v="0"/>
    <n v="0"/>
    <n v="20"/>
    <n v="12"/>
    <n v="0"/>
    <n v="0"/>
    <s v=""/>
    <s v=""/>
    <s v=""/>
    <s v=""/>
    <s v="assinatura"/>
    <n v="2024"/>
  </r>
  <r>
    <x v="37"/>
    <x v="8"/>
    <s v="6a98475be795a658e64f88d4"/>
    <s v="02/09/2026 08:36:40"/>
    <s v="02/09/2026 12:57:15"/>
    <s v="Henrique"/>
    <s v="02/09/2026"/>
    <s v="Guapiaçu"/>
    <s v="1 ° Turno"/>
    <n v="160"/>
    <n v="3110"/>
    <s v="EDMAR FELIPE MARTINS"/>
    <n v="14"/>
    <n v="14.000000000000002"/>
    <n v="3"/>
    <n v="3"/>
    <n v="0"/>
    <n v="0"/>
    <n v="1"/>
    <n v="1"/>
    <n v="1"/>
    <n v="1"/>
    <n v="0"/>
    <n v="0"/>
    <n v="6"/>
    <n v="1.875"/>
    <n v="4"/>
    <n v="2.5"/>
    <n v="0"/>
    <n v="0"/>
    <n v="1"/>
    <n v="0.625"/>
    <n v="6"/>
    <n v="3.75"/>
    <s v=""/>
    <n v="1"/>
    <n v="0.625"/>
    <n v="1"/>
    <n v="0.625"/>
    <s v=""/>
    <n v="6"/>
    <n v="3.75"/>
    <m/>
    <m/>
    <n v="5"/>
    <n v="3.125"/>
    <n v="1"/>
    <n v="0.625"/>
    <s v=""/>
    <n v="14"/>
    <n v="0"/>
    <n v="0"/>
    <n v="28"/>
    <n v="0"/>
    <n v="0"/>
    <n v="1"/>
    <n v="0.625"/>
    <n v="17"/>
    <n v="11"/>
    <n v="1"/>
    <n v="10"/>
    <s v=""/>
    <n v="0"/>
    <n v="0"/>
    <n v="1"/>
    <s v="assinatura"/>
    <n v="2567"/>
  </r>
  <r>
    <x v="37"/>
    <x v="8"/>
    <s v="6a98475ae795a658e64f88bc"/>
    <s v="02/09/2026 06:36:18"/>
    <s v="02/09/2026 12:57:14"/>
    <s v="Henrique"/>
    <s v="02/09/2026"/>
    <s v="Guapiaçu"/>
    <s v="1 ° Turno"/>
    <n v="150"/>
    <n v="3001"/>
    <s v="EDMAR FELIPE MARTINS"/>
    <n v="31"/>
    <n v="31"/>
    <n v="13"/>
    <n v="13"/>
    <n v="0"/>
    <n v="0"/>
    <n v="4"/>
    <n v="4"/>
    <n v="1"/>
    <n v="1"/>
    <n v="0"/>
    <n v="0"/>
    <n v="1"/>
    <n v="0.33333333333333337"/>
    <n v="8"/>
    <n v="5.3333333333333339"/>
    <n v="0"/>
    <n v="0"/>
    <n v="2"/>
    <n v="1.3333333333333335"/>
    <n v="6"/>
    <n v="4"/>
    <s v=""/>
    <n v="1"/>
    <n v="0.66666666666666674"/>
    <n v="1"/>
    <n v="0.66666666666666674"/>
    <s v=""/>
    <n v="4"/>
    <n v="2.666666666666667"/>
    <m/>
    <m/>
    <n v="5"/>
    <n v="3.3333333333333335"/>
    <n v="1"/>
    <n v="0.66666666666666674"/>
    <s v=""/>
    <n v="15"/>
    <n v="0"/>
    <n v="0"/>
    <n v="30"/>
    <n v="0"/>
    <n v="0"/>
    <n v="1"/>
    <n v="0.66666666666666674"/>
    <n v="19"/>
    <n v="14"/>
    <n v="1"/>
    <n v="10"/>
    <s v=""/>
    <n v="0"/>
    <n v="0"/>
    <n v="2"/>
    <s v="assinatura"/>
    <n v="3044"/>
  </r>
  <r>
    <x v="37"/>
    <x v="8"/>
    <s v="6a98475ae795a658e64f88aa"/>
    <s v="02/09/2026 04:27:25"/>
    <s v="02/09/2026 12:57:14"/>
    <s v="Henrique"/>
    <s v="02/09/2026"/>
    <s v="Guapiaçu"/>
    <s v="1 ° Turno"/>
    <n v="150"/>
    <n v="3025"/>
    <s v="EDMAR FELIPE MARTINS"/>
    <n v="23"/>
    <n v="23"/>
    <n v="6"/>
    <n v="6"/>
    <n v="0"/>
    <n v="0"/>
    <n v="2"/>
    <n v="2"/>
    <n v="2"/>
    <n v="2"/>
    <n v="0"/>
    <n v="0"/>
    <n v="1"/>
    <n v="0.33333333333333337"/>
    <n v="21"/>
    <n v="14.000000000000002"/>
    <n v="0"/>
    <n v="0"/>
    <n v="1"/>
    <n v="0.66666666666666674"/>
    <n v="5"/>
    <n v="3.3333333333333335"/>
    <s v=""/>
    <n v="1"/>
    <n v="0.66666666666666674"/>
    <n v="1"/>
    <n v="0.66666666666666674"/>
    <s v=""/>
    <n v="9"/>
    <n v="6"/>
    <m/>
    <m/>
    <n v="6"/>
    <n v="4"/>
    <n v="1"/>
    <n v="0.66666666666666674"/>
    <s v=""/>
    <n v="18"/>
    <n v="0"/>
    <n v="0"/>
    <n v="36"/>
    <n v="0"/>
    <n v="0"/>
    <n v="3"/>
    <n v="2"/>
    <n v="18"/>
    <n v="12"/>
    <n v="1"/>
    <n v="10"/>
    <s v=""/>
    <s v=""/>
    <s v=""/>
    <s v=""/>
    <s v="assinatura"/>
    <n v="1507"/>
  </r>
  <r>
    <x v="38"/>
    <x v="8"/>
    <s v="6aa0c8d7dc0f84ea8735163b"/>
    <s v="08/09/2026 21:08:23"/>
    <s v="08/09/2026 23:47:51"/>
    <s v="Henrique"/>
    <s v="08/09/2026"/>
    <s v="Guapiaçu"/>
    <s v="2 ° Turno"/>
    <n v="151"/>
    <n v="2777"/>
    <s v="JOBILIANA APARECIDA MAXIMO BERGAMINI"/>
    <n v="14"/>
    <n v="14.000000000000002"/>
    <n v="6"/>
    <n v="6"/>
    <n v="0"/>
    <n v="0"/>
    <n v="0"/>
    <n v="0"/>
    <n v="2"/>
    <n v="2"/>
    <n v="0"/>
    <n v="0"/>
    <n v="5"/>
    <n v="1.6556291390728477"/>
    <n v="15"/>
    <n v="9.9337748344370862"/>
    <n v="0"/>
    <n v="0"/>
    <n v="1"/>
    <n v="0.66225165562913912"/>
    <n v="0"/>
    <n v="0"/>
    <s v=""/>
    <n v="0"/>
    <n v="0"/>
    <n v="0"/>
    <n v="0"/>
    <s v=""/>
    <n v="16"/>
    <n v="10.596026490066226"/>
    <m/>
    <m/>
    <n v="9"/>
    <n v="5.9602649006622519"/>
    <n v="0"/>
    <n v="0"/>
    <s v=""/>
    <n v="6"/>
    <n v="0"/>
    <n v="0"/>
    <n v="12"/>
    <n v="0"/>
    <n v="0"/>
    <n v="0"/>
    <n v="0"/>
    <n v="5"/>
    <n v="3"/>
    <n v="0"/>
    <n v="0"/>
    <s v=""/>
    <n v="10"/>
    <n v="0"/>
    <n v="0"/>
    <s v="assinatura"/>
    <n v="1889"/>
  </r>
  <r>
    <x v="38"/>
    <x v="8"/>
    <s v="6aa0c8d7dc0f84ea87351627"/>
    <s v="08/09/2026 19:18:21"/>
    <s v="08/09/2026 23:47:51"/>
    <s v="Henrique"/>
    <s v="08/09/2026"/>
    <s v="Guapiaçu"/>
    <s v="2 ° Turno"/>
    <n v="151"/>
    <n v="2830"/>
    <s v="JOBILIANA APARECIDA MAXIMO BERGAMINI"/>
    <n v="11"/>
    <n v="11"/>
    <n v="5"/>
    <n v="5"/>
    <n v="1"/>
    <n v="10"/>
    <n v="1"/>
    <n v="1"/>
    <n v="0"/>
    <n v="0"/>
    <n v="0"/>
    <n v="0"/>
    <n v="5"/>
    <n v="1.6556291390728477"/>
    <n v="19"/>
    <n v="12.582781456953644"/>
    <n v="0"/>
    <n v="0"/>
    <n v="0"/>
    <n v="0"/>
    <n v="2"/>
    <n v="1.3245033112582782"/>
    <s v=""/>
    <n v="1"/>
    <n v="0.66225165562913912"/>
    <n v="0"/>
    <n v="0"/>
    <s v=""/>
    <n v="13"/>
    <n v="8.6092715231788084"/>
    <m/>
    <m/>
    <n v="8"/>
    <n v="5.298013245033113"/>
    <n v="1"/>
    <n v="0.66225165562913912"/>
    <s v=""/>
    <n v="5"/>
    <n v="1"/>
    <n v="0"/>
    <n v="10"/>
    <n v="2"/>
    <n v="0"/>
    <n v="0"/>
    <n v="0"/>
    <n v="4"/>
    <n v="2"/>
    <n v="0"/>
    <n v="0"/>
    <s v=""/>
    <n v="10"/>
    <n v="0"/>
    <n v="0"/>
    <s v="assinatura"/>
    <n v="8386"/>
  </r>
  <r>
    <x v="38"/>
    <x v="8"/>
    <s v="6aa0c8d6dc0f84ea87351603"/>
    <s v="08/09/2026 14:07:51"/>
    <s v="08/09/2026 23:47:50"/>
    <s v="Henrique"/>
    <s v="08/09/2026"/>
    <s v="Guapiaçu"/>
    <s v="2 ° Turno"/>
    <n v="130"/>
    <n v="2911"/>
    <s v="JOBILIANA APARECIDA MAXIMO BERGAMINI"/>
    <n v="14"/>
    <n v="14.000000000000002"/>
    <n v="9"/>
    <n v="9"/>
    <n v="1"/>
    <n v="10"/>
    <n v="1"/>
    <n v="1"/>
    <n v="0"/>
    <n v="0"/>
    <n v="1"/>
    <n v="5"/>
    <n v="2"/>
    <n v="0.76923076923076927"/>
    <n v="24"/>
    <n v="18.461538461538463"/>
    <n v="0"/>
    <n v="0"/>
    <n v="2"/>
    <n v="1.5384615384615385"/>
    <n v="4"/>
    <n v="3.0769230769230771"/>
    <s v=""/>
    <n v="0"/>
    <n v="0"/>
    <n v="0"/>
    <n v="0"/>
    <s v=""/>
    <n v="14"/>
    <n v="10.76923076923077"/>
    <m/>
    <m/>
    <n v="9"/>
    <n v="6.9230769230769234"/>
    <n v="0"/>
    <n v="0"/>
    <s v=""/>
    <n v="9"/>
    <n v="0"/>
    <n v="0"/>
    <n v="18"/>
    <n v="0"/>
    <n v="0"/>
    <n v="0"/>
    <n v="0"/>
    <n v="5"/>
    <n v="3"/>
    <n v="0"/>
    <n v="0"/>
    <s v=""/>
    <n v="4"/>
    <n v="0"/>
    <n v="0"/>
    <s v="assinatura"/>
    <n v="10270"/>
  </r>
  <r>
    <x v="38"/>
    <x v="8"/>
    <s v="6aa0373ef98bcbe21b126b6e"/>
    <s v="08/09/2026 11:38:24"/>
    <s v="08/09/2026 13:26:38"/>
    <s v="Henrique"/>
    <s v="08/09/2026"/>
    <s v="Guapiaçu"/>
    <s v="1 ° Turno"/>
    <n v="160"/>
    <n v="2804"/>
    <s v="EDMAR FELIPE MARTINS"/>
    <n v="39"/>
    <n v="39"/>
    <n v="25"/>
    <n v="25"/>
    <n v="0"/>
    <n v="0"/>
    <n v="3"/>
    <n v="3"/>
    <n v="1"/>
    <n v="1"/>
    <n v="0"/>
    <n v="0"/>
    <n v="3"/>
    <n v="0.9375"/>
    <n v="3"/>
    <n v="1.875"/>
    <n v="0"/>
    <n v="0"/>
    <n v="1"/>
    <n v="0.625"/>
    <n v="4"/>
    <n v="2.5"/>
    <s v=""/>
    <n v="3"/>
    <n v="1.875"/>
    <n v="2"/>
    <n v="1.25"/>
    <s v=""/>
    <n v="6"/>
    <n v="3.75"/>
    <m/>
    <m/>
    <n v="5"/>
    <n v="3.125"/>
    <n v="1"/>
    <n v="0.625"/>
    <s v=""/>
    <n v="17"/>
    <n v="0"/>
    <n v="0"/>
    <n v="34"/>
    <n v="0"/>
    <n v="0"/>
    <n v="2"/>
    <n v="1.25"/>
    <n v="23"/>
    <n v="21"/>
    <n v="1"/>
    <n v="10"/>
    <s v=""/>
    <s v=""/>
    <s v=""/>
    <s v=""/>
    <s v=""/>
    <n v="2513"/>
  </r>
  <r>
    <x v="38"/>
    <x v="8"/>
    <s v="6aa0373df98bcbe21b126b5c"/>
    <s v="08/09/2026 08:37:30"/>
    <s v="08/09/2026 13:26:37"/>
    <s v="Henrique"/>
    <s v="08/09/2026"/>
    <s v="Guapiaçu"/>
    <s v="1 ° Turno"/>
    <n v="150"/>
    <n v="2737"/>
    <s v="EDMAR FELIPE MARTINS"/>
    <n v="19"/>
    <n v="19"/>
    <n v="7"/>
    <n v="7.0000000000000009"/>
    <n v="1"/>
    <n v="10"/>
    <n v="3"/>
    <n v="3"/>
    <n v="1"/>
    <n v="1"/>
    <n v="0"/>
    <n v="0"/>
    <n v="1"/>
    <n v="0.33333333333333337"/>
    <n v="1"/>
    <n v="0.66666666666666674"/>
    <n v="0"/>
    <n v="0"/>
    <n v="0"/>
    <n v="0"/>
    <n v="3"/>
    <n v="2"/>
    <s v=""/>
    <n v="1"/>
    <n v="0.66666666666666674"/>
    <n v="1"/>
    <n v="0.66666666666666674"/>
    <s v=""/>
    <n v="5"/>
    <n v="3.3333333333333335"/>
    <m/>
    <m/>
    <n v="5"/>
    <n v="3.3333333333333335"/>
    <n v="1"/>
    <n v="0.66666666666666674"/>
    <s v=""/>
    <n v="15"/>
    <n v="0"/>
    <n v="0"/>
    <n v="30"/>
    <n v="0"/>
    <n v="0"/>
    <n v="0"/>
    <n v="0"/>
    <n v="21"/>
    <n v="20"/>
    <n v="2"/>
    <n v="20"/>
    <s v=""/>
    <s v=""/>
    <s v=""/>
    <s v=""/>
    <s v=""/>
    <n v="2480"/>
  </r>
  <r>
    <x v="38"/>
    <x v="8"/>
    <s v="6aa0373df98bcbe21b126b4e"/>
    <s v="08/09/2026 06:33:07"/>
    <s v="08/09/2026 13:26:37"/>
    <s v="Henrique"/>
    <s v="08/09/2026"/>
    <s v="Guapiaçu"/>
    <s v="1 ° Turno"/>
    <n v="156"/>
    <n v="2804"/>
    <s v="EDMAR FELIPE MARTINS"/>
    <n v="23"/>
    <n v="23"/>
    <n v="5"/>
    <n v="5"/>
    <n v="0"/>
    <n v="0"/>
    <n v="4"/>
    <n v="4"/>
    <n v="1"/>
    <n v="1"/>
    <n v="0"/>
    <n v="0"/>
    <n v="1"/>
    <n v="0.32051282051282048"/>
    <n v="4"/>
    <n v="2.5641025641025639"/>
    <n v="1"/>
    <n v="0.64102564102564097"/>
    <n v="1"/>
    <n v="0.64102564102564097"/>
    <n v="3"/>
    <n v="1.9230769230769231"/>
    <s v=""/>
    <n v="3"/>
    <n v="1.9230769230769231"/>
    <n v="2"/>
    <n v="1.2820512820512819"/>
    <s v=""/>
    <n v="6"/>
    <n v="3.8461538461538463"/>
    <m/>
    <m/>
    <n v="4"/>
    <n v="2.5641025641025639"/>
    <n v="1"/>
    <n v="0.64102564102564097"/>
    <s v=""/>
    <n v="13"/>
    <n v="0"/>
    <n v="0"/>
    <n v="26"/>
    <n v="0"/>
    <n v="0"/>
    <n v="0"/>
    <n v="0"/>
    <n v="17"/>
    <n v="21"/>
    <n v="1"/>
    <n v="10"/>
    <s v=""/>
    <s v=""/>
    <s v=""/>
    <s v=""/>
    <s v="assinatura"/>
    <n v="3750"/>
  </r>
  <r>
    <x v="38"/>
    <x v="8"/>
    <s v="6aa0373df98bcbe21b126b42"/>
    <s v="08/09/2026 04:32:00"/>
    <s v="08/09/2026 13:26:37"/>
    <s v="Henrique"/>
    <s v="08/09/2026"/>
    <s v="Guapiaçu"/>
    <s v="1 ° Turno"/>
    <n v="150"/>
    <n v="2857"/>
    <s v="EDMAR FELIPE MARTINS"/>
    <n v="12"/>
    <n v="12"/>
    <n v="4"/>
    <n v="4"/>
    <n v="0"/>
    <n v="0"/>
    <n v="3"/>
    <n v="3"/>
    <n v="0"/>
    <n v="0"/>
    <n v="0"/>
    <n v="0"/>
    <n v="0"/>
    <n v="0"/>
    <n v="4"/>
    <n v="2.666666666666667"/>
    <n v="0"/>
    <n v="0"/>
    <n v="0"/>
    <n v="0"/>
    <n v="3"/>
    <n v="2"/>
    <s v=""/>
    <n v="1"/>
    <n v="0.66666666666666674"/>
    <n v="2"/>
    <n v="1.3333333333333335"/>
    <s v=""/>
    <n v="5"/>
    <n v="3.3333333333333335"/>
    <m/>
    <m/>
    <n v="4"/>
    <n v="2.666666666666667"/>
    <n v="0"/>
    <n v="0"/>
    <s v=""/>
    <n v="14"/>
    <n v="0"/>
    <n v="0"/>
    <n v="28"/>
    <n v="0"/>
    <n v="0"/>
    <n v="1"/>
    <n v="0.66666666666666674"/>
    <n v="19"/>
    <n v="18"/>
    <n v="1"/>
    <n v="10"/>
    <s v=""/>
    <s v=""/>
    <s v=""/>
    <s v=""/>
    <s v="assinatura"/>
    <n v="1772"/>
  </r>
  <r>
    <x v="39"/>
    <x v="8"/>
    <s v="6aa36c6a52bf78b96bf15f37"/>
    <s v="10/09/2026 21:24:29"/>
    <s v="10/09/2026 23:50:18"/>
    <s v="Henrique"/>
    <s v="10/09/2026"/>
    <s v="Guapiaçu"/>
    <s v="2 ° Turno"/>
    <n v="145"/>
    <n v="2765"/>
    <s v="JOBILIANA APARECIDA MAXIMO BERGAMINI"/>
    <n v="20"/>
    <n v="20"/>
    <n v="9"/>
    <n v="9"/>
    <n v="3"/>
    <n v="30"/>
    <n v="2"/>
    <n v="2"/>
    <n v="1"/>
    <n v="1"/>
    <n v="0"/>
    <n v="0"/>
    <n v="8"/>
    <n v="2.7586206896551726"/>
    <n v="2"/>
    <n v="1.3793103448275863"/>
    <n v="0"/>
    <n v="0"/>
    <n v="1"/>
    <n v="0.68965517241379315"/>
    <n v="3"/>
    <n v="2.0689655172413794"/>
    <s v=""/>
    <n v="0"/>
    <n v="0"/>
    <n v="0"/>
    <n v="0"/>
    <s v=""/>
    <n v="8"/>
    <n v="5.5172413793103452"/>
    <m/>
    <m/>
    <n v="6"/>
    <n v="4.1379310344827589"/>
    <n v="0"/>
    <n v="0"/>
    <s v=""/>
    <n v="9"/>
    <n v="0"/>
    <n v="0"/>
    <n v="18"/>
    <n v="0"/>
    <n v="0"/>
    <n v="0"/>
    <n v="0"/>
    <n v="8"/>
    <n v="4"/>
    <n v="0"/>
    <n v="0"/>
    <s v=""/>
    <n v="4"/>
    <n v="0"/>
    <n v="0"/>
    <s v="assinatura"/>
    <n v="384"/>
  </r>
  <r>
    <x v="39"/>
    <x v="8"/>
    <s v="6aa36c6a52bf78b96bf15f25"/>
    <s v="10/09/2026 19:23:42"/>
    <s v="10/09/2026 23:50:18"/>
    <s v="Henrique"/>
    <s v="10/09/2026"/>
    <s v="Guapiaçu"/>
    <s v="2 ° Turno"/>
    <n v="151"/>
    <n v="2604"/>
    <s v="JOBILIANA APARECIDA MAXIMO BERGAMINI"/>
    <n v="22"/>
    <n v="22"/>
    <n v="14"/>
    <n v="14.000000000000002"/>
    <n v="3"/>
    <n v="30"/>
    <n v="1"/>
    <n v="1"/>
    <n v="0"/>
    <n v="0"/>
    <n v="0"/>
    <n v="0"/>
    <n v="4"/>
    <n v="1.3245033112582782"/>
    <n v="2"/>
    <n v="1.3245033112582782"/>
    <n v="1"/>
    <n v="0.66225165562913912"/>
    <n v="0"/>
    <n v="0"/>
    <n v="2"/>
    <n v="1.3245033112582782"/>
    <s v=""/>
    <n v="0"/>
    <n v="0"/>
    <n v="0"/>
    <n v="0"/>
    <s v=""/>
    <n v="9"/>
    <n v="5.9602649006622519"/>
    <m/>
    <m/>
    <n v="8"/>
    <n v="5.298013245033113"/>
    <n v="0"/>
    <n v="0"/>
    <s v=""/>
    <n v="7"/>
    <n v="0"/>
    <n v="1"/>
    <n v="14"/>
    <n v="0"/>
    <n v="2"/>
    <n v="0"/>
    <n v="0"/>
    <n v="5"/>
    <n v="3"/>
    <n v="0"/>
    <n v="0"/>
    <s v=""/>
    <n v="10"/>
    <n v="0"/>
    <n v="0"/>
    <s v="assinatura"/>
    <n v="6673"/>
  </r>
  <r>
    <x v="39"/>
    <x v="8"/>
    <s v="6aa36c6952bf78b96bf15f01"/>
    <s v="10/09/2026 14:13:31"/>
    <s v="10/09/2026 23:50:17"/>
    <s v="Henrique"/>
    <s v="10/09/2026"/>
    <s v="Guapiaçu"/>
    <s v="2 ° Turno"/>
    <n v="130"/>
    <n v="2809"/>
    <s v="JOBILIANA APARECIDA MAXIMO BERGAMINI"/>
    <n v="14"/>
    <n v="14.000000000000002"/>
    <n v="9"/>
    <n v="9"/>
    <n v="2"/>
    <n v="20"/>
    <n v="1"/>
    <n v="1"/>
    <n v="0"/>
    <n v="0"/>
    <n v="0"/>
    <n v="0"/>
    <n v="5"/>
    <n v="1.9230769230769231"/>
    <n v="4"/>
    <n v="3.0769230769230771"/>
    <n v="0"/>
    <n v="0"/>
    <n v="1"/>
    <n v="0.76923076923076927"/>
    <n v="2"/>
    <n v="1.5384615384615385"/>
    <s v=""/>
    <n v="0"/>
    <n v="0"/>
    <n v="0"/>
    <n v="0"/>
    <s v=""/>
    <n v="6"/>
    <n v="4.6153846153846159"/>
    <m/>
    <m/>
    <n v="3"/>
    <n v="2.3076923076923079"/>
    <n v="0"/>
    <n v="0"/>
    <s v=""/>
    <n v="8"/>
    <n v="0"/>
    <n v="0"/>
    <n v="16"/>
    <n v="0"/>
    <n v="0"/>
    <n v="0"/>
    <n v="0"/>
    <n v="5"/>
    <n v="3"/>
    <n v="0"/>
    <n v="0"/>
    <s v=""/>
    <n v="6"/>
    <n v="0"/>
    <n v="0"/>
    <s v="assinatura"/>
    <n v="10512"/>
  </r>
  <r>
    <x v="39"/>
    <x v="8"/>
    <s v="6aa2d28fb841baacea34da0a"/>
    <s v="10/09/2026 11:37:38"/>
    <s v="10/09/2026 12:53:51"/>
    <s v="Henrique"/>
    <s v="10/09/2026"/>
    <s v="Guapiaçu"/>
    <s v="1 ° Turno"/>
    <n v="153"/>
    <n v="2855"/>
    <s v="EDMAR FELIPE MARTINS"/>
    <n v="17"/>
    <n v="17"/>
    <n v="5"/>
    <n v="5"/>
    <n v="0"/>
    <n v="0"/>
    <n v="4"/>
    <n v="4"/>
    <n v="1"/>
    <n v="1"/>
    <n v="0"/>
    <n v="0"/>
    <n v="1"/>
    <n v="0.32679738562091504"/>
    <n v="4"/>
    <n v="2.6143790849673203"/>
    <n v="0"/>
    <n v="0"/>
    <n v="2"/>
    <n v="1.3071895424836601"/>
    <n v="6"/>
    <n v="3.9215686274509802"/>
    <s v=""/>
    <n v="3"/>
    <n v="1.9607843137254901"/>
    <n v="2"/>
    <n v="1.3071895424836601"/>
    <s v=""/>
    <n v="9"/>
    <n v="5.8823529411764701"/>
    <m/>
    <m/>
    <n v="6"/>
    <n v="3.9215686274509802"/>
    <n v="1"/>
    <n v="0.65359477124183007"/>
    <s v=""/>
    <n v="18"/>
    <n v="0"/>
    <n v="0"/>
    <n v="36"/>
    <n v="0"/>
    <n v="0"/>
    <n v="2"/>
    <n v="1.3071895424836601"/>
    <n v="18"/>
    <n v="17"/>
    <n v="1"/>
    <n v="10"/>
    <s v=""/>
    <s v=""/>
    <s v=""/>
    <s v=""/>
    <s v="assinatura"/>
    <n v="1317"/>
  </r>
  <r>
    <x v="39"/>
    <x v="8"/>
    <s v="6aa2d28fb841baacea34d9f2"/>
    <s v="10/09/2026 08:31:36"/>
    <s v="10/09/2026 12:53:51"/>
    <s v="Henrique"/>
    <s v="10/09/2026"/>
    <s v="Guapiaçu"/>
    <s v="1 ° Turno"/>
    <n v="145"/>
    <n v="2708"/>
    <s v="EDMAR FELIPE MARTINS"/>
    <n v="35"/>
    <n v="35"/>
    <n v="13"/>
    <n v="13"/>
    <n v="0"/>
    <n v="0"/>
    <n v="4"/>
    <n v="4"/>
    <n v="2"/>
    <n v="2"/>
    <n v="0"/>
    <n v="0"/>
    <n v="2"/>
    <n v="0.68965517241379315"/>
    <n v="3"/>
    <n v="2.0689655172413794"/>
    <n v="0"/>
    <n v="0"/>
    <n v="2"/>
    <n v="1.3793103448275863"/>
    <n v="6"/>
    <n v="4.1379310344827589"/>
    <s v=""/>
    <n v="2"/>
    <n v="1.3793103448275863"/>
    <n v="2"/>
    <n v="1.3793103448275863"/>
    <s v=""/>
    <n v="10"/>
    <n v="6.8965517241379306"/>
    <m/>
    <m/>
    <n v="8"/>
    <n v="5.5172413793103452"/>
    <n v="1"/>
    <n v="0.68965517241379315"/>
    <s v=""/>
    <n v="19"/>
    <n v="0"/>
    <n v="0"/>
    <n v="38"/>
    <n v="0"/>
    <n v="0"/>
    <n v="0"/>
    <n v="0"/>
    <n v="16"/>
    <n v="18"/>
    <n v="0"/>
    <n v="0"/>
    <s v=""/>
    <n v="2"/>
    <n v="0"/>
    <n v="1"/>
    <s v="assinatura"/>
    <n v="3028"/>
  </r>
  <r>
    <x v="39"/>
    <x v="8"/>
    <s v="6aa2d28eb841baacea34d9de"/>
    <s v="10/09/2026 06:34:50"/>
    <s v="10/09/2026 12:53:50"/>
    <s v="Henrique"/>
    <s v="10/09/2026"/>
    <s v="Guapiaçu"/>
    <s v="1 ° Turno"/>
    <n v="145"/>
    <n v="2762"/>
    <s v="EDMAR FELIPE MARTINS"/>
    <n v="19"/>
    <n v="19"/>
    <n v="8"/>
    <n v="8"/>
    <n v="0"/>
    <n v="0"/>
    <n v="3"/>
    <n v="3"/>
    <n v="2"/>
    <n v="2"/>
    <n v="0"/>
    <n v="0"/>
    <n v="1"/>
    <n v="0.34482758620689657"/>
    <n v="8"/>
    <n v="5.5172413793103452"/>
    <n v="0"/>
    <n v="0"/>
    <n v="0"/>
    <n v="0"/>
    <n v="3"/>
    <n v="2.0689655172413794"/>
    <s v=""/>
    <n v="3"/>
    <n v="2.0689655172413794"/>
    <n v="2"/>
    <n v="1.3793103448275863"/>
    <s v=""/>
    <n v="9"/>
    <n v="6.2068965517241379"/>
    <m/>
    <m/>
    <n v="7"/>
    <n v="4.8275862068965516"/>
    <n v="1"/>
    <n v="0.68965517241379315"/>
    <s v=""/>
    <n v="18"/>
    <n v="0"/>
    <n v="0"/>
    <n v="36"/>
    <n v="0"/>
    <n v="0"/>
    <n v="0"/>
    <n v="0"/>
    <n v="19"/>
    <n v="21"/>
    <n v="1"/>
    <n v="10"/>
    <s v=""/>
    <n v="0"/>
    <n v="0"/>
    <n v="2"/>
    <s v="assinatura"/>
    <n v="2650"/>
  </r>
  <r>
    <x v="39"/>
    <x v="8"/>
    <s v="6aa2d28eb841baacea34d9cc"/>
    <s v="10/09/2026 04:30:02"/>
    <s v="10/09/2026 12:53:50"/>
    <s v="Henrique"/>
    <s v="10/09/2026"/>
    <s v="Guapiaçu"/>
    <s v="1 ° Turno"/>
    <n v="160"/>
    <n v="2757"/>
    <s v="EDMAR FELIPE MARTINS"/>
    <n v="14"/>
    <n v="14.000000000000002"/>
    <n v="4"/>
    <n v="4"/>
    <n v="0"/>
    <n v="0"/>
    <n v="3"/>
    <n v="3"/>
    <n v="1"/>
    <n v="1"/>
    <n v="0"/>
    <n v="0"/>
    <n v="1"/>
    <n v="0.3125"/>
    <n v="3"/>
    <n v="1.875"/>
    <n v="0"/>
    <n v="0"/>
    <n v="1"/>
    <n v="0.625"/>
    <n v="4"/>
    <n v="2.5"/>
    <s v=""/>
    <n v="3"/>
    <n v="1.875"/>
    <n v="2"/>
    <n v="1.25"/>
    <s v=""/>
    <n v="6"/>
    <n v="3.75"/>
    <m/>
    <m/>
    <n v="7"/>
    <n v="4.375"/>
    <n v="1"/>
    <n v="0.625"/>
    <s v=""/>
    <n v="19"/>
    <n v="0"/>
    <n v="0"/>
    <n v="38"/>
    <n v="0"/>
    <n v="0"/>
    <n v="2"/>
    <n v="1.25"/>
    <n v="15"/>
    <n v="18"/>
    <n v="1"/>
    <n v="10"/>
    <s v=""/>
    <s v=""/>
    <s v=""/>
    <s v=""/>
    <s v=""/>
    <n v="1407"/>
  </r>
  <r>
    <x v="40"/>
    <x v="8"/>
    <s v="6aa21d8b04d1eda90f98f196"/>
    <s v="09/09/2026 20:48:35"/>
    <s v="10/09/2026 00:01:31"/>
    <s v="Henrique"/>
    <s v="09/09/2026"/>
    <s v="Guapiaçu"/>
    <s v="2 ° Turno"/>
    <n v="145"/>
    <n v="2849"/>
    <s v="JOBILIANA APARECIDA MAXIMO BERGAMINI"/>
    <n v="22"/>
    <n v="22"/>
    <n v="4"/>
    <n v="4"/>
    <n v="0"/>
    <n v="0"/>
    <n v="0"/>
    <n v="0"/>
    <n v="0"/>
    <n v="0"/>
    <n v="0"/>
    <n v="0"/>
    <n v="9"/>
    <n v="3.103448275862069"/>
    <n v="3"/>
    <n v="2.0689655172413794"/>
    <n v="0"/>
    <n v="0"/>
    <n v="1"/>
    <n v="0.68965517241379315"/>
    <n v="0"/>
    <n v="0"/>
    <s v=""/>
    <n v="0"/>
    <n v="0"/>
    <n v="0"/>
    <n v="0"/>
    <s v=""/>
    <n v="4"/>
    <n v="2.7586206896551726"/>
    <m/>
    <m/>
    <n v="5"/>
    <n v="3.4482758620689653"/>
    <n v="0"/>
    <n v="0"/>
    <s v=""/>
    <n v="9"/>
    <n v="0"/>
    <n v="0"/>
    <n v="18"/>
    <n v="0"/>
    <n v="0"/>
    <n v="0"/>
    <n v="0"/>
    <n v="4"/>
    <n v="2"/>
    <n v="0"/>
    <n v="0"/>
    <s v=""/>
    <n v="0"/>
    <n v="0"/>
    <n v="0"/>
    <s v="assinatura"/>
    <n v="1674"/>
  </r>
  <r>
    <x v="40"/>
    <x v="8"/>
    <s v="6aa21d8b04d1eda90f98f184"/>
    <s v="09/09/2026 19:21:41"/>
    <s v="10/09/2026 00:01:31"/>
    <s v="Henrique"/>
    <s v="09/09/2026"/>
    <s v="Guapiaçu"/>
    <s v="2 ° Turno"/>
    <n v="161"/>
    <n v="3069"/>
    <s v="JOBILIANA APARECIDA MAXIMO BERGAMINI"/>
    <n v="20"/>
    <n v="20"/>
    <n v="6"/>
    <n v="6"/>
    <n v="2"/>
    <n v="20"/>
    <n v="0"/>
    <n v="0"/>
    <n v="1"/>
    <n v="1"/>
    <n v="0"/>
    <n v="0"/>
    <n v="6"/>
    <n v="1.8633540372670807"/>
    <n v="4"/>
    <n v="2.4844720496894408"/>
    <n v="0"/>
    <n v="0"/>
    <n v="1"/>
    <n v="0.6211180124223602"/>
    <n v="2"/>
    <n v="1.2422360248447204"/>
    <s v=""/>
    <n v="0"/>
    <n v="0"/>
    <n v="0"/>
    <n v="0"/>
    <s v=""/>
    <n v="8"/>
    <n v="4.9689440993788816"/>
    <m/>
    <m/>
    <n v="5"/>
    <n v="3.1055900621118013"/>
    <n v="0"/>
    <n v="0"/>
    <s v=""/>
    <n v="5"/>
    <n v="1"/>
    <n v="0"/>
    <n v="10"/>
    <n v="2"/>
    <n v="0"/>
    <n v="0"/>
    <n v="0"/>
    <n v="5"/>
    <n v="2"/>
    <n v="0"/>
    <n v="0"/>
    <s v=""/>
    <n v="1"/>
    <n v="0"/>
    <n v="0"/>
    <s v="assinatura"/>
    <n v="6751"/>
  </r>
  <r>
    <x v="40"/>
    <x v="8"/>
    <s v="6aa21d8a04d1eda90f98f160"/>
    <s v="09/09/2026 14:09:03"/>
    <s v="10/09/2026 00:01:30"/>
    <s v="Henrique"/>
    <s v="09/09/2026"/>
    <s v="Guapiaçu"/>
    <s v="2 ° Turno"/>
    <n v="130"/>
    <n v="3143"/>
    <s v="JOBILIANA APARECIDA MAXIMO BERGAMINI"/>
    <n v="32"/>
    <n v="32"/>
    <n v="10"/>
    <n v="10"/>
    <n v="0"/>
    <n v="0"/>
    <n v="1"/>
    <n v="1"/>
    <n v="0"/>
    <n v="0"/>
    <n v="0"/>
    <n v="0"/>
    <n v="4"/>
    <n v="1.5384615384615385"/>
    <n v="5"/>
    <n v="3.8461538461538463"/>
    <n v="0"/>
    <n v="0"/>
    <n v="0"/>
    <n v="0"/>
    <n v="2"/>
    <n v="1.5384615384615385"/>
    <s v=""/>
    <n v="0"/>
    <n v="0"/>
    <n v="0"/>
    <n v="0"/>
    <s v=""/>
    <n v="9"/>
    <n v="6.9230769230769234"/>
    <m/>
    <m/>
    <n v="7"/>
    <n v="5.384615384615385"/>
    <n v="1"/>
    <n v="0.76923076923076927"/>
    <s v=""/>
    <n v="6"/>
    <n v="0"/>
    <n v="0"/>
    <n v="12"/>
    <n v="0"/>
    <n v="0"/>
    <n v="1"/>
    <n v="0.76923076923076927"/>
    <n v="3"/>
    <n v="2"/>
    <s v=""/>
    <s v=""/>
    <s v=""/>
    <n v="1"/>
    <n v="0"/>
    <n v="0"/>
    <s v="assinatura"/>
    <n v="8147"/>
  </r>
  <r>
    <x v="40"/>
    <x v="8"/>
    <s v="6aa181b852bf78b96be919c6"/>
    <s v="09/09/2026 11:09:14"/>
    <s v="09/09/2026 12:56:40"/>
    <s v="Henrique"/>
    <s v="09/09/2026"/>
    <s v="Guapiaçu"/>
    <s v="1 ° Turno"/>
    <n v="145"/>
    <n v="2889"/>
    <s v="EDMAR FELIPE MARTINS"/>
    <n v="32"/>
    <n v="32"/>
    <n v="4"/>
    <n v="4"/>
    <n v="0"/>
    <n v="0"/>
    <n v="3"/>
    <n v="3"/>
    <n v="1"/>
    <n v="1"/>
    <n v="0"/>
    <n v="0"/>
    <n v="2"/>
    <n v="0.68965517241379315"/>
    <n v="6"/>
    <n v="4.1379310344827589"/>
    <n v="2"/>
    <n v="1.3793103448275863"/>
    <n v="2"/>
    <n v="1.3793103448275863"/>
    <n v="3"/>
    <n v="2.0689655172413794"/>
    <s v=""/>
    <n v="3"/>
    <n v="2.0689655172413794"/>
    <n v="2"/>
    <n v="1.3793103448275863"/>
    <s v=""/>
    <n v="6"/>
    <n v="4.1379310344827589"/>
    <m/>
    <m/>
    <n v="7"/>
    <n v="4.8275862068965516"/>
    <n v="1"/>
    <n v="0.68965517241379315"/>
    <s v=""/>
    <n v="14"/>
    <n v="0"/>
    <n v="0"/>
    <n v="28"/>
    <n v="0"/>
    <n v="0"/>
    <n v="2"/>
    <n v="1.3793103448275863"/>
    <n v="16"/>
    <n v="13"/>
    <n v="1"/>
    <n v="10"/>
    <s v=""/>
    <n v="0"/>
    <n v="0"/>
    <n v="1"/>
    <s v="assinatura"/>
    <n v="2330"/>
  </r>
  <r>
    <x v="40"/>
    <x v="8"/>
    <s v="6aa181b852bf78b96be919ae"/>
    <s v="09/09/2026 08:26:16"/>
    <s v="09/09/2026 12:56:40"/>
    <s v="Henrique"/>
    <s v="09/09/2026"/>
    <s v="Guapiaçu"/>
    <s v="1 ° Turno"/>
    <n v="135"/>
    <n v="2968"/>
    <s v="EDMAR FELIPE MARTINS"/>
    <n v="21"/>
    <n v="21"/>
    <n v="7"/>
    <n v="7.0000000000000009"/>
    <n v="0"/>
    <n v="0"/>
    <n v="3"/>
    <n v="3"/>
    <n v="0"/>
    <n v="0"/>
    <n v="0"/>
    <n v="0"/>
    <n v="1"/>
    <n v="0.37037037037037041"/>
    <n v="4"/>
    <n v="2.9629629629629632"/>
    <n v="0"/>
    <n v="0"/>
    <n v="2"/>
    <n v="1.4814814814814816"/>
    <n v="3"/>
    <n v="2.2222222222222223"/>
    <s v=""/>
    <n v="2"/>
    <n v="1.4814814814814816"/>
    <n v="2"/>
    <n v="1.4814814814814816"/>
    <s v=""/>
    <n v="5"/>
    <n v="3.7037037037037033"/>
    <m/>
    <m/>
    <n v="5"/>
    <n v="3.7037037037037033"/>
    <n v="1"/>
    <n v="0.74074074074074081"/>
    <s v=""/>
    <n v="15"/>
    <n v="0"/>
    <n v="0"/>
    <n v="30"/>
    <n v="0"/>
    <n v="0"/>
    <n v="0"/>
    <n v="0"/>
    <n v="21"/>
    <n v="19"/>
    <n v="1"/>
    <n v="10"/>
    <s v=""/>
    <n v="2"/>
    <n v="0"/>
    <n v="1"/>
    <s v="assinatura"/>
    <n v="2132"/>
  </r>
  <r>
    <x v="40"/>
    <x v="8"/>
    <s v="6aa181b852bf78b96be9199c"/>
    <s v="09/09/2026 06:31:07"/>
    <s v="09/09/2026 12:56:40"/>
    <s v="Henrique"/>
    <s v="09/09/2026"/>
    <s v="Guapiaçu"/>
    <s v="1 ° Turno"/>
    <n v="150"/>
    <n v="2621"/>
    <s v="EDMAR FELIPE MARTINS"/>
    <n v="19"/>
    <n v="19"/>
    <n v="4"/>
    <n v="4"/>
    <n v="0"/>
    <n v="0"/>
    <n v="5"/>
    <n v="5"/>
    <n v="1"/>
    <n v="1"/>
    <n v="0"/>
    <n v="0"/>
    <n v="1"/>
    <n v="0.33333333333333337"/>
    <n v="4"/>
    <n v="2.666666666666667"/>
    <n v="0"/>
    <n v="0"/>
    <n v="0"/>
    <n v="0"/>
    <n v="3"/>
    <n v="2"/>
    <s v=""/>
    <n v="3"/>
    <n v="2"/>
    <n v="2"/>
    <n v="1.3333333333333335"/>
    <s v=""/>
    <n v="6"/>
    <n v="4"/>
    <m/>
    <m/>
    <n v="4"/>
    <n v="2.666666666666667"/>
    <n v="1"/>
    <n v="0.66666666666666674"/>
    <s v=""/>
    <n v="15"/>
    <n v="0"/>
    <n v="0"/>
    <n v="30"/>
    <n v="0"/>
    <n v="0"/>
    <n v="0"/>
    <n v="0"/>
    <n v="17"/>
    <n v="18"/>
    <n v="1"/>
    <n v="10"/>
    <s v=""/>
    <n v="1"/>
    <n v="0"/>
    <n v="1"/>
    <s v="assinatura"/>
    <n v="3167"/>
  </r>
  <r>
    <x v="40"/>
    <x v="8"/>
    <s v="6aa181b852bf78b96be91988"/>
    <s v="09/09/2026 04:28:32"/>
    <s v="09/09/2026 12:56:40"/>
    <s v="Henrique"/>
    <s v="09/09/2026"/>
    <s v="Guapiaçu"/>
    <s v="1 ° Turno"/>
    <n v="150"/>
    <n v="2800"/>
    <s v="EDMAR FELIPE MARTINS"/>
    <n v="20"/>
    <n v="20"/>
    <n v="5"/>
    <n v="5"/>
    <n v="0"/>
    <n v="0"/>
    <n v="3"/>
    <n v="3"/>
    <n v="1"/>
    <n v="1"/>
    <s v=""/>
    <s v=""/>
    <n v="2"/>
    <n v="0.66666666666666674"/>
    <n v="3"/>
    <n v="2"/>
    <n v="0"/>
    <n v="0"/>
    <n v="0"/>
    <n v="0"/>
    <n v="4"/>
    <n v="2.666666666666667"/>
    <s v=""/>
    <n v="1"/>
    <n v="0.66666666666666674"/>
    <n v="1"/>
    <n v="0.66666666666666674"/>
    <s v=""/>
    <n v="6"/>
    <n v="4"/>
    <m/>
    <m/>
    <n v="5"/>
    <n v="3.3333333333333335"/>
    <n v="0"/>
    <n v="0"/>
    <s v=""/>
    <n v="13"/>
    <n v="0"/>
    <n v="0"/>
    <n v="26"/>
    <n v="0"/>
    <n v="0"/>
    <n v="2"/>
    <n v="1.3333333333333335"/>
    <n v="23"/>
    <n v="19"/>
    <n v="1"/>
    <n v="10"/>
    <s v=""/>
    <s v=""/>
    <s v=""/>
    <s v=""/>
    <s v="assinatura"/>
    <n v="1878"/>
  </r>
  <r>
    <x v="41"/>
    <x v="8"/>
    <s v="6aa60ba8d22af7eaa16e4816"/>
    <s v="12/09/2026 21:57:08"/>
    <s v="12/09/2026 23:34:16"/>
    <s v="Henrique"/>
    <s v="12/09/2026"/>
    <s v="Guapiaçu"/>
    <s v="2 ° Turno"/>
    <n v="146"/>
    <n v="2715"/>
    <s v="JOBILIANA APARECIDA MAXIMO BERGAMINI"/>
    <n v="22"/>
    <n v="22"/>
    <n v="9"/>
    <n v="9"/>
    <n v="0"/>
    <n v="0"/>
    <n v="2"/>
    <n v="2"/>
    <n v="0"/>
    <n v="0"/>
    <n v="0"/>
    <n v="0"/>
    <n v="5"/>
    <n v="1.7123287671232876"/>
    <n v="6"/>
    <n v="4.10958904109589"/>
    <n v="0"/>
    <n v="0"/>
    <n v="1"/>
    <n v="0.68493150684931503"/>
    <n v="3"/>
    <n v="2.054794520547945"/>
    <s v=""/>
    <n v="0"/>
    <n v="0"/>
    <n v="0"/>
    <n v="0"/>
    <s v=""/>
    <n v="6"/>
    <n v="4.10958904109589"/>
    <m/>
    <m/>
    <n v="8"/>
    <n v="5.4794520547945202"/>
    <n v="0"/>
    <n v="0"/>
    <s v=""/>
    <n v="6"/>
    <n v="0"/>
    <n v="0"/>
    <n v="12"/>
    <n v="0"/>
    <n v="0"/>
    <n v="3"/>
    <n v="2.054794520547945"/>
    <n v="8"/>
    <n v="3"/>
    <n v="0"/>
    <n v="0"/>
    <s v=""/>
    <n v="0"/>
    <n v="0"/>
    <n v="0"/>
    <s v="assinatura"/>
    <n v="2382"/>
  </r>
  <r>
    <x v="41"/>
    <x v="8"/>
    <s v="6aa60ba7d22af7eaa16e47fc"/>
    <s v="12/09/2026 19:14:16"/>
    <s v="12/09/2026 23:34:15"/>
    <s v="Henrique"/>
    <s v="12/09/2026"/>
    <s v="Guapiaçu"/>
    <s v="2 ° Turno"/>
    <n v="142"/>
    <n v="588"/>
    <s v="JOBILIANA APARECIDA MAXIMO BERGAMINI"/>
    <n v="20"/>
    <n v="20"/>
    <n v="10"/>
    <n v="10"/>
    <n v="1"/>
    <n v="10"/>
    <n v="2"/>
    <n v="2"/>
    <n v="3"/>
    <n v="3"/>
    <n v="0"/>
    <n v="0"/>
    <n v="6"/>
    <n v="2.112676056338028"/>
    <n v="8"/>
    <n v="5.6338028169014089"/>
    <n v="0"/>
    <n v="0"/>
    <n v="3"/>
    <n v="2.112676056338028"/>
    <n v="4"/>
    <n v="2.8169014084507045"/>
    <s v=""/>
    <n v="0"/>
    <n v="0"/>
    <n v="0"/>
    <n v="0"/>
    <s v=""/>
    <n v="7"/>
    <n v="4.929577464788732"/>
    <m/>
    <m/>
    <n v="6"/>
    <n v="4.225352112676056"/>
    <n v="0"/>
    <n v="0"/>
    <s v=""/>
    <n v="5"/>
    <n v="0"/>
    <n v="0"/>
    <n v="10"/>
    <n v="0"/>
    <n v="0"/>
    <n v="0"/>
    <n v="0"/>
    <n v="7"/>
    <n v="3"/>
    <n v="0"/>
    <n v="0"/>
    <s v=""/>
    <n v="2"/>
    <n v="0"/>
    <n v="0"/>
    <s v="assinatura"/>
    <n v="9526"/>
  </r>
  <r>
    <x v="41"/>
    <x v="8"/>
    <s v="6aa60ba7d22af7eaa16e47d2"/>
    <s v="12/09/2026 14:11:30"/>
    <s v="12/09/2026 23:34:15"/>
    <s v="Henrique"/>
    <s v="12/09/2026"/>
    <s v="Guapiaçu"/>
    <s v="2 ° Turno"/>
    <n v="130"/>
    <n v="2687"/>
    <s v="JOBILIANA APARECIDA MAXIMO BERGAMINI"/>
    <n v="23"/>
    <n v="23"/>
    <n v="6"/>
    <n v="6"/>
    <n v="3"/>
    <n v="30"/>
    <n v="1"/>
    <n v="1"/>
    <n v="0"/>
    <n v="0"/>
    <n v="0"/>
    <n v="0"/>
    <n v="6"/>
    <n v="2.3076923076923079"/>
    <n v="3"/>
    <n v="2.3076923076923079"/>
    <n v="0"/>
    <n v="0"/>
    <n v="1"/>
    <n v="0.76923076923076927"/>
    <n v="2"/>
    <n v="1.5384615384615385"/>
    <s v=""/>
    <n v="0"/>
    <n v="0"/>
    <n v="0"/>
    <n v="0"/>
    <s v=""/>
    <n v="8"/>
    <n v="6.1538461538461542"/>
    <m/>
    <m/>
    <n v="6"/>
    <n v="4.6153846153846159"/>
    <n v="0"/>
    <n v="0"/>
    <s v=""/>
    <n v="9"/>
    <n v="1"/>
    <n v="1"/>
    <n v="18"/>
    <n v="2"/>
    <n v="2"/>
    <n v="0"/>
    <n v="0"/>
    <n v="7"/>
    <n v="3"/>
    <n v="0"/>
    <n v="0"/>
    <s v=""/>
    <n v="1"/>
    <n v="0"/>
    <n v="0"/>
    <s v="assinatura"/>
    <n v="9342"/>
  </r>
  <r>
    <x v="41"/>
    <x v="8"/>
    <s v="6aa5830dc56867042ec5e5ee"/>
    <s v="12/09/2026 11:51:59"/>
    <s v="12/09/2026 13:51:25"/>
    <s v="Henrique"/>
    <s v="12/09/2026"/>
    <s v="Guapiaçu"/>
    <s v="1 ° Turno"/>
    <n v="105"/>
    <n v="2748"/>
    <s v="EDMAR FELIPE MARTINS"/>
    <n v="30"/>
    <n v="30"/>
    <n v="14"/>
    <n v="14.000000000000002"/>
    <n v="0"/>
    <n v="0"/>
    <n v="1"/>
    <n v="1"/>
    <n v="0"/>
    <n v="0"/>
    <n v="0"/>
    <n v="0"/>
    <n v="2"/>
    <n v="0.95238095238095244"/>
    <n v="2"/>
    <n v="1.9047619047619049"/>
    <n v="0"/>
    <n v="0"/>
    <n v="2"/>
    <n v="1.9047619047619049"/>
    <n v="8"/>
    <n v="7.6190476190476195"/>
    <s v=""/>
    <n v="6"/>
    <n v="5.7142857142857144"/>
    <n v="2"/>
    <n v="1.9047619047619049"/>
    <s v=""/>
    <n v="9"/>
    <n v="8.5714285714285712"/>
    <m/>
    <m/>
    <n v="7"/>
    <n v="6.666666666666667"/>
    <n v="2"/>
    <n v="1.9047619047619049"/>
    <s v=""/>
    <n v="15"/>
    <n v="0"/>
    <n v="0"/>
    <n v="30"/>
    <n v="0"/>
    <n v="0"/>
    <n v="1"/>
    <n v="0.95238095238095244"/>
    <n v="25"/>
    <n v="16"/>
    <n v="2"/>
    <n v="20"/>
    <s v=""/>
    <n v="0"/>
    <n v="0"/>
    <n v="1"/>
    <s v="assinatura"/>
    <n v="2415"/>
  </r>
  <r>
    <x v="41"/>
    <x v="8"/>
    <s v="6aa5830cc56867042ec5e5d6"/>
    <s v="12/09/2026 08:02:03"/>
    <s v="12/09/2026 13:51:24"/>
    <s v="Henrique"/>
    <s v="12/09/2026"/>
    <s v="Guapiaçu"/>
    <s v="1 ° Turno"/>
    <n v="100"/>
    <n v="2799"/>
    <s v="EDMAR FELIPE MARTINS"/>
    <n v="25"/>
    <n v="25"/>
    <n v="12"/>
    <n v="12"/>
    <n v="0"/>
    <n v="0"/>
    <n v="1"/>
    <n v="1"/>
    <n v="1"/>
    <n v="1"/>
    <n v="0"/>
    <n v="0"/>
    <n v="1"/>
    <n v="0.5"/>
    <n v="2"/>
    <n v="2"/>
    <n v="0"/>
    <n v="0"/>
    <n v="1"/>
    <n v="1"/>
    <n v="4"/>
    <n v="4"/>
    <s v=""/>
    <n v="2"/>
    <n v="2"/>
    <n v="1"/>
    <n v="1"/>
    <s v=""/>
    <n v="6"/>
    <n v="6"/>
    <m/>
    <m/>
    <n v="6"/>
    <n v="6"/>
    <n v="2"/>
    <n v="2"/>
    <s v=""/>
    <n v="17"/>
    <n v="0"/>
    <s v=""/>
    <n v="34"/>
    <n v="0"/>
    <s v=""/>
    <n v="0"/>
    <n v="0"/>
    <n v="19"/>
    <n v="17"/>
    <n v="1"/>
    <n v="10"/>
    <s v=""/>
    <s v=""/>
    <s v=""/>
    <s v=""/>
    <s v="assinatura"/>
    <n v="2699"/>
  </r>
  <r>
    <x v="41"/>
    <x v="8"/>
    <s v="6aa5830cc56867042ec5e5ca"/>
    <s v="12/09/2026 06:36:04"/>
    <s v="12/09/2026 13:51:24"/>
    <s v="Henrique"/>
    <s v="12/09/2026"/>
    <s v="Guapiaçu"/>
    <s v="1 ° Turno"/>
    <n v="151"/>
    <n v="2731"/>
    <s v="EDMAR FELIPE MARTINS"/>
    <n v="44"/>
    <n v="44"/>
    <n v="25"/>
    <n v="25"/>
    <n v="0"/>
    <n v="0"/>
    <n v="1"/>
    <n v="1"/>
    <n v="1"/>
    <n v="1"/>
    <n v="0"/>
    <n v="0"/>
    <n v="1"/>
    <n v="0.33112582781456956"/>
    <n v="4"/>
    <n v="2.6490066225165565"/>
    <n v="0"/>
    <n v="0"/>
    <n v="2"/>
    <n v="1.3245033112582782"/>
    <n v="6"/>
    <n v="3.9735099337748347"/>
    <s v=""/>
    <n v="4"/>
    <n v="2.6490066225165565"/>
    <n v="2"/>
    <n v="1.3245033112582782"/>
    <s v=""/>
    <n v="10"/>
    <n v="6.6225165562913908"/>
    <m/>
    <m/>
    <n v="16"/>
    <n v="10.596026490066226"/>
    <n v="4"/>
    <n v="2.6490066225165565"/>
    <s v=""/>
    <n v="20"/>
    <n v="0"/>
    <n v="0"/>
    <n v="40"/>
    <n v="0"/>
    <n v="0"/>
    <n v="2"/>
    <n v="1.3245033112582782"/>
    <n v="20"/>
    <n v="21"/>
    <n v="1"/>
    <n v="10"/>
    <s v=""/>
    <n v="1"/>
    <n v="0"/>
    <n v="1"/>
    <s v="assinatura"/>
    <n v="1817"/>
  </r>
  <r>
    <x v="41"/>
    <x v="8"/>
    <s v="6aa5830cc56867042ec5e5b8"/>
    <s v="12/09/2026 04:37:06"/>
    <s v="12/09/2026 13:51:24"/>
    <s v="Henrique"/>
    <s v="12/09/2026"/>
    <s v="Guapiaçu"/>
    <s v="1 ° Turno"/>
    <n v="161"/>
    <n v="2518"/>
    <s v="EDMAR FELIPE MARTINS"/>
    <n v="35"/>
    <n v="35"/>
    <n v="15"/>
    <n v="15"/>
    <n v="0"/>
    <n v="0"/>
    <n v="1"/>
    <n v="1"/>
    <n v="2"/>
    <n v="2"/>
    <n v="0"/>
    <n v="0"/>
    <n v="2"/>
    <n v="0.6211180124223602"/>
    <n v="3"/>
    <n v="1.8633540372670807"/>
    <n v="0"/>
    <n v="0"/>
    <n v="2"/>
    <n v="1.2422360248447204"/>
    <n v="5"/>
    <n v="3.1055900621118013"/>
    <s v=""/>
    <n v="3"/>
    <n v="1.8633540372670807"/>
    <n v="2"/>
    <n v="1.2422360248447204"/>
    <s v=""/>
    <n v="10"/>
    <n v="6.2111801242236027"/>
    <m/>
    <m/>
    <n v="9"/>
    <n v="5.5900621118012426"/>
    <n v="3"/>
    <n v="1.8633540372670807"/>
    <s v=""/>
    <n v="21"/>
    <n v="0"/>
    <n v="0"/>
    <n v="42"/>
    <n v="0"/>
    <n v="0"/>
    <n v="1"/>
    <n v="0.6211180124223602"/>
    <n v="27"/>
    <n v="14"/>
    <n v="1"/>
    <n v="10"/>
    <s v=""/>
    <s v=""/>
    <s v=""/>
    <s v=""/>
    <s v="assinatura"/>
    <n v="2124"/>
  </r>
  <r>
    <x v="42"/>
    <x v="8"/>
    <s v="6aa4bed507e3da2eb613d03f"/>
    <s v="11/09/2026 21:19:15"/>
    <s v="11/09/2026 23:54:13"/>
    <s v="Henrique"/>
    <s v="11/09/2026"/>
    <s v="Guapiaçu"/>
    <s v="2 ° Turno"/>
    <n v="161"/>
    <n v="2587"/>
    <s v="JOBILIANA APARECIDA MAXIMO BERGAMINI"/>
    <n v="20"/>
    <n v="20"/>
    <n v="6"/>
    <n v="6"/>
    <n v="0"/>
    <n v="0"/>
    <n v="0"/>
    <n v="0"/>
    <n v="0"/>
    <n v="0"/>
    <n v="0"/>
    <n v="0"/>
    <n v="6"/>
    <n v="1.8633540372670807"/>
    <n v="4"/>
    <n v="2.4844720496894408"/>
    <n v="0"/>
    <n v="0"/>
    <n v="1"/>
    <n v="0.6211180124223602"/>
    <n v="1"/>
    <n v="0.6211180124223602"/>
    <s v=""/>
    <n v="0"/>
    <n v="0"/>
    <n v="0"/>
    <n v="0"/>
    <s v=""/>
    <n v="6"/>
    <n v="3.7267080745341614"/>
    <m/>
    <m/>
    <n v="8"/>
    <n v="4.9689440993788816"/>
    <n v="0"/>
    <n v="0"/>
    <s v=""/>
    <n v="8"/>
    <n v="0"/>
    <n v="0"/>
    <n v="16"/>
    <n v="0"/>
    <n v="0"/>
    <n v="0"/>
    <n v="0"/>
    <n v="5"/>
    <n v="2"/>
    <n v="0"/>
    <n v="0"/>
    <s v=""/>
    <n v="0"/>
    <n v="0"/>
    <n v="0"/>
    <s v="assinatura"/>
    <n v="167"/>
  </r>
  <r>
    <x v="42"/>
    <x v="8"/>
    <s v="6aa4bed407e3da2eb613d027"/>
    <s v="11/09/2026 18:47:13"/>
    <s v="11/09/2026 23:54:12"/>
    <s v="Henrique"/>
    <s v="11/09/2026"/>
    <s v="Guapiaçu"/>
    <s v="2 ° Turno"/>
    <n v="161"/>
    <n v="2564"/>
    <s v="JOBILIANA APARECIDA MAXIMO BERGAMINI"/>
    <n v="37"/>
    <n v="37"/>
    <n v="14"/>
    <n v="14.000000000000002"/>
    <n v="2"/>
    <n v="20"/>
    <n v="0"/>
    <n v="0"/>
    <n v="1"/>
    <n v="1"/>
    <n v="0"/>
    <n v="0"/>
    <n v="6"/>
    <n v="1.8633540372670807"/>
    <n v="7"/>
    <n v="4.3478260869565215"/>
    <n v="0"/>
    <n v="0"/>
    <n v="1"/>
    <n v="0.6211180124223602"/>
    <n v="2"/>
    <n v="1.2422360248447204"/>
    <s v=""/>
    <n v="0"/>
    <n v="0"/>
    <n v="0"/>
    <n v="0"/>
    <s v=""/>
    <n v="7"/>
    <n v="4.3478260869565215"/>
    <m/>
    <m/>
    <n v="6"/>
    <n v="3.7267080745341614"/>
    <n v="0"/>
    <n v="0"/>
    <s v=""/>
    <n v="6"/>
    <n v="0"/>
    <n v="0"/>
    <n v="12"/>
    <n v="0"/>
    <n v="0"/>
    <n v="0"/>
    <n v="0"/>
    <n v="7"/>
    <n v="5"/>
    <n v="0"/>
    <n v="0"/>
    <s v=""/>
    <n v="0"/>
    <n v="0"/>
    <n v="0"/>
    <s v="assinatura"/>
    <n v="8972"/>
  </r>
  <r>
    <x v="42"/>
    <x v="8"/>
    <s v="6aa4bed407e3da2eb613d001"/>
    <s v="11/09/2026 14:08:27"/>
    <s v="11/09/2026 23:54:12"/>
    <s v="Henrique"/>
    <s v="11/09/2026"/>
    <s v="Guapiaçu"/>
    <s v="2 ° Turno"/>
    <n v="130"/>
    <n v="2714"/>
    <s v="JOBILIANA APARECIDA MAXIMO BERGAMINI"/>
    <n v="42"/>
    <n v="42"/>
    <n v="44"/>
    <n v="44"/>
    <n v="1"/>
    <n v="10"/>
    <n v="1"/>
    <n v="1"/>
    <n v="0"/>
    <n v="0"/>
    <n v="0"/>
    <n v="0"/>
    <n v="5"/>
    <n v="1.9230769230769231"/>
    <n v="10"/>
    <n v="7.6923076923076925"/>
    <n v="0"/>
    <n v="0"/>
    <n v="1"/>
    <n v="0.76923076923076927"/>
    <n v="2"/>
    <n v="1.5384615384615385"/>
    <s v=""/>
    <n v="0"/>
    <n v="0"/>
    <n v="0"/>
    <n v="0"/>
    <s v=""/>
    <n v="11"/>
    <n v="8.4615384615384617"/>
    <m/>
    <m/>
    <n v="8"/>
    <n v="6.1538461538461542"/>
    <n v="0"/>
    <n v="0"/>
    <s v=""/>
    <n v="6"/>
    <n v="0"/>
    <n v="0"/>
    <n v="12"/>
    <n v="0"/>
    <n v="0"/>
    <n v="0"/>
    <n v="0"/>
    <n v="8"/>
    <n v="4"/>
    <n v="0"/>
    <n v="0"/>
    <s v=""/>
    <n v="3"/>
    <n v="0"/>
    <n v="0"/>
    <s v="assinatura"/>
    <n v="9456"/>
  </r>
  <r>
    <x v="42"/>
    <x v="8"/>
    <s v="6aa424c6099e81d4947b9711"/>
    <s v="11/09/2026 11:24:42"/>
    <s v="11/09/2026 12:56:54"/>
    <s v="Henrique"/>
    <s v="11/09/2026"/>
    <s v="Guapiaçu"/>
    <s v="1 ° Turno"/>
    <n v="156"/>
    <n v="2687"/>
    <s v="EDMAR FELIPE MARTINS"/>
    <n v="39"/>
    <n v="39"/>
    <n v="17"/>
    <n v="17"/>
    <n v="0"/>
    <n v="0"/>
    <n v="2"/>
    <n v="2"/>
    <n v="1"/>
    <n v="1"/>
    <n v="0"/>
    <n v="0"/>
    <n v="1"/>
    <n v="0.32051282051282048"/>
    <n v="4"/>
    <n v="2.5641025641025639"/>
    <n v="0"/>
    <n v="0"/>
    <n v="3"/>
    <n v="1.9230769230769231"/>
    <n v="6"/>
    <n v="3.8461538461538463"/>
    <s v=""/>
    <n v="2"/>
    <n v="1.2820512820512819"/>
    <n v="2"/>
    <n v="1.2820512820512819"/>
    <s v=""/>
    <n v="10"/>
    <n v="6.4102564102564097"/>
    <m/>
    <m/>
    <n v="8"/>
    <n v="5.1282051282051277"/>
    <n v="2"/>
    <n v="1.2820512820512819"/>
    <s v=""/>
    <n v="19"/>
    <n v="0"/>
    <n v="0"/>
    <n v="38"/>
    <n v="0"/>
    <n v="0"/>
    <n v="2"/>
    <n v="1.2820512820512819"/>
    <n v="20"/>
    <n v="18"/>
    <n v="1"/>
    <n v="10"/>
    <s v=""/>
    <s v=""/>
    <s v=""/>
    <s v=""/>
    <s v=""/>
    <n v="1479"/>
  </r>
  <r>
    <x v="42"/>
    <x v="8"/>
    <s v="6aa424c5099e81d4947b96ff"/>
    <s v="11/09/2026 08:38:43"/>
    <s v="11/09/2026 12:56:53"/>
    <s v="Henrique"/>
    <s v="11/09/2026"/>
    <s v="Guapiaçu"/>
    <s v="1 ° Turno"/>
    <n v="161"/>
    <n v="3102"/>
    <s v="EDMAR FELIPE MARTINS"/>
    <n v="35"/>
    <n v="35"/>
    <n v="15"/>
    <n v="15"/>
    <n v="0"/>
    <n v="0"/>
    <n v="3"/>
    <n v="3"/>
    <n v="1"/>
    <n v="1"/>
    <n v="0"/>
    <n v="0"/>
    <n v="2"/>
    <n v="0.6211180124223602"/>
    <n v="9"/>
    <n v="5.5900621118012426"/>
    <n v="0"/>
    <n v="0"/>
    <n v="2"/>
    <n v="1.2422360248447204"/>
    <n v="5"/>
    <n v="3.1055900621118013"/>
    <s v=""/>
    <n v="3"/>
    <n v="1.8633540372670807"/>
    <n v="3"/>
    <n v="1.8633540372670807"/>
    <s v=""/>
    <n v="13"/>
    <n v="8.0745341614906838"/>
    <m/>
    <m/>
    <n v="11"/>
    <n v="6.8322981366459627"/>
    <n v="4"/>
    <n v="2.4844720496894408"/>
    <s v=""/>
    <n v="21"/>
    <n v="0"/>
    <n v="0"/>
    <n v="42"/>
    <n v="0"/>
    <n v="0"/>
    <n v="1"/>
    <n v="0.6211180124223602"/>
    <n v="21"/>
    <n v="20"/>
    <s v=""/>
    <s v=""/>
    <s v=""/>
    <n v="1"/>
    <n v="0"/>
    <n v="1"/>
    <s v="assinatura"/>
    <n v="2311"/>
  </r>
  <r>
    <x v="42"/>
    <x v="8"/>
    <s v="6aa424c5099e81d4947b96e1"/>
    <s v="11/09/2026 06:23:20"/>
    <s v="11/09/2026 12:56:53"/>
    <s v="Henrique"/>
    <s v="11/09/2026"/>
    <s v="Guapiaçu"/>
    <s v="1 ° Turno"/>
    <n v="156"/>
    <n v="2707"/>
    <s v="EDMAR FELIPE MARTINS"/>
    <n v="22"/>
    <n v="22"/>
    <n v="6"/>
    <n v="6"/>
    <n v="0"/>
    <n v="0"/>
    <n v="3"/>
    <n v="3"/>
    <n v="1"/>
    <n v="1"/>
    <n v="0"/>
    <n v="0"/>
    <n v="1"/>
    <n v="0.32051282051282048"/>
    <n v="4"/>
    <n v="2.5641025641025639"/>
    <n v="0"/>
    <n v="0"/>
    <n v="0"/>
    <n v="0"/>
    <n v="5"/>
    <n v="3.2051282051282048"/>
    <s v=""/>
    <n v="3"/>
    <n v="1.9230769230769231"/>
    <n v="2"/>
    <n v="1.2820512820512819"/>
    <s v=""/>
    <n v="6"/>
    <n v="3.8461538461538463"/>
    <m/>
    <m/>
    <n v="9"/>
    <n v="5.7692307692307692"/>
    <n v="2"/>
    <n v="1.2820512820512819"/>
    <s v=""/>
    <n v="20"/>
    <n v="0"/>
    <n v="0"/>
    <n v="40"/>
    <n v="0"/>
    <n v="0"/>
    <n v="1"/>
    <n v="0.64102564102564097"/>
    <n v="25"/>
    <n v="19"/>
    <n v="1"/>
    <n v="10"/>
    <s v=""/>
    <n v="0"/>
    <n v="0"/>
    <n v="1"/>
    <s v="assinatura"/>
    <n v="2752"/>
  </r>
  <r>
    <x v="42"/>
    <x v="8"/>
    <s v="6aa424c4099e81d4947b96cf"/>
    <s v="11/09/2026 04:27:04"/>
    <s v="11/09/2026 12:56:52"/>
    <s v="Henrique"/>
    <s v="11/09/2026"/>
    <s v="Guapiaçu"/>
    <s v="1 ° Turno"/>
    <n v="156"/>
    <n v="2711"/>
    <s v="EDMAR FELIPE MARTINS"/>
    <n v="21"/>
    <n v="21"/>
    <n v="6"/>
    <n v="6"/>
    <n v="0"/>
    <n v="0"/>
    <n v="4"/>
    <n v="4"/>
    <n v="1"/>
    <n v="1"/>
    <n v="0"/>
    <n v="0"/>
    <n v="1"/>
    <n v="0.32051282051282048"/>
    <n v="4"/>
    <n v="2.5641025641025639"/>
    <n v="0"/>
    <n v="0"/>
    <n v="3"/>
    <n v="1.9230769230769231"/>
    <n v="6"/>
    <n v="3.8461538461538463"/>
    <s v=""/>
    <n v="3"/>
    <n v="1.9230769230769231"/>
    <n v="3"/>
    <n v="1.9230769230769231"/>
    <s v=""/>
    <n v="20"/>
    <n v="12.820512820512819"/>
    <m/>
    <m/>
    <n v="9"/>
    <n v="5.7692307692307692"/>
    <n v="4"/>
    <n v="2.5641025641025639"/>
    <s v=""/>
    <n v="19"/>
    <n v="0"/>
    <n v="0"/>
    <n v="38"/>
    <n v="0"/>
    <n v="0"/>
    <n v="1"/>
    <n v="0.64102564102564097"/>
    <n v="25"/>
    <n v="22"/>
    <n v="1"/>
    <n v="10"/>
    <s v=""/>
    <s v=""/>
    <s v=""/>
    <s v=""/>
    <s v="assinatura"/>
    <n v="1734"/>
  </r>
  <r>
    <x v="43"/>
    <x v="8"/>
    <s v="6aa8b396b841baacea431e3b"/>
    <s v="14/09/2026 20:27:57"/>
    <s v="14/09/2026 23:55:18"/>
    <s v="Henrique"/>
    <s v="14/09/2026"/>
    <s v="Guapiaçu"/>
    <s v="2 ° Turno"/>
    <n v="161"/>
    <n v="2999"/>
    <s v="JOBILIANA APARECIDA MAXIMO BERGAMINI"/>
    <n v="20"/>
    <n v="20"/>
    <n v="0"/>
    <n v="0"/>
    <n v="0"/>
    <n v="0"/>
    <n v="0"/>
    <n v="0"/>
    <n v="0"/>
    <n v="0"/>
    <n v="0"/>
    <n v="0"/>
    <n v="5"/>
    <n v="1.5527950310559007"/>
    <n v="5"/>
    <n v="3.1055900621118013"/>
    <n v="0"/>
    <n v="0"/>
    <n v="1"/>
    <n v="0.6211180124223602"/>
    <n v="4"/>
    <n v="2.4844720496894408"/>
    <s v=""/>
    <n v="0"/>
    <n v="0"/>
    <n v="0"/>
    <n v="0"/>
    <s v=""/>
    <n v="7"/>
    <n v="4.3478260869565215"/>
    <n v="8"/>
    <n v="4.9689440993788816"/>
    <n v="6"/>
    <n v="3.7267080745341614"/>
    <n v="0"/>
    <n v="0"/>
    <s v=""/>
    <n v="8"/>
    <n v="0"/>
    <n v="0"/>
    <n v="16"/>
    <n v="0"/>
    <n v="0"/>
    <n v="0"/>
    <n v="0"/>
    <n v="5"/>
    <n v="3"/>
    <n v="0"/>
    <n v="0"/>
    <s v=""/>
    <n v="0"/>
    <n v="0"/>
    <n v="0"/>
    <s v="assinatura"/>
    <n v="683"/>
  </r>
  <r>
    <x v="43"/>
    <x v="8"/>
    <s v="6aa8b396b841baacea431e27"/>
    <s v="14/09/2026 18:14:20"/>
    <s v="14/09/2026 23:55:18"/>
    <s v="Henrique"/>
    <s v="14/09/2026"/>
    <s v="Guapiaçu"/>
    <s v="2 ° Turno"/>
    <n v="129"/>
    <n v="2879"/>
    <s v="JOBILIANA APARECIDA MAXIMO BERGAMINI"/>
    <n v="30"/>
    <n v="30"/>
    <n v="6"/>
    <n v="6"/>
    <n v="0"/>
    <n v="0"/>
    <n v="0"/>
    <n v="0"/>
    <n v="0"/>
    <n v="0"/>
    <n v="0"/>
    <n v="0"/>
    <n v="4"/>
    <n v="1.5503875968992249"/>
    <n v="4"/>
    <n v="3.1007751937984498"/>
    <n v="0"/>
    <n v="0"/>
    <n v="1"/>
    <n v="0.77519379844961245"/>
    <n v="2"/>
    <n v="1.5503875968992249"/>
    <s v=""/>
    <n v="0"/>
    <n v="0"/>
    <n v="0"/>
    <n v="0"/>
    <s v=""/>
    <n v="7"/>
    <n v="5.4263565891472867"/>
    <n v="1"/>
    <n v="0.77519379844961245"/>
    <n v="3"/>
    <n v="2.3255813953488373"/>
    <n v="0"/>
    <n v="0"/>
    <s v=""/>
    <n v="6"/>
    <n v="0"/>
    <n v="0"/>
    <n v="12"/>
    <n v="0"/>
    <n v="0"/>
    <n v="2"/>
    <n v="1.5503875968992249"/>
    <n v="7"/>
    <n v="4"/>
    <n v="0"/>
    <n v="0"/>
    <s v=""/>
    <n v="0"/>
    <n v="0"/>
    <n v="0"/>
    <s v="assinatura"/>
    <n v="7749"/>
  </r>
  <r>
    <x v="43"/>
    <x v="8"/>
    <s v="6aa8b395b841baacea431e0f"/>
    <s v="14/09/2026 14:36:55"/>
    <s v="14/09/2026 23:55:17"/>
    <s v="Henrique"/>
    <s v="14/09/2026"/>
    <s v="Guapiaçu"/>
    <s v="2 ° Turno"/>
    <n v="130"/>
    <n v="4278"/>
    <s v="JOBILIANA APARECIDA MAXIMO BERGAMINI"/>
    <n v="16"/>
    <n v="16"/>
    <n v="10"/>
    <n v="10"/>
    <n v="0"/>
    <n v="0"/>
    <n v="1"/>
    <n v="1"/>
    <n v="0"/>
    <n v="0"/>
    <n v="0"/>
    <n v="0"/>
    <n v="6"/>
    <n v="2.3076923076923079"/>
    <n v="8"/>
    <n v="6.1538461538461542"/>
    <n v="0"/>
    <n v="0"/>
    <n v="1"/>
    <n v="0.76923076923076927"/>
    <n v="2"/>
    <n v="1.5384615384615385"/>
    <s v=""/>
    <n v="0"/>
    <n v="0"/>
    <n v="0"/>
    <n v="0"/>
    <s v=""/>
    <n v="8"/>
    <n v="6.1538461538461542"/>
    <n v="5"/>
    <n v="3.8461538461538463"/>
    <n v="6"/>
    <n v="4.6153846153846159"/>
    <n v="0"/>
    <n v="0"/>
    <s v=""/>
    <n v="6"/>
    <n v="0"/>
    <n v="0"/>
    <n v="12"/>
    <n v="0"/>
    <n v="0"/>
    <n v="0"/>
    <n v="0"/>
    <n v="5"/>
    <n v="3"/>
    <n v="0"/>
    <n v="0"/>
    <s v=""/>
    <n v="2"/>
    <n v="0"/>
    <n v="0"/>
    <s v="assinatura"/>
    <n v="5176"/>
  </r>
  <r>
    <x v="43"/>
    <x v="8"/>
    <s v="6aa81a18045994c753e43cb9"/>
    <s v="14/09/2026 11:17:08"/>
    <s v="14/09/2026 13:00:24"/>
    <s v="Henrique"/>
    <s v="14/09/2026"/>
    <s v="Guapiaçu"/>
    <s v="1 ° Turno"/>
    <n v="155"/>
    <n v="2739"/>
    <s v="EDMAR FELIPE MARTINS"/>
    <n v="29"/>
    <n v="28.999999999999996"/>
    <n v="10"/>
    <n v="10"/>
    <n v="0"/>
    <n v="0"/>
    <n v="2"/>
    <n v="2"/>
    <n v="1"/>
    <n v="1"/>
    <n v="0"/>
    <n v="0"/>
    <n v="2"/>
    <n v="0.64516129032258063"/>
    <n v="9"/>
    <n v="5.806451612903226"/>
    <n v="0"/>
    <n v="0"/>
    <n v="0"/>
    <n v="0"/>
    <n v="7"/>
    <n v="4.5161290322580641"/>
    <s v=""/>
    <n v="6"/>
    <n v="3.870967741935484"/>
    <n v="2"/>
    <n v="1.2903225806451613"/>
    <s v=""/>
    <n v="14"/>
    <n v="9.0322580645161281"/>
    <s v=""/>
    <s v=""/>
    <n v="7"/>
    <n v="4.5161290322580641"/>
    <n v="1"/>
    <n v="0.64516129032258063"/>
    <s v=""/>
    <n v="16"/>
    <n v="0"/>
    <n v="0"/>
    <n v="32"/>
    <n v="0"/>
    <n v="0"/>
    <n v="1"/>
    <n v="0.64516129032258063"/>
    <n v="23"/>
    <n v="19"/>
    <n v="1"/>
    <n v="10"/>
    <s v=""/>
    <s v=""/>
    <s v=""/>
    <s v=""/>
    <s v=""/>
    <n v="2285"/>
  </r>
  <r>
    <x v="43"/>
    <x v="8"/>
    <s v="6aa81a18045994c753e43cad"/>
    <s v="14/09/2026 08:35:56"/>
    <s v="14/09/2026 13:00:24"/>
    <s v="Henrique"/>
    <s v="14/09/2026"/>
    <s v="Guapiaçu"/>
    <s v="1 ° Turno"/>
    <n v="160"/>
    <n v="3006"/>
    <s v="EDMAR FELIPE MARTINS"/>
    <n v="29"/>
    <n v="28.999999999999996"/>
    <n v="15"/>
    <n v="15"/>
    <n v="0"/>
    <n v="0"/>
    <n v="3"/>
    <n v="3"/>
    <n v="1"/>
    <n v="1"/>
    <n v="0"/>
    <n v="0"/>
    <n v="2"/>
    <n v="0.625"/>
    <n v="9"/>
    <n v="5.625"/>
    <n v="0"/>
    <n v="0"/>
    <n v="1"/>
    <n v="0.625"/>
    <n v="8"/>
    <n v="5"/>
    <s v=""/>
    <n v="8"/>
    <n v="5"/>
    <n v="2"/>
    <n v="1.25"/>
    <s v=""/>
    <n v="15"/>
    <n v="9.375"/>
    <s v=""/>
    <s v=""/>
    <n v="7"/>
    <n v="4.375"/>
    <n v="2"/>
    <n v="1.25"/>
    <s v=""/>
    <n v="18"/>
    <n v="0"/>
    <n v="0"/>
    <n v="36"/>
    <n v="0"/>
    <n v="0"/>
    <n v="2"/>
    <n v="1.25"/>
    <n v="21"/>
    <n v="13"/>
    <n v="2"/>
    <n v="20"/>
    <s v=""/>
    <n v="0"/>
    <n v="0"/>
    <n v="2"/>
    <s v="assinatura"/>
    <n v="1466"/>
  </r>
  <r>
    <x v="43"/>
    <x v="8"/>
    <s v="6aa81a18045994c753e43ca1"/>
    <s v="14/09/2026 06:43:49"/>
    <s v="14/09/2026 13:00:24"/>
    <s v="Henrique"/>
    <s v="14/09/2026"/>
    <s v="Guapiaçu"/>
    <s v="1 ° Turno"/>
    <n v="155"/>
    <s v=""/>
    <s v="EDMAR FELIPE MARTINS"/>
    <n v="20"/>
    <n v="20"/>
    <n v="6"/>
    <n v="6"/>
    <n v="0"/>
    <n v="0"/>
    <n v="3"/>
    <n v="3"/>
    <n v="1"/>
    <n v="1"/>
    <n v="0"/>
    <n v="0"/>
    <n v="1"/>
    <n v="0.32258064516129031"/>
    <n v="2"/>
    <n v="1.2903225806451613"/>
    <n v="0"/>
    <n v="0"/>
    <n v="0"/>
    <n v="0"/>
    <n v="8"/>
    <n v="5.161290322580645"/>
    <s v=""/>
    <n v="6"/>
    <n v="3.870967741935484"/>
    <n v="3"/>
    <n v="1.935483870967742"/>
    <s v=""/>
    <n v="10"/>
    <n v="6.4516129032258061"/>
    <s v=""/>
    <s v=""/>
    <n v="7"/>
    <n v="4.5161290322580641"/>
    <n v="1"/>
    <n v="0.64516129032258063"/>
    <s v=""/>
    <n v="18"/>
    <n v="0"/>
    <n v="0"/>
    <n v="36"/>
    <n v="0"/>
    <n v="0"/>
    <n v="1"/>
    <n v="0.64516129032258063"/>
    <n v="24"/>
    <n v="14"/>
    <n v="2"/>
    <n v="20"/>
    <s v=""/>
    <s v=""/>
    <s v=""/>
    <s v=""/>
    <s v="assinatura"/>
    <n v="1429"/>
  </r>
  <r>
    <x v="43"/>
    <x v="8"/>
    <s v="6aa81a17045994c753e43c8f"/>
    <s v="14/09/2026 04:28:36"/>
    <s v="14/09/2026 13:00:23"/>
    <s v="Henrique"/>
    <s v="14/09/2026"/>
    <s v="Guapiaçu"/>
    <s v="1 ° Turno"/>
    <n v="130"/>
    <n v="2543"/>
    <s v="EDMAR FELIPE MARTINS"/>
    <n v="25"/>
    <n v="25"/>
    <n v="10"/>
    <n v="10"/>
    <n v="0"/>
    <n v="0"/>
    <n v="1"/>
    <n v="1"/>
    <n v="2"/>
    <n v="2"/>
    <n v="0"/>
    <n v="0"/>
    <n v="2"/>
    <n v="0.76923076923076927"/>
    <n v="21"/>
    <n v="16.153846153846153"/>
    <n v="0"/>
    <n v="0"/>
    <n v="2"/>
    <n v="1.5384615384615385"/>
    <n v="7"/>
    <n v="5.384615384615385"/>
    <s v=""/>
    <n v="6"/>
    <n v="4.6153846153846159"/>
    <n v="4"/>
    <n v="3.0769230769230771"/>
    <s v=""/>
    <n v="15"/>
    <n v="11.538461538461538"/>
    <s v=""/>
    <s v=""/>
    <n v="9"/>
    <n v="6.9230769230769234"/>
    <n v="3"/>
    <n v="2.3076923076923079"/>
    <s v=""/>
    <n v="19"/>
    <n v="0"/>
    <n v="0"/>
    <n v="38"/>
    <n v="0"/>
    <n v="0"/>
    <n v="2"/>
    <n v="1.5384615384615385"/>
    <n v="21"/>
    <n v="34"/>
    <n v="1"/>
    <n v="10"/>
    <s v=""/>
    <s v=""/>
    <s v=""/>
    <s v=""/>
    <s v="assinatura"/>
    <n v="1977"/>
  </r>
  <r>
    <x v="44"/>
    <x v="8"/>
    <s v="6aaa02e0f450a2f6bc80e7d9"/>
    <s v="15/09/2026 21:24:20"/>
    <s v="15/09/2026 23:45:52"/>
    <s v="Henrique"/>
    <s v="15/09/2026"/>
    <s v="Guapiaçu"/>
    <s v="2 ° Turno"/>
    <n v="130"/>
    <n v="2968"/>
    <s v="JOBILIANA APARECIDA MAXIMO BERGAMINI"/>
    <n v="21"/>
    <n v="21"/>
    <n v="5"/>
    <n v="5"/>
    <n v="0"/>
    <n v="0"/>
    <n v="1"/>
    <n v="1"/>
    <n v="0"/>
    <n v="0"/>
    <n v="0"/>
    <n v="0"/>
    <n v="5"/>
    <n v="1.9230769230769231"/>
    <n v="5"/>
    <n v="3.8461538461538463"/>
    <n v="0"/>
    <n v="0"/>
    <n v="1"/>
    <n v="0.76923076923076927"/>
    <n v="2"/>
    <n v="1.5384615384615385"/>
    <s v=""/>
    <n v="0"/>
    <n v="0"/>
    <n v="0"/>
    <n v="0"/>
    <s v=""/>
    <n v="6"/>
    <n v="4.6153846153846159"/>
    <n v="4"/>
    <n v="3.0769230769230771"/>
    <n v="4"/>
    <n v="3.0769230769230771"/>
    <n v="0"/>
    <n v="0"/>
    <s v=""/>
    <n v="9"/>
    <n v="0"/>
    <n v="0"/>
    <n v="18"/>
    <n v="0"/>
    <n v="0"/>
    <n v="0"/>
    <n v="0"/>
    <n v="10"/>
    <n v="8"/>
    <n v="0"/>
    <n v="0"/>
    <s v=""/>
    <n v="4"/>
    <n v="0"/>
    <n v="0"/>
    <s v="assinatura"/>
    <n v="729"/>
  </r>
  <r>
    <x v="44"/>
    <x v="8"/>
    <s v="6aaa02dff450a2f6bc80e7c7"/>
    <s v="15/09/2026 19:20:26"/>
    <s v="15/09/2026 23:45:51"/>
    <s v="Henrique"/>
    <s v="15/09/2026"/>
    <s v="Guapiaçu"/>
    <s v="2 ° Turno"/>
    <n v="130"/>
    <n v="2813"/>
    <s v="JOBILIANA APARECIDA MAXIMO BERGAMINI"/>
    <n v="19"/>
    <n v="19"/>
    <n v="6"/>
    <n v="6"/>
    <n v="0"/>
    <n v="0"/>
    <n v="1"/>
    <n v="1"/>
    <n v="2"/>
    <n v="2"/>
    <n v="0"/>
    <n v="0"/>
    <n v="7"/>
    <n v="2.6923076923076925"/>
    <n v="12"/>
    <n v="9.2307692307692317"/>
    <n v="0"/>
    <n v="0"/>
    <n v="0"/>
    <n v="0"/>
    <n v="3"/>
    <n v="2.3076923076923079"/>
    <s v=""/>
    <n v="0"/>
    <n v="0"/>
    <n v="0"/>
    <n v="0"/>
    <s v=""/>
    <n v="8"/>
    <n v="6.1538461538461542"/>
    <n v="1"/>
    <n v="0.76923076923076927"/>
    <n v="2"/>
    <n v="1.5384615384615385"/>
    <n v="0"/>
    <n v="0"/>
    <s v=""/>
    <n v="9"/>
    <n v="1"/>
    <n v="0"/>
    <n v="18"/>
    <n v="2"/>
    <n v="0"/>
    <n v="0"/>
    <n v="0"/>
    <n v="12"/>
    <n v="17"/>
    <n v="0"/>
    <n v="0"/>
    <s v=""/>
    <n v="3"/>
    <n v="0"/>
    <n v="0"/>
    <s v="assinatura"/>
    <n v="7030"/>
  </r>
  <r>
    <x v="44"/>
    <x v="8"/>
    <s v="6aaa02dff450a2f6bc80e7a3"/>
    <s v="15/09/2026 14:02:29"/>
    <s v="15/09/2026 23:45:51"/>
    <s v="Henrique"/>
    <s v="15/09/2026"/>
    <s v="Guapiaçu"/>
    <s v="2 ° Turno"/>
    <n v="130"/>
    <n v="2945"/>
    <s v="JOBILIANA APARECIDA MAXIMO BERGAMINI"/>
    <n v="8"/>
    <n v="8"/>
    <n v="6"/>
    <n v="6"/>
    <n v="0"/>
    <n v="0"/>
    <n v="2"/>
    <n v="2"/>
    <n v="1"/>
    <n v="1"/>
    <n v="0"/>
    <n v="0"/>
    <n v="6"/>
    <n v="2.3076923076923079"/>
    <n v="2"/>
    <n v="1.5384615384615385"/>
    <n v="0"/>
    <n v="0"/>
    <n v="1"/>
    <n v="0.76923076923076927"/>
    <n v="1"/>
    <n v="0.76923076923076927"/>
    <s v=""/>
    <n v="0"/>
    <n v="0"/>
    <n v="0"/>
    <n v="0"/>
    <s v=""/>
    <n v="18"/>
    <n v="13.846153846153847"/>
    <n v="0"/>
    <n v="0"/>
    <n v="4"/>
    <n v="3.0769230769230771"/>
    <n v="0"/>
    <n v="0"/>
    <s v=""/>
    <n v="8"/>
    <n v="0"/>
    <n v="0"/>
    <n v="16"/>
    <n v="0"/>
    <n v="0"/>
    <n v="0"/>
    <n v="0"/>
    <n v="16"/>
    <n v="17"/>
    <n v="0"/>
    <n v="0"/>
    <s v=""/>
    <n v="3"/>
    <n v="0"/>
    <n v="0"/>
    <s v="assinatura"/>
    <n v="11500"/>
  </r>
  <r>
    <x v="44"/>
    <x v="8"/>
    <s v="6aa96eebde1f7611877409a4"/>
    <s v="15/09/2026 11:20:44"/>
    <s v="15/09/2026 13:14:35"/>
    <s v="Henrique"/>
    <s v="15/09/2026"/>
    <s v="Guapiaçu"/>
    <s v="1 ° Turno"/>
    <n v="150"/>
    <n v="3052"/>
    <s v="EDMAR FELIPE MARTINS"/>
    <n v="36"/>
    <n v="36"/>
    <n v="12"/>
    <n v="12"/>
    <n v="0"/>
    <n v="0"/>
    <n v="2"/>
    <n v="2"/>
    <n v="1"/>
    <n v="1"/>
    <n v="0"/>
    <n v="0"/>
    <n v="6"/>
    <n v="2"/>
    <n v="8"/>
    <n v="5.3333333333333339"/>
    <n v="0"/>
    <n v="0"/>
    <n v="1"/>
    <n v="0.66666666666666674"/>
    <n v="7"/>
    <n v="4.666666666666667"/>
    <s v=""/>
    <n v="6"/>
    <n v="4"/>
    <n v="3"/>
    <n v="2"/>
    <s v=""/>
    <n v="8"/>
    <n v="5.3333333333333339"/>
    <n v="1"/>
    <n v="0.66666666666666674"/>
    <n v="5"/>
    <n v="3.3333333333333335"/>
    <n v="1"/>
    <n v="0.66666666666666674"/>
    <s v=""/>
    <n v="18"/>
    <n v="0"/>
    <n v="0"/>
    <n v="36"/>
    <n v="0"/>
    <n v="0"/>
    <n v="1"/>
    <n v="0.66666666666666674"/>
    <n v="25"/>
    <n v="17"/>
    <n v="0"/>
    <n v="0"/>
    <s v=""/>
    <s v=""/>
    <s v=""/>
    <s v=""/>
    <s v="assinatura"/>
    <n v="2396"/>
  </r>
  <r>
    <x v="44"/>
    <x v="8"/>
    <s v="6aa96eeade1f76118774098c"/>
    <s v="15/09/2026 08:18:44"/>
    <s v="15/09/2026 13:14:34"/>
    <s v="Henrique"/>
    <s v="15/09/2026"/>
    <s v="Guapiaçu"/>
    <s v="1 ° Turno"/>
    <n v="150"/>
    <n v="2980"/>
    <s v="EDMAR FELIPE MARTINS"/>
    <n v="35"/>
    <n v="35"/>
    <n v="17"/>
    <n v="17"/>
    <n v="0"/>
    <n v="0"/>
    <n v="1"/>
    <n v="1"/>
    <n v="0"/>
    <n v="0"/>
    <n v="0"/>
    <n v="0"/>
    <n v="3"/>
    <n v="1"/>
    <n v="4"/>
    <n v="2.666666666666667"/>
    <n v="0"/>
    <n v="0"/>
    <n v="0"/>
    <n v="0"/>
    <n v="5"/>
    <n v="3.3333333333333335"/>
    <s v=""/>
    <n v="5"/>
    <n v="3.3333333333333335"/>
    <n v="3"/>
    <n v="2"/>
    <s v=""/>
    <n v="7"/>
    <n v="4.666666666666667"/>
    <n v="2"/>
    <n v="1.3333333333333335"/>
    <n v="6"/>
    <n v="4"/>
    <n v="1"/>
    <n v="0.66666666666666674"/>
    <s v=""/>
    <n v="19"/>
    <n v="0"/>
    <n v="0"/>
    <n v="38"/>
    <n v="0"/>
    <n v="0"/>
    <n v="1"/>
    <n v="0.66666666666666674"/>
    <n v="21"/>
    <n v="12"/>
    <n v="0"/>
    <n v="0"/>
    <s v=""/>
    <n v="1"/>
    <n v="0"/>
    <n v="1"/>
    <s v="assinatura"/>
    <n v="2457"/>
  </r>
  <r>
    <x v="44"/>
    <x v="8"/>
    <s v="6aa96eeade1f76118774097a"/>
    <s v="15/09/2026 06:59:52"/>
    <s v="15/09/2026 13:14:34"/>
    <s v="Henrique"/>
    <s v="15/09/2026"/>
    <s v="Guapiaçu"/>
    <s v="1 ° Turno"/>
    <n v="160"/>
    <n v="2956"/>
    <s v="EDMAR FELIPE MARTINS"/>
    <n v="49"/>
    <n v="49"/>
    <n v="26"/>
    <n v="26"/>
    <n v="0"/>
    <n v="0"/>
    <n v="1"/>
    <n v="1"/>
    <n v="1"/>
    <n v="1"/>
    <n v="0"/>
    <n v="0"/>
    <n v="1"/>
    <n v="0.3125"/>
    <n v="27"/>
    <n v="16.875"/>
    <n v="0"/>
    <n v="0"/>
    <n v="2"/>
    <n v="1.25"/>
    <n v="6"/>
    <n v="3.75"/>
    <s v=""/>
    <n v="4"/>
    <n v="2.5"/>
    <n v="2"/>
    <n v="1.25"/>
    <s v=""/>
    <n v="12"/>
    <n v="7.5"/>
    <n v="3"/>
    <n v="1.875"/>
    <n v="6"/>
    <n v="3.75"/>
    <n v="1"/>
    <n v="0.625"/>
    <s v=""/>
    <n v="20"/>
    <n v="0"/>
    <n v="0"/>
    <n v="40"/>
    <n v="0"/>
    <n v="0"/>
    <n v="1"/>
    <n v="0.625"/>
    <n v="22"/>
    <n v="15"/>
    <n v="1"/>
    <n v="10"/>
    <s v=""/>
    <s v=""/>
    <s v=""/>
    <s v=""/>
    <s v="assinatura"/>
    <n v="2394"/>
  </r>
  <r>
    <x v="44"/>
    <x v="8"/>
    <s v="6aa96eeade1f761187740962"/>
    <s v="15/09/2026 04:33:12"/>
    <s v="15/09/2026 13:14:34"/>
    <s v="Henrique"/>
    <s v="15/09/2026"/>
    <s v="Guapiaçu"/>
    <s v="1 ° Turno"/>
    <n v="160"/>
    <n v="2900"/>
    <s v="EDMAR FELIPE MARTINS"/>
    <n v="33"/>
    <n v="33"/>
    <n v="17"/>
    <n v="17"/>
    <n v="0"/>
    <n v="0"/>
    <n v="2"/>
    <n v="2"/>
    <n v="1"/>
    <n v="1"/>
    <n v="0"/>
    <n v="0"/>
    <n v="2"/>
    <n v="0.625"/>
    <n v="9"/>
    <n v="5.625"/>
    <n v="0"/>
    <n v="0"/>
    <n v="0"/>
    <n v="0"/>
    <n v="6"/>
    <n v="3.75"/>
    <s v=""/>
    <n v="3"/>
    <n v="1.875"/>
    <n v="2"/>
    <n v="1.25"/>
    <s v=""/>
    <n v="14"/>
    <n v="8.75"/>
    <n v="5"/>
    <n v="3.125"/>
    <n v="7"/>
    <n v="4.375"/>
    <n v="1"/>
    <n v="0.625"/>
    <s v=""/>
    <n v="19"/>
    <n v="1"/>
    <n v="1"/>
    <n v="38"/>
    <n v="2"/>
    <n v="2"/>
    <n v="1"/>
    <n v="0.625"/>
    <n v="23"/>
    <n v="14"/>
    <n v="1"/>
    <n v="10"/>
    <s v=""/>
    <s v=""/>
    <s v=""/>
    <s v=""/>
    <s v=""/>
    <n v="3328"/>
  </r>
  <r>
    <x v="45"/>
    <x v="8"/>
    <s v="6aab544ecc5ec7c996ca96ba"/>
    <s v="16/09/2026 19:55:00"/>
    <s v="16/09/2026 23:45:34"/>
    <s v="Henrique"/>
    <s v="16/09/2026"/>
    <s v="Guapiaçu"/>
    <s v="2 ° Turno"/>
    <n v="161"/>
    <n v="2796"/>
    <s v="JOBILIANA APARECIDA MAXIMO BERGAMINI"/>
    <n v="22"/>
    <n v="22"/>
    <n v="8"/>
    <n v="8"/>
    <n v="0"/>
    <n v="0"/>
    <n v="1"/>
    <n v="1"/>
    <n v="0"/>
    <n v="0"/>
    <n v="0"/>
    <n v="0"/>
    <n v="4"/>
    <n v="1.2422360248447204"/>
    <n v="5"/>
    <n v="3.1055900621118013"/>
    <n v="0"/>
    <n v="0"/>
    <n v="1"/>
    <n v="0.6211180124223602"/>
    <n v="2"/>
    <n v="1.2422360248447204"/>
    <s v=""/>
    <n v="0"/>
    <n v="0"/>
    <n v="0"/>
    <n v="0"/>
    <s v=""/>
    <n v="8"/>
    <n v="4.9689440993788816"/>
    <n v="0"/>
    <n v="0"/>
    <n v="6"/>
    <n v="3.7267080745341614"/>
    <n v="0"/>
    <n v="0"/>
    <s v=""/>
    <n v="9"/>
    <n v="1"/>
    <n v="0"/>
    <n v="18"/>
    <n v="2"/>
    <n v="0"/>
    <n v="0"/>
    <n v="0"/>
    <n v="10"/>
    <n v="12"/>
    <n v="0"/>
    <n v="0"/>
    <s v=""/>
    <n v="4"/>
    <n v="0"/>
    <n v="0"/>
    <s v="assinatura"/>
    <n v="3897"/>
  </r>
  <r>
    <x v="45"/>
    <x v="8"/>
    <s v="6aab544ecc5ec7c996ca96ae"/>
    <s v="16/09/2026 18:34:47"/>
    <s v="16/09/2026 23:45:34"/>
    <s v="Henrique"/>
    <s v="16/09/2026"/>
    <s v="Guapiaçu"/>
    <s v="2 ° Turno"/>
    <n v="151"/>
    <n v="3195"/>
    <s v="JOBILIANA APARECIDA MAXIMO BERGAMINI"/>
    <n v="29"/>
    <n v="28.999999999999996"/>
    <n v="12"/>
    <n v="12"/>
    <n v="0"/>
    <n v="0"/>
    <n v="0"/>
    <n v="0"/>
    <n v="0"/>
    <n v="0"/>
    <n v="0"/>
    <n v="0"/>
    <n v="6"/>
    <n v="1.9867549668874174"/>
    <n v="6"/>
    <n v="3.9735099337748347"/>
    <n v="0"/>
    <n v="0"/>
    <n v="1"/>
    <n v="0.66225165562913912"/>
    <n v="3"/>
    <n v="1.9867549668874174"/>
    <s v=""/>
    <n v="0"/>
    <n v="0"/>
    <n v="0"/>
    <n v="0"/>
    <s v=""/>
    <n v="18"/>
    <n v="11.920529801324504"/>
    <n v="4"/>
    <n v="2.6490066225165565"/>
    <n v="8"/>
    <n v="5.298013245033113"/>
    <n v="1"/>
    <n v="0.66225165562913912"/>
    <s v=""/>
    <n v="6"/>
    <n v="0"/>
    <n v="0"/>
    <n v="12"/>
    <n v="0"/>
    <n v="0"/>
    <n v="1"/>
    <n v="0.66225165562913912"/>
    <n v="16"/>
    <n v="17"/>
    <s v=""/>
    <s v=""/>
    <s v=""/>
    <n v="1"/>
    <n v="0"/>
    <n v="0"/>
    <s v="assinatura"/>
    <n v="8850"/>
  </r>
  <r>
    <x v="45"/>
    <x v="8"/>
    <s v="6aab544ecc5ec7c996ca9690"/>
    <s v="16/09/2026 14:13:26"/>
    <s v="16/09/2026 23:45:34"/>
    <s v="Henrique"/>
    <s v="16/09/2026"/>
    <s v="Guapiaçu"/>
    <s v="2 ° Turno"/>
    <n v="133"/>
    <n v="3105"/>
    <s v="JOBILIANA APARECIDA MAXIMO BERGAMINI"/>
    <n v="15"/>
    <n v="15"/>
    <n v="6"/>
    <n v="6"/>
    <n v="0"/>
    <n v="0"/>
    <n v="1"/>
    <n v="1"/>
    <n v="2"/>
    <n v="2"/>
    <n v="0"/>
    <n v="0"/>
    <n v="8"/>
    <n v="3.007518796992481"/>
    <n v="5"/>
    <n v="3.7593984962406015"/>
    <n v="0"/>
    <n v="0"/>
    <n v="1"/>
    <n v="0.75187969924812026"/>
    <n v="2"/>
    <n v="1.5037593984962405"/>
    <s v=""/>
    <n v="0"/>
    <n v="0"/>
    <n v="0"/>
    <n v="0"/>
    <s v=""/>
    <n v="5"/>
    <n v="3.7593984962406015"/>
    <n v="5"/>
    <n v="3.7593984962406015"/>
    <n v="4"/>
    <n v="3.007518796992481"/>
    <n v="0"/>
    <n v="0"/>
    <s v=""/>
    <n v="9"/>
    <n v="0"/>
    <n v="1"/>
    <n v="18"/>
    <n v="0"/>
    <n v="2"/>
    <n v="0"/>
    <n v="0"/>
    <n v="18"/>
    <n v="17"/>
    <n v="0"/>
    <n v="0"/>
    <s v=""/>
    <n v="0"/>
    <n v="0"/>
    <n v="0"/>
    <s v="assinatura"/>
    <n v="7705"/>
  </r>
  <r>
    <x v="45"/>
    <x v="8"/>
    <s v="6aaac1aa7e065da368bd1fe5"/>
    <s v="16/09/2026 08:29:38"/>
    <s v="16/09/2026 13:19:54"/>
    <s v="Henrique"/>
    <s v="16/09/2026"/>
    <s v="Guapiaçu"/>
    <s v="1 ° Turno"/>
    <n v="156"/>
    <n v="3164"/>
    <s v="EDMAR FELIPE MARTINS"/>
    <n v="39"/>
    <n v="39"/>
    <n v="23"/>
    <n v="23"/>
    <n v="0"/>
    <n v="0"/>
    <n v="3"/>
    <n v="3"/>
    <n v="1"/>
    <n v="1"/>
    <n v="0"/>
    <n v="0"/>
    <n v="2"/>
    <n v="0.64102564102564097"/>
    <n v="4"/>
    <n v="2.5641025641025639"/>
    <n v="0"/>
    <n v="0"/>
    <n v="2"/>
    <n v="1.2820512820512819"/>
    <n v="7"/>
    <n v="4.4871794871794872"/>
    <s v=""/>
    <n v="8"/>
    <n v="5.1282051282051277"/>
    <n v="2"/>
    <n v="1.2820512820512819"/>
    <s v=""/>
    <n v="10"/>
    <n v="6.4102564102564097"/>
    <n v="3"/>
    <n v="1.9230769230769231"/>
    <n v="8"/>
    <n v="5.1282051282051277"/>
    <n v="1"/>
    <n v="0.64102564102564097"/>
    <s v=""/>
    <n v="18"/>
    <n v="0"/>
    <n v="0"/>
    <n v="36"/>
    <n v="0"/>
    <n v="0"/>
    <n v="0"/>
    <n v="0"/>
    <n v="21"/>
    <n v="12"/>
    <n v="2"/>
    <n v="20"/>
    <s v=""/>
    <n v="1"/>
    <n v="0"/>
    <n v="0"/>
    <s v="assinatura"/>
    <n v="3437"/>
  </r>
  <r>
    <x v="45"/>
    <x v="8"/>
    <s v="6aaac1aa7e065da368bd1fd3"/>
    <s v="16/09/2026 06:42:16"/>
    <s v="16/09/2026 13:19:54"/>
    <s v="Henrique"/>
    <s v="16/09/2026"/>
    <s v="Guapiaçu"/>
    <s v="1 ° Turno"/>
    <n v="156"/>
    <n v="2967"/>
    <s v="EDMAR FELIPE MARTINS"/>
    <n v="31"/>
    <n v="31"/>
    <n v="16"/>
    <n v="16"/>
    <n v="0"/>
    <n v="0"/>
    <n v="2"/>
    <n v="2"/>
    <n v="1"/>
    <n v="1"/>
    <n v="0"/>
    <n v="0"/>
    <n v="3"/>
    <n v="0.96153846153846156"/>
    <n v="3"/>
    <n v="1.9230769230769231"/>
    <n v="0"/>
    <n v="0"/>
    <n v="2"/>
    <n v="1.2820512820512819"/>
    <n v="8"/>
    <n v="5.1282051282051277"/>
    <s v=""/>
    <n v="2"/>
    <n v="1.2820512820512819"/>
    <n v="2"/>
    <n v="1.2820512820512819"/>
    <s v=""/>
    <n v="5"/>
    <n v="3.2051282051282048"/>
    <n v="1"/>
    <n v="0.64102564102564097"/>
    <n v="6"/>
    <n v="3.8461538461538463"/>
    <n v="1"/>
    <n v="0.64102564102564097"/>
    <s v=""/>
    <n v="16"/>
    <n v="0"/>
    <n v="0"/>
    <n v="32"/>
    <n v="0"/>
    <n v="0"/>
    <n v="0"/>
    <n v="0"/>
    <n v="21"/>
    <n v="15"/>
    <n v="0"/>
    <n v="0"/>
    <s v=""/>
    <n v="1"/>
    <n v="0"/>
    <n v="1"/>
    <s v="assinatura"/>
    <n v="1760"/>
  </r>
  <r>
    <x v="45"/>
    <x v="8"/>
    <s v="6aaac1aa7e065da368bd1fc1"/>
    <s v="16/09/2026 04:39:12"/>
    <s v="16/09/2026 13:19:54"/>
    <s v="Henrique"/>
    <s v="16/09/2026"/>
    <s v="Guapiaçu"/>
    <s v="1 ° Turno"/>
    <n v="150"/>
    <n v="2854"/>
    <s v="EDMAR FELIPE MARTINS"/>
    <n v="27"/>
    <n v="27"/>
    <n v="15"/>
    <n v="15"/>
    <n v="0"/>
    <n v="0"/>
    <n v="1"/>
    <n v="1"/>
    <n v="0"/>
    <n v="0"/>
    <n v="0"/>
    <n v="0"/>
    <n v="5"/>
    <n v="1.6666666666666667"/>
    <n v="3"/>
    <n v="2"/>
    <n v="0"/>
    <n v="0"/>
    <n v="2"/>
    <n v="1.3333333333333335"/>
    <n v="6"/>
    <n v="4"/>
    <s v=""/>
    <n v="2"/>
    <n v="1.3333333333333335"/>
    <n v="1"/>
    <n v="0.66666666666666674"/>
    <s v=""/>
    <n v="3"/>
    <n v="2"/>
    <n v="2"/>
    <n v="1.3333333333333335"/>
    <n v="5"/>
    <n v="3.3333333333333335"/>
    <n v="1"/>
    <n v="0.66666666666666674"/>
    <s v=""/>
    <n v="17"/>
    <n v="0"/>
    <n v="0"/>
    <n v="34"/>
    <n v="0"/>
    <n v="0"/>
    <n v="1"/>
    <n v="0.66666666666666674"/>
    <n v="22"/>
    <n v="17"/>
    <n v="0"/>
    <n v="0"/>
    <s v=""/>
    <s v=""/>
    <s v=""/>
    <s v=""/>
    <s v="assinatura"/>
    <n v="2191"/>
  </r>
  <r>
    <x v="45"/>
    <x v="8"/>
    <s v="6aaac0eee5756b0e3c4c3bc8"/>
    <s v="16/09/2026 12:04:18"/>
    <s v="16/09/2026 13:16:46"/>
    <s v="Henrique"/>
    <s v="16/09/2026"/>
    <s v="Guapiaçu"/>
    <s v="1 ° Turno"/>
    <n v="156"/>
    <n v="3117"/>
    <s v="EDMAR FELIPE MARTINS"/>
    <n v="51"/>
    <n v="51"/>
    <n v="25"/>
    <n v="25"/>
    <n v="0"/>
    <n v="0"/>
    <n v="2"/>
    <n v="2"/>
    <n v="1"/>
    <n v="1"/>
    <n v="0"/>
    <n v="0"/>
    <n v="6"/>
    <n v="1.9230769230769231"/>
    <n v="3"/>
    <n v="1.9230769230769231"/>
    <n v="0"/>
    <n v="0"/>
    <n v="2"/>
    <n v="1.2820512820512819"/>
    <n v="6"/>
    <n v="3.8461538461538463"/>
    <s v=""/>
    <n v="8"/>
    <n v="5.1282051282051277"/>
    <n v="3"/>
    <n v="1.9230769230769231"/>
    <s v=""/>
    <n v="11"/>
    <n v="7.0512820512820511"/>
    <n v="3"/>
    <n v="1.9230769230769231"/>
    <n v="10"/>
    <n v="6.4102564102564097"/>
    <n v="1"/>
    <n v="0.64102564102564097"/>
    <s v=""/>
    <n v="16"/>
    <n v="0"/>
    <n v="0"/>
    <n v="32"/>
    <n v="0"/>
    <n v="0"/>
    <n v="0"/>
    <n v="0"/>
    <n v="14"/>
    <n v="11"/>
    <n v="2"/>
    <n v="20"/>
    <s v=""/>
    <n v="1"/>
    <n v="0"/>
    <n v="1"/>
    <s v=""/>
    <n v="2695"/>
  </r>
  <r>
    <x v="46"/>
    <x v="8"/>
    <s v="6aadf328a9cbb60cee01af37"/>
    <s v="18/09/2026 21:28:15"/>
    <s v="18/09/2026 23:27:52"/>
    <s v="Henrique"/>
    <s v="18/09/2026"/>
    <s v="Guapiaçu"/>
    <s v="2 ° Turno"/>
    <n v="146"/>
    <n v="2666"/>
    <s v="JOBILIANA APARECIDA MAXIMO BERGAMINI"/>
    <n v="20"/>
    <n v="20"/>
    <n v="0"/>
    <n v="0"/>
    <n v="0"/>
    <n v="0"/>
    <n v="1"/>
    <n v="1"/>
    <n v="0"/>
    <n v="0"/>
    <n v="0"/>
    <n v="0"/>
    <n v="6"/>
    <n v="2.054794520547945"/>
    <n v="5"/>
    <n v="3.4246575342465753"/>
    <n v="0"/>
    <n v="0"/>
    <n v="0"/>
    <n v="0"/>
    <n v="2"/>
    <n v="1.3698630136986301"/>
    <s v=""/>
    <n v="0"/>
    <n v="0"/>
    <n v="0"/>
    <n v="0"/>
    <s v=""/>
    <n v="6"/>
    <n v="4.10958904109589"/>
    <n v="5"/>
    <n v="3.4246575342465753"/>
    <n v="7"/>
    <n v="4.7945205479452051"/>
    <n v="0"/>
    <n v="0"/>
    <s v=""/>
    <n v="15"/>
    <n v="0"/>
    <n v="0"/>
    <n v="30"/>
    <n v="0"/>
    <n v="0"/>
    <n v="0"/>
    <n v="0"/>
    <n v="20"/>
    <n v="11"/>
    <n v="0"/>
    <n v="0"/>
    <s v=""/>
    <n v="33"/>
    <n v="0"/>
    <n v="0"/>
    <s v="assinatura"/>
    <n v="1042"/>
  </r>
  <r>
    <x v="46"/>
    <x v="8"/>
    <s v="6aadf328a9cbb60cee01af25"/>
    <s v="18/09/2026 19:24:37"/>
    <s v="18/09/2026 23:27:52"/>
    <s v="Henrique"/>
    <s v="18/09/2026"/>
    <s v="Guapiaçu"/>
    <s v="2 ° Turno"/>
    <n v="161"/>
    <n v="2700"/>
    <s v="JOBILIANA APARECIDA MAXIMO BERGAMINI"/>
    <n v="22"/>
    <n v="22"/>
    <n v="62"/>
    <n v="62"/>
    <n v="1"/>
    <n v="10"/>
    <n v="1"/>
    <n v="1"/>
    <n v="0"/>
    <n v="0"/>
    <n v="0"/>
    <n v="0"/>
    <n v="7"/>
    <n v="2.1739130434782608"/>
    <n v="15"/>
    <n v="9.316770186335404"/>
    <n v="0"/>
    <n v="0"/>
    <n v="1"/>
    <n v="0.6211180124223602"/>
    <n v="2"/>
    <n v="1.2422360248447204"/>
    <s v=""/>
    <n v="0"/>
    <n v="0"/>
    <n v="0"/>
    <n v="0"/>
    <s v=""/>
    <n v="11"/>
    <n v="6.8322981366459627"/>
    <n v="0"/>
    <n v="0"/>
    <n v="4"/>
    <n v="2.4844720496894408"/>
    <n v="0"/>
    <n v="0"/>
    <s v=""/>
    <n v="15"/>
    <n v="0"/>
    <n v="0"/>
    <n v="30"/>
    <n v="0"/>
    <n v="0"/>
    <n v="0"/>
    <n v="0"/>
    <n v="27"/>
    <n v="18"/>
    <n v="0"/>
    <n v="0"/>
    <s v=""/>
    <n v="10"/>
    <n v="0"/>
    <n v="0"/>
    <s v="assinatura"/>
    <n v="7185"/>
  </r>
  <r>
    <x v="46"/>
    <x v="8"/>
    <s v="6aadf327a9cbb60cee01af07"/>
    <s v="18/09/2026 14:05:03"/>
    <s v="18/09/2026 23:27:51"/>
    <s v="Henrique"/>
    <s v="18/09/2026"/>
    <s v="Guapiaçu"/>
    <s v="2 ° Turno"/>
    <n v="130"/>
    <n v="2871"/>
    <s v="JOBILIANA APARECIDA MAXIMO BERGAMINI"/>
    <n v="20"/>
    <n v="20"/>
    <n v="6"/>
    <n v="6"/>
    <n v="0"/>
    <n v="0"/>
    <n v="2"/>
    <n v="2"/>
    <n v="1"/>
    <n v="1"/>
    <n v="0"/>
    <n v="0"/>
    <s v=""/>
    <s v=""/>
    <n v="5"/>
    <n v="3.8461538461538463"/>
    <n v="0"/>
    <n v="0"/>
    <n v="1"/>
    <n v="0.76923076923076927"/>
    <n v="3"/>
    <n v="2.3076923076923079"/>
    <s v=""/>
    <n v="2"/>
    <n v="1.5384615384615385"/>
    <n v="0"/>
    <n v="0"/>
    <s v=""/>
    <n v="0"/>
    <n v="0"/>
    <n v="3"/>
    <n v="2.3076923076923079"/>
    <n v="4"/>
    <n v="3.0769230769230771"/>
    <n v="0"/>
    <n v="0"/>
    <s v=""/>
    <n v="16"/>
    <n v="0"/>
    <n v="0"/>
    <n v="32"/>
    <n v="0"/>
    <n v="0"/>
    <n v="0"/>
    <n v="0"/>
    <n v="23"/>
    <n v="11"/>
    <n v="0"/>
    <n v="0"/>
    <s v=""/>
    <n v="4"/>
    <n v="0"/>
    <n v="0"/>
    <s v="assinatura"/>
    <n v="11176"/>
  </r>
  <r>
    <x v="46"/>
    <x v="8"/>
    <s v="6aad5f0a34389a7f1f0f9a87"/>
    <s v="18/09/2026 10:38:21"/>
    <s v="18/09/2026 12:55:54"/>
    <s v="Henrique"/>
    <s v="18/09/2026"/>
    <s v="Guapiaçu"/>
    <s v="1 ° Turno"/>
    <n v="160"/>
    <n v="2934"/>
    <s v="EDMAR FELIPE MARTINS"/>
    <n v="31"/>
    <n v="31"/>
    <n v="10"/>
    <n v="10"/>
    <n v="0"/>
    <n v="0"/>
    <n v="2"/>
    <n v="2"/>
    <n v="1"/>
    <n v="1"/>
    <n v="0"/>
    <n v="0"/>
    <n v="7"/>
    <n v="2.1875"/>
    <n v="8"/>
    <n v="5"/>
    <n v="1"/>
    <n v="0.625"/>
    <n v="2"/>
    <n v="1.25"/>
    <n v="6"/>
    <n v="3.75"/>
    <s v=""/>
    <n v="4"/>
    <n v="2.5"/>
    <n v="3"/>
    <n v="1.875"/>
    <s v=""/>
    <n v="12"/>
    <n v="7.5"/>
    <n v="6"/>
    <n v="3.75"/>
    <n v="9"/>
    <n v="5.625"/>
    <n v="2"/>
    <n v="1.25"/>
    <s v=""/>
    <n v="17"/>
    <n v="1"/>
    <n v="1"/>
    <n v="34"/>
    <n v="2"/>
    <n v="2"/>
    <n v="2"/>
    <n v="1.25"/>
    <n v="26"/>
    <n v="21"/>
    <n v="1"/>
    <n v="10"/>
    <s v=""/>
    <n v="0"/>
    <n v="0"/>
    <n v="1"/>
    <s v="assinatura"/>
    <n v="3325"/>
  </r>
  <r>
    <x v="46"/>
    <x v="8"/>
    <s v="6aad5f0a34389a7f1f0f9a69"/>
    <s v="18/09/2026 06:30:20"/>
    <s v="18/09/2026 12:55:54"/>
    <s v="Henrique"/>
    <s v="18/09/2026"/>
    <s v="Guapiaçu"/>
    <s v="1 ° Turno"/>
    <n v="140"/>
    <n v="2919"/>
    <s v="EDMAR FELIPE MARTINS"/>
    <n v="44"/>
    <n v="44"/>
    <n v="20"/>
    <n v="20"/>
    <n v="0"/>
    <n v="0"/>
    <n v="1"/>
    <n v="1"/>
    <n v="1"/>
    <n v="1"/>
    <n v="0"/>
    <n v="0"/>
    <n v="3"/>
    <n v="1.0714285714285714"/>
    <n v="17"/>
    <n v="12.142857142857142"/>
    <n v="0"/>
    <n v="0"/>
    <n v="3"/>
    <n v="2.1428571428571428"/>
    <n v="7"/>
    <n v="5"/>
    <s v=""/>
    <n v="4"/>
    <n v="2.8571428571428572"/>
    <n v="2"/>
    <n v="1.4285714285714286"/>
    <s v=""/>
    <n v="5"/>
    <n v="3.5714285714285712"/>
    <n v="8"/>
    <n v="5.7142857142857144"/>
    <n v="9"/>
    <n v="6.4285714285714279"/>
    <n v="2"/>
    <n v="1.4285714285714286"/>
    <s v=""/>
    <n v="13"/>
    <n v="0"/>
    <n v="0"/>
    <n v="26"/>
    <n v="0"/>
    <n v="0"/>
    <n v="0"/>
    <n v="0"/>
    <n v="24"/>
    <n v="15"/>
    <n v="1"/>
    <n v="10"/>
    <s v=""/>
    <s v=""/>
    <s v=""/>
    <s v=""/>
    <s v="assinatura"/>
    <n v="3935"/>
  </r>
  <r>
    <x v="46"/>
    <x v="8"/>
    <s v="6aad5f0934389a7f1f0f9a57"/>
    <s v="18/09/2026 04:29:48"/>
    <s v="18/09/2026 12:55:53"/>
    <s v="Henrique"/>
    <s v="18/09/2026"/>
    <s v="Guapiaçu"/>
    <s v="1 ° Turno"/>
    <n v="150"/>
    <n v="2732"/>
    <s v="EDMAR FELIPE MARTINS"/>
    <n v="31"/>
    <n v="31"/>
    <n v="10"/>
    <n v="10"/>
    <n v="0"/>
    <n v="0"/>
    <n v="2"/>
    <n v="2"/>
    <n v="1"/>
    <n v="1"/>
    <n v="0"/>
    <n v="0"/>
    <n v="4"/>
    <n v="1.3333333333333335"/>
    <n v="8"/>
    <n v="5.3333333333333339"/>
    <n v="0"/>
    <n v="0"/>
    <n v="3"/>
    <n v="2"/>
    <n v="7"/>
    <n v="4.666666666666667"/>
    <s v=""/>
    <n v="3"/>
    <n v="2"/>
    <n v="2"/>
    <n v="1.3333333333333335"/>
    <s v=""/>
    <n v="8"/>
    <n v="5.3333333333333339"/>
    <n v="2"/>
    <n v="1.3333333333333335"/>
    <n v="6"/>
    <n v="4"/>
    <n v="1"/>
    <n v="0.66666666666666674"/>
    <s v=""/>
    <n v="19"/>
    <n v="0"/>
    <n v="0"/>
    <n v="38"/>
    <n v="0"/>
    <n v="0"/>
    <n v="2"/>
    <n v="1.3333333333333335"/>
    <n v="23"/>
    <n v="19"/>
    <n v="0"/>
    <n v="0"/>
    <s v=""/>
    <s v=""/>
    <s v=""/>
    <s v=""/>
    <s v="assinatura"/>
    <n v="1866"/>
  </r>
  <r>
    <x v="47"/>
    <x v="8"/>
    <s v="6aaca6fe17abc09bd2f12b39"/>
    <s v="17/09/2026 20:57:26"/>
    <s v="17/09/2026 23:50:38"/>
    <s v="Henrique"/>
    <s v="17/09/2026"/>
    <s v="Guapiaçu"/>
    <s v="2 ° Turno"/>
    <n v="161"/>
    <n v="2611"/>
    <s v="JOBILIANA APARECIDA MAXIMO BERGAMINI"/>
    <n v="20"/>
    <n v="20"/>
    <n v="6"/>
    <n v="6"/>
    <n v="0"/>
    <n v="0"/>
    <n v="1"/>
    <n v="1"/>
    <n v="0"/>
    <n v="0"/>
    <n v="0"/>
    <n v="0"/>
    <n v="7"/>
    <n v="2.1739130434782608"/>
    <n v="5"/>
    <n v="3.1055900621118013"/>
    <n v="0"/>
    <n v="0"/>
    <n v="0"/>
    <n v="0"/>
    <n v="2"/>
    <n v="1.2422360248447204"/>
    <s v=""/>
    <n v="0"/>
    <n v="0"/>
    <n v="0"/>
    <n v="0"/>
    <s v=""/>
    <n v="8"/>
    <n v="4.9689440993788816"/>
    <n v="5"/>
    <n v="3.1055900621118013"/>
    <n v="6"/>
    <n v="3.7267080745341614"/>
    <n v="0"/>
    <n v="0"/>
    <s v=""/>
    <n v="10"/>
    <n v="0"/>
    <n v="0"/>
    <n v="20"/>
    <n v="0"/>
    <n v="0"/>
    <n v="0"/>
    <n v="0"/>
    <n v="25"/>
    <n v="13"/>
    <n v="0"/>
    <n v="0"/>
    <s v=""/>
    <n v="0"/>
    <n v="0"/>
    <n v="0"/>
    <s v="assinatura"/>
    <n v="2163"/>
  </r>
  <r>
    <x v="47"/>
    <x v="8"/>
    <s v="6aaca6fd17abc09bd2f12b21"/>
    <s v="17/09/2026 18:12:43"/>
    <s v="17/09/2026 23:50:37"/>
    <s v="Henrique"/>
    <s v="17/09/2026"/>
    <s v="Guapiaçu"/>
    <s v="2 ° Turno"/>
    <n v="152"/>
    <n v="2295"/>
    <s v="JOBILIANA APARECIDA MAXIMO BERGAMINI"/>
    <n v="33"/>
    <n v="33"/>
    <n v="20"/>
    <n v="20"/>
    <n v="1"/>
    <n v="10"/>
    <n v="3"/>
    <n v="3"/>
    <n v="2"/>
    <n v="2"/>
    <n v="0"/>
    <n v="0"/>
    <n v="4"/>
    <n v="1.3157894736842104"/>
    <n v="18"/>
    <n v="11.842105263157894"/>
    <n v="0"/>
    <n v="0"/>
    <n v="0"/>
    <n v="0"/>
    <n v="2"/>
    <n v="1.3157894736842104"/>
    <s v=""/>
    <n v="0"/>
    <n v="0"/>
    <n v="0"/>
    <n v="0"/>
    <s v=""/>
    <n v="4"/>
    <n v="2.6315789473684208"/>
    <n v="3"/>
    <n v="1.9736842105263157"/>
    <n v="5"/>
    <n v="3.2894736842105261"/>
    <n v="0"/>
    <n v="0"/>
    <s v=""/>
    <n v="12"/>
    <n v="3"/>
    <n v="2"/>
    <n v="24"/>
    <n v="6"/>
    <n v="4"/>
    <n v="0"/>
    <n v="0"/>
    <n v="22"/>
    <n v="10"/>
    <n v="0"/>
    <n v="0"/>
    <s v=""/>
    <n v="0"/>
    <n v="0"/>
    <n v="0"/>
    <s v="assinatura"/>
    <n v="9874"/>
  </r>
  <r>
    <x v="47"/>
    <x v="8"/>
    <s v="6aaca6fd17abc09bd2f12b01"/>
    <s v="17/09/2026 14:07:11"/>
    <s v="17/09/2026 23:50:37"/>
    <s v="Henrique"/>
    <s v="17/09/2026"/>
    <s v="Guapiaçu"/>
    <s v="2 ° Turno"/>
    <n v="130"/>
    <n v="2573"/>
    <s v="JOBILIANA APARECIDA MAXIMO BERGAMINI"/>
    <n v="19"/>
    <n v="19"/>
    <n v="6"/>
    <n v="6"/>
    <n v="3"/>
    <n v="30"/>
    <n v="1"/>
    <n v="1"/>
    <n v="2"/>
    <n v="2"/>
    <n v="0"/>
    <n v="0"/>
    <n v="3"/>
    <n v="1.153846153846154"/>
    <n v="8"/>
    <n v="6.1538461538461542"/>
    <n v="0"/>
    <n v="0"/>
    <n v="3"/>
    <n v="2.3076923076923079"/>
    <n v="2"/>
    <n v="1.5384615384615385"/>
    <s v=""/>
    <n v="1"/>
    <n v="0.76923076923076927"/>
    <n v="0"/>
    <n v="0"/>
    <s v=""/>
    <n v="5"/>
    <n v="3.8461538461538463"/>
    <n v="3"/>
    <n v="2.3076923076923079"/>
    <n v="3"/>
    <n v="2.3076923076923079"/>
    <n v="1"/>
    <n v="0.76923076923076927"/>
    <s v=""/>
    <n v="10"/>
    <n v="0"/>
    <n v="0"/>
    <n v="20"/>
    <n v="0"/>
    <n v="0"/>
    <n v="0"/>
    <n v="0"/>
    <n v="15"/>
    <n v="18"/>
    <n v="0"/>
    <n v="0"/>
    <s v=""/>
    <n v="2"/>
    <n v="0"/>
    <n v="0"/>
    <s v="assinatura"/>
    <n v="9794"/>
  </r>
  <r>
    <x v="47"/>
    <x v="8"/>
    <s v="6aac0edf5f66c2e508293386"/>
    <s v="17/09/2026 11:19:02"/>
    <s v="17/09/2026 13:01:35"/>
    <s v="Henrique"/>
    <s v="17/09/2026"/>
    <s v="Guapiaçu"/>
    <s v="1 ° Turno"/>
    <n v="160"/>
    <n v="2694"/>
    <s v="EDMAR FELIPE MARTINS"/>
    <n v="33"/>
    <n v="33"/>
    <n v="13"/>
    <n v="13"/>
    <n v="0"/>
    <n v="0"/>
    <n v="1"/>
    <n v="1"/>
    <n v="1"/>
    <n v="1"/>
    <n v="0"/>
    <n v="0"/>
    <n v="7"/>
    <n v="2.1875"/>
    <n v="7"/>
    <n v="4.375"/>
    <n v="0"/>
    <n v="0"/>
    <n v="2"/>
    <n v="1.25"/>
    <n v="6"/>
    <n v="3.75"/>
    <s v=""/>
    <n v="4"/>
    <n v="2.5"/>
    <n v="3"/>
    <n v="1.875"/>
    <s v=""/>
    <n v="7"/>
    <n v="4.375"/>
    <n v="4"/>
    <n v="2.5"/>
    <n v="6"/>
    <n v="3.75"/>
    <n v="1"/>
    <n v="0.625"/>
    <s v=""/>
    <n v="16"/>
    <n v="0"/>
    <n v="0"/>
    <n v="32"/>
    <n v="0"/>
    <n v="0"/>
    <n v="0"/>
    <n v="0"/>
    <n v="28"/>
    <n v="10"/>
    <n v="1"/>
    <n v="10"/>
    <s v=""/>
    <s v=""/>
    <s v=""/>
    <s v=""/>
    <s v="assinatura"/>
    <n v="2244"/>
  </r>
  <r>
    <x v="47"/>
    <x v="8"/>
    <s v="6aac0edf5f66c2e508293372"/>
    <s v="17/09/2026 08:40:32"/>
    <s v="17/09/2026 13:01:35"/>
    <s v="Henrique"/>
    <s v="17/09/2026"/>
    <s v="Guapiaçu"/>
    <s v="1 ° Turno"/>
    <n v="130"/>
    <n v="2872"/>
    <s v="EDMAR FELIPE MARTINS"/>
    <n v="39"/>
    <n v="39"/>
    <n v="15"/>
    <n v="15"/>
    <n v="0"/>
    <n v="0"/>
    <n v="1"/>
    <n v="1"/>
    <n v="2"/>
    <n v="2"/>
    <n v="0"/>
    <n v="0"/>
    <n v="2"/>
    <n v="0.76923076923076927"/>
    <n v="7"/>
    <n v="5.384615384615385"/>
    <n v="0"/>
    <n v="0"/>
    <n v="2"/>
    <n v="1.5384615384615385"/>
    <n v="5"/>
    <n v="3.8461538461538463"/>
    <s v=""/>
    <n v="6"/>
    <n v="4.6153846153846159"/>
    <n v="2"/>
    <n v="1.5384615384615385"/>
    <s v=""/>
    <n v="8"/>
    <n v="6.1538461538461542"/>
    <n v="7"/>
    <n v="5.384615384615385"/>
    <n v="5"/>
    <n v="3.8461538461538463"/>
    <n v="1"/>
    <n v="0.76923076923076927"/>
    <s v=""/>
    <n v="19"/>
    <n v="0"/>
    <n v="0"/>
    <n v="38"/>
    <n v="0"/>
    <n v="0"/>
    <n v="0"/>
    <n v="0"/>
    <n v="22"/>
    <n v="15"/>
    <n v="1"/>
    <n v="10"/>
    <s v=""/>
    <s v=""/>
    <s v=""/>
    <s v=""/>
    <s v=""/>
    <n v="2004"/>
  </r>
  <r>
    <x v="47"/>
    <x v="8"/>
    <s v="6aac0edf5f66c2e50829335a"/>
    <s v="17/09/2026 06:35:32"/>
    <s v="17/09/2026 13:01:35"/>
    <s v="Henrique"/>
    <s v="17/09/2026"/>
    <s v="Guapiaçu"/>
    <s v="1 ° Turno"/>
    <n v="151"/>
    <n v="2774"/>
    <s v="EDMAR FELIPE MARTINS"/>
    <n v="53"/>
    <n v="53"/>
    <n v="21"/>
    <n v="21"/>
    <n v="0"/>
    <n v="0"/>
    <n v="1"/>
    <n v="1"/>
    <n v="1"/>
    <n v="1"/>
    <n v="0"/>
    <n v="0"/>
    <n v="5"/>
    <n v="1.6556291390728477"/>
    <n v="8"/>
    <n v="5.298013245033113"/>
    <n v="0"/>
    <n v="0"/>
    <n v="2"/>
    <n v="1.3245033112582782"/>
    <n v="7"/>
    <n v="4.6357615894039732"/>
    <s v=""/>
    <n v="4"/>
    <n v="2.6490066225165565"/>
    <n v="2"/>
    <n v="1.3245033112582782"/>
    <s v=""/>
    <n v="9"/>
    <n v="5.9602649006622519"/>
    <n v="4"/>
    <n v="2.6490066225165565"/>
    <n v="7"/>
    <n v="4.6357615894039732"/>
    <n v="1"/>
    <n v="0.66225165562913912"/>
    <s v=""/>
    <n v="17"/>
    <n v="0"/>
    <n v="0"/>
    <n v="34"/>
    <n v="0"/>
    <n v="0"/>
    <n v="0"/>
    <n v="0"/>
    <n v="27"/>
    <n v="13"/>
    <n v="1"/>
    <n v="10"/>
    <s v=""/>
    <n v="1"/>
    <n v="0"/>
    <n v="1"/>
    <s v="assinatura"/>
    <n v="3513"/>
  </r>
  <r>
    <x v="47"/>
    <x v="8"/>
    <s v="6aac0ede5f66c2e508293348"/>
    <s v="17/09/2026 04:36:51"/>
    <s v="17/09/2026 13:01:34"/>
    <s v="Henrique"/>
    <s v="17/09/2026"/>
    <s v="Guapiaçu"/>
    <s v="1 ° Turno"/>
    <n v="146"/>
    <n v="2800"/>
    <s v="EDMAR FELIPE MARTINS"/>
    <n v="25"/>
    <n v="25"/>
    <n v="11"/>
    <n v="11"/>
    <n v="0"/>
    <n v="0"/>
    <n v="1"/>
    <n v="1"/>
    <n v="1"/>
    <n v="1"/>
    <n v="0"/>
    <n v="0"/>
    <n v="6"/>
    <n v="2.054794520547945"/>
    <n v="3"/>
    <n v="2.054794520547945"/>
    <n v="0"/>
    <n v="0"/>
    <n v="2"/>
    <n v="1.3698630136986301"/>
    <n v="5"/>
    <n v="3.4246575342465753"/>
    <s v=""/>
    <n v="3"/>
    <n v="2.054794520547945"/>
    <n v="2"/>
    <n v="1.3698630136986301"/>
    <s v=""/>
    <n v="5"/>
    <n v="3.4246575342465753"/>
    <n v="2"/>
    <n v="1.3698630136986301"/>
    <n v="6"/>
    <n v="4.10958904109589"/>
    <n v="1"/>
    <n v="0.68493150684931503"/>
    <s v=""/>
    <n v="16"/>
    <n v="0"/>
    <n v="0"/>
    <n v="32"/>
    <n v="0"/>
    <n v="0"/>
    <n v="0"/>
    <n v="0"/>
    <n v="25"/>
    <n v="18"/>
    <n v="2"/>
    <n v="20"/>
    <s v=""/>
    <s v=""/>
    <s v=""/>
    <s v=""/>
    <s v="assinatura"/>
    <n v="1856"/>
  </r>
  <r>
    <x v="48"/>
    <x v="8"/>
    <s v="6ab1f4487b71afa134f4a1c6"/>
    <s v="21/09/2026 20:58:53"/>
    <s v="22/09/2026 00:21:44"/>
    <s v="Henrique"/>
    <s v="21/09/2026"/>
    <s v="Guapiaçu"/>
    <s v="2 ° Turno"/>
    <n v="151"/>
    <n v="2686"/>
    <s v="JOBILIANA APARECIDA MAXIMO BERGAMINI"/>
    <n v="20"/>
    <n v="20"/>
    <n v="5"/>
    <n v="5"/>
    <n v="0"/>
    <n v="0"/>
    <n v="1"/>
    <n v="1"/>
    <n v="0"/>
    <n v="0"/>
    <n v="0"/>
    <n v="0"/>
    <n v="10"/>
    <n v="3.3112582781456954"/>
    <n v="5"/>
    <n v="3.3112582781456954"/>
    <n v="0"/>
    <n v="0"/>
    <n v="1"/>
    <n v="0.66225165562913912"/>
    <n v="2"/>
    <n v="1.3245033112582782"/>
    <s v=""/>
    <n v="0"/>
    <n v="0"/>
    <n v="0"/>
    <n v="0"/>
    <s v=""/>
    <n v="6"/>
    <n v="3.9735099337748347"/>
    <n v="5"/>
    <n v="3.3112582781456954"/>
    <n v="6"/>
    <n v="3.9735099337748347"/>
    <n v="0"/>
    <n v="0"/>
    <s v=""/>
    <n v="10"/>
    <n v="0"/>
    <n v="0"/>
    <n v="20"/>
    <n v="0"/>
    <n v="0"/>
    <n v="0"/>
    <n v="0"/>
    <n v="20"/>
    <n v="18"/>
    <n v="0"/>
    <n v="0"/>
    <s v=""/>
    <n v="9"/>
    <n v="0"/>
    <n v="0"/>
    <s v="assinatura"/>
    <n v="310"/>
  </r>
  <r>
    <x v="48"/>
    <x v="8"/>
    <s v="6ab1f4477b71afa134f4a1ac"/>
    <s v="21/09/2026 18:24:17"/>
    <s v="22/09/2026 00:21:43"/>
    <s v="Henrique"/>
    <s v="21/09/2026"/>
    <s v="Guapiaçu"/>
    <s v="2 ° Turno"/>
    <n v="114"/>
    <n v="2767"/>
    <s v="JOBILIANA APARECIDA MAXIMO BERGAMINI"/>
    <n v="19"/>
    <n v="19"/>
    <n v="12"/>
    <n v="12"/>
    <n v="0"/>
    <n v="0"/>
    <n v="2"/>
    <n v="2"/>
    <n v="1"/>
    <n v="1"/>
    <n v="4"/>
    <n v="20"/>
    <n v="5"/>
    <n v="2.1929824561403506"/>
    <n v="6"/>
    <n v="5.2631578947368416"/>
    <n v="0"/>
    <n v="0"/>
    <n v="2"/>
    <n v="1.7543859649122806"/>
    <n v="2"/>
    <n v="1.7543859649122806"/>
    <s v=""/>
    <n v="0"/>
    <n v="0"/>
    <n v="0"/>
    <n v="0"/>
    <s v=""/>
    <n v="11"/>
    <n v="9.6491228070175428"/>
    <n v="7"/>
    <n v="6.140350877192982"/>
    <n v="6"/>
    <n v="5.2631578947368416"/>
    <n v="0"/>
    <n v="0"/>
    <s v=""/>
    <n v="20"/>
    <n v="0"/>
    <n v="1"/>
    <n v="40"/>
    <n v="0"/>
    <n v="2"/>
    <n v="0"/>
    <n v="0"/>
    <n v="19"/>
    <n v="18"/>
    <n v="0"/>
    <n v="0"/>
    <s v=""/>
    <n v="10"/>
    <n v="0"/>
    <n v="0"/>
    <s v="assinatura"/>
    <n v="9225"/>
  </r>
  <r>
    <x v="48"/>
    <x v="8"/>
    <s v="6ab1f4477b71afa134f4a194"/>
    <s v="21/09/2026 13:05:58"/>
    <s v="22/09/2026 00:21:43"/>
    <s v="Henrique"/>
    <s v="21/09/2026"/>
    <s v="Guapiaçu"/>
    <s v="2 ° Turno"/>
    <n v="130"/>
    <n v="2813"/>
    <s v="JOBILIANA APARECIDA MAXIMO BERGAMINI"/>
    <n v="23"/>
    <n v="23"/>
    <n v="6"/>
    <n v="6"/>
    <n v="0"/>
    <n v="0"/>
    <n v="2"/>
    <n v="2"/>
    <n v="0"/>
    <n v="0"/>
    <n v="0"/>
    <n v="0"/>
    <n v="4"/>
    <n v="1.5384615384615385"/>
    <n v="6"/>
    <n v="4.6153846153846159"/>
    <n v="0"/>
    <n v="0"/>
    <n v="0"/>
    <n v="0"/>
    <n v="2"/>
    <n v="1.5384615384615385"/>
    <s v=""/>
    <n v="0"/>
    <n v="0"/>
    <n v="0"/>
    <n v="0"/>
    <s v=""/>
    <n v="5"/>
    <n v="3.8461538461538463"/>
    <n v="10"/>
    <n v="7.6923076923076925"/>
    <n v="4"/>
    <n v="3.0769230769230771"/>
    <n v="0"/>
    <n v="0"/>
    <s v=""/>
    <n v="18"/>
    <n v="0"/>
    <n v="0"/>
    <n v="36"/>
    <n v="0"/>
    <n v="0"/>
    <n v="1"/>
    <n v="0.76923076923076927"/>
    <n v="18"/>
    <n v="14"/>
    <n v="0"/>
    <n v="0"/>
    <s v=""/>
    <s v=""/>
    <s v=""/>
    <s v=""/>
    <s v="assinatura"/>
    <n v="13150"/>
  </r>
  <r>
    <x v="48"/>
    <x v="8"/>
    <s v="6ab154eb14246dbb8f7cd283"/>
    <s v="21/09/2026 11:05:15"/>
    <s v="21/09/2026 13:01:47"/>
    <s v="Henrique"/>
    <s v="21/09/2026"/>
    <s v="Guapiaçu"/>
    <s v="1 ° Turno"/>
    <n v="161"/>
    <n v="2846"/>
    <s v="EDMAR FELIPE MARTINS"/>
    <n v="35"/>
    <n v="35"/>
    <n v="14"/>
    <n v="14.000000000000002"/>
    <n v="0"/>
    <n v="0"/>
    <n v="4"/>
    <n v="4"/>
    <n v="1"/>
    <n v="1"/>
    <n v="0"/>
    <n v="0"/>
    <n v="1"/>
    <n v="0.3105590062111801"/>
    <n v="3"/>
    <n v="1.8633540372670807"/>
    <n v="0"/>
    <n v="0"/>
    <n v="3"/>
    <n v="1.8633540372670807"/>
    <n v="7"/>
    <n v="4.3478260869565215"/>
    <s v=""/>
    <n v="3"/>
    <n v="1.8633540372670807"/>
    <n v="3"/>
    <n v="1.8633540372670807"/>
    <s v=""/>
    <n v="6"/>
    <n v="3.7267080745341614"/>
    <n v="5"/>
    <n v="3.1055900621118013"/>
    <n v="6"/>
    <n v="3.7267080745341614"/>
    <n v="1"/>
    <n v="0.6211180124223602"/>
    <s v=""/>
    <n v="20"/>
    <n v="0"/>
    <n v="0"/>
    <n v="40"/>
    <n v="0"/>
    <n v="0"/>
    <n v="1"/>
    <n v="0.6211180124223602"/>
    <n v="27"/>
    <n v="15"/>
    <n v="1"/>
    <n v="10"/>
    <s v=""/>
    <s v=""/>
    <s v=""/>
    <s v=""/>
    <s v="assinatura"/>
    <n v="2650"/>
  </r>
  <r>
    <x v="48"/>
    <x v="8"/>
    <s v="6ab154ea14246dbb8f7cd271"/>
    <s v="21/09/2026 08:23:09"/>
    <s v="21/09/2026 13:01:46"/>
    <s v="Henrique"/>
    <s v="21/09/2026"/>
    <s v="Guapiaçu"/>
    <s v="1 ° Turno"/>
    <n v="150"/>
    <n v="2910"/>
    <s v="EDMAR FELIPE MARTINS"/>
    <n v="25"/>
    <n v="25"/>
    <n v="6"/>
    <n v="6"/>
    <n v="0"/>
    <n v="0"/>
    <n v="2"/>
    <n v="2"/>
    <n v="0"/>
    <n v="0"/>
    <n v="0"/>
    <n v="0"/>
    <n v="1"/>
    <n v="0.33333333333333337"/>
    <n v="3"/>
    <n v="2"/>
    <n v="0"/>
    <n v="0"/>
    <n v="0"/>
    <n v="0"/>
    <n v="6"/>
    <n v="4"/>
    <s v=""/>
    <n v="3"/>
    <n v="2"/>
    <n v="2"/>
    <n v="1.3333333333333335"/>
    <s v=""/>
    <n v="5"/>
    <n v="3.3333333333333335"/>
    <n v="2"/>
    <n v="1.3333333333333335"/>
    <n v="6"/>
    <n v="4"/>
    <n v="1"/>
    <n v="0.66666666666666674"/>
    <s v=""/>
    <n v="17"/>
    <n v="0"/>
    <n v="0"/>
    <n v="34"/>
    <n v="0"/>
    <n v="0"/>
    <n v="0"/>
    <n v="0"/>
    <n v="21"/>
    <n v="11"/>
    <n v="1"/>
    <n v="10"/>
    <s v=""/>
    <s v=""/>
    <s v=""/>
    <s v=""/>
    <s v=""/>
    <n v="1667"/>
  </r>
  <r>
    <x v="48"/>
    <x v="8"/>
    <s v="6ab154ea14246dbb8f7cd25f"/>
    <s v="21/09/2026 06:30:20"/>
    <s v="21/09/2026 13:01:46"/>
    <s v="Henrique"/>
    <s v="21/09/2026"/>
    <s v="Guapiaçu"/>
    <s v="1 ° Turno"/>
    <n v="156"/>
    <n v="2960"/>
    <s v="EDMAR FELIPE MARTINS"/>
    <n v="29"/>
    <n v="28.999999999999996"/>
    <n v="13"/>
    <n v="13"/>
    <n v="0"/>
    <n v="0"/>
    <n v="3"/>
    <n v="3"/>
    <n v="1"/>
    <n v="1"/>
    <n v="0"/>
    <n v="0"/>
    <n v="1"/>
    <n v="0.32051282051282048"/>
    <n v="2"/>
    <n v="1.2820512820512819"/>
    <n v="0"/>
    <n v="0"/>
    <n v="1"/>
    <n v="0.64102564102564097"/>
    <n v="9"/>
    <n v="5.7692307692307692"/>
    <s v=""/>
    <n v="3"/>
    <n v="1.9230769230769231"/>
    <n v="2"/>
    <n v="1.2820512820512819"/>
    <s v=""/>
    <n v="6"/>
    <n v="3.8461538461538463"/>
    <n v="8"/>
    <n v="5.1282051282051277"/>
    <n v="7"/>
    <n v="4.4871794871794872"/>
    <n v="1"/>
    <n v="0.64102564102564097"/>
    <s v=""/>
    <n v="19"/>
    <n v="0"/>
    <n v="0"/>
    <n v="38"/>
    <n v="0"/>
    <n v="0"/>
    <n v="0"/>
    <n v="0"/>
    <n v="20"/>
    <n v="9"/>
    <n v="1"/>
    <n v="10"/>
    <s v=""/>
    <s v=""/>
    <s v=""/>
    <s v=""/>
    <s v="assinatura"/>
    <n v="1497"/>
  </r>
  <r>
    <x v="48"/>
    <x v="8"/>
    <s v="6ab154ea14246dbb8f7cd24d"/>
    <s v="21/09/2026 04:31:26"/>
    <s v="21/09/2026 13:01:46"/>
    <s v="Henrique"/>
    <s v="21/09/2026"/>
    <s v="Guapiaçu"/>
    <s v="1 ° Turno"/>
    <n v="156"/>
    <n v="2910"/>
    <s v="EDMAR FELIPE MARTINS"/>
    <n v="22"/>
    <n v="22"/>
    <n v="8"/>
    <n v="8"/>
    <s v=""/>
    <s v=""/>
    <n v="2"/>
    <n v="2"/>
    <n v="1"/>
    <n v="1"/>
    <n v="0"/>
    <n v="0"/>
    <n v="3"/>
    <n v="0.96153846153846156"/>
    <n v="3"/>
    <n v="1.9230769230769231"/>
    <n v="0"/>
    <n v="0"/>
    <n v="1"/>
    <n v="0.64102564102564097"/>
    <n v="6"/>
    <n v="3.8461538461538463"/>
    <s v=""/>
    <n v="3"/>
    <n v="1.9230769230769231"/>
    <n v="1"/>
    <n v="0.64102564102564097"/>
    <s v=""/>
    <n v="5"/>
    <n v="3.2051282051282048"/>
    <n v="4"/>
    <n v="2.5641025641025639"/>
    <n v="6"/>
    <n v="3.8461538461538463"/>
    <n v="1"/>
    <n v="0.64102564102564097"/>
    <s v=""/>
    <n v="16"/>
    <n v="1"/>
    <n v="1"/>
    <n v="32"/>
    <n v="2"/>
    <n v="2"/>
    <n v="0"/>
    <n v="0"/>
    <n v="21"/>
    <n v="9"/>
    <n v="0"/>
    <n v="0"/>
    <s v=""/>
    <s v=""/>
    <s v=""/>
    <s v=""/>
    <s v="assinatura"/>
    <n v="2582"/>
  </r>
  <r>
    <x v="49"/>
    <x v="8"/>
    <s v="6ab3f5fe7dc9e21ef60b45dd"/>
    <s v="23/09/2026 11:29:57"/>
    <s v="23/09/2026 12:53:34"/>
    <s v="Henrique"/>
    <s v="23/09/2026"/>
    <s v="Guapiaçu"/>
    <s v="1 ° Turno"/>
    <n v="100"/>
    <n v="2765"/>
    <s v="EDMAR FELIPE MARTINS"/>
    <n v="51"/>
    <n v="51"/>
    <n v="14"/>
    <n v="14.000000000000002"/>
    <n v="0"/>
    <n v="0"/>
    <n v="3"/>
    <n v="3"/>
    <n v="1"/>
    <n v="1"/>
    <n v="6"/>
    <n v="30"/>
    <n v="2"/>
    <n v="1"/>
    <n v="3"/>
    <n v="3"/>
    <n v="0"/>
    <n v="0"/>
    <n v="2"/>
    <n v="2"/>
    <n v="4"/>
    <n v="4"/>
    <s v=""/>
    <n v="2"/>
    <n v="2"/>
    <n v="2"/>
    <n v="2"/>
    <s v=""/>
    <n v="4"/>
    <n v="4"/>
    <n v="3"/>
    <n v="3"/>
    <n v="6"/>
    <n v="6"/>
    <n v="3"/>
    <n v="3"/>
    <s v=""/>
    <n v="21"/>
    <n v="0"/>
    <n v="0"/>
    <n v="42"/>
    <n v="0"/>
    <n v="0"/>
    <n v="0"/>
    <n v="0"/>
    <n v="23"/>
    <n v="20"/>
    <n v="1"/>
    <n v="10"/>
    <s v=""/>
    <n v="0"/>
    <n v="0"/>
    <n v="1"/>
    <s v="assinatura"/>
    <n v="1699"/>
  </r>
  <r>
    <x v="49"/>
    <x v="8"/>
    <s v="6ab3f5fe7dc9e21ef60b45c9"/>
    <s v="23/09/2026 08:35:21"/>
    <s v="23/09/2026 12:53:34"/>
    <s v="Henrique"/>
    <s v="23/09/2026"/>
    <s v="Guapiaçu"/>
    <s v="1 ° Turno"/>
    <n v="135"/>
    <n v="2765"/>
    <s v="EDMAR FELIPE MARTINS"/>
    <n v="40"/>
    <n v="40"/>
    <n v="15"/>
    <n v="15"/>
    <n v="0"/>
    <n v="0"/>
    <n v="4"/>
    <n v="4"/>
    <n v="1"/>
    <n v="1"/>
    <n v="3"/>
    <n v="15"/>
    <n v="1"/>
    <n v="0.37037037037037041"/>
    <n v="3"/>
    <n v="2.2222222222222223"/>
    <n v="0"/>
    <n v="0"/>
    <n v="2"/>
    <n v="1.4814814814814816"/>
    <n v="6"/>
    <n v="4.4444444444444446"/>
    <s v=""/>
    <n v="3"/>
    <n v="2.2222222222222223"/>
    <n v="2"/>
    <n v="1.4814814814814816"/>
    <s v=""/>
    <n v="5"/>
    <n v="3.7037037037037033"/>
    <n v="2"/>
    <n v="1.4814814814814816"/>
    <n v="9"/>
    <n v="6.666666666666667"/>
    <n v="2"/>
    <n v="1.4814814814814816"/>
    <s v=""/>
    <n v="15"/>
    <n v="0"/>
    <n v="0"/>
    <n v="30"/>
    <n v="0"/>
    <n v="0"/>
    <n v="0"/>
    <n v="0"/>
    <n v="19"/>
    <n v="17"/>
    <n v="1"/>
    <n v="10"/>
    <s v=""/>
    <n v="2"/>
    <n v="0"/>
    <n v="1"/>
    <s v="assinatura"/>
    <n v="2096"/>
  </r>
  <r>
    <x v="49"/>
    <x v="8"/>
    <s v="6ab3f5fe7dc9e21ef60b45b7"/>
    <s v="23/09/2026 06:31:49"/>
    <s v="23/09/2026 12:53:34"/>
    <s v="Henrique"/>
    <s v="23/09/2026"/>
    <s v="Guapiaçu"/>
    <s v="1 ° Turno"/>
    <n v="110"/>
    <n v="2732"/>
    <s v="EDMAR FELIPE MARTINS"/>
    <n v="25"/>
    <n v="25"/>
    <n v="8"/>
    <n v="8"/>
    <n v="0"/>
    <n v="0"/>
    <n v="4"/>
    <n v="4"/>
    <n v="1"/>
    <n v="1"/>
    <n v="0"/>
    <n v="0"/>
    <n v="1"/>
    <n v="0.45454545454545453"/>
    <n v="8"/>
    <n v="7.2727272727272725"/>
    <n v="0"/>
    <n v="0"/>
    <n v="1"/>
    <n v="0.90909090909090906"/>
    <n v="6"/>
    <n v="5.4545454545454541"/>
    <s v=""/>
    <n v="3"/>
    <n v="2.7272727272727271"/>
    <n v="2"/>
    <n v="1.8181818181818181"/>
    <s v=""/>
    <n v="10"/>
    <n v="9.0909090909090917"/>
    <n v="2"/>
    <n v="1.8181818181818181"/>
    <n v="9"/>
    <n v="8.1818181818181817"/>
    <n v="2"/>
    <n v="1.8181818181818181"/>
    <s v=""/>
    <n v="13"/>
    <n v="0"/>
    <n v="0"/>
    <n v="26"/>
    <n v="0"/>
    <n v="0"/>
    <n v="0"/>
    <n v="0"/>
    <n v="25"/>
    <n v="19"/>
    <n v="1"/>
    <n v="10"/>
    <s v=""/>
    <s v=""/>
    <s v=""/>
    <s v=""/>
    <s v="assinatura"/>
    <n v="1705"/>
  </r>
  <r>
    <x v="49"/>
    <x v="8"/>
    <s v="6ab3f5fe7dc9e21ef60b45ab"/>
    <s v="23/09/2026 04:54:28"/>
    <s v="23/09/2026 12:53:34"/>
    <s v="Henrique"/>
    <s v="23/09/2026"/>
    <s v="Guapiaçu"/>
    <s v="1 ° Turno"/>
    <n v="125"/>
    <n v="2762"/>
    <s v="EDMAR FELIPE MARTINS"/>
    <n v="33"/>
    <n v="33"/>
    <n v="12"/>
    <n v="12"/>
    <n v="0"/>
    <n v="0"/>
    <n v="1"/>
    <n v="1"/>
    <n v="1"/>
    <n v="1"/>
    <n v="2"/>
    <n v="10"/>
    <n v="1"/>
    <n v="0.4"/>
    <n v="8"/>
    <n v="6.4"/>
    <n v="0"/>
    <n v="0"/>
    <n v="2"/>
    <n v="1.6"/>
    <n v="6"/>
    <n v="4.8"/>
    <s v=""/>
    <n v="3"/>
    <n v="2.4"/>
    <n v="2"/>
    <n v="1.6"/>
    <s v=""/>
    <n v="9"/>
    <n v="7.1999999999999993"/>
    <n v="4"/>
    <n v="3.2"/>
    <n v="7"/>
    <n v="5.6000000000000005"/>
    <n v="2"/>
    <n v="1.6"/>
    <s v=""/>
    <n v="15"/>
    <n v="0"/>
    <n v="0"/>
    <n v="30"/>
    <n v="0"/>
    <n v="0"/>
    <n v="0"/>
    <n v="0"/>
    <n v="26"/>
    <n v="23"/>
    <n v="1"/>
    <n v="10"/>
    <s v=""/>
    <s v=""/>
    <s v=""/>
    <s v=""/>
    <s v="assinatura"/>
    <n v="1695"/>
  </r>
  <r>
    <x v="50"/>
    <x v="8"/>
    <s v="6ab33d982198fdc3939087f7"/>
    <s v="22/09/2026 21:34:31"/>
    <s v="22/09/2026 23:46:48"/>
    <s v="Henrique"/>
    <s v="22/09/2026"/>
    <s v="Guapiaçu"/>
    <s v="2 ° Turno"/>
    <n v="151"/>
    <n v="2762"/>
    <s v="JOBILIANA APARECIDA MAXIMO BERGAMINI"/>
    <n v="20"/>
    <n v="20"/>
    <n v="5"/>
    <n v="5"/>
    <n v="0"/>
    <n v="0"/>
    <n v="1"/>
    <n v="1"/>
    <n v="1"/>
    <n v="1"/>
    <n v="0"/>
    <n v="0"/>
    <n v="6"/>
    <n v="1.9867549668874174"/>
    <n v="5"/>
    <n v="3.3112582781456954"/>
    <n v="0"/>
    <n v="0"/>
    <n v="1"/>
    <n v="0.66225165562913912"/>
    <n v="2"/>
    <n v="1.3245033112582782"/>
    <s v=""/>
    <n v="0"/>
    <n v="0"/>
    <n v="0"/>
    <n v="0"/>
    <s v=""/>
    <n v="6"/>
    <n v="3.9735099337748347"/>
    <n v="4"/>
    <n v="2.6490066225165565"/>
    <n v="7"/>
    <n v="4.6357615894039732"/>
    <n v="0"/>
    <n v="0"/>
    <s v=""/>
    <n v="16"/>
    <n v="0"/>
    <n v="0"/>
    <n v="32"/>
    <n v="0"/>
    <n v="0"/>
    <n v="0"/>
    <n v="0"/>
    <n v="20"/>
    <n v="18"/>
    <n v="0"/>
    <n v="0"/>
    <s v=""/>
    <n v="0"/>
    <n v="0"/>
    <n v="0"/>
    <s v="assinatura"/>
    <n v="274"/>
  </r>
  <r>
    <x v="50"/>
    <x v="8"/>
    <s v="6ab33d982198fdc3939087df"/>
    <s v="22/09/2026 17:49:08"/>
    <s v="22/09/2026 23:46:48"/>
    <s v="Henrique"/>
    <s v="22/09/2026"/>
    <s v="Guapiaçu"/>
    <s v="2 ° Turno"/>
    <n v="151"/>
    <n v="2758"/>
    <s v="JOBILIANA APARECIDA MAXIMO BERGAMINI"/>
    <n v="25"/>
    <n v="25"/>
    <n v="9"/>
    <n v="9"/>
    <n v="0"/>
    <n v="0"/>
    <n v="1"/>
    <n v="1"/>
    <n v="0"/>
    <n v="0"/>
    <n v="0"/>
    <n v="0"/>
    <n v="5"/>
    <n v="1.6556291390728477"/>
    <n v="19"/>
    <n v="12.582781456953644"/>
    <n v="0"/>
    <n v="0"/>
    <n v="1"/>
    <n v="0.66225165562913912"/>
    <n v="4"/>
    <n v="2.6490066225165565"/>
    <s v=""/>
    <n v="0"/>
    <n v="0"/>
    <n v="0"/>
    <n v="0"/>
    <s v=""/>
    <n v="6"/>
    <n v="3.9735099337748347"/>
    <n v="4"/>
    <n v="2.6490066225165565"/>
    <n v="9"/>
    <n v="5.9602649006622519"/>
    <n v="0"/>
    <n v="0"/>
    <s v=""/>
    <n v="19"/>
    <n v="0"/>
    <n v="0"/>
    <n v="38"/>
    <n v="0"/>
    <n v="0"/>
    <n v="3"/>
    <n v="1.9867549668874174"/>
    <n v="25"/>
    <n v="13"/>
    <n v="0"/>
    <n v="0"/>
    <s v=""/>
    <n v="1"/>
    <n v="0"/>
    <n v="0"/>
    <s v="assinatura"/>
    <n v="13832"/>
  </r>
  <r>
    <x v="50"/>
    <x v="8"/>
    <s v="6ab33d972198fdc3939087bb"/>
    <s v="22/09/2026 14:20:24"/>
    <s v="22/09/2026 23:46:47"/>
    <s v="Henrique"/>
    <s v="22/09/2026"/>
    <s v="Guapiaçu"/>
    <s v="2 ° Turno"/>
    <n v="151"/>
    <n v="2758"/>
    <s v="JOBILIANA APARECIDA MAXIMO BERGAMINI"/>
    <n v="21"/>
    <n v="21"/>
    <n v="4"/>
    <n v="4"/>
    <n v="1"/>
    <n v="10"/>
    <n v="1"/>
    <n v="1"/>
    <n v="0"/>
    <n v="0"/>
    <n v="0"/>
    <n v="0"/>
    <n v="3"/>
    <n v="0.99337748344370869"/>
    <n v="6"/>
    <n v="3.9735099337748347"/>
    <n v="0"/>
    <n v="0"/>
    <n v="2"/>
    <n v="1.3245033112582782"/>
    <n v="3"/>
    <n v="1.9867549668874174"/>
    <s v=""/>
    <n v="1"/>
    <n v="0.66225165562913912"/>
    <n v="0"/>
    <n v="0"/>
    <s v=""/>
    <n v="7"/>
    <n v="4.6357615894039732"/>
    <s v=""/>
    <s v=""/>
    <n v="5"/>
    <n v="3.3112582781456954"/>
    <n v="0"/>
    <n v="0"/>
    <s v=""/>
    <n v="16"/>
    <n v="2"/>
    <n v="2"/>
    <n v="32"/>
    <n v="4"/>
    <n v="4"/>
    <n v="1"/>
    <n v="0.66225165562913912"/>
    <n v="20"/>
    <n v="17"/>
    <n v="0"/>
    <n v="0"/>
    <s v=""/>
    <n v="0"/>
    <n v="0"/>
    <n v="0"/>
    <s v="assinatura"/>
    <n v="9164"/>
  </r>
  <r>
    <x v="50"/>
    <x v="8"/>
    <s v="6ab2a66acffb29c3dcb6c7f6"/>
    <s v="22/09/2026 11:34:38"/>
    <s v="22/09/2026 13:01:46"/>
    <s v="Henrique"/>
    <s v="22/09/2026"/>
    <s v="Guapiaçu"/>
    <s v="1 ° Turno"/>
    <n v="151"/>
    <n v="285"/>
    <s v="EDMAR FELIPE MARTINS"/>
    <n v="35"/>
    <n v="35"/>
    <n v="9"/>
    <n v="9"/>
    <n v="0"/>
    <n v="0"/>
    <n v="3"/>
    <n v="3"/>
    <n v="1"/>
    <n v="1"/>
    <n v="0"/>
    <n v="0"/>
    <n v="1"/>
    <n v="0.33112582781456956"/>
    <n v="8"/>
    <n v="5.298013245033113"/>
    <n v="0"/>
    <n v="0"/>
    <n v="2"/>
    <n v="1.3245033112582782"/>
    <n v="7"/>
    <n v="4.6357615894039732"/>
    <s v=""/>
    <n v="5"/>
    <n v="3.3112582781456954"/>
    <n v="2"/>
    <n v="1.3245033112582782"/>
    <s v=""/>
    <n v="9"/>
    <n v="5.9602649006622519"/>
    <n v="4"/>
    <n v="2.6490066225165565"/>
    <n v="7"/>
    <n v="4.6357615894039732"/>
    <n v="2"/>
    <n v="1.3245033112582782"/>
    <s v=""/>
    <n v="19"/>
    <n v="0"/>
    <n v="0"/>
    <n v="38"/>
    <n v="0"/>
    <n v="0"/>
    <n v="0"/>
    <n v="0"/>
    <n v="21"/>
    <n v="16"/>
    <n v="0"/>
    <n v="0"/>
    <s v=""/>
    <n v="0"/>
    <n v="0"/>
    <n v="1"/>
    <s v=""/>
    <n v="1400"/>
  </r>
  <r>
    <x v="50"/>
    <x v="8"/>
    <s v="6ab2a66acffb29c3dcb6c7e2"/>
    <s v="22/09/2026 08:54:27"/>
    <s v="22/09/2026 13:01:46"/>
    <s v="Henrique"/>
    <s v="22/09/2026"/>
    <s v="Guapiaçu"/>
    <s v="1 ° Turno"/>
    <n v="151"/>
    <n v="2856"/>
    <s v="EDMAR FELIPE MARTINS"/>
    <n v="39"/>
    <n v="39"/>
    <n v="25"/>
    <n v="25"/>
    <n v="0"/>
    <n v="0"/>
    <n v="2"/>
    <n v="2"/>
    <n v="1"/>
    <n v="1"/>
    <n v="0"/>
    <n v="0"/>
    <n v="1"/>
    <n v="0.33112582781456956"/>
    <n v="10"/>
    <n v="6.6225165562913908"/>
    <n v="0"/>
    <n v="0"/>
    <n v="2"/>
    <n v="1.3245033112582782"/>
    <n v="8"/>
    <n v="5.298013245033113"/>
    <s v=""/>
    <n v="2"/>
    <n v="1.3245033112582782"/>
    <n v="2"/>
    <n v="1.3245033112582782"/>
    <s v=""/>
    <n v="10"/>
    <n v="6.6225165562913908"/>
    <n v="6"/>
    <n v="3.9735099337748347"/>
    <n v="9"/>
    <n v="5.9602649006622519"/>
    <n v="2"/>
    <n v="1.3245033112582782"/>
    <s v=""/>
    <n v="15"/>
    <n v="0"/>
    <n v="0"/>
    <n v="30"/>
    <n v="0"/>
    <n v="0"/>
    <n v="1"/>
    <n v="0.66225165562913912"/>
    <n v="26"/>
    <n v="21"/>
    <n v="1"/>
    <n v="10"/>
    <s v=""/>
    <s v=""/>
    <s v=""/>
    <s v=""/>
    <s v="assinatura"/>
    <n v="2114"/>
  </r>
  <r>
    <x v="50"/>
    <x v="8"/>
    <s v="6ab2a66acffb29c3dcb6c7c4"/>
    <s v="22/09/2026 06:14:24"/>
    <s v="22/09/2026 13:01:46"/>
    <s v="Henrique"/>
    <s v="22/09/2026"/>
    <s v="Guapiaçu"/>
    <s v="1 ° Turno"/>
    <n v="146"/>
    <n v="2842"/>
    <s v="EDMAR FELIPE MARTINS"/>
    <n v="29"/>
    <n v="28.999999999999996"/>
    <n v="7"/>
    <n v="7.0000000000000009"/>
    <n v="0"/>
    <n v="0"/>
    <n v="5"/>
    <n v="5"/>
    <n v="1"/>
    <n v="1"/>
    <n v="0"/>
    <n v="0"/>
    <n v="3"/>
    <n v="1.0273972602739725"/>
    <n v="5"/>
    <n v="3.4246575342465753"/>
    <n v="0"/>
    <n v="0"/>
    <n v="4"/>
    <n v="2.7397260273972601"/>
    <n v="9"/>
    <n v="6.1643835616438354"/>
    <s v=""/>
    <n v="3"/>
    <n v="2.054794520547945"/>
    <n v="3"/>
    <n v="2.054794520547945"/>
    <s v=""/>
    <n v="8"/>
    <n v="5.4794520547945202"/>
    <n v="2"/>
    <n v="1.3698630136986301"/>
    <n v="9"/>
    <n v="6.1643835616438354"/>
    <n v="2"/>
    <n v="1.3698630136986301"/>
    <s v=""/>
    <n v="18"/>
    <n v="0"/>
    <n v="0"/>
    <n v="36"/>
    <n v="0"/>
    <n v="0"/>
    <n v="2"/>
    <n v="1.3698630136986301"/>
    <n v="25"/>
    <n v="21"/>
    <n v="1"/>
    <n v="10"/>
    <s v=""/>
    <n v="1"/>
    <n v="0"/>
    <n v="1"/>
    <s v="assinatura"/>
    <n v="3241"/>
  </r>
  <r>
    <x v="50"/>
    <x v="8"/>
    <s v="6ab2a669cffb29c3dcb6c7b2"/>
    <s v="22/09/2026 04:29:39"/>
    <s v="22/09/2026 13:01:45"/>
    <s v="Henrique"/>
    <s v="22/09/2026"/>
    <s v="Guapiaçu"/>
    <s v="1 ° Turno"/>
    <n v="130"/>
    <n v="2918"/>
    <s v="EDMAR FELIPE MARTINS"/>
    <n v="30"/>
    <n v="30"/>
    <n v="9"/>
    <n v="9"/>
    <n v="0"/>
    <n v="0"/>
    <n v="2"/>
    <n v="2"/>
    <n v="1"/>
    <n v="1"/>
    <n v="0"/>
    <n v="0"/>
    <n v="8"/>
    <n v="3.0769230769230771"/>
    <n v="12"/>
    <n v="9.2307692307692317"/>
    <n v="0"/>
    <n v="0"/>
    <n v="2"/>
    <n v="1.5384615384615385"/>
    <n v="7"/>
    <n v="5.384615384615385"/>
    <s v=""/>
    <n v="3"/>
    <n v="2.3076923076923079"/>
    <n v="3"/>
    <n v="2.3076923076923079"/>
    <s v=""/>
    <n v="5"/>
    <n v="3.8461538461538463"/>
    <n v="2"/>
    <n v="1.5384615384615385"/>
    <n v="13"/>
    <n v="10"/>
    <n v="3"/>
    <n v="2.3076923076923079"/>
    <s v=""/>
    <n v="20"/>
    <n v="1"/>
    <n v="1"/>
    <n v="40"/>
    <n v="2"/>
    <n v="2"/>
    <n v="1"/>
    <n v="0.76923076923076927"/>
    <n v="23"/>
    <n v="19"/>
    <n v="0"/>
    <n v="0"/>
    <s v=""/>
    <s v=""/>
    <s v=""/>
    <s v=""/>
    <s v="assinatura"/>
    <n v="2959"/>
  </r>
  <r>
    <x v="49"/>
    <x v="8"/>
    <s v="6ab48a81b91ebe7368fcc31b"/>
    <s v="23/09/2026 21:13:58"/>
    <s v="23/09/2026 23:27:13"/>
    <s v="Henrique"/>
    <s v="23/09/2026"/>
    <s v="Guapiaçu"/>
    <s v="2 ° Turno"/>
    <n v="141"/>
    <n v="2731"/>
    <s v="JOBILIANA APARECIDA MAXIMO BERGAMINI"/>
    <n v="20"/>
    <n v="20"/>
    <n v="4"/>
    <n v="4"/>
    <n v="0"/>
    <n v="0"/>
    <n v="1"/>
    <n v="1"/>
    <n v="0"/>
    <n v="0"/>
    <n v="0"/>
    <n v="0"/>
    <n v="2"/>
    <n v="0.70921985815602839"/>
    <n v="4"/>
    <n v="2.8368794326241136"/>
    <n v="0"/>
    <n v="0"/>
    <n v="1"/>
    <n v="0.70921985815602839"/>
    <n v="3"/>
    <n v="2.1276595744680851"/>
    <s v=""/>
    <n v="0"/>
    <n v="0"/>
    <n v="0"/>
    <n v="0"/>
    <s v=""/>
    <n v="4"/>
    <n v="2.8368794326241136"/>
    <n v="3"/>
    <n v="2.1276595744680851"/>
    <n v="6"/>
    <n v="4.2553191489361701"/>
    <n v="0"/>
    <n v="0"/>
    <s v=""/>
    <n v="19"/>
    <n v="0"/>
    <n v="0"/>
    <n v="38"/>
    <n v="0"/>
    <n v="0"/>
    <n v="0"/>
    <n v="0"/>
    <n v="20"/>
    <n v="17"/>
    <n v="0"/>
    <n v="0"/>
    <s v=""/>
    <n v="0"/>
    <n v="0"/>
    <n v="0"/>
    <s v="assinatura"/>
    <n v="227"/>
  </r>
  <r>
    <x v="49"/>
    <x v="8"/>
    <s v="6ab48a81b91ebe7368fcc30f"/>
    <s v="23/09/2026 18:18:53"/>
    <s v="23/09/2026 23:27:13"/>
    <s v="Henrique"/>
    <s v="23/09/2026"/>
    <s v="Guapiaçu"/>
    <s v="2 ° Turno"/>
    <n v="145"/>
    <n v="2820"/>
    <s v="JOBILIANA APARECIDA MAXIMO BERGAMINI"/>
    <n v="21"/>
    <n v="21"/>
    <n v="10"/>
    <n v="10"/>
    <n v="0"/>
    <n v="0"/>
    <n v="0"/>
    <n v="0"/>
    <n v="0"/>
    <n v="0"/>
    <n v="0"/>
    <n v="0"/>
    <n v="6"/>
    <n v="2.0689655172413794"/>
    <n v="8"/>
    <n v="5.5172413793103452"/>
    <n v="0"/>
    <n v="0"/>
    <n v="3"/>
    <n v="2.0689655172413794"/>
    <n v="2"/>
    <n v="1.3793103448275863"/>
    <s v=""/>
    <n v="1"/>
    <n v="0.68965517241379315"/>
    <n v="0"/>
    <n v="0"/>
    <s v=""/>
    <n v="8"/>
    <n v="5.5172413793103452"/>
    <n v="4"/>
    <n v="2.7586206896551726"/>
    <n v="5"/>
    <n v="3.4482758620689653"/>
    <n v="1"/>
    <n v="0.68965517241379315"/>
    <s v=""/>
    <n v="20"/>
    <n v="0"/>
    <n v="0"/>
    <n v="40"/>
    <n v="0"/>
    <n v="0"/>
    <n v="1"/>
    <n v="0.68965517241379315"/>
    <n v="23"/>
    <n v="14"/>
    <n v="0"/>
    <n v="0"/>
    <s v=""/>
    <n v="0"/>
    <n v="0"/>
    <n v="0"/>
    <s v="assinatura"/>
    <n v="10475"/>
  </r>
  <r>
    <x v="49"/>
    <x v="8"/>
    <s v="6ab48a81b91ebe7368fcc2e5"/>
    <s v="23/09/2026 14:00:56"/>
    <s v="23/09/2026 23:27:13"/>
    <s v="Henrique"/>
    <s v="23/09/2026"/>
    <s v="Guapiaçu"/>
    <s v="2 ° Turno"/>
    <n v="79"/>
    <n v="2765"/>
    <s v="JOBILIANA APARECIDA MAXIMO BERGAMINI"/>
    <n v="18"/>
    <n v="18"/>
    <n v="6"/>
    <n v="6"/>
    <n v="0"/>
    <n v="0"/>
    <n v="1"/>
    <n v="1"/>
    <n v="0"/>
    <n v="0"/>
    <n v="0"/>
    <n v="0"/>
    <n v="5"/>
    <n v="3.1645569620253164"/>
    <n v="1"/>
    <n v="1.2658227848101267"/>
    <n v="0"/>
    <n v="0"/>
    <n v="2"/>
    <n v="2.5316455696202533"/>
    <n v="0"/>
    <n v="0"/>
    <s v=""/>
    <n v="3"/>
    <n v="3.79746835443038"/>
    <n v="0"/>
    <n v="0"/>
    <s v=""/>
    <n v="5"/>
    <n v="6.3291139240506329"/>
    <n v="1"/>
    <n v="1.2658227848101267"/>
    <n v="4"/>
    <n v="5.0632911392405067"/>
    <n v="0"/>
    <n v="0"/>
    <s v=""/>
    <n v="16"/>
    <n v="0"/>
    <n v="0"/>
    <n v="32"/>
    <n v="0"/>
    <n v="0"/>
    <n v="0"/>
    <n v="0"/>
    <n v="25"/>
    <n v="17"/>
    <n v="0"/>
    <n v="0"/>
    <s v=""/>
    <n v="0"/>
    <n v="0"/>
    <n v="0"/>
    <s v="assinatura"/>
    <n v="10966"/>
  </r>
  <r>
    <x v="51"/>
    <x v="8"/>
    <s v="6ab72b5c11cbfa0f2c786980"/>
    <s v="25/09/2026 21:55:26"/>
    <s v="25/09/2026 23:18:04"/>
    <s v="Henrique"/>
    <s v="25/09/2026"/>
    <s v="Guapiaçu"/>
    <s v="2 ° Turno"/>
    <n v="110"/>
    <n v="2926"/>
    <s v="JOBILIANA APARECIDA MAXIMO BERGAMINI"/>
    <n v="20"/>
    <n v="20"/>
    <n v="9"/>
    <n v="9"/>
    <n v="0"/>
    <n v="0"/>
    <n v="0"/>
    <n v="0"/>
    <n v="0"/>
    <n v="0"/>
    <n v="0"/>
    <n v="0"/>
    <n v="5"/>
    <n v="2.2727272727272729"/>
    <n v="5"/>
    <n v="4.5454545454545459"/>
    <n v="0"/>
    <n v="0"/>
    <n v="1"/>
    <n v="0.90909090909090906"/>
    <n v="2"/>
    <n v="1.8181818181818181"/>
    <s v=""/>
    <n v="0"/>
    <n v="0"/>
    <n v="0"/>
    <n v="0"/>
    <s v=""/>
    <n v="7"/>
    <n v="6.3636363636363633"/>
    <n v="5"/>
    <n v="4.5454545454545459"/>
    <n v="6"/>
    <n v="5.4545454545454541"/>
    <n v="0"/>
    <n v="0"/>
    <s v=""/>
    <n v="19"/>
    <n v="0"/>
    <n v="0"/>
    <n v="38"/>
    <n v="0"/>
    <n v="0"/>
    <n v="0"/>
    <n v="0"/>
    <n v="20"/>
    <n v="18"/>
    <n v="0"/>
    <n v="0"/>
    <s v=""/>
    <n v="2"/>
    <n v="0"/>
    <n v="0"/>
    <s v="assinatura"/>
    <n v="271"/>
  </r>
  <r>
    <x v="51"/>
    <x v="8"/>
    <s v="6ab72b5c11cbfa0f2c786974"/>
    <s v="25/09/2026 19:39:18"/>
    <s v="25/09/2026 23:18:04"/>
    <s v="Henrique"/>
    <s v="25/09/2026"/>
    <s v="Guapiaçu"/>
    <s v="2 ° Turno"/>
    <n v="79"/>
    <n v="2926"/>
    <s v="JOBILIANA APARECIDA MAXIMO BERGAMINI"/>
    <n v="25"/>
    <n v="25"/>
    <n v="8"/>
    <n v="8"/>
    <n v="0"/>
    <n v="0"/>
    <n v="1"/>
    <n v="1"/>
    <n v="0"/>
    <n v="0"/>
    <n v="0"/>
    <n v="0"/>
    <n v="4"/>
    <n v="2.5316455696202533"/>
    <n v="8"/>
    <n v="10.126582278481013"/>
    <n v="0"/>
    <n v="0"/>
    <n v="0"/>
    <n v="0"/>
    <n v="1"/>
    <n v="1.2658227848101267"/>
    <s v=""/>
    <n v="0"/>
    <n v="0"/>
    <n v="0"/>
    <n v="0"/>
    <s v=""/>
    <n v="9"/>
    <n v="11.39240506329114"/>
    <n v="3"/>
    <n v="3.79746835443038"/>
    <n v="7"/>
    <n v="8.8607594936708853"/>
    <n v="1"/>
    <n v="1.2658227848101267"/>
    <s v=""/>
    <n v="20"/>
    <n v="0"/>
    <n v="0"/>
    <n v="40"/>
    <n v="0"/>
    <n v="0"/>
    <n v="0"/>
    <n v="0"/>
    <n v="20"/>
    <n v="19"/>
    <n v="0"/>
    <n v="0"/>
    <s v=""/>
    <n v="8"/>
    <n v="0"/>
    <n v="0"/>
    <s v="assinatura"/>
    <n v="7647"/>
  </r>
  <r>
    <x v="51"/>
    <x v="8"/>
    <s v="6ab72b5c11cbfa0f2c78694a"/>
    <s v="25/09/2026 14:09:53"/>
    <s v="25/09/2026 23:18:04"/>
    <s v="Henrique"/>
    <s v="25/09/2026"/>
    <s v="Guapiaçu"/>
    <s v="2 ° Turno"/>
    <n v="130"/>
    <n v="2908"/>
    <s v="JOBILIANA APARECIDA MAXIMO BERGAMINI"/>
    <n v="22"/>
    <n v="22"/>
    <n v="10"/>
    <n v="10"/>
    <n v="1"/>
    <n v="10"/>
    <n v="1"/>
    <n v="1"/>
    <n v="0"/>
    <n v="0"/>
    <n v="0"/>
    <n v="0"/>
    <n v="4"/>
    <n v="1.5384615384615385"/>
    <n v="6"/>
    <n v="4.6153846153846159"/>
    <n v="1"/>
    <n v="0.76923076923076927"/>
    <n v="1"/>
    <n v="0.76923076923076927"/>
    <n v="2"/>
    <n v="1.5384615384615385"/>
    <s v=""/>
    <n v="1"/>
    <n v="0.76923076923076927"/>
    <n v="0"/>
    <n v="0"/>
    <s v=""/>
    <n v="8"/>
    <n v="6.1538461538461542"/>
    <s v=""/>
    <s v=""/>
    <n v="6"/>
    <n v="4.6153846153846159"/>
    <n v="0"/>
    <n v="0"/>
    <s v=""/>
    <n v="19"/>
    <n v="0"/>
    <n v="0"/>
    <n v="38"/>
    <n v="0"/>
    <n v="0"/>
    <n v="2"/>
    <n v="1.5384615384615385"/>
    <n v="26"/>
    <n v="24"/>
    <n v="0"/>
    <n v="0"/>
    <s v=""/>
    <n v="0"/>
    <n v="0"/>
    <n v="0"/>
    <s v="assinatura"/>
    <n v="14736"/>
  </r>
  <r>
    <x v="51"/>
    <x v="8"/>
    <s v="6ab69acafde5ec03d75893a4"/>
    <s v="25/09/2026 11:32:50"/>
    <s v="25/09/2026 13:01:14"/>
    <s v="Henrique"/>
    <s v="25/09/2026"/>
    <s v="Guapiaçu"/>
    <s v="1 ° Turno"/>
    <n v="100"/>
    <n v="3079"/>
    <s v="EDMAR FELIPE MARTINS"/>
    <n v="47"/>
    <n v="47"/>
    <n v="19"/>
    <n v="19"/>
    <n v="0"/>
    <n v="0"/>
    <n v="3"/>
    <n v="3"/>
    <n v="1"/>
    <n v="1"/>
    <n v="0"/>
    <n v="0"/>
    <n v="2"/>
    <n v="1"/>
    <n v="6"/>
    <n v="6"/>
    <n v="0"/>
    <n v="0"/>
    <n v="4"/>
    <n v="4"/>
    <n v="9"/>
    <n v="9"/>
    <s v=""/>
    <n v="6"/>
    <n v="6"/>
    <n v="2"/>
    <n v="2"/>
    <s v=""/>
    <n v="12"/>
    <n v="12"/>
    <n v="2"/>
    <n v="2"/>
    <n v="9"/>
    <n v="9"/>
    <n v="2"/>
    <n v="2"/>
    <s v=""/>
    <n v="20"/>
    <n v="0"/>
    <n v="0"/>
    <n v="40"/>
    <n v="0"/>
    <n v="0"/>
    <n v="0"/>
    <n v="0"/>
    <n v="25"/>
    <n v="23"/>
    <n v="1"/>
    <n v="10"/>
    <s v=""/>
    <s v=""/>
    <s v=""/>
    <s v=""/>
    <s v="assinatura"/>
    <n v="1861"/>
  </r>
  <r>
    <x v="51"/>
    <x v="8"/>
    <s v="6ab69acafde5ec03d7589392"/>
    <s v="25/09/2026 08:43:28"/>
    <s v="25/09/2026 13:01:14"/>
    <s v="Henrique"/>
    <s v="25/09/2026"/>
    <s v="Guapiaçu"/>
    <s v="1 ° Turno"/>
    <n v="155"/>
    <n v="3088"/>
    <s v="EDMAR FELIPE MARTINS"/>
    <n v="43"/>
    <n v="43"/>
    <n v="22"/>
    <n v="22"/>
    <n v="0"/>
    <n v="0"/>
    <n v="2"/>
    <n v="2"/>
    <n v="1"/>
    <n v="1"/>
    <n v="0"/>
    <n v="0"/>
    <n v="1"/>
    <n v="0.32258064516129031"/>
    <n v="9"/>
    <n v="5.806451612903226"/>
    <n v="0"/>
    <n v="0"/>
    <n v="5"/>
    <n v="3.225806451612903"/>
    <n v="10"/>
    <n v="6.4516129032258061"/>
    <s v=""/>
    <n v="8"/>
    <n v="5.161290322580645"/>
    <n v="3"/>
    <n v="1.935483870967742"/>
    <s v=""/>
    <n v="12"/>
    <n v="7.741935483870968"/>
    <n v="2"/>
    <n v="1.2903225806451613"/>
    <n v="11"/>
    <n v="7.096774193548387"/>
    <n v="4"/>
    <n v="2.5806451612903225"/>
    <s v=""/>
    <n v="20"/>
    <n v="0"/>
    <n v="0"/>
    <n v="40"/>
    <n v="0"/>
    <n v="0"/>
    <n v="0"/>
    <n v="0"/>
    <n v="25"/>
    <n v="19"/>
    <n v="0"/>
    <n v="0"/>
    <s v=""/>
    <n v="0"/>
    <n v="0"/>
    <n v="1"/>
    <s v="assinatura"/>
    <n v="2519"/>
  </r>
  <r>
    <x v="51"/>
    <x v="8"/>
    <s v="6ab699afacf1d04b2dd91f4b"/>
    <s v="25/09/2026 06:25:16"/>
    <s v="25/09/2026 12:56:31"/>
    <s v="Henrique"/>
    <s v="25/09/2026"/>
    <s v="Guapiaçu"/>
    <s v="1 ° Turno"/>
    <n v="125"/>
    <n v="3100"/>
    <s v="EDMAR FELIPE MARTINS"/>
    <n v="40"/>
    <n v="40"/>
    <n v="21"/>
    <n v="21"/>
    <n v="0"/>
    <n v="0"/>
    <n v="2"/>
    <n v="2"/>
    <n v="1"/>
    <n v="1"/>
    <n v="0"/>
    <n v="0"/>
    <n v="1"/>
    <n v="0.4"/>
    <n v="9"/>
    <n v="7.1999999999999993"/>
    <n v="0"/>
    <n v="0"/>
    <n v="4"/>
    <n v="3.2"/>
    <n v="8"/>
    <n v="6.4"/>
    <s v=""/>
    <n v="7"/>
    <n v="5.6000000000000005"/>
    <n v="2"/>
    <n v="1.6"/>
    <s v=""/>
    <n v="13"/>
    <n v="10.4"/>
    <n v="2"/>
    <n v="1.6"/>
    <n v="12"/>
    <n v="9.6"/>
    <n v="3"/>
    <n v="2.4"/>
    <s v=""/>
    <n v="19"/>
    <n v="1"/>
    <n v="1"/>
    <n v="38"/>
    <n v="2"/>
    <n v="2"/>
    <n v="0"/>
    <n v="0"/>
    <n v="22"/>
    <n v="17"/>
    <n v="1"/>
    <n v="10"/>
    <s v=""/>
    <n v="0"/>
    <n v="0"/>
    <n v="2"/>
    <s v=""/>
    <n v="5985"/>
  </r>
  <r>
    <x v="51"/>
    <x v="8"/>
    <s v="6ab699afacf1d04b2dd91f45"/>
    <s v="25/09/2026 04:27:10"/>
    <s v="25/09/2026 12:56:31"/>
    <s v="Henrique"/>
    <s v="25/09/2026"/>
    <s v="Guapiaçu"/>
    <s v="1 ° Turno"/>
    <n v="137"/>
    <n v="3120"/>
    <s v="EDMAR FELIPE MARTINS"/>
    <n v="25"/>
    <n v="25"/>
    <n v="6"/>
    <n v="6"/>
    <n v="0"/>
    <n v="0"/>
    <n v="3"/>
    <n v="3"/>
    <n v="1"/>
    <n v="1"/>
    <n v="0"/>
    <n v="0"/>
    <n v="1"/>
    <n v="0.36496350364963503"/>
    <n v="7"/>
    <n v="5.1094890510948909"/>
    <n v="0"/>
    <n v="0"/>
    <n v="2"/>
    <n v="1.4598540145985401"/>
    <n v="7"/>
    <n v="5.1094890510948909"/>
    <s v=""/>
    <n v="5"/>
    <n v="3.6496350364963499"/>
    <n v="2"/>
    <n v="1.4598540145985401"/>
    <s v=""/>
    <n v="7"/>
    <n v="5.1094890510948909"/>
    <n v="1"/>
    <n v="0.72992700729927007"/>
    <n v="6"/>
    <n v="4.3795620437956204"/>
    <n v="2"/>
    <n v="1.4598540145985401"/>
    <s v=""/>
    <n v="21"/>
    <n v="0"/>
    <n v="0"/>
    <n v="42"/>
    <n v="0"/>
    <n v="0"/>
    <n v="0"/>
    <n v="0"/>
    <n v="15"/>
    <n v="19"/>
    <n v="1"/>
    <n v="10"/>
    <s v=""/>
    <s v=""/>
    <s v=""/>
    <s v=""/>
    <s v="assinatura"/>
    <n v="1829"/>
  </r>
  <r>
    <x v="52"/>
    <x v="8"/>
    <s v="6ab5df3c99cfdd26d64307e6"/>
    <s v="24/09/2026 20:37:19"/>
    <s v="24/09/2026 23:41:00"/>
    <s v="Henrique"/>
    <s v="24/09/2026"/>
    <s v="Guapiaçu"/>
    <s v="2 ° Turno"/>
    <n v="156"/>
    <n v="3001"/>
    <s v="JOBILIANA APARECIDA MAXIMO BERGAMINI"/>
    <n v="20"/>
    <n v="20"/>
    <n v="5"/>
    <n v="5"/>
    <n v="0"/>
    <n v="0"/>
    <n v="0"/>
    <n v="0"/>
    <n v="0"/>
    <n v="0"/>
    <n v="0"/>
    <n v="0"/>
    <n v="7"/>
    <n v="2.2435897435897436"/>
    <n v="4"/>
    <n v="2.5641025641025639"/>
    <n v="0"/>
    <n v="0"/>
    <n v="2"/>
    <n v="1.2820512820512819"/>
    <n v="2"/>
    <n v="1.2820512820512819"/>
    <s v=""/>
    <n v="0"/>
    <n v="0"/>
    <n v="0"/>
    <n v="0"/>
    <s v=""/>
    <n v="5"/>
    <n v="3.2051282051282048"/>
    <n v="5"/>
    <n v="3.2051282051282048"/>
    <n v="6"/>
    <n v="3.8461538461538463"/>
    <n v="1"/>
    <n v="0.64102564102564097"/>
    <s v=""/>
    <n v="19"/>
    <n v="0"/>
    <n v="0"/>
    <n v="38"/>
    <n v="0"/>
    <n v="0"/>
    <n v="0"/>
    <n v="0"/>
    <n v="20"/>
    <n v="16"/>
    <n v="0"/>
    <n v="0"/>
    <s v=""/>
    <n v="0"/>
    <n v="0"/>
    <n v="0"/>
    <s v="assinatura"/>
    <n v="1177"/>
  </r>
  <r>
    <x v="52"/>
    <x v="8"/>
    <s v="6ab5df3c99cfdd26d64307d4"/>
    <s v="24/09/2026 18:45:10"/>
    <s v="24/09/2026 23:41:00"/>
    <s v="Henrique"/>
    <s v="24/09/2026"/>
    <s v="Guapiaçu"/>
    <s v="2 ° Turno"/>
    <n v="151"/>
    <n v="3038"/>
    <s v="JOBILIANA APARECIDA MAXIMO BERGAMINI"/>
    <n v="20"/>
    <n v="20"/>
    <n v="6"/>
    <n v="6"/>
    <n v="0"/>
    <n v="0"/>
    <n v="1"/>
    <n v="1"/>
    <n v="0"/>
    <n v="0"/>
    <n v="0"/>
    <n v="0"/>
    <n v="6"/>
    <n v="1.9867549668874174"/>
    <n v="11"/>
    <n v="7.2847682119205297"/>
    <n v="0"/>
    <n v="0"/>
    <n v="1"/>
    <n v="0.66225165562913912"/>
    <n v="2"/>
    <n v="1.3245033112582782"/>
    <s v=""/>
    <n v="0"/>
    <n v="0"/>
    <n v="0"/>
    <n v="0"/>
    <s v=""/>
    <n v="8"/>
    <n v="5.298013245033113"/>
    <n v="6"/>
    <n v="3.9735099337748347"/>
    <n v="6"/>
    <n v="3.9735099337748347"/>
    <n v="0"/>
    <n v="0"/>
    <s v=""/>
    <n v="19"/>
    <n v="0"/>
    <n v="0"/>
    <n v="38"/>
    <n v="0"/>
    <n v="0"/>
    <n v="0"/>
    <n v="0"/>
    <n v="16"/>
    <n v="15"/>
    <n v="0"/>
    <n v="0"/>
    <s v=""/>
    <n v="1"/>
    <n v="0"/>
    <n v="0"/>
    <s v="assinatura"/>
    <n v="6645"/>
  </r>
  <r>
    <x v="52"/>
    <x v="8"/>
    <s v="6ab5df3b99cfdd26d64307aa"/>
    <s v="24/09/2026 13:52:48"/>
    <s v="24/09/2026 23:40:59"/>
    <s v="Henrique"/>
    <s v="24/09/2026"/>
    <s v="Guapiaçu"/>
    <s v="2 ° Turno"/>
    <n v="130"/>
    <n v="2171"/>
    <s v="JOBILIANA APARECIDA MAXIMO BERGAMINI"/>
    <n v="21"/>
    <n v="21"/>
    <n v="10"/>
    <n v="10"/>
    <n v="0"/>
    <n v="0"/>
    <n v="1"/>
    <n v="1"/>
    <n v="0"/>
    <n v="0"/>
    <n v="1"/>
    <n v="5"/>
    <n v="5"/>
    <n v="1.9230769230769231"/>
    <n v="1"/>
    <n v="0.76923076923076927"/>
    <n v="0"/>
    <n v="0"/>
    <n v="0"/>
    <n v="0"/>
    <n v="2"/>
    <n v="1.5384615384615385"/>
    <s v=""/>
    <n v="1"/>
    <n v="0.76923076923076927"/>
    <n v="0"/>
    <n v="0"/>
    <s v=""/>
    <n v="8"/>
    <n v="6.1538461538461542"/>
    <n v="10"/>
    <n v="7.6923076923076925"/>
    <n v="5"/>
    <n v="3.8461538461538463"/>
    <n v="0"/>
    <n v="0"/>
    <s v=""/>
    <n v="20"/>
    <n v="0"/>
    <n v="0"/>
    <n v="40"/>
    <n v="0"/>
    <n v="0"/>
    <n v="1"/>
    <n v="0.76923076923076927"/>
    <n v="16"/>
    <n v="12"/>
    <n v="0"/>
    <n v="0"/>
    <s v=""/>
    <n v="3"/>
    <n v="0"/>
    <n v="0"/>
    <s v="assinatura"/>
    <n v="12039"/>
  </r>
  <r>
    <x v="52"/>
    <x v="8"/>
    <s v="6ab5490e591c2004f134c33d"/>
    <s v="24/09/2026 11:24:57"/>
    <s v="24/09/2026 13:00:14"/>
    <s v="Henrique"/>
    <s v="24/09/2026"/>
    <s v="Guapiaçu"/>
    <s v="1 ° Turno"/>
    <n v="160"/>
    <n v="3140"/>
    <s v="EDMAR FELIPE MARTINS"/>
    <n v="44"/>
    <n v="44"/>
    <n v="29"/>
    <n v="28.999999999999996"/>
    <n v="0"/>
    <n v="0"/>
    <n v="4"/>
    <n v="4"/>
    <n v="1"/>
    <n v="1"/>
    <n v="0"/>
    <n v="0"/>
    <n v="2"/>
    <n v="0.625"/>
    <n v="3"/>
    <n v="1.875"/>
    <n v="0"/>
    <n v="0"/>
    <n v="1"/>
    <n v="0.625"/>
    <n v="7"/>
    <n v="4.375"/>
    <s v=""/>
    <n v="6"/>
    <n v="3.75"/>
    <n v="2"/>
    <n v="1.25"/>
    <s v=""/>
    <n v="9"/>
    <n v="5.625"/>
    <n v="3"/>
    <n v="1.875"/>
    <n v="7"/>
    <n v="4.375"/>
    <n v="2"/>
    <n v="1.25"/>
    <s v=""/>
    <n v="19"/>
    <n v="0"/>
    <n v="0"/>
    <n v="38"/>
    <n v="0"/>
    <n v="0"/>
    <n v="0"/>
    <n v="0"/>
    <n v="22"/>
    <n v="21"/>
    <n v="1"/>
    <n v="10"/>
    <s v=""/>
    <s v=""/>
    <s v=""/>
    <s v=""/>
    <s v="assinatura"/>
    <n v="2863"/>
  </r>
  <r>
    <x v="52"/>
    <x v="8"/>
    <s v="6ab5490e591c2004f134c325"/>
    <s v="24/09/2026 08:14:23"/>
    <s v="24/09/2026 13:00:14"/>
    <s v="Henrique"/>
    <s v="24/09/2026"/>
    <s v="Guapiaçu"/>
    <s v="1 ° Turno"/>
    <n v="151"/>
    <n v="3140"/>
    <s v="EDMAR FELIPE MARTINS"/>
    <n v="37"/>
    <n v="37"/>
    <n v="20"/>
    <n v="20"/>
    <n v="0"/>
    <n v="0"/>
    <n v="4"/>
    <n v="4"/>
    <n v="1"/>
    <n v="1"/>
    <n v="0"/>
    <n v="0"/>
    <n v="1"/>
    <n v="0.33112582781456956"/>
    <n v="5"/>
    <n v="3.3112582781456954"/>
    <n v="0"/>
    <n v="0"/>
    <n v="2"/>
    <n v="1.3245033112582782"/>
    <n v="6"/>
    <n v="3.9735099337748347"/>
    <s v=""/>
    <n v="5"/>
    <n v="3.3112582781456954"/>
    <n v="2"/>
    <n v="1.3245033112582782"/>
    <s v=""/>
    <n v="13"/>
    <n v="8.6092715231788084"/>
    <n v="3"/>
    <n v="1.9867549668874174"/>
    <n v="7"/>
    <n v="4.6357615894039732"/>
    <n v="2"/>
    <n v="1.3245033112582782"/>
    <s v=""/>
    <n v="20"/>
    <n v="0"/>
    <n v="0"/>
    <n v="40"/>
    <n v="0"/>
    <n v="0"/>
    <n v="1"/>
    <n v="0.66225165562913912"/>
    <n v="20"/>
    <n v="18"/>
    <n v="1"/>
    <n v="10"/>
    <s v=""/>
    <n v="2"/>
    <n v="0"/>
    <n v="1"/>
    <s v="assinatura"/>
    <n v="2051"/>
  </r>
  <r>
    <x v="52"/>
    <x v="8"/>
    <s v="6ab5490e591c2004f134c313"/>
    <s v="24/09/2026 06:29:39"/>
    <s v="24/09/2026 13:00:14"/>
    <s v="Henrique"/>
    <s v="24/09/2026"/>
    <s v="Guapiaçu"/>
    <s v="1 ° Turno"/>
    <n v="151"/>
    <n v="2937"/>
    <s v="EDMAR FELIPE MARTINS"/>
    <n v="37"/>
    <n v="37"/>
    <n v="8"/>
    <n v="8"/>
    <n v="0"/>
    <n v="0"/>
    <n v="1"/>
    <n v="1"/>
    <n v="1"/>
    <n v="1"/>
    <n v="0"/>
    <n v="0"/>
    <n v="1"/>
    <n v="0.33112582781456956"/>
    <n v="4"/>
    <n v="2.6490066225165565"/>
    <n v="0"/>
    <n v="0"/>
    <n v="2"/>
    <n v="1.3245033112582782"/>
    <n v="6"/>
    <n v="3.9735099337748347"/>
    <s v=""/>
    <n v="7"/>
    <n v="4.6357615894039732"/>
    <n v="2"/>
    <n v="1.3245033112582782"/>
    <s v=""/>
    <n v="14"/>
    <n v="9.2715231788079464"/>
    <n v="3"/>
    <n v="1.9867549668874174"/>
    <n v="6"/>
    <n v="3.9735099337748347"/>
    <n v="1"/>
    <n v="0.66225165562913912"/>
    <s v=""/>
    <n v="19"/>
    <n v="0"/>
    <n v="0"/>
    <n v="38"/>
    <n v="0"/>
    <n v="0"/>
    <n v="0"/>
    <n v="0"/>
    <n v="22"/>
    <n v="17"/>
    <n v="0"/>
    <n v="0"/>
    <s v=""/>
    <s v=""/>
    <s v=""/>
    <s v=""/>
    <s v="assinatura"/>
    <n v="2396"/>
  </r>
  <r>
    <x v="52"/>
    <x v="8"/>
    <s v="6ab5490d591c2004f134c2fb"/>
    <s v="24/09/2026 04:27:44"/>
    <s v="24/09/2026 13:00:13"/>
    <s v="Henrique"/>
    <s v="24/09/2026"/>
    <s v="Guapiaçu"/>
    <s v="1 ° Turno"/>
    <n v="161"/>
    <n v="2937"/>
    <s v="EDMAR FELIPE MARTINS"/>
    <n v="41"/>
    <n v="41"/>
    <n v="22"/>
    <n v="22"/>
    <n v="0"/>
    <n v="0"/>
    <n v="2"/>
    <n v="2"/>
    <n v="1"/>
    <n v="1"/>
    <n v="0"/>
    <n v="0"/>
    <n v="1"/>
    <n v="0.3105590062111801"/>
    <n v="9"/>
    <n v="5.5900621118012426"/>
    <n v="0"/>
    <n v="0"/>
    <n v="2"/>
    <n v="1.2422360248447204"/>
    <n v="6"/>
    <n v="3.7267080745341614"/>
    <s v=""/>
    <n v="6"/>
    <n v="3.7267080745341614"/>
    <n v="2"/>
    <n v="1.2422360248447204"/>
    <s v=""/>
    <n v="14"/>
    <n v="8.695652173913043"/>
    <n v="3"/>
    <n v="1.8633540372670807"/>
    <n v="7"/>
    <n v="4.3478260869565215"/>
    <n v="2"/>
    <n v="1.2422360248447204"/>
    <s v=""/>
    <n v="20"/>
    <n v="0"/>
    <n v="0"/>
    <n v="40"/>
    <n v="0"/>
    <n v="0"/>
    <n v="0"/>
    <n v="0"/>
    <n v="14"/>
    <n v="9"/>
    <n v="0"/>
    <n v="0"/>
    <s v=""/>
    <s v=""/>
    <s v=""/>
    <s v=""/>
    <s v="assinatura"/>
    <n v="1403"/>
  </r>
  <r>
    <x v="53"/>
    <x v="8"/>
    <s v="6abb28971f4352de92673b0a"/>
    <s v="28/09/2026 21:13:10"/>
    <s v="28/09/2026 23:55:19"/>
    <s v="Henrique"/>
    <s v="28/09/2026"/>
    <s v="Guapiaçu"/>
    <s v="2 ° Turno"/>
    <n v="161"/>
    <n v="3225"/>
    <s v="JOBILIANA APARECIDA MAXIMO BERGAMINI"/>
    <n v="20"/>
    <n v="20"/>
    <n v="6"/>
    <n v="6"/>
    <n v="0"/>
    <n v="0"/>
    <n v="0"/>
    <n v="0"/>
    <n v="0"/>
    <n v="0"/>
    <n v="0"/>
    <n v="0"/>
    <n v="5"/>
    <n v="1.5527950310559007"/>
    <n v="4"/>
    <n v="2.4844720496894408"/>
    <n v="0"/>
    <n v="0"/>
    <n v="2"/>
    <n v="1.2422360248447204"/>
    <n v="3"/>
    <n v="1.8633540372670807"/>
    <s v=""/>
    <n v="0"/>
    <n v="0"/>
    <n v="0"/>
    <n v="0"/>
    <s v=""/>
    <n v="6"/>
    <n v="3.7267080745341614"/>
    <n v="4"/>
    <n v="2.4844720496894408"/>
    <n v="6"/>
    <n v="3.7267080745341614"/>
    <n v="0"/>
    <n v="0"/>
    <s v=""/>
    <n v="18"/>
    <n v="0"/>
    <n v="0"/>
    <n v="36"/>
    <n v="0"/>
    <n v="0"/>
    <n v="0"/>
    <n v="0"/>
    <n v="20"/>
    <n v="18"/>
    <n v="0"/>
    <n v="0"/>
    <s v=""/>
    <n v="0"/>
    <n v="0"/>
    <n v="0"/>
    <s v="assinatura"/>
    <n v="3787"/>
  </r>
  <r>
    <x v="53"/>
    <x v="8"/>
    <s v="6abb28971f4352de92673af2"/>
    <s v="28/09/2026 19:09:46"/>
    <s v="28/09/2026 23:55:19"/>
    <s v="Henrique"/>
    <s v="28/09/2026"/>
    <s v="Guapiaçu"/>
    <s v="2 ° Turno"/>
    <n v="79"/>
    <n v="3390"/>
    <s v="JOBILIANA APARECIDA MAXIMO BERGAMINI"/>
    <n v="17"/>
    <n v="17"/>
    <n v="16"/>
    <n v="16"/>
    <n v="0"/>
    <n v="0"/>
    <n v="1"/>
    <n v="1"/>
    <n v="0"/>
    <n v="0"/>
    <n v="1"/>
    <n v="5"/>
    <n v="5"/>
    <n v="3.1645569620253164"/>
    <n v="5"/>
    <n v="6.3291139240506329"/>
    <n v="0"/>
    <n v="0"/>
    <n v="3"/>
    <n v="3.79746835443038"/>
    <n v="2"/>
    <n v="2.5316455696202533"/>
    <s v=""/>
    <n v="1"/>
    <n v="1.2658227848101267"/>
    <n v="0"/>
    <n v="0"/>
    <s v=""/>
    <n v="11"/>
    <n v="13.924050632911392"/>
    <n v="5"/>
    <n v="6.3291139240506329"/>
    <n v="6"/>
    <n v="7.59493670886076"/>
    <n v="0"/>
    <n v="0"/>
    <s v=""/>
    <n v="19"/>
    <n v="0"/>
    <n v="0"/>
    <n v="38"/>
    <n v="0"/>
    <n v="0"/>
    <n v="0"/>
    <n v="0"/>
    <n v="19"/>
    <n v="17"/>
    <n v="0"/>
    <n v="0"/>
    <s v=""/>
    <n v="1"/>
    <n v="0"/>
    <n v="0"/>
    <s v="assinatura"/>
    <n v="10785"/>
  </r>
  <r>
    <x v="53"/>
    <x v="8"/>
    <s v="6abb28961f4352de92673ad4"/>
    <s v="28/09/2026 14:06:02"/>
    <s v="28/09/2026 23:55:18"/>
    <s v="Henrique"/>
    <s v="28/09/2026"/>
    <s v="Guapiaçu"/>
    <s v="2 ° Turno"/>
    <n v="130"/>
    <n v="3231"/>
    <s v="JOBILIANA APARECIDA MAXIMO BERGAMINI"/>
    <n v="16"/>
    <n v="16"/>
    <n v="6"/>
    <n v="6"/>
    <n v="0"/>
    <n v="0"/>
    <n v="3"/>
    <n v="3"/>
    <n v="2"/>
    <n v="2"/>
    <n v="1"/>
    <n v="5"/>
    <n v="4"/>
    <n v="1.5384615384615385"/>
    <n v="5"/>
    <n v="3.8461538461538463"/>
    <n v="0"/>
    <n v="0"/>
    <n v="1"/>
    <n v="0.76923076923076927"/>
    <n v="2"/>
    <n v="1.5384615384615385"/>
    <s v=""/>
    <n v="0"/>
    <n v="0"/>
    <n v="0"/>
    <n v="0"/>
    <s v=""/>
    <n v="8"/>
    <n v="6.1538461538461542"/>
    <n v="5"/>
    <n v="3.8461538461538463"/>
    <n v="6"/>
    <n v="4.6153846153846159"/>
    <n v="1"/>
    <n v="0.76923076923076927"/>
    <s v=""/>
    <n v="19"/>
    <n v="0"/>
    <n v="0"/>
    <n v="38"/>
    <n v="0"/>
    <n v="0"/>
    <n v="0"/>
    <n v="0"/>
    <n v="20"/>
    <n v="19"/>
    <n v="0"/>
    <n v="0"/>
    <s v=""/>
    <n v="2"/>
    <n v="0"/>
    <n v="0"/>
    <s v="assinatura"/>
    <n v="10054"/>
  </r>
  <r>
    <x v="53"/>
    <x v="8"/>
    <s v="6aba9094acf1d04b2ddb06b4"/>
    <s v="28/09/2026 11:35:46"/>
    <s v="28/09/2026 13:06:44"/>
    <s v="Henrique"/>
    <s v="28/09/2026"/>
    <s v="Guapiaçu"/>
    <s v="1 ° Turno"/>
    <n v="120"/>
    <n v="3298"/>
    <s v="EDMAR FELIPE MARTINS"/>
    <n v="39"/>
    <n v="39"/>
    <n v="18"/>
    <n v="18"/>
    <n v="0"/>
    <n v="0"/>
    <n v="3"/>
    <n v="3"/>
    <n v="1"/>
    <n v="1"/>
    <n v="0"/>
    <n v="0"/>
    <n v="4"/>
    <n v="1.6666666666666667"/>
    <n v="2"/>
    <n v="1.6666666666666667"/>
    <n v="0"/>
    <n v="0"/>
    <n v="1"/>
    <n v="0.83333333333333337"/>
    <n v="4"/>
    <n v="3.3333333333333335"/>
    <s v=""/>
    <n v="7"/>
    <n v="5.833333333333333"/>
    <n v="2"/>
    <n v="1.6666666666666667"/>
    <s v=""/>
    <n v="11"/>
    <n v="9.1666666666666661"/>
    <n v="2"/>
    <n v="1.6666666666666667"/>
    <n v="7"/>
    <n v="5.833333333333333"/>
    <n v="2"/>
    <n v="1.6666666666666667"/>
    <s v=""/>
    <n v="20"/>
    <n v="0"/>
    <n v="0"/>
    <n v="40"/>
    <n v="0"/>
    <n v="0"/>
    <n v="1"/>
    <n v="0.83333333333333337"/>
    <n v="19"/>
    <n v="21"/>
    <n v="1"/>
    <n v="10"/>
    <s v=""/>
    <s v=""/>
    <s v=""/>
    <s v=""/>
    <s v="assinatura"/>
    <n v="1697"/>
  </r>
  <r>
    <x v="53"/>
    <x v="8"/>
    <s v="6aba9093acf1d04b2ddb069c"/>
    <s v="28/09/2026 08:41:09"/>
    <s v="28/09/2026 13:06:43"/>
    <s v="Henrique"/>
    <s v="28/09/2026"/>
    <s v="Guapiaçu"/>
    <s v="1 ° Turno"/>
    <n v="161"/>
    <n v="2867"/>
    <s v="EDMAR FELIPE MARTINS"/>
    <n v="30"/>
    <n v="30"/>
    <n v="13"/>
    <n v="13"/>
    <n v="0"/>
    <n v="0"/>
    <n v="1"/>
    <n v="1"/>
    <n v="1"/>
    <n v="1"/>
    <n v="0"/>
    <n v="0"/>
    <n v="2"/>
    <n v="0.6211180124223602"/>
    <n v="3"/>
    <n v="1.8633540372670807"/>
    <n v="0"/>
    <n v="0"/>
    <n v="1"/>
    <n v="0.6211180124223602"/>
    <n v="5"/>
    <n v="3.1055900621118013"/>
    <s v=""/>
    <n v="7"/>
    <n v="4.3478260869565215"/>
    <n v="3"/>
    <n v="1.8633540372670807"/>
    <s v=""/>
    <n v="10"/>
    <n v="6.2111801242236027"/>
    <n v="1"/>
    <n v="0.6211180124223602"/>
    <n v="7"/>
    <n v="4.3478260869565215"/>
    <n v="1"/>
    <n v="0.6211180124223602"/>
    <s v=""/>
    <n v="17"/>
    <n v="0"/>
    <n v="0"/>
    <n v="34"/>
    <n v="0"/>
    <n v="0"/>
    <n v="0"/>
    <n v="0"/>
    <n v="19"/>
    <n v="25"/>
    <n v="1"/>
    <n v="10"/>
    <s v=""/>
    <n v="1"/>
    <n v="0"/>
    <n v="0"/>
    <s v="assinatura"/>
    <n v="2376"/>
  </r>
  <r>
    <x v="53"/>
    <x v="8"/>
    <s v="6aba9093acf1d04b2ddb0684"/>
    <s v="28/09/2026 06:28:40"/>
    <s v="28/09/2026 13:06:43"/>
    <s v="Henrique"/>
    <s v="28/09/2026"/>
    <s v="Guapiaçu"/>
    <s v="1 ° Turno"/>
    <n v="151"/>
    <n v="2953"/>
    <s v="EDMAR FELIPE MARTINS"/>
    <n v="28"/>
    <n v="28.000000000000004"/>
    <n v="12"/>
    <n v="12"/>
    <n v="0"/>
    <n v="0"/>
    <n v="2"/>
    <n v="2"/>
    <n v="1"/>
    <n v="1"/>
    <n v="0"/>
    <n v="0"/>
    <n v="1"/>
    <n v="0.33112582781456956"/>
    <n v="3"/>
    <n v="1.9867549668874174"/>
    <n v="0"/>
    <n v="0"/>
    <n v="2"/>
    <n v="1.3245033112582782"/>
    <n v="6"/>
    <n v="3.9735099337748347"/>
    <s v=""/>
    <n v="9"/>
    <n v="5.9602649006622519"/>
    <n v="2"/>
    <n v="1.3245033112582782"/>
    <s v=""/>
    <n v="14"/>
    <n v="9.2715231788079464"/>
    <n v="2"/>
    <n v="1.3245033112582782"/>
    <n v="7"/>
    <n v="4.6357615894039732"/>
    <n v="1"/>
    <n v="0.66225165562913912"/>
    <s v=""/>
    <n v="19"/>
    <n v="0"/>
    <n v="0"/>
    <n v="38"/>
    <n v="0"/>
    <n v="0"/>
    <n v="0"/>
    <n v="0"/>
    <n v="17"/>
    <n v="22"/>
    <n v="1"/>
    <n v="10"/>
    <s v=""/>
    <n v="1"/>
    <n v="0"/>
    <n v="1"/>
    <s v="assinatura"/>
    <n v="2966"/>
  </r>
  <r>
    <x v="53"/>
    <x v="8"/>
    <s v="6aba9093acf1d04b2ddb0672"/>
    <s v="28/09/2026 04:25:11"/>
    <s v="28/09/2026 13:06:43"/>
    <s v="Henrique"/>
    <s v="28/09/2026"/>
    <s v="Guapiaçu"/>
    <s v="1 ° Turno"/>
    <n v="160"/>
    <n v="3244"/>
    <s v="EDMAR FELIPE MARTINS"/>
    <n v="31"/>
    <n v="31"/>
    <n v="9"/>
    <n v="9"/>
    <n v="0"/>
    <n v="0"/>
    <n v="2"/>
    <n v="2"/>
    <n v="1"/>
    <n v="1"/>
    <n v="0"/>
    <n v="0"/>
    <n v="2"/>
    <n v="0.625"/>
    <n v="2"/>
    <n v="1.25"/>
    <n v="0"/>
    <n v="0"/>
    <n v="1"/>
    <n v="0.625"/>
    <n v="5"/>
    <n v="3.125"/>
    <s v=""/>
    <n v="2"/>
    <n v="1.25"/>
    <n v="1"/>
    <n v="0.625"/>
    <s v=""/>
    <n v="8"/>
    <n v="5"/>
    <n v="1"/>
    <n v="0.625"/>
    <n v="7"/>
    <n v="4.375"/>
    <n v="1"/>
    <n v="0.625"/>
    <s v=""/>
    <n v="19"/>
    <n v="0"/>
    <n v="0"/>
    <n v="38"/>
    <n v="0"/>
    <n v="0"/>
    <n v="0"/>
    <n v="0"/>
    <n v="16"/>
    <n v="13"/>
    <n v="0"/>
    <n v="0"/>
    <s v=""/>
    <s v=""/>
    <s v=""/>
    <s v=""/>
    <s v="assinatura"/>
    <n v="2291"/>
  </r>
  <r>
    <x v="54"/>
    <x v="8"/>
    <s v="6abc70e143ce2b65efeb7a4d"/>
    <s v="29/09/2026 21:34:37"/>
    <s v="29/09/2026 23:16:01"/>
    <s v="Henrique"/>
    <s v="29/09/2026"/>
    <s v="Guapiaçu"/>
    <s v="2 ° Turno"/>
    <n v="157"/>
    <n v="2965"/>
    <s v="JOBILIANA APARECIDA MAXIMO BERGAMINI"/>
    <n v="20"/>
    <n v="20"/>
    <n v="5"/>
    <n v="5"/>
    <n v="8"/>
    <n v="80"/>
    <n v="0"/>
    <n v="0"/>
    <n v="0"/>
    <n v="0"/>
    <n v="0"/>
    <n v="0"/>
    <n v="4"/>
    <n v="1.2738853503184715"/>
    <n v="4"/>
    <n v="2.547770700636943"/>
    <n v="0"/>
    <n v="0"/>
    <n v="1"/>
    <n v="0.63694267515923575"/>
    <n v="2"/>
    <n v="1.2738853503184715"/>
    <s v=""/>
    <n v="0"/>
    <n v="0"/>
    <n v="0"/>
    <n v="0"/>
    <s v=""/>
    <n v="5"/>
    <n v="3.1847133757961785"/>
    <n v="5"/>
    <n v="3.1847133757961785"/>
    <n v="6"/>
    <n v="3.8216560509554141"/>
    <n v="1"/>
    <n v="0.63694267515923575"/>
    <s v=""/>
    <n v="19"/>
    <n v="0"/>
    <n v="0"/>
    <n v="38"/>
    <n v="0"/>
    <n v="0"/>
    <n v="0"/>
    <n v="0"/>
    <n v="20"/>
    <n v="17"/>
    <n v="0"/>
    <n v="0"/>
    <s v=""/>
    <n v="2"/>
    <n v="0"/>
    <n v="0"/>
    <s v="assinatura"/>
    <n v="214"/>
  </r>
  <r>
    <x v="54"/>
    <x v="8"/>
    <s v="6abc70e143ce2b65efeb7a3b"/>
    <s v="29/09/2026 18:27:34"/>
    <s v="29/09/2026 23:16:01"/>
    <s v="Henrique"/>
    <s v="29/09/2026"/>
    <s v="Guapiaçu"/>
    <s v="2 ° Turno"/>
    <n v="79"/>
    <n v="2821"/>
    <s v="JOBILIANA APARECIDA MAXIMO BERGAMINI"/>
    <n v="20"/>
    <n v="20"/>
    <n v="5"/>
    <n v="5"/>
    <n v="0"/>
    <n v="0"/>
    <n v="1"/>
    <n v="1"/>
    <n v="0"/>
    <n v="0"/>
    <n v="0"/>
    <n v="0"/>
    <n v="6"/>
    <n v="3.79746835443038"/>
    <n v="5"/>
    <n v="6.3291139240506329"/>
    <n v="0"/>
    <n v="0"/>
    <n v="1"/>
    <n v="1.2658227848101267"/>
    <n v="2"/>
    <n v="2.5316455696202533"/>
    <s v=""/>
    <n v="0"/>
    <n v="0"/>
    <n v="0"/>
    <n v="0"/>
    <s v=""/>
    <n v="3"/>
    <n v="3.79746835443038"/>
    <n v="6"/>
    <n v="7.59493670886076"/>
    <n v="5"/>
    <n v="6.3291139240506329"/>
    <n v="0"/>
    <n v="0"/>
    <s v=""/>
    <n v="18"/>
    <n v="0"/>
    <n v="0"/>
    <n v="36"/>
    <n v="0"/>
    <n v="0"/>
    <n v="0"/>
    <n v="0"/>
    <n v="20"/>
    <n v="17"/>
    <n v="0"/>
    <n v="0"/>
    <s v=""/>
    <n v="4"/>
    <n v="0"/>
    <n v="0"/>
    <s v="assinatura"/>
    <n v="10836"/>
  </r>
  <r>
    <x v="54"/>
    <x v="8"/>
    <s v="6abc70e043ce2b65efeb7a17"/>
    <s v="29/09/2026 14:05:27"/>
    <s v="29/09/2026 23:16:00"/>
    <s v="Henrique"/>
    <s v="29/09/2026"/>
    <s v="Guapiaçu"/>
    <s v="2 ° Turno"/>
    <n v="161"/>
    <n v="3025"/>
    <s v="JOBILIANA APARECIDA MAXIMO BERGAMINI"/>
    <n v="22"/>
    <n v="22"/>
    <n v="6"/>
    <n v="6"/>
    <n v="0"/>
    <n v="0"/>
    <n v="1"/>
    <n v="1"/>
    <n v="0"/>
    <n v="0"/>
    <n v="0"/>
    <n v="0"/>
    <s v=""/>
    <s v=""/>
    <n v="5"/>
    <n v="3.1055900621118013"/>
    <n v="0"/>
    <n v="0"/>
    <n v="3"/>
    <n v="1.8633540372670807"/>
    <n v="2"/>
    <n v="1.2422360248447204"/>
    <s v=""/>
    <n v="0"/>
    <n v="0"/>
    <n v="0"/>
    <n v="0"/>
    <s v=""/>
    <n v="7"/>
    <n v="4.3478260869565215"/>
    <n v="5"/>
    <n v="3.1055900621118013"/>
    <n v="5"/>
    <n v="3.1055900621118013"/>
    <n v="0"/>
    <n v="0"/>
    <s v=""/>
    <n v="19"/>
    <n v="0"/>
    <n v="0"/>
    <n v="38"/>
    <n v="0"/>
    <n v="0"/>
    <n v="1"/>
    <n v="0.6211180124223602"/>
    <n v="19"/>
    <n v="16"/>
    <n v="0"/>
    <n v="0"/>
    <s v=""/>
    <n v="1"/>
    <n v="0"/>
    <n v="0"/>
    <s v="assinatura"/>
    <n v="20734"/>
  </r>
  <r>
    <x v="54"/>
    <x v="8"/>
    <s v="6abbe112d12b6fdcdf5519ef"/>
    <s v="29/09/2026 11:07:05"/>
    <s v="29/09/2026 13:02:26"/>
    <s v="Henrique"/>
    <s v="29/09/2026"/>
    <s v="Guapiaçu"/>
    <s v="1 ° Turno"/>
    <n v="150"/>
    <n v="3094"/>
    <s v="EDMAR FELIPE MARTINS"/>
    <n v="41"/>
    <n v="41"/>
    <n v="23"/>
    <n v="23"/>
    <n v="0"/>
    <n v="0"/>
    <n v="1"/>
    <n v="1"/>
    <n v="1"/>
    <n v="1"/>
    <n v="0"/>
    <n v="0"/>
    <n v="2"/>
    <n v="0.66666666666666674"/>
    <n v="2"/>
    <n v="1.3333333333333335"/>
    <n v="0"/>
    <n v="0"/>
    <n v="1"/>
    <n v="0.66666666666666674"/>
    <n v="5"/>
    <n v="3.3333333333333335"/>
    <s v=""/>
    <n v="5"/>
    <n v="3.3333333333333335"/>
    <n v="2"/>
    <n v="1.3333333333333335"/>
    <s v=""/>
    <n v="9"/>
    <n v="6"/>
    <n v="1"/>
    <n v="0.66666666666666674"/>
    <n v="7"/>
    <n v="4.666666666666667"/>
    <n v="1"/>
    <n v="0.66666666666666674"/>
    <s v=""/>
    <n v="19"/>
    <n v="0"/>
    <n v="0"/>
    <n v="38"/>
    <n v="0"/>
    <n v="0"/>
    <n v="2"/>
    <n v="1.3333333333333335"/>
    <n v="25"/>
    <n v="20"/>
    <n v="1"/>
    <n v="10"/>
    <s v=""/>
    <s v=""/>
    <s v=""/>
    <s v=""/>
    <s v="assinatura"/>
    <n v="1475"/>
  </r>
  <r>
    <x v="54"/>
    <x v="8"/>
    <s v="6abbe112d12b6fdcdf5519dd"/>
    <s v="29/09/2026 08:38:00"/>
    <s v="29/09/2026 13:02:26"/>
    <s v="Henrique"/>
    <s v="29/09/2026"/>
    <s v="Guapiaçu"/>
    <s v="1 ° Turno"/>
    <n v="160"/>
    <n v="3321"/>
    <s v="EDMAR FELIPE MARTINS"/>
    <n v="35"/>
    <n v="35"/>
    <n v="23"/>
    <n v="23"/>
    <n v="0"/>
    <n v="0"/>
    <n v="3"/>
    <n v="3"/>
    <n v="1"/>
    <n v="1"/>
    <n v="2"/>
    <n v="10"/>
    <n v="2"/>
    <n v="0.625"/>
    <n v="2"/>
    <n v="1.25"/>
    <n v="0"/>
    <n v="0"/>
    <n v="2"/>
    <n v="1.25"/>
    <n v="6"/>
    <n v="3.75"/>
    <s v=""/>
    <n v="7"/>
    <n v="4.375"/>
    <n v="3"/>
    <n v="1.875"/>
    <s v=""/>
    <n v="11"/>
    <n v="6.8750000000000009"/>
    <n v="1"/>
    <n v="0.625"/>
    <n v="6"/>
    <n v="3.75"/>
    <n v="1"/>
    <n v="0.625"/>
    <s v=""/>
    <n v="17"/>
    <n v="0"/>
    <n v="0"/>
    <n v="34"/>
    <n v="0"/>
    <n v="0"/>
    <n v="0"/>
    <n v="0"/>
    <n v="22"/>
    <n v="19"/>
    <n v="0"/>
    <n v="0"/>
    <s v=""/>
    <n v="0"/>
    <n v="0"/>
    <n v="1"/>
    <s v=""/>
    <n v="1851"/>
  </r>
  <r>
    <x v="54"/>
    <x v="8"/>
    <s v="6abbe112d12b6fdcdf5519cb"/>
    <s v="29/09/2026 06:54:58"/>
    <s v="29/09/2026 13:02:26"/>
    <s v="Henrique"/>
    <s v="29/09/2026"/>
    <s v="Guapiaçu"/>
    <s v="1 ° Turno"/>
    <n v="80"/>
    <n v="3018"/>
    <s v="EDMAR FELIPE MARTINS"/>
    <n v="33"/>
    <n v="33"/>
    <n v="20"/>
    <n v="20"/>
    <n v="0"/>
    <n v="0"/>
    <n v="1"/>
    <n v="1"/>
    <n v="1"/>
    <n v="1"/>
    <n v="3"/>
    <n v="15"/>
    <n v="2"/>
    <n v="1.25"/>
    <n v="2"/>
    <n v="2.5"/>
    <n v="0"/>
    <n v="0"/>
    <n v="2"/>
    <n v="2.5"/>
    <n v="4"/>
    <n v="5"/>
    <s v=""/>
    <n v="5"/>
    <n v="6.25"/>
    <n v="2"/>
    <n v="2.5"/>
    <s v=""/>
    <n v="10"/>
    <n v="12.5"/>
    <n v="2"/>
    <n v="2.5"/>
    <n v="6"/>
    <n v="7.5"/>
    <n v="2"/>
    <n v="2.5"/>
    <s v=""/>
    <n v="14"/>
    <n v="0"/>
    <n v="0"/>
    <n v="28"/>
    <n v="0"/>
    <n v="0"/>
    <n v="0"/>
    <n v="0"/>
    <n v="25"/>
    <n v="18"/>
    <n v="1"/>
    <n v="10"/>
    <s v=""/>
    <n v="0"/>
    <n v="0"/>
    <n v="1"/>
    <s v="assinatura"/>
    <n v="1968"/>
  </r>
  <r>
    <x v="54"/>
    <x v="8"/>
    <s v="6abbe112d12b6fdcdf5519b3"/>
    <s v="29/09/2026 04:28:40"/>
    <s v="29/09/2026 13:02:26"/>
    <s v="Henrique"/>
    <s v="29/09/2026"/>
    <s v="Guapiaçu"/>
    <s v="1 ° Turno"/>
    <n v="146"/>
    <n v="3019"/>
    <s v="EDMAR FELIPE MARTINS"/>
    <n v="30"/>
    <n v="30"/>
    <n v="11"/>
    <n v="11"/>
    <n v="0"/>
    <n v="0"/>
    <n v="4"/>
    <n v="4"/>
    <n v="1"/>
    <n v="1"/>
    <n v="0"/>
    <n v="0"/>
    <n v="2"/>
    <n v="0.68493150684931503"/>
    <n v="4"/>
    <n v="2.7397260273972601"/>
    <n v="0"/>
    <n v="0"/>
    <n v="3"/>
    <n v="2.054794520547945"/>
    <n v="6"/>
    <n v="4.10958904109589"/>
    <s v=""/>
    <n v="8"/>
    <n v="5.4794520547945202"/>
    <n v="2"/>
    <n v="1.3698630136986301"/>
    <s v=""/>
    <n v="11"/>
    <n v="7.5342465753424657"/>
    <n v="1"/>
    <n v="0.68493150684931503"/>
    <n v="6"/>
    <n v="4.10958904109589"/>
    <n v="2"/>
    <n v="1.3698630136986301"/>
    <s v=""/>
    <n v="19"/>
    <n v="0"/>
    <n v="0"/>
    <n v="38"/>
    <n v="0"/>
    <n v="0"/>
    <n v="0"/>
    <n v="0"/>
    <n v="20"/>
    <n v="18"/>
    <n v="1"/>
    <n v="10"/>
    <s v=""/>
    <s v=""/>
    <s v=""/>
    <s v=""/>
    <s v="assinatura"/>
    <n v="3447"/>
  </r>
  <r>
    <x v="55"/>
    <x v="8"/>
    <s v="6abdc6d0a48ad3e47d9c4cd9"/>
    <s v="30/09/2026 21:26:04"/>
    <s v="30/09/2026 23:34:56"/>
    <s v="Henrique"/>
    <s v="30/09/2026"/>
    <s v="Guapiaçu"/>
    <s v="2 ° Turno"/>
    <n v="151"/>
    <n v="3089"/>
    <s v="JOBILIANA APARECIDA MAXIMO BERGAMINI"/>
    <n v="20"/>
    <n v="20"/>
    <n v="6"/>
    <n v="6"/>
    <n v="0"/>
    <n v="0"/>
    <n v="1"/>
    <n v="1"/>
    <n v="0"/>
    <n v="0"/>
    <n v="0"/>
    <n v="0"/>
    <n v="3"/>
    <n v="0.99337748344370869"/>
    <n v="3"/>
    <n v="1.9867549668874174"/>
    <n v="0"/>
    <n v="0"/>
    <n v="2"/>
    <n v="1.3245033112582782"/>
    <n v="3"/>
    <n v="1.9867549668874174"/>
    <s v=""/>
    <n v="0"/>
    <n v="0"/>
    <n v="0"/>
    <n v="0"/>
    <s v=""/>
    <n v="4"/>
    <n v="2.6490066225165565"/>
    <n v="4"/>
    <n v="2.6490066225165565"/>
    <n v="5"/>
    <n v="3.3112582781456954"/>
    <n v="0"/>
    <n v="0"/>
    <s v=""/>
    <n v="16"/>
    <n v="0"/>
    <n v="0"/>
    <n v="32"/>
    <n v="0"/>
    <n v="0"/>
    <n v="0"/>
    <n v="0"/>
    <n v="20"/>
    <n v="17"/>
    <n v="0"/>
    <n v="0"/>
    <s v=""/>
    <n v="0"/>
    <n v="0"/>
    <n v="0"/>
    <s v="assinatura"/>
    <n v="1071"/>
  </r>
  <r>
    <x v="55"/>
    <x v="8"/>
    <s v="6abdc6d0a48ad3e47d9c4cc7"/>
    <s v="30/09/2026 19:03:03"/>
    <s v="30/09/2026 23:34:56"/>
    <s v="Henrique"/>
    <s v="30/09/2026"/>
    <s v="Guapiaçu"/>
    <s v="2 ° Turno"/>
    <n v="127"/>
    <n v="3146"/>
    <s v="JOBILIANA APARECIDA MAXIMO BERGAMINI"/>
    <n v="15"/>
    <n v="15"/>
    <n v="5"/>
    <n v="5"/>
    <n v="0"/>
    <n v="0"/>
    <n v="3"/>
    <n v="3"/>
    <n v="2"/>
    <n v="2"/>
    <n v="0"/>
    <n v="0"/>
    <n v="4"/>
    <n v="1.5748031496062991"/>
    <n v="15"/>
    <n v="11.811023622047244"/>
    <n v="0"/>
    <n v="0"/>
    <n v="3"/>
    <n v="2.3622047244094486"/>
    <n v="4"/>
    <n v="3.1496062992125982"/>
    <s v=""/>
    <n v="1"/>
    <n v="0.78740157480314954"/>
    <n v="0"/>
    <n v="0"/>
    <s v=""/>
    <n v="3"/>
    <n v="2.3622047244094486"/>
    <n v="2"/>
    <n v="1.5748031496062991"/>
    <n v="4"/>
    <n v="3.1496062992125982"/>
    <n v="0"/>
    <n v="0"/>
    <s v=""/>
    <n v="19"/>
    <n v="0"/>
    <n v="0"/>
    <n v="38"/>
    <n v="0"/>
    <n v="0"/>
    <n v="0"/>
    <n v="0"/>
    <n v="27"/>
    <n v="14"/>
    <n v="0"/>
    <n v="0"/>
    <s v=""/>
    <n v="0"/>
    <n v="0"/>
    <n v="0"/>
    <s v="assinatura"/>
    <n v="8188"/>
  </r>
  <r>
    <x v="55"/>
    <x v="8"/>
    <s v="6abd806f8c70c570f30dc379"/>
    <s v="30/09/2026 14:09:30"/>
    <s v="30/09/2026 18:34:39"/>
    <s v="Henrique"/>
    <s v="30/09/2026"/>
    <s v="Guapiaçu"/>
    <s v="2 ° Turno"/>
    <n v="133"/>
    <n v="2751"/>
    <s v="JOBILIANA APARECIDA MAXIMO BERGAMINI"/>
    <n v="20"/>
    <n v="20"/>
    <n v="8"/>
    <n v="8"/>
    <n v="0"/>
    <n v="0"/>
    <n v="1"/>
    <n v="1"/>
    <n v="0"/>
    <n v="0"/>
    <n v="0"/>
    <n v="0"/>
    <n v="4"/>
    <n v="1.5037593984962405"/>
    <n v="4"/>
    <n v="3.007518796992481"/>
    <n v="0"/>
    <n v="0"/>
    <n v="1"/>
    <n v="0.75187969924812026"/>
    <n v="1"/>
    <n v="0.75187969924812026"/>
    <s v=""/>
    <n v="0"/>
    <n v="0"/>
    <n v="0"/>
    <n v="0"/>
    <s v=""/>
    <n v="7"/>
    <n v="5.2631578947368416"/>
    <n v="6"/>
    <n v="4.5112781954887211"/>
    <n v="4"/>
    <n v="3.007518796992481"/>
    <n v="0"/>
    <n v="0"/>
    <s v=""/>
    <n v="16"/>
    <n v="0"/>
    <n v="0"/>
    <n v="32"/>
    <n v="0"/>
    <n v="0"/>
    <n v="4"/>
    <n v="3.007518796992481"/>
    <n v="20"/>
    <n v="17"/>
    <n v="0"/>
    <n v="0"/>
    <s v=""/>
    <n v="1"/>
    <n v="0"/>
    <n v="0"/>
    <s v="assinatura"/>
    <n v="11301"/>
  </r>
  <r>
    <x v="55"/>
    <x v="8"/>
    <s v="6abd346f7f3e0285f25b9395"/>
    <s v="30/09/2026 11:24:22"/>
    <s v="30/09/2026 13:10:23"/>
    <s v="Henrique"/>
    <s v="30/09/2026"/>
    <s v="Guapiaçu"/>
    <s v="1 ° Turno"/>
    <n v="161"/>
    <n v="2943"/>
    <s v="EDMAR FELIPE MARTINS"/>
    <n v="35"/>
    <n v="35"/>
    <n v="20"/>
    <n v="20"/>
    <n v="0"/>
    <n v="0"/>
    <n v="3"/>
    <n v="3"/>
    <n v="1"/>
    <n v="1"/>
    <n v="0"/>
    <n v="0"/>
    <n v="2"/>
    <n v="0.6211180124223602"/>
    <n v="3"/>
    <n v="1.8633540372670807"/>
    <n v="0"/>
    <n v="0"/>
    <n v="1"/>
    <n v="0.6211180124223602"/>
    <n v="5"/>
    <n v="3.1055900621118013"/>
    <s v=""/>
    <n v="3"/>
    <n v="1.8633540372670807"/>
    <n v="2"/>
    <n v="1.2422360248447204"/>
    <s v=""/>
    <n v="6"/>
    <n v="3.7267080745341614"/>
    <n v="1"/>
    <n v="0.6211180124223602"/>
    <n v="7"/>
    <n v="4.3478260869565215"/>
    <n v="1"/>
    <n v="0.6211180124223602"/>
    <s v=""/>
    <n v="19"/>
    <n v="0"/>
    <n v="0"/>
    <n v="38"/>
    <n v="0"/>
    <n v="0"/>
    <n v="0"/>
    <n v="0"/>
    <n v="21"/>
    <n v="16"/>
    <n v="1"/>
    <n v="10"/>
    <s v=""/>
    <s v=""/>
    <s v=""/>
    <s v=""/>
    <s v="assinatura"/>
    <n v="1416"/>
  </r>
  <r>
    <x v="55"/>
    <x v="8"/>
    <s v="6abd346f7f3e0285f25b9383"/>
    <s v="30/09/2026 08:48:56"/>
    <s v="30/09/2026 13:10:23"/>
    <s v="Henrique"/>
    <s v="30/09/2026"/>
    <s v="Guapiaçu"/>
    <s v="1 ° Turno"/>
    <n v="160"/>
    <n v="2775"/>
    <s v="EDMAR FELIPE MARTINS"/>
    <n v="49"/>
    <n v="49"/>
    <n v="31"/>
    <n v="31"/>
    <n v="0"/>
    <n v="0"/>
    <n v="2"/>
    <n v="2"/>
    <n v="1"/>
    <n v="1"/>
    <n v="0"/>
    <n v="0"/>
    <n v="5"/>
    <n v="1.5625"/>
    <n v="2"/>
    <n v="1.25"/>
    <n v="0"/>
    <n v="0"/>
    <n v="3"/>
    <n v="1.875"/>
    <n v="5"/>
    <n v="3.125"/>
    <s v=""/>
    <n v="3"/>
    <n v="1.875"/>
    <n v="3"/>
    <n v="1.875"/>
    <s v=""/>
    <n v="7"/>
    <n v="4.375"/>
    <n v="2"/>
    <n v="1.25"/>
    <n v="8"/>
    <n v="5"/>
    <n v="1"/>
    <n v="0.625"/>
    <s v=""/>
    <n v="20"/>
    <n v="0"/>
    <n v="0"/>
    <n v="40"/>
    <n v="0"/>
    <n v="0"/>
    <n v="0"/>
    <n v="0"/>
    <n v="19"/>
    <n v="17"/>
    <n v="1"/>
    <n v="10"/>
    <s v=""/>
    <n v="0"/>
    <n v="0"/>
    <n v="2"/>
    <s v="assinatura"/>
    <n v="1721"/>
  </r>
  <r>
    <x v="55"/>
    <x v="8"/>
    <s v="6abd346f7f3e0285f25b9371"/>
    <s v="30/09/2026 06:35:19"/>
    <s v="30/09/2026 13:10:23"/>
    <s v="Henrique"/>
    <s v="30/09/2026"/>
    <s v="Guapiaçu"/>
    <s v="1 ° Turno"/>
    <n v="135"/>
    <n v="2861"/>
    <s v="EDMAR FELIPE MARTINS"/>
    <n v="31"/>
    <n v="31"/>
    <n v="14"/>
    <n v="14.000000000000002"/>
    <n v="0"/>
    <n v="0"/>
    <n v="1"/>
    <n v="1"/>
    <n v="0"/>
    <n v="0"/>
    <n v="0"/>
    <n v="0"/>
    <n v="1"/>
    <n v="0.37037037037037041"/>
    <n v="3"/>
    <n v="2.2222222222222223"/>
    <n v="1"/>
    <n v="0.74074074074074081"/>
    <n v="1"/>
    <n v="0.74074074074074081"/>
    <n v="5"/>
    <n v="3.7037037037037033"/>
    <s v=""/>
    <n v="3"/>
    <n v="2.2222222222222223"/>
    <n v="1"/>
    <n v="0.74074074074074081"/>
    <s v=""/>
    <n v="5"/>
    <n v="3.7037037037037033"/>
    <n v="1"/>
    <n v="0.74074074074074081"/>
    <n v="6"/>
    <n v="4.4444444444444446"/>
    <n v="1"/>
    <n v="0.74074074074074081"/>
    <s v=""/>
    <n v="21"/>
    <n v="0"/>
    <n v="0"/>
    <n v="42"/>
    <n v="0"/>
    <n v="0"/>
    <n v="0"/>
    <n v="0"/>
    <n v="20"/>
    <n v="27"/>
    <n v="1"/>
    <n v="10"/>
    <s v=""/>
    <n v="0"/>
    <n v="0"/>
    <n v="1"/>
    <s v="assinatura"/>
    <n v="2325"/>
  </r>
  <r>
    <x v="55"/>
    <x v="8"/>
    <s v="6abd346e7f3e0285f25b9359"/>
    <s v="30/09/2026 04:24:40"/>
    <s v="30/09/2026 13:10:22"/>
    <s v="Henrique"/>
    <s v="30/09/2026"/>
    <s v="Guapiaçu"/>
    <s v="1 ° Turno"/>
    <n v="146"/>
    <n v="2949"/>
    <s v="EDMAR FELIPE MARTINS"/>
    <n v="29"/>
    <n v="28.999999999999996"/>
    <n v="11"/>
    <n v="11"/>
    <n v="0"/>
    <n v="0"/>
    <n v="3"/>
    <n v="3"/>
    <n v="1"/>
    <n v="1"/>
    <n v="0"/>
    <n v="0"/>
    <n v="1"/>
    <n v="0.34246575342465752"/>
    <n v="2"/>
    <n v="1.3698630136986301"/>
    <n v="0"/>
    <n v="0"/>
    <n v="1"/>
    <n v="0.68493150684931503"/>
    <n v="5"/>
    <n v="3.4246575342465753"/>
    <s v=""/>
    <n v="2"/>
    <n v="1.3698630136986301"/>
    <n v="2"/>
    <n v="1.3698630136986301"/>
    <s v=""/>
    <n v="6"/>
    <n v="4.10958904109589"/>
    <n v="1"/>
    <n v="0.68493150684931503"/>
    <n v="6"/>
    <n v="4.10958904109589"/>
    <n v="1"/>
    <n v="0.68493150684931503"/>
    <s v=""/>
    <n v="18"/>
    <n v="0"/>
    <n v="0"/>
    <n v="36"/>
    <n v="0"/>
    <n v="0"/>
    <n v="0"/>
    <n v="0"/>
    <n v="17"/>
    <n v="23"/>
    <n v="1"/>
    <n v="10"/>
    <s v=""/>
    <s v=""/>
    <s v=""/>
    <s v=""/>
    <s v="assinatura"/>
    <n v="1752"/>
  </r>
  <r>
    <x v="56"/>
    <x v="9"/>
    <s v="6abf1961826700b8f0e1b938"/>
    <s v="01/10/2026 21:46:16"/>
    <s v="01/10/2026 23:39:29"/>
    <s v="Henrique"/>
    <s v="01/10/2026"/>
    <s v="Guapiaçu"/>
    <s v="2 ° Turno"/>
    <n v="156"/>
    <n v="2978"/>
    <s v="JOBILIANA APARECIDA MAXIMO BERGAMINI"/>
    <n v="20"/>
    <n v="20"/>
    <n v="6"/>
    <n v="6"/>
    <n v="0"/>
    <n v="0"/>
    <n v="3"/>
    <n v="3"/>
    <n v="1"/>
    <n v="1"/>
    <n v="0"/>
    <n v="0"/>
    <n v="3"/>
    <n v="0.96153846153846156"/>
    <n v="2"/>
    <n v="1.2820512820512819"/>
    <n v="0"/>
    <n v="0"/>
    <n v="4"/>
    <n v="2.5641025641025639"/>
    <n v="2"/>
    <n v="1.2820512820512819"/>
    <s v=""/>
    <n v="0"/>
    <n v="0"/>
    <n v="0"/>
    <n v="0"/>
    <s v=""/>
    <n v="5"/>
    <n v="3.2051282051282048"/>
    <n v="6"/>
    <n v="3.8461538461538463"/>
    <n v="6"/>
    <n v="3.8461538461538463"/>
    <n v="0"/>
    <n v="0"/>
    <s v=""/>
    <n v="16"/>
    <n v="0"/>
    <n v="0"/>
    <n v="32"/>
    <n v="0"/>
    <n v="0"/>
    <n v="0"/>
    <n v="0"/>
    <n v="20"/>
    <n v="18"/>
    <n v="0"/>
    <n v="0"/>
    <s v=""/>
    <n v="0"/>
    <n v="0"/>
    <n v="0"/>
    <s v="assinatura"/>
    <n v="3187"/>
  </r>
  <r>
    <x v="56"/>
    <x v="9"/>
    <s v="6abf1961826700b8f0e1b91e"/>
    <s v="01/10/2026 19:14:04"/>
    <s v="01/10/2026 23:39:29"/>
    <s v="Henrique"/>
    <s v="01/10/2026"/>
    <s v="Guapiaçu"/>
    <s v="2 ° Turno"/>
    <n v="140"/>
    <n v="3071"/>
    <s v="JOBILIANA APARECIDA MAXIMO BERGAMINI"/>
    <n v="10"/>
    <n v="10"/>
    <n v="6"/>
    <n v="6"/>
    <n v="0"/>
    <n v="0"/>
    <n v="3"/>
    <n v="3"/>
    <n v="1"/>
    <n v="1"/>
    <n v="1"/>
    <n v="5"/>
    <n v="4"/>
    <n v="1.4285714285714286"/>
    <n v="3"/>
    <n v="2.1428571428571428"/>
    <n v="0"/>
    <n v="0"/>
    <n v="1"/>
    <n v="0.7142857142857143"/>
    <n v="2"/>
    <n v="1.4285714285714286"/>
    <s v=""/>
    <n v="0"/>
    <n v="0"/>
    <n v="0"/>
    <n v="0"/>
    <s v=""/>
    <n v="5"/>
    <n v="3.5714285714285712"/>
    <n v="5"/>
    <n v="3.5714285714285712"/>
    <n v="8"/>
    <n v="5.7142857142857144"/>
    <n v="0"/>
    <n v="0"/>
    <s v=""/>
    <n v="19"/>
    <n v="0"/>
    <n v="0"/>
    <n v="38"/>
    <n v="0"/>
    <n v="0"/>
    <n v="1"/>
    <n v="0.7142857142857143"/>
    <n v="21"/>
    <n v="18"/>
    <n v="0"/>
    <n v="0"/>
    <s v=""/>
    <n v="4"/>
    <n v="0"/>
    <n v="0"/>
    <s v="assinatura"/>
    <n v="9122"/>
  </r>
  <r>
    <x v="56"/>
    <x v="9"/>
    <s v="6abf1961826700b8f0e1b8f4"/>
    <s v="01/10/2026 14:11:51"/>
    <s v="01/10/2026 23:39:29"/>
    <s v="Henrique"/>
    <s v="01/10/2026"/>
    <s v="Guapiaçu"/>
    <s v="2 ° Turno"/>
    <n v="99"/>
    <n v="3008"/>
    <s v="JOBILIANA APARECIDA MAXIMO BERGAMINI"/>
    <n v="8"/>
    <n v="8"/>
    <n v="5"/>
    <n v="5"/>
    <n v="0"/>
    <n v="0"/>
    <n v="2"/>
    <n v="2"/>
    <n v="1"/>
    <n v="1"/>
    <n v="0"/>
    <n v="0"/>
    <n v="5"/>
    <n v="2.5252525252525251"/>
    <n v="1"/>
    <n v="1.0101010101010102"/>
    <n v="0"/>
    <n v="0"/>
    <n v="1"/>
    <n v="1.0101010101010102"/>
    <n v="1"/>
    <n v="1.0101010101010102"/>
    <s v=""/>
    <n v="0"/>
    <n v="0"/>
    <n v="0"/>
    <n v="0"/>
    <s v=""/>
    <n v="3"/>
    <n v="3.0303030303030303"/>
    <n v="5"/>
    <n v="5.0505050505050502"/>
    <n v="4"/>
    <n v="4.0404040404040407"/>
    <n v="0"/>
    <n v="0"/>
    <s v=""/>
    <n v="16"/>
    <n v="0"/>
    <n v="2"/>
    <n v="32"/>
    <n v="0"/>
    <n v="4"/>
    <n v="0"/>
    <n v="0"/>
    <n v="18"/>
    <n v="10"/>
    <n v="0"/>
    <n v="0"/>
    <s v=""/>
    <n v="2"/>
    <n v="0"/>
    <n v="0"/>
    <s v="assinatura"/>
    <n v="9337"/>
  </r>
  <r>
    <x v="56"/>
    <x v="9"/>
    <s v="6abe88111c9c14776a2d6325"/>
    <s v="01/10/2026 11:34:12"/>
    <s v="01/10/2026 13:19:29"/>
    <s v="Henrique"/>
    <s v="01/10/2026"/>
    <s v="Guapiaçu"/>
    <s v="1 ° Turno"/>
    <n v="161"/>
    <n v="2980"/>
    <s v="EDMAR FELIPE MARTINS"/>
    <n v="51"/>
    <n v="51"/>
    <n v="33"/>
    <n v="33"/>
    <n v="0"/>
    <n v="0"/>
    <n v="1"/>
    <n v="1"/>
    <n v="1"/>
    <n v="1"/>
    <n v="0"/>
    <n v="0"/>
    <n v="5"/>
    <n v="1.5527950310559007"/>
    <n v="3"/>
    <n v="1.8633540372670807"/>
    <n v="0"/>
    <n v="0"/>
    <n v="1"/>
    <n v="0.6211180124223602"/>
    <n v="7"/>
    <n v="4.3478260869565215"/>
    <s v=""/>
    <n v="3"/>
    <n v="1.8633540372670807"/>
    <n v="3"/>
    <n v="1.8633540372670807"/>
    <s v=""/>
    <n v="7"/>
    <n v="4.3478260869565215"/>
    <n v="3"/>
    <n v="1.8633540372670807"/>
    <n v="8"/>
    <n v="4.9689440993788816"/>
    <n v="1"/>
    <n v="0.6211180124223602"/>
    <s v=""/>
    <n v="19"/>
    <n v="0"/>
    <n v="0"/>
    <n v="38"/>
    <n v="0"/>
    <n v="0"/>
    <n v="1"/>
    <n v="0.6211180124223602"/>
    <n v="20"/>
    <n v="21"/>
    <n v="1"/>
    <n v="10"/>
    <s v=""/>
    <n v="1"/>
    <n v="0"/>
    <n v="1"/>
    <s v="assinatura"/>
    <n v="3491"/>
  </r>
  <r>
    <x v="56"/>
    <x v="9"/>
    <s v="6abe88111c9c14776a2d630d"/>
    <s v="01/10/2026 08:28:53"/>
    <s v="01/10/2026 13:19:29"/>
    <s v="Henrique"/>
    <s v="01/10/2026"/>
    <s v="Guapiaçu"/>
    <s v="1 ° Turno"/>
    <n v="161"/>
    <n v="2972"/>
    <s v="EDMAR FELIPE MARTINS"/>
    <n v="53"/>
    <n v="53"/>
    <n v="29"/>
    <n v="28.999999999999996"/>
    <n v="0"/>
    <n v="0"/>
    <n v="3"/>
    <n v="3"/>
    <n v="1"/>
    <n v="1"/>
    <n v="0"/>
    <n v="0"/>
    <n v="4"/>
    <n v="1.2422360248447204"/>
    <n v="3"/>
    <n v="1.8633540372670807"/>
    <n v="0"/>
    <n v="0"/>
    <s v=""/>
    <s v=""/>
    <n v="6"/>
    <n v="3.7267080745341614"/>
    <s v=""/>
    <n v="2"/>
    <n v="1.2422360248447204"/>
    <n v="3"/>
    <n v="1.8633540372670807"/>
    <s v=""/>
    <n v="6"/>
    <n v="3.7267080745341614"/>
    <n v="2"/>
    <n v="1.2422360248447204"/>
    <n v="7"/>
    <n v="4.3478260869565215"/>
    <n v="1"/>
    <n v="0.6211180124223602"/>
    <s v=""/>
    <n v="19"/>
    <n v="3"/>
    <n v="3"/>
    <n v="38"/>
    <n v="6"/>
    <n v="6"/>
    <n v="1"/>
    <n v="0.6211180124223602"/>
    <n v="22"/>
    <n v="19"/>
    <n v="1"/>
    <n v="10"/>
    <s v=""/>
    <n v="0"/>
    <n v="0"/>
    <n v="2"/>
    <s v="assinatura"/>
    <n v="2032"/>
  </r>
  <r>
    <x v="56"/>
    <x v="9"/>
    <s v="6abe88111c9c14776a2d6301"/>
    <s v="01/10/2026 06:27:15"/>
    <s v="01/10/2026 13:19:29"/>
    <s v="Henrique"/>
    <s v="01/10/2026"/>
    <s v="Guapiaçu"/>
    <s v="1 ° Turno"/>
    <n v="161"/>
    <n v="2968"/>
    <s v="EDMAR FELIPE MARTINS"/>
    <n v="51"/>
    <n v="51"/>
    <n v="27"/>
    <n v="27"/>
    <n v="0"/>
    <n v="0"/>
    <n v="3"/>
    <n v="3"/>
    <n v="1"/>
    <n v="1"/>
    <n v="1"/>
    <n v="5"/>
    <n v="6"/>
    <n v="1.8633540372670807"/>
    <n v="3"/>
    <n v="1.8633540372670807"/>
    <n v="0"/>
    <n v="0"/>
    <n v="0"/>
    <n v="0"/>
    <n v="5"/>
    <n v="3.1055900621118013"/>
    <s v=""/>
    <n v="3"/>
    <n v="1.8633540372670807"/>
    <n v="3"/>
    <n v="1.8633540372670807"/>
    <s v=""/>
    <n v="8"/>
    <n v="4.9689440993788816"/>
    <n v="2"/>
    <n v="1.2422360248447204"/>
    <n v="7"/>
    <n v="4.3478260869565215"/>
    <n v="1"/>
    <n v="0.6211180124223602"/>
    <s v=""/>
    <n v="19"/>
    <n v="0"/>
    <n v="0"/>
    <n v="38"/>
    <n v="0"/>
    <n v="0"/>
    <n v="0"/>
    <n v="0"/>
    <n v="21"/>
    <n v="18"/>
    <n v="1"/>
    <n v="10"/>
    <s v=""/>
    <n v="0"/>
    <n v="0"/>
    <n v="1"/>
    <s v="assinatura"/>
    <n v="2405"/>
  </r>
  <r>
    <x v="56"/>
    <x v="9"/>
    <s v="6abe88101c9c14776a2d62ef"/>
    <s v="01/10/2026 04:28:16"/>
    <s v="01/10/2026 13:19:28"/>
    <s v="Henrique"/>
    <s v="01/10/2026"/>
    <s v="Guapiaçu"/>
    <s v="1 ° Turno"/>
    <n v="161"/>
    <n v="2945"/>
    <s v="EDMAR FELIPE MARTINS"/>
    <n v="42"/>
    <n v="42"/>
    <n v="20"/>
    <n v="20"/>
    <n v="0"/>
    <n v="0"/>
    <n v="2"/>
    <n v="2"/>
    <n v="0"/>
    <n v="0"/>
    <n v="0"/>
    <n v="0"/>
    <n v="4"/>
    <n v="1.2422360248447204"/>
    <n v="2"/>
    <n v="1.2422360248447204"/>
    <n v="0"/>
    <n v="0"/>
    <n v="0"/>
    <n v="0"/>
    <n v="5"/>
    <n v="3.1055900621118013"/>
    <s v=""/>
    <n v="3"/>
    <n v="1.8633540372670807"/>
    <n v="2"/>
    <n v="1.2422360248447204"/>
    <s v=""/>
    <n v="5"/>
    <n v="3.1055900621118013"/>
    <n v="2"/>
    <n v="1.2422360248447204"/>
    <n v="6"/>
    <n v="3.7267080745341614"/>
    <n v="1"/>
    <n v="0.6211180124223602"/>
    <s v=""/>
    <n v="19"/>
    <n v="0"/>
    <n v="0"/>
    <n v="38"/>
    <n v="0"/>
    <n v="0"/>
    <n v="0"/>
    <n v="0"/>
    <n v="23"/>
    <n v="19"/>
    <n v="1"/>
    <n v="10"/>
    <s v=""/>
    <s v=""/>
    <s v=""/>
    <s v=""/>
    <s v="assinatura"/>
    <n v="1682"/>
  </r>
  <r>
    <x v="57"/>
    <x v="9"/>
    <s v="6ac45f339b7db2ba7646ac81"/>
    <s v="05/10/2026 21:31:32"/>
    <s v="05/10/2026 23:38:43"/>
    <s v="Henrique"/>
    <s v="05/10/2026"/>
    <s v="Guapiaçu"/>
    <s v="2 ° Turno"/>
    <n v="161"/>
    <n v="2998"/>
    <s v="JOBILIANA APARECIDA MAXIMO BERGAMINI"/>
    <n v="20"/>
    <n v="20"/>
    <n v="6"/>
    <n v="6"/>
    <n v="0"/>
    <n v="0"/>
    <n v="1"/>
    <n v="1"/>
    <n v="0"/>
    <n v="0"/>
    <n v="0"/>
    <n v="0"/>
    <n v="6"/>
    <n v="1.8633540372670807"/>
    <n v="4"/>
    <n v="2.4844720496894408"/>
    <n v="0"/>
    <n v="0"/>
    <n v="6"/>
    <n v="3.7267080745341614"/>
    <n v="4"/>
    <n v="2.4844720496894408"/>
    <s v=""/>
    <n v="0"/>
    <n v="0"/>
    <n v="0"/>
    <n v="0"/>
    <s v=""/>
    <n v="6"/>
    <n v="3.7267080745341614"/>
    <n v="5"/>
    <n v="3.1055900621118013"/>
    <n v="6"/>
    <n v="3.7267080745341614"/>
    <n v="1"/>
    <n v="0.6211180124223602"/>
    <s v=""/>
    <n v="18"/>
    <n v="0"/>
    <n v="0"/>
    <n v="36"/>
    <n v="0"/>
    <n v="0"/>
    <n v="0"/>
    <n v="0"/>
    <n v="20"/>
    <n v="16"/>
    <n v="0"/>
    <n v="0"/>
    <s v=""/>
    <n v="0"/>
    <n v="0"/>
    <n v="0"/>
    <s v="assinatura"/>
    <n v="411"/>
  </r>
  <r>
    <x v="57"/>
    <x v="9"/>
    <s v="6ac45f339b7db2ba7646ac63"/>
    <s v="05/10/2026 19:04:12"/>
    <s v="05/10/2026 23:38:43"/>
    <s v="Henrique"/>
    <s v="05/10/2026"/>
    <s v="Guapiaçu"/>
    <s v="2 ° Turno"/>
    <n v="156"/>
    <n v="2914"/>
    <s v="JOBILIANA APARECIDA MAXIMO BERGAMINI"/>
    <n v="20"/>
    <n v="20"/>
    <n v="11"/>
    <n v="11"/>
    <n v="1"/>
    <n v="10"/>
    <n v="1"/>
    <n v="1"/>
    <n v="0"/>
    <n v="0"/>
    <n v="0"/>
    <n v="0"/>
    <n v="5"/>
    <n v="1.6025641025641024"/>
    <n v="4"/>
    <n v="2.5641025641025639"/>
    <n v="0"/>
    <n v="0"/>
    <n v="1"/>
    <n v="0.64102564102564097"/>
    <n v="2"/>
    <n v="1.2820512820512819"/>
    <s v=""/>
    <n v="0"/>
    <n v="0"/>
    <n v="0"/>
    <n v="0"/>
    <s v=""/>
    <n v="15"/>
    <n v="9.6153846153846168"/>
    <n v="3"/>
    <n v="1.9230769230769231"/>
    <n v="8"/>
    <n v="5.1282051282051277"/>
    <n v="0"/>
    <n v="0"/>
    <s v=""/>
    <n v="19"/>
    <n v="0"/>
    <n v="0"/>
    <n v="38"/>
    <n v="0"/>
    <n v="0"/>
    <n v="0"/>
    <n v="0"/>
    <n v="20"/>
    <n v="18"/>
    <n v="0"/>
    <n v="0"/>
    <s v=""/>
    <n v="3"/>
    <n v="0"/>
    <n v="0"/>
    <s v="assinatura"/>
    <n v="8354"/>
  </r>
  <r>
    <x v="57"/>
    <x v="9"/>
    <s v="6ac45f339b7db2ba7646ac51"/>
    <s v="05/10/2026 15:05:03"/>
    <s v="05/10/2026 23:38:43"/>
    <s v="Henrique"/>
    <s v="05/10/2026"/>
    <s v="Guapiaçu"/>
    <s v="2 ° Turno"/>
    <n v="89"/>
    <n v="2998"/>
    <s v="JOBILIANA APARECIDA MAXIMO BERGAMINI"/>
    <n v="9"/>
    <n v="9"/>
    <n v="4"/>
    <n v="4"/>
    <n v="1"/>
    <n v="10"/>
    <n v="2"/>
    <n v="2"/>
    <n v="1"/>
    <n v="1"/>
    <n v="1"/>
    <n v="5"/>
    <n v="3"/>
    <n v="1.6853932584269662"/>
    <n v="2"/>
    <n v="2.2471910112359552"/>
    <n v="0"/>
    <n v="0"/>
    <n v="1"/>
    <n v="1.1235955056179776"/>
    <n v="1"/>
    <n v="1.1235955056179776"/>
    <s v=""/>
    <n v="0"/>
    <n v="0"/>
    <n v="0"/>
    <n v="0"/>
    <s v=""/>
    <n v="7"/>
    <n v="7.8651685393258424"/>
    <n v="4"/>
    <n v="4.4943820224719104"/>
    <n v="5"/>
    <n v="5.6179775280898872"/>
    <n v="0"/>
    <n v="0"/>
    <s v=""/>
    <n v="16"/>
    <n v="0"/>
    <n v="0"/>
    <n v="32"/>
    <n v="0"/>
    <n v="0"/>
    <n v="0"/>
    <n v="0"/>
    <n v="23"/>
    <n v="22"/>
    <n v="0"/>
    <n v="0"/>
    <s v=""/>
    <n v="3"/>
    <n v="0"/>
    <n v="0"/>
    <s v="assinatura"/>
    <n v="9771"/>
  </r>
  <r>
    <x v="57"/>
    <x v="9"/>
    <s v="6ac3bbfb76e463e032fa48b2"/>
    <s v="05/10/2026 04:16:00"/>
    <s v="05/10/2026 12:02:19"/>
    <s v="Henrique"/>
    <s v="05/10/2026"/>
    <s v="Guapiaçu"/>
    <s v="1 ° Turno"/>
    <n v="156"/>
    <n v="2998"/>
    <s v="EDMAR FELIPE MARTINS"/>
    <n v="33"/>
    <n v="33"/>
    <n v="21"/>
    <n v="21"/>
    <n v="0"/>
    <n v="0"/>
    <n v="3"/>
    <n v="3"/>
    <n v="1"/>
    <n v="1"/>
    <n v="0"/>
    <n v="0"/>
    <n v="4"/>
    <n v="1.2820512820512819"/>
    <n v="3"/>
    <n v="1.9230769230769231"/>
    <n v="1"/>
    <n v="0.64102564102564097"/>
    <n v="2"/>
    <n v="1.2820512820512819"/>
    <n v="5"/>
    <n v="3.2051282051282048"/>
    <s v=""/>
    <n v="3"/>
    <n v="1.9230769230769231"/>
    <n v="3"/>
    <n v="1.9230769230769231"/>
    <s v=""/>
    <n v="6"/>
    <n v="3.8461538461538463"/>
    <n v="3"/>
    <n v="1.9230769230769231"/>
    <n v="7"/>
    <n v="4.4871794871794872"/>
    <n v="1"/>
    <n v="0.64102564102564097"/>
    <s v=""/>
    <n v="20"/>
    <n v="1"/>
    <n v="1"/>
    <n v="40"/>
    <n v="2"/>
    <n v="2"/>
    <n v="1"/>
    <n v="0.64102564102564097"/>
    <n v="15"/>
    <n v="24"/>
    <n v="0"/>
    <n v="0"/>
    <s v=""/>
    <s v=""/>
    <s v=""/>
    <s v=""/>
    <s v="assinatura"/>
    <n v="2493"/>
  </r>
  <r>
    <x v="58"/>
    <x v="9"/>
    <s v="6ac06c36486c261c1ca097ed"/>
    <s v="02/10/2026 21:09:11"/>
    <s v="02/10/2026 23:45:10"/>
    <s v="Henrique"/>
    <s v="02/10/2026"/>
    <s v="Guapiaçu"/>
    <s v="2 ° Turno"/>
    <n v="161"/>
    <n v="2813"/>
    <s v="JOBILIANA APARECIDA MAXIMO BERGAMINI"/>
    <n v="20"/>
    <n v="20"/>
    <n v="5"/>
    <n v="5"/>
    <n v="0"/>
    <n v="0"/>
    <n v="1"/>
    <n v="1"/>
    <n v="0"/>
    <n v="0"/>
    <n v="0"/>
    <n v="0"/>
    <n v="4"/>
    <n v="1.2422360248447204"/>
    <n v="2"/>
    <n v="1.2422360248447204"/>
    <n v="0"/>
    <n v="0"/>
    <n v="0"/>
    <n v="0"/>
    <n v="2"/>
    <n v="1.2422360248447204"/>
    <s v=""/>
    <n v="0"/>
    <n v="0"/>
    <n v="0"/>
    <n v="0"/>
    <s v=""/>
    <n v="4"/>
    <n v="2.4844720496894408"/>
    <n v="5"/>
    <n v="3.1055900621118013"/>
    <n v="6"/>
    <n v="3.7267080745341614"/>
    <n v="1"/>
    <n v="0.6211180124223602"/>
    <s v=""/>
    <n v="14"/>
    <n v="0"/>
    <n v="0"/>
    <n v="28"/>
    <n v="0"/>
    <n v="0"/>
    <n v="0"/>
    <n v="0"/>
    <n v="20"/>
    <n v="17"/>
    <n v="0"/>
    <n v="0"/>
    <s v=""/>
    <n v="1"/>
    <n v="0"/>
    <n v="0"/>
    <s v="assinatura"/>
    <n v="275"/>
  </r>
  <r>
    <x v="58"/>
    <x v="9"/>
    <s v="6ac06c35486c261c1ca097d5"/>
    <s v="02/10/2026 18:37:36"/>
    <s v="02/10/2026 23:45:09"/>
    <s v="Henrique"/>
    <s v="02/10/2026"/>
    <s v="Guapiaçu"/>
    <s v="2 ° Turno"/>
    <n v="156"/>
    <n v="2903"/>
    <s v="JOBILIANA APARECIDA MAXIMO BERGAMINI"/>
    <n v="13"/>
    <n v="13"/>
    <n v="8"/>
    <n v="8"/>
    <n v="2"/>
    <n v="20"/>
    <n v="1"/>
    <n v="1"/>
    <n v="0"/>
    <n v="0"/>
    <n v="0"/>
    <n v="0"/>
    <n v="6"/>
    <n v="1.9230769230769231"/>
    <n v="1"/>
    <n v="0.64102564102564097"/>
    <n v="0"/>
    <n v="0"/>
    <n v="0"/>
    <n v="0"/>
    <n v="1"/>
    <n v="0.64102564102564097"/>
    <s v=""/>
    <n v="0"/>
    <n v="0"/>
    <n v="0"/>
    <n v="0"/>
    <s v=""/>
    <n v="4"/>
    <n v="2.5641025641025639"/>
    <n v="6"/>
    <n v="3.8461538461538463"/>
    <n v="5"/>
    <n v="3.2051282051282048"/>
    <n v="0"/>
    <n v="0"/>
    <s v=""/>
    <n v="15"/>
    <n v="0"/>
    <n v="0"/>
    <n v="30"/>
    <n v="0"/>
    <n v="0"/>
    <n v="1"/>
    <n v="0.64102564102564097"/>
    <n v="21"/>
    <n v="19"/>
    <n v="0"/>
    <n v="0"/>
    <s v=""/>
    <n v="0"/>
    <n v="0"/>
    <n v="0"/>
    <s v="assinatura"/>
    <n v="7160"/>
  </r>
  <r>
    <x v="58"/>
    <x v="9"/>
    <s v="6ac06c35486c261c1ca097b1"/>
    <s v="02/10/2026 14:04:49"/>
    <s v="02/10/2026 23:45:09"/>
    <s v="Henrique"/>
    <s v="02/10/2026"/>
    <s v="Guapiaçu"/>
    <s v="2 ° Turno"/>
    <n v="116"/>
    <n v="5852"/>
    <s v="JOBILIANA APARECIDA MAXIMO BERGAMINI"/>
    <n v="10"/>
    <n v="10"/>
    <n v="5"/>
    <n v="5"/>
    <n v="0"/>
    <n v="0"/>
    <n v="3"/>
    <n v="3"/>
    <n v="2"/>
    <n v="2"/>
    <n v="0"/>
    <n v="0"/>
    <n v="4"/>
    <n v="1.7241379310344827"/>
    <n v="1"/>
    <n v="0.86206896551724133"/>
    <n v="0"/>
    <n v="0"/>
    <n v="1"/>
    <n v="0.86206896551724133"/>
    <n v="2"/>
    <n v="1.7241379310344827"/>
    <s v=""/>
    <n v="1"/>
    <n v="0.86206896551724133"/>
    <n v="0"/>
    <n v="0"/>
    <s v=""/>
    <n v="3"/>
    <n v="2.5862068965517242"/>
    <n v="6"/>
    <n v="5.1724137931034484"/>
    <n v="5"/>
    <n v="4.3103448275862073"/>
    <n v="0"/>
    <n v="0"/>
    <s v=""/>
    <n v="19"/>
    <n v="1"/>
    <n v="1"/>
    <n v="38"/>
    <n v="2"/>
    <n v="2"/>
    <n v="0"/>
    <n v="0"/>
    <n v="20"/>
    <n v="17"/>
    <n v="0"/>
    <n v="0"/>
    <s v=""/>
    <n v="3"/>
    <n v="0"/>
    <n v="0"/>
    <s v="assinatura"/>
    <n v="10795"/>
  </r>
  <r>
    <x v="58"/>
    <x v="9"/>
    <s v="6abfd3bebd86e569124a213c"/>
    <s v="02/10/2026 11:16:49"/>
    <s v="02/10/2026 12:54:38"/>
    <s v="Henrique"/>
    <s v="02/10/2026"/>
    <s v="Guapiaçu"/>
    <s v="1 ° Turno"/>
    <n v="151"/>
    <n v="2912"/>
    <s v="EDMAR FELIPE MARTINS"/>
    <n v="31"/>
    <n v="31"/>
    <n v="10"/>
    <n v="10"/>
    <n v="0"/>
    <n v="0"/>
    <n v="2"/>
    <n v="2"/>
    <n v="1"/>
    <n v="1"/>
    <n v="0"/>
    <n v="0"/>
    <n v="2"/>
    <n v="0.66225165562913912"/>
    <n v="3"/>
    <n v="1.9867549668874174"/>
    <n v="2"/>
    <n v="1.3245033112582782"/>
    <n v="2"/>
    <n v="1.3245033112582782"/>
    <n v="8"/>
    <n v="5.298013245033113"/>
    <s v=""/>
    <n v="2"/>
    <n v="1.3245033112582782"/>
    <n v="2"/>
    <n v="1.3245033112582782"/>
    <s v=""/>
    <n v="6"/>
    <n v="3.9735099337748347"/>
    <n v="2"/>
    <n v="1.3245033112582782"/>
    <n v="7"/>
    <n v="4.6357615894039732"/>
    <n v="3"/>
    <n v="1.9867549668874174"/>
    <s v=""/>
    <n v="21"/>
    <n v="0"/>
    <n v="0"/>
    <n v="42"/>
    <n v="0"/>
    <n v="0"/>
    <n v="1"/>
    <n v="0.66225165562913912"/>
    <n v="19"/>
    <n v="25"/>
    <n v="1"/>
    <n v="10"/>
    <s v=""/>
    <s v=""/>
    <s v=""/>
    <s v=""/>
    <s v="assinatura"/>
    <n v="1466"/>
  </r>
  <r>
    <x v="58"/>
    <x v="9"/>
    <s v="6abfd3bebd86e569124a2124"/>
    <s v="02/10/2026 08:28:51"/>
    <s v="02/10/2026 12:54:38"/>
    <s v="Henrique"/>
    <s v="02/10/2026"/>
    <s v="Guapiaçu"/>
    <s v="1 ° Turno"/>
    <n v="161"/>
    <n v="2981"/>
    <s v="EDMAR FELIPE MARTINS"/>
    <n v="33"/>
    <n v="33"/>
    <n v="14"/>
    <n v="14.000000000000002"/>
    <n v="0"/>
    <n v="0"/>
    <n v="2"/>
    <n v="2"/>
    <n v="1"/>
    <n v="1"/>
    <n v="0"/>
    <n v="0"/>
    <n v="4"/>
    <n v="1.2422360248447204"/>
    <n v="3"/>
    <n v="1.8633540372670807"/>
    <n v="0"/>
    <n v="0"/>
    <n v="2"/>
    <n v="1.2422360248447204"/>
    <n v="9"/>
    <n v="5.5900621118012426"/>
    <s v=""/>
    <n v="3"/>
    <n v="1.8633540372670807"/>
    <n v="3"/>
    <n v="1.8633540372670807"/>
    <s v=""/>
    <n v="5"/>
    <n v="3.1055900621118013"/>
    <n v="3"/>
    <n v="1.8633540372670807"/>
    <n v="8"/>
    <n v="4.9689440993788816"/>
    <n v="3"/>
    <n v="1.8633540372670807"/>
    <s v=""/>
    <n v="22"/>
    <n v="0"/>
    <n v="0"/>
    <n v="44"/>
    <n v="0"/>
    <n v="0"/>
    <n v="1"/>
    <n v="0.6211180124223602"/>
    <n v="21"/>
    <n v="19"/>
    <n v="1"/>
    <n v="10"/>
    <s v=""/>
    <n v="0"/>
    <n v="0"/>
    <n v="1"/>
    <s v=""/>
    <n v="1768"/>
  </r>
  <r>
    <x v="58"/>
    <x v="9"/>
    <s v="6abfd3bebd86e569124a2110"/>
    <s v="02/10/2026 06:30:31"/>
    <s v="02/10/2026 12:54:38"/>
    <s v="Henrique"/>
    <s v="02/10/2026"/>
    <s v="Guapiaçu"/>
    <s v="1 ° Turno"/>
    <n v="161"/>
    <n v="2860"/>
    <s v="EDMAR FELIPE MARTINS"/>
    <n v="39"/>
    <n v="39"/>
    <n v="26"/>
    <n v="26"/>
    <n v="0"/>
    <n v="0"/>
    <n v="1"/>
    <n v="1"/>
    <n v="0"/>
    <n v="0"/>
    <n v="0"/>
    <n v="0"/>
    <n v="3"/>
    <n v="0.93167701863354035"/>
    <n v="3"/>
    <n v="1.8633540372670807"/>
    <n v="0"/>
    <n v="0"/>
    <n v="2"/>
    <n v="1.2422360248447204"/>
    <n v="10"/>
    <n v="6.2111801242236027"/>
    <s v=""/>
    <n v="2"/>
    <n v="1.2422360248447204"/>
    <n v="2"/>
    <n v="1.2422360248447204"/>
    <s v=""/>
    <n v="6"/>
    <n v="3.7267080745341614"/>
    <n v="2"/>
    <n v="1.2422360248447204"/>
    <n v="7"/>
    <n v="4.3478260869565215"/>
    <n v="1"/>
    <n v="0.6211180124223602"/>
    <s v=""/>
    <n v="22"/>
    <n v="0"/>
    <n v="0"/>
    <n v="44"/>
    <n v="0"/>
    <n v="0"/>
    <n v="0"/>
    <n v="0"/>
    <n v="19"/>
    <n v="23"/>
    <n v="1"/>
    <n v="10"/>
    <s v=""/>
    <n v="0"/>
    <n v="0"/>
    <n v="1"/>
    <s v="assinatura"/>
    <n v="2231"/>
  </r>
  <r>
    <x v="58"/>
    <x v="9"/>
    <s v="6abfd3bdbd86e569124a20f8"/>
    <s v="02/10/2026 04:26:40"/>
    <s v="02/10/2026 12:54:37"/>
    <s v="Henrique"/>
    <s v="02/10/2026"/>
    <s v="Guapiaçu"/>
    <s v="1 ° Turno"/>
    <n v="161"/>
    <n v="2860"/>
    <s v="EDMAR FELIPE MARTINS"/>
    <n v="30"/>
    <n v="30"/>
    <n v="10"/>
    <n v="10"/>
    <n v="0"/>
    <n v="0"/>
    <n v="1"/>
    <n v="1"/>
    <n v="1"/>
    <n v="1"/>
    <n v="0"/>
    <n v="0"/>
    <n v="5"/>
    <n v="1.5527950310559007"/>
    <n v="3"/>
    <n v="1.8633540372670807"/>
    <n v="0"/>
    <n v="0"/>
    <n v="1"/>
    <n v="0.6211180124223602"/>
    <n v="8"/>
    <n v="4.9689440993788816"/>
    <s v=""/>
    <n v="2"/>
    <n v="1.2422360248447204"/>
    <n v="1"/>
    <n v="0.6211180124223602"/>
    <s v=""/>
    <n v="6"/>
    <n v="3.7267080745341614"/>
    <n v="2"/>
    <n v="1.2422360248447204"/>
    <n v="6"/>
    <n v="3.7267080745341614"/>
    <n v="1"/>
    <n v="0.6211180124223602"/>
    <s v=""/>
    <n v="19"/>
    <n v="0"/>
    <n v="0"/>
    <n v="38"/>
    <n v="0"/>
    <n v="0"/>
    <n v="0"/>
    <n v="0"/>
    <n v="19"/>
    <n v="25"/>
    <n v="1"/>
    <n v="10"/>
    <s v=""/>
    <s v=""/>
    <s v=""/>
    <s v=""/>
    <s v="assinatura"/>
    <n v="1768"/>
  </r>
  <r>
    <x v="59"/>
    <x v="9"/>
    <s v="6ac7bf67db68f2f72a1e620c"/>
    <s v="08/10/2026 11:17:13"/>
    <s v="08/10/2026 13:05:59"/>
    <s v="Henrique"/>
    <s v="08/10/2026"/>
    <s v="Guapiaçu"/>
    <s v="1 ° Turno"/>
    <n v="161"/>
    <n v="3225"/>
    <s v="EDMAR FELIPE MARTINS"/>
    <n v="29"/>
    <n v="28.999999999999996"/>
    <n v="11"/>
    <n v="11"/>
    <n v="0"/>
    <n v="0"/>
    <n v="1"/>
    <n v="1"/>
    <n v="1"/>
    <n v="1"/>
    <n v="0"/>
    <n v="0"/>
    <n v="2"/>
    <n v="0.6211180124223602"/>
    <n v="3"/>
    <n v="1.8633540372670807"/>
    <n v="1"/>
    <n v="0.6211180124223602"/>
    <n v="2"/>
    <n v="1.2422360248447204"/>
    <n v="7"/>
    <n v="4.3478260869565215"/>
    <s v=""/>
    <n v="3"/>
    <n v="1.8633540372670807"/>
    <n v="2"/>
    <n v="1.2422360248447204"/>
    <s v=""/>
    <n v="6"/>
    <n v="3.7267080745341614"/>
    <n v="2"/>
    <n v="1.2422360248447204"/>
    <n v="9"/>
    <n v="5.5900621118012426"/>
    <n v="1"/>
    <n v="0.6211180124223602"/>
    <s v=""/>
    <n v="20"/>
    <n v="0"/>
    <n v="0"/>
    <n v="40"/>
    <n v="0"/>
    <n v="0"/>
    <n v="2"/>
    <n v="1.2422360248447204"/>
    <n v="21"/>
    <n v="20"/>
    <n v="2"/>
    <n v="20"/>
    <s v=""/>
    <n v="1"/>
    <n v="0"/>
    <n v="2"/>
    <s v=""/>
    <n v="3188"/>
  </r>
  <r>
    <x v="59"/>
    <x v="9"/>
    <s v="6ac7bf67db68f2f72a1e61fa"/>
    <s v="08/10/2026 08:37:24"/>
    <s v="08/10/2026 13:05:59"/>
    <s v="Henrique"/>
    <s v="08/10/2026"/>
    <s v="Guapiaçu"/>
    <s v="1 ° Turno"/>
    <n v="161"/>
    <n v="2948"/>
    <s v="EDMAR FELIPE MARTINS"/>
    <n v="33"/>
    <n v="33"/>
    <n v="14"/>
    <n v="14.000000000000002"/>
    <n v="0"/>
    <n v="0"/>
    <n v="2"/>
    <n v="2"/>
    <s v=""/>
    <s v=""/>
    <n v="0"/>
    <n v="0"/>
    <n v="1"/>
    <n v="0.3105590062111801"/>
    <n v="10"/>
    <n v="6.2111801242236027"/>
    <n v="0"/>
    <n v="0"/>
    <n v="1"/>
    <n v="0.6211180124223602"/>
    <n v="9"/>
    <n v="5.5900621118012426"/>
    <s v=""/>
    <n v="2"/>
    <n v="1.2422360248447204"/>
    <n v="2"/>
    <n v="1.2422360248447204"/>
    <s v=""/>
    <n v="14"/>
    <n v="8.695652173913043"/>
    <n v="1"/>
    <n v="0.6211180124223602"/>
    <n v="7"/>
    <n v="4.3478260869565215"/>
    <n v="1"/>
    <n v="0.6211180124223602"/>
    <s v=""/>
    <n v="22"/>
    <n v="1"/>
    <n v="1"/>
    <n v="44"/>
    <n v="2"/>
    <n v="2"/>
    <n v="3"/>
    <n v="1.8633540372670807"/>
    <n v="16"/>
    <n v="18"/>
    <n v="1"/>
    <n v="10"/>
    <s v=""/>
    <n v="0"/>
    <n v="0"/>
    <n v="1"/>
    <s v=""/>
    <n v="1715"/>
  </r>
  <r>
    <x v="59"/>
    <x v="9"/>
    <s v="6ac7bf66db68f2f72a1e61e8"/>
    <s v="08/10/2026 06:53:10"/>
    <s v="08/10/2026 13:05:58"/>
    <s v="Henrique"/>
    <s v="08/10/2026"/>
    <s v="Guapiaçu"/>
    <s v="1 ° Turno"/>
    <n v="140"/>
    <n v="3052"/>
    <s v="EDMAR FELIPE MARTINS"/>
    <n v="23"/>
    <n v="23"/>
    <n v="6"/>
    <n v="6"/>
    <n v="0"/>
    <n v="0"/>
    <n v="2"/>
    <n v="2"/>
    <n v="0"/>
    <n v="0"/>
    <n v="0"/>
    <n v="0"/>
    <n v="1"/>
    <n v="0.35714285714285715"/>
    <n v="8"/>
    <n v="5.7142857142857144"/>
    <n v="1"/>
    <n v="0.7142857142857143"/>
    <n v="2"/>
    <n v="1.4285714285714286"/>
    <n v="9"/>
    <n v="6.4285714285714279"/>
    <s v=""/>
    <n v="2"/>
    <n v="1.4285714285714286"/>
    <n v="2"/>
    <n v="1.4285714285714286"/>
    <s v=""/>
    <n v="12"/>
    <n v="8.5714285714285712"/>
    <n v="2"/>
    <n v="1.4285714285714286"/>
    <n v="7"/>
    <n v="5"/>
    <n v="1"/>
    <n v="0.7142857142857143"/>
    <s v=""/>
    <n v="21"/>
    <n v="0"/>
    <n v="0"/>
    <n v="42"/>
    <n v="0"/>
    <n v="0"/>
    <n v="2"/>
    <n v="1.4285714285714286"/>
    <n v="17"/>
    <n v="19"/>
    <n v="1"/>
    <n v="10"/>
    <s v=""/>
    <n v="1"/>
    <n v="0"/>
    <n v="1"/>
    <s v="assinatura"/>
    <n v="1922"/>
  </r>
  <r>
    <x v="59"/>
    <x v="9"/>
    <s v="6ac7bf66db68f2f72a1e61ce"/>
    <s v="08/10/2026 04:45:06"/>
    <s v="08/10/2026 13:05:58"/>
    <s v="Henrique"/>
    <s v="08/10/2026"/>
    <s v="Guapiaçu"/>
    <s v="1 ° Turno"/>
    <n v="154"/>
    <n v="2835"/>
    <s v="EDMAR FELIPE MARTINS"/>
    <n v="29"/>
    <n v="28.999999999999996"/>
    <n v="19"/>
    <n v="19"/>
    <n v="0"/>
    <n v="0"/>
    <n v="2"/>
    <n v="2"/>
    <n v="1"/>
    <n v="1"/>
    <n v="0"/>
    <n v="0"/>
    <n v="3"/>
    <n v="0.97402597402597402"/>
    <n v="3"/>
    <n v="1.948051948051948"/>
    <n v="0"/>
    <n v="0"/>
    <n v="1"/>
    <n v="0.64935064935064934"/>
    <n v="9"/>
    <n v="5.8441558441558437"/>
    <s v=""/>
    <n v="2"/>
    <n v="1.2987012987012987"/>
    <n v="2"/>
    <n v="1.2987012987012987"/>
    <s v=""/>
    <n v="6"/>
    <n v="3.8961038961038961"/>
    <n v="1"/>
    <n v="0.64935064935064934"/>
    <n v="7"/>
    <n v="4.5454545454545459"/>
    <n v="1"/>
    <n v="0.64935064935064934"/>
    <s v=""/>
    <n v="20"/>
    <n v="0"/>
    <n v="0"/>
    <n v="40"/>
    <n v="0"/>
    <n v="0"/>
    <n v="0"/>
    <n v="0"/>
    <n v="13"/>
    <n v="19"/>
    <n v="1"/>
    <n v="10"/>
    <s v=""/>
    <s v=""/>
    <s v=""/>
    <s v=""/>
    <s v=""/>
    <n v="1753"/>
  </r>
  <r>
    <x v="60"/>
    <x v="9"/>
    <s v="6ac7080e1363200b80961f73"/>
    <s v="07/10/2026 20:41:01"/>
    <s v="08/10/2026 00:03:42"/>
    <s v="Henrique"/>
    <s v="07/10/2026"/>
    <s v="Guapiaçu"/>
    <s v="2 ° Turno"/>
    <n v="161"/>
    <n v="3160"/>
    <s v="JOBILIANA APARECIDA MAXIMO BERGAMINI"/>
    <n v="20"/>
    <n v="20"/>
    <n v="5"/>
    <n v="5"/>
    <n v="0"/>
    <n v="0"/>
    <n v="1"/>
    <n v="1"/>
    <n v="0"/>
    <n v="0"/>
    <n v="0"/>
    <n v="0"/>
    <n v="6"/>
    <n v="1.8633540372670807"/>
    <n v="4"/>
    <n v="2.4844720496894408"/>
    <n v="0"/>
    <n v="0"/>
    <n v="1"/>
    <n v="0.6211180124223602"/>
    <n v="2"/>
    <n v="1.2422360248447204"/>
    <s v=""/>
    <n v="0"/>
    <n v="0"/>
    <n v="0"/>
    <n v="0"/>
    <s v=""/>
    <n v="6"/>
    <n v="3.7267080745341614"/>
    <n v="4"/>
    <n v="2.4844720496894408"/>
    <n v="6"/>
    <n v="3.7267080745341614"/>
    <n v="0"/>
    <n v="0"/>
    <s v=""/>
    <n v="18"/>
    <n v="0"/>
    <n v="0"/>
    <n v="36"/>
    <n v="0"/>
    <n v="0"/>
    <n v="0"/>
    <n v="0"/>
    <n v="20"/>
    <n v="18"/>
    <n v="0"/>
    <n v="0"/>
    <s v=""/>
    <n v="0"/>
    <n v="0"/>
    <n v="0"/>
    <s v="assinatura"/>
    <n v="236"/>
  </r>
  <r>
    <x v="60"/>
    <x v="9"/>
    <s v="6ac7080e1363200b80961f5b"/>
    <s v="07/10/2026 18:09:17"/>
    <s v="08/10/2026 00:03:42"/>
    <s v="Henrique"/>
    <s v="07/10/2026"/>
    <s v="Guapiaçu"/>
    <s v="2 ° Turno"/>
    <n v="161"/>
    <n v="3050"/>
    <s v="JOBILIANA APARECIDA MAXIMO BERGAMINI"/>
    <n v="15"/>
    <n v="15"/>
    <n v="5"/>
    <n v="5"/>
    <n v="0"/>
    <n v="0"/>
    <n v="1"/>
    <n v="1"/>
    <n v="0"/>
    <n v="0"/>
    <n v="0"/>
    <n v="0"/>
    <n v="5"/>
    <n v="1.5527950310559007"/>
    <n v="4"/>
    <n v="2.4844720496894408"/>
    <n v="0"/>
    <n v="0"/>
    <n v="2"/>
    <n v="1.2422360248447204"/>
    <n v="1"/>
    <n v="0.6211180124223602"/>
    <s v=""/>
    <n v="0"/>
    <n v="0"/>
    <n v="0"/>
    <n v="0"/>
    <s v=""/>
    <n v="6"/>
    <n v="3.7267080745341614"/>
    <n v="6"/>
    <n v="3.7267080745341614"/>
    <n v="4"/>
    <n v="2.4844720496894408"/>
    <n v="1"/>
    <n v="0.6211180124223602"/>
    <s v=""/>
    <n v="19"/>
    <n v="1"/>
    <n v="1"/>
    <n v="38"/>
    <n v="2"/>
    <n v="2"/>
    <n v="1"/>
    <n v="0.6211180124223602"/>
    <n v="22"/>
    <n v="17"/>
    <n v="0"/>
    <n v="0"/>
    <s v=""/>
    <n v="6"/>
    <n v="0"/>
    <n v="0"/>
    <s v="assinatura"/>
    <n v="7136"/>
  </r>
  <r>
    <x v="60"/>
    <x v="9"/>
    <s v="6ac7080d1363200b80961f43"/>
    <s v="07/10/2026 14:07:02"/>
    <s v="08/10/2026 00:03:41"/>
    <s v="Henrique"/>
    <s v="07/10/2026"/>
    <s v="Guapiaçu"/>
    <s v="2 ° Turno"/>
    <n v="130"/>
    <n v="3050"/>
    <s v="JOBILIANA APARECIDA MAXIMO BERGAMINI"/>
    <n v="12"/>
    <n v="12"/>
    <n v="5"/>
    <n v="5"/>
    <n v="2"/>
    <n v="20"/>
    <n v="2"/>
    <n v="2"/>
    <n v="0"/>
    <n v="0"/>
    <n v="0"/>
    <n v="0"/>
    <n v="4"/>
    <n v="1.5384615384615385"/>
    <n v="5"/>
    <n v="3.8461538461538463"/>
    <n v="0"/>
    <n v="0"/>
    <n v="1"/>
    <n v="0.76923076923076927"/>
    <n v="1"/>
    <n v="0.76923076923076927"/>
    <s v=""/>
    <n v="0"/>
    <n v="0"/>
    <n v="0"/>
    <n v="0"/>
    <s v=" "/>
    <n v="8"/>
    <n v="6.1538461538461542"/>
    <n v="5"/>
    <n v="3.8461538461538463"/>
    <n v="6"/>
    <n v="4.6153846153846159"/>
    <n v="1"/>
    <n v="0.76923076923076927"/>
    <s v=""/>
    <n v="16"/>
    <n v="1"/>
    <n v="0"/>
    <n v="32"/>
    <n v="2"/>
    <n v="0"/>
    <n v="2"/>
    <n v="1.5384615384615385"/>
    <n v="20"/>
    <n v="16"/>
    <n v="0"/>
    <n v="0"/>
    <s v=""/>
    <n v="3"/>
    <n v="0"/>
    <n v="0"/>
    <s v="assinatura"/>
    <n v="8126"/>
  </r>
  <r>
    <x v="60"/>
    <x v="9"/>
    <s v="6ac66b4f5981b750ab1ef1b3"/>
    <s v="07/10/2026 11:02:05"/>
    <s v="07/10/2026 12:54:55"/>
    <s v="Henrique"/>
    <s v="07/10/2026"/>
    <s v="Guapiaçu"/>
    <s v="1 ° Turno"/>
    <n v="151"/>
    <n v="3136"/>
    <s v="EDMAR FELIPE MARTINS"/>
    <n v="31"/>
    <n v="31"/>
    <n v="21"/>
    <n v="21"/>
    <n v="0"/>
    <n v="0"/>
    <n v="3"/>
    <n v="3"/>
    <n v="0"/>
    <n v="0"/>
    <n v="0"/>
    <n v="0"/>
    <n v="4"/>
    <n v="1.3245033112582782"/>
    <n v="9"/>
    <n v="5.9602649006622519"/>
    <n v="0"/>
    <n v="0"/>
    <n v="2"/>
    <n v="1.3245033112582782"/>
    <n v="9"/>
    <n v="5.9602649006622519"/>
    <s v=""/>
    <n v="7"/>
    <n v="4.6357615894039732"/>
    <n v="3"/>
    <n v="1.9867549668874174"/>
    <s v=""/>
    <n v="10"/>
    <n v="6.6225165562913908"/>
    <n v="2"/>
    <n v="1.3245033112582782"/>
    <n v="6"/>
    <n v="3.9735099337748347"/>
    <n v="1"/>
    <n v="0.66225165562913912"/>
    <s v=""/>
    <n v="22"/>
    <n v="1"/>
    <n v="1"/>
    <n v="44"/>
    <n v="2"/>
    <n v="2"/>
    <n v="3"/>
    <n v="1.9867549668874174"/>
    <n v="21"/>
    <n v="18"/>
    <n v="1"/>
    <n v="10"/>
    <s v=""/>
    <s v=""/>
    <s v=""/>
    <s v=""/>
    <s v=""/>
    <n v="1982"/>
  </r>
  <r>
    <x v="60"/>
    <x v="9"/>
    <s v="6ac66b4f5981b750ab1ef1a1"/>
    <s v="07/10/2026 08:25:45"/>
    <s v="07/10/2026 12:54:55"/>
    <s v="Henrique"/>
    <s v="07/10/2026"/>
    <s v="Guapiaçu"/>
    <s v="1 ° Turno"/>
    <n v="110"/>
    <n v="2999"/>
    <s v="EDMAR FELIPE MARTINS"/>
    <n v="28"/>
    <n v="28.000000000000004"/>
    <n v="19"/>
    <n v="19"/>
    <n v="0"/>
    <n v="0"/>
    <n v="2"/>
    <n v="2"/>
    <n v="1"/>
    <n v="1"/>
    <n v="0"/>
    <n v="0"/>
    <n v="2"/>
    <n v="0.90909090909090906"/>
    <n v="2"/>
    <n v="1.8181818181818181"/>
    <n v="0"/>
    <n v="0"/>
    <n v="1"/>
    <n v="0.90909090909090906"/>
    <n v="5"/>
    <n v="4.5454545454545459"/>
    <s v=""/>
    <n v="4"/>
    <n v="3.6363636363636362"/>
    <n v="2"/>
    <n v="1.8181818181818181"/>
    <s v=""/>
    <n v="6"/>
    <n v="5.4545454545454541"/>
    <n v="2"/>
    <n v="1.8181818181818181"/>
    <n v="6"/>
    <n v="5.4545454545454541"/>
    <n v="1"/>
    <n v="0.90909090909090906"/>
    <s v=""/>
    <n v="21"/>
    <n v="0"/>
    <n v="0"/>
    <n v="42"/>
    <n v="0"/>
    <n v="0"/>
    <n v="2"/>
    <n v="1.8181818181818181"/>
    <n v="25"/>
    <n v="29"/>
    <n v="1"/>
    <n v="10"/>
    <s v=""/>
    <n v="1"/>
    <n v="0"/>
    <n v="2"/>
    <s v="assinatura"/>
    <n v="1905"/>
  </r>
  <r>
    <x v="60"/>
    <x v="9"/>
    <s v="6ac66b4e5981b750ab1ef189"/>
    <s v="07/10/2026 06:20:19"/>
    <s v="07/10/2026 12:54:54"/>
    <s v="Henrique"/>
    <s v="07/10/2026"/>
    <s v="Guapiaçu"/>
    <s v="1 ° Turno"/>
    <n v="161"/>
    <n v="3055"/>
    <s v="EDMAR FELIPE MARTINS"/>
    <n v="33"/>
    <n v="33"/>
    <n v="19"/>
    <n v="19"/>
    <n v="0"/>
    <n v="0"/>
    <n v="3"/>
    <n v="3"/>
    <n v="1"/>
    <n v="1"/>
    <n v="0"/>
    <n v="0"/>
    <n v="3"/>
    <n v="0.93167701863354035"/>
    <n v="8"/>
    <n v="4.9689440993788816"/>
    <n v="0"/>
    <n v="0"/>
    <n v="1"/>
    <n v="0.6211180124223602"/>
    <n v="6"/>
    <n v="3.7267080745341614"/>
    <s v=""/>
    <n v="3"/>
    <n v="1.8633540372670807"/>
    <n v="2"/>
    <n v="1.2422360248447204"/>
    <s v=""/>
    <n v="9"/>
    <n v="5.5900621118012426"/>
    <n v="3"/>
    <n v="1.8633540372670807"/>
    <n v="7"/>
    <n v="4.3478260869565215"/>
    <n v="1"/>
    <n v="0.6211180124223602"/>
    <s v=""/>
    <n v="20"/>
    <n v="1"/>
    <n v="1"/>
    <n v="40"/>
    <n v="2"/>
    <n v="2"/>
    <n v="3"/>
    <n v="1.8633540372670807"/>
    <n v="19"/>
    <n v="20"/>
    <n v="1"/>
    <n v="10"/>
    <s v=""/>
    <s v=""/>
    <s v=""/>
    <s v=""/>
    <s v=""/>
    <n v="3270"/>
  </r>
  <r>
    <x v="60"/>
    <x v="9"/>
    <s v="6ac66b4e5981b750ab1ef175"/>
    <s v="07/10/2026 04:23:33"/>
    <s v="07/10/2026 12:54:54"/>
    <s v="Henrique"/>
    <s v="07/10/2026"/>
    <s v="Guapiaçu"/>
    <s v="1 ° Turno"/>
    <n v="151"/>
    <n v="2999"/>
    <s v="EDMAR FELIPE MARTINS"/>
    <n v="28"/>
    <n v="28.000000000000004"/>
    <n v="15"/>
    <n v="15"/>
    <n v="0"/>
    <n v="0"/>
    <n v="1"/>
    <n v="1"/>
    <n v="1"/>
    <n v="1"/>
    <n v="0"/>
    <n v="0"/>
    <n v="2"/>
    <n v="0.66225165562913912"/>
    <n v="3"/>
    <n v="1.9867549668874174"/>
    <n v="0"/>
    <n v="0"/>
    <n v="2"/>
    <n v="1.3245033112582782"/>
    <n v="6"/>
    <n v="3.9735099337748347"/>
    <s v=""/>
    <n v="3"/>
    <n v="1.9867549668874174"/>
    <n v="3"/>
    <n v="1.9867549668874174"/>
    <s v=""/>
    <n v="9"/>
    <n v="5.9602649006622519"/>
    <n v="2"/>
    <n v="1.3245033112582782"/>
    <n v="10"/>
    <n v="6.6225165562913908"/>
    <n v="3"/>
    <n v="1.9867549668874174"/>
    <s v=""/>
    <n v="17"/>
    <n v="0"/>
    <n v="0"/>
    <n v="34"/>
    <n v="0"/>
    <n v="0"/>
    <n v="0"/>
    <n v="0"/>
    <n v="19"/>
    <n v="12"/>
    <n v="1"/>
    <n v="10"/>
    <s v=""/>
    <s v=""/>
    <s v=""/>
    <s v=""/>
    <s v="assinatura"/>
    <n v="1541"/>
  </r>
  <r>
    <x v="61"/>
    <x v="9"/>
    <s v="6ac5b4223cf16866fa6d76a1"/>
    <s v="06/10/2026 22:00:41"/>
    <s v="06/10/2026 23:53:22"/>
    <s v="Henrique"/>
    <s v="06/10/2026"/>
    <s v="Guapiaçu"/>
    <s v="2 ° Turno"/>
    <n v="156"/>
    <n v="2952"/>
    <s v="JOBILIANA APARECIDA MAXIMO BERGAMINI"/>
    <n v="20"/>
    <n v="20"/>
    <n v="6"/>
    <n v="6"/>
    <n v="0"/>
    <n v="0"/>
    <n v="0"/>
    <n v="0"/>
    <n v="0"/>
    <n v="0"/>
    <n v="0"/>
    <n v="0"/>
    <n v="6"/>
    <n v="1.9230769230769231"/>
    <n v="4"/>
    <n v="2.5641025641025639"/>
    <n v="0"/>
    <n v="0"/>
    <n v="1"/>
    <n v="0.64102564102564097"/>
    <n v="0"/>
    <n v="0"/>
    <s v=""/>
    <n v="0"/>
    <n v="0"/>
    <n v="0"/>
    <n v="0"/>
    <s v=""/>
    <n v="5"/>
    <n v="3.2051282051282048"/>
    <n v="4"/>
    <n v="2.5641025641025639"/>
    <n v="5"/>
    <n v="3.2051282051282048"/>
    <n v="0"/>
    <n v="0"/>
    <s v=""/>
    <n v="19"/>
    <n v="0"/>
    <n v="0"/>
    <n v="38"/>
    <n v="0"/>
    <n v="0"/>
    <n v="0"/>
    <n v="0"/>
    <n v="20"/>
    <n v="15"/>
    <n v="0"/>
    <n v="0"/>
    <s v=""/>
    <n v="0"/>
    <n v="0"/>
    <n v="0"/>
    <s v="assinatura"/>
    <n v="108"/>
  </r>
  <r>
    <x v="61"/>
    <x v="9"/>
    <s v="6ac5b4213cf16866fa6d7683"/>
    <s v="06/10/2026 19:10:07"/>
    <s v="06/10/2026 23:53:21"/>
    <s v="Henrique"/>
    <s v="06/10/2026"/>
    <s v="Guapiaçu"/>
    <s v="2 ° Turno"/>
    <n v="131"/>
    <n v="2952"/>
    <s v="JOBILIANA APARECIDA MAXIMO BERGAMINI"/>
    <n v="10"/>
    <n v="10"/>
    <n v="5"/>
    <n v="5"/>
    <n v="0"/>
    <n v="0"/>
    <n v="1"/>
    <n v="1"/>
    <n v="0"/>
    <n v="0"/>
    <n v="0"/>
    <n v="0"/>
    <n v="5"/>
    <n v="1.9083969465648856"/>
    <n v="7"/>
    <n v="5.343511450381679"/>
    <n v="0"/>
    <n v="0"/>
    <n v="1"/>
    <n v="0.76335877862595414"/>
    <n v="2"/>
    <n v="1.5267175572519083"/>
    <s v=""/>
    <n v="1"/>
    <n v="0.76335877862595414"/>
    <n v="0"/>
    <n v="0"/>
    <s v=""/>
    <n v="8"/>
    <n v="6.1068702290076331"/>
    <n v="5"/>
    <n v="3.8167938931297711"/>
    <n v="5"/>
    <n v="3.8167938931297711"/>
    <n v="0"/>
    <n v="0"/>
    <s v=""/>
    <n v="18"/>
    <n v="1"/>
    <n v="1"/>
    <n v="36"/>
    <n v="2"/>
    <n v="2"/>
    <n v="0"/>
    <n v="0"/>
    <n v="21"/>
    <n v="19"/>
    <n v="0"/>
    <n v="0"/>
    <s v=""/>
    <n v="0"/>
    <n v="0"/>
    <n v="0"/>
    <s v="assinatura"/>
    <n v="10222"/>
  </r>
  <r>
    <x v="61"/>
    <x v="9"/>
    <s v="6ac5b4213cf16866fa6d7665"/>
    <s v="06/10/2026 14:01:03"/>
    <s v="06/10/2026 23:53:21"/>
    <s v="Henrique"/>
    <s v="06/10/2026"/>
    <s v="Guapiaçu"/>
    <s v="2 ° Turno"/>
    <n v="130"/>
    <n v="2772"/>
    <s v="JOBILIANA APARECIDA MAXIMO BERGAMINI"/>
    <n v="9"/>
    <n v="9"/>
    <s v=""/>
    <s v=""/>
    <n v="10"/>
    <n v="100"/>
    <n v="1"/>
    <n v="1"/>
    <n v="0"/>
    <n v="0"/>
    <n v="0"/>
    <n v="0"/>
    <n v="5"/>
    <n v="1.9230769230769231"/>
    <n v="10"/>
    <n v="7.6923076923076925"/>
    <n v="0"/>
    <n v="0"/>
    <n v="2"/>
    <n v="1.5384615384615385"/>
    <n v="3"/>
    <n v="2.3076923076923079"/>
    <s v=""/>
    <n v="0"/>
    <n v="0"/>
    <n v="0"/>
    <n v="0"/>
    <s v=""/>
    <n v="4"/>
    <n v="3.0769230769230771"/>
    <n v="6"/>
    <n v="4.6153846153846159"/>
    <n v="4"/>
    <n v="3.0769230769230771"/>
    <n v="0"/>
    <n v="0"/>
    <s v=""/>
    <n v="16"/>
    <n v="1"/>
    <n v="0"/>
    <n v="32"/>
    <n v="2"/>
    <n v="0"/>
    <n v="0"/>
    <n v="0"/>
    <n v="20"/>
    <n v="17"/>
    <n v="0"/>
    <n v="0"/>
    <s v=""/>
    <n v="12"/>
    <n v="0"/>
    <n v="0"/>
    <s v="assinatura"/>
    <n v="14183"/>
  </r>
  <r>
    <x v="61"/>
    <x v="9"/>
    <s v="6ac51e7b682319dccbe9eec0"/>
    <s v="06/10/2026 11:40:00"/>
    <s v="06/10/2026 13:14:51"/>
    <s v="Henrique"/>
    <s v="06/10/2026"/>
    <s v="Guapiaçu"/>
    <s v="1 ° Turno"/>
    <n v="161"/>
    <n v="2893"/>
    <s v="EDMAR FELIPE MARTINS"/>
    <n v="27"/>
    <n v="27"/>
    <n v="12"/>
    <n v="12"/>
    <n v="0"/>
    <n v="0"/>
    <n v="2"/>
    <n v="2"/>
    <n v="1"/>
    <n v="1"/>
    <n v="0"/>
    <n v="0"/>
    <n v="2"/>
    <n v="0.6211180124223602"/>
    <n v="6"/>
    <n v="3.7267080745341614"/>
    <n v="0"/>
    <n v="0"/>
    <n v="2"/>
    <n v="1.2422360248447204"/>
    <n v="6"/>
    <n v="3.7267080745341614"/>
    <s v=""/>
    <n v="3"/>
    <n v="1.8633540372670807"/>
    <n v="3"/>
    <n v="1.8633540372670807"/>
    <s v=""/>
    <n v="6"/>
    <n v="3.7267080745341614"/>
    <n v="2"/>
    <n v="1.2422360248447204"/>
    <n v="7"/>
    <n v="4.3478260869565215"/>
    <n v="1"/>
    <n v="0.6211180124223602"/>
    <s v=""/>
    <n v="20"/>
    <n v="0"/>
    <n v="0"/>
    <n v="40"/>
    <n v="0"/>
    <n v="0"/>
    <n v="0"/>
    <n v="0"/>
    <n v="17"/>
    <n v="25"/>
    <n v="1"/>
    <n v="10"/>
    <s v=""/>
    <n v="1"/>
    <n v="0"/>
    <n v="2"/>
    <s v=""/>
    <n v="1856"/>
  </r>
  <r>
    <x v="61"/>
    <x v="9"/>
    <s v="6ac51e7a682319dccbe9eea8"/>
    <s v="06/10/2026 08:29:34"/>
    <s v="06/10/2026 13:14:50"/>
    <s v="Henrique"/>
    <s v="06/10/2026"/>
    <s v="Guapiaçu"/>
    <s v="1 ° Turno"/>
    <n v="161"/>
    <n v="3045"/>
    <s v="EDMAR FELIPE MARTINS"/>
    <n v="25"/>
    <n v="25"/>
    <n v="14"/>
    <n v="14.000000000000002"/>
    <n v="0"/>
    <n v="0"/>
    <n v="3"/>
    <n v="3"/>
    <s v=""/>
    <s v=""/>
    <n v="0"/>
    <n v="0"/>
    <n v="3"/>
    <n v="0.93167701863354035"/>
    <n v="5"/>
    <n v="3.1055900621118013"/>
    <n v="0"/>
    <n v="0"/>
    <n v="1"/>
    <n v="0.6211180124223602"/>
    <n v="8"/>
    <n v="4.9689440993788816"/>
    <s v=""/>
    <n v="3"/>
    <n v="1.8633540372670807"/>
    <n v="2"/>
    <n v="1.2422360248447204"/>
    <s v=""/>
    <n v="6"/>
    <n v="3.7267080745341614"/>
    <n v="2"/>
    <n v="1.2422360248447204"/>
    <n v="7"/>
    <n v="4.3478260869565215"/>
    <n v="1"/>
    <n v="0.6211180124223602"/>
    <s v=""/>
    <n v="20"/>
    <n v="0"/>
    <n v="0"/>
    <n v="40"/>
    <n v="0"/>
    <n v="0"/>
    <n v="2"/>
    <n v="1.2422360248447204"/>
    <n v="19"/>
    <n v="20"/>
    <n v="1"/>
    <n v="10"/>
    <s v=""/>
    <n v="1"/>
    <n v="0"/>
    <n v="1"/>
    <s v="assinatura"/>
    <n v="2796"/>
  </r>
  <r>
    <x v="61"/>
    <x v="9"/>
    <s v="6ac51e7a682319dccbe9ee96"/>
    <s v="06/10/2026 06:35:13"/>
    <s v="06/10/2026 13:14:50"/>
    <s v="Henrique"/>
    <s v="06/10/2026"/>
    <s v="Guapiaçu"/>
    <s v="1 ° Turno"/>
    <n v="156"/>
    <n v="3052"/>
    <s v="EDMAR FELIPE MARTINS"/>
    <n v="20"/>
    <n v="20"/>
    <n v="5"/>
    <n v="5"/>
    <n v="0"/>
    <n v="0"/>
    <n v="3"/>
    <n v="3"/>
    <n v="1"/>
    <n v="1"/>
    <n v="0"/>
    <n v="0"/>
    <n v="3"/>
    <n v="0.96153846153846156"/>
    <n v="6"/>
    <n v="3.8461538461538463"/>
    <n v="0"/>
    <n v="0"/>
    <n v="2"/>
    <n v="1.2820512820512819"/>
    <n v="7"/>
    <n v="4.4871794871794872"/>
    <s v=""/>
    <n v="2"/>
    <n v="1.2820512820512819"/>
    <n v="3"/>
    <n v="1.9230769230769231"/>
    <s v=""/>
    <n v="6"/>
    <n v="3.8461538461538463"/>
    <n v="4"/>
    <n v="2.5641025641025639"/>
    <n v="7"/>
    <n v="4.4871794871794872"/>
    <n v="1"/>
    <n v="0.64102564102564097"/>
    <s v=""/>
    <n v="19"/>
    <n v="0"/>
    <n v="0"/>
    <n v="38"/>
    <n v="0"/>
    <n v="0"/>
    <n v="1"/>
    <n v="0.64102564102564097"/>
    <n v="17"/>
    <n v="19"/>
    <n v="1"/>
    <n v="10"/>
    <s v=""/>
    <s v=""/>
    <s v=""/>
    <s v=""/>
    <s v="assinatura"/>
    <n v="1750"/>
  </r>
  <r>
    <x v="61"/>
    <x v="9"/>
    <s v="6ac51e7a682319dccbe9ee7e"/>
    <s v="06/10/2026 04:23:32"/>
    <s v="06/10/2026 13:14:50"/>
    <s v="Henrique"/>
    <s v="06/10/2026"/>
    <s v="Guapiaçu"/>
    <s v="1 ° Turno"/>
    <n v="156"/>
    <n v="3049"/>
    <s v="EDMAR FELIPE MARTINS"/>
    <n v="25"/>
    <n v="25"/>
    <n v="10"/>
    <n v="10"/>
    <n v="0"/>
    <n v="0"/>
    <n v="3"/>
    <n v="3"/>
    <n v="1"/>
    <n v="1"/>
    <n v="0"/>
    <n v="0"/>
    <n v="4"/>
    <n v="1.2820512820512819"/>
    <n v="8"/>
    <n v="5.1282051282051277"/>
    <n v="0"/>
    <n v="0"/>
    <n v="3"/>
    <n v="1.9230769230769231"/>
    <n v="8"/>
    <n v="5.1282051282051277"/>
    <s v=""/>
    <n v="3"/>
    <n v="1.9230769230769231"/>
    <n v="3"/>
    <n v="1.9230769230769231"/>
    <s v=""/>
    <n v="8"/>
    <n v="5.1282051282051277"/>
    <n v="3"/>
    <n v="1.9230769230769231"/>
    <n v="8"/>
    <n v="5.1282051282051277"/>
    <n v="1"/>
    <n v="0.64102564102564097"/>
    <s v=""/>
    <n v="20"/>
    <n v="0"/>
    <n v="0"/>
    <n v="40"/>
    <n v="0"/>
    <n v="0"/>
    <n v="0"/>
    <n v="0"/>
    <n v="18"/>
    <n v="25"/>
    <n v="0"/>
    <n v="0"/>
    <s v=""/>
    <s v=""/>
    <s v=""/>
    <s v=""/>
    <s v="assinatura"/>
    <n v="1640"/>
  </r>
  <r>
    <x v="62"/>
    <x v="9"/>
    <s v="6ace57c9a903f9d515f5e7d7"/>
    <s v="13/10/2026 12:03:09"/>
    <s v="13/10/2026 13:09:45"/>
    <s v="Henrique"/>
    <s v="13/10/2026"/>
    <s v="Guapiaçu"/>
    <s v="1 ° Turno"/>
    <n v="151"/>
    <n v="3137"/>
    <s v="EDMAR FELIPE MARTINS"/>
    <n v="29"/>
    <n v="28.999999999999996"/>
    <n v="11"/>
    <n v="11"/>
    <n v="0"/>
    <n v="0"/>
    <n v="3"/>
    <n v="3"/>
    <n v="2"/>
    <n v="2"/>
    <n v="0"/>
    <n v="0"/>
    <n v="2"/>
    <n v="0.66225165562913912"/>
    <n v="9"/>
    <n v="5.9602649006622519"/>
    <n v="0"/>
    <n v="0"/>
    <n v="2"/>
    <n v="1.3245033112582782"/>
    <n v="11"/>
    <n v="7.2847682119205297"/>
    <s v=""/>
    <n v="6"/>
    <n v="3.9735099337748347"/>
    <n v="3"/>
    <n v="1.9867549668874174"/>
    <s v=""/>
    <n v="12"/>
    <n v="7.9470198675496695"/>
    <n v="2"/>
    <n v="1.3245033112582782"/>
    <n v="7"/>
    <n v="4.6357615894039732"/>
    <n v="2"/>
    <n v="1.3245033112582782"/>
    <s v=""/>
    <n v="23"/>
    <n v="1"/>
    <n v="1"/>
    <n v="46"/>
    <n v="2"/>
    <n v="2"/>
    <n v="1"/>
    <n v="0.66225165562913912"/>
    <n v="15"/>
    <n v="8"/>
    <n v="1"/>
    <n v="10"/>
    <s v=""/>
    <s v=""/>
    <s v=""/>
    <s v=""/>
    <s v="assinatura"/>
    <n v="2022"/>
  </r>
  <r>
    <x v="62"/>
    <x v="9"/>
    <s v="6ace57c9a903f9d515f5e7bd"/>
    <s v="13/10/2026 08:34:45"/>
    <s v="13/10/2026 13:09:45"/>
    <s v="Henrique"/>
    <s v="13/10/2026"/>
    <s v="Guapiaçu"/>
    <s v="1 ° Turno"/>
    <n v="151"/>
    <n v="3471"/>
    <s v="EDMAR FELIPE MARTINS"/>
    <n v="30"/>
    <n v="30"/>
    <n v="17"/>
    <n v="17"/>
    <n v="0"/>
    <n v="0"/>
    <n v="2"/>
    <n v="2"/>
    <n v="0"/>
    <n v="0"/>
    <n v="0"/>
    <n v="0"/>
    <n v="5"/>
    <n v="1.6556291390728477"/>
    <n v="7"/>
    <n v="4.6357615894039732"/>
    <n v="0"/>
    <n v="0"/>
    <n v="2"/>
    <n v="1.3245033112582782"/>
    <n v="9"/>
    <n v="5.9602649006622519"/>
    <s v=""/>
    <n v="5"/>
    <n v="3.3112582781456954"/>
    <n v="2"/>
    <n v="1.3245033112582782"/>
    <s v=""/>
    <n v="10"/>
    <n v="6.6225165562913908"/>
    <n v="1"/>
    <n v="0.66225165562913912"/>
    <n v="7"/>
    <n v="4.6357615894039732"/>
    <n v="3"/>
    <n v="1.9867549668874174"/>
    <s v=""/>
    <n v="20"/>
    <n v="0"/>
    <n v="0"/>
    <n v="40"/>
    <n v="0"/>
    <n v="0"/>
    <n v="2"/>
    <n v="1.3245033112582782"/>
    <n v="19"/>
    <n v="13"/>
    <n v="1"/>
    <n v="10"/>
    <s v=""/>
    <s v=""/>
    <s v=""/>
    <s v=""/>
    <s v="assinatura"/>
    <n v="1544"/>
  </r>
  <r>
    <x v="62"/>
    <x v="9"/>
    <s v="6ace57c9a903f9d515f5e7ab"/>
    <s v="13/10/2026 06:33:56"/>
    <s v="13/10/2026 13:09:45"/>
    <s v="Henrique"/>
    <s v="13/10/2026"/>
    <s v="Guapiaçu"/>
    <s v="1 ° Turno"/>
    <n v="150"/>
    <n v="3493"/>
    <s v="EDMAR FELIPE MARTINS"/>
    <n v="27"/>
    <n v="27"/>
    <n v="13"/>
    <n v="13"/>
    <n v="0"/>
    <n v="0"/>
    <n v="2"/>
    <n v="2"/>
    <n v="1"/>
    <n v="1"/>
    <n v="0"/>
    <n v="0"/>
    <n v="2"/>
    <n v="0.66666666666666674"/>
    <n v="6"/>
    <n v="4"/>
    <n v="0"/>
    <n v="0"/>
    <n v="2"/>
    <n v="1.3333333333333335"/>
    <n v="8"/>
    <n v="5.3333333333333339"/>
    <s v=""/>
    <n v="7"/>
    <n v="4.666666666666667"/>
    <n v="3"/>
    <n v="2"/>
    <s v=""/>
    <n v="11"/>
    <n v="7.333333333333333"/>
    <n v="2"/>
    <n v="1.3333333333333335"/>
    <n v="8"/>
    <n v="5.3333333333333339"/>
    <n v="3"/>
    <n v="2"/>
    <s v=""/>
    <n v="21"/>
    <n v="0"/>
    <n v="0"/>
    <n v="42"/>
    <n v="0"/>
    <n v="0"/>
    <n v="0"/>
    <n v="0"/>
    <n v="16"/>
    <n v="13"/>
    <n v="1"/>
    <n v="10"/>
    <s v=""/>
    <n v="1"/>
    <n v="0"/>
    <n v="2"/>
    <s v="assinatura"/>
    <n v="2531"/>
  </r>
  <r>
    <x v="62"/>
    <x v="9"/>
    <s v="6ace57c8a903f9d515f5e793"/>
    <s v="13/10/2026 04:35:04"/>
    <s v="13/10/2026 13:09:44"/>
    <s v="Henrique"/>
    <s v="13/10/2026"/>
    <s v="Guapiaçu"/>
    <s v="1 ° Turno"/>
    <n v="151"/>
    <n v="3487"/>
    <s v="EDMAR FELIPE MARTINS"/>
    <n v="25"/>
    <n v="25"/>
    <n v="9"/>
    <n v="9"/>
    <n v="0"/>
    <n v="0"/>
    <n v="3"/>
    <n v="3"/>
    <n v="1"/>
    <n v="1"/>
    <n v="0"/>
    <n v="0"/>
    <n v="2"/>
    <n v="0.66225165562913912"/>
    <n v="10"/>
    <n v="6.6225165562913908"/>
    <n v="1"/>
    <n v="0.66225165562913912"/>
    <n v="3"/>
    <n v="1.9867549668874174"/>
    <n v="9"/>
    <n v="5.9602649006622519"/>
    <s v=""/>
    <n v="7"/>
    <n v="4.6357615894039732"/>
    <n v="3"/>
    <n v="1.9867549668874174"/>
    <s v=""/>
    <n v="12"/>
    <n v="7.9470198675496695"/>
    <n v="3"/>
    <n v="1.9867549668874174"/>
    <n v="9"/>
    <n v="5.9602649006622519"/>
    <n v="4"/>
    <n v="2.6490066225165565"/>
    <s v=""/>
    <n v="22"/>
    <n v="0"/>
    <n v="0"/>
    <n v="44"/>
    <n v="0"/>
    <n v="0"/>
    <n v="1"/>
    <n v="0.66225165562913912"/>
    <n v="15"/>
    <n v="9"/>
    <n v="1"/>
    <n v="10"/>
    <s v=""/>
    <s v=""/>
    <s v=""/>
    <s v=""/>
    <s v=""/>
    <n v="3013"/>
  </r>
  <r>
    <x v="63"/>
    <x v="9"/>
    <s v="6ac9a536eef9822e921346ff"/>
    <s v="09/10/2026 20:03:52"/>
    <s v="09/10/2026 23:38:46"/>
    <s v="Henrique"/>
    <s v="09/10/2026"/>
    <s v="Guapiaçu"/>
    <s v="2 ° Turno"/>
    <n v="150"/>
    <n v="3060"/>
    <s v="JOBILIANA APARECIDA MAXIMO BERGAMINI"/>
    <n v="10"/>
    <n v="10"/>
    <n v="4"/>
    <n v="4"/>
    <n v="0"/>
    <n v="0"/>
    <n v="2"/>
    <n v="2"/>
    <n v="1"/>
    <n v="1"/>
    <n v="0"/>
    <n v="0"/>
    <n v="3"/>
    <n v="1"/>
    <n v="4"/>
    <n v="2.666666666666667"/>
    <n v="0"/>
    <n v="0"/>
    <n v="2"/>
    <n v="1.3333333333333335"/>
    <n v="1"/>
    <n v="0.66666666666666674"/>
    <s v=""/>
    <n v="0"/>
    <n v="0"/>
    <n v="0"/>
    <n v="0"/>
    <s v=""/>
    <n v="5"/>
    <n v="3.3333333333333335"/>
    <n v="5"/>
    <n v="3.3333333333333335"/>
    <n v="5"/>
    <n v="3.3333333333333335"/>
    <n v="0"/>
    <n v="0"/>
    <s v=""/>
    <n v="15"/>
    <n v="0"/>
    <n v="0"/>
    <n v="30"/>
    <n v="0"/>
    <n v="0"/>
    <n v="0"/>
    <n v="0"/>
    <n v="20"/>
    <n v="16"/>
    <n v="0"/>
    <n v="0"/>
    <s v=""/>
    <n v="0"/>
    <n v="0"/>
    <n v="0"/>
    <s v="assinatura"/>
    <n v="2456"/>
  </r>
  <r>
    <x v="63"/>
    <x v="9"/>
    <s v="6ac9a536eef9822e921346ed"/>
    <s v="09/10/2026 18:06:45"/>
    <s v="09/10/2026 23:38:46"/>
    <s v="Henrique"/>
    <s v="09/10/2026"/>
    <s v="Guapiaçu"/>
    <s v="2 ° Turno"/>
    <n v="161"/>
    <n v="3231"/>
    <s v="JOBILIANA APARECIDA MAXIMO BERGAMINI"/>
    <n v="11"/>
    <n v="11"/>
    <n v="5"/>
    <n v="5"/>
    <n v="2"/>
    <n v="20"/>
    <n v="2"/>
    <n v="2"/>
    <n v="1"/>
    <n v="1"/>
    <s v=""/>
    <s v=""/>
    <n v="6"/>
    <n v="1.8633540372670807"/>
    <n v="13"/>
    <n v="8.0745341614906838"/>
    <n v="0"/>
    <n v="0"/>
    <n v="2"/>
    <n v="1.2422360248447204"/>
    <n v="3"/>
    <n v="1.8633540372670807"/>
    <s v=""/>
    <n v="1"/>
    <n v="0.6211180124223602"/>
    <n v="0"/>
    <n v="0"/>
    <s v=""/>
    <n v="10"/>
    <n v="6.2111801242236027"/>
    <n v="5"/>
    <n v="3.1055900621118013"/>
    <n v="6"/>
    <n v="3.7267080745341614"/>
    <n v="0"/>
    <n v="0"/>
    <s v=""/>
    <n v="16"/>
    <n v="0"/>
    <n v="0"/>
    <n v="32"/>
    <n v="0"/>
    <n v="0"/>
    <n v="0"/>
    <n v="0"/>
    <n v="20"/>
    <n v="17"/>
    <n v="0"/>
    <n v="0"/>
    <s v=""/>
    <n v="0"/>
    <n v="0"/>
    <n v="0"/>
    <s v="assinatura"/>
    <n v="6507"/>
  </r>
  <r>
    <x v="63"/>
    <x v="9"/>
    <s v="6ac9a535eef9822e921346d5"/>
    <s v="09/10/2026 13:36:49"/>
    <s v="09/10/2026 23:38:45"/>
    <s v="Henrique"/>
    <s v="09/10/2026"/>
    <s v="Guapiaçu"/>
    <s v="2 ° Turno"/>
    <n v="130"/>
    <n v="2792"/>
    <s v="JOBILIANA APARECIDA MAXIMO BERGAMINI"/>
    <n v="6"/>
    <n v="6"/>
    <n v="5"/>
    <n v="5"/>
    <n v="1"/>
    <n v="10"/>
    <n v="2"/>
    <n v="2"/>
    <n v="1"/>
    <n v="1"/>
    <n v="0"/>
    <n v="0"/>
    <n v="3"/>
    <n v="1.153846153846154"/>
    <n v="7"/>
    <n v="5.384615384615385"/>
    <n v="0"/>
    <n v="0"/>
    <n v="1"/>
    <n v="0.76923076923076927"/>
    <n v="1"/>
    <n v="0.76923076923076927"/>
    <s v=""/>
    <n v="0"/>
    <n v="0"/>
    <n v="0"/>
    <n v="0"/>
    <s v=""/>
    <n v="6"/>
    <n v="4.6153846153846159"/>
    <n v="5"/>
    <n v="3.8461538461538463"/>
    <n v="5"/>
    <n v="3.8461538461538463"/>
    <n v="0"/>
    <n v="0"/>
    <s v=""/>
    <n v="16"/>
    <n v="0"/>
    <n v="0"/>
    <n v="32"/>
    <n v="0"/>
    <n v="0"/>
    <n v="1"/>
    <n v="0.76923076923076927"/>
    <n v="21"/>
    <n v="17"/>
    <n v="0"/>
    <n v="0"/>
    <s v=""/>
    <n v="3"/>
    <n v="0"/>
    <n v="0"/>
    <s v="assinatura"/>
    <n v="16112"/>
  </r>
  <r>
    <x v="63"/>
    <x v="9"/>
    <s v="6ac910c878034b104e280da9"/>
    <s v="09/10/2026 11:36:14"/>
    <s v="09/10/2026 13:05:28"/>
    <s v="Henrique"/>
    <s v="09/10/2026"/>
    <s v="Guapiaçu"/>
    <s v="1 ° Turno"/>
    <n v="161"/>
    <n v="3047"/>
    <s v="EDMAR FELIPE MARTINS"/>
    <n v="27"/>
    <n v="27"/>
    <n v="12"/>
    <n v="12"/>
    <n v="0"/>
    <n v="0"/>
    <n v="1"/>
    <n v="1"/>
    <n v="1"/>
    <n v="1"/>
    <n v="0"/>
    <n v="0"/>
    <n v="2"/>
    <n v="0.6211180124223602"/>
    <n v="9"/>
    <n v="5.5900621118012426"/>
    <n v="0"/>
    <n v="0"/>
    <n v="2"/>
    <n v="1.2422360248447204"/>
    <n v="8"/>
    <n v="4.9689440993788816"/>
    <s v=""/>
    <n v="6"/>
    <n v="3.7267080745341614"/>
    <n v="3"/>
    <n v="1.8633540372670807"/>
    <s v=""/>
    <n v="12"/>
    <n v="7.4534161490683228"/>
    <n v="1"/>
    <n v="0.6211180124223602"/>
    <n v="7"/>
    <n v="4.3478260869565215"/>
    <n v="1"/>
    <n v="0.6211180124223602"/>
    <s v=""/>
    <n v="21"/>
    <n v="0"/>
    <n v="0"/>
    <n v="42"/>
    <n v="0"/>
    <n v="0"/>
    <n v="1"/>
    <n v="0.6211180124223602"/>
    <n v="20"/>
    <n v="23"/>
    <n v="1"/>
    <n v="10"/>
    <s v=""/>
    <s v=""/>
    <s v=""/>
    <s v=""/>
    <s v="assinatura"/>
    <n v="1105"/>
  </r>
  <r>
    <x v="63"/>
    <x v="9"/>
    <s v="6ac910c778034b104e280d97"/>
    <s v="09/10/2026 08:38:16"/>
    <s v="09/10/2026 13:05:27"/>
    <s v="Henrique"/>
    <s v="09/10/2026"/>
    <s v="Guapiaçu"/>
    <s v="1 ° Turno"/>
    <n v="161"/>
    <n v="2667"/>
    <s v="EDMAR FELIPE MARTINS"/>
    <n v="35"/>
    <n v="35"/>
    <n v="15"/>
    <n v="15"/>
    <n v="0"/>
    <n v="0"/>
    <n v="1"/>
    <n v="1"/>
    <n v="1"/>
    <n v="1"/>
    <n v="0"/>
    <n v="0"/>
    <n v="1"/>
    <n v="0.3105590062111801"/>
    <n v="3"/>
    <n v="1.8633540372670807"/>
    <n v="0"/>
    <n v="0"/>
    <n v="3"/>
    <n v="1.8633540372670807"/>
    <n v="9"/>
    <n v="5.5900621118012426"/>
    <s v=""/>
    <n v="5"/>
    <n v="3.1055900621118013"/>
    <n v="3"/>
    <n v="1.8633540372670807"/>
    <s v=""/>
    <n v="12"/>
    <n v="7.4534161490683228"/>
    <n v="2"/>
    <n v="1.2422360248447204"/>
    <n v="8"/>
    <n v="4.9689440993788816"/>
    <n v="1"/>
    <n v="0.6211180124223602"/>
    <s v=""/>
    <n v="18"/>
    <n v="0"/>
    <n v="0"/>
    <n v="36"/>
    <n v="0"/>
    <n v="0"/>
    <n v="0"/>
    <n v="0"/>
    <n v="22"/>
    <n v="25"/>
    <n v="1"/>
    <n v="10"/>
    <s v=""/>
    <n v="2"/>
    <n v="0"/>
    <n v="1"/>
    <s v="assinatura"/>
    <n v="1954"/>
  </r>
  <r>
    <x v="63"/>
    <x v="9"/>
    <s v="6ac910c778034b104e280d85"/>
    <s v="09/10/2026 06:38:11"/>
    <s v="09/10/2026 13:05:27"/>
    <s v="Henrique"/>
    <s v="09/10/2026"/>
    <s v="Guapiaçu"/>
    <s v="1 ° Turno"/>
    <n v="161"/>
    <n v="2693"/>
    <s v="EDMAR FELIPE MARTINS"/>
    <n v="35"/>
    <n v="35"/>
    <n v="23"/>
    <n v="23"/>
    <n v="0"/>
    <n v="0"/>
    <n v="1"/>
    <n v="1"/>
    <n v="1"/>
    <n v="1"/>
    <n v="0"/>
    <n v="0"/>
    <n v="1"/>
    <n v="0.3105590062111801"/>
    <n v="3"/>
    <n v="1.8633540372670807"/>
    <n v="0"/>
    <n v="0"/>
    <n v="1"/>
    <n v="0.6211180124223602"/>
    <n v="6"/>
    <n v="3.7267080745341614"/>
    <s v=""/>
    <n v="3"/>
    <n v="1.8633540372670807"/>
    <n v="2"/>
    <n v="1.2422360248447204"/>
    <s v=""/>
    <n v="8"/>
    <n v="4.9689440993788816"/>
    <n v="1"/>
    <n v="0.6211180124223602"/>
    <n v="7"/>
    <n v="4.3478260869565215"/>
    <n v="1"/>
    <n v="0.6211180124223602"/>
    <s v=""/>
    <n v="19"/>
    <n v="0"/>
    <n v="0"/>
    <n v="38"/>
    <n v="0"/>
    <n v="0"/>
    <n v="1"/>
    <n v="0.6211180124223602"/>
    <n v="21"/>
    <n v="22"/>
    <n v="1"/>
    <n v="10"/>
    <s v=""/>
    <n v="1"/>
    <n v="0"/>
    <n v="1"/>
    <s v="assinatura"/>
    <n v="2579"/>
  </r>
  <r>
    <x v="63"/>
    <x v="9"/>
    <s v="6ac910c778034b104e280d73"/>
    <s v="09/10/2026 04:24:56"/>
    <s v="09/10/2026 13:05:27"/>
    <s v="Henrique"/>
    <s v="09/10/2026"/>
    <s v="Guapiaçu"/>
    <s v="1 ° Turno"/>
    <n v="151"/>
    <n v="2994"/>
    <s v="EDMAR FELIPE MARTINS"/>
    <n v="23"/>
    <n v="23"/>
    <n v="14"/>
    <n v="14.000000000000002"/>
    <n v="0"/>
    <n v="0"/>
    <n v="2"/>
    <n v="2"/>
    <n v="0"/>
    <n v="0"/>
    <n v="0"/>
    <n v="0"/>
    <n v="1"/>
    <n v="0.33112582781456956"/>
    <n v="3"/>
    <n v="1.9867549668874174"/>
    <n v="0"/>
    <n v="0"/>
    <n v="2"/>
    <n v="1.3245033112582782"/>
    <n v="8"/>
    <n v="5.298013245033113"/>
    <s v=""/>
    <n v="3"/>
    <n v="1.9867549668874174"/>
    <n v="2"/>
    <n v="1.3245033112582782"/>
    <s v=""/>
    <n v="9"/>
    <n v="5.9602649006622519"/>
    <n v="1"/>
    <n v="0.66225165562913912"/>
    <n v="8"/>
    <n v="5.298013245033113"/>
    <n v="1"/>
    <n v="0.66225165562913912"/>
    <s v=""/>
    <n v="20"/>
    <n v="0"/>
    <n v="0"/>
    <n v="40"/>
    <n v="0"/>
    <n v="0"/>
    <n v="0"/>
    <n v="0"/>
    <n v="25"/>
    <n v="18"/>
    <n v="1"/>
    <n v="10"/>
    <s v=""/>
    <s v=""/>
    <s v=""/>
    <s v=""/>
    <s v="assinatura"/>
    <n v="1731"/>
  </r>
  <r>
    <x v="59"/>
    <x v="9"/>
    <s v="6ac853d99b36bf80de8aa09a"/>
    <s v="08/10/2026 21:34:23"/>
    <s v="08/10/2026 23:39:21"/>
    <s v="Henrique"/>
    <s v="08/10/2026"/>
    <s v="Guapiaçu"/>
    <s v="2 ° Turno"/>
    <n v="161"/>
    <n v="3303"/>
    <s v="JOBILIANA APARECIDA MAXIMO BERGAMINI"/>
    <n v="20"/>
    <n v="20"/>
    <n v="4"/>
    <n v="4"/>
    <n v="0"/>
    <n v="0"/>
    <n v="2"/>
    <n v="2"/>
    <n v="0"/>
    <n v="0"/>
    <n v="0"/>
    <n v="0"/>
    <n v="4"/>
    <n v="1.2422360248447204"/>
    <n v="4"/>
    <n v="2.4844720496894408"/>
    <n v="0"/>
    <n v="0"/>
    <n v="2"/>
    <n v="1.2422360248447204"/>
    <n v="3"/>
    <n v="1.8633540372670807"/>
    <s v=""/>
    <n v="0"/>
    <n v="0"/>
    <n v="0"/>
    <n v="0"/>
    <s v=""/>
    <n v="6"/>
    <n v="3.7267080745341614"/>
    <n v="5"/>
    <n v="3.1055900621118013"/>
    <n v="5"/>
    <n v="3.1055900621118013"/>
    <n v="0"/>
    <n v="0"/>
    <s v=""/>
    <n v="16"/>
    <n v="0"/>
    <n v="0"/>
    <n v="32"/>
    <n v="0"/>
    <n v="0"/>
    <n v="0"/>
    <n v="0"/>
    <n v="20"/>
    <n v="16"/>
    <n v="0"/>
    <n v="0"/>
    <s v=""/>
    <n v="3"/>
    <n v="0"/>
    <n v="0"/>
    <s v="assinatura"/>
    <n v="4490"/>
  </r>
  <r>
    <x v="59"/>
    <x v="9"/>
    <s v="6ac853d89b36bf80de8aa082"/>
    <s v="08/10/2026 19:28:15"/>
    <s v="08/10/2026 23:39:20"/>
    <s v="Henrique"/>
    <s v="08/10/2026"/>
    <s v="Guapiaçu"/>
    <s v="2 ° Turno"/>
    <n v="161"/>
    <n v="3137"/>
    <s v="JOBILIANA APARECIDA MAXIMO BERGAMINI"/>
    <n v="19"/>
    <n v="19"/>
    <n v="5"/>
    <n v="5"/>
    <n v="0"/>
    <n v="0"/>
    <n v="1"/>
    <n v="1"/>
    <n v="0"/>
    <n v="0"/>
    <n v="0"/>
    <n v="0"/>
    <n v="4"/>
    <n v="1.2422360248447204"/>
    <n v="5"/>
    <n v="3.1055900621118013"/>
    <n v="0"/>
    <n v="0"/>
    <n v="1"/>
    <n v="0.6211180124223602"/>
    <n v="2"/>
    <n v="1.2422360248447204"/>
    <s v=""/>
    <n v="0"/>
    <n v="0"/>
    <n v="0"/>
    <n v="0"/>
    <s v=""/>
    <n v="5"/>
    <n v="3.1055900621118013"/>
    <n v="6"/>
    <n v="3.7267080745341614"/>
    <n v="4"/>
    <n v="2.4844720496894408"/>
    <n v="0"/>
    <n v="0"/>
    <s v=""/>
    <n v="18"/>
    <n v="0"/>
    <n v="0"/>
    <n v="36"/>
    <n v="0"/>
    <n v="0"/>
    <n v="0"/>
    <n v="0"/>
    <n v="22"/>
    <n v="18"/>
    <n v="1"/>
    <n v="10"/>
    <s v=""/>
    <n v="6"/>
    <n v="0"/>
    <n v="0"/>
    <s v="assinatura"/>
    <n v="6538"/>
  </r>
  <r>
    <x v="59"/>
    <x v="9"/>
    <s v="6ac853d89b36bf80de8aa058"/>
    <s v="08/10/2026 14:17:36"/>
    <s v="08/10/2026 23:39:20"/>
    <s v="Henrique"/>
    <s v="08/10/2026"/>
    <s v="Guapiaçu"/>
    <s v="2 ° Turno"/>
    <n v="130"/>
    <n v="3056"/>
    <s v="JOBILIANA APARECIDA MAXIMO BERGAMINI"/>
    <n v="16"/>
    <n v="16"/>
    <n v="5"/>
    <n v="5"/>
    <n v="0"/>
    <n v="0"/>
    <n v="1"/>
    <n v="1"/>
    <n v="0"/>
    <n v="0"/>
    <n v="0"/>
    <n v="0"/>
    <n v="4"/>
    <n v="1.5384615384615385"/>
    <n v="7"/>
    <n v="5.384615384615385"/>
    <n v="0"/>
    <n v="0"/>
    <n v="2"/>
    <n v="1.5384615384615385"/>
    <n v="3"/>
    <n v="2.3076923076923079"/>
    <s v=""/>
    <n v="0"/>
    <n v="0"/>
    <n v="0"/>
    <n v="0"/>
    <s v=""/>
    <n v="6"/>
    <n v="4.6153846153846159"/>
    <n v="5"/>
    <n v="3.8461538461538463"/>
    <n v="5"/>
    <n v="3.8461538461538463"/>
    <n v="1"/>
    <n v="0.76923076923076927"/>
    <s v=""/>
    <n v="16"/>
    <n v="0"/>
    <n v="0"/>
    <n v="32"/>
    <n v="0"/>
    <n v="0"/>
    <n v="0"/>
    <n v="0"/>
    <n v="20"/>
    <n v="16"/>
    <n v="0"/>
    <n v="0"/>
    <s v=""/>
    <n v="3"/>
    <n v="0"/>
    <n v="0"/>
    <s v="assinatura"/>
    <n v="103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16" applyNumberFormats="0" applyBorderFormats="0" applyFontFormats="0" applyPatternFormats="0" applyAlignmentFormats="0" applyWidthHeightFormats="1" dataCaption="Valores" updatedVersion="5" minRefreshableVersion="3" preserveFormatting="0" rowGrandTotals="0" colGrandTotals="0" itemPrintTitles="1" createdVersion="5" indent="0" outline="1" outlineData="1" multipleFieldFilters="0">
  <location ref="R113:Y114" firstHeaderRow="1" firstDataRow="2" firstDataCol="0"/>
  <pivotFields count="67">
    <pivotField axis="axisCol" numFmtId="14" showAll="0" sortType="ascending">
      <items count="66">
        <item x="0"/>
        <item x="1"/>
        <item x="2"/>
        <item x="3"/>
        <item x="4"/>
        <item x="5"/>
        <item m="1" x="64"/>
        <item x="6"/>
        <item x="15"/>
        <item x="14"/>
        <item x="13"/>
        <item x="12"/>
        <item x="11"/>
        <item x="10"/>
        <item x="9"/>
        <item x="8"/>
        <item x="7"/>
        <item x="17"/>
        <item x="16"/>
        <item x="18"/>
        <item x="19"/>
        <item x="23"/>
        <item x="22"/>
        <item x="21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7"/>
        <item x="36"/>
        <item x="38"/>
        <item x="40"/>
        <item x="39"/>
        <item x="42"/>
        <item x="41"/>
        <item x="43"/>
        <item x="44"/>
        <item x="45"/>
        <item x="47"/>
        <item x="46"/>
        <item x="48"/>
        <item x="50"/>
        <item x="49"/>
        <item x="52"/>
        <item x="51"/>
        <item x="53"/>
        <item x="54"/>
        <item x="55"/>
        <item x="56"/>
        <item x="58"/>
        <item x="57"/>
        <item x="61"/>
        <item x="60"/>
        <item x="59"/>
        <item x="63"/>
        <item x="62"/>
        <item t="default"/>
      </items>
    </pivotField>
    <pivotField showAll="0">
      <items count="11">
        <item h="1" x="0"/>
        <item h="1" x="1"/>
        <item h="1" x="2"/>
        <item h="1" x="3"/>
        <item h="1" x="4"/>
        <item h="1" x="5"/>
        <item h="1" x="7"/>
        <item h="1" x="6"/>
        <item h="1"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/>
    <pivotField showAll="0" defaultSubtotal="0"/>
    <pivotField showAll="0" defaultSubtotal="0"/>
    <pivotField showAll="0" defaultSubtota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numFmtId="2" showAll="0" defaultSubtotal="0"/>
    <pivotField showAll="0"/>
    <pivotField numFmtId="2" showAll="0" defaultSubtotal="0"/>
    <pivotField showAll="0"/>
    <pivotField numFmtId="2" showAll="0" defaultSubtotal="0"/>
    <pivotField showAll="0"/>
    <pivotField numFmtId="2" showAll="0" defaultSubtotal="0"/>
    <pivotField showAll="0"/>
    <pivotField showAll="0"/>
    <pivotField numFmtId="2" showAll="0" defaultSubtotal="0"/>
    <pivotField showAll="0"/>
    <pivotField numFmtId="2" showAll="0" defaultSubtotal="0"/>
    <pivotField showAll="0"/>
    <pivotField showAll="0"/>
    <pivotField numFmtId="2" showAll="0" defaultSubtotal="0"/>
    <pivotField showAll="0" defaultSubtotal="0"/>
    <pivotField showAll="0" defaultSubtotal="0"/>
    <pivotField showAll="0"/>
    <pivotField numFmtId="2" showAll="0" defaultSubtotal="0"/>
    <pivotField showAll="0"/>
    <pivotField numFmtId="2" showAll="0" defaultSubtotal="0"/>
    <pivotField showAll="0"/>
    <pivotField showAll="0"/>
    <pivotField showAll="0"/>
    <pivotField showAll="0"/>
    <pivotField showAll="0" defaultSubtota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/>
    <pivotField showAll="0" defaultSubtotal="0"/>
    <pivotField showAll="0" defaultSubtotal="0"/>
    <pivotField showAll="0" defaultSubtotal="0"/>
    <pivotField showAll="0"/>
    <pivotField showAll="0"/>
  </pivotFields>
  <rowItems count="1">
    <i/>
  </rowItems>
  <colFields count="1">
    <field x="0"/>
  </colFields>
  <colItems count="8"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2" name="Tabela dinâmica1"/>
  </pivotTables>
  <data>
    <tabular pivotCacheId="1">
      <items count="10">
        <i x="0"/>
        <i x="1"/>
        <i x="2"/>
        <i x="3"/>
        <i x="4"/>
        <i x="5"/>
        <i x="7"/>
        <i x="6"/>
        <i x="8"/>
        <i x="9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Item_1" sourceName="Item 1">
  <extLst>
    <x:ext xmlns:x15="http://schemas.microsoft.com/office/spreadsheetml/2010/11/main" uri="{2F2917AC-EB37-4324-AD4E-5DD8C200BD13}">
      <x15:tableSlicerCache tableId="2" column="1" sortOrder="descending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ipo" sourceName="Tipo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6" rowHeight="180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Item 1" cache="SegmentaçãodeDados_Item_1" caption="Item 1" columnCount="4" showCaption="0" style="SlicerStyleDark6" rowHeight="180000"/>
  <slicer name="Tipo" cache="SegmentaçãodeDados_Tipo" caption="Tipo" showCaption="0" style="SlicerStyleDark6" rowHeight="126000"/>
</slicers>
</file>

<file path=xl/tables/table1.xml><?xml version="1.0" encoding="utf-8"?>
<table xmlns="http://schemas.openxmlformats.org/spreadsheetml/2006/main" id="2" name="Tabela2" displayName="Tabela2" ref="A3:B83" totalsRowShown="0" headerRowDxfId="62" dataDxfId="61">
  <autoFilter ref="A3:B83"/>
  <tableColumns count="2">
    <tableColumn id="2" name="Tipo" dataDxfId="60">
      <calculatedColumnFormula>VLOOKUP(Tabela2[[#This Row],[Item 1]],Apoio!$A$2:$B$41,2,0)</calculatedColumnFormula>
    </tableColumn>
    <tableColumn id="1" name="Item 1" dataDxfId="59">
      <calculatedColumnFormula>IF(C4=0,B3,C4)</calculatedColumnFormula>
    </tableColumn>
  </tableColumns>
  <tableStyleInfo name="Estilo de Tabela 1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BO372" totalsRowShown="0" headerRowDxfId="58">
  <autoFilter ref="A1:BO372"/>
  <tableColumns count="67">
    <tableColumn id="54" name="Data Corrigida" dataDxfId="57">
      <calculatedColumnFormula>INT(Tabela1[[#This Row],[Data e Hora]])</calculatedColumnFormula>
    </tableColumn>
    <tableColumn id="55" name="Mês" dataDxfId="56">
      <calculatedColumnFormula>UPPER(TEXT(Tabela1[[#This Row],[Data Corrigida]],"MMM"))</calculatedColumnFormula>
    </tableColumn>
    <tableColumn id="1" name="ID"/>
    <tableColumn id="2" name="Data Coleta"/>
    <tableColumn id="3" name="Data recebimento"/>
    <tableColumn id="4" name="Usuário"/>
    <tableColumn id="5" name="Data e Hora" dataDxfId="55"/>
    <tableColumn id="6" name="Unidade"/>
    <tableColumn id="7" name="Turno"/>
    <tableColumn id="8" name="Velocidade (FPM)" dataDxfId="54"/>
    <tableColumn id="9" name="Peso Médio (g)" dataDxfId="53"/>
    <tableColumn id="10" name="Responsável pelo Monitoramento"/>
    <tableColumn id="11" name="Pena após Depenadeira" dataDxfId="52"/>
    <tableColumn id="61" name="% Pena após Depenadeira" dataDxfId="51" dataCellStyle="Porcentagem">
      <calculatedColumnFormula>Tabela1[[#This Row],[Pena após Depenadeira]]/Tabela1[[#This Row],[Velocidade (FPM)]]*100</calculatedColumnFormula>
    </tableColumn>
    <tableColumn id="12" name="Pena após Repasse" dataDxfId="50"/>
    <tableColumn id="62" name="% Pena após Repasse" dataDxfId="49" dataCellStyle="Porcentagem">
      <calculatedColumnFormula>Tabela1[[#This Row],[Pena após Repasse]]/Tabela1[[#This Row],[Velocidade (FPM)]]*100</calculatedColumnFormula>
    </tableColumn>
    <tableColumn id="13" name="Carcaça Quebrada" dataDxfId="48"/>
    <tableColumn id="58" name="% Carcaça quebrada" dataDxfId="47"/>
    <tableColumn id="14" name="Fratura Branca" dataDxfId="46"/>
    <tableColumn id="59" name="% Fratura Branca" dataDxfId="45"/>
    <tableColumn id="15" name="Hematoma Fabrica" dataDxfId="44"/>
    <tableColumn id="60" name="% Hematoma Fabrica" dataDxfId="43"/>
    <tableColumn id="16" name="Peito Queimado" dataDxfId="42"/>
    <tableColumn id="56" name="% Peito Queimado" dataDxfId="41"/>
    <tableColumn id="17" name="Retorno Pés" dataDxfId="40"/>
    <tableColumn id="57" name="% Retorno Pés" dataDxfId="39">
      <calculatedColumnFormula>IFERROR(Tabela1[[#This Row],[Retorno Pés]]/Tabela1[[#This Row],[Velocidade (FPM)]]*100,"")</calculatedColumnFormula>
    </tableColumn>
    <tableColumn id="18" name="Cloca não Exposta" dataDxfId="38"/>
    <tableColumn id="19" name="% Clocaca mal Exposta" dataDxfId="37"/>
    <tableColumn id="20" name="Cloaca Rompida" dataDxfId="36"/>
    <tableColumn id="21" name="% Cloacas Rompidas" dataDxfId="35"/>
    <tableColumn id="22" name="Contaminação após extratora" dataDxfId="34"/>
    <tableColumn id="23" name="% Contaminação Após Extratora" dataDxfId="33"/>
    <tableColumn id="24" name="Corte no Reto" dataDxfId="32"/>
    <tableColumn id="25" name="% Corte no Reto" dataDxfId="31"/>
    <tableColumn id="26" name="Observações" dataDxfId="30"/>
    <tableColumn id="27" name="Abdome mal aberto" dataDxfId="29"/>
    <tableColumn id="28" name="% Abdome mal abertos" dataDxfId="28"/>
    <tableColumn id="29" name="Corte de Intestino" dataDxfId="27"/>
    <tableColumn id="30" name="% Corte de Intestino" dataDxfId="26"/>
    <tableColumn id="31" name="Observações 2" dataDxfId="25"/>
    <tableColumn id="32" name="Carcaças com Pacotes mal extraídos" dataDxfId="24"/>
    <tableColumn id="33" name="% Carcaças com Pacotes Mal Extraídos" dataDxfId="23"/>
    <tableColumn id="66" name="Perda de pacotes na evisceradora" dataDxfId="22"/>
    <tableColumn id="67" name="% Perda de pacotes na evisceradora " dataDxfId="21"/>
    <tableColumn id="34" name="Contaminação externa após a evisceradora" dataDxfId="20"/>
    <tableColumn id="35" name="% Contaminação Externa Após a Evisceradora" dataDxfId="19"/>
    <tableColumn id="36" name="Contaminação interna após a evisceradora" dataDxfId="18"/>
    <tableColumn id="37" name="% Contaminação Interna Após Evisceradora" dataDxfId="17"/>
    <tableColumn id="38" name="Observações 3" dataDxfId="16"/>
    <tableColumn id="39" name="Pro ventrículo não integro" dataDxfId="15"/>
    <tableColumn id="40" name="Retirada de Coração" dataDxfId="14"/>
    <tableColumn id="41" name="Retirada de Fígado" dataDxfId="13"/>
    <tableColumn id="42" name="% Pro ventrículo não integro" dataDxfId="12"/>
    <tableColumn id="43" name="% Retirada de Coração" dataDxfId="11"/>
    <tableColumn id="44" name="% Retirada de Fígado" dataDxfId="10"/>
    <tableColumn id="63" name="Presença de moela apos linha de retirada" dataDxfId="9"/>
    <tableColumn id="64" name="% Presença de moela apos linha de retirada" dataDxfId="8"/>
    <tableColumn id="45" name="% Queratina na moela" dataDxfId="7"/>
    <tableColumn id="46" name="% Erro de corte na moela" dataDxfId="6"/>
    <tableColumn id="47" name="Carcaças quebradas após papo - traquéia" dataDxfId="5"/>
    <tableColumn id="65" name="% Carcaças quebradas após papo - traquéia" dataDxfId="4"/>
    <tableColumn id="48" name="Miúdos Palma A" dataDxfId="3"/>
    <tableColumn id="49" name="Palma com Calos pós Chiller" dataDxfId="2"/>
    <tableColumn id="50" name="Palma com Fratura externa" dataDxfId="1"/>
    <tableColumn id="51" name="Palma com Fratura interna" dataDxfId="0"/>
    <tableColumn id="52" name="Assinatura Coordenador/Supervisor/Operador"/>
    <tableColumn id="53" name="Tempo de resposta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microsoft.com/office/2007/relationships/slicer" Target="../slicers/slicer2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63"/>
  <sheetViews>
    <sheetView showGridLines="0" tabSelected="1" zoomScaleNormal="100" zoomScaleSheetLayoutView="100" workbookViewId="0">
      <pane xSplit="4" ySplit="5" topLeftCell="E51" activePane="bottomRight" state="frozen"/>
      <selection activeCell="B1" sqref="B1"/>
      <selection pane="topRight" activeCell="D1" sqref="D1"/>
      <selection pane="bottomLeft" activeCell="B6" sqref="B6"/>
      <selection pane="bottomRight" activeCell="U59" sqref="U59"/>
    </sheetView>
  </sheetViews>
  <sheetFormatPr defaultRowHeight="14.4" x14ac:dyDescent="0.3"/>
  <cols>
    <col min="1" max="1" width="17.6640625" hidden="1" customWidth="1"/>
    <col min="2" max="2" width="18.44140625" style="8" hidden="1" customWidth="1"/>
    <col min="3" max="3" width="30.5546875" style="8" customWidth="1"/>
    <col min="4" max="4" width="11.44140625" customWidth="1"/>
    <col min="5" max="16" width="8.5546875" customWidth="1"/>
    <col min="17" max="17" width="7.88671875" customWidth="1"/>
    <col min="18" max="39" width="10" customWidth="1"/>
    <col min="40" max="44" width="9.109375" style="20"/>
  </cols>
  <sheetData>
    <row r="1" spans="1:44" s="20" customFormat="1" ht="36" customHeight="1" x14ac:dyDescent="0.3">
      <c r="B1" s="19"/>
      <c r="C1" s="19"/>
    </row>
    <row r="2" spans="1:44" s="20" customFormat="1" ht="24.75" customHeight="1" x14ac:dyDescent="0.3">
      <c r="B2" s="19"/>
      <c r="C2" s="19"/>
    </row>
    <row r="3" spans="1:44" s="11" customFormat="1" ht="15" thickBot="1" x14ac:dyDescent="0.35">
      <c r="A3" s="10" t="s">
        <v>237</v>
      </c>
      <c r="B3" s="10" t="s">
        <v>206</v>
      </c>
      <c r="C3" s="49" t="s">
        <v>205</v>
      </c>
      <c r="D3" s="23" t="s">
        <v>145</v>
      </c>
      <c r="E3" s="23" t="s">
        <v>137</v>
      </c>
      <c r="F3" s="23" t="s">
        <v>138</v>
      </c>
      <c r="G3" s="23" t="s">
        <v>139</v>
      </c>
      <c r="H3" s="23" t="s">
        <v>140</v>
      </c>
      <c r="I3" s="23" t="s">
        <v>141</v>
      </c>
      <c r="J3" s="23" t="s">
        <v>142</v>
      </c>
      <c r="K3" s="23" t="s">
        <v>128</v>
      </c>
      <c r="L3" s="23" t="s">
        <v>129</v>
      </c>
      <c r="M3" s="23" t="s">
        <v>130</v>
      </c>
      <c r="N3" s="23" t="s">
        <v>131</v>
      </c>
      <c r="O3" s="23" t="s">
        <v>132</v>
      </c>
      <c r="P3" s="23" t="s">
        <v>133</v>
      </c>
      <c r="Q3" s="23" t="s">
        <v>144</v>
      </c>
      <c r="R3" s="30">
        <f t="shared" ref="R3:AM3" si="0">IF(R114="","",R114)</f>
        <v>46296</v>
      </c>
      <c r="S3" s="30">
        <f t="shared" si="0"/>
        <v>46297</v>
      </c>
      <c r="T3" s="30">
        <f t="shared" si="0"/>
        <v>46300</v>
      </c>
      <c r="U3" s="30">
        <f t="shared" si="0"/>
        <v>46301</v>
      </c>
      <c r="V3" s="30">
        <f t="shared" si="0"/>
        <v>46302</v>
      </c>
      <c r="W3" s="30">
        <f t="shared" si="0"/>
        <v>46303</v>
      </c>
      <c r="X3" s="30">
        <f t="shared" si="0"/>
        <v>46304</v>
      </c>
      <c r="Y3" s="30">
        <f t="shared" si="0"/>
        <v>46308</v>
      </c>
      <c r="Z3" s="30" t="str">
        <f t="shared" si="0"/>
        <v/>
      </c>
      <c r="AA3" s="30" t="str">
        <f t="shared" si="0"/>
        <v/>
      </c>
      <c r="AB3" s="30" t="str">
        <f t="shared" si="0"/>
        <v/>
      </c>
      <c r="AC3" s="30" t="str">
        <f t="shared" si="0"/>
        <v/>
      </c>
      <c r="AD3" s="30" t="str">
        <f t="shared" si="0"/>
        <v/>
      </c>
      <c r="AE3" s="30" t="str">
        <f t="shared" si="0"/>
        <v/>
      </c>
      <c r="AF3" s="30" t="str">
        <f t="shared" si="0"/>
        <v/>
      </c>
      <c r="AG3" s="30" t="str">
        <f t="shared" si="0"/>
        <v/>
      </c>
      <c r="AH3" s="30" t="str">
        <f t="shared" si="0"/>
        <v/>
      </c>
      <c r="AI3" s="30" t="str">
        <f t="shared" si="0"/>
        <v/>
      </c>
      <c r="AJ3" s="30" t="str">
        <f t="shared" si="0"/>
        <v/>
      </c>
      <c r="AK3" s="30" t="str">
        <f t="shared" si="0"/>
        <v/>
      </c>
      <c r="AL3" s="30" t="str">
        <f t="shared" si="0"/>
        <v/>
      </c>
      <c r="AM3" s="30" t="str">
        <f t="shared" si="0"/>
        <v/>
      </c>
      <c r="AN3" s="21"/>
      <c r="AO3" s="21"/>
      <c r="AP3" s="21"/>
      <c r="AQ3" s="21"/>
      <c r="AR3" s="21"/>
    </row>
    <row r="4" spans="1:44" s="11" customFormat="1" ht="18.75" customHeight="1" thickTop="1" thickBot="1" x14ac:dyDescent="0.35">
      <c r="A4" s="50" t="str">
        <f>VLOOKUP(Tabela2[[#This Row],[Item 1]],Apoio!$A$2:$B$41,2,0)</f>
        <v>Contro</v>
      </c>
      <c r="B4" s="9" t="str">
        <f>IF(C4=0,#REF!,C4)</f>
        <v>Velocidade (FPM)</v>
      </c>
      <c r="C4" s="47" t="str">
        <f>Tabela1[[#Headers],[Velocidade (FPM)]]</f>
        <v>Velocidade (FPM)</v>
      </c>
      <c r="D4" s="24" t="s">
        <v>143</v>
      </c>
      <c r="E4" s="12" t="str">
        <f ca="1">IFERROR(ROUND(AVERAGEIFS(INDIRECT("Tabela1["&amp;$B4&amp;"]"),Tabela1[Mês],E$3,Tabela1[Turno],$D$6),0),"")&amp;" | "&amp;IFERROR(ROUND(AVERAGEIFS(INDIRECT("Tabela1["&amp;$B4&amp;"]"),Tabela1[Mês],E$3,Tabela1[Turno],$D$7),0),"")</f>
        <v>145 | 145</v>
      </c>
      <c r="F4" s="12" t="str">
        <f ca="1">IFERROR(ROUND(AVERAGEIFS(INDIRECT("Tabela1["&amp;$B4&amp;"]"),Tabela1[Mês],F$3,Tabela1[Turno],$D$6),0),"")&amp;" | "&amp;IFERROR(ROUND(AVERAGEIFS(INDIRECT("Tabela1["&amp;$B4&amp;"]"),Tabela1[Mês],F$3,Tabela1[Turno],$D$7),0),"")</f>
        <v>145 | 145</v>
      </c>
      <c r="G4" s="12" t="str">
        <f ca="1">IFERROR(ROUND(AVERAGEIFS(INDIRECT("Tabela1["&amp;$B4&amp;"]"),Tabela1[Mês],G$3,Tabela1[Turno],$D$6),0),"")&amp;" | "&amp;IFERROR(ROUND(AVERAGEIFS(INDIRECT("Tabela1["&amp;$B4&amp;"]"),Tabela1[Mês],G$3,Tabela1[Turno],$D$7),0),"")</f>
        <v>145 | 145</v>
      </c>
      <c r="H4" s="12" t="str">
        <f ca="1">IFERROR(ROUND(AVERAGEIFS(INDIRECT("Tabela1["&amp;$B4&amp;"]"),Tabela1[Mês],H$3,Tabela1[Turno],$D$6),0),"")&amp;" | "&amp;IFERROR(ROUND(AVERAGEIFS(INDIRECT("Tabela1["&amp;$B4&amp;"]"),Tabela1[Mês],H$3,Tabela1[Turno],$D$7),0),"")</f>
        <v xml:space="preserve">145 | </v>
      </c>
      <c r="I4" s="12" t="str">
        <f ca="1">IFERROR(ROUND(AVERAGEIFS(INDIRECT("Tabela1["&amp;$B4&amp;"]"),Tabela1[Mês],I$3,Tabela1[Turno],$D$6),0),"")&amp;" | "&amp;IFERROR(ROUND(AVERAGEIFS(INDIRECT("Tabela1["&amp;$B4&amp;"]"),Tabela1[Mês],I$3,Tabela1[Turno],$D$7),0),"")</f>
        <v>145 | 145</v>
      </c>
      <c r="J4" s="12" t="str">
        <f ca="1">IFERROR(ROUND(AVERAGEIFS(INDIRECT("Tabela1["&amp;$B4&amp;"]"),Tabela1[Mês],J$3,Tabela1[Turno],$D$6),0),"")&amp;" | "&amp;IFERROR(ROUND(AVERAGEIFS(INDIRECT("Tabela1["&amp;$B4&amp;"]"),Tabela1[Mês],J$3,Tabela1[Turno],$D$7),0),"")</f>
        <v>145 | 145</v>
      </c>
      <c r="K4" s="12" t="str">
        <f ca="1">IFERROR(ROUND(AVERAGEIFS(INDIRECT("Tabela1["&amp;$B4&amp;"]"),Tabela1[Mês],K$3,Tabela1[Turno],$D$6),0),"")&amp;" | "&amp;IFERROR(ROUND(AVERAGEIFS(INDIRECT("Tabela1["&amp;$B4&amp;"]"),Tabela1[Mês],K$3,Tabela1[Turno],$D$7),0),"")</f>
        <v>143 | 127</v>
      </c>
      <c r="L4" s="12" t="str">
        <f ca="1">IFERROR(ROUND(AVERAGEIFS(INDIRECT("Tabela1["&amp;$B4&amp;"]"),Tabela1[Mês],L$3,Tabela1[Turno],$D$6),0),"")&amp;" | "&amp;IFERROR(ROUND(AVERAGEIFS(INDIRECT("Tabela1["&amp;$B4&amp;"]"),Tabela1[Mês],L$3,Tabela1[Turno],$D$7),0),"")</f>
        <v>153 | 141</v>
      </c>
      <c r="M4" s="12" t="str">
        <f ca="1">IFERROR(ROUND(AVERAGEIFS(INDIRECT("Tabela1["&amp;$B4&amp;"]"),Tabela1[Mês],M$3,Tabela1[Turno],$D$6),0),"")&amp;" | "&amp;IFERROR(ROUND(AVERAGEIFS(INDIRECT("Tabela1["&amp;$B4&amp;"]"),Tabela1[Mês],M$3,Tabela1[Turno],$D$7),0),"")</f>
        <v>147 | 140</v>
      </c>
      <c r="N4" s="12" t="str">
        <f ca="1">IFERROR(ROUND(AVERAGEIFS(INDIRECT("Tabela1["&amp;$B4&amp;"]"),Tabela1[Mês],N$3,Tabela1[Turno],$D$6),0),"")&amp;" | "&amp;IFERROR(ROUND(AVERAGEIFS(INDIRECT("Tabela1["&amp;$B4&amp;"]"),Tabela1[Mês],N$3,Tabela1[Turno],$D$7),0),"")</f>
        <v>155 | 143</v>
      </c>
      <c r="O4" s="12" t="str">
        <f ca="1">IFERROR(ROUND(AVERAGEIFS(INDIRECT("Tabela1["&amp;$B4&amp;"]"),Tabela1[Mês],O$3,Tabela1[Turno],$D$6),0),"")&amp;" | "&amp;IFERROR(ROUND(AVERAGEIFS(INDIRECT("Tabela1["&amp;$B4&amp;"]"),Tabela1[Mês],O$3,Tabela1[Turno],$D$7),0),"")</f>
        <v xml:space="preserve"> | </v>
      </c>
      <c r="P4" s="13" t="str">
        <f ca="1">IFERROR(ROUND(AVERAGEIFS(INDIRECT("Tabela1["&amp;$B4&amp;"]"),Tabela1[Mês],P$3,Tabela1[Turno],$D$6),0),"")&amp;" | "&amp;IFERROR(ROUND(AVERAGEIFS(INDIRECT("Tabela1["&amp;$B4&amp;"]"),Tabela1[Mês],P$3,Tabela1[Turno],$D$7),0),"")</f>
        <v xml:space="preserve"> | </v>
      </c>
      <c r="Q4" s="56">
        <v>160</v>
      </c>
      <c r="R4" s="16" t="str">
        <f ca="1">IFERROR(ROUND(AVERAGEIFS(INDIRECT("Tabela1["&amp;$B4&amp;"]"),Tabela1[Data Corrigida],R$3,Tabela1[Turno],$D$6),0),"")&amp;" | "&amp;IFERROR(ROUND(AVERAGEIFS(INDIRECT("Tabela1["&amp;$B4&amp;"]"),Tabela1[Data Corrigida],R$3,Tabela1[Turno],$D$7),0),"")</f>
        <v>161 | 132</v>
      </c>
      <c r="S4" s="12" t="str">
        <f ca="1">IFERROR(ROUND(AVERAGEIFS(INDIRECT("Tabela1["&amp;$B4&amp;"]"),Tabela1[Data Corrigida],S$3,Tabela1[Turno],$D$6),0),"")&amp;" | "&amp;IFERROR(ROUND(AVERAGEIFS(INDIRECT("Tabela1["&amp;$B4&amp;"]"),Tabela1[Data Corrigida],S$3,Tabela1[Turno],$D$7),0),"")</f>
        <v>159 | 144</v>
      </c>
      <c r="T4" s="12" t="str">
        <f ca="1">IFERROR(ROUND(AVERAGEIFS(INDIRECT("Tabela1["&amp;$B4&amp;"]"),Tabela1[Data Corrigida],T$3,Tabela1[Turno],$D$6),0),"")&amp;" | "&amp;IFERROR(ROUND(AVERAGEIFS(INDIRECT("Tabela1["&amp;$B4&amp;"]"),Tabela1[Data Corrigida],T$3,Tabela1[Turno],$D$7),0),"")</f>
        <v>156 | 135</v>
      </c>
      <c r="U4" s="12" t="str">
        <f ca="1">IFERROR(ROUND(AVERAGEIFS(INDIRECT("Tabela1["&amp;$B4&amp;"]"),Tabela1[Data Corrigida],U$3,Tabela1[Turno],$D$6),0),"")&amp;" | "&amp;IFERROR(ROUND(AVERAGEIFS(INDIRECT("Tabela1["&amp;$B4&amp;"]"),Tabela1[Data Corrigida],U$3,Tabela1[Turno],$D$7),0),"")</f>
        <v>159 | 139</v>
      </c>
      <c r="V4" s="12" t="str">
        <f ca="1">IFERROR(ROUND(AVERAGEIFS(INDIRECT("Tabela1["&amp;$B4&amp;"]"),Tabela1[Data Corrigida],V$3,Tabela1[Turno],$D$6),0),"")&amp;" | "&amp;IFERROR(ROUND(AVERAGEIFS(INDIRECT("Tabela1["&amp;$B4&amp;"]"),Tabela1[Data Corrigida],V$3,Tabela1[Turno],$D$7),0),"")</f>
        <v>143 | 151</v>
      </c>
      <c r="W4" s="12" t="str">
        <f ca="1">IFERROR(ROUND(AVERAGEIFS(INDIRECT("Tabela1["&amp;$B4&amp;"]"),Tabela1[Data Corrigida],W$3,Tabela1[Turno],$D$6),0),"")&amp;" | "&amp;IFERROR(ROUND(AVERAGEIFS(INDIRECT("Tabela1["&amp;$B4&amp;"]"),Tabela1[Data Corrigida],W$3,Tabela1[Turno],$D$7),0),"")</f>
        <v>154 | 151</v>
      </c>
      <c r="X4" s="12" t="str">
        <f ca="1">IFERROR(ROUND(AVERAGEIFS(INDIRECT("Tabela1["&amp;$B4&amp;"]"),Tabela1[Data Corrigida],X$3,Tabela1[Turno],$D$6),0),"")&amp;" | "&amp;IFERROR(ROUND(AVERAGEIFS(INDIRECT("Tabela1["&amp;$B4&amp;"]"),Tabela1[Data Corrigida],X$3,Tabela1[Turno],$D$7),0),"")</f>
        <v>159 | 147</v>
      </c>
      <c r="Y4" s="12" t="str">
        <f ca="1">IFERROR(ROUND(AVERAGEIFS(INDIRECT("Tabela1["&amp;$B4&amp;"]"),Tabela1[Data Corrigida],Y$3,Tabela1[Turno],$D$6),0),"")&amp;" | "&amp;IFERROR(ROUND(AVERAGEIFS(INDIRECT("Tabela1["&amp;$B4&amp;"]"),Tabela1[Data Corrigida],Y$3,Tabela1[Turno],$D$7),0),"")</f>
        <v xml:space="preserve">151 | </v>
      </c>
      <c r="Z4" s="12" t="str">
        <f ca="1">IFERROR(ROUND(AVERAGEIFS(INDIRECT("Tabela1["&amp;$B4&amp;"]"),Tabela1[Data Corrigida],Z$3,Tabela1[Turno],$D$6),0),"")&amp;" | "&amp;IFERROR(ROUND(AVERAGEIFS(INDIRECT("Tabela1["&amp;$B4&amp;"]"),Tabela1[Data Corrigida],Z$3,Tabela1[Turno],$D$7),0),"")</f>
        <v xml:space="preserve"> | </v>
      </c>
      <c r="AA4" s="12" t="str">
        <f ca="1">IFERROR(ROUND(AVERAGEIFS(INDIRECT("Tabela1["&amp;$B4&amp;"]"),Tabela1[Data Corrigida],AA$3,Tabela1[Turno],$D$6),0),"")&amp;" | "&amp;IFERROR(ROUND(AVERAGEIFS(INDIRECT("Tabela1["&amp;$B4&amp;"]"),Tabela1[Data Corrigida],AA$3,Tabela1[Turno],$D$7),0),"")</f>
        <v xml:space="preserve"> | </v>
      </c>
      <c r="AB4" s="12" t="str">
        <f ca="1">IFERROR(ROUND(AVERAGEIFS(INDIRECT("Tabela1["&amp;$B4&amp;"]"),Tabela1[Data Corrigida],AB$3,Tabela1[Turno],$D$6),0),"")&amp;" | "&amp;IFERROR(ROUND(AVERAGEIFS(INDIRECT("Tabela1["&amp;$B4&amp;"]"),Tabela1[Data Corrigida],AB$3,Tabela1[Turno],$D$7),0),"")</f>
        <v xml:space="preserve"> | </v>
      </c>
      <c r="AC4" s="12" t="str">
        <f ca="1">IFERROR(ROUND(AVERAGEIFS(INDIRECT("Tabela1["&amp;$B4&amp;"]"),Tabela1[Data Corrigida],AC$3,Tabela1[Turno],$D$6),0),"")&amp;" | "&amp;IFERROR(ROUND(AVERAGEIFS(INDIRECT("Tabela1["&amp;$B4&amp;"]"),Tabela1[Data Corrigida],AC$3,Tabela1[Turno],$D$7),0),"")</f>
        <v xml:space="preserve"> | </v>
      </c>
      <c r="AD4" s="12" t="str">
        <f ca="1">IFERROR(ROUND(AVERAGEIFS(INDIRECT("Tabela1["&amp;$B4&amp;"]"),Tabela1[Data Corrigida],AD$3,Tabela1[Turno],$D$6),0),"")&amp;" | "&amp;IFERROR(ROUND(AVERAGEIFS(INDIRECT("Tabela1["&amp;$B4&amp;"]"),Tabela1[Data Corrigida],AD$3,Tabela1[Turno],$D$7),0),"")</f>
        <v xml:space="preserve"> | </v>
      </c>
      <c r="AE4" s="12" t="str">
        <f ca="1">IFERROR(ROUND(AVERAGEIFS(INDIRECT("Tabela1["&amp;$B4&amp;"]"),Tabela1[Data Corrigida],AE$3,Tabela1[Turno],$D$6),0),"")&amp;" | "&amp;IFERROR(ROUND(AVERAGEIFS(INDIRECT("Tabela1["&amp;$B4&amp;"]"),Tabela1[Data Corrigida],AE$3,Tabela1[Turno],$D$7),0),"")</f>
        <v xml:space="preserve"> | </v>
      </c>
      <c r="AF4" s="12" t="str">
        <f ca="1">IFERROR(ROUND(AVERAGEIFS(INDIRECT("Tabela1["&amp;$B4&amp;"]"),Tabela1[Data Corrigida],AF$3,Tabela1[Turno],$D$6),0),"")&amp;" | "&amp;IFERROR(ROUND(AVERAGEIFS(INDIRECT("Tabela1["&amp;$B4&amp;"]"),Tabela1[Data Corrigida],AF$3,Tabela1[Turno],$D$7),0),"")</f>
        <v xml:space="preserve"> | </v>
      </c>
      <c r="AG4" s="12" t="str">
        <f ca="1">IFERROR(ROUND(AVERAGEIFS(INDIRECT("Tabela1["&amp;$B4&amp;"]"),Tabela1[Data Corrigida],AG$3,Tabela1[Turno],$D$6),0),"")&amp;" | "&amp;IFERROR(ROUND(AVERAGEIFS(INDIRECT("Tabela1["&amp;$B4&amp;"]"),Tabela1[Data Corrigida],AG$3,Tabela1[Turno],$D$7),0),"")</f>
        <v xml:space="preserve"> | </v>
      </c>
      <c r="AH4" s="12" t="str">
        <f ca="1">IFERROR(ROUND(AVERAGEIFS(INDIRECT("Tabela1["&amp;$B4&amp;"]"),Tabela1[Data Corrigida],AH$3,Tabela1[Turno],$D$6),0),"")&amp;" | "&amp;IFERROR(ROUND(AVERAGEIFS(INDIRECT("Tabela1["&amp;$B4&amp;"]"),Tabela1[Data Corrigida],AH$3,Tabela1[Turno],$D$7),0),"")</f>
        <v xml:space="preserve"> | </v>
      </c>
      <c r="AI4" s="12" t="str">
        <f ca="1">IFERROR(ROUND(AVERAGEIFS(INDIRECT("Tabela1["&amp;$B4&amp;"]"),Tabela1[Data Corrigida],AI$3,Tabela1[Turno],$D$6),0),"")&amp;" | "&amp;IFERROR(ROUND(AVERAGEIFS(INDIRECT("Tabela1["&amp;$B4&amp;"]"),Tabela1[Data Corrigida],AI$3,Tabela1[Turno],$D$7),0),"")</f>
        <v xml:space="preserve"> | </v>
      </c>
      <c r="AJ4" s="12" t="str">
        <f ca="1">IFERROR(ROUND(AVERAGEIFS(INDIRECT("Tabela1["&amp;$B4&amp;"]"),Tabela1[Data Corrigida],AJ$3,Tabela1[Turno],$D$6),0),"")&amp;" | "&amp;IFERROR(ROUND(AVERAGEIFS(INDIRECT("Tabela1["&amp;$B4&amp;"]"),Tabela1[Data Corrigida],AJ$3,Tabela1[Turno],$D$7),0),"")</f>
        <v xml:space="preserve"> | </v>
      </c>
      <c r="AK4" s="12" t="str">
        <f ca="1">IFERROR(ROUND(AVERAGEIFS(INDIRECT("Tabela1["&amp;$B4&amp;"]"),Tabela1[Data Corrigida],AK$3,Tabela1[Turno],$D$6),0),"")&amp;" | "&amp;IFERROR(ROUND(AVERAGEIFS(INDIRECT("Tabela1["&amp;$B4&amp;"]"),Tabela1[Data Corrigida],AK$3,Tabela1[Turno],$D$7),0),"")</f>
        <v xml:space="preserve"> | </v>
      </c>
      <c r="AL4" s="12" t="str">
        <f ca="1">IFERROR(ROUND(AVERAGEIFS(INDIRECT("Tabela1["&amp;$B4&amp;"]"),Tabela1[Data Corrigida],AL$3,Tabela1[Turno],$D$6),0),"")&amp;" | "&amp;IFERROR(ROUND(AVERAGEIFS(INDIRECT("Tabela1["&amp;$B4&amp;"]"),Tabela1[Data Corrigida],AL$3,Tabela1[Turno],$D$7),0),"")</f>
        <v xml:space="preserve"> | </v>
      </c>
      <c r="AM4" s="12" t="str">
        <f ca="1">IFERROR(ROUND(AVERAGEIFS(INDIRECT("Tabela1["&amp;$B4&amp;"]"),Tabela1[Data Corrigida],AM$3,Tabela1[Turno],$D$6),0),"")&amp;" | "&amp;IFERROR(ROUND(AVERAGEIFS(INDIRECT("Tabela1["&amp;$B4&amp;"]"),Tabela1[Data Corrigida],AM$3,Tabela1[Turno],$D$7),0),"")</f>
        <v xml:space="preserve"> | </v>
      </c>
      <c r="AN4" s="21"/>
      <c r="AO4" s="21"/>
      <c r="AP4" s="21"/>
      <c r="AQ4" s="21"/>
      <c r="AR4" s="21"/>
    </row>
    <row r="5" spans="1:44" s="11" customFormat="1" ht="18.75" customHeight="1" thickTop="1" thickBot="1" x14ac:dyDescent="0.35">
      <c r="A5" s="50" t="str">
        <f>VLOOKUP(Tabela2[[#This Row],[Item 1]],Apoio!$A$2:$B$41,2,0)</f>
        <v>Contro</v>
      </c>
      <c r="B5" s="9" t="str">
        <f t="shared" ref="B5" si="1">IF(C5=0,B1,C5)</f>
        <v>Peso Médio (g)</v>
      </c>
      <c r="C5" s="47" t="str">
        <f>Tabela1[[#Headers],[Peso Médio (g)]]</f>
        <v>Peso Médio (g)</v>
      </c>
      <c r="D5" s="25" t="s">
        <v>143</v>
      </c>
      <c r="E5" s="14" t="str">
        <f ca="1">IFERROR(ROUND(AVERAGEIFS(INDIRECT("Tabela1["&amp;$B5&amp;"]"),Tabela1[Mês],E$3,Tabela1[Turno],$D$6),0),"")&amp;"|"&amp;IFERROR(ROUND(AVERAGEIFS(INDIRECT("Tabela1["&amp;$B5&amp;"]"),Tabela1[Mês],E$3,Tabela1[Turno],$D$7),0),"")</f>
        <v>3289|3289</v>
      </c>
      <c r="F5" s="14" t="str">
        <f ca="1">IFERROR(ROUND(AVERAGEIFS(INDIRECT("Tabela1["&amp;$B5&amp;"]"),Tabela1[Mês],F$3,Tabela1[Turno],$D$6),0),"")&amp;"|"&amp;IFERROR(ROUND(AVERAGEIFS(INDIRECT("Tabela1["&amp;$B5&amp;"]"),Tabela1[Mês],F$3,Tabela1[Turno],$D$7),0),"")</f>
        <v>2933|2933</v>
      </c>
      <c r="G5" s="14" t="str">
        <f ca="1">IFERROR(ROUND(AVERAGEIFS(INDIRECT("Tabela1["&amp;$B5&amp;"]"),Tabela1[Mês],G$3,Tabela1[Turno],$D$6),0),"")&amp;"|"&amp;IFERROR(ROUND(AVERAGEIFS(INDIRECT("Tabela1["&amp;$B5&amp;"]"),Tabela1[Mês],G$3,Tabela1[Turno],$D$7),0),"")</f>
        <v>2827|2827</v>
      </c>
      <c r="H5" s="14" t="str">
        <f ca="1">IFERROR(ROUND(AVERAGEIFS(INDIRECT("Tabela1["&amp;$B5&amp;"]"),Tabela1[Mês],H$3,Tabela1[Turno],$D$6),0),"")&amp;"|"&amp;IFERROR(ROUND(AVERAGEIFS(INDIRECT("Tabela1["&amp;$B5&amp;"]"),Tabela1[Mês],H$3,Tabela1[Turno],$D$7),0),"")</f>
        <v>2877|</v>
      </c>
      <c r="I5" s="14" t="str">
        <f ca="1">IFERROR(ROUND(AVERAGEIFS(INDIRECT("Tabela1["&amp;$B5&amp;"]"),Tabela1[Mês],I$3,Tabela1[Turno],$D$6),0),"")&amp;"|"&amp;IFERROR(ROUND(AVERAGEIFS(INDIRECT("Tabela1["&amp;$B5&amp;"]"),Tabela1[Mês],I$3,Tabela1[Turno],$D$7),0),"")</f>
        <v>3390|3390</v>
      </c>
      <c r="J5" s="14" t="str">
        <f ca="1">IFERROR(ROUND(AVERAGEIFS(INDIRECT("Tabela1["&amp;$B5&amp;"]"),Tabela1[Mês],J$3,Tabela1[Turno],$D$6),0),"")&amp;"|"&amp;IFERROR(ROUND(AVERAGEIFS(INDIRECT("Tabela1["&amp;$B5&amp;"]"),Tabela1[Mês],J$3,Tabela1[Turno],$D$7),0),"")</f>
        <v>2969|2969</v>
      </c>
      <c r="K5" s="14" t="str">
        <f ca="1">IFERROR(ROUND(AVERAGEIFS(INDIRECT("Tabela1["&amp;$B5&amp;"]"),Tabela1[Mês],K$3,Tabela1[Turno],$D$6),0),"")&amp;"|"&amp;IFERROR(ROUND(AVERAGEIFS(INDIRECT("Tabela1["&amp;$B5&amp;"]"),Tabela1[Mês],K$3,Tabela1[Turno],$D$7),0),"")</f>
        <v>2787|2570</v>
      </c>
      <c r="L5" s="14" t="str">
        <f ca="1">IFERROR(ROUND(AVERAGEIFS(INDIRECT("Tabela1["&amp;$B5&amp;"]"),Tabela1[Mês],L$3,Tabela1[Turno],$D$6),0),"")&amp;"|"&amp;IFERROR(ROUND(AVERAGEIFS(INDIRECT("Tabela1["&amp;$B5&amp;"]"),Tabela1[Mês],L$3,Tabela1[Turno],$D$7),0),"")</f>
        <v>2876|3094</v>
      </c>
      <c r="M5" s="14" t="str">
        <f ca="1">IFERROR(ROUND(AVERAGEIFS(INDIRECT("Tabela1["&amp;$B5&amp;"]"),Tabela1[Mês],M$3,Tabela1[Turno],$D$6),0),"")&amp;"|"&amp;IFERROR(ROUND(AVERAGEIFS(INDIRECT("Tabela1["&amp;$B5&amp;"]"),Tabela1[Mês],M$3,Tabela1[Turno],$D$7),0),"")</f>
        <v>2849|2834</v>
      </c>
      <c r="N5" s="14" t="str">
        <f ca="1">IFERROR(ROUND(AVERAGEIFS(INDIRECT("Tabela1["&amp;$B5&amp;"]"),Tabela1[Mês],N$3,Tabela1[Turno],$D$6),0),"")&amp;"|"&amp;IFERROR(ROUND(AVERAGEIFS(INDIRECT("Tabela1["&amp;$B5&amp;"]"),Tabela1[Mês],N$3,Tabela1[Turno],$D$7),0),"")</f>
        <v>3026|3145</v>
      </c>
      <c r="O5" s="14" t="str">
        <f ca="1">IFERROR(ROUND(AVERAGEIFS(INDIRECT("Tabela1["&amp;$B5&amp;"]"),Tabela1[Mês],O$3,Tabela1[Turno],$D$6),0),"")&amp;"|"&amp;IFERROR(ROUND(AVERAGEIFS(INDIRECT("Tabela1["&amp;$B5&amp;"]"),Tabela1[Mês],O$3,Tabela1[Turno],$D$7),0),"")</f>
        <v>|</v>
      </c>
      <c r="P5" s="15" t="str">
        <f ca="1">IFERROR(ROUND(AVERAGEIFS(INDIRECT("Tabela1["&amp;$B5&amp;"]"),Tabela1[Mês],P$3,Tabela1[Turno],$D$6),0),"")&amp;"|"&amp;IFERROR(ROUND(AVERAGEIFS(INDIRECT("Tabela1["&amp;$B5&amp;"]"),Tabela1[Mês],P$3,Tabela1[Turno],$D$7),0),"")</f>
        <v>|</v>
      </c>
      <c r="Q5" s="55">
        <v>2950</v>
      </c>
      <c r="R5" s="17" t="str">
        <f ca="1">IFERROR(ROUND(AVERAGEIFS(INDIRECT("Tabela1["&amp;$B5&amp;"]"),Tabela1[Data Corrigida],R$3,Tabela1[Turno],$D$6),0),"")&amp;" | "&amp;IFERROR(ROUND(AVERAGEIFS(INDIRECT("Tabela1["&amp;$B5&amp;"]"),Tabela1[Data Corrigida],R$3,Tabela1[Turno],$D$7),0),"")</f>
        <v>2966 | 3019</v>
      </c>
      <c r="S5" s="18" t="str">
        <f ca="1">IFERROR(ROUND(AVERAGEIFS(INDIRECT("Tabela1["&amp;$B5&amp;"]"),Tabela1[Data Corrigida],S$3,Tabela1[Turno],$D$6),0),"")&amp;" | "&amp;IFERROR(ROUND(AVERAGEIFS(INDIRECT("Tabela1["&amp;$B5&amp;"]"),Tabela1[Data Corrigida],S$3,Tabela1[Turno],$D$7),0),"")</f>
        <v>2903 | 3856</v>
      </c>
      <c r="T5" s="18" t="str">
        <f ca="1">IFERROR(ROUND(AVERAGEIFS(INDIRECT("Tabela1["&amp;$B5&amp;"]"),Tabela1[Data Corrigida],T$3,Tabela1[Turno],$D$6),0),"")&amp;" | "&amp;IFERROR(ROUND(AVERAGEIFS(INDIRECT("Tabela1["&amp;$B5&amp;"]"),Tabela1[Data Corrigida],T$3,Tabela1[Turno],$D$7),0),"")</f>
        <v>2998 | 2970</v>
      </c>
      <c r="U5" s="18" t="str">
        <f ca="1">IFERROR(ROUND(AVERAGEIFS(INDIRECT("Tabela1["&amp;$B5&amp;"]"),Tabela1[Data Corrigida],U$3,Tabela1[Turno],$D$6),0),"")&amp;" | "&amp;IFERROR(ROUND(AVERAGEIFS(INDIRECT("Tabela1["&amp;$B5&amp;"]"),Tabela1[Data Corrigida],U$3,Tabela1[Turno],$D$7),0),"")</f>
        <v>3010 | 2892</v>
      </c>
      <c r="V5" s="18" t="str">
        <f ca="1">IFERROR(ROUND(AVERAGEIFS(INDIRECT("Tabela1["&amp;$B5&amp;"]"),Tabela1[Data Corrigida],V$3,Tabela1[Turno],$D$6),0),"")&amp;" | "&amp;IFERROR(ROUND(AVERAGEIFS(INDIRECT("Tabela1["&amp;$B5&amp;"]"),Tabela1[Data Corrigida],V$3,Tabela1[Turno],$D$7),0),"")</f>
        <v>3047 | 3087</v>
      </c>
      <c r="W5" s="18" t="str">
        <f ca="1">IFERROR(ROUND(AVERAGEIFS(INDIRECT("Tabela1["&amp;$B5&amp;"]"),Tabela1[Data Corrigida],W$3,Tabela1[Turno],$D$6),0),"")&amp;" | "&amp;IFERROR(ROUND(AVERAGEIFS(INDIRECT("Tabela1["&amp;$B5&amp;"]"),Tabela1[Data Corrigida],W$3,Tabela1[Turno],$D$7),0),"")</f>
        <v>3015 | 3165</v>
      </c>
      <c r="X5" s="18" t="str">
        <f ca="1">IFERROR(ROUND(AVERAGEIFS(INDIRECT("Tabela1["&amp;$B5&amp;"]"),Tabela1[Data Corrigida],X$3,Tabela1[Turno],$D$6),0),"")&amp;" | "&amp;IFERROR(ROUND(AVERAGEIFS(INDIRECT("Tabela1["&amp;$B5&amp;"]"),Tabela1[Data Corrigida],X$3,Tabela1[Turno],$D$7),0),"")</f>
        <v>2850 | 3028</v>
      </c>
      <c r="Y5" s="18" t="str">
        <f ca="1">IFERROR(ROUND(AVERAGEIFS(INDIRECT("Tabela1["&amp;$B5&amp;"]"),Tabela1[Data Corrigida],Y$3,Tabela1[Turno],$D$6),0),"")&amp;" | "&amp;IFERROR(ROUND(AVERAGEIFS(INDIRECT("Tabela1["&amp;$B5&amp;"]"),Tabela1[Data Corrigida],Y$3,Tabela1[Turno],$D$7),0),"")</f>
        <v xml:space="preserve">3397 | </v>
      </c>
      <c r="Z5" s="18" t="str">
        <f ca="1">IFERROR(ROUND(AVERAGEIFS(INDIRECT("Tabela1["&amp;$B5&amp;"]"),Tabela1[Data Corrigida],Z$3,Tabela1[Turno],$D$6),0),"")&amp;" | "&amp;IFERROR(ROUND(AVERAGEIFS(INDIRECT("Tabela1["&amp;$B5&amp;"]"),Tabela1[Data Corrigida],Z$3,Tabela1[Turno],$D$7),0),"")</f>
        <v xml:space="preserve"> | </v>
      </c>
      <c r="AA5" s="18" t="str">
        <f ca="1">IFERROR(ROUND(AVERAGEIFS(INDIRECT("Tabela1["&amp;$B5&amp;"]"),Tabela1[Data Corrigida],AA$3,Tabela1[Turno],$D$6),0),"")&amp;" | "&amp;IFERROR(ROUND(AVERAGEIFS(INDIRECT("Tabela1["&amp;$B5&amp;"]"),Tabela1[Data Corrigida],AA$3,Tabela1[Turno],$D$7),0),"")</f>
        <v xml:space="preserve"> | </v>
      </c>
      <c r="AB5" s="18" t="str">
        <f ca="1">IFERROR(ROUND(AVERAGEIFS(INDIRECT("Tabela1["&amp;$B5&amp;"]"),Tabela1[Data Corrigida],AB$3,Tabela1[Turno],$D$6),0),"")&amp;" | "&amp;IFERROR(ROUND(AVERAGEIFS(INDIRECT("Tabela1["&amp;$B5&amp;"]"),Tabela1[Data Corrigida],AB$3,Tabela1[Turno],$D$7),0),"")</f>
        <v xml:space="preserve"> | </v>
      </c>
      <c r="AC5" s="18" t="str">
        <f ca="1">IFERROR(ROUND(AVERAGEIFS(INDIRECT("Tabela1["&amp;$B5&amp;"]"),Tabela1[Data Corrigida],AC$3,Tabela1[Turno],$D$6),0),"")&amp;" | "&amp;IFERROR(ROUND(AVERAGEIFS(INDIRECT("Tabela1["&amp;$B5&amp;"]"),Tabela1[Data Corrigida],AC$3,Tabela1[Turno],$D$7),0),"")</f>
        <v xml:space="preserve"> | </v>
      </c>
      <c r="AD5" s="18" t="str">
        <f ca="1">IFERROR(ROUND(AVERAGEIFS(INDIRECT("Tabela1["&amp;$B5&amp;"]"),Tabela1[Data Corrigida],AD$3,Tabela1[Turno],$D$6),0),"")&amp;" | "&amp;IFERROR(ROUND(AVERAGEIFS(INDIRECT("Tabela1["&amp;$B5&amp;"]"),Tabela1[Data Corrigida],AD$3,Tabela1[Turno],$D$7),0),"")</f>
        <v xml:space="preserve"> | </v>
      </c>
      <c r="AE5" s="18" t="str">
        <f ca="1">IFERROR(ROUND(AVERAGEIFS(INDIRECT("Tabela1["&amp;$B5&amp;"]"),Tabela1[Data Corrigida],AE$3,Tabela1[Turno],$D$6),0),"")&amp;" | "&amp;IFERROR(ROUND(AVERAGEIFS(INDIRECT("Tabela1["&amp;$B5&amp;"]"),Tabela1[Data Corrigida],AE$3,Tabela1[Turno],$D$7),0),"")</f>
        <v xml:space="preserve"> | </v>
      </c>
      <c r="AF5" s="18" t="str">
        <f ca="1">IFERROR(ROUND(AVERAGEIFS(INDIRECT("Tabela1["&amp;$B5&amp;"]"),Tabela1[Data Corrigida],AF$3,Tabela1[Turno],$D$6),0),"")&amp;" | "&amp;IFERROR(ROUND(AVERAGEIFS(INDIRECT("Tabela1["&amp;$B5&amp;"]"),Tabela1[Data Corrigida],AF$3,Tabela1[Turno],$D$7),0),"")</f>
        <v xml:space="preserve"> | </v>
      </c>
      <c r="AG5" s="18" t="str">
        <f ca="1">IFERROR(ROUND(AVERAGEIFS(INDIRECT("Tabela1["&amp;$B5&amp;"]"),Tabela1[Data Corrigida],AG$3,Tabela1[Turno],$D$6),0),"")&amp;" | "&amp;IFERROR(ROUND(AVERAGEIFS(INDIRECT("Tabela1["&amp;$B5&amp;"]"),Tabela1[Data Corrigida],AG$3,Tabela1[Turno],$D$7),0),"")</f>
        <v xml:space="preserve"> | </v>
      </c>
      <c r="AH5" s="18" t="str">
        <f ca="1">IFERROR(ROUND(AVERAGEIFS(INDIRECT("Tabela1["&amp;$B5&amp;"]"),Tabela1[Data Corrigida],AH$3,Tabela1[Turno],$D$6),0),"")&amp;" | "&amp;IFERROR(ROUND(AVERAGEIFS(INDIRECT("Tabela1["&amp;$B5&amp;"]"),Tabela1[Data Corrigida],AH$3,Tabela1[Turno],$D$7),0),"")</f>
        <v xml:space="preserve"> | </v>
      </c>
      <c r="AI5" s="18" t="str">
        <f ca="1">IFERROR(ROUND(AVERAGEIFS(INDIRECT("Tabela1["&amp;$B5&amp;"]"),Tabela1[Data Corrigida],AI$3,Tabela1[Turno],$D$6),0),"")&amp;" | "&amp;IFERROR(ROUND(AVERAGEIFS(INDIRECT("Tabela1["&amp;$B5&amp;"]"),Tabela1[Data Corrigida],AI$3,Tabela1[Turno],$D$7),0),"")</f>
        <v xml:space="preserve"> | </v>
      </c>
      <c r="AJ5" s="18" t="str">
        <f ca="1">IFERROR(ROUND(AVERAGEIFS(INDIRECT("Tabela1["&amp;$B5&amp;"]"),Tabela1[Data Corrigida],AJ$3,Tabela1[Turno],$D$6),0),"")&amp;" | "&amp;IFERROR(ROUND(AVERAGEIFS(INDIRECT("Tabela1["&amp;$B5&amp;"]"),Tabela1[Data Corrigida],AJ$3,Tabela1[Turno],$D$7),0),"")</f>
        <v xml:space="preserve"> | </v>
      </c>
      <c r="AK5" s="18" t="str">
        <f ca="1">IFERROR(ROUND(AVERAGEIFS(INDIRECT("Tabela1["&amp;$B5&amp;"]"),Tabela1[Data Corrigida],AK$3,Tabela1[Turno],$D$6),0),"")&amp;" | "&amp;IFERROR(ROUND(AVERAGEIFS(INDIRECT("Tabela1["&amp;$B5&amp;"]"),Tabela1[Data Corrigida],AK$3,Tabela1[Turno],$D$7),0),"")</f>
        <v xml:space="preserve"> | </v>
      </c>
      <c r="AL5" s="18" t="str">
        <f ca="1">IFERROR(ROUND(AVERAGEIFS(INDIRECT("Tabela1["&amp;$B5&amp;"]"),Tabela1[Data Corrigida],AL$3,Tabela1[Turno],$D$6),0),"")&amp;" | "&amp;IFERROR(ROUND(AVERAGEIFS(INDIRECT("Tabela1["&amp;$B5&amp;"]"),Tabela1[Data Corrigida],AL$3,Tabela1[Turno],$D$7),0),"")</f>
        <v xml:space="preserve"> | </v>
      </c>
      <c r="AM5" s="18" t="str">
        <f ca="1">IFERROR(ROUND(AVERAGEIFS(INDIRECT("Tabela1["&amp;$B5&amp;"]"),Tabela1[Data Corrigida],AM$3,Tabela1[Turno],$D$6),0),"")&amp;" | "&amp;IFERROR(ROUND(AVERAGEIFS(INDIRECT("Tabela1["&amp;$B5&amp;"]"),Tabela1[Data Corrigida],AM$3,Tabela1[Turno],$D$7),0),"")</f>
        <v xml:space="preserve"> | </v>
      </c>
      <c r="AN5" s="21"/>
      <c r="AO5" s="21"/>
      <c r="AP5" s="21"/>
      <c r="AQ5" s="21"/>
      <c r="AR5" s="21"/>
    </row>
    <row r="6" spans="1:44" ht="15" customHeight="1" thickTop="1" x14ac:dyDescent="0.3">
      <c r="A6" s="50" t="str">
        <f>VLOOKUP(Tabela2[[#This Row],[Item 1]],Apoio!$A$2:$B$41,2,0)</f>
        <v>Escald</v>
      </c>
      <c r="B6" s="9" t="str">
        <f>IF(C6=0,B3,C6)</f>
        <v>% Pena após Depenadeira</v>
      </c>
      <c r="C6" s="58" t="str">
        <f>'BD - 022 Evisceração'!N1</f>
        <v>% Pena após Depenadeira</v>
      </c>
      <c r="D6" s="26" t="s">
        <v>21</v>
      </c>
      <c r="E6" s="34">
        <f ca="1">IFERROR(AVERAGEIFS(INDIRECT("Tabela1["&amp;$B6&amp;"]"),Tabela1[Turno],$D6,Tabela1[Mês],E$3)/100,"")</f>
        <v>0.2317241379310345</v>
      </c>
      <c r="F6" s="34">
        <f ca="1">IFERROR(AVERAGEIFS(INDIRECT("Tabela1["&amp;$B6&amp;"]"),Tabela1[Turno],$D6,Tabela1[Mês],F$3)/100,"")</f>
        <v>8.5517241379310341E-2</v>
      </c>
      <c r="G6" s="34">
        <f ca="1">IFERROR(AVERAGEIFS(INDIRECT("Tabela1["&amp;$B6&amp;"]"),Tabela1[Turno],$D6,Tabela1[Mês],G$3)/100,"")</f>
        <v>0.14786206896551726</v>
      </c>
      <c r="H6" s="34">
        <f ca="1">IFERROR(AVERAGEIFS(INDIRECT("Tabela1["&amp;$B6&amp;"]"),Tabela1[Turno],$D6,Tabela1[Mês],H$3)/100,"")</f>
        <v>0.11572413793103449</v>
      </c>
      <c r="I6" s="34">
        <f ca="1">IFERROR(AVERAGEIFS(INDIRECT("Tabela1["&amp;$B6&amp;"]"),Tabela1[Turno],$D6,Tabela1[Mês],I$3)/100,"")</f>
        <v>0.16131034482758622</v>
      </c>
      <c r="J6" s="34">
        <f ca="1">IFERROR(AVERAGEIFS(INDIRECT("Tabela1["&amp;$B6&amp;"]"),Tabela1[Turno],$D6,Tabela1[Mês],J$3)/100,"")</f>
        <v>0.17875862068965517</v>
      </c>
      <c r="K6" s="34">
        <f ca="1">IFERROR(AVERAGEIFS(INDIRECT("Tabela1["&amp;$B6&amp;"]"),Tabela1[Turno],$D6,Tabela1[Mês],K$3)/100,"")</f>
        <v>0.22880839680360299</v>
      </c>
      <c r="L6" s="34">
        <f ca="1">IFERROR(AVERAGEIFS(INDIRECT("Tabela1["&amp;$B6&amp;"]"),Tabela1[Turno],$D6,Tabela1[Mês],L$3)/100,"")</f>
        <v>0.28280152769258488</v>
      </c>
      <c r="M6" s="34">
        <f ca="1">IFERROR(AVERAGEIFS(INDIRECT("Tabela1["&amp;$B6&amp;"]"),Tabela1[Turno],$D6,Tabela1[Mês],M$3)/100,"")</f>
        <v>0.31819277108433736</v>
      </c>
      <c r="N6" s="34">
        <f ca="1">IFERROR(AVERAGEIFS(INDIRECT("Tabela1["&amp;$B6&amp;"]"),Tabela1[Turno],$D6,Tabela1[Mês],N$3)/100,"")</f>
        <v>0.31896551724137934</v>
      </c>
      <c r="O6" s="34" t="str">
        <f ca="1">IFERROR(AVERAGEIFS(INDIRECT("Tabela1["&amp;$B6&amp;"]"),Tabela1[Turno],$D6,Tabela1[Mês],O$3)/100,"")</f>
        <v/>
      </c>
      <c r="P6" s="44" t="str">
        <f ca="1">IFERROR(AVERAGEIFS(INDIRECT("Tabela1["&amp;$B6&amp;"]"),Tabela1[Turno],$D6,Tabela1[Mês],P$3)/100,"")</f>
        <v/>
      </c>
      <c r="Q6" s="61">
        <v>0.05</v>
      </c>
      <c r="R6" s="33">
        <f ca="1">IFERROR(AVERAGEIFS(INDIRECT("Tabela1["&amp;$B6&amp;"]"),Tabela1[Turno],$D6,Tabela1[Data Corrigida],R$3)/100,"")</f>
        <v>0.49249999999999999</v>
      </c>
      <c r="S6" s="34">
        <f ca="1">IFERROR(AVERAGEIFS(INDIRECT("Tabela1["&amp;$B6&amp;"]"),Tabela1[Turno],$D6,Tabela1[Data Corrigida],S$3)/100,"")</f>
        <v>0.33250000000000002</v>
      </c>
      <c r="T6" s="34">
        <f ca="1">IFERROR(AVERAGEIFS(INDIRECT("Tabela1["&amp;$B6&amp;"]"),Tabela1[Turno],$D6,Tabela1[Data Corrigida],T$3)/100,"")</f>
        <v>0.33</v>
      </c>
      <c r="U6" s="34">
        <f ca="1">IFERROR(AVERAGEIFS(INDIRECT("Tabela1["&amp;$B6&amp;"]"),Tabela1[Turno],$D6,Tabela1[Data Corrigida],U$3)/100,"")</f>
        <v>0.24249999999999999</v>
      </c>
      <c r="V6" s="34">
        <f ca="1">IFERROR(AVERAGEIFS(INDIRECT("Tabela1["&amp;$B6&amp;"]"),Tabela1[Turno],$D6,Tabela1[Data Corrigida],V$3)/100,"")</f>
        <v>0.3</v>
      </c>
      <c r="W6" s="34">
        <f ca="1">IFERROR(AVERAGEIFS(INDIRECT("Tabela1["&amp;$B6&amp;"]"),Tabela1[Turno],$D6,Tabela1[Data Corrigida],W$3)/100,"")</f>
        <v>0.28499999999999998</v>
      </c>
      <c r="X6" s="34">
        <f ca="1">IFERROR(AVERAGEIFS(INDIRECT("Tabela1["&amp;$B6&amp;"]"),Tabela1[Turno],$D6,Tabela1[Data Corrigida],X$3)/100,"")</f>
        <v>0.3</v>
      </c>
      <c r="Y6" s="34">
        <f ca="1">IFERROR(AVERAGEIFS(INDIRECT("Tabela1["&amp;$B6&amp;"]"),Tabela1[Turno],$D6,Tabela1[Data Corrigida],Y$3)/100,"")</f>
        <v>0.27750000000000002</v>
      </c>
      <c r="Z6" s="34" t="str">
        <f ca="1">IFERROR(AVERAGEIFS(INDIRECT("Tabela1["&amp;$B6&amp;"]"),Tabela1[Turno],$D6,Tabela1[Data Corrigida],Z$3)/100,"")</f>
        <v/>
      </c>
      <c r="AA6" s="34" t="str">
        <f ca="1">IFERROR(AVERAGEIFS(INDIRECT("Tabela1["&amp;$B6&amp;"]"),Tabela1[Turno],$D6,Tabela1[Data Corrigida],AA$3)/100,"")</f>
        <v/>
      </c>
      <c r="AB6" s="34" t="str">
        <f ca="1">IFERROR(AVERAGEIFS(INDIRECT("Tabela1["&amp;$B6&amp;"]"),Tabela1[Turno],$D6,Tabela1[Data Corrigida],AB$3)/100,"")</f>
        <v/>
      </c>
      <c r="AC6" s="34" t="str">
        <f ca="1">IFERROR(AVERAGEIFS(INDIRECT("Tabela1["&amp;$B6&amp;"]"),Tabela1[Turno],$D6,Tabela1[Data Corrigida],AC$3)/100,"")</f>
        <v/>
      </c>
      <c r="AD6" s="34" t="str">
        <f ca="1">IFERROR(AVERAGEIFS(INDIRECT("Tabela1["&amp;$B6&amp;"]"),Tabela1[Turno],$D6,Tabela1[Data Corrigida],AD$3)/100,"")</f>
        <v/>
      </c>
      <c r="AE6" s="34" t="str">
        <f ca="1">IFERROR(AVERAGEIFS(INDIRECT("Tabela1["&amp;$B6&amp;"]"),Tabela1[Turno],$D6,Tabela1[Data Corrigida],AE$3)/100,"")</f>
        <v/>
      </c>
      <c r="AF6" s="34" t="str">
        <f ca="1">IFERROR(AVERAGEIFS(INDIRECT("Tabela1["&amp;$B6&amp;"]"),Tabela1[Turno],$D6,Tabela1[Data Corrigida],AF$3)/100,"")</f>
        <v/>
      </c>
      <c r="AG6" s="34" t="str">
        <f ca="1">IFERROR(AVERAGEIFS(INDIRECT("Tabela1["&amp;$B6&amp;"]"),Tabela1[Turno],$D6,Tabela1[Data Corrigida],AG$3)/100,"")</f>
        <v/>
      </c>
      <c r="AH6" s="34" t="str">
        <f ca="1">IFERROR(AVERAGEIFS(INDIRECT("Tabela1["&amp;$B6&amp;"]"),Tabela1[Turno],$D6,Tabela1[Data Corrigida],AH$3)/100,"")</f>
        <v/>
      </c>
      <c r="AI6" s="34" t="str">
        <f ca="1">IFERROR(AVERAGEIFS(INDIRECT("Tabela1["&amp;$B6&amp;"]"),Tabela1[Turno],$D6,Tabela1[Data Corrigida],AI$3)/100,"")</f>
        <v/>
      </c>
      <c r="AJ6" s="34" t="str">
        <f ca="1">IFERROR(AVERAGEIFS(INDIRECT("Tabela1["&amp;$B6&amp;"]"),Tabela1[Turno],$D6,Tabela1[Data Corrigida],AJ$3)/100,"")</f>
        <v/>
      </c>
      <c r="AK6" s="34" t="str">
        <f ca="1">IFERROR(AVERAGEIFS(INDIRECT("Tabela1["&amp;$B6&amp;"]"),Tabela1[Turno],$D6,Tabela1[Data Corrigida],AK$3)/100,"")</f>
        <v/>
      </c>
      <c r="AL6" s="34" t="str">
        <f ca="1">IFERROR(AVERAGEIFS(INDIRECT("Tabela1["&amp;$B6&amp;"]"),Tabela1[Turno],$D6,Tabela1[Data Corrigida],AL$3)/100,"")</f>
        <v/>
      </c>
      <c r="AM6" s="34" t="str">
        <f ca="1">IFERROR(AVERAGEIFS(INDIRECT("Tabela1["&amp;$B6&amp;"]"),Tabela1[Turno],$D6,Tabela1[Data Corrigida],AM$3)/100,"")</f>
        <v/>
      </c>
    </row>
    <row r="7" spans="1:44" ht="15" customHeight="1" x14ac:dyDescent="0.3">
      <c r="A7" s="50" t="str">
        <f>VLOOKUP(Tabela2[[#This Row],[Item 1]],Apoio!$A$2:$B$41,2,0)</f>
        <v>Escald</v>
      </c>
      <c r="B7" s="9" t="str">
        <f>IF(C7=0,B6,C7)</f>
        <v>% Pena após Depenadeira</v>
      </c>
      <c r="C7" s="59"/>
      <c r="D7" s="27" t="s">
        <v>33</v>
      </c>
      <c r="E7" s="36">
        <f ca="1">IFERROR(AVERAGEIFS(INDIRECT("Tabela1["&amp;$B7&amp;"]"),Tabela1[Turno],$D7,Tabela1[Mês],E$3)/100,"")</f>
        <v>0.19096551724137931</v>
      </c>
      <c r="F7" s="36">
        <f ca="1">IFERROR(AVERAGEIFS(INDIRECT("Tabela1["&amp;$B7&amp;"]"),Tabela1[Turno],$D7,Tabela1[Mês],F$3)/100,"")</f>
        <v>0.22572413793103446</v>
      </c>
      <c r="G7" s="36">
        <f ca="1">IFERROR(AVERAGEIFS(INDIRECT("Tabela1["&amp;$B7&amp;"]"),Tabela1[Turno],$D7,Tabela1[Mês],G$3)/100,"")</f>
        <v>0.17993103448275863</v>
      </c>
      <c r="H7" s="36" t="str">
        <f ca="1">IFERROR(AVERAGEIFS(INDIRECT("Tabela1["&amp;$B7&amp;"]"),Tabela1[Turno],$D7,Tabela1[Mês],H$3)/100,"")</f>
        <v/>
      </c>
      <c r="I7" s="36">
        <f ca="1">IFERROR(AVERAGEIFS(INDIRECT("Tabela1["&amp;$B7&amp;"]"),Tabela1[Turno],$D7,Tabela1[Mês],I$3)/100,"")</f>
        <v>0.10758620689655173</v>
      </c>
      <c r="J7" s="36">
        <f ca="1">IFERROR(AVERAGEIFS(INDIRECT("Tabela1["&amp;$B7&amp;"]"),Tabela1[Turno],$D7,Tabela1[Mês],J$3)/100,"")</f>
        <v>0.13793103448275862</v>
      </c>
      <c r="K7" s="36">
        <f ca="1">IFERROR(AVERAGEIFS(INDIRECT("Tabela1["&amp;$B7&amp;"]"),Tabela1[Turno],$D7,Tabela1[Mês],K$3)/100,"")</f>
        <v>0.14861251621445309</v>
      </c>
      <c r="L7" s="36">
        <f ca="1">IFERROR(AVERAGEIFS(INDIRECT("Tabela1["&amp;$B7&amp;"]"),Tabela1[Turno],$D7,Tabela1[Mês],L$3)/100,"")</f>
        <v>0.20604247817505364</v>
      </c>
      <c r="M7" s="36">
        <f ca="1">IFERROR(AVERAGEIFS(INDIRECT("Tabela1["&amp;$B7&amp;"]"),Tabela1[Turno],$D7,Tabela1[Mês],M$3)/100,"")</f>
        <v>0.21126984126984127</v>
      </c>
      <c r="N7" s="36">
        <f ca="1">IFERROR(AVERAGEIFS(INDIRECT("Tabela1["&amp;$B7&amp;"]"),Tabela1[Turno],$D7,Tabela1[Mês],N$3)/100,"")</f>
        <v>0.14190476190476189</v>
      </c>
      <c r="O7" s="36" t="str">
        <f ca="1">IFERROR(AVERAGEIFS(INDIRECT("Tabela1["&amp;$B7&amp;"]"),Tabela1[Turno],$D7,Tabela1[Mês],O$3)/100,"")</f>
        <v/>
      </c>
      <c r="P7" s="41" t="str">
        <f ca="1">IFERROR(AVERAGEIFS(INDIRECT("Tabela1["&amp;$B7&amp;"]"),Tabela1[Turno],$D7,Tabela1[Mês],P$3)/100,"")</f>
        <v/>
      </c>
      <c r="Q7" s="62"/>
      <c r="R7" s="35">
        <f ca="1">IFERROR(AVERAGEIFS(INDIRECT("Tabela1["&amp;$B7&amp;"]"),Tabela1[Turno],$D7,Tabela1[Data Corrigida],R$3)/100,"")</f>
        <v>0.12666666666666665</v>
      </c>
      <c r="S7" s="36">
        <f ca="1">IFERROR(AVERAGEIFS(INDIRECT("Tabela1["&amp;$B7&amp;"]"),Tabela1[Turno],$D7,Tabela1[Data Corrigida],S$3)/100,"")</f>
        <v>0.14333333333333334</v>
      </c>
      <c r="T7" s="36">
        <f ca="1">IFERROR(AVERAGEIFS(INDIRECT("Tabela1["&amp;$B7&amp;"]"),Tabela1[Turno],$D7,Tabela1[Data Corrigida],T$3)/100,"")</f>
        <v>0.16333333333333333</v>
      </c>
      <c r="U7" s="36">
        <f ca="1">IFERROR(AVERAGEIFS(INDIRECT("Tabela1["&amp;$B7&amp;"]"),Tabela1[Turno],$D7,Tabela1[Data Corrigida],U$3)/100,"")</f>
        <v>0.13</v>
      </c>
      <c r="V7" s="36">
        <f ca="1">IFERROR(AVERAGEIFS(INDIRECT("Tabela1["&amp;$B7&amp;"]"),Tabela1[Turno],$D7,Tabela1[Data Corrigida],V$3)/100,"")</f>
        <v>0.15666666666666665</v>
      </c>
      <c r="W7" s="36">
        <f ca="1">IFERROR(AVERAGEIFS(INDIRECT("Tabela1["&amp;$B7&amp;"]"),Tabela1[Turno],$D7,Tabela1[Data Corrigida],W$3)/100,"")</f>
        <v>0.18333333333333332</v>
      </c>
      <c r="X7" s="36">
        <f ca="1">IFERROR(AVERAGEIFS(INDIRECT("Tabela1["&amp;$B7&amp;"]"),Tabela1[Turno],$D7,Tabela1[Data Corrigida],X$3)/100,"")</f>
        <v>0.09</v>
      </c>
      <c r="Y7" s="36" t="str">
        <f ca="1">IFERROR(AVERAGEIFS(INDIRECT("Tabela1["&amp;$B7&amp;"]"),Tabela1[Turno],$D7,Tabela1[Data Corrigida],Y$3)/100,"")</f>
        <v/>
      </c>
      <c r="Z7" s="36" t="str">
        <f ca="1">IFERROR(AVERAGEIFS(INDIRECT("Tabela1["&amp;$B7&amp;"]"),Tabela1[Turno],$D7,Tabela1[Data Corrigida],Z$3)/100,"")</f>
        <v/>
      </c>
      <c r="AA7" s="36" t="str">
        <f ca="1">IFERROR(AVERAGEIFS(INDIRECT("Tabela1["&amp;$B7&amp;"]"),Tabela1[Turno],$D7,Tabela1[Data Corrigida],AA$3)/100,"")</f>
        <v/>
      </c>
      <c r="AB7" s="36" t="str">
        <f ca="1">IFERROR(AVERAGEIFS(INDIRECT("Tabela1["&amp;$B7&amp;"]"),Tabela1[Turno],$D7,Tabela1[Data Corrigida],AB$3)/100,"")</f>
        <v/>
      </c>
      <c r="AC7" s="36" t="str">
        <f ca="1">IFERROR(AVERAGEIFS(INDIRECT("Tabela1["&amp;$B7&amp;"]"),Tabela1[Turno],$D7,Tabela1[Data Corrigida],AC$3)/100,"")</f>
        <v/>
      </c>
      <c r="AD7" s="36" t="str">
        <f ca="1">IFERROR(AVERAGEIFS(INDIRECT("Tabela1["&amp;$B7&amp;"]"),Tabela1[Turno],$D7,Tabela1[Data Corrigida],AD$3)/100,"")</f>
        <v/>
      </c>
      <c r="AE7" s="36" t="str">
        <f ca="1">IFERROR(AVERAGEIFS(INDIRECT("Tabela1["&amp;$B7&amp;"]"),Tabela1[Turno],$D7,Tabela1[Data Corrigida],AE$3)/100,"")</f>
        <v/>
      </c>
      <c r="AF7" s="36" t="str">
        <f ca="1">IFERROR(AVERAGEIFS(INDIRECT("Tabela1["&amp;$B7&amp;"]"),Tabela1[Turno],$D7,Tabela1[Data Corrigida],AF$3)/100,"")</f>
        <v/>
      </c>
      <c r="AG7" s="36" t="str">
        <f ca="1">IFERROR(AVERAGEIFS(INDIRECT("Tabela1["&amp;$B7&amp;"]"),Tabela1[Turno],$D7,Tabela1[Data Corrigida],AG$3)/100,"")</f>
        <v/>
      </c>
      <c r="AH7" s="36" t="str">
        <f ca="1">IFERROR(AVERAGEIFS(INDIRECT("Tabela1["&amp;$B7&amp;"]"),Tabela1[Turno],$D7,Tabela1[Data Corrigida],AH$3)/100,"")</f>
        <v/>
      </c>
      <c r="AI7" s="36" t="str">
        <f ca="1">IFERROR(AVERAGEIFS(INDIRECT("Tabela1["&amp;$B7&amp;"]"),Tabela1[Turno],$D7,Tabela1[Data Corrigida],AI$3)/100,"")</f>
        <v/>
      </c>
      <c r="AJ7" s="36" t="str">
        <f ca="1">IFERROR(AVERAGEIFS(INDIRECT("Tabela1["&amp;$B7&amp;"]"),Tabela1[Turno],$D7,Tabela1[Data Corrigida],AJ$3)/100,"")</f>
        <v/>
      </c>
      <c r="AK7" s="36" t="str">
        <f ca="1">IFERROR(AVERAGEIFS(INDIRECT("Tabela1["&amp;$B7&amp;"]"),Tabela1[Turno],$D7,Tabela1[Data Corrigida],AK$3)/100,"")</f>
        <v/>
      </c>
      <c r="AL7" s="36" t="str">
        <f ca="1">IFERROR(AVERAGEIFS(INDIRECT("Tabela1["&amp;$B7&amp;"]"),Tabela1[Turno],$D7,Tabela1[Data Corrigida],AL$3)/100,"")</f>
        <v/>
      </c>
      <c r="AM7" s="36" t="str">
        <f ca="1">IFERROR(AVERAGEIFS(INDIRECT("Tabela1["&amp;$B7&amp;"]"),Tabela1[Turno],$D7,Tabela1[Data Corrigida],AM$3)/100,"")</f>
        <v/>
      </c>
    </row>
    <row r="8" spans="1:44" ht="15" customHeight="1" thickBot="1" x14ac:dyDescent="0.35">
      <c r="A8" s="50" t="str">
        <f>VLOOKUP(Tabela2[[#This Row],[Item 1]],Apoio!$A$2:$B$41,2,0)</f>
        <v>Escald</v>
      </c>
      <c r="B8" s="9" t="str">
        <f t="shared" ref="B8:B71" si="2">IF(C8=0,B7,C8)</f>
        <v>% Pena após Depenadeira</v>
      </c>
      <c r="C8" s="60"/>
      <c r="D8" s="28" t="s">
        <v>5</v>
      </c>
      <c r="E8" s="45">
        <f ca="1">IFERROR(AVERAGEIFS(INDIRECT("Tabela1["&amp;$B8&amp;"]"),Tabela1[Mês],E$3)/100,"")</f>
        <v>0.21134482758620693</v>
      </c>
      <c r="F8" s="45">
        <f ca="1">IFERROR(AVERAGEIFS(INDIRECT("Tabela1["&amp;$B8&amp;"]"),Tabela1[Mês],F$3)/100,"")</f>
        <v>0.15562068965517242</v>
      </c>
      <c r="G8" s="45">
        <f ca="1">IFERROR(AVERAGEIFS(INDIRECT("Tabela1["&amp;$B8&amp;"]"),Tabela1[Mês],G$3)/100,"")</f>
        <v>0.16389655172413797</v>
      </c>
      <c r="H8" s="45">
        <f ca="1">IFERROR(AVERAGEIFS(INDIRECT("Tabela1["&amp;$B8&amp;"]"),Tabela1[Mês],H$3)/100,"")</f>
        <v>0.11572413793103449</v>
      </c>
      <c r="I8" s="45">
        <f ca="1">IFERROR(AVERAGEIFS(INDIRECT("Tabela1["&amp;$B8&amp;"]"),Tabela1[Mês],I$3)/100,"")</f>
        <v>0.13444827586206898</v>
      </c>
      <c r="J8" s="45">
        <f ca="1">IFERROR(AVERAGEIFS(INDIRECT("Tabela1["&amp;$B8&amp;"]"),Tabela1[Mês],J$3)/100,"")</f>
        <v>0.15834482758620688</v>
      </c>
      <c r="K8" s="45">
        <f ca="1">IFERROR(AVERAGEIFS(INDIRECT("Tabela1["&amp;$B8&amp;"]"),Tabela1[Mês],K$3)/100,"")</f>
        <v>0.19138365252866638</v>
      </c>
      <c r="L8" s="45">
        <f ca="1">IFERROR(AVERAGEIFS(INDIRECT("Tabela1["&amp;$B8&amp;"]"),Tabela1[Mês],L$3)/100,"")</f>
        <v>0.24843180402801862</v>
      </c>
      <c r="M8" s="45">
        <f ca="1">IFERROR(AVERAGEIFS(INDIRECT("Tabela1["&amp;$B8&amp;"]"),Tabela1[Mês],M$3)/100,"")</f>
        <v>0.27205479452054798</v>
      </c>
      <c r="N8" s="45">
        <f ca="1">IFERROR(AVERAGEIFS(INDIRECT("Tabela1["&amp;$B8&amp;"]"),Tabela1[Mês],N$3)/100,"")</f>
        <v>0.24460000000000001</v>
      </c>
      <c r="O8" s="45" t="str">
        <f ca="1">IFERROR(AVERAGEIFS(INDIRECT("Tabela1["&amp;$B8&amp;"]"),Tabela1[Mês],O$3)/100,"")</f>
        <v/>
      </c>
      <c r="P8" s="46" t="str">
        <f ca="1">IFERROR(AVERAGEIFS(INDIRECT("Tabela1["&amp;$B8&amp;"]"),Tabela1[Mês],P$3)/100,"")</f>
        <v/>
      </c>
      <c r="Q8" s="63"/>
      <c r="R8" s="37">
        <f ca="1">IFERROR(AVERAGEIFS(INDIRECT("Tabela1["&amp;$B8&amp;"]"),Tabela1[Data Corrigida],R$3)/100,"")</f>
        <v>0.33571428571428569</v>
      </c>
      <c r="S8" s="38">
        <f ca="1">IFERROR(AVERAGEIFS(INDIRECT("Tabela1["&amp;$B8&amp;"]"),Tabela1[Data Corrigida],S$3)/100,"")</f>
        <v>0.25142857142857145</v>
      </c>
      <c r="T8" s="38">
        <f ca="1">IFERROR(AVERAGEIFS(INDIRECT("Tabela1["&amp;$B8&amp;"]"),Tabela1[Data Corrigida],T$3)/100,"")</f>
        <v>0.20499999999999999</v>
      </c>
      <c r="U8" s="38">
        <f ca="1">IFERROR(AVERAGEIFS(INDIRECT("Tabela1["&amp;$B8&amp;"]"),Tabela1[Data Corrigida],U$3)/100,"")</f>
        <v>0.19428571428571428</v>
      </c>
      <c r="V8" s="38">
        <f ca="1">IFERROR(AVERAGEIFS(INDIRECT("Tabela1["&amp;$B8&amp;"]"),Tabela1[Data Corrigida],V$3)/100,"")</f>
        <v>0.23857142857142857</v>
      </c>
      <c r="W8" s="38">
        <f ca="1">IFERROR(AVERAGEIFS(INDIRECT("Tabela1["&amp;$B8&amp;"]"),Tabela1[Data Corrigida],W$3)/100,"")</f>
        <v>0.24142857142857144</v>
      </c>
      <c r="X8" s="38">
        <f ca="1">IFERROR(AVERAGEIFS(INDIRECT("Tabela1["&amp;$B8&amp;"]"),Tabela1[Data Corrigida],X$3)/100,"")</f>
        <v>0.21</v>
      </c>
      <c r="Y8" s="38">
        <f ca="1">IFERROR(AVERAGEIFS(INDIRECT("Tabela1["&amp;$B8&amp;"]"),Tabela1[Data Corrigida],Y$3)/100,"")</f>
        <v>0.27750000000000002</v>
      </c>
      <c r="Z8" s="38" t="str">
        <f ca="1">IFERROR(AVERAGEIFS(INDIRECT("Tabela1["&amp;$B8&amp;"]"),Tabela1[Data Corrigida],Z$3)/100,"")</f>
        <v/>
      </c>
      <c r="AA8" s="38" t="str">
        <f ca="1">IFERROR(AVERAGEIFS(INDIRECT("Tabela1["&amp;$B8&amp;"]"),Tabela1[Data Corrigida],AA$3)/100,"")</f>
        <v/>
      </c>
      <c r="AB8" s="38" t="str">
        <f ca="1">IFERROR(AVERAGEIFS(INDIRECT("Tabela1["&amp;$B8&amp;"]"),Tabela1[Data Corrigida],AB$3)/100,"")</f>
        <v/>
      </c>
      <c r="AC8" s="38" t="str">
        <f ca="1">IFERROR(AVERAGEIFS(INDIRECT("Tabela1["&amp;$B8&amp;"]"),Tabela1[Data Corrigida],AC$3)/100,"")</f>
        <v/>
      </c>
      <c r="AD8" s="38" t="str">
        <f ca="1">IFERROR(AVERAGEIFS(INDIRECT("Tabela1["&amp;$B8&amp;"]"),Tabela1[Data Corrigida],AD$3)/100,"")</f>
        <v/>
      </c>
      <c r="AE8" s="38" t="str">
        <f ca="1">IFERROR(AVERAGEIFS(INDIRECT("Tabela1["&amp;$B8&amp;"]"),Tabela1[Data Corrigida],AE$3)/100,"")</f>
        <v/>
      </c>
      <c r="AF8" s="38" t="str">
        <f ca="1">IFERROR(AVERAGEIFS(INDIRECT("Tabela1["&amp;$B8&amp;"]"),Tabela1[Data Corrigida],AF$3)/100,"")</f>
        <v/>
      </c>
      <c r="AG8" s="38" t="str">
        <f ca="1">IFERROR(AVERAGEIFS(INDIRECT("Tabela1["&amp;$B8&amp;"]"),Tabela1[Data Corrigida],AG$3)/100,"")</f>
        <v/>
      </c>
      <c r="AH8" s="38" t="str">
        <f ca="1">IFERROR(AVERAGEIFS(INDIRECT("Tabela1["&amp;$B8&amp;"]"),Tabela1[Data Corrigida],AH$3)/100,"")</f>
        <v/>
      </c>
      <c r="AI8" s="38" t="str">
        <f ca="1">IFERROR(AVERAGEIFS(INDIRECT("Tabela1["&amp;$B8&amp;"]"),Tabela1[Data Corrigida],AI$3)/100,"")</f>
        <v/>
      </c>
      <c r="AJ8" s="38" t="str">
        <f ca="1">IFERROR(AVERAGEIFS(INDIRECT("Tabela1["&amp;$B8&amp;"]"),Tabela1[Data Corrigida],AJ$3)/100,"")</f>
        <v/>
      </c>
      <c r="AK8" s="38" t="str">
        <f ca="1">IFERROR(AVERAGEIFS(INDIRECT("Tabela1["&amp;$B8&amp;"]"),Tabela1[Data Corrigida],AK$3)/100,"")</f>
        <v/>
      </c>
      <c r="AL8" s="38" t="str">
        <f ca="1">IFERROR(AVERAGEIFS(INDIRECT("Tabela1["&amp;$B8&amp;"]"),Tabela1[Data Corrigida],AL$3)/100,"")</f>
        <v/>
      </c>
      <c r="AM8" s="38" t="str">
        <f ca="1">IFERROR(AVERAGEIFS(INDIRECT("Tabela1["&amp;$B8&amp;"]"),Tabela1[Data Corrigida],AM$3)/100,"")</f>
        <v/>
      </c>
    </row>
    <row r="9" spans="1:44" ht="15" customHeight="1" thickTop="1" x14ac:dyDescent="0.3">
      <c r="A9" s="50" t="str">
        <f>VLOOKUP(Tabela2[[#This Row],[Item 1]],Apoio!$A$2:$B$41,2,0)</f>
        <v>Escald</v>
      </c>
      <c r="B9" s="9" t="str">
        <f t="shared" si="2"/>
        <v>% Pena após Repasse</v>
      </c>
      <c r="C9" s="58" t="str">
        <f>'BD - 022 Evisceração'!P1</f>
        <v>% Pena após Repasse</v>
      </c>
      <c r="D9" s="26" t="s">
        <v>21</v>
      </c>
      <c r="E9" s="34">
        <f ca="1">IFERROR(AVERAGEIFS(INDIRECT("Tabela1["&amp;$B9&amp;"]"),Tabela1[Turno],$D9,Tabela1[Mês],E$3)/100,"")</f>
        <v>0.156</v>
      </c>
      <c r="F9" s="34">
        <f ca="1">IFERROR(AVERAGEIFS(INDIRECT("Tabela1["&amp;$B9&amp;"]"),Tabela1[Turno],$D9,Tabela1[Mês],F$3)/100,"")</f>
        <v>0.14600000000000002</v>
      </c>
      <c r="G9" s="34">
        <f ca="1">IFERROR(AVERAGEIFS(INDIRECT("Tabela1["&amp;$B9&amp;"]"),Tabela1[Turno],$D9,Tabela1[Mês],G$3)/100,"")</f>
        <v>8.0758620689655183E-2</v>
      </c>
      <c r="H9" s="34">
        <f ca="1">IFERROR(AVERAGEIFS(INDIRECT("Tabela1["&amp;$B9&amp;"]"),Tabela1[Turno],$D9,Tabela1[Mês],H$3)/100,"")</f>
        <v>6.744827586206896E-2</v>
      </c>
      <c r="I9" s="34">
        <f ca="1">IFERROR(AVERAGEIFS(INDIRECT("Tabela1["&amp;$B9&amp;"]"),Tabela1[Turno],$D9,Tabela1[Mês],I$3)/100,"")</f>
        <v>0.10800000000000001</v>
      </c>
      <c r="J9" s="34">
        <f ca="1">IFERROR(AVERAGEIFS(INDIRECT("Tabela1["&amp;$B9&amp;"]"),Tabela1[Turno],$D9,Tabela1[Mês],J$3)/100,"")</f>
        <v>0.11668965517241381</v>
      </c>
      <c r="K9" s="34">
        <f ca="1">IFERROR(AVERAGEIFS(INDIRECT("Tabela1["&amp;$B9&amp;"]"),Tabela1[Turno],$D9,Tabela1[Mês],K$3)/100,"")</f>
        <v>0.13222827472263932</v>
      </c>
      <c r="L9" s="34">
        <f ca="1">IFERROR(AVERAGEIFS(INDIRECT("Tabela1["&amp;$B9&amp;"]"),Tabela1[Turno],$D9,Tabela1[Mês],L$3)/100,"")</f>
        <v>0.13879328242032302</v>
      </c>
      <c r="M9" s="34">
        <f ca="1">IFERROR(AVERAGEIFS(INDIRECT("Tabela1["&amp;$B9&amp;"]"),Tabela1[Turno],$D9,Tabela1[Mês],M$3)/100,"")</f>
        <v>0.13469879518072289</v>
      </c>
      <c r="N9" s="34">
        <f ca="1">IFERROR(AVERAGEIFS(INDIRECT("Tabela1["&amp;$B9&amp;"]"),Tabela1[Turno],$D9,Tabela1[Mês],N$3)/100,"")</f>
        <v>0.16172413793103449</v>
      </c>
      <c r="O9" s="34" t="str">
        <f ca="1">IFERROR(AVERAGEIFS(INDIRECT("Tabela1["&amp;$B9&amp;"]"),Tabela1[Turno],$D9,Tabela1[Mês],O$3)/100,"")</f>
        <v/>
      </c>
      <c r="P9" s="44" t="str">
        <f ca="1">IFERROR(AVERAGEIFS(INDIRECT("Tabela1["&amp;$B9&amp;"]"),Tabela1[Turno],$D9,Tabela1[Mês],P$3)/100,"")</f>
        <v/>
      </c>
      <c r="Q9" s="61">
        <v>0</v>
      </c>
      <c r="R9" s="39">
        <f ca="1">IFERROR(AVERAGEIFS(INDIRECT("Tabela1["&amp;$B9&amp;"]"),Tabela1[Turno],$D9,Tabela1[Data Corrigida],R$3)/100,"")</f>
        <v>0.27250000000000002</v>
      </c>
      <c r="S9" s="40">
        <f ca="1">IFERROR(AVERAGEIFS(INDIRECT("Tabela1["&amp;$B9&amp;"]"),Tabela1[Turno],$D9,Tabela1[Data Corrigida],S$3)/100,"")</f>
        <v>0.15</v>
      </c>
      <c r="T9" s="40">
        <f ca="1">IFERROR(AVERAGEIFS(INDIRECT("Tabela1["&amp;$B9&amp;"]"),Tabela1[Turno],$D9,Tabela1[Data Corrigida],T$3)/100,"")</f>
        <v>0.21</v>
      </c>
      <c r="U9" s="40">
        <f ca="1">IFERROR(AVERAGEIFS(INDIRECT("Tabela1["&amp;$B9&amp;"]"),Tabela1[Turno],$D9,Tabela1[Data Corrigida],U$3)/100,"")</f>
        <v>0.10249999999999999</v>
      </c>
      <c r="V9" s="40">
        <f ca="1">IFERROR(AVERAGEIFS(INDIRECT("Tabela1["&amp;$B9&amp;"]"),Tabela1[Turno],$D9,Tabela1[Data Corrigida],V$3)/100,"")</f>
        <v>0.185</v>
      </c>
      <c r="W9" s="40">
        <f ca="1">IFERROR(AVERAGEIFS(INDIRECT("Tabela1["&amp;$B9&amp;"]"),Tabela1[Turno],$D9,Tabela1[Data Corrigida],W$3)/100,"")</f>
        <v>0.125</v>
      </c>
      <c r="X9" s="40">
        <f ca="1">IFERROR(AVERAGEIFS(INDIRECT("Tabela1["&amp;$B9&amp;"]"),Tabela1[Turno],$D9,Tabela1[Data Corrigida],X$3)/100,"")</f>
        <v>0.16</v>
      </c>
      <c r="Y9" s="40">
        <f ca="1">IFERROR(AVERAGEIFS(INDIRECT("Tabela1["&amp;$B9&amp;"]"),Tabela1[Turno],$D9,Tabela1[Data Corrigida],Y$3)/100,"")</f>
        <v>0.125</v>
      </c>
      <c r="Z9" s="40" t="str">
        <f ca="1">IFERROR(AVERAGEIFS(INDIRECT("Tabela1["&amp;$B9&amp;"]"),Tabela1[Turno],$D9,Tabela1[Data Corrigida],Z$3)/100,"")</f>
        <v/>
      </c>
      <c r="AA9" s="40" t="str">
        <f ca="1">IFERROR(AVERAGEIFS(INDIRECT("Tabela1["&amp;$B9&amp;"]"),Tabela1[Turno],$D9,Tabela1[Data Corrigida],AA$3)/100,"")</f>
        <v/>
      </c>
      <c r="AB9" s="40" t="str">
        <f ca="1">IFERROR(AVERAGEIFS(INDIRECT("Tabela1["&amp;$B9&amp;"]"),Tabela1[Turno],$D9,Tabela1[Data Corrigida],AB$3)/100,"")</f>
        <v/>
      </c>
      <c r="AC9" s="40" t="str">
        <f ca="1">IFERROR(AVERAGEIFS(INDIRECT("Tabela1["&amp;$B9&amp;"]"),Tabela1[Turno],$D9,Tabela1[Data Corrigida],AC$3)/100,"")</f>
        <v/>
      </c>
      <c r="AD9" s="40" t="str">
        <f ca="1">IFERROR(AVERAGEIFS(INDIRECT("Tabela1["&amp;$B9&amp;"]"),Tabela1[Turno],$D9,Tabela1[Data Corrigida],AD$3)/100,"")</f>
        <v/>
      </c>
      <c r="AE9" s="40" t="str">
        <f ca="1">IFERROR(AVERAGEIFS(INDIRECT("Tabela1["&amp;$B9&amp;"]"),Tabela1[Turno],$D9,Tabela1[Data Corrigida],AE$3)/100,"")</f>
        <v/>
      </c>
      <c r="AF9" s="40" t="str">
        <f ca="1">IFERROR(AVERAGEIFS(INDIRECT("Tabela1["&amp;$B9&amp;"]"),Tabela1[Turno],$D9,Tabela1[Data Corrigida],AF$3)/100,"")</f>
        <v/>
      </c>
      <c r="AG9" s="40" t="str">
        <f ca="1">IFERROR(AVERAGEIFS(INDIRECT("Tabela1["&amp;$B9&amp;"]"),Tabela1[Turno],$D9,Tabela1[Data Corrigida],AG$3)/100,"")</f>
        <v/>
      </c>
      <c r="AH9" s="40" t="str">
        <f ca="1">IFERROR(AVERAGEIFS(INDIRECT("Tabela1["&amp;$B9&amp;"]"),Tabela1[Turno],$D9,Tabela1[Data Corrigida],AH$3)/100,"")</f>
        <v/>
      </c>
      <c r="AI9" s="40" t="str">
        <f ca="1">IFERROR(AVERAGEIFS(INDIRECT("Tabela1["&amp;$B9&amp;"]"),Tabela1[Turno],$D9,Tabela1[Data Corrigida],AI$3)/100,"")</f>
        <v/>
      </c>
      <c r="AJ9" s="40" t="str">
        <f ca="1">IFERROR(AVERAGEIFS(INDIRECT("Tabela1["&amp;$B9&amp;"]"),Tabela1[Turno],$D9,Tabela1[Data Corrigida],AJ$3)/100,"")</f>
        <v/>
      </c>
      <c r="AK9" s="40" t="str">
        <f ca="1">IFERROR(AVERAGEIFS(INDIRECT("Tabela1["&amp;$B9&amp;"]"),Tabela1[Turno],$D9,Tabela1[Data Corrigida],AK$3)/100,"")</f>
        <v/>
      </c>
      <c r="AL9" s="40" t="str">
        <f ca="1">IFERROR(AVERAGEIFS(INDIRECT("Tabela1["&amp;$B9&amp;"]"),Tabela1[Turno],$D9,Tabela1[Data Corrigida],AL$3)/100,"")</f>
        <v/>
      </c>
      <c r="AM9" s="40" t="str">
        <f ca="1">IFERROR(AVERAGEIFS(INDIRECT("Tabela1["&amp;$B9&amp;"]"),Tabela1[Turno],$D9,Tabela1[Data Corrigida],AM$3)/100,"")</f>
        <v/>
      </c>
    </row>
    <row r="10" spans="1:44" ht="15" customHeight="1" x14ac:dyDescent="0.3">
      <c r="A10" s="50" t="str">
        <f>VLOOKUP(Tabela2[[#This Row],[Item 1]],Apoio!$A$2:$B$41,2,0)</f>
        <v>Escald</v>
      </c>
      <c r="B10" s="9" t="str">
        <f t="shared" si="2"/>
        <v>% Pena após Repasse</v>
      </c>
      <c r="C10" s="59"/>
      <c r="D10" s="27" t="s">
        <v>33</v>
      </c>
      <c r="E10" s="36">
        <f ca="1">IFERROR(AVERAGEIFS(INDIRECT("Tabela1["&amp;$B10&amp;"]"),Tabela1[Turno],$D10,Tabela1[Mês],E$3)/100,"")</f>
        <v>5.0206896551724139E-2</v>
      </c>
      <c r="F10" s="36">
        <f ca="1">IFERROR(AVERAGEIFS(INDIRECT("Tabela1["&amp;$B10&amp;"]"),Tabela1[Turno],$D10,Tabela1[Mês],F$3)/100,"")</f>
        <v>5.6413793103448275E-2</v>
      </c>
      <c r="G10" s="36">
        <f ca="1">IFERROR(AVERAGEIFS(INDIRECT("Tabela1["&amp;$B10&amp;"]"),Tabela1[Turno],$D10,Tabela1[Mês],G$3)/100,"")</f>
        <v>6.9103448275862067E-2</v>
      </c>
      <c r="H10" s="36" t="str">
        <f ca="1">IFERROR(AVERAGEIFS(INDIRECT("Tabela1["&amp;$B10&amp;"]"),Tabela1[Turno],$D10,Tabela1[Mês],H$3)/100,"")</f>
        <v/>
      </c>
      <c r="I10" s="36">
        <f ca="1">IFERROR(AVERAGEIFS(INDIRECT("Tabela1["&amp;$B10&amp;"]"),Tabela1[Turno],$D10,Tabela1[Mês],I$3)/100,"")</f>
        <v>6.7241379310344823E-2</v>
      </c>
      <c r="J10" s="36">
        <f ca="1">IFERROR(AVERAGEIFS(INDIRECT("Tabela1["&amp;$B10&amp;"]"),Tabela1[Turno],$D10,Tabela1[Mês],J$3)/100,"")</f>
        <v>6.5172413793103443E-2</v>
      </c>
      <c r="K10" s="36">
        <f ca="1">IFERROR(AVERAGEIFS(INDIRECT("Tabela1["&amp;$B10&amp;"]"),Tabela1[Turno],$D10,Tabela1[Mês],K$3)/100,"")</f>
        <v>9.2837219475274305E-2</v>
      </c>
      <c r="L10" s="36">
        <f ca="1">IFERROR(AVERAGEIFS(INDIRECT("Tabela1["&amp;$B10&amp;"]"),Tabela1[Turno],$D10,Tabela1[Mês],L$3)/100,"")</f>
        <v>0.12120413815727044</v>
      </c>
      <c r="M10" s="36">
        <f ca="1">IFERROR(AVERAGEIFS(INDIRECT("Tabela1["&amp;$B10&amp;"]"),Tabela1[Turno],$D10,Tabela1[Mês],M$3)/100,"")</f>
        <v>8.8730158730158729E-2</v>
      </c>
      <c r="N10" s="36">
        <f ca="1">IFERROR(AVERAGEIFS(INDIRECT("Tabela1["&amp;$B10&amp;"]"),Tabela1[Turno],$D10,Tabela1[Mês],N$3)/100,"")</f>
        <v>5.5E-2</v>
      </c>
      <c r="O10" s="36" t="str">
        <f ca="1">IFERROR(AVERAGEIFS(INDIRECT("Tabela1["&amp;$B10&amp;"]"),Tabela1[Turno],$D10,Tabela1[Mês],O$3)/100,"")</f>
        <v/>
      </c>
      <c r="P10" s="41" t="str">
        <f ca="1">IFERROR(AVERAGEIFS(INDIRECT("Tabela1["&amp;$B10&amp;"]"),Tabela1[Turno],$D10,Tabela1[Mês],P$3)/100,"")</f>
        <v/>
      </c>
      <c r="Q10" s="62"/>
      <c r="R10" s="35">
        <f ca="1">IFERROR(AVERAGEIFS(INDIRECT("Tabela1["&amp;$B10&amp;"]"),Tabela1[Turno],$D10,Tabela1[Data Corrigida],R$3)/100,"")</f>
        <v>5.6666666666666671E-2</v>
      </c>
      <c r="S10" s="36">
        <f ca="1">IFERROR(AVERAGEIFS(INDIRECT("Tabela1["&amp;$B10&amp;"]"),Tabela1[Turno],$D10,Tabela1[Data Corrigida],S$3)/100,"")</f>
        <v>0.06</v>
      </c>
      <c r="T10" s="36">
        <f ca="1">IFERROR(AVERAGEIFS(INDIRECT("Tabela1["&amp;$B10&amp;"]"),Tabela1[Turno],$D10,Tabela1[Data Corrigida],T$3)/100,"")</f>
        <v>7.0000000000000007E-2</v>
      </c>
      <c r="U10" s="36">
        <f ca="1">IFERROR(AVERAGEIFS(INDIRECT("Tabela1["&amp;$B10&amp;"]"),Tabela1[Turno],$D10,Tabela1[Data Corrigida],U$3)/100,"")</f>
        <v>5.5E-2</v>
      </c>
      <c r="V10" s="36">
        <f ca="1">IFERROR(AVERAGEIFS(INDIRECT("Tabela1["&amp;$B10&amp;"]"),Tabela1[Turno],$D10,Tabela1[Data Corrigida],V$3)/100,"")</f>
        <v>0.05</v>
      </c>
      <c r="W10" s="36">
        <f ca="1">IFERROR(AVERAGEIFS(INDIRECT("Tabela1["&amp;$B10&amp;"]"),Tabela1[Turno],$D10,Tabela1[Data Corrigida],W$3)/100,"")</f>
        <v>4.6666666666666669E-2</v>
      </c>
      <c r="X10" s="36">
        <f ca="1">IFERROR(AVERAGEIFS(INDIRECT("Tabela1["&amp;$B10&amp;"]"),Tabela1[Turno],$D10,Tabela1[Data Corrigida],X$3)/100,"")</f>
        <v>4.6666666666666669E-2</v>
      </c>
      <c r="Y10" s="36" t="str">
        <f ca="1">IFERROR(AVERAGEIFS(INDIRECT("Tabela1["&amp;$B10&amp;"]"),Tabela1[Turno],$D10,Tabela1[Data Corrigida],Y$3)/100,"")</f>
        <v/>
      </c>
      <c r="Z10" s="36" t="str">
        <f ca="1">IFERROR(AVERAGEIFS(INDIRECT("Tabela1["&amp;$B10&amp;"]"),Tabela1[Turno],$D10,Tabela1[Data Corrigida],Z$3)/100,"")</f>
        <v/>
      </c>
      <c r="AA10" s="36" t="str">
        <f ca="1">IFERROR(AVERAGEIFS(INDIRECT("Tabela1["&amp;$B10&amp;"]"),Tabela1[Turno],$D10,Tabela1[Data Corrigida],AA$3)/100,"")</f>
        <v/>
      </c>
      <c r="AB10" s="36" t="str">
        <f ca="1">IFERROR(AVERAGEIFS(INDIRECT("Tabela1["&amp;$B10&amp;"]"),Tabela1[Turno],$D10,Tabela1[Data Corrigida],AB$3)/100,"")</f>
        <v/>
      </c>
      <c r="AC10" s="36" t="str">
        <f ca="1">IFERROR(AVERAGEIFS(INDIRECT("Tabela1["&amp;$B10&amp;"]"),Tabela1[Turno],$D10,Tabela1[Data Corrigida],AC$3)/100,"")</f>
        <v/>
      </c>
      <c r="AD10" s="36" t="str">
        <f ca="1">IFERROR(AVERAGEIFS(INDIRECT("Tabela1["&amp;$B10&amp;"]"),Tabela1[Turno],$D10,Tabela1[Data Corrigida],AD$3)/100,"")</f>
        <v/>
      </c>
      <c r="AE10" s="36" t="str">
        <f ca="1">IFERROR(AVERAGEIFS(INDIRECT("Tabela1["&amp;$B10&amp;"]"),Tabela1[Turno],$D10,Tabela1[Data Corrigida],AE$3)/100,"")</f>
        <v/>
      </c>
      <c r="AF10" s="36" t="str">
        <f ca="1">IFERROR(AVERAGEIFS(INDIRECT("Tabela1["&amp;$B10&amp;"]"),Tabela1[Turno],$D10,Tabela1[Data Corrigida],AF$3)/100,"")</f>
        <v/>
      </c>
      <c r="AG10" s="36" t="str">
        <f ca="1">IFERROR(AVERAGEIFS(INDIRECT("Tabela1["&amp;$B10&amp;"]"),Tabela1[Turno],$D10,Tabela1[Data Corrigida],AG$3)/100,"")</f>
        <v/>
      </c>
      <c r="AH10" s="36" t="str">
        <f ca="1">IFERROR(AVERAGEIFS(INDIRECT("Tabela1["&amp;$B10&amp;"]"),Tabela1[Turno],$D10,Tabela1[Data Corrigida],AH$3)/100,"")</f>
        <v/>
      </c>
      <c r="AI10" s="36" t="str">
        <f ca="1">IFERROR(AVERAGEIFS(INDIRECT("Tabela1["&amp;$B10&amp;"]"),Tabela1[Turno],$D10,Tabela1[Data Corrigida],AI$3)/100,"")</f>
        <v/>
      </c>
      <c r="AJ10" s="36" t="str">
        <f ca="1">IFERROR(AVERAGEIFS(INDIRECT("Tabela1["&amp;$B10&amp;"]"),Tabela1[Turno],$D10,Tabela1[Data Corrigida],AJ$3)/100,"")</f>
        <v/>
      </c>
      <c r="AK10" s="36" t="str">
        <f ca="1">IFERROR(AVERAGEIFS(INDIRECT("Tabela1["&amp;$B10&amp;"]"),Tabela1[Turno],$D10,Tabela1[Data Corrigida],AK$3)/100,"")</f>
        <v/>
      </c>
      <c r="AL10" s="36" t="str">
        <f ca="1">IFERROR(AVERAGEIFS(INDIRECT("Tabela1["&amp;$B10&amp;"]"),Tabela1[Turno],$D10,Tabela1[Data Corrigida],AL$3)/100,"")</f>
        <v/>
      </c>
      <c r="AM10" s="36" t="str">
        <f ca="1">IFERROR(AVERAGEIFS(INDIRECT("Tabela1["&amp;$B10&amp;"]"),Tabela1[Turno],$D10,Tabela1[Data Corrigida],AM$3)/100,"")</f>
        <v/>
      </c>
    </row>
    <row r="11" spans="1:44" ht="15" customHeight="1" thickBot="1" x14ac:dyDescent="0.35">
      <c r="A11" s="50" t="str">
        <f>VLOOKUP(Tabela2[[#This Row],[Item 1]],Apoio!$A$2:$B$41,2,0)</f>
        <v>Escald</v>
      </c>
      <c r="B11" s="9" t="str">
        <f t="shared" si="2"/>
        <v>% Pena após Repasse</v>
      </c>
      <c r="C11" s="60"/>
      <c r="D11" s="28" t="s">
        <v>5</v>
      </c>
      <c r="E11" s="45">
        <f ca="1">IFERROR(AVERAGEIFS(INDIRECT("Tabela1["&amp;$B11&amp;"]"),Tabela1[Mês],E$3)/100,"")</f>
        <v>0.10310344827586207</v>
      </c>
      <c r="F11" s="45">
        <f ca="1">IFERROR(AVERAGEIFS(INDIRECT("Tabela1["&amp;$B11&amp;"]"),Tabela1[Mês],F$3)/100,"")</f>
        <v>0.10120689655172414</v>
      </c>
      <c r="G11" s="45">
        <f ca="1">IFERROR(AVERAGEIFS(INDIRECT("Tabela1["&amp;$B11&amp;"]"),Tabela1[Mês],G$3)/100,"")</f>
        <v>7.4931034482758618E-2</v>
      </c>
      <c r="H11" s="45">
        <f ca="1">IFERROR(AVERAGEIFS(INDIRECT("Tabela1["&amp;$B11&amp;"]"),Tabela1[Mês],H$3)/100,"")</f>
        <v>6.744827586206896E-2</v>
      </c>
      <c r="I11" s="45">
        <f ca="1">IFERROR(AVERAGEIFS(INDIRECT("Tabela1["&amp;$B11&amp;"]"),Tabela1[Mês],I$3)/100,"")</f>
        <v>8.7620689655172404E-2</v>
      </c>
      <c r="J11" s="45">
        <f ca="1">IFERROR(AVERAGEIFS(INDIRECT("Tabela1["&amp;$B11&amp;"]"),Tabela1[Mês],J$3)/100,"")</f>
        <v>9.0931034482758619E-2</v>
      </c>
      <c r="K11" s="45">
        <f ca="1">IFERROR(AVERAGEIFS(INDIRECT("Tabela1["&amp;$B11&amp;"]"),Tabela1[Mês],K$3)/100,"")</f>
        <v>0.11384578227386898</v>
      </c>
      <c r="L11" s="45">
        <f ca="1">IFERROR(AVERAGEIFS(INDIRECT("Tabela1["&amp;$B11&amp;"]"),Tabela1[Mês],L$3)/100,"")</f>
        <v>0.13091754618313531</v>
      </c>
      <c r="M11" s="45">
        <f ca="1">IFERROR(AVERAGEIFS(INDIRECT("Tabela1["&amp;$B11&amp;"]"),Tabela1[Mês],M$3)/100,"")</f>
        <v>0.11486301369863014</v>
      </c>
      <c r="N11" s="45">
        <f ca="1">IFERROR(AVERAGEIFS(INDIRECT("Tabela1["&amp;$B11&amp;"]"),Tabela1[Mês],N$3)/100,"")</f>
        <v>0.11816326530612244</v>
      </c>
      <c r="O11" s="45" t="str">
        <f ca="1">IFERROR(AVERAGEIFS(INDIRECT("Tabela1["&amp;$B11&amp;"]"),Tabela1[Mês],O$3)/100,"")</f>
        <v/>
      </c>
      <c r="P11" s="46" t="str">
        <f ca="1">IFERROR(AVERAGEIFS(INDIRECT("Tabela1["&amp;$B11&amp;"]"),Tabela1[Mês],P$3)/100,"")</f>
        <v/>
      </c>
      <c r="Q11" s="63"/>
      <c r="R11" s="42">
        <f ca="1">IFERROR(AVERAGEIFS(INDIRECT("Tabela1["&amp;$B11&amp;"]"),Tabela1[Data Corrigida],R$3)/100,"")</f>
        <v>0.18</v>
      </c>
      <c r="S11" s="43">
        <f ca="1">IFERROR(AVERAGEIFS(INDIRECT("Tabela1["&amp;$B11&amp;"]"),Tabela1[Data Corrigida],S$3)/100,"")</f>
        <v>0.11142857142857142</v>
      </c>
      <c r="T11" s="43">
        <f ca="1">IFERROR(AVERAGEIFS(INDIRECT("Tabela1["&amp;$B11&amp;"]"),Tabela1[Data Corrigida],T$3)/100,"")</f>
        <v>0.105</v>
      </c>
      <c r="U11" s="43">
        <f ca="1">IFERROR(AVERAGEIFS(INDIRECT("Tabela1["&amp;$B11&amp;"]"),Tabela1[Data Corrigida],U$3)/100,"")</f>
        <v>8.6666666666666656E-2</v>
      </c>
      <c r="V11" s="43">
        <f ca="1">IFERROR(AVERAGEIFS(INDIRECT("Tabela1["&amp;$B11&amp;"]"),Tabela1[Data Corrigida],V$3)/100,"")</f>
        <v>0.12714285714285714</v>
      </c>
      <c r="W11" s="43">
        <f ca="1">IFERROR(AVERAGEIFS(INDIRECT("Tabela1["&amp;$B11&amp;"]"),Tabela1[Data Corrigida],W$3)/100,"")</f>
        <v>9.1428571428571428E-2</v>
      </c>
      <c r="X11" s="43">
        <f ca="1">IFERROR(AVERAGEIFS(INDIRECT("Tabela1["&amp;$B11&amp;"]"),Tabela1[Data Corrigida],X$3)/100,"")</f>
        <v>0.11142857142857142</v>
      </c>
      <c r="Y11" s="43">
        <f ca="1">IFERROR(AVERAGEIFS(INDIRECT("Tabela1["&amp;$B11&amp;"]"),Tabela1[Data Corrigida],Y$3)/100,"")</f>
        <v>0.125</v>
      </c>
      <c r="Z11" s="43" t="str">
        <f ca="1">IFERROR(AVERAGEIFS(INDIRECT("Tabela1["&amp;$B11&amp;"]"),Tabela1[Data Corrigida],Z$3)/100,"")</f>
        <v/>
      </c>
      <c r="AA11" s="43" t="str">
        <f ca="1">IFERROR(AVERAGEIFS(INDIRECT("Tabela1["&amp;$B11&amp;"]"),Tabela1[Data Corrigida],AA$3)/100,"")</f>
        <v/>
      </c>
      <c r="AB11" s="43" t="str">
        <f ca="1">IFERROR(AVERAGEIFS(INDIRECT("Tabela1["&amp;$B11&amp;"]"),Tabela1[Data Corrigida],AB$3)/100,"")</f>
        <v/>
      </c>
      <c r="AC11" s="43" t="str">
        <f ca="1">IFERROR(AVERAGEIFS(INDIRECT("Tabela1["&amp;$B11&amp;"]"),Tabela1[Data Corrigida],AC$3)/100,"")</f>
        <v/>
      </c>
      <c r="AD11" s="43" t="str">
        <f ca="1">IFERROR(AVERAGEIFS(INDIRECT("Tabela1["&amp;$B11&amp;"]"),Tabela1[Data Corrigida],AD$3)/100,"")</f>
        <v/>
      </c>
      <c r="AE11" s="43" t="str">
        <f ca="1">IFERROR(AVERAGEIFS(INDIRECT("Tabela1["&amp;$B11&amp;"]"),Tabela1[Data Corrigida],AE$3)/100,"")</f>
        <v/>
      </c>
      <c r="AF11" s="43" t="str">
        <f ca="1">IFERROR(AVERAGEIFS(INDIRECT("Tabela1["&amp;$B11&amp;"]"),Tabela1[Data Corrigida],AF$3)/100,"")</f>
        <v/>
      </c>
      <c r="AG11" s="43" t="str">
        <f ca="1">IFERROR(AVERAGEIFS(INDIRECT("Tabela1["&amp;$B11&amp;"]"),Tabela1[Data Corrigida],AG$3)/100,"")</f>
        <v/>
      </c>
      <c r="AH11" s="43" t="str">
        <f ca="1">IFERROR(AVERAGEIFS(INDIRECT("Tabela1["&amp;$B11&amp;"]"),Tabela1[Data Corrigida],AH$3)/100,"")</f>
        <v/>
      </c>
      <c r="AI11" s="43" t="str">
        <f ca="1">IFERROR(AVERAGEIFS(INDIRECT("Tabela1["&amp;$B11&amp;"]"),Tabela1[Data Corrigida],AI$3)/100,"")</f>
        <v/>
      </c>
      <c r="AJ11" s="43" t="str">
        <f ca="1">IFERROR(AVERAGEIFS(INDIRECT("Tabela1["&amp;$B11&amp;"]"),Tabela1[Data Corrigida],AJ$3)/100,"")</f>
        <v/>
      </c>
      <c r="AK11" s="43" t="str">
        <f ca="1">IFERROR(AVERAGEIFS(INDIRECT("Tabela1["&amp;$B11&amp;"]"),Tabela1[Data Corrigida],AK$3)/100,"")</f>
        <v/>
      </c>
      <c r="AL11" s="43" t="str">
        <f ca="1">IFERROR(AVERAGEIFS(INDIRECT("Tabela1["&amp;$B11&amp;"]"),Tabela1[Data Corrigida],AL$3)/100,"")</f>
        <v/>
      </c>
      <c r="AM11" s="43" t="str">
        <f ca="1">IFERROR(AVERAGEIFS(INDIRECT("Tabela1["&amp;$B11&amp;"]"),Tabela1[Data Corrigida],AM$3)/100,"")</f>
        <v/>
      </c>
    </row>
    <row r="12" spans="1:44" ht="15" customHeight="1" thickTop="1" x14ac:dyDescent="0.3">
      <c r="A12" s="50" t="str">
        <f>VLOOKUP(Tabela2[[#This Row],[Item 1]],Apoio!$A$2:$B$41,2,0)</f>
        <v>Escald</v>
      </c>
      <c r="B12" s="9" t="str">
        <f t="shared" si="2"/>
        <v>Carcaça Quebrada</v>
      </c>
      <c r="C12" s="58" t="str">
        <f>'BD - 022 Evisceração'!Q1</f>
        <v>Carcaça Quebrada</v>
      </c>
      <c r="D12" s="26" t="s">
        <v>21</v>
      </c>
      <c r="E12" s="34" t="str">
        <f ca="1">IFERROR(AVERAGEIFS(INDIRECT("Tabela1["&amp;$B12&amp;"]"),Tabela1[Turno],$D12,Tabela1[Mês],E$3)/20,"")</f>
        <v/>
      </c>
      <c r="F12" s="34" t="str">
        <f ca="1">IFERROR(AVERAGEIFS(INDIRECT("Tabela1["&amp;$B12&amp;"]"),Tabela1[Turno],$D12,Tabela1[Mês],F$3)/20,"")</f>
        <v/>
      </c>
      <c r="G12" s="34" t="str">
        <f ca="1">IFERROR(AVERAGEIFS(INDIRECT("Tabela1["&amp;$B12&amp;"]"),Tabela1[Turno],$D12,Tabela1[Mês],G$3)/20,"")</f>
        <v/>
      </c>
      <c r="H12" s="34" t="str">
        <f ca="1">IFERROR(AVERAGEIFS(INDIRECT("Tabela1["&amp;$B12&amp;"]"),Tabela1[Turno],$D12,Tabela1[Mês],H$3)/20,"")</f>
        <v/>
      </c>
      <c r="I12" s="34" t="str">
        <f ca="1">IFERROR(AVERAGEIFS(INDIRECT("Tabela1["&amp;$B12&amp;"]"),Tabela1[Turno],$D12,Tabela1[Mês],I$3)/20,"")</f>
        <v/>
      </c>
      <c r="J12" s="34" t="str">
        <f ca="1">IFERROR(AVERAGEIFS(INDIRECT("Tabela1["&amp;$B12&amp;"]"),Tabela1[Turno],$D12,Tabela1[Mês],J$3)/20,"")</f>
        <v/>
      </c>
      <c r="K12" s="34">
        <f ca="1">IFERROR(AVERAGEIFS(INDIRECT("Tabela1["&amp;$B12&amp;"]"),Tabela1[Turno],$D12,Tabela1[Mês],K$3)/20,"")</f>
        <v>6.6666666666666662E-3</v>
      </c>
      <c r="L12" s="34">
        <f ca="1">IFERROR(AVERAGEIFS(INDIRECT("Tabela1["&amp;$B12&amp;"]"),Tabela1[Turno],$D12,Tabela1[Mês],L$3)/20,"")</f>
        <v>7.0422535211267609E-4</v>
      </c>
      <c r="M12" s="34">
        <f ca="1">IFERROR(AVERAGEIFS(INDIRECT("Tabela1["&amp;$B12&amp;"]"),Tabela1[Turno],$D12,Tabela1[Mês],M$3)/20,"")</f>
        <v>1.2195121951219512E-3</v>
      </c>
      <c r="N12" s="34">
        <f ca="1">IFERROR(AVERAGEIFS(INDIRECT("Tabela1["&amp;$B12&amp;"]"),Tabela1[Turno],$D12,Tabela1[Mês],N$3)/20,"")</f>
        <v>0</v>
      </c>
      <c r="O12" s="34" t="str">
        <f ca="1">IFERROR(AVERAGEIFS(INDIRECT("Tabela1["&amp;$B12&amp;"]"),Tabela1[Turno],$D12,Tabela1[Mês],O$3)/20,"")</f>
        <v/>
      </c>
      <c r="P12" s="44" t="str">
        <f ca="1">IFERROR(AVERAGEIFS(INDIRECT("Tabela1["&amp;$B12&amp;"]"),Tabela1[Turno],$D12,Tabela1[Mês],P$3)/20,"")</f>
        <v/>
      </c>
      <c r="Q12" s="61">
        <v>0</v>
      </c>
      <c r="R12" s="33">
        <f ca="1">IFERROR(AVERAGEIFS(INDIRECT("Tabela1["&amp;$B12&amp;"]"),Tabela1[Turno],$D12,Tabela1[Data Corrigida],R$3)/20,"")</f>
        <v>0</v>
      </c>
      <c r="S12" s="34">
        <f ca="1">IFERROR(AVERAGEIFS(INDIRECT("Tabela1["&amp;$B12&amp;"]"),Tabela1[Turno],$D12,Tabela1[Data Corrigida],S$3)/20,"")</f>
        <v>0</v>
      </c>
      <c r="T12" s="34">
        <f ca="1">IFERROR(AVERAGEIFS(INDIRECT("Tabela1["&amp;$B12&amp;"]"),Tabela1[Turno],$D12,Tabela1[Data Corrigida],T$3)/20,"")</f>
        <v>0</v>
      </c>
      <c r="U12" s="34">
        <f ca="1">IFERROR(AVERAGEIFS(INDIRECT("Tabela1["&amp;$B12&amp;"]"),Tabela1[Turno],$D12,Tabela1[Data Corrigida],U$3)/20,"")</f>
        <v>0</v>
      </c>
      <c r="V12" s="34">
        <f ca="1">IFERROR(AVERAGEIFS(INDIRECT("Tabela1["&amp;$B12&amp;"]"),Tabela1[Turno],$D12,Tabela1[Data Corrigida],V$3)/20,"")</f>
        <v>0</v>
      </c>
      <c r="W12" s="34">
        <f ca="1">IFERROR(AVERAGEIFS(INDIRECT("Tabela1["&amp;$B12&amp;"]"),Tabela1[Turno],$D12,Tabela1[Data Corrigida],W$3)/20,"")</f>
        <v>0</v>
      </c>
      <c r="X12" s="34">
        <f ca="1">IFERROR(AVERAGEIFS(INDIRECT("Tabela1["&amp;$B12&amp;"]"),Tabela1[Turno],$D12,Tabela1[Data Corrigida],X$3)/20,"")</f>
        <v>0</v>
      </c>
      <c r="Y12" s="34">
        <f ca="1">IFERROR(AVERAGEIFS(INDIRECT("Tabela1["&amp;$B12&amp;"]"),Tabela1[Turno],$D12,Tabela1[Data Corrigida],Y$3)/20,"")</f>
        <v>0</v>
      </c>
      <c r="Z12" s="34" t="str">
        <f ca="1">IFERROR(AVERAGEIFS(INDIRECT("Tabela1["&amp;$B12&amp;"]"),Tabela1[Turno],$D12,Tabela1[Data Corrigida],Z$3)/20,"")</f>
        <v/>
      </c>
      <c r="AA12" s="34" t="str">
        <f ca="1">IFERROR(AVERAGEIFS(INDIRECT("Tabela1["&amp;$B12&amp;"]"),Tabela1[Turno],$D12,Tabela1[Data Corrigida],AA$3)/20,"")</f>
        <v/>
      </c>
      <c r="AB12" s="34" t="str">
        <f ca="1">IFERROR(AVERAGEIFS(INDIRECT("Tabela1["&amp;$B12&amp;"]"),Tabela1[Turno],$D12,Tabela1[Data Corrigida],AB$3)/20,"")</f>
        <v/>
      </c>
      <c r="AC12" s="34" t="str">
        <f ca="1">IFERROR(AVERAGEIFS(INDIRECT("Tabela1["&amp;$B12&amp;"]"),Tabela1[Turno],$D12,Tabela1[Data Corrigida],AC$3)/20,"")</f>
        <v/>
      </c>
      <c r="AD12" s="34" t="str">
        <f ca="1">IFERROR(AVERAGEIFS(INDIRECT("Tabela1["&amp;$B12&amp;"]"),Tabela1[Turno],$D12,Tabela1[Data Corrigida],AD$3)/20,"")</f>
        <v/>
      </c>
      <c r="AE12" s="34" t="str">
        <f ca="1">IFERROR(AVERAGEIFS(INDIRECT("Tabela1["&amp;$B12&amp;"]"),Tabela1[Turno],$D12,Tabela1[Data Corrigida],AE$3)/20,"")</f>
        <v/>
      </c>
      <c r="AF12" s="34" t="str">
        <f ca="1">IFERROR(AVERAGEIFS(INDIRECT("Tabela1["&amp;$B12&amp;"]"),Tabela1[Turno],$D12,Tabela1[Data Corrigida],AF$3)/20,"")</f>
        <v/>
      </c>
      <c r="AG12" s="34" t="str">
        <f ca="1">IFERROR(AVERAGEIFS(INDIRECT("Tabela1["&amp;$B12&amp;"]"),Tabela1[Turno],$D12,Tabela1[Data Corrigida],AG$3)/20,"")</f>
        <v/>
      </c>
      <c r="AH12" s="34" t="str">
        <f ca="1">IFERROR(AVERAGEIFS(INDIRECT("Tabela1["&amp;$B12&amp;"]"),Tabela1[Turno],$D12,Tabela1[Data Corrigida],AH$3)/20,"")</f>
        <v/>
      </c>
      <c r="AI12" s="34" t="str">
        <f ca="1">IFERROR(AVERAGEIFS(INDIRECT("Tabela1["&amp;$B12&amp;"]"),Tabela1[Turno],$D12,Tabela1[Data Corrigida],AI$3)/20,"")</f>
        <v/>
      </c>
      <c r="AJ12" s="34" t="str">
        <f ca="1">IFERROR(AVERAGEIFS(INDIRECT("Tabela1["&amp;$B12&amp;"]"),Tabela1[Turno],$D12,Tabela1[Data Corrigida],AJ$3)/20,"")</f>
        <v/>
      </c>
      <c r="AK12" s="34" t="str">
        <f ca="1">IFERROR(AVERAGEIFS(INDIRECT("Tabela1["&amp;$B12&amp;"]"),Tabela1[Turno],$D12,Tabela1[Data Corrigida],AK$3)/20,"")</f>
        <v/>
      </c>
      <c r="AL12" s="34" t="str">
        <f ca="1">IFERROR(AVERAGEIFS(INDIRECT("Tabela1["&amp;$B12&amp;"]"),Tabela1[Turno],$D12,Tabela1[Data Corrigida],AL$3)/20,"")</f>
        <v/>
      </c>
      <c r="AM12" s="34" t="str">
        <f ca="1">IFERROR(AVERAGEIFS(INDIRECT("Tabela1["&amp;$B12&amp;"]"),Tabela1[Turno],$D12,Tabela1[Data Corrigida],AM$3)/20,"")</f>
        <v/>
      </c>
    </row>
    <row r="13" spans="1:44" ht="15" customHeight="1" x14ac:dyDescent="0.3">
      <c r="A13" s="50" t="str">
        <f>VLOOKUP(Tabela2[[#This Row],[Item 1]],Apoio!$A$2:$B$41,2,0)</f>
        <v>Escald</v>
      </c>
      <c r="B13" s="9" t="str">
        <f t="shared" si="2"/>
        <v>Carcaça Quebrada</v>
      </c>
      <c r="C13" s="59"/>
      <c r="D13" s="27" t="s">
        <v>33</v>
      </c>
      <c r="E13" s="36" t="str">
        <f ca="1">IFERROR(AVERAGEIFS(INDIRECT("Tabela1["&amp;$B13&amp;"]"),Tabela1[Turno],$D13,Tabela1[Mês],E$3)/20,"")</f>
        <v/>
      </c>
      <c r="F13" s="36" t="str">
        <f ca="1">IFERROR(AVERAGEIFS(INDIRECT("Tabela1["&amp;$B13&amp;"]"),Tabela1[Turno],$D13,Tabela1[Mês],F$3)/20,"")</f>
        <v/>
      </c>
      <c r="G13" s="36" t="str">
        <f ca="1">IFERROR(AVERAGEIFS(INDIRECT("Tabela1["&amp;$B13&amp;"]"),Tabela1[Turno],$D13,Tabela1[Mês],G$3)/20,"")</f>
        <v/>
      </c>
      <c r="H13" s="36" t="str">
        <f ca="1">IFERROR(AVERAGEIFS(INDIRECT("Tabela1["&amp;$B13&amp;"]"),Tabela1[Turno],$D13,Tabela1[Mês],H$3)/20,"")</f>
        <v/>
      </c>
      <c r="I13" s="36" t="str">
        <f ca="1">IFERROR(AVERAGEIFS(INDIRECT("Tabela1["&amp;$B13&amp;"]"),Tabela1[Turno],$D13,Tabela1[Mês],I$3)/20,"")</f>
        <v/>
      </c>
      <c r="J13" s="36" t="str">
        <f ca="1">IFERROR(AVERAGEIFS(INDIRECT("Tabela1["&amp;$B13&amp;"]"),Tabela1[Turno],$D13,Tabela1[Mês],J$3)/20,"")</f>
        <v/>
      </c>
      <c r="K13" s="36">
        <f ca="1">IFERROR(AVERAGEIFS(INDIRECT("Tabela1["&amp;$B13&amp;"]"),Tabela1[Turno],$D13,Tabela1[Mês],K$3)/20,"")</f>
        <v>0.31153846153846154</v>
      </c>
      <c r="L13" s="36">
        <f ca="1">IFERROR(AVERAGEIFS(INDIRECT("Tabela1["&amp;$B13&amp;"]"),Tabela1[Turno],$D13,Tabela1[Mês],L$3)/20,"")</f>
        <v>0.05</v>
      </c>
      <c r="M13" s="36">
        <f ca="1">IFERROR(AVERAGEIFS(INDIRECT("Tabela1["&amp;$B13&amp;"]"),Tabela1[Turno],$D13,Tabela1[Mês],M$3)/20,"")</f>
        <v>3.0952380952380953E-2</v>
      </c>
      <c r="N13" s="36">
        <f ca="1">IFERROR(AVERAGEIFS(INDIRECT("Tabela1["&amp;$B13&amp;"]"),Tabela1[Turno],$D13,Tabela1[Mês],N$3)/20,"")</f>
        <v>4.5238095238095237E-2</v>
      </c>
      <c r="O13" s="36" t="str">
        <f ca="1">IFERROR(AVERAGEIFS(INDIRECT("Tabela1["&amp;$B13&amp;"]"),Tabela1[Turno],$D13,Tabela1[Mês],O$3)/20,"")</f>
        <v/>
      </c>
      <c r="P13" s="41" t="str">
        <f ca="1">IFERROR(AVERAGEIFS(INDIRECT("Tabela1["&amp;$B13&amp;"]"),Tabela1[Turno],$D13,Tabela1[Mês],P$3)/20,"")</f>
        <v/>
      </c>
      <c r="Q13" s="62"/>
      <c r="R13" s="35">
        <f ca="1">IFERROR(AVERAGEIFS(INDIRECT("Tabela1["&amp;$B13&amp;"]"),Tabela1[Turno],$D13,Tabela1[Data Corrigida],R$3)/20,"")</f>
        <v>0</v>
      </c>
      <c r="S13" s="36">
        <f ca="1">IFERROR(AVERAGEIFS(INDIRECT("Tabela1["&amp;$B13&amp;"]"),Tabela1[Turno],$D13,Tabela1[Data Corrigida],S$3)/20,"")</f>
        <v>3.3333333333333333E-2</v>
      </c>
      <c r="T13" s="36">
        <f ca="1">IFERROR(AVERAGEIFS(INDIRECT("Tabela1["&amp;$B13&amp;"]"),Tabela1[Turno],$D13,Tabela1[Data Corrigida],T$3)/20,"")</f>
        <v>3.3333333333333333E-2</v>
      </c>
      <c r="U13" s="36">
        <f ca="1">IFERROR(AVERAGEIFS(INDIRECT("Tabela1["&amp;$B13&amp;"]"),Tabela1[Turno],$D13,Tabela1[Data Corrigida],U$3)/20,"")</f>
        <v>0.16666666666666669</v>
      </c>
      <c r="V13" s="36">
        <f ca="1">IFERROR(AVERAGEIFS(INDIRECT("Tabela1["&amp;$B13&amp;"]"),Tabela1[Turno],$D13,Tabela1[Data Corrigida],V$3)/20,"")</f>
        <v>3.3333333333333333E-2</v>
      </c>
      <c r="W13" s="36">
        <f ca="1">IFERROR(AVERAGEIFS(INDIRECT("Tabela1["&amp;$B13&amp;"]"),Tabela1[Turno],$D13,Tabela1[Data Corrigida],W$3)/20,"")</f>
        <v>0</v>
      </c>
      <c r="X13" s="36">
        <f ca="1">IFERROR(AVERAGEIFS(INDIRECT("Tabela1["&amp;$B13&amp;"]"),Tabela1[Turno],$D13,Tabela1[Data Corrigida],X$3)/20,"")</f>
        <v>0.05</v>
      </c>
      <c r="Y13" s="36" t="str">
        <f ca="1">IFERROR(AVERAGEIFS(INDIRECT("Tabela1["&amp;$B13&amp;"]"),Tabela1[Turno],$D13,Tabela1[Data Corrigida],Y$3)/20,"")</f>
        <v/>
      </c>
      <c r="Z13" s="36" t="str">
        <f ca="1">IFERROR(AVERAGEIFS(INDIRECT("Tabela1["&amp;$B13&amp;"]"),Tabela1[Turno],$D13,Tabela1[Data Corrigida],Z$3)/20,"")</f>
        <v/>
      </c>
      <c r="AA13" s="36" t="str">
        <f ca="1">IFERROR(AVERAGEIFS(INDIRECT("Tabela1["&amp;$B13&amp;"]"),Tabela1[Turno],$D13,Tabela1[Data Corrigida],AA$3)/20,"")</f>
        <v/>
      </c>
      <c r="AB13" s="36" t="str">
        <f ca="1">IFERROR(AVERAGEIFS(INDIRECT("Tabela1["&amp;$B13&amp;"]"),Tabela1[Turno],$D13,Tabela1[Data Corrigida],AB$3)/20,"")</f>
        <v/>
      </c>
      <c r="AC13" s="36" t="str">
        <f ca="1">IFERROR(AVERAGEIFS(INDIRECT("Tabela1["&amp;$B13&amp;"]"),Tabela1[Turno],$D13,Tabela1[Data Corrigida],AC$3)/20,"")</f>
        <v/>
      </c>
      <c r="AD13" s="36" t="str">
        <f ca="1">IFERROR(AVERAGEIFS(INDIRECT("Tabela1["&amp;$B13&amp;"]"),Tabela1[Turno],$D13,Tabela1[Data Corrigida],AD$3)/20,"")</f>
        <v/>
      </c>
      <c r="AE13" s="36" t="str">
        <f ca="1">IFERROR(AVERAGEIFS(INDIRECT("Tabela1["&amp;$B13&amp;"]"),Tabela1[Turno],$D13,Tabela1[Data Corrigida],AE$3)/20,"")</f>
        <v/>
      </c>
      <c r="AF13" s="36" t="str">
        <f ca="1">IFERROR(AVERAGEIFS(INDIRECT("Tabela1["&amp;$B13&amp;"]"),Tabela1[Turno],$D13,Tabela1[Data Corrigida],AF$3)/20,"")</f>
        <v/>
      </c>
      <c r="AG13" s="36" t="str">
        <f ca="1">IFERROR(AVERAGEIFS(INDIRECT("Tabela1["&amp;$B13&amp;"]"),Tabela1[Turno],$D13,Tabela1[Data Corrigida],AG$3)/20,"")</f>
        <v/>
      </c>
      <c r="AH13" s="36" t="str">
        <f ca="1">IFERROR(AVERAGEIFS(INDIRECT("Tabela1["&amp;$B13&amp;"]"),Tabela1[Turno],$D13,Tabela1[Data Corrigida],AH$3)/20,"")</f>
        <v/>
      </c>
      <c r="AI13" s="36" t="str">
        <f ca="1">IFERROR(AVERAGEIFS(INDIRECT("Tabela1["&amp;$B13&amp;"]"),Tabela1[Turno],$D13,Tabela1[Data Corrigida],AI$3)/20,"")</f>
        <v/>
      </c>
      <c r="AJ13" s="36" t="str">
        <f ca="1">IFERROR(AVERAGEIFS(INDIRECT("Tabela1["&amp;$B13&amp;"]"),Tabela1[Turno],$D13,Tabela1[Data Corrigida],AJ$3)/20,"")</f>
        <v/>
      </c>
      <c r="AK13" s="36" t="str">
        <f ca="1">IFERROR(AVERAGEIFS(INDIRECT("Tabela1["&amp;$B13&amp;"]"),Tabela1[Turno],$D13,Tabela1[Data Corrigida],AK$3)/20,"")</f>
        <v/>
      </c>
      <c r="AL13" s="36" t="str">
        <f ca="1">IFERROR(AVERAGEIFS(INDIRECT("Tabela1["&amp;$B13&amp;"]"),Tabela1[Turno],$D13,Tabela1[Data Corrigida],AL$3)/20,"")</f>
        <v/>
      </c>
      <c r="AM13" s="36" t="str">
        <f ca="1">IFERROR(AVERAGEIFS(INDIRECT("Tabela1["&amp;$B13&amp;"]"),Tabela1[Turno],$D13,Tabela1[Data Corrigida],AM$3)/20,"")</f>
        <v/>
      </c>
    </row>
    <row r="14" spans="1:44" ht="15" customHeight="1" thickBot="1" x14ac:dyDescent="0.35">
      <c r="A14" s="50" t="str">
        <f>VLOOKUP(Tabela2[[#This Row],[Item 1]],Apoio!$A$2:$B$41,2,0)</f>
        <v>Escald</v>
      </c>
      <c r="B14" s="9" t="str">
        <f t="shared" si="2"/>
        <v>Carcaça Quebrada</v>
      </c>
      <c r="C14" s="60"/>
      <c r="D14" s="28" t="s">
        <v>5</v>
      </c>
      <c r="E14" s="45" t="str">
        <f ca="1">IFERROR(AVERAGEIFS(INDIRECT("Tabela1["&amp;$B14&amp;"]"),Tabela1[Mês],E$3)/20,"")</f>
        <v/>
      </c>
      <c r="F14" s="45" t="str">
        <f ca="1">IFERROR(AVERAGEIFS(INDIRECT("Tabela1["&amp;$B14&amp;"]"),Tabela1[Mês],F$3)/20,"")</f>
        <v/>
      </c>
      <c r="G14" s="45" t="str">
        <f ca="1">IFERROR(AVERAGEIFS(INDIRECT("Tabela1["&amp;$B14&amp;"]"),Tabela1[Mês],G$3)/20,"")</f>
        <v/>
      </c>
      <c r="H14" s="45" t="str">
        <f ca="1">IFERROR(AVERAGEIFS(INDIRECT("Tabela1["&amp;$B14&amp;"]"),Tabela1[Mês],H$3)/20,"")</f>
        <v/>
      </c>
      <c r="I14" s="45" t="str">
        <f ca="1">IFERROR(AVERAGEIFS(INDIRECT("Tabela1["&amp;$B14&amp;"]"),Tabela1[Mês],I$3)/20,"")</f>
        <v/>
      </c>
      <c r="J14" s="45" t="str">
        <f ca="1">IFERROR(AVERAGEIFS(INDIRECT("Tabela1["&amp;$B14&amp;"]"),Tabela1[Mês],J$3)/20,"")</f>
        <v/>
      </c>
      <c r="K14" s="45">
        <f ca="1">IFERROR(AVERAGEIFS(INDIRECT("Tabela1["&amp;$B14&amp;"]"),Tabela1[Mês],K$3)/20,"")</f>
        <v>0.14821428571428572</v>
      </c>
      <c r="L14" s="45">
        <f ca="1">IFERROR(AVERAGEIFS(INDIRECT("Tabela1["&amp;$B14&amp;"]"),Tabela1[Mês],L$3)/20,"")</f>
        <v>2.3282442748091603E-2</v>
      </c>
      <c r="M14" s="45">
        <f ca="1">IFERROR(AVERAGEIFS(INDIRECT("Tabela1["&amp;$B14&amp;"]"),Tabela1[Mês],M$3)/20,"")</f>
        <v>1.413793103448276E-2</v>
      </c>
      <c r="N14" s="45">
        <f ca="1">IFERROR(AVERAGEIFS(INDIRECT("Tabela1["&amp;$B14&amp;"]"),Tabela1[Mês],N$3)/20,"")</f>
        <v>1.9E-2</v>
      </c>
      <c r="O14" s="45" t="str">
        <f ca="1">IFERROR(AVERAGEIFS(INDIRECT("Tabela1["&amp;$B14&amp;"]"),Tabela1[Mês],O$3)/20,"")</f>
        <v/>
      </c>
      <c r="P14" s="46" t="str">
        <f ca="1">IFERROR(AVERAGEIFS(INDIRECT("Tabela1["&amp;$B14&amp;"]"),Tabela1[Mês],P$3)/20,"")</f>
        <v/>
      </c>
      <c r="Q14" s="63"/>
      <c r="R14" s="37">
        <f ca="1">IFERROR(AVERAGEIFS(INDIRECT("Tabela1["&amp;$B14&amp;"]"),Tabela1[Data Corrigida],R$3)/20,"")</f>
        <v>0</v>
      </c>
      <c r="S14" s="38">
        <f ca="1">IFERROR(AVERAGEIFS(INDIRECT("Tabela1["&amp;$B14&amp;"]"),Tabela1[Data Corrigida],S$3)/20,"")</f>
        <v>1.4285714285714285E-2</v>
      </c>
      <c r="T14" s="38">
        <f ca="1">IFERROR(AVERAGEIFS(INDIRECT("Tabela1["&amp;$B14&amp;"]"),Tabela1[Data Corrigida],T$3)/20,"")</f>
        <v>2.5000000000000001E-2</v>
      </c>
      <c r="U14" s="38">
        <f ca="1">IFERROR(AVERAGEIFS(INDIRECT("Tabela1["&amp;$B14&amp;"]"),Tabela1[Data Corrigida],U$3)/20,"")</f>
        <v>7.1428571428571425E-2</v>
      </c>
      <c r="V14" s="38">
        <f ca="1">IFERROR(AVERAGEIFS(INDIRECT("Tabela1["&amp;$B14&amp;"]"),Tabela1[Data Corrigida],V$3)/20,"")</f>
        <v>1.4285714285714285E-2</v>
      </c>
      <c r="W14" s="38">
        <f ca="1">IFERROR(AVERAGEIFS(INDIRECT("Tabela1["&amp;$B14&amp;"]"),Tabela1[Data Corrigida],W$3)/20,"")</f>
        <v>0</v>
      </c>
      <c r="X14" s="38">
        <f ca="1">IFERROR(AVERAGEIFS(INDIRECT("Tabela1["&amp;$B14&amp;"]"),Tabela1[Data Corrigida],X$3)/20,"")</f>
        <v>2.1428571428571429E-2</v>
      </c>
      <c r="Y14" s="38">
        <f ca="1">IFERROR(AVERAGEIFS(INDIRECT("Tabela1["&amp;$B14&amp;"]"),Tabela1[Data Corrigida],Y$3)/20,"")</f>
        <v>0</v>
      </c>
      <c r="Z14" s="38" t="str">
        <f ca="1">IFERROR(AVERAGEIFS(INDIRECT("Tabela1["&amp;$B14&amp;"]"),Tabela1[Data Corrigida],Z$3)/20,"")</f>
        <v/>
      </c>
      <c r="AA14" s="38" t="str">
        <f ca="1">IFERROR(AVERAGEIFS(INDIRECT("Tabela1["&amp;$B14&amp;"]"),Tabela1[Data Corrigida],AA$3)/20,"")</f>
        <v/>
      </c>
      <c r="AB14" s="38" t="str">
        <f ca="1">IFERROR(AVERAGEIFS(INDIRECT("Tabela1["&amp;$B14&amp;"]"),Tabela1[Data Corrigida],AB$3)/20,"")</f>
        <v/>
      </c>
      <c r="AC14" s="38" t="str">
        <f ca="1">IFERROR(AVERAGEIFS(INDIRECT("Tabela1["&amp;$B14&amp;"]"),Tabela1[Data Corrigida],AC$3)/20,"")</f>
        <v/>
      </c>
      <c r="AD14" s="38" t="str">
        <f ca="1">IFERROR(AVERAGEIFS(INDIRECT("Tabela1["&amp;$B14&amp;"]"),Tabela1[Data Corrigida],AD$3)/20,"")</f>
        <v/>
      </c>
      <c r="AE14" s="38" t="str">
        <f ca="1">IFERROR(AVERAGEIFS(INDIRECT("Tabela1["&amp;$B14&amp;"]"),Tabela1[Data Corrigida],AE$3)/20,"")</f>
        <v/>
      </c>
      <c r="AF14" s="38" t="str">
        <f ca="1">IFERROR(AVERAGEIFS(INDIRECT("Tabela1["&amp;$B14&amp;"]"),Tabela1[Data Corrigida],AF$3)/20,"")</f>
        <v/>
      </c>
      <c r="AG14" s="38" t="str">
        <f ca="1">IFERROR(AVERAGEIFS(INDIRECT("Tabela1["&amp;$B14&amp;"]"),Tabela1[Data Corrigida],AG$3)/20,"")</f>
        <v/>
      </c>
      <c r="AH14" s="38" t="str">
        <f ca="1">IFERROR(AVERAGEIFS(INDIRECT("Tabela1["&amp;$B14&amp;"]"),Tabela1[Data Corrigida],AH$3)/20,"")</f>
        <v/>
      </c>
      <c r="AI14" s="38" t="str">
        <f ca="1">IFERROR(AVERAGEIFS(INDIRECT("Tabela1["&amp;$B14&amp;"]"),Tabela1[Data Corrigida],AI$3)/20,"")</f>
        <v/>
      </c>
      <c r="AJ14" s="38" t="str">
        <f ca="1">IFERROR(AVERAGEIFS(INDIRECT("Tabela1["&amp;$B14&amp;"]"),Tabela1[Data Corrigida],AJ$3)/20,"")</f>
        <v/>
      </c>
      <c r="AK14" s="38" t="str">
        <f ca="1">IFERROR(AVERAGEIFS(INDIRECT("Tabela1["&amp;$B14&amp;"]"),Tabela1[Data Corrigida],AK$3)/20,"")</f>
        <v/>
      </c>
      <c r="AL14" s="38" t="str">
        <f ca="1">IFERROR(AVERAGEIFS(INDIRECT("Tabela1["&amp;$B14&amp;"]"),Tabela1[Data Corrigida],AL$3)/20,"")</f>
        <v/>
      </c>
      <c r="AM14" s="38" t="str">
        <f ca="1">IFERROR(AVERAGEIFS(INDIRECT("Tabela1["&amp;$B14&amp;"]"),Tabela1[Data Corrigida],AM$3)/20,"")</f>
        <v/>
      </c>
    </row>
    <row r="15" spans="1:44" ht="15" customHeight="1" thickTop="1" x14ac:dyDescent="0.3">
      <c r="A15" s="50" t="str">
        <f>VLOOKUP(Tabela2[[#This Row],[Item 1]],Apoio!$A$2:$B$41,2,0)</f>
        <v>Escald</v>
      </c>
      <c r="B15" s="9" t="str">
        <f t="shared" si="2"/>
        <v>Fratura Branca</v>
      </c>
      <c r="C15" s="58" t="str">
        <f>'BD - 022 Evisceração'!S1</f>
        <v>Fratura Branca</v>
      </c>
      <c r="D15" s="26" t="s">
        <v>21</v>
      </c>
      <c r="E15" s="34">
        <f ca="1">IFERROR(AVERAGEIFS(INDIRECT("Tabela1["&amp;$B15&amp;"]"),Tabela1[Turno],$D15,Tabela1[Mês],E$3)/100,"")</f>
        <v>1.1899999999999999E-2</v>
      </c>
      <c r="F15" s="34">
        <f ca="1">IFERROR(AVERAGEIFS(INDIRECT("Tabela1["&amp;$B15&amp;"]"),Tabela1[Turno],$D15,Tabela1[Mês],F$3)/100,"")</f>
        <v>6.9999999999999993E-3</v>
      </c>
      <c r="G15" s="34">
        <f ca="1">IFERROR(AVERAGEIFS(INDIRECT("Tabela1["&amp;$B15&amp;"]"),Tabela1[Turno],$D15,Tabela1[Mês],G$3)/100,"")</f>
        <v>2.0400000000000001E-2</v>
      </c>
      <c r="H15" s="34">
        <f ca="1">IFERROR(AVERAGEIFS(INDIRECT("Tabela1["&amp;$B15&amp;"]"),Tabela1[Turno],$D15,Tabela1[Mês],H$3)/100,"")</f>
        <v>2.7200000000000002E-2</v>
      </c>
      <c r="I15" s="34">
        <f ca="1">IFERROR(AVERAGEIFS(INDIRECT("Tabela1["&amp;$B15&amp;"]"),Tabela1[Turno],$D15,Tabela1[Mês],I$3)/100,"")</f>
        <v>3.4200000000000001E-2</v>
      </c>
      <c r="J15" s="34">
        <f ca="1">IFERROR(AVERAGEIFS(INDIRECT("Tabela1["&amp;$B15&amp;"]"),Tabela1[Turno],$D15,Tabela1[Mês],J$3)/100,"")</f>
        <v>2.1700000000000001E-2</v>
      </c>
      <c r="K15" s="34">
        <f ca="1">IFERROR(AVERAGEIFS(INDIRECT("Tabela1["&amp;$B15&amp;"]"),Tabela1[Turno],$D15,Tabela1[Mês],K$3)/100,"")</f>
        <v>2.6000000000000002E-2</v>
      </c>
      <c r="L15" s="34">
        <f ca="1">IFERROR(AVERAGEIFS(INDIRECT("Tabela1["&amp;$B15&amp;"]"),Tabela1[Turno],$D15,Tabela1[Mês],L$3)/100,"")</f>
        <v>1.7837837837837836E-2</v>
      </c>
      <c r="M15" s="34">
        <f ca="1">IFERROR(AVERAGEIFS(INDIRECT("Tabela1["&amp;$B15&amp;"]"),Tabela1[Turno],$D15,Tabela1[Mês],M$3)/100,"")</f>
        <v>2.3012048192771088E-2</v>
      </c>
      <c r="N15" s="34">
        <f ca="1">IFERROR(AVERAGEIFS(INDIRECT("Tabela1["&amp;$B15&amp;"]"),Tabela1[Turno],$D15,Tabela1[Mês],N$3)/100,"")</f>
        <v>2.0689655172413793E-2</v>
      </c>
      <c r="O15" s="34" t="str">
        <f ca="1">IFERROR(AVERAGEIFS(INDIRECT("Tabela1["&amp;$B15&amp;"]"),Tabela1[Turno],$D15,Tabela1[Mês],O$3)/100,"")</f>
        <v/>
      </c>
      <c r="P15" s="44" t="str">
        <f ca="1">IFERROR(AVERAGEIFS(INDIRECT("Tabela1["&amp;$B15&amp;"]"),Tabela1[Turno],$D15,Tabela1[Mês],P$3)/100,"")</f>
        <v/>
      </c>
      <c r="Q15" s="61">
        <v>0.01</v>
      </c>
      <c r="R15" s="39">
        <f ca="1">IFERROR(AVERAGEIFS(INDIRECT("Tabela1["&amp;$B15&amp;"]"),Tabela1[Turno],$D15,Tabela1[Data Corrigida],R$3)/100,"")</f>
        <v>2.2499999999999999E-2</v>
      </c>
      <c r="S15" s="40">
        <f ca="1">IFERROR(AVERAGEIFS(INDIRECT("Tabela1["&amp;$B15&amp;"]"),Tabela1[Turno],$D15,Tabela1[Data Corrigida],S$3)/100,"")</f>
        <v>1.4999999999999999E-2</v>
      </c>
      <c r="T15" s="40">
        <f ca="1">IFERROR(AVERAGEIFS(INDIRECT("Tabela1["&amp;$B15&amp;"]"),Tabela1[Turno],$D15,Tabela1[Data Corrigida],T$3)/100,"")</f>
        <v>0.03</v>
      </c>
      <c r="U15" s="40">
        <f ca="1">IFERROR(AVERAGEIFS(INDIRECT("Tabela1["&amp;$B15&amp;"]"),Tabela1[Turno],$D15,Tabela1[Data Corrigida],U$3)/100,"")</f>
        <v>2.75E-2</v>
      </c>
      <c r="V15" s="40">
        <f ca="1">IFERROR(AVERAGEIFS(INDIRECT("Tabela1["&amp;$B15&amp;"]"),Tabela1[Turno],$D15,Tabela1[Data Corrigida],V$3)/100,"")</f>
        <v>2.2499999999999999E-2</v>
      </c>
      <c r="W15" s="40">
        <f ca="1">IFERROR(AVERAGEIFS(INDIRECT("Tabela1["&amp;$B15&amp;"]"),Tabela1[Turno],$D15,Tabela1[Data Corrigida],W$3)/100,"")</f>
        <v>1.7500000000000002E-2</v>
      </c>
      <c r="X15" s="40">
        <f ca="1">IFERROR(AVERAGEIFS(INDIRECT("Tabela1["&amp;$B15&amp;"]"),Tabela1[Turno],$D15,Tabela1[Data Corrigida],X$3)/100,"")</f>
        <v>1.2500000000000001E-2</v>
      </c>
      <c r="Y15" s="40">
        <f ca="1">IFERROR(AVERAGEIFS(INDIRECT("Tabela1["&amp;$B15&amp;"]"),Tabela1[Turno],$D15,Tabela1[Data Corrigida],Y$3)/100,"")</f>
        <v>2.5000000000000001E-2</v>
      </c>
      <c r="Z15" s="40" t="str">
        <f ca="1">IFERROR(AVERAGEIFS(INDIRECT("Tabela1["&amp;$B15&amp;"]"),Tabela1[Turno],$D15,Tabela1[Data Corrigida],Z$3)/100,"")</f>
        <v/>
      </c>
      <c r="AA15" s="40" t="str">
        <f ca="1">IFERROR(AVERAGEIFS(INDIRECT("Tabela1["&amp;$B15&amp;"]"),Tabela1[Turno],$D15,Tabela1[Data Corrigida],AA$3)/100,"")</f>
        <v/>
      </c>
      <c r="AB15" s="40" t="str">
        <f ca="1">IFERROR(AVERAGEIFS(INDIRECT("Tabela1["&amp;$B15&amp;"]"),Tabela1[Turno],$D15,Tabela1[Data Corrigida],AB$3)/100,"")</f>
        <v/>
      </c>
      <c r="AC15" s="40" t="str">
        <f ca="1">IFERROR(AVERAGEIFS(INDIRECT("Tabela1["&amp;$B15&amp;"]"),Tabela1[Turno],$D15,Tabela1[Data Corrigida],AC$3)/100,"")</f>
        <v/>
      </c>
      <c r="AD15" s="40" t="str">
        <f ca="1">IFERROR(AVERAGEIFS(INDIRECT("Tabela1["&amp;$B15&amp;"]"),Tabela1[Turno],$D15,Tabela1[Data Corrigida],AD$3)/100,"")</f>
        <v/>
      </c>
      <c r="AE15" s="40" t="str">
        <f ca="1">IFERROR(AVERAGEIFS(INDIRECT("Tabela1["&amp;$B15&amp;"]"),Tabela1[Turno],$D15,Tabela1[Data Corrigida],AE$3)/100,"")</f>
        <v/>
      </c>
      <c r="AF15" s="40" t="str">
        <f ca="1">IFERROR(AVERAGEIFS(INDIRECT("Tabela1["&amp;$B15&amp;"]"),Tabela1[Turno],$D15,Tabela1[Data Corrigida],AF$3)/100,"")</f>
        <v/>
      </c>
      <c r="AG15" s="40" t="str">
        <f ca="1">IFERROR(AVERAGEIFS(INDIRECT("Tabela1["&amp;$B15&amp;"]"),Tabela1[Turno],$D15,Tabela1[Data Corrigida],AG$3)/100,"")</f>
        <v/>
      </c>
      <c r="AH15" s="40" t="str">
        <f ca="1">IFERROR(AVERAGEIFS(INDIRECT("Tabela1["&amp;$B15&amp;"]"),Tabela1[Turno],$D15,Tabela1[Data Corrigida],AH$3)/100,"")</f>
        <v/>
      </c>
      <c r="AI15" s="40" t="str">
        <f ca="1">IFERROR(AVERAGEIFS(INDIRECT("Tabela1["&amp;$B15&amp;"]"),Tabela1[Turno],$D15,Tabela1[Data Corrigida],AI$3)/100,"")</f>
        <v/>
      </c>
      <c r="AJ15" s="40" t="str">
        <f ca="1">IFERROR(AVERAGEIFS(INDIRECT("Tabela1["&amp;$B15&amp;"]"),Tabela1[Turno],$D15,Tabela1[Data Corrigida],AJ$3)/100,"")</f>
        <v/>
      </c>
      <c r="AK15" s="40" t="str">
        <f ca="1">IFERROR(AVERAGEIFS(INDIRECT("Tabela1["&amp;$B15&amp;"]"),Tabela1[Turno],$D15,Tabela1[Data Corrigida],AK$3)/100,"")</f>
        <v/>
      </c>
      <c r="AL15" s="40" t="str">
        <f ca="1">IFERROR(AVERAGEIFS(INDIRECT("Tabela1["&amp;$B15&amp;"]"),Tabela1[Turno],$D15,Tabela1[Data Corrigida],AL$3)/100,"")</f>
        <v/>
      </c>
      <c r="AM15" s="40" t="str">
        <f ca="1">IFERROR(AVERAGEIFS(INDIRECT("Tabela1["&amp;$B15&amp;"]"),Tabela1[Turno],$D15,Tabela1[Data Corrigida],AM$3)/100,"")</f>
        <v/>
      </c>
    </row>
    <row r="16" spans="1:44" ht="15" customHeight="1" x14ac:dyDescent="0.3">
      <c r="A16" s="50" t="str">
        <f>VLOOKUP(Tabela2[[#This Row],[Item 1]],Apoio!$A$2:$B$41,2,0)</f>
        <v>Escald</v>
      </c>
      <c r="B16" s="9" t="str">
        <f t="shared" si="2"/>
        <v>Fratura Branca</v>
      </c>
      <c r="C16" s="59"/>
      <c r="D16" s="27" t="s">
        <v>33</v>
      </c>
      <c r="E16" s="36">
        <f ca="1">IFERROR(AVERAGEIFS(INDIRECT("Tabela1["&amp;$B16&amp;"]"),Tabela1[Turno],$D16,Tabela1[Mês],E$3)/100,"")</f>
        <v>1.11E-2</v>
      </c>
      <c r="F16" s="36">
        <f ca="1">IFERROR(AVERAGEIFS(INDIRECT("Tabela1["&amp;$B16&amp;"]"),Tabela1[Turno],$D16,Tabela1[Mês],F$3)/100,"")</f>
        <v>1.4499999999999999E-2</v>
      </c>
      <c r="G16" s="36">
        <f ca="1">IFERROR(AVERAGEIFS(INDIRECT("Tabela1["&amp;$B16&amp;"]"),Tabela1[Turno],$D16,Tabela1[Mês],G$3)/100,"")</f>
        <v>3.5200000000000002E-2</v>
      </c>
      <c r="H16" s="36" t="str">
        <f ca="1">IFERROR(AVERAGEIFS(INDIRECT("Tabela1["&amp;$B16&amp;"]"),Tabela1[Turno],$D16,Tabela1[Mês],H$3)/100,"")</f>
        <v/>
      </c>
      <c r="I16" s="36">
        <f ca="1">IFERROR(AVERAGEIFS(INDIRECT("Tabela1["&amp;$B16&amp;"]"),Tabela1[Turno],$D16,Tabela1[Mês],I$3)/100,"")</f>
        <v>5.2699999999999997E-2</v>
      </c>
      <c r="J16" s="36">
        <f ca="1">IFERROR(AVERAGEIFS(INDIRECT("Tabela1["&amp;$B16&amp;"]"),Tabela1[Turno],$D16,Tabela1[Mês],J$3)/100,"")</f>
        <v>4.4500000000000005E-2</v>
      </c>
      <c r="K16" s="36">
        <f ca="1">IFERROR(AVERAGEIFS(INDIRECT("Tabela1["&amp;$B16&amp;"]"),Tabela1[Turno],$D16,Tabela1[Mês],K$3)/100,"")</f>
        <v>3.1428571428571431E-2</v>
      </c>
      <c r="L16" s="36">
        <f ca="1">IFERROR(AVERAGEIFS(INDIRECT("Tabela1["&amp;$B16&amp;"]"),Tabela1[Turno],$D16,Tabela1[Mês],L$3)/100,"")</f>
        <v>7.4999999999999997E-3</v>
      </c>
      <c r="M16" s="36">
        <f ca="1">IFERROR(AVERAGEIFS(INDIRECT("Tabela1["&amp;$B16&amp;"]"),Tabela1[Turno],$D16,Tabela1[Mês],M$3)/100,"")</f>
        <v>9.0476190476190474E-3</v>
      </c>
      <c r="N16" s="36">
        <f ca="1">IFERROR(AVERAGEIFS(INDIRECT("Tabela1["&amp;$B16&amp;"]"),Tabela1[Turno],$D16,Tabela1[Mês],N$3)/100,"")</f>
        <v>1.5714285714285715E-2</v>
      </c>
      <c r="O16" s="36" t="str">
        <f ca="1">IFERROR(AVERAGEIFS(INDIRECT("Tabela1["&amp;$B16&amp;"]"),Tabela1[Turno],$D16,Tabela1[Mês],O$3)/100,"")</f>
        <v/>
      </c>
      <c r="P16" s="41" t="str">
        <f ca="1">IFERROR(AVERAGEIFS(INDIRECT("Tabela1["&amp;$B16&amp;"]"),Tabela1[Turno],$D16,Tabela1[Mês],P$3)/100,"")</f>
        <v/>
      </c>
      <c r="Q16" s="62"/>
      <c r="R16" s="35">
        <f ca="1">IFERROR(AVERAGEIFS(INDIRECT("Tabela1["&amp;$B16&amp;"]"),Tabela1[Turno],$D16,Tabela1[Data Corrigida],R$3)/100,"")</f>
        <v>2.6666666666666665E-2</v>
      </c>
      <c r="S16" s="36">
        <f ca="1">IFERROR(AVERAGEIFS(INDIRECT("Tabela1["&amp;$B16&amp;"]"),Tabela1[Turno],$D16,Tabela1[Data Corrigida],S$3)/100,"")</f>
        <v>1.6666666666666666E-2</v>
      </c>
      <c r="T16" s="36">
        <f ca="1">IFERROR(AVERAGEIFS(INDIRECT("Tabela1["&amp;$B16&amp;"]"),Tabela1[Turno],$D16,Tabela1[Data Corrigida],T$3)/100,"")</f>
        <v>1.3333333333333332E-2</v>
      </c>
      <c r="U16" s="36">
        <f ca="1">IFERROR(AVERAGEIFS(INDIRECT("Tabela1["&amp;$B16&amp;"]"),Tabela1[Turno],$D16,Tabela1[Data Corrigida],U$3)/100,"")</f>
        <v>6.6666666666666662E-3</v>
      </c>
      <c r="V16" s="36">
        <f ca="1">IFERROR(AVERAGEIFS(INDIRECT("Tabela1["&amp;$B16&amp;"]"),Tabela1[Turno],$D16,Tabela1[Data Corrigida],V$3)/100,"")</f>
        <v>1.3333333333333332E-2</v>
      </c>
      <c r="W16" s="36">
        <f ca="1">IFERROR(AVERAGEIFS(INDIRECT("Tabela1["&amp;$B16&amp;"]"),Tabela1[Turno],$D16,Tabela1[Data Corrigida],W$3)/100,"")</f>
        <v>1.3333333333333332E-2</v>
      </c>
      <c r="X16" s="36">
        <f ca="1">IFERROR(AVERAGEIFS(INDIRECT("Tabela1["&amp;$B16&amp;"]"),Tabela1[Turno],$D16,Tabela1[Data Corrigida],X$3)/100,"")</f>
        <v>0.02</v>
      </c>
      <c r="Y16" s="36" t="str">
        <f ca="1">IFERROR(AVERAGEIFS(INDIRECT("Tabela1["&amp;$B16&amp;"]"),Tabela1[Turno],$D16,Tabela1[Data Corrigida],Y$3)/100,"")</f>
        <v/>
      </c>
      <c r="Z16" s="36" t="str">
        <f ca="1">IFERROR(AVERAGEIFS(INDIRECT("Tabela1["&amp;$B16&amp;"]"),Tabela1[Turno],$D16,Tabela1[Data Corrigida],Z$3)/100,"")</f>
        <v/>
      </c>
      <c r="AA16" s="36" t="str">
        <f ca="1">IFERROR(AVERAGEIFS(INDIRECT("Tabela1["&amp;$B16&amp;"]"),Tabela1[Turno],$D16,Tabela1[Data Corrigida],AA$3)/100,"")</f>
        <v/>
      </c>
      <c r="AB16" s="36" t="str">
        <f ca="1">IFERROR(AVERAGEIFS(INDIRECT("Tabela1["&amp;$B16&amp;"]"),Tabela1[Turno],$D16,Tabela1[Data Corrigida],AB$3)/100,"")</f>
        <v/>
      </c>
      <c r="AC16" s="36" t="str">
        <f ca="1">IFERROR(AVERAGEIFS(INDIRECT("Tabela1["&amp;$B16&amp;"]"),Tabela1[Turno],$D16,Tabela1[Data Corrigida],AC$3)/100,"")</f>
        <v/>
      </c>
      <c r="AD16" s="36" t="str">
        <f ca="1">IFERROR(AVERAGEIFS(INDIRECT("Tabela1["&amp;$B16&amp;"]"),Tabela1[Turno],$D16,Tabela1[Data Corrigida],AD$3)/100,"")</f>
        <v/>
      </c>
      <c r="AE16" s="36" t="str">
        <f ca="1">IFERROR(AVERAGEIFS(INDIRECT("Tabela1["&amp;$B16&amp;"]"),Tabela1[Turno],$D16,Tabela1[Data Corrigida],AE$3)/100,"")</f>
        <v/>
      </c>
      <c r="AF16" s="36" t="str">
        <f ca="1">IFERROR(AVERAGEIFS(INDIRECT("Tabela1["&amp;$B16&amp;"]"),Tabela1[Turno],$D16,Tabela1[Data Corrigida],AF$3)/100,"")</f>
        <v/>
      </c>
      <c r="AG16" s="36" t="str">
        <f ca="1">IFERROR(AVERAGEIFS(INDIRECT("Tabela1["&amp;$B16&amp;"]"),Tabela1[Turno],$D16,Tabela1[Data Corrigida],AG$3)/100,"")</f>
        <v/>
      </c>
      <c r="AH16" s="36" t="str">
        <f ca="1">IFERROR(AVERAGEIFS(INDIRECT("Tabela1["&amp;$B16&amp;"]"),Tabela1[Turno],$D16,Tabela1[Data Corrigida],AH$3)/100,"")</f>
        <v/>
      </c>
      <c r="AI16" s="36" t="str">
        <f ca="1">IFERROR(AVERAGEIFS(INDIRECT("Tabela1["&amp;$B16&amp;"]"),Tabela1[Turno],$D16,Tabela1[Data Corrigida],AI$3)/100,"")</f>
        <v/>
      </c>
      <c r="AJ16" s="36" t="str">
        <f ca="1">IFERROR(AVERAGEIFS(INDIRECT("Tabela1["&amp;$B16&amp;"]"),Tabela1[Turno],$D16,Tabela1[Data Corrigida],AJ$3)/100,"")</f>
        <v/>
      </c>
      <c r="AK16" s="36" t="str">
        <f ca="1">IFERROR(AVERAGEIFS(INDIRECT("Tabela1["&amp;$B16&amp;"]"),Tabela1[Turno],$D16,Tabela1[Data Corrigida],AK$3)/100,"")</f>
        <v/>
      </c>
      <c r="AL16" s="36" t="str">
        <f ca="1">IFERROR(AVERAGEIFS(INDIRECT("Tabela1["&amp;$B16&amp;"]"),Tabela1[Turno],$D16,Tabela1[Data Corrigida],AL$3)/100,"")</f>
        <v/>
      </c>
      <c r="AM16" s="36" t="str">
        <f ca="1">IFERROR(AVERAGEIFS(INDIRECT("Tabela1["&amp;$B16&amp;"]"),Tabela1[Turno],$D16,Tabela1[Data Corrigida],AM$3)/100,"")</f>
        <v/>
      </c>
    </row>
    <row r="17" spans="1:39" ht="15" customHeight="1" thickBot="1" x14ac:dyDescent="0.35">
      <c r="A17" s="50" t="str">
        <f>VLOOKUP(Tabela2[[#This Row],[Item 1]],Apoio!$A$2:$B$41,2,0)</f>
        <v>Escald</v>
      </c>
      <c r="B17" s="9" t="str">
        <f t="shared" si="2"/>
        <v>Fratura Branca</v>
      </c>
      <c r="C17" s="60"/>
      <c r="D17" s="28" t="s">
        <v>5</v>
      </c>
      <c r="E17" s="45">
        <f ca="1">IFERROR(AVERAGEIFS(INDIRECT("Tabela1["&amp;$B17&amp;"]"),Tabela1[Mês],E$3)/100,"")</f>
        <v>1.15E-2</v>
      </c>
      <c r="F17" s="45">
        <f ca="1">IFERROR(AVERAGEIFS(INDIRECT("Tabela1["&amp;$B17&amp;"]"),Tabela1[Mês],F$3)/100,"")</f>
        <v>1.0749999999999999E-2</v>
      </c>
      <c r="G17" s="45">
        <f ca="1">IFERROR(AVERAGEIFS(INDIRECT("Tabela1["&amp;$B17&amp;"]"),Tabela1[Mês],G$3)/100,"")</f>
        <v>2.7800000000000002E-2</v>
      </c>
      <c r="H17" s="45">
        <f ca="1">IFERROR(AVERAGEIFS(INDIRECT("Tabela1["&amp;$B17&amp;"]"),Tabela1[Mês],H$3)/100,"")</f>
        <v>2.7200000000000002E-2</v>
      </c>
      <c r="I17" s="45">
        <f ca="1">IFERROR(AVERAGEIFS(INDIRECT("Tabela1["&amp;$B17&amp;"]"),Tabela1[Mês],I$3)/100,"")</f>
        <v>4.3449999999999996E-2</v>
      </c>
      <c r="J17" s="45">
        <f ca="1">IFERROR(AVERAGEIFS(INDIRECT("Tabela1["&amp;$B17&amp;"]"),Tabela1[Mês],J$3)/100,"")</f>
        <v>3.3099999999999997E-2</v>
      </c>
      <c r="K17" s="45">
        <f ca="1">IFERROR(AVERAGEIFS(INDIRECT("Tabela1["&amp;$B17&amp;"]"),Tabela1[Mês],K$3)/100,"")</f>
        <v>2.8620689655172414E-2</v>
      </c>
      <c r="L17" s="45">
        <f ca="1">IFERROR(AVERAGEIFS(INDIRECT("Tabela1["&amp;$B17&amp;"]"),Tabela1[Mês],L$3)/100,"")</f>
        <v>1.3208955223880596E-2</v>
      </c>
      <c r="M17" s="45">
        <f ca="1">IFERROR(AVERAGEIFS(INDIRECT("Tabela1["&amp;$B17&amp;"]"),Tabela1[Mês],M$3)/100,"")</f>
        <v>1.6986301369863014E-2</v>
      </c>
      <c r="N17" s="45">
        <f ca="1">IFERROR(AVERAGEIFS(INDIRECT("Tabela1["&amp;$B17&amp;"]"),Tabela1[Mês],N$3)/100,"")</f>
        <v>1.8600000000000002E-2</v>
      </c>
      <c r="O17" s="45" t="str">
        <f ca="1">IFERROR(AVERAGEIFS(INDIRECT("Tabela1["&amp;$B17&amp;"]"),Tabela1[Mês],O$3)/100,"")</f>
        <v/>
      </c>
      <c r="P17" s="46" t="str">
        <f ca="1">IFERROR(AVERAGEIFS(INDIRECT("Tabela1["&amp;$B17&amp;"]"),Tabela1[Mês],P$3)/100,"")</f>
        <v/>
      </c>
      <c r="Q17" s="63"/>
      <c r="R17" s="42">
        <f ca="1">IFERROR(AVERAGEIFS(INDIRECT("Tabela1["&amp;$B17&amp;"]"),Tabela1[Data Corrigida],R$3)/100,"")</f>
        <v>2.4285714285714285E-2</v>
      </c>
      <c r="S17" s="43">
        <f ca="1">IFERROR(AVERAGEIFS(INDIRECT("Tabela1["&amp;$B17&amp;"]"),Tabela1[Data Corrigida],S$3)/100,"")</f>
        <v>1.5714285714285715E-2</v>
      </c>
      <c r="T17" s="43">
        <f ca="1">IFERROR(AVERAGEIFS(INDIRECT("Tabela1["&amp;$B17&amp;"]"),Tabela1[Data Corrigida],T$3)/100,"")</f>
        <v>1.7500000000000002E-2</v>
      </c>
      <c r="U17" s="43">
        <f ca="1">IFERROR(AVERAGEIFS(INDIRECT("Tabela1["&amp;$B17&amp;"]"),Tabela1[Data Corrigida],U$3)/100,"")</f>
        <v>1.8571428571428572E-2</v>
      </c>
      <c r="V17" s="43">
        <f ca="1">IFERROR(AVERAGEIFS(INDIRECT("Tabela1["&amp;$B17&amp;"]"),Tabela1[Data Corrigida],V$3)/100,"")</f>
        <v>1.8571428571428572E-2</v>
      </c>
      <c r="W17" s="43">
        <f ca="1">IFERROR(AVERAGEIFS(INDIRECT("Tabela1["&amp;$B17&amp;"]"),Tabela1[Data Corrigida],W$3)/100,"")</f>
        <v>1.5714285714285715E-2</v>
      </c>
      <c r="X17" s="43">
        <f ca="1">IFERROR(AVERAGEIFS(INDIRECT("Tabela1["&amp;$B17&amp;"]"),Tabela1[Data Corrigida],X$3)/100,"")</f>
        <v>1.5714285714285715E-2</v>
      </c>
      <c r="Y17" s="43">
        <f ca="1">IFERROR(AVERAGEIFS(INDIRECT("Tabela1["&amp;$B17&amp;"]"),Tabela1[Data Corrigida],Y$3)/100,"")</f>
        <v>2.5000000000000001E-2</v>
      </c>
      <c r="Z17" s="43" t="str">
        <f ca="1">IFERROR(AVERAGEIFS(INDIRECT("Tabela1["&amp;$B17&amp;"]"),Tabela1[Data Corrigida],Z$3)/100,"")</f>
        <v/>
      </c>
      <c r="AA17" s="43" t="str">
        <f ca="1">IFERROR(AVERAGEIFS(INDIRECT("Tabela1["&amp;$B17&amp;"]"),Tabela1[Data Corrigida],AA$3)/100,"")</f>
        <v/>
      </c>
      <c r="AB17" s="43" t="str">
        <f ca="1">IFERROR(AVERAGEIFS(INDIRECT("Tabela1["&amp;$B17&amp;"]"),Tabela1[Data Corrigida],AB$3)/100,"")</f>
        <v/>
      </c>
      <c r="AC17" s="43" t="str">
        <f ca="1">IFERROR(AVERAGEIFS(INDIRECT("Tabela1["&amp;$B17&amp;"]"),Tabela1[Data Corrigida],AC$3)/100,"")</f>
        <v/>
      </c>
      <c r="AD17" s="43" t="str">
        <f ca="1">IFERROR(AVERAGEIFS(INDIRECT("Tabela1["&amp;$B17&amp;"]"),Tabela1[Data Corrigida],AD$3)/100,"")</f>
        <v/>
      </c>
      <c r="AE17" s="43" t="str">
        <f ca="1">IFERROR(AVERAGEIFS(INDIRECT("Tabela1["&amp;$B17&amp;"]"),Tabela1[Data Corrigida],AE$3)/100,"")</f>
        <v/>
      </c>
      <c r="AF17" s="43" t="str">
        <f ca="1">IFERROR(AVERAGEIFS(INDIRECT("Tabela1["&amp;$B17&amp;"]"),Tabela1[Data Corrigida],AF$3)/100,"")</f>
        <v/>
      </c>
      <c r="AG17" s="43" t="str">
        <f ca="1">IFERROR(AVERAGEIFS(INDIRECT("Tabela1["&amp;$B17&amp;"]"),Tabela1[Data Corrigida],AG$3)/100,"")</f>
        <v/>
      </c>
      <c r="AH17" s="43" t="str">
        <f ca="1">IFERROR(AVERAGEIFS(INDIRECT("Tabela1["&amp;$B17&amp;"]"),Tabela1[Data Corrigida],AH$3)/100,"")</f>
        <v/>
      </c>
      <c r="AI17" s="43" t="str">
        <f ca="1">IFERROR(AVERAGEIFS(INDIRECT("Tabela1["&amp;$B17&amp;"]"),Tabela1[Data Corrigida],AI$3)/100,"")</f>
        <v/>
      </c>
      <c r="AJ17" s="43" t="str">
        <f ca="1">IFERROR(AVERAGEIFS(INDIRECT("Tabela1["&amp;$B17&amp;"]"),Tabela1[Data Corrigida],AJ$3)/100,"")</f>
        <v/>
      </c>
      <c r="AK17" s="43" t="str">
        <f ca="1">IFERROR(AVERAGEIFS(INDIRECT("Tabela1["&amp;$B17&amp;"]"),Tabela1[Data Corrigida],AK$3)/100,"")</f>
        <v/>
      </c>
      <c r="AL17" s="43" t="str">
        <f ca="1">IFERROR(AVERAGEIFS(INDIRECT("Tabela1["&amp;$B17&amp;"]"),Tabela1[Data Corrigida],AL$3)/100,"")</f>
        <v/>
      </c>
      <c r="AM17" s="43" t="str">
        <f ca="1">IFERROR(AVERAGEIFS(INDIRECT("Tabela1["&amp;$B17&amp;"]"),Tabela1[Data Corrigida],AM$3)/100,"")</f>
        <v/>
      </c>
    </row>
    <row r="18" spans="1:39" ht="15" customHeight="1" thickTop="1" x14ac:dyDescent="0.3">
      <c r="A18" s="50" t="str">
        <f>VLOOKUP(Tabela2[[#This Row],[Item 1]],Apoio!$A$2:$B$41,2,0)</f>
        <v>Escald</v>
      </c>
      <c r="B18" s="9" t="str">
        <f t="shared" si="2"/>
        <v>Peito Queimado</v>
      </c>
      <c r="C18" s="58" t="str">
        <f>'BD - 022 Evisceração'!W1</f>
        <v>Peito Queimado</v>
      </c>
      <c r="D18" s="26" t="s">
        <v>21</v>
      </c>
      <c r="E18" s="34">
        <f ca="1">IFERROR(AVERAGEIFS(INDIRECT("Tabela1["&amp;$B18&amp;"]"),Tabela1[Turno],$D18,Tabela1[Mês],E$3)/20,"")</f>
        <v>0.04</v>
      </c>
      <c r="F18" s="34">
        <f ca="1">IFERROR(AVERAGEIFS(INDIRECT("Tabela1["&amp;$B18&amp;"]"),Tabela1[Turno],$D18,Tabela1[Mês],F$3)/20,"")</f>
        <v>6.9999999999999993E-2</v>
      </c>
      <c r="G18" s="34">
        <f ca="1">IFERROR(AVERAGEIFS(INDIRECT("Tabela1["&amp;$B18&amp;"]"),Tabela1[Turno],$D18,Tabela1[Mês],G$3)/20,"")</f>
        <v>0.19800000000000001</v>
      </c>
      <c r="H18" s="34">
        <f ca="1">IFERROR(AVERAGEIFS(INDIRECT("Tabela1["&amp;$B18&amp;"]"),Tabela1[Turno],$D18,Tabela1[Mês],H$3)/20,"")</f>
        <v>9.8500000000000004E-2</v>
      </c>
      <c r="I18" s="34">
        <f ca="1">IFERROR(AVERAGEIFS(INDIRECT("Tabela1["&amp;$B18&amp;"]"),Tabela1[Turno],$D18,Tabela1[Mês],I$3)/20,"")</f>
        <v>2.0999999999999998E-2</v>
      </c>
      <c r="J18" s="34">
        <f ca="1">IFERROR(AVERAGEIFS(INDIRECT("Tabela1["&amp;$B18&amp;"]"),Tabela1[Turno],$D18,Tabela1[Mês],J$3)/20,"")</f>
        <v>0</v>
      </c>
      <c r="K18" s="34">
        <f ca="1">IFERROR(AVERAGEIFS(INDIRECT("Tabela1["&amp;$B18&amp;"]"),Tabela1[Turno],$D18,Tabela1[Mês],K$3)/20,"")</f>
        <v>1.3333333333333332E-2</v>
      </c>
      <c r="L18" s="34">
        <f ca="1">IFERROR(AVERAGEIFS(INDIRECT("Tabela1["&amp;$B18&amp;"]"),Tabela1[Turno],$D18,Tabela1[Mês],L$3)/20,"")</f>
        <v>9.5890410958904097E-3</v>
      </c>
      <c r="M18" s="34">
        <f ca="1">IFERROR(AVERAGEIFS(INDIRECT("Tabela1["&amp;$B18&amp;"]"),Tabela1[Turno],$D18,Tabela1[Mês],M$3)/20,"")</f>
        <v>9.7560975609756097E-3</v>
      </c>
      <c r="N18" s="34">
        <f ca="1">IFERROR(AVERAGEIFS(INDIRECT("Tabela1["&amp;$B18&amp;"]"),Tabela1[Turno],$D18,Tabela1[Mês],N$3)/20,"")</f>
        <v>1.7241379310344827E-3</v>
      </c>
      <c r="O18" s="34" t="str">
        <f ca="1">IFERROR(AVERAGEIFS(INDIRECT("Tabela1["&amp;$B18&amp;"]"),Tabela1[Turno],$D18,Tabela1[Mês],O$3)/20,"")</f>
        <v/>
      </c>
      <c r="P18" s="44" t="str">
        <f ca="1">IFERROR(AVERAGEIFS(INDIRECT("Tabela1["&amp;$B18&amp;"]"),Tabela1[Turno],$D18,Tabela1[Mês],P$3)/20,"")</f>
        <v/>
      </c>
      <c r="Q18" s="61">
        <v>0</v>
      </c>
      <c r="R18" s="33">
        <f ca="1">IFERROR(AVERAGEIFS(INDIRECT("Tabela1["&amp;$B18&amp;"]"),Tabela1[Turno],$D18,Tabela1[Data Corrigida],R$3)/20,"")</f>
        <v>1.2500000000000001E-2</v>
      </c>
      <c r="S18" s="34">
        <f ca="1">IFERROR(AVERAGEIFS(INDIRECT("Tabela1["&amp;$B18&amp;"]"),Tabela1[Turno],$D18,Tabela1[Data Corrigida],S$3)/20,"")</f>
        <v>0</v>
      </c>
      <c r="T18" s="34">
        <f ca="1">IFERROR(AVERAGEIFS(INDIRECT("Tabela1["&amp;$B18&amp;"]"),Tabela1[Turno],$D18,Tabela1[Data Corrigida],T$3)/20,"")</f>
        <v>0</v>
      </c>
      <c r="U18" s="34">
        <f ca="1">IFERROR(AVERAGEIFS(INDIRECT("Tabela1["&amp;$B18&amp;"]"),Tabela1[Turno],$D18,Tabela1[Data Corrigida],U$3)/20,"")</f>
        <v>0</v>
      </c>
      <c r="V18" s="34">
        <f ca="1">IFERROR(AVERAGEIFS(INDIRECT("Tabela1["&amp;$B18&amp;"]"),Tabela1[Turno],$D18,Tabela1[Data Corrigida],V$3)/20,"")</f>
        <v>0</v>
      </c>
      <c r="W18" s="34">
        <f ca="1">IFERROR(AVERAGEIFS(INDIRECT("Tabela1["&amp;$B18&amp;"]"),Tabela1[Turno],$D18,Tabela1[Data Corrigida],W$3)/20,"")</f>
        <v>0</v>
      </c>
      <c r="X18" s="34">
        <f ca="1">IFERROR(AVERAGEIFS(INDIRECT("Tabela1["&amp;$B18&amp;"]"),Tabela1[Turno],$D18,Tabela1[Data Corrigida],X$3)/20,"")</f>
        <v>0</v>
      </c>
      <c r="Y18" s="34">
        <f ca="1">IFERROR(AVERAGEIFS(INDIRECT("Tabela1["&amp;$B18&amp;"]"),Tabela1[Turno],$D18,Tabela1[Data Corrigida],Y$3)/20,"")</f>
        <v>0</v>
      </c>
      <c r="Z18" s="34" t="str">
        <f ca="1">IFERROR(AVERAGEIFS(INDIRECT("Tabela1["&amp;$B18&amp;"]"),Tabela1[Turno],$D18,Tabela1[Data Corrigida],Z$3)/20,"")</f>
        <v/>
      </c>
      <c r="AA18" s="34" t="str">
        <f ca="1">IFERROR(AVERAGEIFS(INDIRECT("Tabela1["&amp;$B18&amp;"]"),Tabela1[Turno],$D18,Tabela1[Data Corrigida],AA$3)/20,"")</f>
        <v/>
      </c>
      <c r="AB18" s="34" t="str">
        <f ca="1">IFERROR(AVERAGEIFS(INDIRECT("Tabela1["&amp;$B18&amp;"]"),Tabela1[Turno],$D18,Tabela1[Data Corrigida],AB$3)/20,"")</f>
        <v/>
      </c>
      <c r="AC18" s="34" t="str">
        <f ca="1">IFERROR(AVERAGEIFS(INDIRECT("Tabela1["&amp;$B18&amp;"]"),Tabela1[Turno],$D18,Tabela1[Data Corrigida],AC$3)/20,"")</f>
        <v/>
      </c>
      <c r="AD18" s="34" t="str">
        <f ca="1">IFERROR(AVERAGEIFS(INDIRECT("Tabela1["&amp;$B18&amp;"]"),Tabela1[Turno],$D18,Tabela1[Data Corrigida],AD$3)/20,"")</f>
        <v/>
      </c>
      <c r="AE18" s="34" t="str">
        <f ca="1">IFERROR(AVERAGEIFS(INDIRECT("Tabela1["&amp;$B18&amp;"]"),Tabela1[Turno],$D18,Tabela1[Data Corrigida],AE$3)/20,"")</f>
        <v/>
      </c>
      <c r="AF18" s="34" t="str">
        <f ca="1">IFERROR(AVERAGEIFS(INDIRECT("Tabela1["&amp;$B18&amp;"]"),Tabela1[Turno],$D18,Tabela1[Data Corrigida],AF$3)/20,"")</f>
        <v/>
      </c>
      <c r="AG18" s="34" t="str">
        <f ca="1">IFERROR(AVERAGEIFS(INDIRECT("Tabela1["&amp;$B18&amp;"]"),Tabela1[Turno],$D18,Tabela1[Data Corrigida],AG$3)/20,"")</f>
        <v/>
      </c>
      <c r="AH18" s="34" t="str">
        <f ca="1">IFERROR(AVERAGEIFS(INDIRECT("Tabela1["&amp;$B18&amp;"]"),Tabela1[Turno],$D18,Tabela1[Data Corrigida],AH$3)/20,"")</f>
        <v/>
      </c>
      <c r="AI18" s="34" t="str">
        <f ca="1">IFERROR(AVERAGEIFS(INDIRECT("Tabela1["&amp;$B18&amp;"]"),Tabela1[Turno],$D18,Tabela1[Data Corrigida],AI$3)/20,"")</f>
        <v/>
      </c>
      <c r="AJ18" s="34" t="str">
        <f ca="1">IFERROR(AVERAGEIFS(INDIRECT("Tabela1["&amp;$B18&amp;"]"),Tabela1[Turno],$D18,Tabela1[Data Corrigida],AJ$3)/20,"")</f>
        <v/>
      </c>
      <c r="AK18" s="34" t="str">
        <f ca="1">IFERROR(AVERAGEIFS(INDIRECT("Tabela1["&amp;$B18&amp;"]"),Tabela1[Turno],$D18,Tabela1[Data Corrigida],AK$3)/20,"")</f>
        <v/>
      </c>
      <c r="AL18" s="34" t="str">
        <f ca="1">IFERROR(AVERAGEIFS(INDIRECT("Tabela1["&amp;$B18&amp;"]"),Tabela1[Turno],$D18,Tabela1[Data Corrigida],AL$3)/20,"")</f>
        <v/>
      </c>
      <c r="AM18" s="34" t="str">
        <f ca="1">IFERROR(AVERAGEIFS(INDIRECT("Tabela1["&amp;$B18&amp;"]"),Tabela1[Turno],$D18,Tabela1[Data Corrigida],AM$3)/20,"")</f>
        <v/>
      </c>
    </row>
    <row r="19" spans="1:39" ht="15" customHeight="1" x14ac:dyDescent="0.3">
      <c r="A19" s="50" t="str">
        <f>VLOOKUP(Tabela2[[#This Row],[Item 1]],Apoio!$A$2:$B$41,2,0)</f>
        <v>Escald</v>
      </c>
      <c r="B19" s="9" t="str">
        <f t="shared" si="2"/>
        <v>Peito Queimado</v>
      </c>
      <c r="C19" s="59"/>
      <c r="D19" s="27" t="s">
        <v>33</v>
      </c>
      <c r="E19" s="36">
        <f ca="1">IFERROR(AVERAGEIFS(INDIRECT("Tabela1["&amp;$B19&amp;"]"),Tabela1[Turno],$D19,Tabela1[Mês],E$3)/20,"")</f>
        <v>7.8E-2</v>
      </c>
      <c r="F19" s="36">
        <f ca="1">IFERROR(AVERAGEIFS(INDIRECT("Tabela1["&amp;$B19&amp;"]"),Tabela1[Turno],$D19,Tabela1[Mês],F$3)/20,"")</f>
        <v>5.2500000000000005E-2</v>
      </c>
      <c r="G19" s="36">
        <f ca="1">IFERROR(AVERAGEIFS(INDIRECT("Tabela1["&amp;$B19&amp;"]"),Tabela1[Turno],$D19,Tabela1[Mês],G$3)/20,"")</f>
        <v>0.24199999999999999</v>
      </c>
      <c r="H19" s="36" t="str">
        <f ca="1">IFERROR(AVERAGEIFS(INDIRECT("Tabela1["&amp;$B19&amp;"]"),Tabela1[Turno],$D19,Tabela1[Mês],H$3)/20,"")</f>
        <v/>
      </c>
      <c r="I19" s="36">
        <f ca="1">IFERROR(AVERAGEIFS(INDIRECT("Tabela1["&amp;$B19&amp;"]"),Tabela1[Turno],$D19,Tabela1[Mês],I$3)/20,"")</f>
        <v>0.11550000000000001</v>
      </c>
      <c r="J19" s="36">
        <f ca="1">IFERROR(AVERAGEIFS(INDIRECT("Tabela1["&amp;$B19&amp;"]"),Tabela1[Turno],$D19,Tabela1[Mês],J$3)/20,"")</f>
        <v>0.10500000000000001</v>
      </c>
      <c r="K19" s="36">
        <f ca="1">IFERROR(AVERAGEIFS(INDIRECT("Tabela1["&amp;$B19&amp;"]"),Tabela1[Turno],$D19,Tabela1[Mês],K$3)/20,"")</f>
        <v>8.2142857142857142E-2</v>
      </c>
      <c r="L19" s="36">
        <f ca="1">IFERROR(AVERAGEIFS(INDIRECT("Tabela1["&amp;$B19&amp;"]"),Tabela1[Turno],$D19,Tabela1[Mês],L$3)/20,"")</f>
        <v>2.8333333333333332E-2</v>
      </c>
      <c r="M19" s="36">
        <f ca="1">IFERROR(AVERAGEIFS(INDIRECT("Tabela1["&amp;$B19&amp;"]"),Tabela1[Turno],$D19,Tabela1[Mês],M$3)/20,"")</f>
        <v>7.1428571428571426E-3</v>
      </c>
      <c r="N19" s="36">
        <f ca="1">IFERROR(AVERAGEIFS(INDIRECT("Tabela1["&amp;$B19&amp;"]"),Tabela1[Turno],$D19,Tabela1[Mês],N$3)/20,"")</f>
        <v>5.0000000000000001E-3</v>
      </c>
      <c r="O19" s="36" t="str">
        <f ca="1">IFERROR(AVERAGEIFS(INDIRECT("Tabela1["&amp;$B19&amp;"]"),Tabela1[Turno],$D19,Tabela1[Mês],O$3)/20,"")</f>
        <v/>
      </c>
      <c r="P19" s="41" t="str">
        <f ca="1">IFERROR(AVERAGEIFS(INDIRECT("Tabela1["&amp;$B19&amp;"]"),Tabela1[Turno],$D19,Tabela1[Mês],P$3)/20,"")</f>
        <v/>
      </c>
      <c r="Q19" s="62"/>
      <c r="R19" s="35">
        <f ca="1">IFERROR(AVERAGEIFS(INDIRECT("Tabela1["&amp;$B19&amp;"]"),Tabela1[Turno],$D19,Tabela1[Data Corrigida],R$3)/20,"")</f>
        <v>1.6666666666666666E-2</v>
      </c>
      <c r="S19" s="36">
        <f ca="1">IFERROR(AVERAGEIFS(INDIRECT("Tabela1["&amp;$B19&amp;"]"),Tabela1[Turno],$D19,Tabela1[Data Corrigida],S$3)/20,"")</f>
        <v>0</v>
      </c>
      <c r="T19" s="36">
        <f ca="1">IFERROR(AVERAGEIFS(INDIRECT("Tabela1["&amp;$B19&amp;"]"),Tabela1[Turno],$D19,Tabela1[Data Corrigida],T$3)/20,"")</f>
        <v>1.6666666666666666E-2</v>
      </c>
      <c r="U19" s="36">
        <f ca="1">IFERROR(AVERAGEIFS(INDIRECT("Tabela1["&amp;$B19&amp;"]"),Tabela1[Turno],$D19,Tabela1[Data Corrigida],U$3)/20,"")</f>
        <v>0</v>
      </c>
      <c r="V19" s="36">
        <f ca="1">IFERROR(AVERAGEIFS(INDIRECT("Tabela1["&amp;$B19&amp;"]"),Tabela1[Turno],$D19,Tabela1[Data Corrigida],V$3)/20,"")</f>
        <v>0</v>
      </c>
      <c r="W19" s="36">
        <f ca="1">IFERROR(AVERAGEIFS(INDIRECT("Tabela1["&amp;$B19&amp;"]"),Tabela1[Turno],$D19,Tabela1[Data Corrigida],W$3)/20,"")</f>
        <v>0</v>
      </c>
      <c r="X19" s="36">
        <f ca="1">IFERROR(AVERAGEIFS(INDIRECT("Tabela1["&amp;$B19&amp;"]"),Tabela1[Turno],$D19,Tabela1[Data Corrigida],X$3)/20,"")</f>
        <v>0</v>
      </c>
      <c r="Y19" s="36" t="str">
        <f ca="1">IFERROR(AVERAGEIFS(INDIRECT("Tabela1["&amp;$B19&amp;"]"),Tabela1[Turno],$D19,Tabela1[Data Corrigida],Y$3)/20,"")</f>
        <v/>
      </c>
      <c r="Z19" s="36" t="str">
        <f ca="1">IFERROR(AVERAGEIFS(INDIRECT("Tabela1["&amp;$B19&amp;"]"),Tabela1[Turno],$D19,Tabela1[Data Corrigida],Z$3)/20,"")</f>
        <v/>
      </c>
      <c r="AA19" s="36" t="str">
        <f ca="1">IFERROR(AVERAGEIFS(INDIRECT("Tabela1["&amp;$B19&amp;"]"),Tabela1[Turno],$D19,Tabela1[Data Corrigida],AA$3)/20,"")</f>
        <v/>
      </c>
      <c r="AB19" s="36" t="str">
        <f ca="1">IFERROR(AVERAGEIFS(INDIRECT("Tabela1["&amp;$B19&amp;"]"),Tabela1[Turno],$D19,Tabela1[Data Corrigida],AB$3)/20,"")</f>
        <v/>
      </c>
      <c r="AC19" s="36" t="str">
        <f ca="1">IFERROR(AVERAGEIFS(INDIRECT("Tabela1["&amp;$B19&amp;"]"),Tabela1[Turno],$D19,Tabela1[Data Corrigida],AC$3)/20,"")</f>
        <v/>
      </c>
      <c r="AD19" s="36" t="str">
        <f ca="1">IFERROR(AVERAGEIFS(INDIRECT("Tabela1["&amp;$B19&amp;"]"),Tabela1[Turno],$D19,Tabela1[Data Corrigida],AD$3)/20,"")</f>
        <v/>
      </c>
      <c r="AE19" s="36" t="str">
        <f ca="1">IFERROR(AVERAGEIFS(INDIRECT("Tabela1["&amp;$B19&amp;"]"),Tabela1[Turno],$D19,Tabela1[Data Corrigida],AE$3)/20,"")</f>
        <v/>
      </c>
      <c r="AF19" s="36" t="str">
        <f ca="1">IFERROR(AVERAGEIFS(INDIRECT("Tabela1["&amp;$B19&amp;"]"),Tabela1[Turno],$D19,Tabela1[Data Corrigida],AF$3)/20,"")</f>
        <v/>
      </c>
      <c r="AG19" s="36" t="str">
        <f ca="1">IFERROR(AVERAGEIFS(INDIRECT("Tabela1["&amp;$B19&amp;"]"),Tabela1[Turno],$D19,Tabela1[Data Corrigida],AG$3)/20,"")</f>
        <v/>
      </c>
      <c r="AH19" s="36" t="str">
        <f ca="1">IFERROR(AVERAGEIFS(INDIRECT("Tabela1["&amp;$B19&amp;"]"),Tabela1[Turno],$D19,Tabela1[Data Corrigida],AH$3)/20,"")</f>
        <v/>
      </c>
      <c r="AI19" s="36" t="str">
        <f ca="1">IFERROR(AVERAGEIFS(INDIRECT("Tabela1["&amp;$B19&amp;"]"),Tabela1[Turno],$D19,Tabela1[Data Corrigida],AI$3)/20,"")</f>
        <v/>
      </c>
      <c r="AJ19" s="36" t="str">
        <f ca="1">IFERROR(AVERAGEIFS(INDIRECT("Tabela1["&amp;$B19&amp;"]"),Tabela1[Turno],$D19,Tabela1[Data Corrigida],AJ$3)/20,"")</f>
        <v/>
      </c>
      <c r="AK19" s="36" t="str">
        <f ca="1">IFERROR(AVERAGEIFS(INDIRECT("Tabela1["&amp;$B19&amp;"]"),Tabela1[Turno],$D19,Tabela1[Data Corrigida],AK$3)/20,"")</f>
        <v/>
      </c>
      <c r="AL19" s="36" t="str">
        <f ca="1">IFERROR(AVERAGEIFS(INDIRECT("Tabela1["&amp;$B19&amp;"]"),Tabela1[Turno],$D19,Tabela1[Data Corrigida],AL$3)/20,"")</f>
        <v/>
      </c>
      <c r="AM19" s="36" t="str">
        <f ca="1">IFERROR(AVERAGEIFS(INDIRECT("Tabela1["&amp;$B19&amp;"]"),Tabela1[Turno],$D19,Tabela1[Data Corrigida],AM$3)/20,"")</f>
        <v/>
      </c>
    </row>
    <row r="20" spans="1:39" ht="15" customHeight="1" thickBot="1" x14ac:dyDescent="0.35">
      <c r="A20" s="50" t="str">
        <f>VLOOKUP(Tabela2[[#This Row],[Item 1]],Apoio!$A$2:$B$41,2,0)</f>
        <v>Escald</v>
      </c>
      <c r="B20" s="9" t="str">
        <f t="shared" si="2"/>
        <v>Peito Queimado</v>
      </c>
      <c r="C20" s="60"/>
      <c r="D20" s="29" t="s">
        <v>5</v>
      </c>
      <c r="E20" s="45">
        <f ca="1">IFERROR(AVERAGEIFS(INDIRECT("Tabela1["&amp;$B20&amp;"]"),Tabela1[Mês],E$3)/20,"")</f>
        <v>5.9000000000000011E-2</v>
      </c>
      <c r="F20" s="45">
        <f ca="1">IFERROR(AVERAGEIFS(INDIRECT("Tabela1["&amp;$B20&amp;"]"),Tabela1[Mês],F$3)/20,"")</f>
        <v>6.1250000000000006E-2</v>
      </c>
      <c r="G20" s="45">
        <f ca="1">IFERROR(AVERAGEIFS(INDIRECT("Tabela1["&amp;$B20&amp;"]"),Tabela1[Mês],G$3)/20,"")</f>
        <v>0.22000000000000003</v>
      </c>
      <c r="H20" s="45">
        <f ca="1">IFERROR(AVERAGEIFS(INDIRECT("Tabela1["&amp;$B20&amp;"]"),Tabela1[Mês],H$3)/20,"")</f>
        <v>9.8500000000000004E-2</v>
      </c>
      <c r="I20" s="45">
        <f ca="1">IFERROR(AVERAGEIFS(INDIRECT("Tabela1["&amp;$B20&amp;"]"),Tabela1[Mês],I$3)/20,"")</f>
        <v>6.8250000000000005E-2</v>
      </c>
      <c r="J20" s="45">
        <f ca="1">IFERROR(AVERAGEIFS(INDIRECT("Tabela1["&amp;$B20&amp;"]"),Tabela1[Mês],J$3)/20,"")</f>
        <v>5.2500000000000005E-2</v>
      </c>
      <c r="K20" s="45">
        <f ca="1">IFERROR(AVERAGEIFS(INDIRECT("Tabela1["&amp;$B20&amp;"]"),Tabela1[Mês],K$3)/20,"")</f>
        <v>4.655172413793103E-2</v>
      </c>
      <c r="L20" s="45">
        <f ca="1">IFERROR(AVERAGEIFS(INDIRECT("Tabela1["&amp;$B20&amp;"]"),Tabela1[Mês],L$3)/20,"")</f>
        <v>1.8045112781954885E-2</v>
      </c>
      <c r="M20" s="45">
        <f ca="1">IFERROR(AVERAGEIFS(INDIRECT("Tabela1["&amp;$B20&amp;"]"),Tabela1[Mês],M$3)/20,"")</f>
        <v>8.6206896551724137E-3</v>
      </c>
      <c r="N20" s="45">
        <f ca="1">IFERROR(AVERAGEIFS(INDIRECT("Tabela1["&amp;$B20&amp;"]"),Tabela1[Mês],N$3)/20,"")</f>
        <v>3.0612244897959182E-3</v>
      </c>
      <c r="O20" s="45" t="str">
        <f ca="1">IFERROR(AVERAGEIFS(INDIRECT("Tabela1["&amp;$B20&amp;"]"),Tabela1[Mês],O$3)/20,"")</f>
        <v/>
      </c>
      <c r="P20" s="46" t="str">
        <f ca="1">IFERROR(AVERAGEIFS(INDIRECT("Tabela1["&amp;$B20&amp;"]"),Tabela1[Mês],P$3)/20,"")</f>
        <v/>
      </c>
      <c r="Q20" s="63"/>
      <c r="R20" s="37">
        <f ca="1">IFERROR(AVERAGEIFS(INDIRECT("Tabela1["&amp;$B20&amp;"]"),Tabela1[Data Corrigida],R$3)/20,"")</f>
        <v>1.4285714285714285E-2</v>
      </c>
      <c r="S20" s="38">
        <f ca="1">IFERROR(AVERAGEIFS(INDIRECT("Tabela1["&amp;$B20&amp;"]"),Tabela1[Data Corrigida],S$3)/20,"")</f>
        <v>0</v>
      </c>
      <c r="T20" s="38">
        <f ca="1">IFERROR(AVERAGEIFS(INDIRECT("Tabela1["&amp;$B20&amp;"]"),Tabela1[Data Corrigida],T$3)/20,"")</f>
        <v>1.2500000000000001E-2</v>
      </c>
      <c r="U20" s="38">
        <f ca="1">IFERROR(AVERAGEIFS(INDIRECT("Tabela1["&amp;$B20&amp;"]"),Tabela1[Data Corrigida],U$3)/20,"")</f>
        <v>0</v>
      </c>
      <c r="V20" s="38">
        <f ca="1">IFERROR(AVERAGEIFS(INDIRECT("Tabela1["&amp;$B20&amp;"]"),Tabela1[Data Corrigida],V$3)/20,"")</f>
        <v>0</v>
      </c>
      <c r="W20" s="38">
        <f ca="1">IFERROR(AVERAGEIFS(INDIRECT("Tabela1["&amp;$B20&amp;"]"),Tabela1[Data Corrigida],W$3)/20,"")</f>
        <v>0</v>
      </c>
      <c r="X20" s="38">
        <f ca="1">IFERROR(AVERAGEIFS(INDIRECT("Tabela1["&amp;$B20&amp;"]"),Tabela1[Data Corrigida],X$3)/20,"")</f>
        <v>0</v>
      </c>
      <c r="Y20" s="38">
        <f ca="1">IFERROR(AVERAGEIFS(INDIRECT("Tabela1["&amp;$B20&amp;"]"),Tabela1[Data Corrigida],Y$3)/20,"")</f>
        <v>0</v>
      </c>
      <c r="Z20" s="38" t="str">
        <f ca="1">IFERROR(AVERAGEIFS(INDIRECT("Tabela1["&amp;$B20&amp;"]"),Tabela1[Data Corrigida],Z$3)/20,"")</f>
        <v/>
      </c>
      <c r="AA20" s="38" t="str">
        <f ca="1">IFERROR(AVERAGEIFS(INDIRECT("Tabela1["&amp;$B20&amp;"]"),Tabela1[Data Corrigida],AA$3)/20,"")</f>
        <v/>
      </c>
      <c r="AB20" s="38" t="str">
        <f ca="1">IFERROR(AVERAGEIFS(INDIRECT("Tabela1["&amp;$B20&amp;"]"),Tabela1[Data Corrigida],AB$3)/20,"")</f>
        <v/>
      </c>
      <c r="AC20" s="38" t="str">
        <f ca="1">IFERROR(AVERAGEIFS(INDIRECT("Tabela1["&amp;$B20&amp;"]"),Tabela1[Data Corrigida],AC$3)/20,"")</f>
        <v/>
      </c>
      <c r="AD20" s="38" t="str">
        <f ca="1">IFERROR(AVERAGEIFS(INDIRECT("Tabela1["&amp;$B20&amp;"]"),Tabela1[Data Corrigida],AD$3)/20,"")</f>
        <v/>
      </c>
      <c r="AE20" s="38" t="str">
        <f ca="1">IFERROR(AVERAGEIFS(INDIRECT("Tabela1["&amp;$B20&amp;"]"),Tabela1[Data Corrigida],AE$3)/20,"")</f>
        <v/>
      </c>
      <c r="AF20" s="38" t="str">
        <f ca="1">IFERROR(AVERAGEIFS(INDIRECT("Tabela1["&amp;$B20&amp;"]"),Tabela1[Data Corrigida],AF$3)/20,"")</f>
        <v/>
      </c>
      <c r="AG20" s="38" t="str">
        <f ca="1">IFERROR(AVERAGEIFS(INDIRECT("Tabela1["&amp;$B20&amp;"]"),Tabela1[Data Corrigida],AG$3)/20,"")</f>
        <v/>
      </c>
      <c r="AH20" s="38" t="str">
        <f ca="1">IFERROR(AVERAGEIFS(INDIRECT("Tabela1["&amp;$B20&amp;"]"),Tabela1[Data Corrigida],AH$3)/20,"")</f>
        <v/>
      </c>
      <c r="AI20" s="38" t="str">
        <f ca="1">IFERROR(AVERAGEIFS(INDIRECT("Tabela1["&amp;$B20&amp;"]"),Tabela1[Data Corrigida],AI$3)/20,"")</f>
        <v/>
      </c>
      <c r="AJ20" s="38" t="str">
        <f ca="1">IFERROR(AVERAGEIFS(INDIRECT("Tabela1["&amp;$B20&amp;"]"),Tabela1[Data Corrigida],AJ$3)/20,"")</f>
        <v/>
      </c>
      <c r="AK20" s="38" t="str">
        <f ca="1">IFERROR(AVERAGEIFS(INDIRECT("Tabela1["&amp;$B20&amp;"]"),Tabela1[Data Corrigida],AK$3)/20,"")</f>
        <v/>
      </c>
      <c r="AL20" s="38" t="str">
        <f ca="1">IFERROR(AVERAGEIFS(INDIRECT("Tabela1["&amp;$B20&amp;"]"),Tabela1[Data Corrigida],AL$3)/20,"")</f>
        <v/>
      </c>
      <c r="AM20" s="38" t="str">
        <f ca="1">IFERROR(AVERAGEIFS(INDIRECT("Tabela1["&amp;$B20&amp;"]"),Tabela1[Data Corrigida],AM$3)/20,"")</f>
        <v/>
      </c>
    </row>
    <row r="21" spans="1:39" ht="15" customHeight="1" thickTop="1" x14ac:dyDescent="0.3">
      <c r="A21" s="50" t="str">
        <f>VLOOKUP(Tabela2[[#This Row],[Item 1]],Apoio!$A$2:$B$41,2,0)</f>
        <v>Escald</v>
      </c>
      <c r="B21" s="9" t="str">
        <f t="shared" si="2"/>
        <v>% Retorno Pés</v>
      </c>
      <c r="C21" s="58" t="str">
        <f>'BD - 022 Evisceração'!Z1</f>
        <v>% Retorno Pés</v>
      </c>
      <c r="D21" s="26" t="s">
        <v>21</v>
      </c>
      <c r="E21" s="34">
        <f ca="1">IFERROR(AVERAGEIFS(INDIRECT("Tabela1["&amp;$B21&amp;"]"),Tabela1[Turno],$D21,Tabela1[Mês],E$3)/100,"")</f>
        <v>1.3172413793103448E-2</v>
      </c>
      <c r="F21" s="34">
        <f ca="1">IFERROR(AVERAGEIFS(INDIRECT("Tabela1["&amp;$B21&amp;"]"),Tabela1[Turno],$D21,Tabela1[Mês],F$3)/100,"")</f>
        <v>1.4896551724137931E-2</v>
      </c>
      <c r="G21" s="34">
        <f ca="1">IFERROR(AVERAGEIFS(INDIRECT("Tabela1["&amp;$B21&amp;"]"),Tabela1[Turno],$D21,Tabela1[Mês],G$3)/100,"")</f>
        <v>1.2689655172413794E-2</v>
      </c>
      <c r="H21" s="34">
        <f ca="1">IFERROR(AVERAGEIFS(INDIRECT("Tabela1["&amp;$B21&amp;"]"),Tabela1[Turno],$D21,Tabela1[Mês],H$3)/100,"")</f>
        <v>1.2586206896551724E-2</v>
      </c>
      <c r="I21" s="34">
        <f ca="1">IFERROR(AVERAGEIFS(INDIRECT("Tabela1["&amp;$B21&amp;"]"),Tabela1[Turno],$D21,Tabela1[Mês],I$3)/100,"")</f>
        <v>2.2172413793103446E-2</v>
      </c>
      <c r="J21" s="34">
        <f ca="1">IFERROR(AVERAGEIFS(INDIRECT("Tabela1["&amp;$B21&amp;"]"),Tabela1[Turno],$D21,Tabela1[Mês],J$3)/100,"")</f>
        <v>9.5172413793103445E-3</v>
      </c>
      <c r="K21" s="34">
        <f ca="1">IFERROR(AVERAGEIFS(INDIRECT("Tabela1["&amp;$B21&amp;"]"),Tabela1[Turno],$D21,Tabela1[Mês],K$3)/100,"")</f>
        <v>4.050824430857157E-3</v>
      </c>
      <c r="L21" s="34">
        <f ca="1">IFERROR(AVERAGEIFS(INDIRECT("Tabela1["&amp;$B21&amp;"]"),Tabela1[Turno],$D21,Tabela1[Mês],L$3)/100,"")</f>
        <v>7.3535990602811097E-3</v>
      </c>
      <c r="M21" s="34">
        <f ca="1">IFERROR(AVERAGEIFS(INDIRECT("Tabela1["&amp;$B21&amp;"]"),Tabela1[Turno],$D21,Tabela1[Mês],M$3)/100,"")</f>
        <v>7.4797886907679734E-3</v>
      </c>
      <c r="N21" s="34">
        <f ca="1">IFERROR(AVERAGEIFS(INDIRECT("Tabela1["&amp;$B21&amp;"]"),Tabela1[Turno],$D21,Tabela1[Mês],N$3)/100,"")</f>
        <v>9.1994988341186079E-3</v>
      </c>
      <c r="O21" s="34" t="str">
        <f ca="1">IFERROR(AVERAGEIFS(INDIRECT("Tabela1["&amp;$B21&amp;"]"),Tabela1[Turno],$D21,Tabela1[Mês],O$3)/100,"")</f>
        <v/>
      </c>
      <c r="P21" s="44" t="str">
        <f ca="1">IFERROR(AVERAGEIFS(INDIRECT("Tabela1["&amp;$B21&amp;"]"),Tabela1[Turno],$D21,Tabela1[Mês],P$3)/100,"")</f>
        <v/>
      </c>
      <c r="Q21" s="61">
        <v>0.01</v>
      </c>
      <c r="R21" s="39">
        <f ca="1">IFERROR(AVERAGEIFS(INDIRECT("Tabela1["&amp;$B21&amp;"]"),Tabela1[Turno],$D21,Tabela1[Data Corrigida],R$3)/100,"")</f>
        <v>1.4751552795031056E-2</v>
      </c>
      <c r="S21" s="40">
        <f ca="1">IFERROR(AVERAGEIFS(INDIRECT("Tabela1["&amp;$B21&amp;"]"),Tabela1[Turno],$D21,Tabela1[Data Corrigida],S$3)/100,"")</f>
        <v>1.0972399325408251E-2</v>
      </c>
      <c r="T21" s="40">
        <f ca="1">IFERROR(AVERAGEIFS(INDIRECT("Tabela1["&amp;$B21&amp;"]"),Tabela1[Turno],$D21,Tabela1[Data Corrigida],T$3)/100,"")</f>
        <v>1.282051282051282E-2</v>
      </c>
      <c r="U21" s="40">
        <f ca="1">IFERROR(AVERAGEIFS(INDIRECT("Tabela1["&amp;$B21&amp;"]"),Tabela1[Turno],$D21,Tabela1[Data Corrigida],U$3)/100,"")</f>
        <v>9.4909619366141101E-3</v>
      </c>
      <c r="V21" s="40">
        <f ca="1">IFERROR(AVERAGEIFS(INDIRECT("Tabela1["&amp;$B21&amp;"]"),Tabela1[Turno],$D21,Tabela1[Data Corrigida],V$3)/100,"")</f>
        <v>9.568807236529666E-3</v>
      </c>
      <c r="W21" s="40">
        <f ca="1">IFERROR(AVERAGEIFS(INDIRECT("Tabela1["&amp;$B21&amp;"]"),Tabela1[Turno],$D21,Tabela1[Data Corrigida],W$3)/100,"")</f>
        <v>5.6571146245059292E-3</v>
      </c>
      <c r="X21" s="40">
        <f ca="1">IFERROR(AVERAGEIFS(INDIRECT("Tabela1["&amp;$B21&amp;"]"),Tabela1[Turno],$D21,Tabela1[Data Corrigida],X$3)/100,"")</f>
        <v>3.9334046316482248E-3</v>
      </c>
      <c r="Y21" s="40">
        <f ca="1">IFERROR(AVERAGEIFS(INDIRECT("Tabela1["&amp;$B21&amp;"]"),Tabela1[Turno],$D21,Tabela1[Data Corrigida],Y$3)/100,"")</f>
        <v>9.1169977924944814E-3</v>
      </c>
      <c r="Z21" s="40" t="str">
        <f ca="1">IFERROR(AVERAGEIFS(INDIRECT("Tabela1["&amp;$B21&amp;"]"),Tabela1[Turno],$D21,Tabela1[Data Corrigida],Z$3)/100,"")</f>
        <v/>
      </c>
      <c r="AA21" s="40" t="str">
        <f ca="1">IFERROR(AVERAGEIFS(INDIRECT("Tabela1["&amp;$B21&amp;"]"),Tabela1[Turno],$D21,Tabela1[Data Corrigida],AA$3)/100,"")</f>
        <v/>
      </c>
      <c r="AB21" s="40" t="str">
        <f ca="1">IFERROR(AVERAGEIFS(INDIRECT("Tabela1["&amp;$B21&amp;"]"),Tabela1[Turno],$D21,Tabela1[Data Corrigida],AB$3)/100,"")</f>
        <v/>
      </c>
      <c r="AC21" s="40" t="str">
        <f ca="1">IFERROR(AVERAGEIFS(INDIRECT("Tabela1["&amp;$B21&amp;"]"),Tabela1[Turno],$D21,Tabela1[Data Corrigida],AC$3)/100,"")</f>
        <v/>
      </c>
      <c r="AD21" s="40" t="str">
        <f ca="1">IFERROR(AVERAGEIFS(INDIRECT("Tabela1["&amp;$B21&amp;"]"),Tabela1[Turno],$D21,Tabela1[Data Corrigida],AD$3)/100,"")</f>
        <v/>
      </c>
      <c r="AE21" s="40" t="str">
        <f ca="1">IFERROR(AVERAGEIFS(INDIRECT("Tabela1["&amp;$B21&amp;"]"),Tabela1[Turno],$D21,Tabela1[Data Corrigida],AE$3)/100,"")</f>
        <v/>
      </c>
      <c r="AF21" s="40" t="str">
        <f ca="1">IFERROR(AVERAGEIFS(INDIRECT("Tabela1["&amp;$B21&amp;"]"),Tabela1[Turno],$D21,Tabela1[Data Corrigida],AF$3)/100,"")</f>
        <v/>
      </c>
      <c r="AG21" s="40" t="str">
        <f ca="1">IFERROR(AVERAGEIFS(INDIRECT("Tabela1["&amp;$B21&amp;"]"),Tabela1[Turno],$D21,Tabela1[Data Corrigida],AG$3)/100,"")</f>
        <v/>
      </c>
      <c r="AH21" s="40" t="str">
        <f ca="1">IFERROR(AVERAGEIFS(INDIRECT("Tabela1["&amp;$B21&amp;"]"),Tabela1[Turno],$D21,Tabela1[Data Corrigida],AH$3)/100,"")</f>
        <v/>
      </c>
      <c r="AI21" s="40" t="str">
        <f ca="1">IFERROR(AVERAGEIFS(INDIRECT("Tabela1["&amp;$B21&amp;"]"),Tabela1[Turno],$D21,Tabela1[Data Corrigida],AI$3)/100,"")</f>
        <v/>
      </c>
      <c r="AJ21" s="40" t="str">
        <f ca="1">IFERROR(AVERAGEIFS(INDIRECT("Tabela1["&amp;$B21&amp;"]"),Tabela1[Turno],$D21,Tabela1[Data Corrigida],AJ$3)/100,"")</f>
        <v/>
      </c>
      <c r="AK21" s="40" t="str">
        <f ca="1">IFERROR(AVERAGEIFS(INDIRECT("Tabela1["&amp;$B21&amp;"]"),Tabela1[Turno],$D21,Tabela1[Data Corrigida],AK$3)/100,"")</f>
        <v/>
      </c>
      <c r="AL21" s="40" t="str">
        <f ca="1">IFERROR(AVERAGEIFS(INDIRECT("Tabela1["&amp;$B21&amp;"]"),Tabela1[Turno],$D21,Tabela1[Data Corrigida],AL$3)/100,"")</f>
        <v/>
      </c>
      <c r="AM21" s="40" t="str">
        <f ca="1">IFERROR(AVERAGEIFS(INDIRECT("Tabela1["&amp;$B21&amp;"]"),Tabela1[Turno],$D21,Tabela1[Data Corrigida],AM$3)/100,"")</f>
        <v/>
      </c>
    </row>
    <row r="22" spans="1:39" ht="15" customHeight="1" x14ac:dyDescent="0.3">
      <c r="A22" s="50" t="str">
        <f>VLOOKUP(Tabela2[[#This Row],[Item 1]],Apoio!$A$2:$B$41,2,0)</f>
        <v>Escald</v>
      </c>
      <c r="B22" s="9" t="str">
        <f t="shared" si="2"/>
        <v>% Retorno Pés</v>
      </c>
      <c r="C22" s="59"/>
      <c r="D22" s="27" t="s">
        <v>33</v>
      </c>
      <c r="E22" s="36">
        <f ca="1">IFERROR(AVERAGEIFS(INDIRECT("Tabela1["&amp;$B22&amp;"]"),Tabela1[Turno],$D22,Tabela1[Mês],E$3)/100,"")</f>
        <v>1.872413793103448E-2</v>
      </c>
      <c r="F22" s="36">
        <f ca="1">IFERROR(AVERAGEIFS(INDIRECT("Tabela1["&amp;$B22&amp;"]"),Tabela1[Turno],$D22,Tabela1[Mês],F$3)/100,"")</f>
        <v>1.2275862068965518E-2</v>
      </c>
      <c r="G22" s="36">
        <f ca="1">IFERROR(AVERAGEIFS(INDIRECT("Tabela1["&amp;$B22&amp;"]"),Tabela1[Turno],$D22,Tabela1[Mês],G$3)/100,"")</f>
        <v>1.4241379310344826E-2</v>
      </c>
      <c r="H22" s="36" t="str">
        <f ca="1">IFERROR(AVERAGEIFS(INDIRECT("Tabela1["&amp;$B22&amp;"]"),Tabela1[Turno],$D22,Tabela1[Mês],H$3)/100,"")</f>
        <v/>
      </c>
      <c r="I22" s="36">
        <f ca="1">IFERROR(AVERAGEIFS(INDIRECT("Tabela1["&amp;$B22&amp;"]"),Tabela1[Turno],$D22,Tabela1[Mês],I$3)/100,"")</f>
        <v>2.9965517241379313E-2</v>
      </c>
      <c r="J22" s="36">
        <f ca="1">IFERROR(AVERAGEIFS(INDIRECT("Tabela1["&amp;$B22&amp;"]"),Tabela1[Turno],$D22,Tabela1[Mês],J$3)/100,"")</f>
        <v>2.8034482758620697E-2</v>
      </c>
      <c r="K22" s="36">
        <f ca="1">IFERROR(AVERAGEIFS(INDIRECT("Tabela1["&amp;$B22&amp;"]"),Tabela1[Turno],$D22,Tabela1[Mês],K$3)/100,"")</f>
        <v>1.2236746520932595E-2</v>
      </c>
      <c r="L22" s="36">
        <f ca="1">IFERROR(AVERAGEIFS(INDIRECT("Tabela1["&amp;$B22&amp;"]"),Tabela1[Turno],$D22,Tabela1[Mês],L$3)/100,"")</f>
        <v>1.1703792589218293E-2</v>
      </c>
      <c r="M22" s="36">
        <f ca="1">IFERROR(AVERAGEIFS(INDIRECT("Tabela1["&amp;$B22&amp;"]"),Tabela1[Turno],$D22,Tabela1[Mês],M$3)/100,"")</f>
        <v>1.9011498659411402E-2</v>
      </c>
      <c r="N22" s="36">
        <f ca="1">IFERROR(AVERAGEIFS(INDIRECT("Tabela1["&amp;$B22&amp;"]"),Tabela1[Turno],$D22,Tabela1[Mês],N$3)/100,"")</f>
        <v>1.6050199938735313E-2</v>
      </c>
      <c r="O22" s="36" t="str">
        <f ca="1">IFERROR(AVERAGEIFS(INDIRECT("Tabela1["&amp;$B22&amp;"]"),Tabela1[Turno],$D22,Tabela1[Mês],O$3)/100,"")</f>
        <v/>
      </c>
      <c r="P22" s="41" t="str">
        <f ca="1">IFERROR(AVERAGEIFS(INDIRECT("Tabela1["&amp;$B22&amp;"]"),Tabela1[Turno],$D22,Tabela1[Mês],P$3)/100,"")</f>
        <v/>
      </c>
      <c r="Q22" s="62"/>
      <c r="R22" s="35">
        <f ca="1">IFERROR(AVERAGEIFS(INDIRECT("Tabela1["&amp;$B22&amp;"]"),Tabela1[Turno],$D22,Tabela1[Data Corrigida],R$3)/100,"")</f>
        <v>1.6384541384541384E-2</v>
      </c>
      <c r="S22" s="36">
        <f ca="1">IFERROR(AVERAGEIFS(INDIRECT("Tabela1["&amp;$B22&amp;"]"),Tabela1[Turno],$D22,Tabela1[Data Corrigida],S$3)/100,"")</f>
        <v>1.6298169596520421E-2</v>
      </c>
      <c r="T22" s="36">
        <f ca="1">IFERROR(AVERAGEIFS(INDIRECT("Tabela1["&amp;$B22&amp;"]"),Tabela1[Turno],$D22,Tabela1[Data Corrigida],T$3)/100,"")</f>
        <v>1.7171037994193832E-2</v>
      </c>
      <c r="U22" s="36">
        <f ca="1">IFERROR(AVERAGEIFS(INDIRECT("Tabela1["&amp;$B22&amp;"]"),Tabela1[Turno],$D22,Tabela1[Data Corrigida],U$3)/100,"")</f>
        <v>1.9181835975729103E-2</v>
      </c>
      <c r="V22" s="36">
        <f ca="1">IFERROR(AVERAGEIFS(INDIRECT("Tabela1["&amp;$B22&amp;"]"),Tabela1[Turno],$D22,Tabela1[Data Corrigida],V$3)/100,"")</f>
        <v>1.6515368689281731E-2</v>
      </c>
      <c r="W22" s="36">
        <f ca="1">IFERROR(AVERAGEIFS(INDIRECT("Tabela1["&amp;$B22&amp;"]"),Tabela1[Turno],$D22,Tabela1[Data Corrigida],W$3)/100,"")</f>
        <v>1.3409778627169933E-2</v>
      </c>
      <c r="X22" s="36">
        <f ca="1">IFERROR(AVERAGEIFS(INDIRECT("Tabela1["&amp;$B22&amp;"]"),Tabela1[Turno],$D22,Tabela1[Data Corrigida],X$3)/100,"")</f>
        <v>1.3390667303710781E-2</v>
      </c>
      <c r="Y22" s="36" t="str">
        <f ca="1">IFERROR(AVERAGEIFS(INDIRECT("Tabela1["&amp;$B22&amp;"]"),Tabela1[Turno],$D22,Tabela1[Data Corrigida],Y$3)/100,"")</f>
        <v/>
      </c>
      <c r="Z22" s="36" t="str">
        <f ca="1">IFERROR(AVERAGEIFS(INDIRECT("Tabela1["&amp;$B22&amp;"]"),Tabela1[Turno],$D22,Tabela1[Data Corrigida],Z$3)/100,"")</f>
        <v/>
      </c>
      <c r="AA22" s="36" t="str">
        <f ca="1">IFERROR(AVERAGEIFS(INDIRECT("Tabela1["&amp;$B22&amp;"]"),Tabela1[Turno],$D22,Tabela1[Data Corrigida],AA$3)/100,"")</f>
        <v/>
      </c>
      <c r="AB22" s="36" t="str">
        <f ca="1">IFERROR(AVERAGEIFS(INDIRECT("Tabela1["&amp;$B22&amp;"]"),Tabela1[Turno],$D22,Tabela1[Data Corrigida],AB$3)/100,"")</f>
        <v/>
      </c>
      <c r="AC22" s="36" t="str">
        <f ca="1">IFERROR(AVERAGEIFS(INDIRECT("Tabela1["&amp;$B22&amp;"]"),Tabela1[Turno],$D22,Tabela1[Data Corrigida],AC$3)/100,"")</f>
        <v/>
      </c>
      <c r="AD22" s="36" t="str">
        <f ca="1">IFERROR(AVERAGEIFS(INDIRECT("Tabela1["&amp;$B22&amp;"]"),Tabela1[Turno],$D22,Tabela1[Data Corrigida],AD$3)/100,"")</f>
        <v/>
      </c>
      <c r="AE22" s="36" t="str">
        <f ca="1">IFERROR(AVERAGEIFS(INDIRECT("Tabela1["&amp;$B22&amp;"]"),Tabela1[Turno],$D22,Tabela1[Data Corrigida],AE$3)/100,"")</f>
        <v/>
      </c>
      <c r="AF22" s="36" t="str">
        <f ca="1">IFERROR(AVERAGEIFS(INDIRECT("Tabela1["&amp;$B22&amp;"]"),Tabela1[Turno],$D22,Tabela1[Data Corrigida],AF$3)/100,"")</f>
        <v/>
      </c>
      <c r="AG22" s="36" t="str">
        <f ca="1">IFERROR(AVERAGEIFS(INDIRECT("Tabela1["&amp;$B22&amp;"]"),Tabela1[Turno],$D22,Tabela1[Data Corrigida],AG$3)/100,"")</f>
        <v/>
      </c>
      <c r="AH22" s="36" t="str">
        <f ca="1">IFERROR(AVERAGEIFS(INDIRECT("Tabela1["&amp;$B22&amp;"]"),Tabela1[Turno],$D22,Tabela1[Data Corrigida],AH$3)/100,"")</f>
        <v/>
      </c>
      <c r="AI22" s="36" t="str">
        <f ca="1">IFERROR(AVERAGEIFS(INDIRECT("Tabela1["&amp;$B22&amp;"]"),Tabela1[Turno],$D22,Tabela1[Data Corrigida],AI$3)/100,"")</f>
        <v/>
      </c>
      <c r="AJ22" s="36" t="str">
        <f ca="1">IFERROR(AVERAGEIFS(INDIRECT("Tabela1["&amp;$B22&amp;"]"),Tabela1[Turno],$D22,Tabela1[Data Corrigida],AJ$3)/100,"")</f>
        <v/>
      </c>
      <c r="AK22" s="36" t="str">
        <f ca="1">IFERROR(AVERAGEIFS(INDIRECT("Tabela1["&amp;$B22&amp;"]"),Tabela1[Turno],$D22,Tabela1[Data Corrigida],AK$3)/100,"")</f>
        <v/>
      </c>
      <c r="AL22" s="36" t="str">
        <f ca="1">IFERROR(AVERAGEIFS(INDIRECT("Tabela1["&amp;$B22&amp;"]"),Tabela1[Turno],$D22,Tabela1[Data Corrigida],AL$3)/100,"")</f>
        <v/>
      </c>
      <c r="AM22" s="36" t="str">
        <f ca="1">IFERROR(AVERAGEIFS(INDIRECT("Tabela1["&amp;$B22&amp;"]"),Tabela1[Turno],$D22,Tabela1[Data Corrigida],AM$3)/100,"")</f>
        <v/>
      </c>
    </row>
    <row r="23" spans="1:39" ht="15" customHeight="1" thickBot="1" x14ac:dyDescent="0.35">
      <c r="A23" s="50" t="str">
        <f>VLOOKUP(Tabela2[[#This Row],[Item 1]],Apoio!$A$2:$B$41,2,0)</f>
        <v>Escald</v>
      </c>
      <c r="B23" s="9" t="str">
        <f t="shared" si="2"/>
        <v>% Retorno Pés</v>
      </c>
      <c r="C23" s="60"/>
      <c r="D23" s="28" t="s">
        <v>5</v>
      </c>
      <c r="E23" s="45">
        <f ca="1">IFERROR(AVERAGEIFS(INDIRECT("Tabela1["&amp;$B23&amp;"]"),Tabela1[Mês],E$3)/100,"")</f>
        <v>1.5948275862068963E-2</v>
      </c>
      <c r="F23" s="45">
        <f ca="1">IFERROR(AVERAGEIFS(INDIRECT("Tabela1["&amp;$B23&amp;"]"),Tabela1[Mês],F$3)/100,"")</f>
        <v>1.3586206896551725E-2</v>
      </c>
      <c r="G23" s="45">
        <f ca="1">IFERROR(AVERAGEIFS(INDIRECT("Tabela1["&amp;$B23&amp;"]"),Tabela1[Mês],G$3)/100,"")</f>
        <v>1.346551724137931E-2</v>
      </c>
      <c r="H23" s="45">
        <f ca="1">IFERROR(AVERAGEIFS(INDIRECT("Tabela1["&amp;$B23&amp;"]"),Tabela1[Mês],H$3)/100,"")</f>
        <v>1.2586206896551724E-2</v>
      </c>
      <c r="I23" s="45">
        <f ca="1">IFERROR(AVERAGEIFS(INDIRECT("Tabela1["&amp;$B23&amp;"]"),Tabela1[Mês],I$3)/100,"")</f>
        <v>2.6068965517241378E-2</v>
      </c>
      <c r="J23" s="45">
        <f ca="1">IFERROR(AVERAGEIFS(INDIRECT("Tabela1["&amp;$B23&amp;"]"),Tabela1[Mês],J$3)/100,"")</f>
        <v>1.8775862068965522E-2</v>
      </c>
      <c r="K23" s="45">
        <f ca="1">IFERROR(AVERAGEIFS(INDIRECT("Tabela1["&amp;$B23&amp;"]"),Tabela1[Mês],K$3)/100,"")</f>
        <v>7.7203757126151126E-3</v>
      </c>
      <c r="L23" s="45">
        <f ca="1">IFERROR(AVERAGEIFS(INDIRECT("Tabela1["&amp;$B23&amp;"]"),Tabela1[Mês],L$3)/100,"")</f>
        <v>9.3460541117027212E-3</v>
      </c>
      <c r="M23" s="45">
        <f ca="1">IFERROR(AVERAGEIFS(INDIRECT("Tabela1["&amp;$B23&amp;"]"),Tabela1[Mês],M$3)/100,"")</f>
        <v>1.2364749163596098E-2</v>
      </c>
      <c r="N23" s="45">
        <f ca="1">IFERROR(AVERAGEIFS(INDIRECT("Tabela1["&amp;$B23&amp;"]"),Tabela1[Mês],N$3)/100,"")</f>
        <v>1.2076793298057624E-2</v>
      </c>
      <c r="O23" s="45" t="str">
        <f ca="1">IFERROR(AVERAGEIFS(INDIRECT("Tabela1["&amp;$B23&amp;"]"),Tabela1[Mês],O$3)/100,"")</f>
        <v/>
      </c>
      <c r="P23" s="46" t="str">
        <f ca="1">IFERROR(AVERAGEIFS(INDIRECT("Tabela1["&amp;$B23&amp;"]"),Tabela1[Mês],P$3)/100,"")</f>
        <v/>
      </c>
      <c r="Q23" s="63"/>
      <c r="R23" s="37">
        <f ca="1">IFERROR(AVERAGEIFS(INDIRECT("Tabela1["&amp;$B23&amp;"]"),Tabela1[Data Corrigida],R$3)/100,"")</f>
        <v>1.545140504767834E-2</v>
      </c>
      <c r="S23" s="38">
        <f ca="1">IFERROR(AVERAGEIFS(INDIRECT("Tabela1["&amp;$B23&amp;"]"),Tabela1[Data Corrigida],S$3)/100,"")</f>
        <v>1.3254872298742037E-2</v>
      </c>
      <c r="T23" s="38">
        <f ca="1">IFERROR(AVERAGEIFS(INDIRECT("Tabela1["&amp;$B23&amp;"]"),Tabela1[Data Corrigida],T$3)/100,"")</f>
        <v>1.608340670077358E-2</v>
      </c>
      <c r="U23" s="38">
        <f ca="1">IFERROR(AVERAGEIFS(INDIRECT("Tabela1["&amp;$B23&amp;"]"),Tabela1[Data Corrigida],U$3)/100,"")</f>
        <v>1.3644193667663396E-2</v>
      </c>
      <c r="V23" s="38">
        <f ca="1">IFERROR(AVERAGEIFS(INDIRECT("Tabela1["&amp;$B23&amp;"]"),Tabela1[Data Corrigida],V$3)/100,"")</f>
        <v>1.254590500199484E-2</v>
      </c>
      <c r="W23" s="38">
        <f ca="1">IFERROR(AVERAGEIFS(INDIRECT("Tabela1["&amp;$B23&amp;"]"),Tabela1[Data Corrigida],W$3)/100,"")</f>
        <v>8.9796849113619286E-3</v>
      </c>
      <c r="X23" s="38">
        <f ca="1">IFERROR(AVERAGEIFS(INDIRECT("Tabela1["&amp;$B23&amp;"]"),Tabela1[Data Corrigida],X$3)/100,"")</f>
        <v>7.9865172053893221E-3</v>
      </c>
      <c r="Y23" s="38">
        <f ca="1">IFERROR(AVERAGEIFS(INDIRECT("Tabela1["&amp;$B23&amp;"]"),Tabela1[Data Corrigida],Y$3)/100,"")</f>
        <v>9.1169977924944814E-3</v>
      </c>
      <c r="Z23" s="38" t="str">
        <f ca="1">IFERROR(AVERAGEIFS(INDIRECT("Tabela1["&amp;$B23&amp;"]"),Tabela1[Data Corrigida],Z$3)/100,"")</f>
        <v/>
      </c>
      <c r="AA23" s="38" t="str">
        <f ca="1">IFERROR(AVERAGEIFS(INDIRECT("Tabela1["&amp;$B23&amp;"]"),Tabela1[Data Corrigida],AA$3)/100,"")</f>
        <v/>
      </c>
      <c r="AB23" s="38" t="str">
        <f ca="1">IFERROR(AVERAGEIFS(INDIRECT("Tabela1["&amp;$B23&amp;"]"),Tabela1[Data Corrigida],AB$3)/100,"")</f>
        <v/>
      </c>
      <c r="AC23" s="38" t="str">
        <f ca="1">IFERROR(AVERAGEIFS(INDIRECT("Tabela1["&amp;$B23&amp;"]"),Tabela1[Data Corrigida],AC$3)/100,"")</f>
        <v/>
      </c>
      <c r="AD23" s="38" t="str">
        <f ca="1">IFERROR(AVERAGEIFS(INDIRECT("Tabela1["&amp;$B23&amp;"]"),Tabela1[Data Corrigida],AD$3)/100,"")</f>
        <v/>
      </c>
      <c r="AE23" s="38" t="str">
        <f ca="1">IFERROR(AVERAGEIFS(INDIRECT("Tabela1["&amp;$B23&amp;"]"),Tabela1[Data Corrigida],AE$3)/100,"")</f>
        <v/>
      </c>
      <c r="AF23" s="38" t="str">
        <f ca="1">IFERROR(AVERAGEIFS(INDIRECT("Tabela1["&amp;$B23&amp;"]"),Tabela1[Data Corrigida],AF$3)/100,"")</f>
        <v/>
      </c>
      <c r="AG23" s="38" t="str">
        <f ca="1">IFERROR(AVERAGEIFS(INDIRECT("Tabela1["&amp;$B23&amp;"]"),Tabela1[Data Corrigida],AG$3)/100,"")</f>
        <v/>
      </c>
      <c r="AH23" s="38" t="str">
        <f ca="1">IFERROR(AVERAGEIFS(INDIRECT("Tabela1["&amp;$B23&amp;"]"),Tabela1[Data Corrigida],AH$3)/100,"")</f>
        <v/>
      </c>
      <c r="AI23" s="38" t="str">
        <f ca="1">IFERROR(AVERAGEIFS(INDIRECT("Tabela1["&amp;$B23&amp;"]"),Tabela1[Data Corrigida],AI$3)/100,"")</f>
        <v/>
      </c>
      <c r="AJ23" s="38" t="str">
        <f ca="1">IFERROR(AVERAGEIFS(INDIRECT("Tabela1["&amp;$B23&amp;"]"),Tabela1[Data Corrigida],AJ$3)/100,"")</f>
        <v/>
      </c>
      <c r="AK23" s="38" t="str">
        <f ca="1">IFERROR(AVERAGEIFS(INDIRECT("Tabela1["&amp;$B23&amp;"]"),Tabela1[Data Corrigida],AK$3)/100,"")</f>
        <v/>
      </c>
      <c r="AL23" s="38" t="str">
        <f ca="1">IFERROR(AVERAGEIFS(INDIRECT("Tabela1["&amp;$B23&amp;"]"),Tabela1[Data Corrigida],AL$3)/100,"")</f>
        <v/>
      </c>
      <c r="AM23" s="38" t="str">
        <f ca="1">IFERROR(AVERAGEIFS(INDIRECT("Tabela1["&amp;$B23&amp;"]"),Tabela1[Data Corrigida],AM$3)/100,"")</f>
        <v/>
      </c>
    </row>
    <row r="24" spans="1:39" ht="15" customHeight="1" thickTop="1" x14ac:dyDescent="0.3">
      <c r="A24" s="50" t="str">
        <f>VLOOKUP(Tabela2[[#This Row],[Item 1]],Apoio!$A$2:$B$41,2,0)</f>
        <v>Eviscer</v>
      </c>
      <c r="B24" s="9" t="str">
        <f t="shared" si="2"/>
        <v>% Clocaca mal Exposta</v>
      </c>
      <c r="C24" s="58" t="str">
        <f>'BD - 022 Evisceração'!AB1</f>
        <v>% Clocaca mal Exposta</v>
      </c>
      <c r="D24" s="26" t="s">
        <v>21</v>
      </c>
      <c r="E24" s="34">
        <f ca="1">IFERROR(AVERAGEIFS(INDIRECT("Tabela1["&amp;$B24&amp;"]"),Tabela1[Turno],$D24,Tabela1[Mês],E$3)/100,"")</f>
        <v>0.1255</v>
      </c>
      <c r="F24" s="34">
        <f ca="1">IFERROR(AVERAGEIFS(INDIRECT("Tabela1["&amp;$B24&amp;"]"),Tabela1[Turno],$D24,Tabela1[Mês],F$3)/100,"")</f>
        <v>3.7999999999999999E-2</v>
      </c>
      <c r="G24" s="34">
        <f ca="1">IFERROR(AVERAGEIFS(INDIRECT("Tabela1["&amp;$B24&amp;"]"),Tabela1[Turno],$D24,Tabela1[Mês],G$3)/100,"")</f>
        <v>5.2900000000000003E-2</v>
      </c>
      <c r="H24" s="34">
        <f ca="1">IFERROR(AVERAGEIFS(INDIRECT("Tabela1["&amp;$B24&amp;"]"),Tabela1[Turno],$D24,Tabela1[Mês],H$3)/100,"")</f>
        <v>2.64E-2</v>
      </c>
      <c r="I24" s="34">
        <f ca="1">IFERROR(AVERAGEIFS(INDIRECT("Tabela1["&amp;$B24&amp;"]"),Tabela1[Turno],$D24,Tabela1[Mês],I$3)/100,"")</f>
        <v>7.6499999999999999E-2</v>
      </c>
      <c r="J24" s="34">
        <f ca="1">IFERROR(AVERAGEIFS(INDIRECT("Tabela1["&amp;$B24&amp;"]"),Tabela1[Turno],$D24,Tabela1[Mês],J$3)/100,"")</f>
        <v>5.7800000000000004E-2</v>
      </c>
      <c r="K24" s="34">
        <f ca="1">IFERROR(AVERAGEIFS(INDIRECT("Tabela1["&amp;$B24&amp;"]"),Tabela1[Turno],$D24,Tabela1[Mês],K$3)/100,"")</f>
        <v>0.10397072019901656</v>
      </c>
      <c r="L24" s="34">
        <f ca="1">IFERROR(AVERAGEIFS(INDIRECT("Tabela1["&amp;$B24&amp;"]"),Tabela1[Turno],$D24,Tabela1[Mês],L$3)/100,"")</f>
        <v>5.590041276649501E-2</v>
      </c>
      <c r="M24" s="34">
        <f ca="1">IFERROR(AVERAGEIFS(INDIRECT("Tabela1["&amp;$B24&amp;"]"),Tabela1[Turno],$D24,Tabela1[Mês],M$3)/100,"")</f>
        <v>3.8468725943525392E-2</v>
      </c>
      <c r="N24" s="34">
        <f ca="1">IFERROR(AVERAGEIFS(INDIRECT("Tabela1["&amp;$B24&amp;"]"),Tabela1[Turno],$D24,Tabela1[Mês],N$3)/100,"")</f>
        <v>3.2804115537219188E-2</v>
      </c>
      <c r="O24" s="34" t="str">
        <f ca="1">IFERROR(AVERAGEIFS(INDIRECT("Tabela1["&amp;$B24&amp;"]"),Tabela1[Turno],$D24,Tabela1[Mês],O$3)/100,"")</f>
        <v/>
      </c>
      <c r="P24" s="44" t="str">
        <f ca="1">IFERROR(AVERAGEIFS(INDIRECT("Tabela1["&amp;$B24&amp;"]"),Tabela1[Turno],$D24,Tabela1[Mês],P$3)/100,"")</f>
        <v/>
      </c>
      <c r="Q24" s="61">
        <v>0.03</v>
      </c>
      <c r="R24" s="33">
        <f ca="1">IFERROR(AVERAGEIFS(INDIRECT("Tabela1["&amp;$B24&amp;"]"),Tabela1[Turno],$D24,Tabela1[Data Corrigida],R$3)/100,"")</f>
        <v>1.7080745341614904E-2</v>
      </c>
      <c r="S24" s="34">
        <f ca="1">IFERROR(AVERAGEIFS(INDIRECT("Tabela1["&amp;$B24&amp;"]"),Tabela1[Turno],$D24,Tabela1[Data Corrigida],S$3)/100,"")</f>
        <v>1.8942042696721648E-2</v>
      </c>
      <c r="T24" s="34">
        <f ca="1">IFERROR(AVERAGEIFS(INDIRECT("Tabela1["&amp;$B24&amp;"]"),Tabela1[Turno],$D24,Tabela1[Data Corrigida],T$3)/100,"")</f>
        <v>1.9230769230769232E-2</v>
      </c>
      <c r="U24" s="34">
        <f ca="1">IFERROR(AVERAGEIFS(INDIRECT("Tabela1["&amp;$B24&amp;"]"),Tabela1[Turno],$D24,Tabela1[Data Corrigida],U$3)/100,"")</f>
        <v>3.9516642777512344E-2</v>
      </c>
      <c r="V24" s="34">
        <f ca="1">IFERROR(AVERAGEIFS(INDIRECT("Tabela1["&amp;$B24&amp;"]"),Tabela1[Turno],$D24,Tabela1[Data Corrigida],V$3)/100,"")</f>
        <v>3.6835364462775924E-2</v>
      </c>
      <c r="W24" s="34">
        <f ca="1">IFERROR(AVERAGEIFS(INDIRECT("Tabela1["&amp;$B24&amp;"]"),Tabela1[Turno],$D24,Tabela1[Data Corrigida],W$3)/100,"")</f>
        <v>3.934217955957086E-2</v>
      </c>
      <c r="X24" s="34">
        <f ca="1">IFERROR(AVERAGEIFS(INDIRECT("Tabela1["&amp;$B24&amp;"]"),Tabela1[Turno],$D24,Tabela1[Data Corrigida],X$3)/100,"")</f>
        <v>2.8258812883057052E-2</v>
      </c>
      <c r="Y24" s="34">
        <f ca="1">IFERROR(AVERAGEIFS(INDIRECT("Tabela1["&amp;$B24&amp;"]"),Tabela1[Turno],$D24,Tabela1[Data Corrigida],Y$3)/100,"")</f>
        <v>5.3046357615894039E-2</v>
      </c>
      <c r="Z24" s="34" t="str">
        <f ca="1">IFERROR(AVERAGEIFS(INDIRECT("Tabela1["&amp;$B24&amp;"]"),Tabela1[Turno],$D24,Tabela1[Data Corrigida],Z$3)/100,"")</f>
        <v/>
      </c>
      <c r="AA24" s="34" t="str">
        <f ca="1">IFERROR(AVERAGEIFS(INDIRECT("Tabela1["&amp;$B24&amp;"]"),Tabela1[Turno],$D24,Tabela1[Data Corrigida],AA$3)/100,"")</f>
        <v/>
      </c>
      <c r="AB24" s="34" t="str">
        <f ca="1">IFERROR(AVERAGEIFS(INDIRECT("Tabela1["&amp;$B24&amp;"]"),Tabela1[Turno],$D24,Tabela1[Data Corrigida],AB$3)/100,"")</f>
        <v/>
      </c>
      <c r="AC24" s="34" t="str">
        <f ca="1">IFERROR(AVERAGEIFS(INDIRECT("Tabela1["&amp;$B24&amp;"]"),Tabela1[Turno],$D24,Tabela1[Data Corrigida],AC$3)/100,"")</f>
        <v/>
      </c>
      <c r="AD24" s="34" t="str">
        <f ca="1">IFERROR(AVERAGEIFS(INDIRECT("Tabela1["&amp;$B24&amp;"]"),Tabela1[Turno],$D24,Tabela1[Data Corrigida],AD$3)/100,"")</f>
        <v/>
      </c>
      <c r="AE24" s="34" t="str">
        <f ca="1">IFERROR(AVERAGEIFS(INDIRECT("Tabela1["&amp;$B24&amp;"]"),Tabela1[Turno],$D24,Tabela1[Data Corrigida],AE$3)/100,"")</f>
        <v/>
      </c>
      <c r="AF24" s="34" t="str">
        <f ca="1">IFERROR(AVERAGEIFS(INDIRECT("Tabela1["&amp;$B24&amp;"]"),Tabela1[Turno],$D24,Tabela1[Data Corrigida],AF$3)/100,"")</f>
        <v/>
      </c>
      <c r="AG24" s="34" t="str">
        <f ca="1">IFERROR(AVERAGEIFS(INDIRECT("Tabela1["&amp;$B24&amp;"]"),Tabela1[Turno],$D24,Tabela1[Data Corrigida],AG$3)/100,"")</f>
        <v/>
      </c>
      <c r="AH24" s="34" t="str">
        <f ca="1">IFERROR(AVERAGEIFS(INDIRECT("Tabela1["&amp;$B24&amp;"]"),Tabela1[Turno],$D24,Tabela1[Data Corrigida],AH$3)/100,"")</f>
        <v/>
      </c>
      <c r="AI24" s="34" t="str">
        <f ca="1">IFERROR(AVERAGEIFS(INDIRECT("Tabela1["&amp;$B24&amp;"]"),Tabela1[Turno],$D24,Tabela1[Data Corrigida],AI$3)/100,"")</f>
        <v/>
      </c>
      <c r="AJ24" s="34" t="str">
        <f ca="1">IFERROR(AVERAGEIFS(INDIRECT("Tabela1["&amp;$B24&amp;"]"),Tabela1[Turno],$D24,Tabela1[Data Corrigida],AJ$3)/100,"")</f>
        <v/>
      </c>
      <c r="AK24" s="34" t="str">
        <f ca="1">IFERROR(AVERAGEIFS(INDIRECT("Tabela1["&amp;$B24&amp;"]"),Tabela1[Turno],$D24,Tabela1[Data Corrigida],AK$3)/100,"")</f>
        <v/>
      </c>
      <c r="AL24" s="34" t="str">
        <f ca="1">IFERROR(AVERAGEIFS(INDIRECT("Tabela1["&amp;$B24&amp;"]"),Tabela1[Turno],$D24,Tabela1[Data Corrigida],AL$3)/100,"")</f>
        <v/>
      </c>
      <c r="AM24" s="34" t="str">
        <f ca="1">IFERROR(AVERAGEIFS(INDIRECT("Tabela1["&amp;$B24&amp;"]"),Tabela1[Turno],$D24,Tabela1[Data Corrigida],AM$3)/100,"")</f>
        <v/>
      </c>
    </row>
    <row r="25" spans="1:39" ht="15" customHeight="1" x14ac:dyDescent="0.3">
      <c r="A25" s="50" t="str">
        <f>VLOOKUP(Tabela2[[#This Row],[Item 1]],Apoio!$A$2:$B$41,2,0)</f>
        <v>Eviscer</v>
      </c>
      <c r="B25" s="9" t="str">
        <f t="shared" si="2"/>
        <v>% Clocaca mal Exposta</v>
      </c>
      <c r="C25" s="59"/>
      <c r="D25" s="27" t="s">
        <v>33</v>
      </c>
      <c r="E25" s="36">
        <f ca="1">IFERROR(AVERAGEIFS(INDIRECT("Tabela1["&amp;$B25&amp;"]"),Tabela1[Turno],$D25,Tabela1[Mês],E$3)/100,"")</f>
        <v>8.4600000000000009E-2</v>
      </c>
      <c r="F25" s="36">
        <f ca="1">IFERROR(AVERAGEIFS(INDIRECT("Tabela1["&amp;$B25&amp;"]"),Tabela1[Turno],$D25,Tabela1[Mês],F$3)/100,"")</f>
        <v>2.9300000000000003E-2</v>
      </c>
      <c r="G25" s="36">
        <f ca="1">IFERROR(AVERAGEIFS(INDIRECT("Tabela1["&amp;$B25&amp;"]"),Tabela1[Turno],$D25,Tabela1[Mês],G$3)/100,"")</f>
        <v>4.3799999999999999E-2</v>
      </c>
      <c r="H25" s="36" t="str">
        <f ca="1">IFERROR(AVERAGEIFS(INDIRECT("Tabela1["&amp;$B25&amp;"]"),Tabela1[Turno],$D25,Tabela1[Mês],H$3)/100,"")</f>
        <v/>
      </c>
      <c r="I25" s="36">
        <f ca="1">IFERROR(AVERAGEIFS(INDIRECT("Tabela1["&amp;$B25&amp;"]"),Tabela1[Turno],$D25,Tabela1[Mês],I$3)/100,"")</f>
        <v>0.1431</v>
      </c>
      <c r="J25" s="36">
        <f ca="1">IFERROR(AVERAGEIFS(INDIRECT("Tabela1["&amp;$B25&amp;"]"),Tabela1[Turno],$D25,Tabela1[Mês],J$3)/100,"")</f>
        <v>0.10199999999999999</v>
      </c>
      <c r="K25" s="36">
        <f ca="1">IFERROR(AVERAGEIFS(INDIRECT("Tabela1["&amp;$B25&amp;"]"),Tabela1[Turno],$D25,Tabela1[Mês],K$3)/100,"")</f>
        <v>0.12668371634911532</v>
      </c>
      <c r="L25" s="36">
        <f ca="1">IFERROR(AVERAGEIFS(INDIRECT("Tabela1["&amp;$B25&amp;"]"),Tabela1[Turno],$D25,Tabela1[Mês],L$3)/100,"")</f>
        <v>5.8300225127893422E-2</v>
      </c>
      <c r="M25" s="36">
        <f ca="1">IFERROR(AVERAGEIFS(INDIRECT("Tabela1["&amp;$B25&amp;"]"),Tabela1[Turno],$D25,Tabela1[Mês],M$3)/100,"")</f>
        <v>5.2811496203440854E-2</v>
      </c>
      <c r="N25" s="36">
        <f ca="1">IFERROR(AVERAGEIFS(INDIRECT("Tabela1["&amp;$B25&amp;"]"),Tabela1[Turno],$D25,Tabela1[Mês],N$3)/100,"")</f>
        <v>3.1424580501399534E-2</v>
      </c>
      <c r="O25" s="36" t="str">
        <f ca="1">IFERROR(AVERAGEIFS(INDIRECT("Tabela1["&amp;$B25&amp;"]"),Tabela1[Turno],$D25,Tabela1[Mês],O$3)/100,"")</f>
        <v/>
      </c>
      <c r="P25" s="41" t="str">
        <f ca="1">IFERROR(AVERAGEIFS(INDIRECT("Tabela1["&amp;$B25&amp;"]"),Tabela1[Turno],$D25,Tabela1[Mês],P$3)/100,"")</f>
        <v/>
      </c>
      <c r="Q25" s="62"/>
      <c r="R25" s="35">
        <f ca="1">IFERROR(AVERAGEIFS(INDIRECT("Tabela1["&amp;$B25&amp;"]"),Tabela1[Turno],$D25,Tabela1[Data Corrigida],R$3)/100,"")</f>
        <v>1.4783364783364783E-2</v>
      </c>
      <c r="S25" s="36">
        <f ca="1">IFERROR(AVERAGEIFS(INDIRECT("Tabela1["&amp;$B25&amp;"]"),Tabela1[Turno],$D25,Tabela1[Data Corrigida],S$3)/100,"")</f>
        <v>9.1511021046253426E-3</v>
      </c>
      <c r="T25" s="36">
        <f ca="1">IFERROR(AVERAGEIFS(INDIRECT("Tabela1["&amp;$B25&amp;"]"),Tabela1[Turno],$D25,Tabela1[Data Corrigida],T$3)/100,"")</f>
        <v>2.4319218750093196E-2</v>
      </c>
      <c r="U25" s="36">
        <f ca="1">IFERROR(AVERAGEIFS(INDIRECT("Tabela1["&amp;$B25&amp;"]"),Tabela1[Turno],$D25,Tabela1[Data Corrigida],U$3)/100,"")</f>
        <v>5.1999739022639782E-2</v>
      </c>
      <c r="V25" s="36">
        <f ca="1">IFERROR(AVERAGEIFS(INDIRECT("Tabela1["&amp;$B25&amp;"]"),Tabela1[Turno],$D25,Tabela1[Data Corrigida],V$3)/100,"")</f>
        <v>2.9383659818442424E-2</v>
      </c>
      <c r="W25" s="36">
        <f ca="1">IFERROR(AVERAGEIFS(INDIRECT("Tabela1["&amp;$B25&amp;"]"),Tabela1[Turno],$D25,Tabela1[Data Corrigida],W$3)/100,"")</f>
        <v>3.6582258321388755E-2</v>
      </c>
      <c r="X25" s="36">
        <f ca="1">IFERROR(AVERAGEIFS(INDIRECT("Tabela1["&amp;$B25&amp;"]"),Tabela1[Turno],$D25,Tabela1[Data Corrigida],X$3)/100,"")</f>
        <v>5.3752720709242439E-2</v>
      </c>
      <c r="Y25" s="36" t="str">
        <f ca="1">IFERROR(AVERAGEIFS(INDIRECT("Tabela1["&amp;$B25&amp;"]"),Tabela1[Turno],$D25,Tabela1[Data Corrigida],Y$3)/100,"")</f>
        <v/>
      </c>
      <c r="Z25" s="36" t="str">
        <f ca="1">IFERROR(AVERAGEIFS(INDIRECT("Tabela1["&amp;$B25&amp;"]"),Tabela1[Turno],$D25,Tabela1[Data Corrigida],Z$3)/100,"")</f>
        <v/>
      </c>
      <c r="AA25" s="36" t="str">
        <f ca="1">IFERROR(AVERAGEIFS(INDIRECT("Tabela1["&amp;$B25&amp;"]"),Tabela1[Turno],$D25,Tabela1[Data Corrigida],AA$3)/100,"")</f>
        <v/>
      </c>
      <c r="AB25" s="36" t="str">
        <f ca="1">IFERROR(AVERAGEIFS(INDIRECT("Tabela1["&amp;$B25&amp;"]"),Tabela1[Turno],$D25,Tabela1[Data Corrigida],AB$3)/100,"")</f>
        <v/>
      </c>
      <c r="AC25" s="36" t="str">
        <f ca="1">IFERROR(AVERAGEIFS(INDIRECT("Tabela1["&amp;$B25&amp;"]"),Tabela1[Turno],$D25,Tabela1[Data Corrigida],AC$3)/100,"")</f>
        <v/>
      </c>
      <c r="AD25" s="36" t="str">
        <f ca="1">IFERROR(AVERAGEIFS(INDIRECT("Tabela1["&amp;$B25&amp;"]"),Tabela1[Turno],$D25,Tabela1[Data Corrigida],AD$3)/100,"")</f>
        <v/>
      </c>
      <c r="AE25" s="36" t="str">
        <f ca="1">IFERROR(AVERAGEIFS(INDIRECT("Tabela1["&amp;$B25&amp;"]"),Tabela1[Turno],$D25,Tabela1[Data Corrigida],AE$3)/100,"")</f>
        <v/>
      </c>
      <c r="AF25" s="36" t="str">
        <f ca="1">IFERROR(AVERAGEIFS(INDIRECT("Tabela1["&amp;$B25&amp;"]"),Tabela1[Turno],$D25,Tabela1[Data Corrigida],AF$3)/100,"")</f>
        <v/>
      </c>
      <c r="AG25" s="36" t="str">
        <f ca="1">IFERROR(AVERAGEIFS(INDIRECT("Tabela1["&amp;$B25&amp;"]"),Tabela1[Turno],$D25,Tabela1[Data Corrigida],AG$3)/100,"")</f>
        <v/>
      </c>
      <c r="AH25" s="36" t="str">
        <f ca="1">IFERROR(AVERAGEIFS(INDIRECT("Tabela1["&amp;$B25&amp;"]"),Tabela1[Turno],$D25,Tabela1[Data Corrigida],AH$3)/100,"")</f>
        <v/>
      </c>
      <c r="AI25" s="36" t="str">
        <f ca="1">IFERROR(AVERAGEIFS(INDIRECT("Tabela1["&amp;$B25&amp;"]"),Tabela1[Turno],$D25,Tabela1[Data Corrigida],AI$3)/100,"")</f>
        <v/>
      </c>
      <c r="AJ25" s="36" t="str">
        <f ca="1">IFERROR(AVERAGEIFS(INDIRECT("Tabela1["&amp;$B25&amp;"]"),Tabela1[Turno],$D25,Tabela1[Data Corrigida],AJ$3)/100,"")</f>
        <v/>
      </c>
      <c r="AK25" s="36" t="str">
        <f ca="1">IFERROR(AVERAGEIFS(INDIRECT("Tabela1["&amp;$B25&amp;"]"),Tabela1[Turno],$D25,Tabela1[Data Corrigida],AK$3)/100,"")</f>
        <v/>
      </c>
      <c r="AL25" s="36" t="str">
        <f ca="1">IFERROR(AVERAGEIFS(INDIRECT("Tabela1["&amp;$B25&amp;"]"),Tabela1[Turno],$D25,Tabela1[Data Corrigida],AL$3)/100,"")</f>
        <v/>
      </c>
      <c r="AM25" s="36" t="str">
        <f ca="1">IFERROR(AVERAGEIFS(INDIRECT("Tabela1["&amp;$B25&amp;"]"),Tabela1[Turno],$D25,Tabela1[Data Corrigida],AM$3)/100,"")</f>
        <v/>
      </c>
    </row>
    <row r="26" spans="1:39" ht="15" customHeight="1" thickBot="1" x14ac:dyDescent="0.35">
      <c r="A26" s="50" t="str">
        <f>VLOOKUP(Tabela2[[#This Row],[Item 1]],Apoio!$A$2:$B$41,2,0)</f>
        <v>Eviscer</v>
      </c>
      <c r="B26" s="9" t="str">
        <f t="shared" si="2"/>
        <v>% Clocaca mal Exposta</v>
      </c>
      <c r="C26" s="60"/>
      <c r="D26" s="28" t="s">
        <v>5</v>
      </c>
      <c r="E26" s="45">
        <f ca="1">IFERROR(AVERAGEIFS(INDIRECT("Tabela1["&amp;$B26&amp;"]"),Tabela1[Mês],E$3)/100,"")</f>
        <v>0.10505</v>
      </c>
      <c r="F26" s="45">
        <f ca="1">IFERROR(AVERAGEIFS(INDIRECT("Tabela1["&amp;$B26&amp;"]"),Tabela1[Mês],F$3)/100,"")</f>
        <v>3.3649999999999999E-2</v>
      </c>
      <c r="G26" s="45">
        <f ca="1">IFERROR(AVERAGEIFS(INDIRECT("Tabela1["&amp;$B26&amp;"]"),Tabela1[Mês],G$3)/100,"")</f>
        <v>4.8349999999999997E-2</v>
      </c>
      <c r="H26" s="45">
        <f ca="1">IFERROR(AVERAGEIFS(INDIRECT("Tabela1["&amp;$B26&amp;"]"),Tabela1[Mês],H$3)/100,"")</f>
        <v>2.64E-2</v>
      </c>
      <c r="I26" s="45">
        <f ca="1">IFERROR(AVERAGEIFS(INDIRECT("Tabela1["&amp;$B26&amp;"]"),Tabela1[Mês],I$3)/100,"")</f>
        <v>0.10980000000000001</v>
      </c>
      <c r="J26" s="45">
        <f ca="1">IFERROR(AVERAGEIFS(INDIRECT("Tabela1["&amp;$B26&amp;"]"),Tabela1[Mês],J$3)/100,"")</f>
        <v>7.9899999999999999E-2</v>
      </c>
      <c r="K26" s="45">
        <f ca="1">IFERROR(AVERAGEIFS(INDIRECT("Tabela1["&amp;$B26&amp;"]"),Tabela1[Mês],K$3)/100,"")</f>
        <v>0.11457011840239593</v>
      </c>
      <c r="L26" s="45">
        <f ca="1">IFERROR(AVERAGEIFS(INDIRECT("Tabela1["&amp;$B26&amp;"]"),Tabela1[Mês],L$3)/100,"")</f>
        <v>5.6974955614882361E-2</v>
      </c>
      <c r="M26" s="45">
        <f ca="1">IFERROR(AVERAGEIFS(INDIRECT("Tabela1["&amp;$B26&amp;"]"),Tabela1[Mês],M$3)/100,"")</f>
        <v>4.4657729548831349E-2</v>
      </c>
      <c r="N26" s="45">
        <f ca="1">IFERROR(AVERAGEIFS(INDIRECT("Tabela1["&amp;$B26&amp;"]"),Tabela1[Mês],N$3)/100,"")</f>
        <v>3.2224710822174936E-2</v>
      </c>
      <c r="O26" s="45" t="str">
        <f ca="1">IFERROR(AVERAGEIFS(INDIRECT("Tabela1["&amp;$B26&amp;"]"),Tabela1[Mês],O$3)/100,"")</f>
        <v/>
      </c>
      <c r="P26" s="46" t="str">
        <f ca="1">IFERROR(AVERAGEIFS(INDIRECT("Tabela1["&amp;$B26&amp;"]"),Tabela1[Mês],P$3)/100,"")</f>
        <v/>
      </c>
      <c r="Q26" s="63"/>
      <c r="R26" s="37">
        <f ca="1">IFERROR(AVERAGEIFS(INDIRECT("Tabela1["&amp;$B26&amp;"]"),Tabela1[Data Corrigida],R$3)/100,"")</f>
        <v>1.6096153673793426E-2</v>
      </c>
      <c r="S26" s="38">
        <f ca="1">IFERROR(AVERAGEIFS(INDIRECT("Tabela1["&amp;$B26&amp;"]"),Tabela1[Data Corrigida],S$3)/100,"")</f>
        <v>1.4745925300108948E-2</v>
      </c>
      <c r="T26" s="38">
        <f ca="1">IFERROR(AVERAGEIFS(INDIRECT("Tabela1["&amp;$B26&amp;"]"),Tabela1[Data Corrigida],T$3)/100,"")</f>
        <v>2.3047106370262208E-2</v>
      </c>
      <c r="U26" s="38">
        <f ca="1">IFERROR(AVERAGEIFS(INDIRECT("Tabela1["&amp;$B26&amp;"]"),Tabela1[Data Corrigida],U$3)/100,"")</f>
        <v>4.4866541168281246E-2</v>
      </c>
      <c r="V26" s="38">
        <f ca="1">IFERROR(AVERAGEIFS(INDIRECT("Tabela1["&amp;$B26&amp;"]"),Tabela1[Data Corrigida],V$3)/100,"")</f>
        <v>3.3641776758061563E-2</v>
      </c>
      <c r="W26" s="38">
        <f ca="1">IFERROR(AVERAGEIFS(INDIRECT("Tabela1["&amp;$B26&amp;"]"),Tabela1[Data Corrigida],W$3)/100,"")</f>
        <v>3.8159356171778527E-2</v>
      </c>
      <c r="X26" s="38">
        <f ca="1">IFERROR(AVERAGEIFS(INDIRECT("Tabela1["&amp;$B26&amp;"]"),Tabela1[Data Corrigida],X$3)/100,"")</f>
        <v>3.918477337999364E-2</v>
      </c>
      <c r="Y26" s="38">
        <f ca="1">IFERROR(AVERAGEIFS(INDIRECT("Tabela1["&amp;$B26&amp;"]"),Tabela1[Data Corrigida],Y$3)/100,"")</f>
        <v>5.3046357615894039E-2</v>
      </c>
      <c r="Z26" s="38" t="str">
        <f ca="1">IFERROR(AVERAGEIFS(INDIRECT("Tabela1["&amp;$B26&amp;"]"),Tabela1[Data Corrigida],Z$3)/100,"")</f>
        <v/>
      </c>
      <c r="AA26" s="38" t="str">
        <f ca="1">IFERROR(AVERAGEIFS(INDIRECT("Tabela1["&amp;$B26&amp;"]"),Tabela1[Data Corrigida],AA$3)/100,"")</f>
        <v/>
      </c>
      <c r="AB26" s="38" t="str">
        <f ca="1">IFERROR(AVERAGEIFS(INDIRECT("Tabela1["&amp;$B26&amp;"]"),Tabela1[Data Corrigida],AB$3)/100,"")</f>
        <v/>
      </c>
      <c r="AC26" s="38" t="str">
        <f ca="1">IFERROR(AVERAGEIFS(INDIRECT("Tabela1["&amp;$B26&amp;"]"),Tabela1[Data Corrigida],AC$3)/100,"")</f>
        <v/>
      </c>
      <c r="AD26" s="38" t="str">
        <f ca="1">IFERROR(AVERAGEIFS(INDIRECT("Tabela1["&amp;$B26&amp;"]"),Tabela1[Data Corrigida],AD$3)/100,"")</f>
        <v/>
      </c>
      <c r="AE26" s="38" t="str">
        <f ca="1">IFERROR(AVERAGEIFS(INDIRECT("Tabela1["&amp;$B26&amp;"]"),Tabela1[Data Corrigida],AE$3)/100,"")</f>
        <v/>
      </c>
      <c r="AF26" s="38" t="str">
        <f ca="1">IFERROR(AVERAGEIFS(INDIRECT("Tabela1["&amp;$B26&amp;"]"),Tabela1[Data Corrigida],AF$3)/100,"")</f>
        <v/>
      </c>
      <c r="AG26" s="38" t="str">
        <f ca="1">IFERROR(AVERAGEIFS(INDIRECT("Tabela1["&amp;$B26&amp;"]"),Tabela1[Data Corrigida],AG$3)/100,"")</f>
        <v/>
      </c>
      <c r="AH26" s="38" t="str">
        <f ca="1">IFERROR(AVERAGEIFS(INDIRECT("Tabela1["&amp;$B26&amp;"]"),Tabela1[Data Corrigida],AH$3)/100,"")</f>
        <v/>
      </c>
      <c r="AI26" s="38" t="str">
        <f ca="1">IFERROR(AVERAGEIFS(INDIRECT("Tabela1["&amp;$B26&amp;"]"),Tabela1[Data Corrigida],AI$3)/100,"")</f>
        <v/>
      </c>
      <c r="AJ26" s="38" t="str">
        <f ca="1">IFERROR(AVERAGEIFS(INDIRECT("Tabela1["&amp;$B26&amp;"]"),Tabela1[Data Corrigida],AJ$3)/100,"")</f>
        <v/>
      </c>
      <c r="AK26" s="38" t="str">
        <f ca="1">IFERROR(AVERAGEIFS(INDIRECT("Tabela1["&amp;$B26&amp;"]"),Tabela1[Data Corrigida],AK$3)/100,"")</f>
        <v/>
      </c>
      <c r="AL26" s="38" t="str">
        <f ca="1">IFERROR(AVERAGEIFS(INDIRECT("Tabela1["&amp;$B26&amp;"]"),Tabela1[Data Corrigida],AL$3)/100,"")</f>
        <v/>
      </c>
      <c r="AM26" s="38" t="str">
        <f ca="1">IFERROR(AVERAGEIFS(INDIRECT("Tabela1["&amp;$B26&amp;"]"),Tabela1[Data Corrigida],AM$3)/100,"")</f>
        <v/>
      </c>
    </row>
    <row r="27" spans="1:39" ht="15" customHeight="1" thickTop="1" x14ac:dyDescent="0.3">
      <c r="A27" s="50" t="str">
        <f>VLOOKUP(Tabela2[[#This Row],[Item 1]],Apoio!$A$2:$B$41,2,0)</f>
        <v>Eviscer</v>
      </c>
      <c r="B27" s="9" t="str">
        <f t="shared" si="2"/>
        <v>% Cloacas Rompidas</v>
      </c>
      <c r="C27" s="58" t="str">
        <f>'BD - 022 Evisceração'!AD1</f>
        <v>% Cloacas Rompidas</v>
      </c>
      <c r="D27" s="26" t="s">
        <v>21</v>
      </c>
      <c r="E27" s="34">
        <f ca="1">IFERROR(AVERAGEIFS(INDIRECT("Tabela1["&amp;$B27&amp;"]"),Tabela1[Turno],$D27,Tabela1[Mês],E$3)/100,"")</f>
        <v>0</v>
      </c>
      <c r="F27" s="34">
        <f ca="1">IFERROR(AVERAGEIFS(INDIRECT("Tabela1["&amp;$B27&amp;"]"),Tabela1[Turno],$D27,Tabela1[Mês],F$3)/100,"")</f>
        <v>0</v>
      </c>
      <c r="G27" s="34">
        <f ca="1">IFERROR(AVERAGEIFS(INDIRECT("Tabela1["&amp;$B27&amp;"]"),Tabela1[Turno],$D27,Tabela1[Mês],G$3)/100,"")</f>
        <v>1E-4</v>
      </c>
      <c r="H27" s="34">
        <f ca="1">IFERROR(AVERAGEIFS(INDIRECT("Tabela1["&amp;$B27&amp;"]"),Tabela1[Turno],$D27,Tabela1[Mês],H$3)/100,"")</f>
        <v>5.9999999999999995E-4</v>
      </c>
      <c r="I27" s="34">
        <f ca="1">IFERROR(AVERAGEIFS(INDIRECT("Tabela1["&amp;$B27&amp;"]"),Tabela1[Turno],$D27,Tabela1[Mês],I$3)/100,"")</f>
        <v>0</v>
      </c>
      <c r="J27" s="34">
        <f ca="1">IFERROR(AVERAGEIFS(INDIRECT("Tabela1["&amp;$B27&amp;"]"),Tabela1[Turno],$D27,Tabela1[Mês],J$3)/100,"")</f>
        <v>0</v>
      </c>
      <c r="K27" s="34">
        <f ca="1">IFERROR(AVERAGEIFS(INDIRECT("Tabela1["&amp;$B27&amp;"]"),Tabela1[Turno],$D27,Tabela1[Mês],K$3)/100,"")</f>
        <v>4.7493432651518532E-3</v>
      </c>
      <c r="L27" s="34">
        <f ca="1">IFERROR(AVERAGEIFS(INDIRECT("Tabela1["&amp;$B27&amp;"]"),Tabela1[Turno],$D27,Tabela1[Mês],L$3)/100,"")</f>
        <v>1.1457890345178256E-3</v>
      </c>
      <c r="M27" s="34">
        <f ca="1">IFERROR(AVERAGEIFS(INDIRECT("Tabela1["&amp;$B27&amp;"]"),Tabela1[Turno],$D27,Tabela1[Mês],M$3)/100,"")</f>
        <v>4.8326225621614073E-4</v>
      </c>
      <c r="N27" s="34">
        <f ca="1">IFERROR(AVERAGEIFS(INDIRECT("Tabela1["&amp;$B27&amp;"]"),Tabela1[Turno],$D27,Tabela1[Mês],N$3)/100,"")</f>
        <v>1.3666152878003906E-3</v>
      </c>
      <c r="O27" s="34" t="str">
        <f ca="1">IFERROR(AVERAGEIFS(INDIRECT("Tabela1["&amp;$B27&amp;"]"),Tabela1[Turno],$D27,Tabela1[Mês],O$3)/100,"")</f>
        <v/>
      </c>
      <c r="P27" s="44" t="str">
        <f ca="1">IFERROR(AVERAGEIFS(INDIRECT("Tabela1["&amp;$B27&amp;"]"),Tabela1[Turno],$D27,Tabela1[Mês],P$3)/100,"")</f>
        <v/>
      </c>
      <c r="Q27" s="61">
        <v>0.02</v>
      </c>
      <c r="R27" s="39">
        <f ca="1">IFERROR(AVERAGEIFS(INDIRECT("Tabela1["&amp;$B27&amp;"]"),Tabela1[Turno],$D27,Tabela1[Data Corrigida],R$3)/100,"")</f>
        <v>0</v>
      </c>
      <c r="S27" s="40">
        <f ca="1">IFERROR(AVERAGEIFS(INDIRECT("Tabela1["&amp;$B27&amp;"]"),Tabela1[Turno],$D27,Tabela1[Data Corrigida],S$3)/100,"")</f>
        <v>3.3112582781456958E-3</v>
      </c>
      <c r="T27" s="40">
        <f ca="1">IFERROR(AVERAGEIFS(INDIRECT("Tabela1["&amp;$B27&amp;"]"),Tabela1[Turno],$D27,Tabela1[Data Corrigida],T$3)/100,"")</f>
        <v>6.41025641025641E-3</v>
      </c>
      <c r="U27" s="40">
        <f ca="1">IFERROR(AVERAGEIFS(INDIRECT("Tabela1["&amp;$B27&amp;"]"),Tabela1[Turno],$D27,Tabela1[Data Corrigida],U$3)/100,"")</f>
        <v>0</v>
      </c>
      <c r="V27" s="40">
        <f ca="1">IFERROR(AVERAGEIFS(INDIRECT("Tabela1["&amp;$B27&amp;"]"),Tabela1[Turno],$D27,Tabela1[Data Corrigida],V$3)/100,"")</f>
        <v>0</v>
      </c>
      <c r="W27" s="40">
        <f ca="1">IFERROR(AVERAGEIFS(INDIRECT("Tabela1["&amp;$B27&amp;"]"),Tabela1[Turno],$D27,Tabela1[Data Corrigida],W$3)/100,"")</f>
        <v>3.3385093167701864E-3</v>
      </c>
      <c r="X27" s="40">
        <f ca="1">IFERROR(AVERAGEIFS(INDIRECT("Tabela1["&amp;$B27&amp;"]"),Tabela1[Turno],$D27,Tabela1[Data Corrigida],X$3)/100,"")</f>
        <v>0</v>
      </c>
      <c r="Y27" s="40">
        <f ca="1">IFERROR(AVERAGEIFS(INDIRECT("Tabela1["&amp;$B27&amp;"]"),Tabela1[Turno],$D27,Tabela1[Data Corrigida],Y$3)/100,"")</f>
        <v>1.6556291390728479E-3</v>
      </c>
      <c r="Z27" s="40" t="str">
        <f ca="1">IFERROR(AVERAGEIFS(INDIRECT("Tabela1["&amp;$B27&amp;"]"),Tabela1[Turno],$D27,Tabela1[Data Corrigida],Z$3)/100,"")</f>
        <v/>
      </c>
      <c r="AA27" s="40" t="str">
        <f ca="1">IFERROR(AVERAGEIFS(INDIRECT("Tabela1["&amp;$B27&amp;"]"),Tabela1[Turno],$D27,Tabela1[Data Corrigida],AA$3)/100,"")</f>
        <v/>
      </c>
      <c r="AB27" s="40" t="str">
        <f ca="1">IFERROR(AVERAGEIFS(INDIRECT("Tabela1["&amp;$B27&amp;"]"),Tabela1[Turno],$D27,Tabela1[Data Corrigida],AB$3)/100,"")</f>
        <v/>
      </c>
      <c r="AC27" s="40" t="str">
        <f ca="1">IFERROR(AVERAGEIFS(INDIRECT("Tabela1["&amp;$B27&amp;"]"),Tabela1[Turno],$D27,Tabela1[Data Corrigida],AC$3)/100,"")</f>
        <v/>
      </c>
      <c r="AD27" s="40" t="str">
        <f ca="1">IFERROR(AVERAGEIFS(INDIRECT("Tabela1["&amp;$B27&amp;"]"),Tabela1[Turno],$D27,Tabela1[Data Corrigida],AD$3)/100,"")</f>
        <v/>
      </c>
      <c r="AE27" s="40" t="str">
        <f ca="1">IFERROR(AVERAGEIFS(INDIRECT("Tabela1["&amp;$B27&amp;"]"),Tabela1[Turno],$D27,Tabela1[Data Corrigida],AE$3)/100,"")</f>
        <v/>
      </c>
      <c r="AF27" s="40" t="str">
        <f ca="1">IFERROR(AVERAGEIFS(INDIRECT("Tabela1["&amp;$B27&amp;"]"),Tabela1[Turno],$D27,Tabela1[Data Corrigida],AF$3)/100,"")</f>
        <v/>
      </c>
      <c r="AG27" s="40" t="str">
        <f ca="1">IFERROR(AVERAGEIFS(INDIRECT("Tabela1["&amp;$B27&amp;"]"),Tabela1[Turno],$D27,Tabela1[Data Corrigida],AG$3)/100,"")</f>
        <v/>
      </c>
      <c r="AH27" s="40" t="str">
        <f ca="1">IFERROR(AVERAGEIFS(INDIRECT("Tabela1["&amp;$B27&amp;"]"),Tabela1[Turno],$D27,Tabela1[Data Corrigida],AH$3)/100,"")</f>
        <v/>
      </c>
      <c r="AI27" s="40" t="str">
        <f ca="1">IFERROR(AVERAGEIFS(INDIRECT("Tabela1["&amp;$B27&amp;"]"),Tabela1[Turno],$D27,Tabela1[Data Corrigida],AI$3)/100,"")</f>
        <v/>
      </c>
      <c r="AJ27" s="40" t="str">
        <f ca="1">IFERROR(AVERAGEIFS(INDIRECT("Tabela1["&amp;$B27&amp;"]"),Tabela1[Turno],$D27,Tabela1[Data Corrigida],AJ$3)/100,"")</f>
        <v/>
      </c>
      <c r="AK27" s="40" t="str">
        <f ca="1">IFERROR(AVERAGEIFS(INDIRECT("Tabela1["&amp;$B27&amp;"]"),Tabela1[Turno],$D27,Tabela1[Data Corrigida],AK$3)/100,"")</f>
        <v/>
      </c>
      <c r="AL27" s="40" t="str">
        <f ca="1">IFERROR(AVERAGEIFS(INDIRECT("Tabela1["&amp;$B27&amp;"]"),Tabela1[Turno],$D27,Tabela1[Data Corrigida],AL$3)/100,"")</f>
        <v/>
      </c>
      <c r="AM27" s="40" t="str">
        <f ca="1">IFERROR(AVERAGEIFS(INDIRECT("Tabela1["&amp;$B27&amp;"]"),Tabela1[Turno],$D27,Tabela1[Data Corrigida],AM$3)/100,"")</f>
        <v/>
      </c>
    </row>
    <row r="28" spans="1:39" ht="15" customHeight="1" x14ac:dyDescent="0.3">
      <c r="A28" s="50" t="str">
        <f>VLOOKUP(Tabela2[[#This Row],[Item 1]],Apoio!$A$2:$B$41,2,0)</f>
        <v>Eviscer</v>
      </c>
      <c r="B28" s="9" t="str">
        <f t="shared" si="2"/>
        <v>% Cloacas Rompidas</v>
      </c>
      <c r="C28" s="59"/>
      <c r="D28" s="27" t="s">
        <v>33</v>
      </c>
      <c r="E28" s="36">
        <f ca="1">IFERROR(AVERAGEIFS(INDIRECT("Tabela1["&amp;$B28&amp;"]"),Tabela1[Turno],$D28,Tabela1[Mês],E$3)/100,"")</f>
        <v>4.0000000000000002E-4</v>
      </c>
      <c r="F28" s="36">
        <f ca="1">IFERROR(AVERAGEIFS(INDIRECT("Tabela1["&amp;$B28&amp;"]"),Tabela1[Turno],$D28,Tabela1[Mês],F$3)/100,"")</f>
        <v>1.8E-3</v>
      </c>
      <c r="G28" s="36">
        <f ca="1">IFERROR(AVERAGEIFS(INDIRECT("Tabela1["&amp;$B28&amp;"]"),Tabela1[Turno],$D28,Tabela1[Mês],G$3)/100,"")</f>
        <v>2.9999999999999997E-4</v>
      </c>
      <c r="H28" s="36" t="str">
        <f ca="1">IFERROR(AVERAGEIFS(INDIRECT("Tabela1["&amp;$B28&amp;"]"),Tabela1[Turno],$D28,Tabela1[Mês],H$3)/100,"")</f>
        <v/>
      </c>
      <c r="I28" s="36">
        <f ca="1">IFERROR(AVERAGEIFS(INDIRECT("Tabela1["&amp;$B28&amp;"]"),Tabela1[Turno],$D28,Tabela1[Mês],I$3)/100,"")</f>
        <v>1.11E-2</v>
      </c>
      <c r="J28" s="36">
        <f ca="1">IFERROR(AVERAGEIFS(INDIRECT("Tabela1["&amp;$B28&amp;"]"),Tabela1[Turno],$D28,Tabela1[Mês],J$3)/100,"")</f>
        <v>1.4000000000000002E-3</v>
      </c>
      <c r="K28" s="36">
        <f ca="1">IFERROR(AVERAGEIFS(INDIRECT("Tabela1["&amp;$B28&amp;"]"),Tabela1[Turno],$D28,Tabela1[Mês],K$3)/100,"")</f>
        <v>5.2029612397362758E-3</v>
      </c>
      <c r="L28" s="36">
        <f ca="1">IFERROR(AVERAGEIFS(INDIRECT("Tabela1["&amp;$B28&amp;"]"),Tabela1[Turno],$D28,Tabela1[Mês],L$3)/100,"")</f>
        <v>3.3811500219363319E-4</v>
      </c>
      <c r="M28" s="36">
        <f ca="1">IFERROR(AVERAGEIFS(INDIRECT("Tabela1["&amp;$B28&amp;"]"),Tabela1[Turno],$D28,Tabela1[Mês],M$3)/100,"")</f>
        <v>2.2721943251744579E-4</v>
      </c>
      <c r="N28" s="36">
        <f ca="1">IFERROR(AVERAGEIFS(INDIRECT("Tabela1["&amp;$B28&amp;"]"),Tabela1[Turno],$D28,Tabela1[Mês],N$3)/100,"")</f>
        <v>0</v>
      </c>
      <c r="O28" s="36" t="str">
        <f ca="1">IFERROR(AVERAGEIFS(INDIRECT("Tabela1["&amp;$B28&amp;"]"),Tabela1[Turno],$D28,Tabela1[Mês],O$3)/100,"")</f>
        <v/>
      </c>
      <c r="P28" s="41" t="str">
        <f ca="1">IFERROR(AVERAGEIFS(INDIRECT("Tabela1["&amp;$B28&amp;"]"),Tabela1[Turno],$D28,Tabela1[Mês],P$3)/100,"")</f>
        <v/>
      </c>
      <c r="Q28" s="62"/>
      <c r="R28" s="35">
        <f ca="1">IFERROR(AVERAGEIFS(INDIRECT("Tabela1["&amp;$B28&amp;"]"),Tabela1[Turno],$D28,Tabela1[Data Corrigida],R$3)/100,"")</f>
        <v>0</v>
      </c>
      <c r="S28" s="36">
        <f ca="1">IFERROR(AVERAGEIFS(INDIRECT("Tabela1["&amp;$B28&amp;"]"),Tabela1[Turno],$D28,Tabela1[Data Corrigida],S$3)/100,"")</f>
        <v>0</v>
      </c>
      <c r="T28" s="36">
        <f ca="1">IFERROR(AVERAGEIFS(INDIRECT("Tabela1["&amp;$B28&amp;"]"),Tabela1[Turno],$D28,Tabela1[Data Corrigida],T$3)/100,"")</f>
        <v>0</v>
      </c>
      <c r="U28" s="36">
        <f ca="1">IFERROR(AVERAGEIFS(INDIRECT("Tabela1["&amp;$B28&amp;"]"),Tabela1[Turno],$D28,Tabela1[Data Corrigida],U$3)/100,"")</f>
        <v>0</v>
      </c>
      <c r="V28" s="36">
        <f ca="1">IFERROR(AVERAGEIFS(INDIRECT("Tabela1["&amp;$B28&amp;"]"),Tabela1[Turno],$D28,Tabela1[Data Corrigida],V$3)/100,"")</f>
        <v>0</v>
      </c>
      <c r="W28" s="36">
        <f ca="1">IFERROR(AVERAGEIFS(INDIRECT("Tabela1["&amp;$B28&amp;"]"),Tabela1[Turno],$D28,Tabela1[Data Corrigida],W$3)/100,"")</f>
        <v>0</v>
      </c>
      <c r="X28" s="36">
        <f ca="1">IFERROR(AVERAGEIFS(INDIRECT("Tabela1["&amp;$B28&amp;"]"),Tabela1[Turno],$D28,Tabela1[Data Corrigida],X$3)/100,"")</f>
        <v>0</v>
      </c>
      <c r="Y28" s="36" t="str">
        <f ca="1">IFERROR(AVERAGEIFS(INDIRECT("Tabela1["&amp;$B28&amp;"]"),Tabela1[Turno],$D28,Tabela1[Data Corrigida],Y$3)/100,"")</f>
        <v/>
      </c>
      <c r="Z28" s="36" t="str">
        <f ca="1">IFERROR(AVERAGEIFS(INDIRECT("Tabela1["&amp;$B28&amp;"]"),Tabela1[Turno],$D28,Tabela1[Data Corrigida],Z$3)/100,"")</f>
        <v/>
      </c>
      <c r="AA28" s="36" t="str">
        <f ca="1">IFERROR(AVERAGEIFS(INDIRECT("Tabela1["&amp;$B28&amp;"]"),Tabela1[Turno],$D28,Tabela1[Data Corrigida],AA$3)/100,"")</f>
        <v/>
      </c>
      <c r="AB28" s="36" t="str">
        <f ca="1">IFERROR(AVERAGEIFS(INDIRECT("Tabela1["&amp;$B28&amp;"]"),Tabela1[Turno],$D28,Tabela1[Data Corrigida],AB$3)/100,"")</f>
        <v/>
      </c>
      <c r="AC28" s="36" t="str">
        <f ca="1">IFERROR(AVERAGEIFS(INDIRECT("Tabela1["&amp;$B28&amp;"]"),Tabela1[Turno],$D28,Tabela1[Data Corrigida],AC$3)/100,"")</f>
        <v/>
      </c>
      <c r="AD28" s="36" t="str">
        <f ca="1">IFERROR(AVERAGEIFS(INDIRECT("Tabela1["&amp;$B28&amp;"]"),Tabela1[Turno],$D28,Tabela1[Data Corrigida],AD$3)/100,"")</f>
        <v/>
      </c>
      <c r="AE28" s="36" t="str">
        <f ca="1">IFERROR(AVERAGEIFS(INDIRECT("Tabela1["&amp;$B28&amp;"]"),Tabela1[Turno],$D28,Tabela1[Data Corrigida],AE$3)/100,"")</f>
        <v/>
      </c>
      <c r="AF28" s="36" t="str">
        <f ca="1">IFERROR(AVERAGEIFS(INDIRECT("Tabela1["&amp;$B28&amp;"]"),Tabela1[Turno],$D28,Tabela1[Data Corrigida],AF$3)/100,"")</f>
        <v/>
      </c>
      <c r="AG28" s="36" t="str">
        <f ca="1">IFERROR(AVERAGEIFS(INDIRECT("Tabela1["&amp;$B28&amp;"]"),Tabela1[Turno],$D28,Tabela1[Data Corrigida],AG$3)/100,"")</f>
        <v/>
      </c>
      <c r="AH28" s="36" t="str">
        <f ca="1">IFERROR(AVERAGEIFS(INDIRECT("Tabela1["&amp;$B28&amp;"]"),Tabela1[Turno],$D28,Tabela1[Data Corrigida],AH$3)/100,"")</f>
        <v/>
      </c>
      <c r="AI28" s="36" t="str">
        <f ca="1">IFERROR(AVERAGEIFS(INDIRECT("Tabela1["&amp;$B28&amp;"]"),Tabela1[Turno],$D28,Tabela1[Data Corrigida],AI$3)/100,"")</f>
        <v/>
      </c>
      <c r="AJ28" s="36" t="str">
        <f ca="1">IFERROR(AVERAGEIFS(INDIRECT("Tabela1["&amp;$B28&amp;"]"),Tabela1[Turno],$D28,Tabela1[Data Corrigida],AJ$3)/100,"")</f>
        <v/>
      </c>
      <c r="AK28" s="36" t="str">
        <f ca="1">IFERROR(AVERAGEIFS(INDIRECT("Tabela1["&amp;$B28&amp;"]"),Tabela1[Turno],$D28,Tabela1[Data Corrigida],AK$3)/100,"")</f>
        <v/>
      </c>
      <c r="AL28" s="36" t="str">
        <f ca="1">IFERROR(AVERAGEIFS(INDIRECT("Tabela1["&amp;$B28&amp;"]"),Tabela1[Turno],$D28,Tabela1[Data Corrigida],AL$3)/100,"")</f>
        <v/>
      </c>
      <c r="AM28" s="36" t="str">
        <f ca="1">IFERROR(AVERAGEIFS(INDIRECT("Tabela1["&amp;$B28&amp;"]"),Tabela1[Turno],$D28,Tabela1[Data Corrigida],AM$3)/100,"")</f>
        <v/>
      </c>
    </row>
    <row r="29" spans="1:39" ht="15" customHeight="1" thickBot="1" x14ac:dyDescent="0.35">
      <c r="A29" s="50" t="str">
        <f>VLOOKUP(Tabela2[[#This Row],[Item 1]],Apoio!$A$2:$B$41,2,0)</f>
        <v>Eviscer</v>
      </c>
      <c r="B29" s="9" t="str">
        <f t="shared" si="2"/>
        <v>% Cloacas Rompidas</v>
      </c>
      <c r="C29" s="60"/>
      <c r="D29" s="28" t="s">
        <v>5</v>
      </c>
      <c r="E29" s="45">
        <f ca="1">IFERROR(AVERAGEIFS(INDIRECT("Tabela1["&amp;$B29&amp;"]"),Tabela1[Mês],E$3)/100,"")</f>
        <v>2.0000000000000001E-4</v>
      </c>
      <c r="F29" s="45">
        <f ca="1">IFERROR(AVERAGEIFS(INDIRECT("Tabela1["&amp;$B29&amp;"]"),Tabela1[Mês],F$3)/100,"")</f>
        <v>8.9999999999999998E-4</v>
      </c>
      <c r="G29" s="45">
        <f ca="1">IFERROR(AVERAGEIFS(INDIRECT("Tabela1["&amp;$B29&amp;"]"),Tabela1[Mês],G$3)/100,"")</f>
        <v>2.0000000000000001E-4</v>
      </c>
      <c r="H29" s="45">
        <f ca="1">IFERROR(AVERAGEIFS(INDIRECT("Tabela1["&amp;$B29&amp;"]"),Tabela1[Mês],H$3)/100,"")</f>
        <v>5.9999999999999995E-4</v>
      </c>
      <c r="I29" s="45">
        <f ca="1">IFERROR(AVERAGEIFS(INDIRECT("Tabela1["&amp;$B29&amp;"]"),Tabela1[Mês],I$3)/100,"")</f>
        <v>5.5500000000000002E-3</v>
      </c>
      <c r="J29" s="45">
        <f ca="1">IFERROR(AVERAGEIFS(INDIRECT("Tabela1["&amp;$B29&amp;"]"),Tabela1[Mês],J$3)/100,"")</f>
        <v>7.000000000000001E-4</v>
      </c>
      <c r="K29" s="45">
        <f ca="1">IFERROR(AVERAGEIFS(INDIRECT("Tabela1["&amp;$B29&amp;"]"),Tabela1[Mês],K$3)/100,"")</f>
        <v>4.9610316532912504E-3</v>
      </c>
      <c r="L29" s="45">
        <f ca="1">IFERROR(AVERAGEIFS(INDIRECT("Tabela1["&amp;$B29&amp;"]"),Tabela1[Mês],L$3)/100,"")</f>
        <v>7.841439454174409E-4</v>
      </c>
      <c r="M29" s="45">
        <f ca="1">IFERROR(AVERAGEIFS(INDIRECT("Tabela1["&amp;$B29&amp;"]"),Tabela1[Mês],M$3)/100,"")</f>
        <v>3.7277802407218325E-4</v>
      </c>
      <c r="N29" s="45">
        <f ca="1">IFERROR(AVERAGEIFS(INDIRECT("Tabela1["&amp;$B29&amp;"]"),Tabela1[Mês],N$3)/100,"")</f>
        <v>7.9263686692422652E-4</v>
      </c>
      <c r="O29" s="45" t="str">
        <f ca="1">IFERROR(AVERAGEIFS(INDIRECT("Tabela1["&amp;$B29&amp;"]"),Tabela1[Mês],O$3)/100,"")</f>
        <v/>
      </c>
      <c r="P29" s="46" t="str">
        <f ca="1">IFERROR(AVERAGEIFS(INDIRECT("Tabela1["&amp;$B29&amp;"]"),Tabela1[Mês],P$3)/100,"")</f>
        <v/>
      </c>
      <c r="Q29" s="63"/>
      <c r="R29" s="42">
        <f ca="1">IFERROR(AVERAGEIFS(INDIRECT("Tabela1["&amp;$B29&amp;"]"),Tabela1[Data Corrigida],R$3)/100,"")</f>
        <v>0</v>
      </c>
      <c r="S29" s="43">
        <f ca="1">IFERROR(AVERAGEIFS(INDIRECT("Tabela1["&amp;$B29&amp;"]"),Tabela1[Data Corrigida],S$3)/100,"")</f>
        <v>1.8921475875118259E-3</v>
      </c>
      <c r="T29" s="43">
        <f ca="1">IFERROR(AVERAGEIFS(INDIRECT("Tabela1["&amp;$B29&amp;"]"),Tabela1[Data Corrigida],T$3)/100,"")</f>
        <v>1.6025641025641025E-3</v>
      </c>
      <c r="U29" s="43">
        <f ca="1">IFERROR(AVERAGEIFS(INDIRECT("Tabela1["&amp;$B29&amp;"]"),Tabela1[Data Corrigida],U$3)/100,"")</f>
        <v>0</v>
      </c>
      <c r="V29" s="43">
        <f ca="1">IFERROR(AVERAGEIFS(INDIRECT("Tabela1["&amp;$B29&amp;"]"),Tabela1[Data Corrigida],V$3)/100,"")</f>
        <v>0</v>
      </c>
      <c r="W29" s="43">
        <f ca="1">IFERROR(AVERAGEIFS(INDIRECT("Tabela1["&amp;$B29&amp;"]"),Tabela1[Data Corrigida],W$3)/100,"")</f>
        <v>1.9077196095829635E-3</v>
      </c>
      <c r="X29" s="43">
        <f ca="1">IFERROR(AVERAGEIFS(INDIRECT("Tabela1["&amp;$B29&amp;"]"),Tabela1[Data Corrigida],X$3)/100,"")</f>
        <v>0</v>
      </c>
      <c r="Y29" s="43">
        <f ca="1">IFERROR(AVERAGEIFS(INDIRECT("Tabela1["&amp;$B29&amp;"]"),Tabela1[Data Corrigida],Y$3)/100,"")</f>
        <v>1.6556291390728479E-3</v>
      </c>
      <c r="Z29" s="43" t="str">
        <f ca="1">IFERROR(AVERAGEIFS(INDIRECT("Tabela1["&amp;$B29&amp;"]"),Tabela1[Data Corrigida],Z$3)/100,"")</f>
        <v/>
      </c>
      <c r="AA29" s="43" t="str">
        <f ca="1">IFERROR(AVERAGEIFS(INDIRECT("Tabela1["&amp;$B29&amp;"]"),Tabela1[Data Corrigida],AA$3)/100,"")</f>
        <v/>
      </c>
      <c r="AB29" s="43" t="str">
        <f ca="1">IFERROR(AVERAGEIFS(INDIRECT("Tabela1["&amp;$B29&amp;"]"),Tabela1[Data Corrigida],AB$3)/100,"")</f>
        <v/>
      </c>
      <c r="AC29" s="43" t="str">
        <f ca="1">IFERROR(AVERAGEIFS(INDIRECT("Tabela1["&amp;$B29&amp;"]"),Tabela1[Data Corrigida],AC$3)/100,"")</f>
        <v/>
      </c>
      <c r="AD29" s="43" t="str">
        <f ca="1">IFERROR(AVERAGEIFS(INDIRECT("Tabela1["&amp;$B29&amp;"]"),Tabela1[Data Corrigida],AD$3)/100,"")</f>
        <v/>
      </c>
      <c r="AE29" s="43" t="str">
        <f ca="1">IFERROR(AVERAGEIFS(INDIRECT("Tabela1["&amp;$B29&amp;"]"),Tabela1[Data Corrigida],AE$3)/100,"")</f>
        <v/>
      </c>
      <c r="AF29" s="43" t="str">
        <f ca="1">IFERROR(AVERAGEIFS(INDIRECT("Tabela1["&amp;$B29&amp;"]"),Tabela1[Data Corrigida],AF$3)/100,"")</f>
        <v/>
      </c>
      <c r="AG29" s="43" t="str">
        <f ca="1">IFERROR(AVERAGEIFS(INDIRECT("Tabela1["&amp;$B29&amp;"]"),Tabela1[Data Corrigida],AG$3)/100,"")</f>
        <v/>
      </c>
      <c r="AH29" s="43" t="str">
        <f ca="1">IFERROR(AVERAGEIFS(INDIRECT("Tabela1["&amp;$B29&amp;"]"),Tabela1[Data Corrigida],AH$3)/100,"")</f>
        <v/>
      </c>
      <c r="AI29" s="43" t="str">
        <f ca="1">IFERROR(AVERAGEIFS(INDIRECT("Tabela1["&amp;$B29&amp;"]"),Tabela1[Data Corrigida],AI$3)/100,"")</f>
        <v/>
      </c>
      <c r="AJ29" s="43" t="str">
        <f ca="1">IFERROR(AVERAGEIFS(INDIRECT("Tabela1["&amp;$B29&amp;"]"),Tabela1[Data Corrigida],AJ$3)/100,"")</f>
        <v/>
      </c>
      <c r="AK29" s="43" t="str">
        <f ca="1">IFERROR(AVERAGEIFS(INDIRECT("Tabela1["&amp;$B29&amp;"]"),Tabela1[Data Corrigida],AK$3)/100,"")</f>
        <v/>
      </c>
      <c r="AL29" s="43" t="str">
        <f ca="1">IFERROR(AVERAGEIFS(INDIRECT("Tabela1["&amp;$B29&amp;"]"),Tabela1[Data Corrigida],AL$3)/100,"")</f>
        <v/>
      </c>
      <c r="AM29" s="43" t="str">
        <f ca="1">IFERROR(AVERAGEIFS(INDIRECT("Tabela1["&amp;$B29&amp;"]"),Tabela1[Data Corrigida],AM$3)/100,"")</f>
        <v/>
      </c>
    </row>
    <row r="30" spans="1:39" ht="15" customHeight="1" thickTop="1" x14ac:dyDescent="0.3">
      <c r="A30" s="50" t="str">
        <f>VLOOKUP(Tabela2[[#This Row],[Item 1]],Apoio!$A$2:$B$41,2,0)</f>
        <v>Eviscer</v>
      </c>
      <c r="B30" s="9" t="str">
        <f t="shared" si="2"/>
        <v>% Contaminação Após Extratora</v>
      </c>
      <c r="C30" s="58" t="str">
        <f>'BD - 022 Evisceração'!AF1</f>
        <v>% Contaminação Após Extratora</v>
      </c>
      <c r="D30" s="26" t="s">
        <v>21</v>
      </c>
      <c r="E30" s="34">
        <f ca="1">IFERROR(AVERAGEIFS(INDIRECT("Tabela1["&amp;$B30&amp;"]"),Tabela1[Turno],$D30,Tabela1[Mês],E$3)/100,"")</f>
        <v>2.4199999999999999E-2</v>
      </c>
      <c r="F30" s="34">
        <f ca="1">IFERROR(AVERAGEIFS(INDIRECT("Tabela1["&amp;$B30&amp;"]"),Tabela1[Turno],$D30,Tabela1[Mês],F$3)/100,"")</f>
        <v>0</v>
      </c>
      <c r="G30" s="34">
        <f ca="1">IFERROR(AVERAGEIFS(INDIRECT("Tabela1["&amp;$B30&amp;"]"),Tabela1[Turno],$D30,Tabela1[Mês],G$3)/100,"")</f>
        <v>0</v>
      </c>
      <c r="H30" s="34">
        <f ca="1">IFERROR(AVERAGEIFS(INDIRECT("Tabela1["&amp;$B30&amp;"]"),Tabela1[Turno],$D30,Tabela1[Mês],H$3)/100,"")</f>
        <v>2.0000000000000001E-4</v>
      </c>
      <c r="I30" s="34">
        <f ca="1">IFERROR(AVERAGEIFS(INDIRECT("Tabela1["&amp;$B30&amp;"]"),Tabela1[Turno],$D30,Tabela1[Mês],I$3)/100,"")</f>
        <v>0</v>
      </c>
      <c r="J30" s="34">
        <f ca="1">IFERROR(AVERAGEIFS(INDIRECT("Tabela1["&amp;$B30&amp;"]"),Tabela1[Turno],$D30,Tabela1[Mês],J$3)/100,"")</f>
        <v>0</v>
      </c>
      <c r="K30" s="34">
        <f ca="1">IFERROR(AVERAGEIFS(INDIRECT("Tabela1["&amp;$B30&amp;"]"),Tabela1[Turno],$D30,Tabela1[Mês],K$3)/100,"")</f>
        <v>1.7696041133419126E-2</v>
      </c>
      <c r="L30" s="34">
        <f ca="1">IFERROR(AVERAGEIFS(INDIRECT("Tabela1["&amp;$B30&amp;"]"),Tabela1[Turno],$D30,Tabela1[Mês],L$3)/100,"")</f>
        <v>1.1806968586982134E-2</v>
      </c>
      <c r="M30" s="34">
        <f ca="1">IFERROR(AVERAGEIFS(INDIRECT("Tabela1["&amp;$B30&amp;"]"),Tabela1[Turno],$D30,Tabela1[Mês],M$3)/100,"")</f>
        <v>1.1277139709713382E-2</v>
      </c>
      <c r="N30" s="34">
        <f ca="1">IFERROR(AVERAGEIFS(INDIRECT("Tabela1["&amp;$B30&amp;"]"),Tabela1[Turno],$D30,Tabela1[Mês],N$3)/100,"")</f>
        <v>1.0908051027852765E-2</v>
      </c>
      <c r="O30" s="34" t="str">
        <f ca="1">IFERROR(AVERAGEIFS(INDIRECT("Tabela1["&amp;$B30&amp;"]"),Tabela1[Turno],$D30,Tabela1[Mês],O$3)/100,"")</f>
        <v/>
      </c>
      <c r="P30" s="44" t="str">
        <f ca="1">IFERROR(AVERAGEIFS(INDIRECT("Tabela1["&amp;$B30&amp;"]"),Tabela1[Turno],$D30,Tabela1[Mês],P$3)/100,"")</f>
        <v/>
      </c>
      <c r="Q30" s="61">
        <v>0.02</v>
      </c>
      <c r="R30" s="33">
        <f ca="1">IFERROR(AVERAGEIFS(INDIRECT("Tabela1["&amp;$B30&amp;"]"),Tabela1[Turno],$D30,Tabela1[Data Corrigida],R$3)/100,"")</f>
        <v>2.0703933747412005E-3</v>
      </c>
      <c r="S30" s="34">
        <f ca="1">IFERROR(AVERAGEIFS(INDIRECT("Tabela1["&amp;$B30&amp;"]"),Tabela1[Turno],$D30,Tabela1[Data Corrigida],S$3)/100,"")</f>
        <v>1.1075233433425197E-2</v>
      </c>
      <c r="T30" s="34">
        <f ca="1">IFERROR(AVERAGEIFS(INDIRECT("Tabela1["&amp;$B30&amp;"]"),Tabela1[Turno],$D30,Tabela1[Data Corrigida],T$3)/100,"")</f>
        <v>1.282051282051282E-2</v>
      </c>
      <c r="U30" s="34">
        <f ca="1">IFERROR(AVERAGEIFS(INDIRECT("Tabela1["&amp;$B30&amp;"]"),Tabela1[Turno],$D30,Tabela1[Data Corrigida],U$3)/100,"")</f>
        <v>1.2671205605988214E-2</v>
      </c>
      <c r="V30" s="34">
        <f ca="1">IFERROR(AVERAGEIFS(INDIRECT("Tabela1["&amp;$B30&amp;"]"),Tabela1[Turno],$D30,Tabela1[Data Corrigida],V$3)/100,"")</f>
        <v>1.0448038860074565E-2</v>
      </c>
      <c r="W30" s="34">
        <f ca="1">IFERROR(AVERAGEIFS(INDIRECT("Tabela1["&amp;$B30&amp;"]"),Tabela1[Turno],$D30,Tabela1[Data Corrigida],W$3)/100,"")</f>
        <v>9.8531902879728968E-3</v>
      </c>
      <c r="X30" s="34">
        <f ca="1">IFERROR(AVERAGEIFS(INDIRECT("Tabela1["&amp;$B30&amp;"]"),Tabela1[Turno],$D30,Tabela1[Data Corrigida],X$3)/100,"")</f>
        <v>1.2628028464481101E-2</v>
      </c>
      <c r="Y30" s="34">
        <f ca="1">IFERROR(AVERAGEIFS(INDIRECT("Tabela1["&amp;$B30&amp;"]"),Tabela1[Turno],$D30,Tabela1[Data Corrigida],Y$3)/100,"")</f>
        <v>1.4922737306843268E-2</v>
      </c>
      <c r="Z30" s="34" t="str">
        <f ca="1">IFERROR(AVERAGEIFS(INDIRECT("Tabela1["&amp;$B30&amp;"]"),Tabela1[Turno],$D30,Tabela1[Data Corrigida],Z$3)/100,"")</f>
        <v/>
      </c>
      <c r="AA30" s="34" t="str">
        <f ca="1">IFERROR(AVERAGEIFS(INDIRECT("Tabela1["&amp;$B30&amp;"]"),Tabela1[Turno],$D30,Tabela1[Data Corrigida],AA$3)/100,"")</f>
        <v/>
      </c>
      <c r="AB30" s="34" t="str">
        <f ca="1">IFERROR(AVERAGEIFS(INDIRECT("Tabela1["&amp;$B30&amp;"]"),Tabela1[Turno],$D30,Tabela1[Data Corrigida],AB$3)/100,"")</f>
        <v/>
      </c>
      <c r="AC30" s="34" t="str">
        <f ca="1">IFERROR(AVERAGEIFS(INDIRECT("Tabela1["&amp;$B30&amp;"]"),Tabela1[Turno],$D30,Tabela1[Data Corrigida],AC$3)/100,"")</f>
        <v/>
      </c>
      <c r="AD30" s="34" t="str">
        <f ca="1">IFERROR(AVERAGEIFS(INDIRECT("Tabela1["&amp;$B30&amp;"]"),Tabela1[Turno],$D30,Tabela1[Data Corrigida],AD$3)/100,"")</f>
        <v/>
      </c>
      <c r="AE30" s="34" t="str">
        <f ca="1">IFERROR(AVERAGEIFS(INDIRECT("Tabela1["&amp;$B30&amp;"]"),Tabela1[Turno],$D30,Tabela1[Data Corrigida],AE$3)/100,"")</f>
        <v/>
      </c>
      <c r="AF30" s="34" t="str">
        <f ca="1">IFERROR(AVERAGEIFS(INDIRECT("Tabela1["&amp;$B30&amp;"]"),Tabela1[Turno],$D30,Tabela1[Data Corrigida],AF$3)/100,"")</f>
        <v/>
      </c>
      <c r="AG30" s="34" t="str">
        <f ca="1">IFERROR(AVERAGEIFS(INDIRECT("Tabela1["&amp;$B30&amp;"]"),Tabela1[Turno],$D30,Tabela1[Data Corrigida],AG$3)/100,"")</f>
        <v/>
      </c>
      <c r="AH30" s="34" t="str">
        <f ca="1">IFERROR(AVERAGEIFS(INDIRECT("Tabela1["&amp;$B30&amp;"]"),Tabela1[Turno],$D30,Tabela1[Data Corrigida],AH$3)/100,"")</f>
        <v/>
      </c>
      <c r="AI30" s="34" t="str">
        <f ca="1">IFERROR(AVERAGEIFS(INDIRECT("Tabela1["&amp;$B30&amp;"]"),Tabela1[Turno],$D30,Tabela1[Data Corrigida],AI$3)/100,"")</f>
        <v/>
      </c>
      <c r="AJ30" s="34" t="str">
        <f ca="1">IFERROR(AVERAGEIFS(INDIRECT("Tabela1["&amp;$B30&amp;"]"),Tabela1[Turno],$D30,Tabela1[Data Corrigida],AJ$3)/100,"")</f>
        <v/>
      </c>
      <c r="AK30" s="34" t="str">
        <f ca="1">IFERROR(AVERAGEIFS(INDIRECT("Tabela1["&amp;$B30&amp;"]"),Tabela1[Turno],$D30,Tabela1[Data Corrigida],AK$3)/100,"")</f>
        <v/>
      </c>
      <c r="AL30" s="34" t="str">
        <f ca="1">IFERROR(AVERAGEIFS(INDIRECT("Tabela1["&amp;$B30&amp;"]"),Tabela1[Turno],$D30,Tabela1[Data Corrigida],AL$3)/100,"")</f>
        <v/>
      </c>
      <c r="AM30" s="34" t="str">
        <f ca="1">IFERROR(AVERAGEIFS(INDIRECT("Tabela1["&amp;$B30&amp;"]"),Tabela1[Turno],$D30,Tabela1[Data Corrigida],AM$3)/100,"")</f>
        <v/>
      </c>
    </row>
    <row r="31" spans="1:39" ht="15" customHeight="1" x14ac:dyDescent="0.3">
      <c r="A31" s="50" t="str">
        <f>VLOOKUP(Tabela2[[#This Row],[Item 1]],Apoio!$A$2:$B$41,2,0)</f>
        <v>Eviscer</v>
      </c>
      <c r="B31" s="9" t="str">
        <f t="shared" si="2"/>
        <v>% Contaminação Após Extratora</v>
      </c>
      <c r="C31" s="59"/>
      <c r="D31" s="27" t="s">
        <v>33</v>
      </c>
      <c r="E31" s="36">
        <f ca="1">IFERROR(AVERAGEIFS(INDIRECT("Tabela1["&amp;$B31&amp;"]"),Tabela1[Turno],$D31,Tabela1[Mês],E$3)/100,"")</f>
        <v>8.1000000000000013E-3</v>
      </c>
      <c r="F31" s="36">
        <f ca="1">IFERROR(AVERAGEIFS(INDIRECT("Tabela1["&amp;$B31&amp;"]"),Tabela1[Turno],$D31,Tabela1[Mês],F$3)/100,"")</f>
        <v>5.6000000000000008E-3</v>
      </c>
      <c r="G31" s="36">
        <f ca="1">IFERROR(AVERAGEIFS(INDIRECT("Tabela1["&amp;$B31&amp;"]"),Tabela1[Turno],$D31,Tabela1[Mês],G$3)/100,"")</f>
        <v>1.1000000000000001E-3</v>
      </c>
      <c r="H31" s="36" t="str">
        <f ca="1">IFERROR(AVERAGEIFS(INDIRECT("Tabela1["&amp;$B31&amp;"]"),Tabela1[Turno],$D31,Tabela1[Mês],H$3)/100,"")</f>
        <v/>
      </c>
      <c r="I31" s="36">
        <f ca="1">IFERROR(AVERAGEIFS(INDIRECT("Tabela1["&amp;$B31&amp;"]"),Tabela1[Turno],$D31,Tabela1[Mês],I$3)/100,"")</f>
        <v>1.1200000000000002E-2</v>
      </c>
      <c r="J31" s="36">
        <f ca="1">IFERROR(AVERAGEIFS(INDIRECT("Tabela1["&amp;$B31&amp;"]"),Tabela1[Turno],$D31,Tabela1[Mês],J$3)/100,"")</f>
        <v>1.06E-2</v>
      </c>
      <c r="K31" s="36">
        <f ca="1">IFERROR(AVERAGEIFS(INDIRECT("Tabela1["&amp;$B31&amp;"]"),Tabela1[Turno],$D31,Tabela1[Mês],K$3)/100,"")</f>
        <v>6.5454032248863751E-3</v>
      </c>
      <c r="L31" s="36">
        <f ca="1">IFERROR(AVERAGEIFS(INDIRECT("Tabela1["&amp;$B31&amp;"]"),Tabela1[Turno],$D31,Tabela1[Mês],L$3)/100,"")</f>
        <v>3.7996728917880046E-3</v>
      </c>
      <c r="M31" s="36">
        <f ca="1">IFERROR(AVERAGEIFS(INDIRECT("Tabela1["&amp;$B31&amp;"]"),Tabela1[Turno],$D31,Tabela1[Mês],M$3)/100,"")</f>
        <v>8.4333465756653361E-3</v>
      </c>
      <c r="N31" s="36">
        <f ca="1">IFERROR(AVERAGEIFS(INDIRECT("Tabela1["&amp;$B31&amp;"]"),Tabela1[Turno],$D31,Tabela1[Mês],N$3)/100,"")</f>
        <v>1.0935206639491784E-2</v>
      </c>
      <c r="O31" s="36" t="str">
        <f ca="1">IFERROR(AVERAGEIFS(INDIRECT("Tabela1["&amp;$B31&amp;"]"),Tabela1[Turno],$D31,Tabela1[Mês],O$3)/100,"")</f>
        <v/>
      </c>
      <c r="P31" s="41" t="str">
        <f ca="1">IFERROR(AVERAGEIFS(INDIRECT("Tabela1["&amp;$B31&amp;"]"),Tabela1[Turno],$D31,Tabela1[Mês],P$3)/100,"")</f>
        <v/>
      </c>
      <c r="Q31" s="62"/>
      <c r="R31" s="35">
        <f ca="1">IFERROR(AVERAGEIFS(INDIRECT("Tabela1["&amp;$B31&amp;"]"),Tabela1[Turno],$D31,Tabela1[Data Corrigida],R$3)/100,"")</f>
        <v>1.4294964294964296E-2</v>
      </c>
      <c r="S31" s="36">
        <f ca="1">IFERROR(AVERAGEIFS(INDIRECT("Tabela1["&amp;$B31&amp;"]"),Tabela1[Turno],$D31,Tabela1[Data Corrigida],S$3)/100,"")</f>
        <v>2.8735632183908046E-3</v>
      </c>
      <c r="T31" s="36">
        <f ca="1">IFERROR(AVERAGEIFS(INDIRECT("Tabela1["&amp;$B31&amp;"]"),Tabela1[Turno],$D31,Tabela1[Data Corrigida],T$3)/100,"")</f>
        <v>1.8304430737259268E-2</v>
      </c>
      <c r="U31" s="36">
        <f ca="1">IFERROR(AVERAGEIFS(INDIRECT("Tabela1["&amp;$B31&amp;"]"),Tabela1[Turno],$D31,Tabela1[Data Corrigida],U$3)/100,"")</f>
        <v>9.8094865270437794E-3</v>
      </c>
      <c r="V31" s="36">
        <f ca="1">IFERROR(AVERAGEIFS(INDIRECT("Tabela1["&amp;$B31&amp;"]"),Tabela1[Turno],$D31,Tabela1[Data Corrigida],V$3)/100,"")</f>
        <v>8.7752826883261657E-3</v>
      </c>
      <c r="W31" s="36">
        <f ca="1">IFERROR(AVERAGEIFS(INDIRECT("Tabela1["&amp;$B31&amp;"]"),Tabela1[Turno],$D31,Tabela1[Data Corrigida],W$3)/100,"")</f>
        <v>1.1339385252428731E-2</v>
      </c>
      <c r="X31" s="36">
        <f ca="1">IFERROR(AVERAGEIFS(INDIRECT("Tabela1["&amp;$B31&amp;"]"),Tabela1[Turno],$D31,Tabela1[Data Corrigida],X$3)/100,"")</f>
        <v>1.1149333758029411E-2</v>
      </c>
      <c r="Y31" s="36" t="str">
        <f ca="1">IFERROR(AVERAGEIFS(INDIRECT("Tabela1["&amp;$B31&amp;"]"),Tabela1[Turno],$D31,Tabela1[Data Corrigida],Y$3)/100,"")</f>
        <v/>
      </c>
      <c r="Z31" s="36" t="str">
        <f ca="1">IFERROR(AVERAGEIFS(INDIRECT("Tabela1["&amp;$B31&amp;"]"),Tabela1[Turno],$D31,Tabela1[Data Corrigida],Z$3)/100,"")</f>
        <v/>
      </c>
      <c r="AA31" s="36" t="str">
        <f ca="1">IFERROR(AVERAGEIFS(INDIRECT("Tabela1["&amp;$B31&amp;"]"),Tabela1[Turno],$D31,Tabela1[Data Corrigida],AA$3)/100,"")</f>
        <v/>
      </c>
      <c r="AB31" s="36" t="str">
        <f ca="1">IFERROR(AVERAGEIFS(INDIRECT("Tabela1["&amp;$B31&amp;"]"),Tabela1[Turno],$D31,Tabela1[Data Corrigida],AB$3)/100,"")</f>
        <v/>
      </c>
      <c r="AC31" s="36" t="str">
        <f ca="1">IFERROR(AVERAGEIFS(INDIRECT("Tabela1["&amp;$B31&amp;"]"),Tabela1[Turno],$D31,Tabela1[Data Corrigida],AC$3)/100,"")</f>
        <v/>
      </c>
      <c r="AD31" s="36" t="str">
        <f ca="1">IFERROR(AVERAGEIFS(INDIRECT("Tabela1["&amp;$B31&amp;"]"),Tabela1[Turno],$D31,Tabela1[Data Corrigida],AD$3)/100,"")</f>
        <v/>
      </c>
      <c r="AE31" s="36" t="str">
        <f ca="1">IFERROR(AVERAGEIFS(INDIRECT("Tabela1["&amp;$B31&amp;"]"),Tabela1[Turno],$D31,Tabela1[Data Corrigida],AE$3)/100,"")</f>
        <v/>
      </c>
      <c r="AF31" s="36" t="str">
        <f ca="1">IFERROR(AVERAGEIFS(INDIRECT("Tabela1["&amp;$B31&amp;"]"),Tabela1[Turno],$D31,Tabela1[Data Corrigida],AF$3)/100,"")</f>
        <v/>
      </c>
      <c r="AG31" s="36" t="str">
        <f ca="1">IFERROR(AVERAGEIFS(INDIRECT("Tabela1["&amp;$B31&amp;"]"),Tabela1[Turno],$D31,Tabela1[Data Corrigida],AG$3)/100,"")</f>
        <v/>
      </c>
      <c r="AH31" s="36" t="str">
        <f ca="1">IFERROR(AVERAGEIFS(INDIRECT("Tabela1["&amp;$B31&amp;"]"),Tabela1[Turno],$D31,Tabela1[Data Corrigida],AH$3)/100,"")</f>
        <v/>
      </c>
      <c r="AI31" s="36" t="str">
        <f ca="1">IFERROR(AVERAGEIFS(INDIRECT("Tabela1["&amp;$B31&amp;"]"),Tabela1[Turno],$D31,Tabela1[Data Corrigida],AI$3)/100,"")</f>
        <v/>
      </c>
      <c r="AJ31" s="36" t="str">
        <f ca="1">IFERROR(AVERAGEIFS(INDIRECT("Tabela1["&amp;$B31&amp;"]"),Tabela1[Turno],$D31,Tabela1[Data Corrigida],AJ$3)/100,"")</f>
        <v/>
      </c>
      <c r="AK31" s="36" t="str">
        <f ca="1">IFERROR(AVERAGEIFS(INDIRECT("Tabela1["&amp;$B31&amp;"]"),Tabela1[Turno],$D31,Tabela1[Data Corrigida],AK$3)/100,"")</f>
        <v/>
      </c>
      <c r="AL31" s="36" t="str">
        <f ca="1">IFERROR(AVERAGEIFS(INDIRECT("Tabela1["&amp;$B31&amp;"]"),Tabela1[Turno],$D31,Tabela1[Data Corrigida],AL$3)/100,"")</f>
        <v/>
      </c>
      <c r="AM31" s="36" t="str">
        <f ca="1">IFERROR(AVERAGEIFS(INDIRECT("Tabela1["&amp;$B31&amp;"]"),Tabela1[Turno],$D31,Tabela1[Data Corrigida],AM$3)/100,"")</f>
        <v/>
      </c>
    </row>
    <row r="32" spans="1:39" ht="15" customHeight="1" thickBot="1" x14ac:dyDescent="0.35">
      <c r="A32" s="50" t="str">
        <f>VLOOKUP(Tabela2[[#This Row],[Item 1]],Apoio!$A$2:$B$41,2,0)</f>
        <v>Eviscer</v>
      </c>
      <c r="B32" s="9" t="str">
        <f t="shared" si="2"/>
        <v>% Contaminação Após Extratora</v>
      </c>
      <c r="C32" s="60"/>
      <c r="D32" s="28" t="s">
        <v>5</v>
      </c>
      <c r="E32" s="45">
        <f ca="1">IFERROR(AVERAGEIFS(INDIRECT("Tabela1["&amp;$B32&amp;"]"),Tabela1[Mês],E$3)/100,"")</f>
        <v>1.6150000000000001E-2</v>
      </c>
      <c r="F32" s="45">
        <f ca="1">IFERROR(AVERAGEIFS(INDIRECT("Tabela1["&amp;$B32&amp;"]"),Tabela1[Mês],F$3)/100,"")</f>
        <v>2.8000000000000004E-3</v>
      </c>
      <c r="G32" s="45">
        <f ca="1">IFERROR(AVERAGEIFS(INDIRECT("Tabela1["&amp;$B32&amp;"]"),Tabela1[Mês],G$3)/100,"")</f>
        <v>5.5000000000000003E-4</v>
      </c>
      <c r="H32" s="45">
        <f ca="1">IFERROR(AVERAGEIFS(INDIRECT("Tabela1["&amp;$B32&amp;"]"),Tabela1[Mês],H$3)/100,"")</f>
        <v>2.0000000000000001E-4</v>
      </c>
      <c r="I32" s="45">
        <f ca="1">IFERROR(AVERAGEIFS(INDIRECT("Tabela1["&amp;$B32&amp;"]"),Tabela1[Mês],I$3)/100,"")</f>
        <v>5.6000000000000008E-3</v>
      </c>
      <c r="J32" s="45">
        <f ca="1">IFERROR(AVERAGEIFS(INDIRECT("Tabela1["&amp;$B32&amp;"]"),Tabela1[Mês],J$3)/100,"")</f>
        <v>5.3E-3</v>
      </c>
      <c r="K32" s="45">
        <f ca="1">IFERROR(AVERAGEIFS(INDIRECT("Tabela1["&amp;$B32&amp;"]"),Tabela1[Mês],K$3)/100,"")</f>
        <v>1.2492410109437175E-2</v>
      </c>
      <c r="L32" s="45">
        <f ca="1">IFERROR(AVERAGEIFS(INDIRECT("Tabela1["&amp;$B32&amp;"]"),Tabela1[Mês],L$3)/100,"")</f>
        <v>8.2216123055519254E-3</v>
      </c>
      <c r="M32" s="45">
        <f ca="1">IFERROR(AVERAGEIFS(INDIRECT("Tabela1["&amp;$B32&amp;"]"),Tabela1[Mês],M$3)/100,"")</f>
        <v>1.0050023494336481E-2</v>
      </c>
      <c r="N32" s="45">
        <f ca="1">IFERROR(AVERAGEIFS(INDIRECT("Tabela1["&amp;$B32&amp;"]"),Tabela1[Mês],N$3)/100,"")</f>
        <v>1.091968914712663E-2</v>
      </c>
      <c r="O32" s="45" t="str">
        <f ca="1">IFERROR(AVERAGEIFS(INDIRECT("Tabela1["&amp;$B32&amp;"]"),Tabela1[Mês],O$3)/100,"")</f>
        <v/>
      </c>
      <c r="P32" s="46" t="str">
        <f ca="1">IFERROR(AVERAGEIFS(INDIRECT("Tabela1["&amp;$B32&amp;"]"),Tabela1[Mês],P$3)/100,"")</f>
        <v/>
      </c>
      <c r="Q32" s="63"/>
      <c r="R32" s="37">
        <f ca="1">IFERROR(AVERAGEIFS(INDIRECT("Tabela1["&amp;$B32&amp;"]"),Tabela1[Data Corrigida],R$3)/100,"")</f>
        <v>8.1826788348527482E-3</v>
      </c>
      <c r="S32" s="38">
        <f ca="1">IFERROR(AVERAGEIFS(INDIRECT("Tabela1["&amp;$B32&amp;"]"),Tabela1[Data Corrigida],S$3)/100,"")</f>
        <v>7.5602319126961718E-3</v>
      </c>
      <c r="T32" s="38">
        <f ca="1">IFERROR(AVERAGEIFS(INDIRECT("Tabela1["&amp;$B32&amp;"]"),Tabela1[Data Corrigida],T$3)/100,"")</f>
        <v>1.6933451258072656E-2</v>
      </c>
      <c r="U32" s="38">
        <f ca="1">IFERROR(AVERAGEIFS(INDIRECT("Tabela1["&amp;$B32&amp;"]"),Tabela1[Data Corrigida],U$3)/100,"")</f>
        <v>1.1444754572154886E-2</v>
      </c>
      <c r="V32" s="38">
        <f ca="1">IFERROR(AVERAGEIFS(INDIRECT("Tabela1["&amp;$B32&amp;"]"),Tabela1[Data Corrigida],V$3)/100,"")</f>
        <v>9.7311433578966804E-3</v>
      </c>
      <c r="W32" s="38">
        <f ca="1">IFERROR(AVERAGEIFS(INDIRECT("Tabela1["&amp;$B32&amp;"]"),Tabela1[Data Corrigida],W$3)/100,"")</f>
        <v>1.0490130987025397E-2</v>
      </c>
      <c r="X32" s="38">
        <f ca="1">IFERROR(AVERAGEIFS(INDIRECT("Tabela1["&amp;$B32&amp;"]"),Tabela1[Data Corrigida],X$3)/100,"")</f>
        <v>1.1994302161716089E-2</v>
      </c>
      <c r="Y32" s="38">
        <f ca="1">IFERROR(AVERAGEIFS(INDIRECT("Tabela1["&amp;$B32&amp;"]"),Tabela1[Data Corrigida],Y$3)/100,"")</f>
        <v>1.4922737306843268E-2</v>
      </c>
      <c r="Z32" s="38" t="str">
        <f ca="1">IFERROR(AVERAGEIFS(INDIRECT("Tabela1["&amp;$B32&amp;"]"),Tabela1[Data Corrigida],Z$3)/100,"")</f>
        <v/>
      </c>
      <c r="AA32" s="38" t="str">
        <f ca="1">IFERROR(AVERAGEIFS(INDIRECT("Tabela1["&amp;$B32&amp;"]"),Tabela1[Data Corrigida],AA$3)/100,"")</f>
        <v/>
      </c>
      <c r="AB32" s="38" t="str">
        <f ca="1">IFERROR(AVERAGEIFS(INDIRECT("Tabela1["&amp;$B32&amp;"]"),Tabela1[Data Corrigida],AB$3)/100,"")</f>
        <v/>
      </c>
      <c r="AC32" s="38" t="str">
        <f ca="1">IFERROR(AVERAGEIFS(INDIRECT("Tabela1["&amp;$B32&amp;"]"),Tabela1[Data Corrigida],AC$3)/100,"")</f>
        <v/>
      </c>
      <c r="AD32" s="38" t="str">
        <f ca="1">IFERROR(AVERAGEIFS(INDIRECT("Tabela1["&amp;$B32&amp;"]"),Tabela1[Data Corrigida],AD$3)/100,"")</f>
        <v/>
      </c>
      <c r="AE32" s="38" t="str">
        <f ca="1">IFERROR(AVERAGEIFS(INDIRECT("Tabela1["&amp;$B32&amp;"]"),Tabela1[Data Corrigida],AE$3)/100,"")</f>
        <v/>
      </c>
      <c r="AF32" s="38" t="str">
        <f ca="1">IFERROR(AVERAGEIFS(INDIRECT("Tabela1["&amp;$B32&amp;"]"),Tabela1[Data Corrigida],AF$3)/100,"")</f>
        <v/>
      </c>
      <c r="AG32" s="38" t="str">
        <f ca="1">IFERROR(AVERAGEIFS(INDIRECT("Tabela1["&amp;$B32&amp;"]"),Tabela1[Data Corrigida],AG$3)/100,"")</f>
        <v/>
      </c>
      <c r="AH32" s="38" t="str">
        <f ca="1">IFERROR(AVERAGEIFS(INDIRECT("Tabela1["&amp;$B32&amp;"]"),Tabela1[Data Corrigida],AH$3)/100,"")</f>
        <v/>
      </c>
      <c r="AI32" s="38" t="str">
        <f ca="1">IFERROR(AVERAGEIFS(INDIRECT("Tabela1["&amp;$B32&amp;"]"),Tabela1[Data Corrigida],AI$3)/100,"")</f>
        <v/>
      </c>
      <c r="AJ32" s="38" t="str">
        <f ca="1">IFERROR(AVERAGEIFS(INDIRECT("Tabela1["&amp;$B32&amp;"]"),Tabela1[Data Corrigida],AJ$3)/100,"")</f>
        <v/>
      </c>
      <c r="AK32" s="38" t="str">
        <f ca="1">IFERROR(AVERAGEIFS(INDIRECT("Tabela1["&amp;$B32&amp;"]"),Tabela1[Data Corrigida],AK$3)/100,"")</f>
        <v/>
      </c>
      <c r="AL32" s="38" t="str">
        <f ca="1">IFERROR(AVERAGEIFS(INDIRECT("Tabela1["&amp;$B32&amp;"]"),Tabela1[Data Corrigida],AL$3)/100,"")</f>
        <v/>
      </c>
      <c r="AM32" s="38" t="str">
        <f ca="1">IFERROR(AVERAGEIFS(INDIRECT("Tabela1["&amp;$B32&amp;"]"),Tabela1[Data Corrigida],AM$3)/100,"")</f>
        <v/>
      </c>
    </row>
    <row r="33" spans="1:39" ht="15" customHeight="1" thickTop="1" x14ac:dyDescent="0.3">
      <c r="A33" s="50" t="str">
        <f>VLOOKUP(Tabela2[[#This Row],[Item 1]],Apoio!$A$2:$B$41,2,0)</f>
        <v>Eviscer</v>
      </c>
      <c r="B33" s="9" t="str">
        <f t="shared" si="2"/>
        <v>% Corte no Reto</v>
      </c>
      <c r="C33" s="58" t="str">
        <f>'BD - 022 Evisceração'!AH1</f>
        <v>% Corte no Reto</v>
      </c>
      <c r="D33" s="26" t="s">
        <v>21</v>
      </c>
      <c r="E33" s="34">
        <f ca="1">IFERROR(AVERAGEIFS(INDIRECT("Tabela1["&amp;$B33&amp;"]"),Tabela1[Turno],$D33,Tabela1[Mês],E$3)/100,"")</f>
        <v>7.17E-2</v>
      </c>
      <c r="F33" s="34">
        <f ca="1">IFERROR(AVERAGEIFS(INDIRECT("Tabela1["&amp;$B33&amp;"]"),Tabela1[Turno],$D33,Tabela1[Mês],F$3)/100,"")</f>
        <v>4.2699999999999995E-2</v>
      </c>
      <c r="G33" s="34">
        <f ca="1">IFERROR(AVERAGEIFS(INDIRECT("Tabela1["&amp;$B33&amp;"]"),Tabela1[Turno],$D33,Tabela1[Mês],G$3)/100,"")</f>
        <v>2.5699999999999997E-2</v>
      </c>
      <c r="H33" s="34">
        <f ca="1">IFERROR(AVERAGEIFS(INDIRECT("Tabela1["&amp;$B33&amp;"]"),Tabela1[Turno],$D33,Tabela1[Mês],H$3)/100,"")</f>
        <v>2.3199999999999998E-2</v>
      </c>
      <c r="I33" s="34">
        <f ca="1">IFERROR(AVERAGEIFS(INDIRECT("Tabela1["&amp;$B33&amp;"]"),Tabela1[Turno],$D33,Tabela1[Mês],I$3)/100,"")</f>
        <v>8.1900000000000001E-2</v>
      </c>
      <c r="J33" s="34">
        <f ca="1">IFERROR(AVERAGEIFS(INDIRECT("Tabela1["&amp;$B33&amp;"]"),Tabela1[Turno],$D33,Tabela1[Mês],J$3)/100,"")</f>
        <v>7.0199999999999999E-2</v>
      </c>
      <c r="K33" s="34">
        <f ca="1">IFERROR(AVERAGEIFS(INDIRECT("Tabela1["&amp;$B33&amp;"]"),Tabela1[Turno],$D33,Tabela1[Mês],K$3)/100,"")</f>
        <v>5.4877656541582234E-2</v>
      </c>
      <c r="L33" s="34">
        <f ca="1">IFERROR(AVERAGEIFS(INDIRECT("Tabela1["&amp;$B33&amp;"]"),Tabela1[Turno],$D33,Tabela1[Mês],L$3)/100,"")</f>
        <v>4.0697033900596417E-2</v>
      </c>
      <c r="M33" s="34">
        <f ca="1">IFERROR(AVERAGEIFS(INDIRECT("Tabela1["&amp;$B33&amp;"]"),Tabela1[Turno],$D33,Tabela1[Mês],M$3)/100,"")</f>
        <v>4.0589337497278243E-2</v>
      </c>
      <c r="N33" s="34">
        <f ca="1">IFERROR(AVERAGEIFS(INDIRECT("Tabela1["&amp;$B33&amp;"]"),Tabela1[Turno],$D33,Tabela1[Mês],N$3)/100,"")</f>
        <v>4.9106548504763314E-2</v>
      </c>
      <c r="O33" s="34" t="str">
        <f ca="1">IFERROR(AVERAGEIFS(INDIRECT("Tabela1["&amp;$B33&amp;"]"),Tabela1[Turno],$D33,Tabela1[Mês],O$3)/100,"")</f>
        <v/>
      </c>
      <c r="P33" s="44" t="str">
        <f ca="1">IFERROR(AVERAGEIFS(INDIRECT("Tabela1["&amp;$B33&amp;"]"),Tabela1[Turno],$D33,Tabela1[Mês],P$3)/100,"")</f>
        <v/>
      </c>
      <c r="Q33" s="61">
        <v>0.02</v>
      </c>
      <c r="R33" s="39">
        <f ca="1">IFERROR(AVERAGEIFS(INDIRECT("Tabela1["&amp;$B33&amp;"]"),Tabela1[Turno],$D33,Tabela1[Data Corrigida],R$3)/100,"")</f>
        <v>3.5714285714285712E-2</v>
      </c>
      <c r="S33" s="40">
        <f ca="1">IFERROR(AVERAGEIFS(INDIRECT("Tabela1["&amp;$B33&amp;"]"),Tabela1[Turno],$D33,Tabela1[Data Corrigida],S$3)/100,"")</f>
        <v>5.5170498951092099E-2</v>
      </c>
      <c r="T33" s="40">
        <f ca="1">IFERROR(AVERAGEIFS(INDIRECT("Tabela1["&amp;$B33&amp;"]"),Tabela1[Turno],$D33,Tabela1[Data Corrigida],T$3)/100,"")</f>
        <v>3.2051282051282048E-2</v>
      </c>
      <c r="U33" s="40">
        <f ca="1">IFERROR(AVERAGEIFS(INDIRECT("Tabela1["&amp;$B33&amp;"]"),Tabela1[Turno],$D33,Tabela1[Data Corrigida],U$3)/100,"")</f>
        <v>4.5777591973244151E-2</v>
      </c>
      <c r="V33" s="40">
        <f ca="1">IFERROR(AVERAGEIFS(INDIRECT("Tabela1["&amp;$B33&amp;"]"),Tabela1[Turno],$D33,Tabela1[Data Corrigida],V$3)/100,"")</f>
        <v>4.5514843636064485E-2</v>
      </c>
      <c r="W33" s="40">
        <f ca="1">IFERROR(AVERAGEIFS(INDIRECT("Tabela1["&amp;$B33&amp;"]"),Tabela1[Turno],$D33,Tabela1[Data Corrigida],W$3)/100,"")</f>
        <v>5.5526538678712586E-2</v>
      </c>
      <c r="X33" s="40">
        <f ca="1">IFERROR(AVERAGEIFS(INDIRECT("Tabela1["&amp;$B33&amp;"]"),Tabela1[Turno],$D33,Tabela1[Data Corrigida],X$3)/100,"")</f>
        <v>4.8959318826868492E-2</v>
      </c>
      <c r="Y33" s="40">
        <f ca="1">IFERROR(AVERAGEIFS(INDIRECT("Tabela1["&amp;$B33&amp;"]"),Tabela1[Turno],$D33,Tabela1[Data Corrigida],Y$3)/100,"")</f>
        <v>6.1346578366445928E-2</v>
      </c>
      <c r="Z33" s="40" t="str">
        <f ca="1">IFERROR(AVERAGEIFS(INDIRECT("Tabela1["&amp;$B33&amp;"]"),Tabela1[Turno],$D33,Tabela1[Data Corrigida],Z$3)/100,"")</f>
        <v/>
      </c>
      <c r="AA33" s="40" t="str">
        <f ca="1">IFERROR(AVERAGEIFS(INDIRECT("Tabela1["&amp;$B33&amp;"]"),Tabela1[Turno],$D33,Tabela1[Data Corrigida],AA$3)/100,"")</f>
        <v/>
      </c>
      <c r="AB33" s="40" t="str">
        <f ca="1">IFERROR(AVERAGEIFS(INDIRECT("Tabela1["&amp;$B33&amp;"]"),Tabela1[Turno],$D33,Tabela1[Data Corrigida],AB$3)/100,"")</f>
        <v/>
      </c>
      <c r="AC33" s="40" t="str">
        <f ca="1">IFERROR(AVERAGEIFS(INDIRECT("Tabela1["&amp;$B33&amp;"]"),Tabela1[Turno],$D33,Tabela1[Data Corrigida],AC$3)/100,"")</f>
        <v/>
      </c>
      <c r="AD33" s="40" t="str">
        <f ca="1">IFERROR(AVERAGEIFS(INDIRECT("Tabela1["&amp;$B33&amp;"]"),Tabela1[Turno],$D33,Tabela1[Data Corrigida],AD$3)/100,"")</f>
        <v/>
      </c>
      <c r="AE33" s="40" t="str">
        <f ca="1">IFERROR(AVERAGEIFS(INDIRECT("Tabela1["&amp;$B33&amp;"]"),Tabela1[Turno],$D33,Tabela1[Data Corrigida],AE$3)/100,"")</f>
        <v/>
      </c>
      <c r="AF33" s="40" t="str">
        <f ca="1">IFERROR(AVERAGEIFS(INDIRECT("Tabela1["&amp;$B33&amp;"]"),Tabela1[Turno],$D33,Tabela1[Data Corrigida],AF$3)/100,"")</f>
        <v/>
      </c>
      <c r="AG33" s="40" t="str">
        <f ca="1">IFERROR(AVERAGEIFS(INDIRECT("Tabela1["&amp;$B33&amp;"]"),Tabela1[Turno],$D33,Tabela1[Data Corrigida],AG$3)/100,"")</f>
        <v/>
      </c>
      <c r="AH33" s="40" t="str">
        <f ca="1">IFERROR(AVERAGEIFS(INDIRECT("Tabela1["&amp;$B33&amp;"]"),Tabela1[Turno],$D33,Tabela1[Data Corrigida],AH$3)/100,"")</f>
        <v/>
      </c>
      <c r="AI33" s="40" t="str">
        <f ca="1">IFERROR(AVERAGEIFS(INDIRECT("Tabela1["&amp;$B33&amp;"]"),Tabela1[Turno],$D33,Tabela1[Data Corrigida],AI$3)/100,"")</f>
        <v/>
      </c>
      <c r="AJ33" s="40" t="str">
        <f ca="1">IFERROR(AVERAGEIFS(INDIRECT("Tabela1["&amp;$B33&amp;"]"),Tabela1[Turno],$D33,Tabela1[Data Corrigida],AJ$3)/100,"")</f>
        <v/>
      </c>
      <c r="AK33" s="40" t="str">
        <f ca="1">IFERROR(AVERAGEIFS(INDIRECT("Tabela1["&amp;$B33&amp;"]"),Tabela1[Turno],$D33,Tabela1[Data Corrigida],AK$3)/100,"")</f>
        <v/>
      </c>
      <c r="AL33" s="40" t="str">
        <f ca="1">IFERROR(AVERAGEIFS(INDIRECT("Tabela1["&amp;$B33&amp;"]"),Tabela1[Turno],$D33,Tabela1[Data Corrigida],AL$3)/100,"")</f>
        <v/>
      </c>
      <c r="AM33" s="40" t="str">
        <f ca="1">IFERROR(AVERAGEIFS(INDIRECT("Tabela1["&amp;$B33&amp;"]"),Tabela1[Turno],$D33,Tabela1[Data Corrigida],AM$3)/100,"")</f>
        <v/>
      </c>
    </row>
    <row r="34" spans="1:39" ht="15" customHeight="1" x14ac:dyDescent="0.3">
      <c r="A34" s="50" t="str">
        <f>VLOOKUP(Tabela2[[#This Row],[Item 1]],Apoio!$A$2:$B$41,2,0)</f>
        <v>Eviscer</v>
      </c>
      <c r="B34" s="9" t="str">
        <f t="shared" si="2"/>
        <v>% Corte no Reto</v>
      </c>
      <c r="C34" s="59"/>
      <c r="D34" s="27" t="s">
        <v>33</v>
      </c>
      <c r="E34" s="36">
        <f ca="1">IFERROR(AVERAGEIFS(INDIRECT("Tabela1["&amp;$B34&amp;"]"),Tabela1[Turno],$D34,Tabela1[Mês],E$3)/100,"")</f>
        <v>4.5400000000000003E-2</v>
      </c>
      <c r="F34" s="36">
        <f ca="1">IFERROR(AVERAGEIFS(INDIRECT("Tabela1["&amp;$B34&amp;"]"),Tabela1[Turno],$D34,Tabela1[Mês],F$3)/100,"")</f>
        <v>3.1E-2</v>
      </c>
      <c r="G34" s="36">
        <f ca="1">IFERROR(AVERAGEIFS(INDIRECT("Tabela1["&amp;$B34&amp;"]"),Tabela1[Turno],$D34,Tabela1[Mês],G$3)/100,"")</f>
        <v>3.3500000000000002E-2</v>
      </c>
      <c r="H34" s="36" t="str">
        <f ca="1">IFERROR(AVERAGEIFS(INDIRECT("Tabela1["&amp;$B34&amp;"]"),Tabela1[Turno],$D34,Tabela1[Mês],H$3)/100,"")</f>
        <v/>
      </c>
      <c r="I34" s="36">
        <f ca="1">IFERROR(AVERAGEIFS(INDIRECT("Tabela1["&amp;$B34&amp;"]"),Tabela1[Turno],$D34,Tabela1[Mês],I$3)/100,"")</f>
        <v>5.6600000000000004E-2</v>
      </c>
      <c r="J34" s="36">
        <f ca="1">IFERROR(AVERAGEIFS(INDIRECT("Tabela1["&amp;$B34&amp;"]"),Tabela1[Turno],$D34,Tabela1[Mês],J$3)/100,"")</f>
        <v>5.6399999999999999E-2</v>
      </c>
      <c r="K34" s="36">
        <f ca="1">IFERROR(AVERAGEIFS(INDIRECT("Tabela1["&amp;$B34&amp;"]"),Tabela1[Turno],$D34,Tabela1[Mês],K$3)/100,"")</f>
        <v>5.0322509533032606E-2</v>
      </c>
      <c r="L34" s="36">
        <f ca="1">IFERROR(AVERAGEIFS(INDIRECT("Tabela1["&amp;$B34&amp;"]"),Tabela1[Turno],$D34,Tabela1[Mês],L$3)/100,"")</f>
        <v>2.1610927477446706E-2</v>
      </c>
      <c r="M34" s="36">
        <f ca="1">IFERROR(AVERAGEIFS(INDIRECT("Tabela1["&amp;$B34&amp;"]"),Tabela1[Turno],$D34,Tabela1[Mês],M$3)/100,"")</f>
        <v>1.5577655859850255E-2</v>
      </c>
      <c r="N34" s="36">
        <f ca="1">IFERROR(AVERAGEIFS(INDIRECT("Tabela1["&amp;$B34&amp;"]"),Tabela1[Turno],$D34,Tabela1[Mês],N$3)/100,"")</f>
        <v>1.3046557461618076E-2</v>
      </c>
      <c r="O34" s="36" t="str">
        <f ca="1">IFERROR(AVERAGEIFS(INDIRECT("Tabela1["&amp;$B34&amp;"]"),Tabela1[Turno],$D34,Tabela1[Mês],O$3)/100,"")</f>
        <v/>
      </c>
      <c r="P34" s="41" t="str">
        <f ca="1">IFERROR(AVERAGEIFS(INDIRECT("Tabela1["&amp;$B34&amp;"]"),Tabela1[Turno],$D34,Tabela1[Mês],P$3)/100,"")</f>
        <v/>
      </c>
      <c r="Q34" s="62"/>
      <c r="R34" s="35">
        <f ca="1">IFERROR(AVERAGEIFS(INDIRECT("Tabela1["&amp;$B34&amp;"]"),Tabela1[Turno],$D34,Tabela1[Data Corrigida],R$3)/100,"")</f>
        <v>1.2402412402412404E-2</v>
      </c>
      <c r="S34" s="36">
        <f ca="1">IFERROR(AVERAGEIFS(INDIRECT("Tabela1["&amp;$B34&amp;"]"),Tabela1[Turno],$D34,Tabela1[Data Corrigida],S$3)/100,"")</f>
        <v>1.2024665323016145E-2</v>
      </c>
      <c r="T34" s="36">
        <f ca="1">IFERROR(AVERAGEIFS(INDIRECT("Tabela1["&amp;$B34&amp;"]"),Tabela1[Turno],$D34,Tabela1[Data Corrigida],T$3)/100,"")</f>
        <v>1.6300396124529003E-2</v>
      </c>
      <c r="U34" s="36">
        <f ca="1">IFERROR(AVERAGEIFS(INDIRECT("Tabela1["&amp;$B34&amp;"]"),Tabela1[Turno],$D34,Tabela1[Data Corrigida],U$3)/100,"")</f>
        <v>1.2781366216480721E-2</v>
      </c>
      <c r="V34" s="36">
        <f ca="1">IFERROR(AVERAGEIFS(INDIRECT("Tabela1["&amp;$B34&amp;"]"),Tabela1[Turno],$D34,Tabela1[Data Corrigida],V$3)/100,"")</f>
        <v>8.7752826883261657E-3</v>
      </c>
      <c r="W34" s="36">
        <f ca="1">IFERROR(AVERAGEIFS(INDIRECT("Tabela1["&amp;$B34&amp;"]"),Tabela1[Turno],$D34,Tabela1[Data Corrigida],W$3)/100,"")</f>
        <v>1.8044274566013697E-2</v>
      </c>
      <c r="X34" s="36">
        <f ca="1">IFERROR(AVERAGEIFS(INDIRECT("Tabela1["&amp;$B34&amp;"]"),Tabela1[Turno],$D34,Tabela1[Data Corrigida],X$3)/100,"")</f>
        <v>1.0997504910548388E-2</v>
      </c>
      <c r="Y34" s="36" t="str">
        <f ca="1">IFERROR(AVERAGEIFS(INDIRECT("Tabela1["&amp;$B34&amp;"]"),Tabela1[Turno],$D34,Tabela1[Data Corrigida],Y$3)/100,"")</f>
        <v/>
      </c>
      <c r="Z34" s="36" t="str">
        <f ca="1">IFERROR(AVERAGEIFS(INDIRECT("Tabela1["&amp;$B34&amp;"]"),Tabela1[Turno],$D34,Tabela1[Data Corrigida],Z$3)/100,"")</f>
        <v/>
      </c>
      <c r="AA34" s="36" t="str">
        <f ca="1">IFERROR(AVERAGEIFS(INDIRECT("Tabela1["&amp;$B34&amp;"]"),Tabela1[Turno],$D34,Tabela1[Data Corrigida],AA$3)/100,"")</f>
        <v/>
      </c>
      <c r="AB34" s="36" t="str">
        <f ca="1">IFERROR(AVERAGEIFS(INDIRECT("Tabela1["&amp;$B34&amp;"]"),Tabela1[Turno],$D34,Tabela1[Data Corrigida],AB$3)/100,"")</f>
        <v/>
      </c>
      <c r="AC34" s="36" t="str">
        <f ca="1">IFERROR(AVERAGEIFS(INDIRECT("Tabela1["&amp;$B34&amp;"]"),Tabela1[Turno],$D34,Tabela1[Data Corrigida],AC$3)/100,"")</f>
        <v/>
      </c>
      <c r="AD34" s="36" t="str">
        <f ca="1">IFERROR(AVERAGEIFS(INDIRECT("Tabela1["&amp;$B34&amp;"]"),Tabela1[Turno],$D34,Tabela1[Data Corrigida],AD$3)/100,"")</f>
        <v/>
      </c>
      <c r="AE34" s="36" t="str">
        <f ca="1">IFERROR(AVERAGEIFS(INDIRECT("Tabela1["&amp;$B34&amp;"]"),Tabela1[Turno],$D34,Tabela1[Data Corrigida],AE$3)/100,"")</f>
        <v/>
      </c>
      <c r="AF34" s="36" t="str">
        <f ca="1">IFERROR(AVERAGEIFS(INDIRECT("Tabela1["&amp;$B34&amp;"]"),Tabela1[Turno],$D34,Tabela1[Data Corrigida],AF$3)/100,"")</f>
        <v/>
      </c>
      <c r="AG34" s="36" t="str">
        <f ca="1">IFERROR(AVERAGEIFS(INDIRECT("Tabela1["&amp;$B34&amp;"]"),Tabela1[Turno],$D34,Tabela1[Data Corrigida],AG$3)/100,"")</f>
        <v/>
      </c>
      <c r="AH34" s="36" t="str">
        <f ca="1">IFERROR(AVERAGEIFS(INDIRECT("Tabela1["&amp;$B34&amp;"]"),Tabela1[Turno],$D34,Tabela1[Data Corrigida],AH$3)/100,"")</f>
        <v/>
      </c>
      <c r="AI34" s="36" t="str">
        <f ca="1">IFERROR(AVERAGEIFS(INDIRECT("Tabela1["&amp;$B34&amp;"]"),Tabela1[Turno],$D34,Tabela1[Data Corrigida],AI$3)/100,"")</f>
        <v/>
      </c>
      <c r="AJ34" s="36" t="str">
        <f ca="1">IFERROR(AVERAGEIFS(INDIRECT("Tabela1["&amp;$B34&amp;"]"),Tabela1[Turno],$D34,Tabela1[Data Corrigida],AJ$3)/100,"")</f>
        <v/>
      </c>
      <c r="AK34" s="36" t="str">
        <f ca="1">IFERROR(AVERAGEIFS(INDIRECT("Tabela1["&amp;$B34&amp;"]"),Tabela1[Turno],$D34,Tabela1[Data Corrigida],AK$3)/100,"")</f>
        <v/>
      </c>
      <c r="AL34" s="36" t="str">
        <f ca="1">IFERROR(AVERAGEIFS(INDIRECT("Tabela1["&amp;$B34&amp;"]"),Tabela1[Turno],$D34,Tabela1[Data Corrigida],AL$3)/100,"")</f>
        <v/>
      </c>
      <c r="AM34" s="36" t="str">
        <f ca="1">IFERROR(AVERAGEIFS(INDIRECT("Tabela1["&amp;$B34&amp;"]"),Tabela1[Turno],$D34,Tabela1[Data Corrigida],AM$3)/100,"")</f>
        <v/>
      </c>
    </row>
    <row r="35" spans="1:39" ht="15" customHeight="1" thickBot="1" x14ac:dyDescent="0.35">
      <c r="A35" s="50" t="str">
        <f>VLOOKUP(Tabela2[[#This Row],[Item 1]],Apoio!$A$2:$B$41,2,0)</f>
        <v>Eviscer</v>
      </c>
      <c r="B35" s="9" t="str">
        <f t="shared" si="2"/>
        <v>% Corte no Reto</v>
      </c>
      <c r="C35" s="60"/>
      <c r="D35" s="28" t="s">
        <v>5</v>
      </c>
      <c r="E35" s="45">
        <f ca="1">IFERROR(AVERAGEIFS(INDIRECT("Tabela1["&amp;$B35&amp;"]"),Tabela1[Mês],E$3)/100,"")</f>
        <v>5.8550000000000005E-2</v>
      </c>
      <c r="F35" s="45">
        <f ca="1">IFERROR(AVERAGEIFS(INDIRECT("Tabela1["&amp;$B35&amp;"]"),Tabela1[Mês],F$3)/100,"")</f>
        <v>3.6849999999999994E-2</v>
      </c>
      <c r="G35" s="45">
        <f ca="1">IFERROR(AVERAGEIFS(INDIRECT("Tabela1["&amp;$B35&amp;"]"),Tabela1[Mês],G$3)/100,"")</f>
        <v>2.9600000000000001E-2</v>
      </c>
      <c r="H35" s="45">
        <f ca="1">IFERROR(AVERAGEIFS(INDIRECT("Tabela1["&amp;$B35&amp;"]"),Tabela1[Mês],H$3)/100,"")</f>
        <v>2.3199999999999998E-2</v>
      </c>
      <c r="I35" s="45">
        <f ca="1">IFERROR(AVERAGEIFS(INDIRECT("Tabela1["&amp;$B35&amp;"]"),Tabela1[Mês],I$3)/100,"")</f>
        <v>6.9249999999999992E-2</v>
      </c>
      <c r="J35" s="45">
        <f ca="1">IFERROR(AVERAGEIFS(INDIRECT("Tabela1["&amp;$B35&amp;"]"),Tabela1[Mês],J$3)/100,"")</f>
        <v>6.3299999999999995E-2</v>
      </c>
      <c r="K35" s="45">
        <f ca="1">IFERROR(AVERAGEIFS(INDIRECT("Tabela1["&amp;$B35&amp;"]"),Tabela1[Mês],K$3)/100,"")</f>
        <v>5.275192127092574E-2</v>
      </c>
      <c r="L35" s="45">
        <f ca="1">IFERROR(AVERAGEIFS(INDIRECT("Tabela1["&amp;$B35&amp;"]"),Tabela1[Mês],L$3)/100,"")</f>
        <v>3.2151016099186101E-2</v>
      </c>
      <c r="M35" s="45">
        <f ca="1">IFERROR(AVERAGEIFS(INDIRECT("Tabela1["&amp;$B35&amp;"]"),Tabela1[Mês],M$3)/100,"")</f>
        <v>2.9796625557840142E-2</v>
      </c>
      <c r="N35" s="45">
        <f ca="1">IFERROR(AVERAGEIFS(INDIRECT("Tabela1["&amp;$B35&amp;"]"),Tabela1[Mês],N$3)/100,"")</f>
        <v>3.3961352266642313E-2</v>
      </c>
      <c r="O35" s="45" t="str">
        <f ca="1">IFERROR(AVERAGEIFS(INDIRECT("Tabela1["&amp;$B35&amp;"]"),Tabela1[Mês],O$3)/100,"")</f>
        <v/>
      </c>
      <c r="P35" s="46" t="str">
        <f ca="1">IFERROR(AVERAGEIFS(INDIRECT("Tabela1["&amp;$B35&amp;"]"),Tabela1[Mês],P$3)/100,"")</f>
        <v/>
      </c>
      <c r="Q35" s="63"/>
      <c r="R35" s="42">
        <f ca="1">IFERROR(AVERAGEIFS(INDIRECT("Tabela1["&amp;$B35&amp;"]"),Tabela1[Data Corrigida],R$3)/100,"")</f>
        <v>2.5723482866340009E-2</v>
      </c>
      <c r="S35" s="43">
        <f ca="1">IFERROR(AVERAGEIFS(INDIRECT("Tabela1["&amp;$B35&amp;"]"),Tabela1[Data Corrigida],S$3)/100,"")</f>
        <v>3.6679427396202405E-2</v>
      </c>
      <c r="T35" s="43">
        <f ca="1">IFERROR(AVERAGEIFS(INDIRECT("Tabela1["&amp;$B35&amp;"]"),Tabela1[Data Corrigida],T$3)/100,"")</f>
        <v>2.0238117606217264E-2</v>
      </c>
      <c r="U35" s="43">
        <f ca="1">IFERROR(AVERAGEIFS(INDIRECT("Tabela1["&amp;$B35&amp;"]"),Tabela1[Data Corrigida],U$3)/100,"")</f>
        <v>3.1636352363202683E-2</v>
      </c>
      <c r="V35" s="43">
        <f ca="1">IFERROR(AVERAGEIFS(INDIRECT("Tabela1["&amp;$B35&amp;"]"),Tabela1[Data Corrigida],V$3)/100,"")</f>
        <v>2.9769317515605208E-2</v>
      </c>
      <c r="W35" s="43">
        <f ca="1">IFERROR(AVERAGEIFS(INDIRECT("Tabela1["&amp;$B35&amp;"]"),Tabela1[Data Corrigida],W$3)/100,"")</f>
        <v>3.9462711201841631E-2</v>
      </c>
      <c r="X35" s="43">
        <f ca="1">IFERROR(AVERAGEIFS(INDIRECT("Tabela1["&amp;$B35&amp;"]"),Tabela1[Data Corrigida],X$3)/100,"")</f>
        <v>3.2689970005588445E-2</v>
      </c>
      <c r="Y35" s="43">
        <f ca="1">IFERROR(AVERAGEIFS(INDIRECT("Tabela1["&amp;$B35&amp;"]"),Tabela1[Data Corrigida],Y$3)/100,"")</f>
        <v>6.1346578366445928E-2</v>
      </c>
      <c r="Z35" s="43" t="str">
        <f ca="1">IFERROR(AVERAGEIFS(INDIRECT("Tabela1["&amp;$B35&amp;"]"),Tabela1[Data Corrigida],Z$3)/100,"")</f>
        <v/>
      </c>
      <c r="AA35" s="43" t="str">
        <f ca="1">IFERROR(AVERAGEIFS(INDIRECT("Tabela1["&amp;$B35&amp;"]"),Tabela1[Data Corrigida],AA$3)/100,"")</f>
        <v/>
      </c>
      <c r="AB35" s="43" t="str">
        <f ca="1">IFERROR(AVERAGEIFS(INDIRECT("Tabela1["&amp;$B35&amp;"]"),Tabela1[Data Corrigida],AB$3)/100,"")</f>
        <v/>
      </c>
      <c r="AC35" s="43" t="str">
        <f ca="1">IFERROR(AVERAGEIFS(INDIRECT("Tabela1["&amp;$B35&amp;"]"),Tabela1[Data Corrigida],AC$3)/100,"")</f>
        <v/>
      </c>
      <c r="AD35" s="43" t="str">
        <f ca="1">IFERROR(AVERAGEIFS(INDIRECT("Tabela1["&amp;$B35&amp;"]"),Tabela1[Data Corrigida],AD$3)/100,"")</f>
        <v/>
      </c>
      <c r="AE35" s="43" t="str">
        <f ca="1">IFERROR(AVERAGEIFS(INDIRECT("Tabela1["&amp;$B35&amp;"]"),Tabela1[Data Corrigida],AE$3)/100,"")</f>
        <v/>
      </c>
      <c r="AF35" s="43" t="str">
        <f ca="1">IFERROR(AVERAGEIFS(INDIRECT("Tabela1["&amp;$B35&amp;"]"),Tabela1[Data Corrigida],AF$3)/100,"")</f>
        <v/>
      </c>
      <c r="AG35" s="43" t="str">
        <f ca="1">IFERROR(AVERAGEIFS(INDIRECT("Tabela1["&amp;$B35&amp;"]"),Tabela1[Data Corrigida],AG$3)/100,"")</f>
        <v/>
      </c>
      <c r="AH35" s="43" t="str">
        <f ca="1">IFERROR(AVERAGEIFS(INDIRECT("Tabela1["&amp;$B35&amp;"]"),Tabela1[Data Corrigida],AH$3)/100,"")</f>
        <v/>
      </c>
      <c r="AI35" s="43" t="str">
        <f ca="1">IFERROR(AVERAGEIFS(INDIRECT("Tabela1["&amp;$B35&amp;"]"),Tabela1[Data Corrigida],AI$3)/100,"")</f>
        <v/>
      </c>
      <c r="AJ35" s="43" t="str">
        <f ca="1">IFERROR(AVERAGEIFS(INDIRECT("Tabela1["&amp;$B35&amp;"]"),Tabela1[Data Corrigida],AJ$3)/100,"")</f>
        <v/>
      </c>
      <c r="AK35" s="43" t="str">
        <f ca="1">IFERROR(AVERAGEIFS(INDIRECT("Tabela1["&amp;$B35&amp;"]"),Tabela1[Data Corrigida],AK$3)/100,"")</f>
        <v/>
      </c>
      <c r="AL35" s="43" t="str">
        <f ca="1">IFERROR(AVERAGEIFS(INDIRECT("Tabela1["&amp;$B35&amp;"]"),Tabela1[Data Corrigida],AL$3)/100,"")</f>
        <v/>
      </c>
      <c r="AM35" s="43" t="str">
        <f ca="1">IFERROR(AVERAGEIFS(INDIRECT("Tabela1["&amp;$B35&amp;"]"),Tabela1[Data Corrigida],AM$3)/100,"")</f>
        <v/>
      </c>
    </row>
    <row r="36" spans="1:39" ht="15" customHeight="1" thickTop="1" x14ac:dyDescent="0.3">
      <c r="A36" s="50" t="str">
        <f>VLOOKUP(Tabela2[[#This Row],[Item 1]],Apoio!$A$2:$B$41,2,0)</f>
        <v>Eviscer</v>
      </c>
      <c r="B36" s="9" t="str">
        <f t="shared" si="2"/>
        <v>% Abdome mal abertos</v>
      </c>
      <c r="C36" s="58" t="str">
        <f>'BD - 022 Evisceração'!AK1</f>
        <v>% Abdome mal abertos</v>
      </c>
      <c r="D36" s="26" t="s">
        <v>21</v>
      </c>
      <c r="E36" s="34">
        <f ca="1">IFERROR(AVERAGEIFS(INDIRECT("Tabela1["&amp;$B36&amp;"]"),Tabela1[Turno],$D36,Tabela1[Mês],E$3)/100,"")</f>
        <v>6.0199999999999997E-2</v>
      </c>
      <c r="F36" s="34">
        <f ca="1">IFERROR(AVERAGEIFS(INDIRECT("Tabela1["&amp;$B36&amp;"]"),Tabela1[Turno],$D36,Tabela1[Mês],F$3)/100,"")</f>
        <v>1.2699999999999999E-2</v>
      </c>
      <c r="G36" s="34">
        <f ca="1">IFERROR(AVERAGEIFS(INDIRECT("Tabela1["&amp;$B36&amp;"]"),Tabela1[Turno],$D36,Tabela1[Mês],G$3)/100,"")</f>
        <v>1.34E-2</v>
      </c>
      <c r="H36" s="34">
        <f ca="1">IFERROR(AVERAGEIFS(INDIRECT("Tabela1["&amp;$B36&amp;"]"),Tabela1[Turno],$D36,Tabela1[Mês],H$3)/100,"")</f>
        <v>2.35E-2</v>
      </c>
      <c r="I36" s="34">
        <f ca="1">IFERROR(AVERAGEIFS(INDIRECT("Tabela1["&amp;$B36&amp;"]"),Tabela1[Turno],$D36,Tabela1[Mês],I$3)/100,"")</f>
        <v>1.9799999999999998E-2</v>
      </c>
      <c r="J36" s="34">
        <f ca="1">IFERROR(AVERAGEIFS(INDIRECT("Tabela1["&amp;$B36&amp;"]"),Tabela1[Turno],$D36,Tabela1[Mês],J$3)/100,"")</f>
        <v>3.6699999999999997E-2</v>
      </c>
      <c r="K36" s="34">
        <f ca="1">IFERROR(AVERAGEIFS(INDIRECT("Tabela1["&amp;$B36&amp;"]"),Tabela1[Turno],$D36,Tabela1[Mês],K$3)/100,"")</f>
        <v>2.1702367050928557E-2</v>
      </c>
      <c r="L36" s="34">
        <f ca="1">IFERROR(AVERAGEIFS(INDIRECT("Tabela1["&amp;$B36&amp;"]"),Tabela1[Turno],$D36,Tabela1[Mês],L$3)/100,"")</f>
        <v>1.4921941413091165E-2</v>
      </c>
      <c r="M36" s="34">
        <f ca="1">IFERROR(AVERAGEIFS(INDIRECT("Tabela1["&amp;$B36&amp;"]"),Tabela1[Turno],$D36,Tabela1[Mês],M$3)/100,"")</f>
        <v>2.6255454648916543E-2</v>
      </c>
      <c r="N36" s="34">
        <f ca="1">IFERROR(AVERAGEIFS(INDIRECT("Tabela1["&amp;$B36&amp;"]"),Tabela1[Turno],$D36,Tabela1[Mês],N$3)/100,"")</f>
        <v>2.2960083229551141E-2</v>
      </c>
      <c r="O36" s="34" t="str">
        <f ca="1">IFERROR(AVERAGEIFS(INDIRECT("Tabela1["&amp;$B36&amp;"]"),Tabela1[Turno],$D36,Tabela1[Mês],O$3)/100,"")</f>
        <v/>
      </c>
      <c r="P36" s="44" t="str">
        <f ca="1">IFERROR(AVERAGEIFS(INDIRECT("Tabela1["&amp;$B36&amp;"]"),Tabela1[Turno],$D36,Tabela1[Mês],P$3)/100,"")</f>
        <v/>
      </c>
      <c r="Q36" s="61">
        <v>0.02</v>
      </c>
      <c r="R36" s="33">
        <f ca="1">IFERROR(AVERAGEIFS(INDIRECT("Tabela1["&amp;$B36&amp;"]"),Tabela1[Turno],$D36,Tabela1[Data Corrigida],R$3)/100,"")</f>
        <v>1.7080745341614908E-2</v>
      </c>
      <c r="S36" s="34">
        <f ca="1">IFERROR(AVERAGEIFS(INDIRECT("Tabela1["&amp;$B36&amp;"]"),Tabela1[Turno],$D36,Tabela1[Data Corrigida],S$3)/100,"")</f>
        <v>1.4180823495536999E-2</v>
      </c>
      <c r="T36" s="34">
        <f ca="1">IFERROR(AVERAGEIFS(INDIRECT("Tabela1["&amp;$B36&amp;"]"),Tabela1[Turno],$D36,Tabela1[Data Corrigida],T$3)/100,"")</f>
        <v>1.9230769230769232E-2</v>
      </c>
      <c r="U36" s="34">
        <f ca="1">IFERROR(AVERAGEIFS(INDIRECT("Tabela1["&amp;$B36&amp;"]"),Tabela1[Turno],$D36,Tabela1[Data Corrigida],U$3)/100,"")</f>
        <v>1.7329590699155916E-2</v>
      </c>
      <c r="V36" s="34">
        <f ca="1">IFERROR(AVERAGEIFS(INDIRECT("Tabela1["&amp;$B36&amp;"]"),Tabela1[Turno],$D36,Tabela1[Data Corrigida],V$3)/100,"")</f>
        <v>3.0305585574805272E-2</v>
      </c>
      <c r="W36" s="34">
        <f ca="1">IFERROR(AVERAGEIFS(INDIRECT("Tabela1["&amp;$B36&amp;"]"),Tabela1[Turno],$D36,Tabela1[Data Corrigida],W$3)/100,"")</f>
        <v>1.4582156973461323E-2</v>
      </c>
      <c r="X36" s="34">
        <f ca="1">IFERROR(AVERAGEIFS(INDIRECT("Tabela1["&amp;$B36&amp;"]"),Tabela1[Turno],$D36,Tabela1[Data Corrigida],X$3)/100,"")</f>
        <v>2.6706017852001152E-2</v>
      </c>
      <c r="Y36" s="34">
        <f ca="1">IFERROR(AVERAGEIFS(INDIRECT("Tabela1["&amp;$B36&amp;"]"),Tabela1[Turno],$D36,Tabela1[Data Corrigida],Y$3)/100,"")</f>
        <v>4.1467991169977923E-2</v>
      </c>
      <c r="Z36" s="34" t="str">
        <f ca="1">IFERROR(AVERAGEIFS(INDIRECT("Tabela1["&amp;$B36&amp;"]"),Tabela1[Turno],$D36,Tabela1[Data Corrigida],Z$3)/100,"")</f>
        <v/>
      </c>
      <c r="AA36" s="34" t="str">
        <f ca="1">IFERROR(AVERAGEIFS(INDIRECT("Tabela1["&amp;$B36&amp;"]"),Tabela1[Turno],$D36,Tabela1[Data Corrigida],AA$3)/100,"")</f>
        <v/>
      </c>
      <c r="AB36" s="34" t="str">
        <f ca="1">IFERROR(AVERAGEIFS(INDIRECT("Tabela1["&amp;$B36&amp;"]"),Tabela1[Turno],$D36,Tabela1[Data Corrigida],AB$3)/100,"")</f>
        <v/>
      </c>
      <c r="AC36" s="34" t="str">
        <f ca="1">IFERROR(AVERAGEIFS(INDIRECT("Tabela1["&amp;$B36&amp;"]"),Tabela1[Turno],$D36,Tabela1[Data Corrigida],AC$3)/100,"")</f>
        <v/>
      </c>
      <c r="AD36" s="34" t="str">
        <f ca="1">IFERROR(AVERAGEIFS(INDIRECT("Tabela1["&amp;$B36&amp;"]"),Tabela1[Turno],$D36,Tabela1[Data Corrigida],AD$3)/100,"")</f>
        <v/>
      </c>
      <c r="AE36" s="34" t="str">
        <f ca="1">IFERROR(AVERAGEIFS(INDIRECT("Tabela1["&amp;$B36&amp;"]"),Tabela1[Turno],$D36,Tabela1[Data Corrigida],AE$3)/100,"")</f>
        <v/>
      </c>
      <c r="AF36" s="34" t="str">
        <f ca="1">IFERROR(AVERAGEIFS(INDIRECT("Tabela1["&amp;$B36&amp;"]"),Tabela1[Turno],$D36,Tabela1[Data Corrigida],AF$3)/100,"")</f>
        <v/>
      </c>
      <c r="AG36" s="34" t="str">
        <f ca="1">IFERROR(AVERAGEIFS(INDIRECT("Tabela1["&amp;$B36&amp;"]"),Tabela1[Turno],$D36,Tabela1[Data Corrigida],AG$3)/100,"")</f>
        <v/>
      </c>
      <c r="AH36" s="34" t="str">
        <f ca="1">IFERROR(AVERAGEIFS(INDIRECT("Tabela1["&amp;$B36&amp;"]"),Tabela1[Turno],$D36,Tabela1[Data Corrigida],AH$3)/100,"")</f>
        <v/>
      </c>
      <c r="AI36" s="34" t="str">
        <f ca="1">IFERROR(AVERAGEIFS(INDIRECT("Tabela1["&amp;$B36&amp;"]"),Tabela1[Turno],$D36,Tabela1[Data Corrigida],AI$3)/100,"")</f>
        <v/>
      </c>
      <c r="AJ36" s="34" t="str">
        <f ca="1">IFERROR(AVERAGEIFS(INDIRECT("Tabela1["&amp;$B36&amp;"]"),Tabela1[Turno],$D36,Tabela1[Data Corrigida],AJ$3)/100,"")</f>
        <v/>
      </c>
      <c r="AK36" s="34" t="str">
        <f ca="1">IFERROR(AVERAGEIFS(INDIRECT("Tabela1["&amp;$B36&amp;"]"),Tabela1[Turno],$D36,Tabela1[Data Corrigida],AK$3)/100,"")</f>
        <v/>
      </c>
      <c r="AL36" s="34" t="str">
        <f ca="1">IFERROR(AVERAGEIFS(INDIRECT("Tabela1["&amp;$B36&amp;"]"),Tabela1[Turno],$D36,Tabela1[Data Corrigida],AL$3)/100,"")</f>
        <v/>
      </c>
      <c r="AM36" s="34" t="str">
        <f ca="1">IFERROR(AVERAGEIFS(INDIRECT("Tabela1["&amp;$B36&amp;"]"),Tabela1[Turno],$D36,Tabela1[Data Corrigida],AM$3)/100,"")</f>
        <v/>
      </c>
    </row>
    <row r="37" spans="1:39" ht="15" customHeight="1" x14ac:dyDescent="0.3">
      <c r="A37" s="50" t="str">
        <f>VLOOKUP(Tabela2[[#This Row],[Item 1]],Apoio!$A$2:$B$41,2,0)</f>
        <v>Eviscer</v>
      </c>
      <c r="B37" s="9" t="str">
        <f t="shared" si="2"/>
        <v>% Abdome mal abertos</v>
      </c>
      <c r="C37" s="59"/>
      <c r="D37" s="27" t="s">
        <v>33</v>
      </c>
      <c r="E37" s="36">
        <f ca="1">IFERROR(AVERAGEIFS(INDIRECT("Tabela1["&amp;$B37&amp;"]"),Tabela1[Turno],$D37,Tabela1[Mês],E$3)/100,"")</f>
        <v>2.3700000000000002E-2</v>
      </c>
      <c r="F37" s="36">
        <f ca="1">IFERROR(AVERAGEIFS(INDIRECT("Tabela1["&amp;$B37&amp;"]"),Tabela1[Turno],$D37,Tabela1[Mês],F$3)/100,"")</f>
        <v>4.3E-3</v>
      </c>
      <c r="G37" s="36">
        <f ca="1">IFERROR(AVERAGEIFS(INDIRECT("Tabela1["&amp;$B37&amp;"]"),Tabela1[Turno],$D37,Tabela1[Mês],G$3)/100,"")</f>
        <v>1.3999999999999999E-2</v>
      </c>
      <c r="H37" s="36" t="str">
        <f ca="1">IFERROR(AVERAGEIFS(INDIRECT("Tabela1["&amp;$B37&amp;"]"),Tabela1[Turno],$D37,Tabela1[Mês],H$3)/100,"")</f>
        <v/>
      </c>
      <c r="I37" s="36">
        <f ca="1">IFERROR(AVERAGEIFS(INDIRECT("Tabela1["&amp;$B37&amp;"]"),Tabela1[Turno],$D37,Tabela1[Mês],I$3)/100,"")</f>
        <v>2.0199999999999999E-2</v>
      </c>
      <c r="J37" s="36">
        <f ca="1">IFERROR(AVERAGEIFS(INDIRECT("Tabela1["&amp;$B37&amp;"]"),Tabela1[Turno],$D37,Tabela1[Mês],J$3)/100,"")</f>
        <v>2.9399999999999999E-2</v>
      </c>
      <c r="K37" s="36">
        <f ca="1">IFERROR(AVERAGEIFS(INDIRECT("Tabela1["&amp;$B37&amp;"]"),Tabela1[Turno],$D37,Tabela1[Mês],K$3)/100,"")</f>
        <v>6.7388479638618055E-3</v>
      </c>
      <c r="L37" s="36">
        <f ca="1">IFERROR(AVERAGEIFS(INDIRECT("Tabela1["&amp;$B37&amp;"]"),Tabela1[Turno],$D37,Tabela1[Mês],L$3)/100,"")</f>
        <v>8.5768946007786836E-3</v>
      </c>
      <c r="M37" s="36">
        <f ca="1">IFERROR(AVERAGEIFS(INDIRECT("Tabela1["&amp;$B37&amp;"]"),Tabela1[Turno],$D37,Tabela1[Mês],M$3)/100,"")</f>
        <v>2.0780884801304693E-3</v>
      </c>
      <c r="N37" s="36">
        <f ca="1">IFERROR(AVERAGEIFS(INDIRECT("Tabela1["&amp;$B37&amp;"]"),Tabela1[Turno],$D37,Tabela1[Mês],N$3)/100,"")</f>
        <v>1.0697836936026455E-3</v>
      </c>
      <c r="O37" s="36" t="str">
        <f ca="1">IFERROR(AVERAGEIFS(INDIRECT("Tabela1["&amp;$B37&amp;"]"),Tabela1[Turno],$D37,Tabela1[Mês],O$3)/100,"")</f>
        <v/>
      </c>
      <c r="P37" s="41" t="str">
        <f ca="1">IFERROR(AVERAGEIFS(INDIRECT("Tabela1["&amp;$B37&amp;"]"),Tabela1[Turno],$D37,Tabela1[Mês],P$3)/100,"")</f>
        <v/>
      </c>
      <c r="Q37" s="62"/>
      <c r="R37" s="35">
        <f ca="1">IFERROR(AVERAGEIFS(INDIRECT("Tabela1["&amp;$B37&amp;"]"),Tabela1[Turno],$D37,Tabela1[Data Corrigida],R$3)/100,"")</f>
        <v>0</v>
      </c>
      <c r="S37" s="36">
        <f ca="1">IFERROR(AVERAGEIFS(INDIRECT("Tabela1["&amp;$B37&amp;"]"),Tabela1[Turno],$D37,Tabela1[Data Corrigida],S$3)/100,"")</f>
        <v>2.8735632183908046E-3</v>
      </c>
      <c r="T37" s="36">
        <f ca="1">IFERROR(AVERAGEIFS(INDIRECT("Tabela1["&amp;$B37&amp;"]"),Tabela1[Turno],$D37,Tabela1[Data Corrigida],T$3)/100,"")</f>
        <v>0</v>
      </c>
      <c r="U37" s="36">
        <f ca="1">IFERROR(AVERAGEIFS(INDIRECT("Tabela1["&amp;$B37&amp;"]"),Tabela1[Turno],$D37,Tabela1[Data Corrigida],U$3)/100,"")</f>
        <v>2.5445292620865142E-3</v>
      </c>
      <c r="V37" s="36">
        <f ca="1">IFERROR(AVERAGEIFS(INDIRECT("Tabela1["&amp;$B37&amp;"]"),Tabela1[Turno],$D37,Tabela1[Data Corrigida],V$3)/100,"")</f>
        <v>0</v>
      </c>
      <c r="W37" s="36">
        <f ca="1">IFERROR(AVERAGEIFS(INDIRECT("Tabela1["&amp;$B37&amp;"]"),Tabela1[Turno],$D37,Tabela1[Data Corrigida],W$3)/100,"")</f>
        <v>0</v>
      </c>
      <c r="X37" s="36">
        <f ca="1">IFERROR(AVERAGEIFS(INDIRECT("Tabela1["&amp;$B37&amp;"]"),Tabela1[Turno],$D37,Tabela1[Data Corrigida],X$3)/100,"")</f>
        <v>2.0703933747412005E-3</v>
      </c>
      <c r="Y37" s="36" t="str">
        <f ca="1">IFERROR(AVERAGEIFS(INDIRECT("Tabela1["&amp;$B37&amp;"]"),Tabela1[Turno],$D37,Tabela1[Data Corrigida],Y$3)/100,"")</f>
        <v/>
      </c>
      <c r="Z37" s="36" t="str">
        <f ca="1">IFERROR(AVERAGEIFS(INDIRECT("Tabela1["&amp;$B37&amp;"]"),Tabela1[Turno],$D37,Tabela1[Data Corrigida],Z$3)/100,"")</f>
        <v/>
      </c>
      <c r="AA37" s="36" t="str">
        <f ca="1">IFERROR(AVERAGEIFS(INDIRECT("Tabela1["&amp;$B37&amp;"]"),Tabela1[Turno],$D37,Tabela1[Data Corrigida],AA$3)/100,"")</f>
        <v/>
      </c>
      <c r="AB37" s="36" t="str">
        <f ca="1">IFERROR(AVERAGEIFS(INDIRECT("Tabela1["&amp;$B37&amp;"]"),Tabela1[Turno],$D37,Tabela1[Data Corrigida],AB$3)/100,"")</f>
        <v/>
      </c>
      <c r="AC37" s="36" t="str">
        <f ca="1">IFERROR(AVERAGEIFS(INDIRECT("Tabela1["&amp;$B37&amp;"]"),Tabela1[Turno],$D37,Tabela1[Data Corrigida],AC$3)/100,"")</f>
        <v/>
      </c>
      <c r="AD37" s="36" t="str">
        <f ca="1">IFERROR(AVERAGEIFS(INDIRECT("Tabela1["&amp;$B37&amp;"]"),Tabela1[Turno],$D37,Tabela1[Data Corrigida],AD$3)/100,"")</f>
        <v/>
      </c>
      <c r="AE37" s="36" t="str">
        <f ca="1">IFERROR(AVERAGEIFS(INDIRECT("Tabela1["&amp;$B37&amp;"]"),Tabela1[Turno],$D37,Tabela1[Data Corrigida],AE$3)/100,"")</f>
        <v/>
      </c>
      <c r="AF37" s="36" t="str">
        <f ca="1">IFERROR(AVERAGEIFS(INDIRECT("Tabela1["&amp;$B37&amp;"]"),Tabela1[Turno],$D37,Tabela1[Data Corrigida],AF$3)/100,"")</f>
        <v/>
      </c>
      <c r="AG37" s="36" t="str">
        <f ca="1">IFERROR(AVERAGEIFS(INDIRECT("Tabela1["&amp;$B37&amp;"]"),Tabela1[Turno],$D37,Tabela1[Data Corrigida],AG$3)/100,"")</f>
        <v/>
      </c>
      <c r="AH37" s="36" t="str">
        <f ca="1">IFERROR(AVERAGEIFS(INDIRECT("Tabela1["&amp;$B37&amp;"]"),Tabela1[Turno],$D37,Tabela1[Data Corrigida],AH$3)/100,"")</f>
        <v/>
      </c>
      <c r="AI37" s="36" t="str">
        <f ca="1">IFERROR(AVERAGEIFS(INDIRECT("Tabela1["&amp;$B37&amp;"]"),Tabela1[Turno],$D37,Tabela1[Data Corrigida],AI$3)/100,"")</f>
        <v/>
      </c>
      <c r="AJ37" s="36" t="str">
        <f ca="1">IFERROR(AVERAGEIFS(INDIRECT("Tabela1["&amp;$B37&amp;"]"),Tabela1[Turno],$D37,Tabela1[Data Corrigida],AJ$3)/100,"")</f>
        <v/>
      </c>
      <c r="AK37" s="36" t="str">
        <f ca="1">IFERROR(AVERAGEIFS(INDIRECT("Tabela1["&amp;$B37&amp;"]"),Tabela1[Turno],$D37,Tabela1[Data Corrigida],AK$3)/100,"")</f>
        <v/>
      </c>
      <c r="AL37" s="36" t="str">
        <f ca="1">IFERROR(AVERAGEIFS(INDIRECT("Tabela1["&amp;$B37&amp;"]"),Tabela1[Turno],$D37,Tabela1[Data Corrigida],AL$3)/100,"")</f>
        <v/>
      </c>
      <c r="AM37" s="36" t="str">
        <f ca="1">IFERROR(AVERAGEIFS(INDIRECT("Tabela1["&amp;$B37&amp;"]"),Tabela1[Turno],$D37,Tabela1[Data Corrigida],AM$3)/100,"")</f>
        <v/>
      </c>
    </row>
    <row r="38" spans="1:39" ht="15" customHeight="1" thickBot="1" x14ac:dyDescent="0.35">
      <c r="A38" s="50" t="str">
        <f>VLOOKUP(Tabela2[[#This Row],[Item 1]],Apoio!$A$2:$B$41,2,0)</f>
        <v>Eviscer</v>
      </c>
      <c r="B38" s="9" t="str">
        <f t="shared" si="2"/>
        <v>% Abdome mal abertos</v>
      </c>
      <c r="C38" s="60"/>
      <c r="D38" s="28" t="s">
        <v>5</v>
      </c>
      <c r="E38" s="45">
        <f ca="1">IFERROR(AVERAGEIFS(INDIRECT("Tabela1["&amp;$B38&amp;"]"),Tabela1[Mês],E$3)/100,"")</f>
        <v>4.1950000000000001E-2</v>
      </c>
      <c r="F38" s="45">
        <f ca="1">IFERROR(AVERAGEIFS(INDIRECT("Tabela1["&amp;$B38&amp;"]"),Tabela1[Mês],F$3)/100,"")</f>
        <v>8.5000000000000006E-3</v>
      </c>
      <c r="G38" s="45">
        <f ca="1">IFERROR(AVERAGEIFS(INDIRECT("Tabela1["&amp;$B38&amp;"]"),Tabela1[Mês],G$3)/100,"")</f>
        <v>1.37E-2</v>
      </c>
      <c r="H38" s="45">
        <f ca="1">IFERROR(AVERAGEIFS(INDIRECT("Tabela1["&amp;$B38&amp;"]"),Tabela1[Mês],H$3)/100,"")</f>
        <v>2.35E-2</v>
      </c>
      <c r="I38" s="45">
        <f ca="1">IFERROR(AVERAGEIFS(INDIRECT("Tabela1["&amp;$B38&amp;"]"),Tabela1[Mês],I$3)/100,"")</f>
        <v>0.02</v>
      </c>
      <c r="J38" s="45">
        <f ca="1">IFERROR(AVERAGEIFS(INDIRECT("Tabela1["&amp;$B38&amp;"]"),Tabela1[Mês],J$3)/100,"")</f>
        <v>3.3049999999999996E-2</v>
      </c>
      <c r="K38" s="45">
        <f ca="1">IFERROR(AVERAGEIFS(INDIRECT("Tabela1["&amp;$B38&amp;"]"),Tabela1[Mês],K$3)/100,"")</f>
        <v>1.4719391476964072E-2</v>
      </c>
      <c r="L38" s="45">
        <f ca="1">IFERROR(AVERAGEIFS(INDIRECT("Tabela1["&amp;$B38&amp;"]"),Tabela1[Mês],L$3)/100,"")</f>
        <v>1.2133966298590221E-2</v>
      </c>
      <c r="M38" s="45">
        <f ca="1">IFERROR(AVERAGEIFS(INDIRECT("Tabela1["&amp;$B38&amp;"]"),Tabela1[Mês],M$3)/100,"")</f>
        <v>1.5822755548686937E-2</v>
      </c>
      <c r="N38" s="45">
        <f ca="1">IFERROR(AVERAGEIFS(INDIRECT("Tabela1["&amp;$B38&amp;"]"),Tabela1[Mês],N$3)/100,"")</f>
        <v>1.3766157424452774E-2</v>
      </c>
      <c r="O38" s="45" t="str">
        <f ca="1">IFERROR(AVERAGEIFS(INDIRECT("Tabela1["&amp;$B38&amp;"]"),Tabela1[Mês],O$3)/100,"")</f>
        <v/>
      </c>
      <c r="P38" s="46" t="str">
        <f ca="1">IFERROR(AVERAGEIFS(INDIRECT("Tabela1["&amp;$B38&amp;"]"),Tabela1[Mês],P$3)/100,"")</f>
        <v/>
      </c>
      <c r="Q38" s="63"/>
      <c r="R38" s="37">
        <f ca="1">IFERROR(AVERAGEIFS(INDIRECT("Tabela1["&amp;$B38&amp;"]"),Tabela1[Data Corrigida],R$3)/100,"")</f>
        <v>9.7604259094942331E-3</v>
      </c>
      <c r="S38" s="38">
        <f ca="1">IFERROR(AVERAGEIFS(INDIRECT("Tabela1["&amp;$B38&amp;"]"),Tabela1[Data Corrigida],S$3)/100,"")</f>
        <v>9.3348548053314873E-3</v>
      </c>
      <c r="T38" s="38">
        <f ca="1">IFERROR(AVERAGEIFS(INDIRECT("Tabela1["&amp;$B38&amp;"]"),Tabela1[Data Corrigida],T$3)/100,"")</f>
        <v>4.807692307692308E-3</v>
      </c>
      <c r="U38" s="38">
        <f ca="1">IFERROR(AVERAGEIFS(INDIRECT("Tabela1["&amp;$B38&amp;"]"),Tabela1[Data Corrigida],U$3)/100,"")</f>
        <v>1.0993135797554746E-2</v>
      </c>
      <c r="V38" s="38">
        <f ca="1">IFERROR(AVERAGEIFS(INDIRECT("Tabela1["&amp;$B38&amp;"]"),Tabela1[Data Corrigida],V$3)/100,"")</f>
        <v>1.7317477471317299E-2</v>
      </c>
      <c r="W38" s="38">
        <f ca="1">IFERROR(AVERAGEIFS(INDIRECT("Tabela1["&amp;$B38&amp;"]"),Tabela1[Data Corrigida],W$3)/100,"")</f>
        <v>8.3326611276921831E-3</v>
      </c>
      <c r="X38" s="38">
        <f ca="1">IFERROR(AVERAGEIFS(INDIRECT("Tabela1["&amp;$B38&amp;"]"),Tabela1[Data Corrigida],X$3)/100,"")</f>
        <v>1.6147893076032604E-2</v>
      </c>
      <c r="Y38" s="38">
        <f ca="1">IFERROR(AVERAGEIFS(INDIRECT("Tabela1["&amp;$B38&amp;"]"),Tabela1[Data Corrigida],Y$3)/100,"")</f>
        <v>4.1467991169977923E-2</v>
      </c>
      <c r="Z38" s="38" t="str">
        <f ca="1">IFERROR(AVERAGEIFS(INDIRECT("Tabela1["&amp;$B38&amp;"]"),Tabela1[Data Corrigida],Z$3)/100,"")</f>
        <v/>
      </c>
      <c r="AA38" s="38" t="str">
        <f ca="1">IFERROR(AVERAGEIFS(INDIRECT("Tabela1["&amp;$B38&amp;"]"),Tabela1[Data Corrigida],AA$3)/100,"")</f>
        <v/>
      </c>
      <c r="AB38" s="38" t="str">
        <f ca="1">IFERROR(AVERAGEIFS(INDIRECT("Tabela1["&amp;$B38&amp;"]"),Tabela1[Data Corrigida],AB$3)/100,"")</f>
        <v/>
      </c>
      <c r="AC38" s="38" t="str">
        <f ca="1">IFERROR(AVERAGEIFS(INDIRECT("Tabela1["&amp;$B38&amp;"]"),Tabela1[Data Corrigida],AC$3)/100,"")</f>
        <v/>
      </c>
      <c r="AD38" s="38" t="str">
        <f ca="1">IFERROR(AVERAGEIFS(INDIRECT("Tabela1["&amp;$B38&amp;"]"),Tabela1[Data Corrigida],AD$3)/100,"")</f>
        <v/>
      </c>
      <c r="AE38" s="38" t="str">
        <f ca="1">IFERROR(AVERAGEIFS(INDIRECT("Tabela1["&amp;$B38&amp;"]"),Tabela1[Data Corrigida],AE$3)/100,"")</f>
        <v/>
      </c>
      <c r="AF38" s="38" t="str">
        <f ca="1">IFERROR(AVERAGEIFS(INDIRECT("Tabela1["&amp;$B38&amp;"]"),Tabela1[Data Corrigida],AF$3)/100,"")</f>
        <v/>
      </c>
      <c r="AG38" s="38" t="str">
        <f ca="1">IFERROR(AVERAGEIFS(INDIRECT("Tabela1["&amp;$B38&amp;"]"),Tabela1[Data Corrigida],AG$3)/100,"")</f>
        <v/>
      </c>
      <c r="AH38" s="38" t="str">
        <f ca="1">IFERROR(AVERAGEIFS(INDIRECT("Tabela1["&amp;$B38&amp;"]"),Tabela1[Data Corrigida],AH$3)/100,"")</f>
        <v/>
      </c>
      <c r="AI38" s="38" t="str">
        <f ca="1">IFERROR(AVERAGEIFS(INDIRECT("Tabela1["&amp;$B38&amp;"]"),Tabela1[Data Corrigida],AI$3)/100,"")</f>
        <v/>
      </c>
      <c r="AJ38" s="38" t="str">
        <f ca="1">IFERROR(AVERAGEIFS(INDIRECT("Tabela1["&amp;$B38&amp;"]"),Tabela1[Data Corrigida],AJ$3)/100,"")</f>
        <v/>
      </c>
      <c r="AK38" s="38" t="str">
        <f ca="1">IFERROR(AVERAGEIFS(INDIRECT("Tabela1["&amp;$B38&amp;"]"),Tabela1[Data Corrigida],AK$3)/100,"")</f>
        <v/>
      </c>
      <c r="AL38" s="38" t="str">
        <f ca="1">IFERROR(AVERAGEIFS(INDIRECT("Tabela1["&amp;$B38&amp;"]"),Tabela1[Data Corrigida],AL$3)/100,"")</f>
        <v/>
      </c>
      <c r="AM38" s="38" t="str">
        <f ca="1">IFERROR(AVERAGEIFS(INDIRECT("Tabela1["&amp;$B38&amp;"]"),Tabela1[Data Corrigida],AM$3)/100,"")</f>
        <v/>
      </c>
    </row>
    <row r="39" spans="1:39" ht="15" customHeight="1" thickTop="1" x14ac:dyDescent="0.3">
      <c r="A39" s="50" t="str">
        <f>VLOOKUP(Tabela2[[#This Row],[Item 1]],Apoio!$A$2:$B$41,2,0)</f>
        <v>Eviscer</v>
      </c>
      <c r="B39" s="9" t="str">
        <f t="shared" si="2"/>
        <v>% Corte de Intestino</v>
      </c>
      <c r="C39" s="58" t="str">
        <f>'BD - 022 Evisceração'!AM1</f>
        <v>% Corte de Intestino</v>
      </c>
      <c r="D39" s="26" t="s">
        <v>21</v>
      </c>
      <c r="E39" s="34">
        <f ca="1">IFERROR(AVERAGEIFS(INDIRECT("Tabela1["&amp;$B39&amp;"]"),Tabela1[Turno],$D39,Tabela1[Mês],E$3)/100,"")</f>
        <v>3.0499999999999999E-2</v>
      </c>
      <c r="F39" s="34">
        <f ca="1">IFERROR(AVERAGEIFS(INDIRECT("Tabela1["&amp;$B39&amp;"]"),Tabela1[Turno],$D39,Tabela1[Mês],F$3)/100,"")</f>
        <v>1.1299999999999999E-2</v>
      </c>
      <c r="G39" s="34">
        <f ca="1">IFERROR(AVERAGEIFS(INDIRECT("Tabela1["&amp;$B39&amp;"]"),Tabela1[Turno],$D39,Tabela1[Mês],G$3)/100,"")</f>
        <v>1.83E-2</v>
      </c>
      <c r="H39" s="34">
        <f ca="1">IFERROR(AVERAGEIFS(INDIRECT("Tabela1["&amp;$B39&amp;"]"),Tabela1[Turno],$D39,Tabela1[Mês],H$3)/100,"")</f>
        <v>2.12E-2</v>
      </c>
      <c r="I39" s="34">
        <f ca="1">IFERROR(AVERAGEIFS(INDIRECT("Tabela1["&amp;$B39&amp;"]"),Tabela1[Turno],$D39,Tabela1[Mês],I$3)/100,"")</f>
        <v>2.18E-2</v>
      </c>
      <c r="J39" s="34">
        <f ca="1">IFERROR(AVERAGEIFS(INDIRECT("Tabela1["&amp;$B39&amp;"]"),Tabela1[Turno],$D39,Tabela1[Mês],J$3)/100,"")</f>
        <v>2.1099999999999997E-2</v>
      </c>
      <c r="K39" s="34">
        <f ca="1">IFERROR(AVERAGEIFS(INDIRECT("Tabela1["&amp;$B39&amp;"]"),Tabela1[Turno],$D39,Tabela1[Mês],K$3)/100,"")</f>
        <v>1.3597842155492671E-2</v>
      </c>
      <c r="L39" s="34">
        <f ca="1">IFERROR(AVERAGEIFS(INDIRECT("Tabela1["&amp;$B39&amp;"]"),Tabela1[Turno],$D39,Tabela1[Mês],L$3)/100,"")</f>
        <v>1.1217639271996411E-2</v>
      </c>
      <c r="M39" s="34">
        <f ca="1">IFERROR(AVERAGEIFS(INDIRECT("Tabela1["&amp;$B39&amp;"]"),Tabela1[Turno],$D39,Tabela1[Mês],M$3)/100,"")</f>
        <v>1.4026812645817994E-2</v>
      </c>
      <c r="N39" s="34">
        <f ca="1">IFERROR(AVERAGEIFS(INDIRECT("Tabela1["&amp;$B39&amp;"]"),Tabela1[Turno],$D39,Tabela1[Mês],N$3)/100,"")</f>
        <v>1.6067401228694753E-2</v>
      </c>
      <c r="O39" s="34" t="str">
        <f ca="1">IFERROR(AVERAGEIFS(INDIRECT("Tabela1["&amp;$B39&amp;"]"),Tabela1[Turno],$D39,Tabela1[Mês],O$3)/100,"")</f>
        <v/>
      </c>
      <c r="P39" s="44" t="str">
        <f ca="1">IFERROR(AVERAGEIFS(INDIRECT("Tabela1["&amp;$B39&amp;"]"),Tabela1[Turno],$D39,Tabela1[Mês],P$3)/100,"")</f>
        <v/>
      </c>
      <c r="Q39" s="61">
        <v>0.02</v>
      </c>
      <c r="R39" s="39">
        <f ca="1">IFERROR(AVERAGEIFS(INDIRECT("Tabela1["&amp;$B39&amp;"]"),Tabela1[Turno],$D39,Tabela1[Data Corrigida],R$3)/100,"")</f>
        <v>1.7080745341614904E-2</v>
      </c>
      <c r="S39" s="40">
        <f ca="1">IFERROR(AVERAGEIFS(INDIRECT("Tabela1["&amp;$B39&amp;"]"),Tabela1[Turno],$D39,Tabela1[Data Corrigida],S$3)/100,"")</f>
        <v>1.2628028464481099E-2</v>
      </c>
      <c r="T39" s="40">
        <f ca="1">IFERROR(AVERAGEIFS(INDIRECT("Tabela1["&amp;$B39&amp;"]"),Tabela1[Turno],$D39,Tabela1[Data Corrigida],T$3)/100,"")</f>
        <v>1.9230769230769232E-2</v>
      </c>
      <c r="U39" s="40">
        <f ca="1">IFERROR(AVERAGEIFS(INDIRECT("Tabela1["&amp;$B39&amp;"]"),Tabela1[Turno],$D39,Tabela1[Data Corrigida],U$3)/100,"")</f>
        <v>1.737935977066412E-2</v>
      </c>
      <c r="V39" s="40">
        <f ca="1">IFERROR(AVERAGEIFS(INDIRECT("Tabela1["&amp;$B39&amp;"]"),Tabela1[Turno],$D39,Tabela1[Data Corrigida],V$3)/100,"")</f>
        <v>1.7584819442003435E-2</v>
      </c>
      <c r="W39" s="40">
        <f ca="1">IFERROR(AVERAGEIFS(INDIRECT("Tabela1["&amp;$B39&amp;"]"),Tabela1[Turno],$D39,Tabela1[Data Corrigida],W$3)/100,"")</f>
        <v>1.3029361942405419E-2</v>
      </c>
      <c r="X39" s="40">
        <f ca="1">IFERROR(AVERAGEIFS(INDIRECT("Tabela1["&amp;$B39&amp;"]"),Tabela1[Turno],$D39,Tabela1[Data Corrigida],X$3)/100,"")</f>
        <v>1.5733618526592899E-2</v>
      </c>
      <c r="Y39" s="40">
        <f ca="1">IFERROR(AVERAGEIFS(INDIRECT("Tabela1["&amp;$B39&amp;"]"),Tabela1[Turno],$D39,Tabela1[Data Corrigida],Y$3)/100,"")</f>
        <v>1.8245033112582784E-2</v>
      </c>
      <c r="Z39" s="40" t="str">
        <f ca="1">IFERROR(AVERAGEIFS(INDIRECT("Tabela1["&amp;$B39&amp;"]"),Tabela1[Turno],$D39,Tabela1[Data Corrigida],Z$3)/100,"")</f>
        <v/>
      </c>
      <c r="AA39" s="40" t="str">
        <f ca="1">IFERROR(AVERAGEIFS(INDIRECT("Tabela1["&amp;$B39&amp;"]"),Tabela1[Turno],$D39,Tabela1[Data Corrigida],AA$3)/100,"")</f>
        <v/>
      </c>
      <c r="AB39" s="40" t="str">
        <f ca="1">IFERROR(AVERAGEIFS(INDIRECT("Tabela1["&amp;$B39&amp;"]"),Tabela1[Turno],$D39,Tabela1[Data Corrigida],AB$3)/100,"")</f>
        <v/>
      </c>
      <c r="AC39" s="40" t="str">
        <f ca="1">IFERROR(AVERAGEIFS(INDIRECT("Tabela1["&amp;$B39&amp;"]"),Tabela1[Turno],$D39,Tabela1[Data Corrigida],AC$3)/100,"")</f>
        <v/>
      </c>
      <c r="AD39" s="40" t="str">
        <f ca="1">IFERROR(AVERAGEIFS(INDIRECT("Tabela1["&amp;$B39&amp;"]"),Tabela1[Turno],$D39,Tabela1[Data Corrigida],AD$3)/100,"")</f>
        <v/>
      </c>
      <c r="AE39" s="40" t="str">
        <f ca="1">IFERROR(AVERAGEIFS(INDIRECT("Tabela1["&amp;$B39&amp;"]"),Tabela1[Turno],$D39,Tabela1[Data Corrigida],AE$3)/100,"")</f>
        <v/>
      </c>
      <c r="AF39" s="40" t="str">
        <f ca="1">IFERROR(AVERAGEIFS(INDIRECT("Tabela1["&amp;$B39&amp;"]"),Tabela1[Turno],$D39,Tabela1[Data Corrigida],AF$3)/100,"")</f>
        <v/>
      </c>
      <c r="AG39" s="40" t="str">
        <f ca="1">IFERROR(AVERAGEIFS(INDIRECT("Tabela1["&amp;$B39&amp;"]"),Tabela1[Turno],$D39,Tabela1[Data Corrigida],AG$3)/100,"")</f>
        <v/>
      </c>
      <c r="AH39" s="40" t="str">
        <f ca="1">IFERROR(AVERAGEIFS(INDIRECT("Tabela1["&amp;$B39&amp;"]"),Tabela1[Turno],$D39,Tabela1[Data Corrigida],AH$3)/100,"")</f>
        <v/>
      </c>
      <c r="AI39" s="40" t="str">
        <f ca="1">IFERROR(AVERAGEIFS(INDIRECT("Tabela1["&amp;$B39&amp;"]"),Tabela1[Turno],$D39,Tabela1[Data Corrigida],AI$3)/100,"")</f>
        <v/>
      </c>
      <c r="AJ39" s="40" t="str">
        <f ca="1">IFERROR(AVERAGEIFS(INDIRECT("Tabela1["&amp;$B39&amp;"]"),Tabela1[Turno],$D39,Tabela1[Data Corrigida],AJ$3)/100,"")</f>
        <v/>
      </c>
      <c r="AK39" s="40" t="str">
        <f ca="1">IFERROR(AVERAGEIFS(INDIRECT("Tabela1["&amp;$B39&amp;"]"),Tabela1[Turno],$D39,Tabela1[Data Corrigida],AK$3)/100,"")</f>
        <v/>
      </c>
      <c r="AL39" s="40" t="str">
        <f ca="1">IFERROR(AVERAGEIFS(INDIRECT("Tabela1["&amp;$B39&amp;"]"),Tabela1[Turno],$D39,Tabela1[Data Corrigida],AL$3)/100,"")</f>
        <v/>
      </c>
      <c r="AM39" s="40" t="str">
        <f ca="1">IFERROR(AVERAGEIFS(INDIRECT("Tabela1["&amp;$B39&amp;"]"),Tabela1[Turno],$D39,Tabela1[Data Corrigida],AM$3)/100,"")</f>
        <v/>
      </c>
    </row>
    <row r="40" spans="1:39" ht="15" customHeight="1" x14ac:dyDescent="0.3">
      <c r="A40" s="50" t="str">
        <f>VLOOKUP(Tabela2[[#This Row],[Item 1]],Apoio!$A$2:$B$41,2,0)</f>
        <v>Eviscer</v>
      </c>
      <c r="B40" s="9" t="str">
        <f t="shared" si="2"/>
        <v>% Corte de Intestino</v>
      </c>
      <c r="C40" s="59"/>
      <c r="D40" s="27" t="s">
        <v>33</v>
      </c>
      <c r="E40" s="36">
        <f ca="1">IFERROR(AVERAGEIFS(INDIRECT("Tabela1["&amp;$B40&amp;"]"),Tabela1[Turno],$D40,Tabela1[Mês],E$3)/100,"")</f>
        <v>5.1999999999999998E-3</v>
      </c>
      <c r="F40" s="36">
        <f ca="1">IFERROR(AVERAGEIFS(INDIRECT("Tabela1["&amp;$B40&amp;"]"),Tabela1[Turno],$D40,Tabela1[Mês],F$3)/100,"")</f>
        <v>8.0000000000000002E-3</v>
      </c>
      <c r="G40" s="36">
        <f ca="1">IFERROR(AVERAGEIFS(INDIRECT("Tabela1["&amp;$B40&amp;"]"),Tabela1[Turno],$D40,Tabela1[Mês],G$3)/100,"")</f>
        <v>1.6399999999999998E-2</v>
      </c>
      <c r="H40" s="36" t="str">
        <f ca="1">IFERROR(AVERAGEIFS(INDIRECT("Tabela1["&amp;$B40&amp;"]"),Tabela1[Turno],$D40,Tabela1[Mês],H$3)/100,"")</f>
        <v/>
      </c>
      <c r="I40" s="36">
        <f ca="1">IFERROR(AVERAGEIFS(INDIRECT("Tabela1["&amp;$B40&amp;"]"),Tabela1[Turno],$D40,Tabela1[Mês],I$3)/100,"")</f>
        <v>1.9799999999999998E-2</v>
      </c>
      <c r="J40" s="36">
        <f ca="1">IFERROR(AVERAGEIFS(INDIRECT("Tabela1["&amp;$B40&amp;"]"),Tabela1[Turno],$D40,Tabela1[Mês],J$3)/100,"")</f>
        <v>1.77E-2</v>
      </c>
      <c r="K40" s="36">
        <f ca="1">IFERROR(AVERAGEIFS(INDIRECT("Tabela1["&amp;$B40&amp;"]"),Tabela1[Turno],$D40,Tabela1[Mês],K$3)/100,"")</f>
        <v>6.4451010736480694E-3</v>
      </c>
      <c r="L40" s="36">
        <f ca="1">IFERROR(AVERAGEIFS(INDIRECT("Tabela1["&amp;$B40&amp;"]"),Tabela1[Turno],$D40,Tabela1[Mês],L$3)/100,"")</f>
        <v>1.7241379310344826E-4</v>
      </c>
      <c r="M40" s="36">
        <f ca="1">IFERROR(AVERAGEIFS(INDIRECT("Tabela1["&amp;$B40&amp;"]"),Tabela1[Turno],$D40,Tabela1[Mês],M$3)/100,"")</f>
        <v>0</v>
      </c>
      <c r="N40" s="36">
        <f ca="1">IFERROR(AVERAGEIFS(INDIRECT("Tabela1["&amp;$B40&amp;"]"),Tabela1[Turno],$D40,Tabela1[Mês],N$3)/100,"")</f>
        <v>0</v>
      </c>
      <c r="O40" s="36" t="str">
        <f ca="1">IFERROR(AVERAGEIFS(INDIRECT("Tabela1["&amp;$B40&amp;"]"),Tabela1[Turno],$D40,Tabela1[Mês],O$3)/100,"")</f>
        <v/>
      </c>
      <c r="P40" s="41" t="str">
        <f ca="1">IFERROR(AVERAGEIFS(INDIRECT("Tabela1["&amp;$B40&amp;"]"),Tabela1[Turno],$D40,Tabela1[Mês],P$3)/100,"")</f>
        <v/>
      </c>
      <c r="Q40" s="62"/>
      <c r="R40" s="35">
        <f ca="1">IFERROR(AVERAGEIFS(INDIRECT("Tabela1["&amp;$B40&amp;"]"),Tabela1[Turno],$D40,Tabela1[Data Corrigida],R$3)/100,"")</f>
        <v>0</v>
      </c>
      <c r="S40" s="36">
        <f ca="1">IFERROR(AVERAGEIFS(INDIRECT("Tabela1["&amp;$B40&amp;"]"),Tabela1[Turno],$D40,Tabela1[Data Corrigida],S$3)/100,"")</f>
        <v>0</v>
      </c>
      <c r="T40" s="36">
        <f ca="1">IFERROR(AVERAGEIFS(INDIRECT("Tabela1["&amp;$B40&amp;"]"),Tabela1[Turno],$D40,Tabela1[Data Corrigida],T$3)/100,"")</f>
        <v>0</v>
      </c>
      <c r="U40" s="36">
        <f ca="1">IFERROR(AVERAGEIFS(INDIRECT("Tabela1["&amp;$B40&amp;"]"),Tabela1[Turno],$D40,Tabela1[Data Corrigida],U$3)/100,"")</f>
        <v>0</v>
      </c>
      <c r="V40" s="36">
        <f ca="1">IFERROR(AVERAGEIFS(INDIRECT("Tabela1["&amp;$B40&amp;"]"),Tabela1[Turno],$D40,Tabela1[Data Corrigida],V$3)/100,"")</f>
        <v>0</v>
      </c>
      <c r="W40" s="36">
        <f ca="1">IFERROR(AVERAGEIFS(INDIRECT("Tabela1["&amp;$B40&amp;"]"),Tabela1[Turno],$D40,Tabela1[Data Corrigida],W$3)/100,"")</f>
        <v>0</v>
      </c>
      <c r="X40" s="36">
        <f ca="1">IFERROR(AVERAGEIFS(INDIRECT("Tabela1["&amp;$B40&amp;"]"),Tabela1[Turno],$D40,Tabela1[Data Corrigida],X$3)/100,"")</f>
        <v>0</v>
      </c>
      <c r="Y40" s="36" t="str">
        <f ca="1">IFERROR(AVERAGEIFS(INDIRECT("Tabela1["&amp;$B40&amp;"]"),Tabela1[Turno],$D40,Tabela1[Data Corrigida],Y$3)/100,"")</f>
        <v/>
      </c>
      <c r="Z40" s="36" t="str">
        <f ca="1">IFERROR(AVERAGEIFS(INDIRECT("Tabela1["&amp;$B40&amp;"]"),Tabela1[Turno],$D40,Tabela1[Data Corrigida],Z$3)/100,"")</f>
        <v/>
      </c>
      <c r="AA40" s="36" t="str">
        <f ca="1">IFERROR(AVERAGEIFS(INDIRECT("Tabela1["&amp;$B40&amp;"]"),Tabela1[Turno],$D40,Tabela1[Data Corrigida],AA$3)/100,"")</f>
        <v/>
      </c>
      <c r="AB40" s="36" t="str">
        <f ca="1">IFERROR(AVERAGEIFS(INDIRECT("Tabela1["&amp;$B40&amp;"]"),Tabela1[Turno],$D40,Tabela1[Data Corrigida],AB$3)/100,"")</f>
        <v/>
      </c>
      <c r="AC40" s="36" t="str">
        <f ca="1">IFERROR(AVERAGEIFS(INDIRECT("Tabela1["&amp;$B40&amp;"]"),Tabela1[Turno],$D40,Tabela1[Data Corrigida],AC$3)/100,"")</f>
        <v/>
      </c>
      <c r="AD40" s="36" t="str">
        <f ca="1">IFERROR(AVERAGEIFS(INDIRECT("Tabela1["&amp;$B40&amp;"]"),Tabela1[Turno],$D40,Tabela1[Data Corrigida],AD$3)/100,"")</f>
        <v/>
      </c>
      <c r="AE40" s="36" t="str">
        <f ca="1">IFERROR(AVERAGEIFS(INDIRECT("Tabela1["&amp;$B40&amp;"]"),Tabela1[Turno],$D40,Tabela1[Data Corrigida],AE$3)/100,"")</f>
        <v/>
      </c>
      <c r="AF40" s="36" t="str">
        <f ca="1">IFERROR(AVERAGEIFS(INDIRECT("Tabela1["&amp;$B40&amp;"]"),Tabela1[Turno],$D40,Tabela1[Data Corrigida],AF$3)/100,"")</f>
        <v/>
      </c>
      <c r="AG40" s="36" t="str">
        <f ca="1">IFERROR(AVERAGEIFS(INDIRECT("Tabela1["&amp;$B40&amp;"]"),Tabela1[Turno],$D40,Tabela1[Data Corrigida],AG$3)/100,"")</f>
        <v/>
      </c>
      <c r="AH40" s="36" t="str">
        <f ca="1">IFERROR(AVERAGEIFS(INDIRECT("Tabela1["&amp;$B40&amp;"]"),Tabela1[Turno],$D40,Tabela1[Data Corrigida],AH$3)/100,"")</f>
        <v/>
      </c>
      <c r="AI40" s="36" t="str">
        <f ca="1">IFERROR(AVERAGEIFS(INDIRECT("Tabela1["&amp;$B40&amp;"]"),Tabela1[Turno],$D40,Tabela1[Data Corrigida],AI$3)/100,"")</f>
        <v/>
      </c>
      <c r="AJ40" s="36" t="str">
        <f ca="1">IFERROR(AVERAGEIFS(INDIRECT("Tabela1["&amp;$B40&amp;"]"),Tabela1[Turno],$D40,Tabela1[Data Corrigida],AJ$3)/100,"")</f>
        <v/>
      </c>
      <c r="AK40" s="36" t="str">
        <f ca="1">IFERROR(AVERAGEIFS(INDIRECT("Tabela1["&amp;$B40&amp;"]"),Tabela1[Turno],$D40,Tabela1[Data Corrigida],AK$3)/100,"")</f>
        <v/>
      </c>
      <c r="AL40" s="36" t="str">
        <f ca="1">IFERROR(AVERAGEIFS(INDIRECT("Tabela1["&amp;$B40&amp;"]"),Tabela1[Turno],$D40,Tabela1[Data Corrigida],AL$3)/100,"")</f>
        <v/>
      </c>
      <c r="AM40" s="36" t="str">
        <f ca="1">IFERROR(AVERAGEIFS(INDIRECT("Tabela1["&amp;$B40&amp;"]"),Tabela1[Turno],$D40,Tabela1[Data Corrigida],AM$3)/100,"")</f>
        <v/>
      </c>
    </row>
    <row r="41" spans="1:39" ht="15" customHeight="1" thickBot="1" x14ac:dyDescent="0.35">
      <c r="A41" s="50" t="str">
        <f>VLOOKUP(Tabela2[[#This Row],[Item 1]],Apoio!$A$2:$B$41,2,0)</f>
        <v>Eviscer</v>
      </c>
      <c r="B41" s="9" t="str">
        <f t="shared" si="2"/>
        <v>% Corte de Intestino</v>
      </c>
      <c r="C41" s="60"/>
      <c r="D41" s="28" t="s">
        <v>5</v>
      </c>
      <c r="E41" s="45">
        <f ca="1">IFERROR(AVERAGEIFS(INDIRECT("Tabela1["&amp;$B41&amp;"]"),Tabela1[Mês],E$3)/100,"")</f>
        <v>1.7849999999999998E-2</v>
      </c>
      <c r="F41" s="45">
        <f ca="1">IFERROR(AVERAGEIFS(INDIRECT("Tabela1["&amp;$B41&amp;"]"),Tabela1[Mês],F$3)/100,"")</f>
        <v>9.6499999999999989E-3</v>
      </c>
      <c r="G41" s="45">
        <f ca="1">IFERROR(AVERAGEIFS(INDIRECT("Tabela1["&amp;$B41&amp;"]"),Tabela1[Mês],G$3)/100,"")</f>
        <v>1.7349999999999997E-2</v>
      </c>
      <c r="H41" s="45">
        <f ca="1">IFERROR(AVERAGEIFS(INDIRECT("Tabela1["&amp;$B41&amp;"]"),Tabela1[Mês],H$3)/100,"")</f>
        <v>2.12E-2</v>
      </c>
      <c r="I41" s="45">
        <f ca="1">IFERROR(AVERAGEIFS(INDIRECT("Tabela1["&amp;$B41&amp;"]"),Tabela1[Mês],I$3)/100,"")</f>
        <v>2.0799999999999999E-2</v>
      </c>
      <c r="J41" s="45">
        <f ca="1">IFERROR(AVERAGEIFS(INDIRECT("Tabela1["&amp;$B41&amp;"]"),Tabela1[Mês],J$3)/100,"")</f>
        <v>1.9400000000000001E-2</v>
      </c>
      <c r="K41" s="45">
        <f ca="1">IFERROR(AVERAGEIFS(INDIRECT("Tabela1["&amp;$B41&amp;"]"),Tabela1[Mês],K$3)/100,"")</f>
        <v>1.0259896317298525E-2</v>
      </c>
      <c r="L41" s="45">
        <f ca="1">IFERROR(AVERAGEIFS(INDIRECT("Tabela1["&amp;$B41&amp;"]"),Tabela1[Mês],L$3)/100,"")</f>
        <v>6.3644341373313221E-3</v>
      </c>
      <c r="M41" s="45">
        <f ca="1">IFERROR(AVERAGEIFS(INDIRECT("Tabela1["&amp;$B41&amp;"]"),Tabela1[Mês],M$3)/100,"")</f>
        <v>7.9741469150883121E-3</v>
      </c>
      <c r="N41" s="45">
        <f ca="1">IFERROR(AVERAGEIFS(INDIRECT("Tabela1["&amp;$B41&amp;"]"),Tabela1[Mês],N$3)/100,"")</f>
        <v>9.3190927126429561E-3</v>
      </c>
      <c r="O41" s="45" t="str">
        <f ca="1">IFERROR(AVERAGEIFS(INDIRECT("Tabela1["&amp;$B41&amp;"]"),Tabela1[Mês],O$3)/100,"")</f>
        <v/>
      </c>
      <c r="P41" s="46" t="str">
        <f ca="1">IFERROR(AVERAGEIFS(INDIRECT("Tabela1["&amp;$B41&amp;"]"),Tabela1[Mês],P$3)/100,"")</f>
        <v/>
      </c>
      <c r="Q41" s="63"/>
      <c r="R41" s="42">
        <f ca="1">IFERROR(AVERAGEIFS(INDIRECT("Tabela1["&amp;$B41&amp;"]"),Tabela1[Data Corrigida],R$3)/100,"")</f>
        <v>9.7604259094942313E-3</v>
      </c>
      <c r="S41" s="43">
        <f ca="1">IFERROR(AVERAGEIFS(INDIRECT("Tabela1["&amp;$B41&amp;"]"),Tabela1[Data Corrigida],S$3)/100,"")</f>
        <v>7.2160162654177707E-3</v>
      </c>
      <c r="T41" s="43">
        <f ca="1">IFERROR(AVERAGEIFS(INDIRECT("Tabela1["&amp;$B41&amp;"]"),Tabela1[Data Corrigida],T$3)/100,"")</f>
        <v>4.807692307692308E-3</v>
      </c>
      <c r="U41" s="43">
        <f ca="1">IFERROR(AVERAGEIFS(INDIRECT("Tabela1["&amp;$B41&amp;"]"),Tabela1[Data Corrigida],U$3)/100,"")</f>
        <v>9.9310627260937832E-3</v>
      </c>
      <c r="V41" s="43">
        <f ca="1">IFERROR(AVERAGEIFS(INDIRECT("Tabela1["&amp;$B41&amp;"]"),Tabela1[Data Corrigida],V$3)/100,"")</f>
        <v>1.0048468252573391E-2</v>
      </c>
      <c r="W41" s="43">
        <f ca="1">IFERROR(AVERAGEIFS(INDIRECT("Tabela1["&amp;$B41&amp;"]"),Tabela1[Data Corrigida],W$3)/100,"")</f>
        <v>7.4453496813745258E-3</v>
      </c>
      <c r="X41" s="43">
        <f ca="1">IFERROR(AVERAGEIFS(INDIRECT("Tabela1["&amp;$B41&amp;"]"),Tabela1[Data Corrigida],X$3)/100,"")</f>
        <v>8.9906391580530862E-3</v>
      </c>
      <c r="Y41" s="43">
        <f ca="1">IFERROR(AVERAGEIFS(INDIRECT("Tabela1["&amp;$B41&amp;"]"),Tabela1[Data Corrigida],Y$3)/100,"")</f>
        <v>1.8245033112582784E-2</v>
      </c>
      <c r="Z41" s="43" t="str">
        <f ca="1">IFERROR(AVERAGEIFS(INDIRECT("Tabela1["&amp;$B41&amp;"]"),Tabela1[Data Corrigida],Z$3)/100,"")</f>
        <v/>
      </c>
      <c r="AA41" s="43" t="str">
        <f ca="1">IFERROR(AVERAGEIFS(INDIRECT("Tabela1["&amp;$B41&amp;"]"),Tabela1[Data Corrigida],AA$3)/100,"")</f>
        <v/>
      </c>
      <c r="AB41" s="43" t="str">
        <f ca="1">IFERROR(AVERAGEIFS(INDIRECT("Tabela1["&amp;$B41&amp;"]"),Tabela1[Data Corrigida],AB$3)/100,"")</f>
        <v/>
      </c>
      <c r="AC41" s="43" t="str">
        <f ca="1">IFERROR(AVERAGEIFS(INDIRECT("Tabela1["&amp;$B41&amp;"]"),Tabela1[Data Corrigida],AC$3)/100,"")</f>
        <v/>
      </c>
      <c r="AD41" s="43" t="str">
        <f ca="1">IFERROR(AVERAGEIFS(INDIRECT("Tabela1["&amp;$B41&amp;"]"),Tabela1[Data Corrigida],AD$3)/100,"")</f>
        <v/>
      </c>
      <c r="AE41" s="43" t="str">
        <f ca="1">IFERROR(AVERAGEIFS(INDIRECT("Tabela1["&amp;$B41&amp;"]"),Tabela1[Data Corrigida],AE$3)/100,"")</f>
        <v/>
      </c>
      <c r="AF41" s="43" t="str">
        <f ca="1">IFERROR(AVERAGEIFS(INDIRECT("Tabela1["&amp;$B41&amp;"]"),Tabela1[Data Corrigida],AF$3)/100,"")</f>
        <v/>
      </c>
      <c r="AG41" s="43" t="str">
        <f ca="1">IFERROR(AVERAGEIFS(INDIRECT("Tabela1["&amp;$B41&amp;"]"),Tabela1[Data Corrigida],AG$3)/100,"")</f>
        <v/>
      </c>
      <c r="AH41" s="43" t="str">
        <f ca="1">IFERROR(AVERAGEIFS(INDIRECT("Tabela1["&amp;$B41&amp;"]"),Tabela1[Data Corrigida],AH$3)/100,"")</f>
        <v/>
      </c>
      <c r="AI41" s="43" t="str">
        <f ca="1">IFERROR(AVERAGEIFS(INDIRECT("Tabela1["&amp;$B41&amp;"]"),Tabela1[Data Corrigida],AI$3)/100,"")</f>
        <v/>
      </c>
      <c r="AJ41" s="43" t="str">
        <f ca="1">IFERROR(AVERAGEIFS(INDIRECT("Tabela1["&amp;$B41&amp;"]"),Tabela1[Data Corrigida],AJ$3)/100,"")</f>
        <v/>
      </c>
      <c r="AK41" s="43" t="str">
        <f ca="1">IFERROR(AVERAGEIFS(INDIRECT("Tabela1["&amp;$B41&amp;"]"),Tabela1[Data Corrigida],AK$3)/100,"")</f>
        <v/>
      </c>
      <c r="AL41" s="43" t="str">
        <f ca="1">IFERROR(AVERAGEIFS(INDIRECT("Tabela1["&amp;$B41&amp;"]"),Tabela1[Data Corrigida],AL$3)/100,"")</f>
        <v/>
      </c>
      <c r="AM41" s="43" t="str">
        <f ca="1">IFERROR(AVERAGEIFS(INDIRECT("Tabela1["&amp;$B41&amp;"]"),Tabela1[Data Corrigida],AM$3)/100,"")</f>
        <v/>
      </c>
    </row>
    <row r="42" spans="1:39" ht="15" customHeight="1" thickTop="1" x14ac:dyDescent="0.3">
      <c r="A42" s="50" t="str">
        <f>VLOOKUP(Tabela2[[#This Row],[Item 1]],Apoio!$A$2:$B$41,2,0)</f>
        <v>Eviscer</v>
      </c>
      <c r="B42" s="9" t="str">
        <f t="shared" si="2"/>
        <v>% Carcaças com Pacotes Mal Extraídos</v>
      </c>
      <c r="C42" s="58" t="str">
        <f>'BD - 022 Evisceração'!AP1</f>
        <v>% Carcaças com Pacotes Mal Extraídos</v>
      </c>
      <c r="D42" s="26" t="s">
        <v>21</v>
      </c>
      <c r="E42" s="34">
        <f ca="1">IFERROR(AVERAGEIFS(INDIRECT("Tabela1["&amp;$B42&amp;"]"),Tabela1[Turno],$D42,Tabela1[Mês],E$3)/100,"")</f>
        <v>0.1784</v>
      </c>
      <c r="F42" s="34">
        <f ca="1">IFERROR(AVERAGEIFS(INDIRECT("Tabela1["&amp;$B42&amp;"]"),Tabela1[Turno],$D42,Tabela1[Mês],F$3)/100,"")</f>
        <v>6.5799999999999997E-2</v>
      </c>
      <c r="G42" s="34">
        <f ca="1">IFERROR(AVERAGEIFS(INDIRECT("Tabela1["&amp;$B42&amp;"]"),Tabela1[Turno],$D42,Tabela1[Mês],G$3)/100,"")</f>
        <v>6.59E-2</v>
      </c>
      <c r="H42" s="34">
        <f ca="1">IFERROR(AVERAGEIFS(INDIRECT("Tabela1["&amp;$B42&amp;"]"),Tabela1[Turno],$D42,Tabela1[Mês],H$3)/100,"")</f>
        <v>7.5800000000000006E-2</v>
      </c>
      <c r="I42" s="34">
        <f ca="1">IFERROR(AVERAGEIFS(INDIRECT("Tabela1["&amp;$B42&amp;"]"),Tabela1[Turno],$D42,Tabela1[Mês],I$3)/100,"")</f>
        <v>0.10150000000000001</v>
      </c>
      <c r="J42" s="34">
        <f ca="1">IFERROR(AVERAGEIFS(INDIRECT("Tabela1["&amp;$B42&amp;"]"),Tabela1[Turno],$D42,Tabela1[Mês],J$3)/100,"")</f>
        <v>0.1065</v>
      </c>
      <c r="K42" s="34">
        <f ca="1">IFERROR(AVERAGEIFS(INDIRECT("Tabela1["&amp;$B42&amp;"]"),Tabela1[Turno],$D42,Tabela1[Mês],K$3)/100,"")</f>
        <v>9.7794249171856015E-2</v>
      </c>
      <c r="L42" s="34">
        <f ca="1">IFERROR(AVERAGEIFS(INDIRECT("Tabela1["&amp;$B42&amp;"]"),Tabela1[Turno],$D42,Tabela1[Mês],L$3)/100,"")</f>
        <v>3.8582055936626773E-2</v>
      </c>
      <c r="M42" s="34">
        <f ca="1">IFERROR(AVERAGEIFS(INDIRECT("Tabela1["&amp;$B42&amp;"]"),Tabela1[Turno],$D42,Tabela1[Mês],M$3)/100,"")</f>
        <v>5.8084407401589239E-2</v>
      </c>
      <c r="N42" s="34">
        <f ca="1">IFERROR(AVERAGEIFS(INDIRECT("Tabela1["&amp;$B42&amp;"]"),Tabela1[Turno],$D42,Tabela1[Mês],N$3)/100,"")</f>
        <v>5.3503008999896309E-2</v>
      </c>
      <c r="O42" s="34" t="str">
        <f ca="1">IFERROR(AVERAGEIFS(INDIRECT("Tabela1["&amp;$B42&amp;"]"),Tabela1[Turno],$D42,Tabela1[Mês],O$3)/100,"")</f>
        <v/>
      </c>
      <c r="P42" s="44" t="str">
        <f ca="1">IFERROR(AVERAGEIFS(INDIRECT("Tabela1["&amp;$B42&amp;"]"),Tabela1[Turno],$D42,Tabela1[Mês],P$3)/100,"")</f>
        <v/>
      </c>
      <c r="Q42" s="61">
        <v>0.04</v>
      </c>
      <c r="R42" s="33">
        <f ca="1">IFERROR(AVERAGEIFS(INDIRECT("Tabela1["&amp;$B42&amp;"]"),Tabela1[Turno],$D42,Tabela1[Data Corrigida],R$3)/100,"")</f>
        <v>4.0372670807453409E-2</v>
      </c>
      <c r="S42" s="34">
        <f ca="1">IFERROR(AVERAGEIFS(INDIRECT("Tabela1["&amp;$B42&amp;"]"),Tabela1[Turno],$D42,Tabela1[Data Corrigida],S$3)/100,"")</f>
        <v>3.63312903623874E-2</v>
      </c>
      <c r="T42" s="34">
        <f ca="1">IFERROR(AVERAGEIFS(INDIRECT("Tabela1["&amp;$B42&amp;"]"),Tabela1[Turno],$D42,Tabela1[Data Corrigida],T$3)/100,"")</f>
        <v>3.8461538461538464E-2</v>
      </c>
      <c r="U42" s="34">
        <f ca="1">IFERROR(AVERAGEIFS(INDIRECT("Tabela1["&amp;$B42&amp;"]"),Tabela1[Turno],$D42,Tabela1[Data Corrigida],U$3)/100,"")</f>
        <v>4.106943780856824E-2</v>
      </c>
      <c r="V42" s="34">
        <f ca="1">IFERROR(AVERAGEIFS(INDIRECT("Tabela1["&amp;$B42&amp;"]"),Tabela1[Turno],$D42,Tabela1[Data Corrigida],V$3)/100,"")</f>
        <v>5.9068472558250845E-2</v>
      </c>
      <c r="W42" s="34">
        <f ca="1">IFERROR(AVERAGEIFS(INDIRECT("Tabela1["&amp;$B42&amp;"]"),Tabela1[Turno],$D42,Tabela1[Data Corrigida],W$3)/100,"")</f>
        <v>6.2224731789949174E-2</v>
      </c>
      <c r="X42" s="34">
        <f ca="1">IFERROR(AVERAGEIFS(INDIRECT("Tabela1["&amp;$B42&amp;"]"),Tabela1[Turno],$D42,Tabela1[Data Corrigida],X$3)/100,"")</f>
        <v>6.4590103245444452E-2</v>
      </c>
      <c r="Y42" s="34">
        <f ca="1">IFERROR(AVERAGEIFS(INDIRECT("Tabela1["&amp;$B42&amp;"]"),Tabela1[Turno],$D42,Tabela1[Data Corrigida],Y$3)/100,"")</f>
        <v>7.4624724061810158E-2</v>
      </c>
      <c r="Z42" s="34" t="str">
        <f ca="1">IFERROR(AVERAGEIFS(INDIRECT("Tabela1["&amp;$B42&amp;"]"),Tabela1[Turno],$D42,Tabela1[Data Corrigida],Z$3)/100,"")</f>
        <v/>
      </c>
      <c r="AA42" s="34" t="str">
        <f ca="1">IFERROR(AVERAGEIFS(INDIRECT("Tabela1["&amp;$B42&amp;"]"),Tabela1[Turno],$D42,Tabela1[Data Corrigida],AA$3)/100,"")</f>
        <v/>
      </c>
      <c r="AB42" s="34" t="str">
        <f ca="1">IFERROR(AVERAGEIFS(INDIRECT("Tabela1["&amp;$B42&amp;"]"),Tabela1[Turno],$D42,Tabela1[Data Corrigida],AB$3)/100,"")</f>
        <v/>
      </c>
      <c r="AC42" s="34" t="str">
        <f ca="1">IFERROR(AVERAGEIFS(INDIRECT("Tabela1["&amp;$B42&amp;"]"),Tabela1[Turno],$D42,Tabela1[Data Corrigida],AC$3)/100,"")</f>
        <v/>
      </c>
      <c r="AD42" s="34" t="str">
        <f ca="1">IFERROR(AVERAGEIFS(INDIRECT("Tabela1["&amp;$B42&amp;"]"),Tabela1[Turno],$D42,Tabela1[Data Corrigida],AD$3)/100,"")</f>
        <v/>
      </c>
      <c r="AE42" s="34" t="str">
        <f ca="1">IFERROR(AVERAGEIFS(INDIRECT("Tabela1["&amp;$B42&amp;"]"),Tabela1[Turno],$D42,Tabela1[Data Corrigida],AE$3)/100,"")</f>
        <v/>
      </c>
      <c r="AF42" s="34" t="str">
        <f ca="1">IFERROR(AVERAGEIFS(INDIRECT("Tabela1["&amp;$B42&amp;"]"),Tabela1[Turno],$D42,Tabela1[Data Corrigida],AF$3)/100,"")</f>
        <v/>
      </c>
      <c r="AG42" s="34" t="str">
        <f ca="1">IFERROR(AVERAGEIFS(INDIRECT("Tabela1["&amp;$B42&amp;"]"),Tabela1[Turno],$D42,Tabela1[Data Corrigida],AG$3)/100,"")</f>
        <v/>
      </c>
      <c r="AH42" s="34" t="str">
        <f ca="1">IFERROR(AVERAGEIFS(INDIRECT("Tabela1["&amp;$B42&amp;"]"),Tabela1[Turno],$D42,Tabela1[Data Corrigida],AH$3)/100,"")</f>
        <v/>
      </c>
      <c r="AI42" s="34" t="str">
        <f ca="1">IFERROR(AVERAGEIFS(INDIRECT("Tabela1["&amp;$B42&amp;"]"),Tabela1[Turno],$D42,Tabela1[Data Corrigida],AI$3)/100,"")</f>
        <v/>
      </c>
      <c r="AJ42" s="34" t="str">
        <f ca="1">IFERROR(AVERAGEIFS(INDIRECT("Tabela1["&amp;$B42&amp;"]"),Tabela1[Turno],$D42,Tabela1[Data Corrigida],AJ$3)/100,"")</f>
        <v/>
      </c>
      <c r="AK42" s="34" t="str">
        <f ca="1">IFERROR(AVERAGEIFS(INDIRECT("Tabela1["&amp;$B42&amp;"]"),Tabela1[Turno],$D42,Tabela1[Data Corrigida],AK$3)/100,"")</f>
        <v/>
      </c>
      <c r="AL42" s="34" t="str">
        <f ca="1">IFERROR(AVERAGEIFS(INDIRECT("Tabela1["&amp;$B42&amp;"]"),Tabela1[Turno],$D42,Tabela1[Data Corrigida],AL$3)/100,"")</f>
        <v/>
      </c>
      <c r="AM42" s="34" t="str">
        <f ca="1">IFERROR(AVERAGEIFS(INDIRECT("Tabela1["&amp;$B42&amp;"]"),Tabela1[Turno],$D42,Tabela1[Data Corrigida],AM$3)/100,"")</f>
        <v/>
      </c>
    </row>
    <row r="43" spans="1:39" ht="15" customHeight="1" x14ac:dyDescent="0.3">
      <c r="A43" s="50" t="str">
        <f>VLOOKUP(Tabela2[[#This Row],[Item 1]],Apoio!$A$2:$B$41,2,0)</f>
        <v>Eviscer</v>
      </c>
      <c r="B43" s="9" t="str">
        <f t="shared" si="2"/>
        <v>% Carcaças com Pacotes Mal Extraídos</v>
      </c>
      <c r="C43" s="59"/>
      <c r="D43" s="27" t="s">
        <v>33</v>
      </c>
      <c r="E43" s="36">
        <f ca="1">IFERROR(AVERAGEIFS(INDIRECT("Tabela1["&amp;$B43&amp;"]"),Tabela1[Turno],$D43,Tabela1[Mês],E$3)/100,"")</f>
        <v>0.14800000000000002</v>
      </c>
      <c r="F43" s="36">
        <f ca="1">IFERROR(AVERAGEIFS(INDIRECT("Tabela1["&amp;$B43&amp;"]"),Tabela1[Turno],$D43,Tabela1[Mês],F$3)/100,"")</f>
        <v>6.4500000000000002E-2</v>
      </c>
      <c r="G43" s="36">
        <f ca="1">IFERROR(AVERAGEIFS(INDIRECT("Tabela1["&amp;$B43&amp;"]"),Tabela1[Turno],$D43,Tabela1[Mês],G$3)/100,"")</f>
        <v>7.1199999999999999E-2</v>
      </c>
      <c r="H43" s="36" t="str">
        <f ca="1">IFERROR(AVERAGEIFS(INDIRECT("Tabela1["&amp;$B43&amp;"]"),Tabela1[Turno],$D43,Tabela1[Mês],H$3)/100,"")</f>
        <v/>
      </c>
      <c r="I43" s="36">
        <f ca="1">IFERROR(AVERAGEIFS(INDIRECT("Tabela1["&amp;$B43&amp;"]"),Tabela1[Turno],$D43,Tabela1[Mês],I$3)/100,"")</f>
        <v>0.11169999999999999</v>
      </c>
      <c r="J43" s="36">
        <f ca="1">IFERROR(AVERAGEIFS(INDIRECT("Tabela1["&amp;$B43&amp;"]"),Tabela1[Turno],$D43,Tabela1[Mês],J$3)/100,"")</f>
        <v>9.4899999999999998E-2</v>
      </c>
      <c r="K43" s="36">
        <f ca="1">IFERROR(AVERAGEIFS(INDIRECT("Tabela1["&amp;$B43&amp;"]"),Tabela1[Turno],$D43,Tabela1[Mês],K$3)/100,"")</f>
        <v>6.087937728912643E-2</v>
      </c>
      <c r="L43" s="36">
        <f ca="1">IFERROR(AVERAGEIFS(INDIRECT("Tabela1["&amp;$B43&amp;"]"),Tabela1[Turno],$D43,Tabela1[Mês],L$3)/100,"")</f>
        <v>3.7628258173570156E-2</v>
      </c>
      <c r="M43" s="36">
        <f ca="1">IFERROR(AVERAGEIFS(INDIRECT("Tabela1["&amp;$B43&amp;"]"),Tabela1[Turno],$D43,Tabela1[Mês],M$3)/100,"")</f>
        <v>5.6970535423727854E-2</v>
      </c>
      <c r="N43" s="36">
        <f ca="1">IFERROR(AVERAGEIFS(INDIRECT("Tabela1["&amp;$B43&amp;"]"),Tabela1[Turno],$D43,Tabela1[Mês],N$3)/100,"")</f>
        <v>4.2977460564473172E-2</v>
      </c>
      <c r="O43" s="36" t="str">
        <f ca="1">IFERROR(AVERAGEIFS(INDIRECT("Tabela1["&amp;$B43&amp;"]"),Tabela1[Turno],$D43,Tabela1[Mês],O$3)/100,"")</f>
        <v/>
      </c>
      <c r="P43" s="41" t="str">
        <f ca="1">IFERROR(AVERAGEIFS(INDIRECT("Tabela1["&amp;$B43&amp;"]"),Tabela1[Turno],$D43,Tabela1[Mês],P$3)/100,"")</f>
        <v/>
      </c>
      <c r="Q43" s="62"/>
      <c r="R43" s="35">
        <f ca="1">IFERROR(AVERAGEIFS(INDIRECT("Tabela1["&amp;$B43&amp;"]"),Tabela1[Turno],$D43,Tabela1[Data Corrigida],R$3)/100,"")</f>
        <v>3.2689532689532681E-2</v>
      </c>
      <c r="S43" s="36">
        <f ca="1">IFERROR(AVERAGEIFS(INDIRECT("Tabela1["&amp;$B43&amp;"]"),Tabela1[Turno],$D43,Tabela1[Data Corrigida],S$3)/100,"")</f>
        <v>2.5449271701145762E-2</v>
      </c>
      <c r="T43" s="36">
        <f ca="1">IFERROR(AVERAGEIFS(INDIRECT("Tabela1["&amp;$B43&amp;"]"),Tabela1[Turno],$D43,Tabela1[Data Corrigida],T$3)/100,"")</f>
        <v>7.0690870764148747E-2</v>
      </c>
      <c r="U43" s="36">
        <f ca="1">IFERROR(AVERAGEIFS(INDIRECT("Tabela1["&amp;$B43&amp;"]"),Tabela1[Turno],$D43,Tabela1[Data Corrigida],U$3)/100,"")</f>
        <v>4.1296405036863042E-2</v>
      </c>
      <c r="V43" s="36">
        <f ca="1">IFERROR(AVERAGEIFS(INDIRECT("Tabela1["&amp;$B43&amp;"]"),Tabela1[Turno],$D43,Tabela1[Data Corrigida],V$3)/100,"")</f>
        <v>4.5357541009714925E-2</v>
      </c>
      <c r="W43" s="36">
        <f ca="1">IFERROR(AVERAGEIFS(INDIRECT("Tabela1["&amp;$B43&amp;"]"),Tabela1[Turno],$D43,Tabela1[Data Corrigida],W$3)/100,"")</f>
        <v>3.8158942506768594E-2</v>
      </c>
      <c r="X43" s="36">
        <f ca="1">IFERROR(AVERAGEIFS(INDIRECT("Tabela1["&amp;$B43&amp;"]"),Tabela1[Turno],$D43,Tabela1[Data Corrigida],X$3)/100,"")</f>
        <v>4.7199660243138507E-2</v>
      </c>
      <c r="Y43" s="36" t="str">
        <f ca="1">IFERROR(AVERAGEIFS(INDIRECT("Tabela1["&amp;$B43&amp;"]"),Tabela1[Turno],$D43,Tabela1[Data Corrigida],Y$3)/100,"")</f>
        <v/>
      </c>
      <c r="Z43" s="36" t="str">
        <f ca="1">IFERROR(AVERAGEIFS(INDIRECT("Tabela1["&amp;$B43&amp;"]"),Tabela1[Turno],$D43,Tabela1[Data Corrigida],Z$3)/100,"")</f>
        <v/>
      </c>
      <c r="AA43" s="36" t="str">
        <f ca="1">IFERROR(AVERAGEIFS(INDIRECT("Tabela1["&amp;$B43&amp;"]"),Tabela1[Turno],$D43,Tabela1[Data Corrigida],AA$3)/100,"")</f>
        <v/>
      </c>
      <c r="AB43" s="36" t="str">
        <f ca="1">IFERROR(AVERAGEIFS(INDIRECT("Tabela1["&amp;$B43&amp;"]"),Tabela1[Turno],$D43,Tabela1[Data Corrigida],AB$3)/100,"")</f>
        <v/>
      </c>
      <c r="AC43" s="36" t="str">
        <f ca="1">IFERROR(AVERAGEIFS(INDIRECT("Tabela1["&amp;$B43&amp;"]"),Tabela1[Turno],$D43,Tabela1[Data Corrigida],AC$3)/100,"")</f>
        <v/>
      </c>
      <c r="AD43" s="36" t="str">
        <f ca="1">IFERROR(AVERAGEIFS(INDIRECT("Tabela1["&amp;$B43&amp;"]"),Tabela1[Turno],$D43,Tabela1[Data Corrigida],AD$3)/100,"")</f>
        <v/>
      </c>
      <c r="AE43" s="36" t="str">
        <f ca="1">IFERROR(AVERAGEIFS(INDIRECT("Tabela1["&amp;$B43&amp;"]"),Tabela1[Turno],$D43,Tabela1[Data Corrigida],AE$3)/100,"")</f>
        <v/>
      </c>
      <c r="AF43" s="36" t="str">
        <f ca="1">IFERROR(AVERAGEIFS(INDIRECT("Tabela1["&amp;$B43&amp;"]"),Tabela1[Turno],$D43,Tabela1[Data Corrigida],AF$3)/100,"")</f>
        <v/>
      </c>
      <c r="AG43" s="36" t="str">
        <f ca="1">IFERROR(AVERAGEIFS(INDIRECT("Tabela1["&amp;$B43&amp;"]"),Tabela1[Turno],$D43,Tabela1[Data Corrigida],AG$3)/100,"")</f>
        <v/>
      </c>
      <c r="AH43" s="36" t="str">
        <f ca="1">IFERROR(AVERAGEIFS(INDIRECT("Tabela1["&amp;$B43&amp;"]"),Tabela1[Turno],$D43,Tabela1[Data Corrigida],AH$3)/100,"")</f>
        <v/>
      </c>
      <c r="AI43" s="36" t="str">
        <f ca="1">IFERROR(AVERAGEIFS(INDIRECT("Tabela1["&amp;$B43&amp;"]"),Tabela1[Turno],$D43,Tabela1[Data Corrigida],AI$3)/100,"")</f>
        <v/>
      </c>
      <c r="AJ43" s="36" t="str">
        <f ca="1">IFERROR(AVERAGEIFS(INDIRECT("Tabela1["&amp;$B43&amp;"]"),Tabela1[Turno],$D43,Tabela1[Data Corrigida],AJ$3)/100,"")</f>
        <v/>
      </c>
      <c r="AK43" s="36" t="str">
        <f ca="1">IFERROR(AVERAGEIFS(INDIRECT("Tabela1["&amp;$B43&amp;"]"),Tabela1[Turno],$D43,Tabela1[Data Corrigida],AK$3)/100,"")</f>
        <v/>
      </c>
      <c r="AL43" s="36" t="str">
        <f ca="1">IFERROR(AVERAGEIFS(INDIRECT("Tabela1["&amp;$B43&amp;"]"),Tabela1[Turno],$D43,Tabela1[Data Corrigida],AL$3)/100,"")</f>
        <v/>
      </c>
      <c r="AM43" s="36" t="str">
        <f ca="1">IFERROR(AVERAGEIFS(INDIRECT("Tabela1["&amp;$B43&amp;"]"),Tabela1[Turno],$D43,Tabela1[Data Corrigida],AM$3)/100,"")</f>
        <v/>
      </c>
    </row>
    <row r="44" spans="1:39" ht="15" customHeight="1" thickBot="1" x14ac:dyDescent="0.35">
      <c r="A44" s="50" t="str">
        <f>VLOOKUP(Tabela2[[#This Row],[Item 1]],Apoio!$A$2:$B$41,2,0)</f>
        <v>Eviscer</v>
      </c>
      <c r="B44" s="9" t="str">
        <f t="shared" si="2"/>
        <v>% Carcaças com Pacotes Mal Extraídos</v>
      </c>
      <c r="C44" s="60"/>
      <c r="D44" s="28" t="s">
        <v>5</v>
      </c>
      <c r="E44" s="45">
        <f ca="1">IFERROR(AVERAGEIFS(INDIRECT("Tabela1["&amp;$B44&amp;"]"),Tabela1[Mês],E$3)/100,"")</f>
        <v>0.16320000000000001</v>
      </c>
      <c r="F44" s="45">
        <f ca="1">IFERROR(AVERAGEIFS(INDIRECT("Tabela1["&amp;$B44&amp;"]"),Tabela1[Mês],F$3)/100,"")</f>
        <v>6.515E-2</v>
      </c>
      <c r="G44" s="45">
        <f ca="1">IFERROR(AVERAGEIFS(INDIRECT("Tabela1["&amp;$B44&amp;"]"),Tabela1[Mês],G$3)/100,"")</f>
        <v>6.855E-2</v>
      </c>
      <c r="H44" s="45">
        <f ca="1">IFERROR(AVERAGEIFS(INDIRECT("Tabela1["&amp;$B44&amp;"]"),Tabela1[Mês],H$3)/100,"")</f>
        <v>7.5800000000000006E-2</v>
      </c>
      <c r="I44" s="45">
        <f ca="1">IFERROR(AVERAGEIFS(INDIRECT("Tabela1["&amp;$B44&amp;"]"),Tabela1[Mês],I$3)/100,"")</f>
        <v>0.1066</v>
      </c>
      <c r="J44" s="45">
        <f ca="1">IFERROR(AVERAGEIFS(INDIRECT("Tabela1["&amp;$B44&amp;"]"),Tabela1[Mês],J$3)/100,"")</f>
        <v>0.1007</v>
      </c>
      <c r="K44" s="45">
        <f ca="1">IFERROR(AVERAGEIFS(INDIRECT("Tabela1["&amp;$B44&amp;"]"),Tabela1[Mês],K$3)/100,"")</f>
        <v>8.0567308959915526E-2</v>
      </c>
      <c r="L44" s="45">
        <f ca="1">IFERROR(AVERAGEIFS(INDIRECT("Tabela1["&amp;$B44&amp;"]"),Tabela1[Mês],L$3)/100,"")</f>
        <v>3.8154982311377525E-2</v>
      </c>
      <c r="M44" s="45">
        <f ca="1">IFERROR(AVERAGEIFS(INDIRECT("Tabela1["&amp;$B44&amp;"]"),Tabela1[Mês],M$3)/100,"")</f>
        <v>5.7603764013881904E-2</v>
      </c>
      <c r="N44" s="45">
        <f ca="1">IFERROR(AVERAGEIFS(INDIRECT("Tabela1["&amp;$B44&amp;"]"),Tabela1[Mês],N$3)/100,"")</f>
        <v>4.9082278657018613E-2</v>
      </c>
      <c r="O44" s="45" t="str">
        <f ca="1">IFERROR(AVERAGEIFS(INDIRECT("Tabela1["&amp;$B44&amp;"]"),Tabela1[Mês],O$3)/100,"")</f>
        <v/>
      </c>
      <c r="P44" s="46" t="str">
        <f ca="1">IFERROR(AVERAGEIFS(INDIRECT("Tabela1["&amp;$B44&amp;"]"),Tabela1[Mês],P$3)/100,"")</f>
        <v/>
      </c>
      <c r="Q44" s="63"/>
      <c r="R44" s="37">
        <f ca="1">IFERROR(AVERAGEIFS(INDIRECT("Tabela1["&amp;$B44&amp;"]"),Tabela1[Data Corrigida],R$3)/100,"")</f>
        <v>3.7079897328344526E-2</v>
      </c>
      <c r="S44" s="38">
        <f ca="1">IFERROR(AVERAGEIFS(INDIRECT("Tabela1["&amp;$B44&amp;"]"),Tabela1[Data Corrigida],S$3)/100,"")</f>
        <v>3.1667568078998128E-2</v>
      </c>
      <c r="T44" s="38">
        <f ca="1">IFERROR(AVERAGEIFS(INDIRECT("Tabela1["&amp;$B44&amp;"]"),Tabela1[Data Corrigida],T$3)/100,"")</f>
        <v>6.2633537688496166E-2</v>
      </c>
      <c r="U44" s="38">
        <f ca="1">IFERROR(AVERAGEIFS(INDIRECT("Tabela1["&amp;$B44&amp;"]"),Tabela1[Data Corrigida],U$3)/100,"")</f>
        <v>4.1166709477837446E-2</v>
      </c>
      <c r="V44" s="38">
        <f ca="1">IFERROR(AVERAGEIFS(INDIRECT("Tabela1["&amp;$B44&amp;"]"),Tabela1[Data Corrigida],V$3)/100,"")</f>
        <v>5.3192359037449739E-2</v>
      </c>
      <c r="W44" s="38">
        <f ca="1">IFERROR(AVERAGEIFS(INDIRECT("Tabela1["&amp;$B44&amp;"]"),Tabela1[Data Corrigida],W$3)/100,"")</f>
        <v>5.19108220971575E-2</v>
      </c>
      <c r="X44" s="38">
        <f ca="1">IFERROR(AVERAGEIFS(INDIRECT("Tabela1["&amp;$B44&amp;"]"),Tabela1[Data Corrigida],X$3)/100,"")</f>
        <v>5.713705624445619E-2</v>
      </c>
      <c r="Y44" s="38">
        <f ca="1">IFERROR(AVERAGEIFS(INDIRECT("Tabela1["&amp;$B44&amp;"]"),Tabela1[Data Corrigida],Y$3)/100,"")</f>
        <v>7.4624724061810158E-2</v>
      </c>
      <c r="Z44" s="38" t="str">
        <f ca="1">IFERROR(AVERAGEIFS(INDIRECT("Tabela1["&amp;$B44&amp;"]"),Tabela1[Data Corrigida],Z$3)/100,"")</f>
        <v/>
      </c>
      <c r="AA44" s="38" t="str">
        <f ca="1">IFERROR(AVERAGEIFS(INDIRECT("Tabela1["&amp;$B44&amp;"]"),Tabela1[Data Corrigida],AA$3)/100,"")</f>
        <v/>
      </c>
      <c r="AB44" s="38" t="str">
        <f ca="1">IFERROR(AVERAGEIFS(INDIRECT("Tabela1["&amp;$B44&amp;"]"),Tabela1[Data Corrigida],AB$3)/100,"")</f>
        <v/>
      </c>
      <c r="AC44" s="38" t="str">
        <f ca="1">IFERROR(AVERAGEIFS(INDIRECT("Tabela1["&amp;$B44&amp;"]"),Tabela1[Data Corrigida],AC$3)/100,"")</f>
        <v/>
      </c>
      <c r="AD44" s="38" t="str">
        <f ca="1">IFERROR(AVERAGEIFS(INDIRECT("Tabela1["&amp;$B44&amp;"]"),Tabela1[Data Corrigida],AD$3)/100,"")</f>
        <v/>
      </c>
      <c r="AE44" s="38" t="str">
        <f ca="1">IFERROR(AVERAGEIFS(INDIRECT("Tabela1["&amp;$B44&amp;"]"),Tabela1[Data Corrigida],AE$3)/100,"")</f>
        <v/>
      </c>
      <c r="AF44" s="38" t="str">
        <f ca="1">IFERROR(AVERAGEIFS(INDIRECT("Tabela1["&amp;$B44&amp;"]"),Tabela1[Data Corrigida],AF$3)/100,"")</f>
        <v/>
      </c>
      <c r="AG44" s="38" t="str">
        <f ca="1">IFERROR(AVERAGEIFS(INDIRECT("Tabela1["&amp;$B44&amp;"]"),Tabela1[Data Corrigida],AG$3)/100,"")</f>
        <v/>
      </c>
      <c r="AH44" s="38" t="str">
        <f ca="1">IFERROR(AVERAGEIFS(INDIRECT("Tabela1["&amp;$B44&amp;"]"),Tabela1[Data Corrigida],AH$3)/100,"")</f>
        <v/>
      </c>
      <c r="AI44" s="38" t="str">
        <f ca="1">IFERROR(AVERAGEIFS(INDIRECT("Tabela1["&amp;$B44&amp;"]"),Tabela1[Data Corrigida],AI$3)/100,"")</f>
        <v/>
      </c>
      <c r="AJ44" s="38" t="str">
        <f ca="1">IFERROR(AVERAGEIFS(INDIRECT("Tabela1["&amp;$B44&amp;"]"),Tabela1[Data Corrigida],AJ$3)/100,"")</f>
        <v/>
      </c>
      <c r="AK44" s="38" t="str">
        <f ca="1">IFERROR(AVERAGEIFS(INDIRECT("Tabela1["&amp;$B44&amp;"]"),Tabela1[Data Corrigida],AK$3)/100,"")</f>
        <v/>
      </c>
      <c r="AL44" s="38" t="str">
        <f ca="1">IFERROR(AVERAGEIFS(INDIRECT("Tabela1["&amp;$B44&amp;"]"),Tabela1[Data Corrigida],AL$3)/100,"")</f>
        <v/>
      </c>
      <c r="AM44" s="38" t="str">
        <f ca="1">IFERROR(AVERAGEIFS(INDIRECT("Tabela1["&amp;$B44&amp;"]"),Tabela1[Data Corrigida],AM$3)/100,"")</f>
        <v/>
      </c>
    </row>
    <row r="45" spans="1:39" ht="15" customHeight="1" thickTop="1" x14ac:dyDescent="0.3">
      <c r="A45" s="50" t="str">
        <f>VLOOKUP(Tabela2[[#This Row],[Item 1]],Apoio!$A$2:$B$41,2,0)</f>
        <v>Eviscer</v>
      </c>
      <c r="B45" s="9" t="str">
        <f t="shared" si="2"/>
        <v>% Contaminação Externa Após a Evisceradora</v>
      </c>
      <c r="C45" s="58" t="str">
        <f>'BD - 022 Evisceração'!AT1</f>
        <v>% Contaminação Externa Após a Evisceradora</v>
      </c>
      <c r="D45" s="26" t="s">
        <v>21</v>
      </c>
      <c r="E45" s="34">
        <f ca="1">IFERROR(AVERAGEIFS(INDIRECT("Tabela1["&amp;$B45&amp;"]"),Tabela1[Turno],$D45,Tabela1[Mês],E$3)/100,"")</f>
        <v>0.1444</v>
      </c>
      <c r="F45" s="34">
        <f ca="1">IFERROR(AVERAGEIFS(INDIRECT("Tabela1["&amp;$B45&amp;"]"),Tabela1[Turno],$D45,Tabela1[Mês],F$3)/100,"")</f>
        <v>3.32E-2</v>
      </c>
      <c r="G45" s="34">
        <f ca="1">IFERROR(AVERAGEIFS(INDIRECT("Tabela1["&amp;$B45&amp;"]"),Tabela1[Turno],$D45,Tabela1[Mês],G$3)/100,"")</f>
        <v>3.5299999999999998E-2</v>
      </c>
      <c r="H45" s="34">
        <f ca="1">IFERROR(AVERAGEIFS(INDIRECT("Tabela1["&amp;$B45&amp;"]"),Tabela1[Turno],$D45,Tabela1[Mês],H$3)/100,"")</f>
        <v>3.0299999999999997E-2</v>
      </c>
      <c r="I45" s="34">
        <f ca="1">IFERROR(AVERAGEIFS(INDIRECT("Tabela1["&amp;$B45&amp;"]"),Tabela1[Turno],$D45,Tabela1[Mês],I$3)/100,"")</f>
        <v>5.3099999999999994E-2</v>
      </c>
      <c r="J45" s="34">
        <f ca="1">IFERROR(AVERAGEIFS(INDIRECT("Tabela1["&amp;$B45&amp;"]"),Tabela1[Turno],$D45,Tabela1[Mês],J$3)/100,"")</f>
        <v>3.9300000000000002E-2</v>
      </c>
      <c r="K45" s="34">
        <f ca="1">IFERROR(AVERAGEIFS(INDIRECT("Tabela1["&amp;$B45&amp;"]"),Tabela1[Turno],$D45,Tabela1[Mês],K$3)/100,"")</f>
        <v>5.0070626382707879E-2</v>
      </c>
      <c r="L45" s="34">
        <f ca="1">IFERROR(AVERAGEIFS(INDIRECT("Tabela1["&amp;$B45&amp;"]"),Tabela1[Turno],$D45,Tabela1[Mês],L$3)/100,"")</f>
        <v>3.7709015667068461E-2</v>
      </c>
      <c r="M45" s="34">
        <f ca="1">IFERROR(AVERAGEIFS(INDIRECT("Tabela1["&amp;$B45&amp;"]"),Tabela1[Turno],$D45,Tabela1[Mês],M$3)/100,"")</f>
        <v>4.8122921418127219E-2</v>
      </c>
      <c r="N45" s="34">
        <f ca="1">IFERROR(AVERAGEIFS(INDIRECT("Tabela1["&amp;$B45&amp;"]"),Tabela1[Turno],$D45,Tabela1[Mês],N$3)/100,"")</f>
        <v>4.733732144189165E-2</v>
      </c>
      <c r="O45" s="34" t="str">
        <f ca="1">IFERROR(AVERAGEIFS(INDIRECT("Tabela1["&amp;$B45&amp;"]"),Tabela1[Turno],$D45,Tabela1[Mês],O$3)/100,"")</f>
        <v/>
      </c>
      <c r="P45" s="44" t="str">
        <f ca="1">IFERROR(AVERAGEIFS(INDIRECT("Tabela1["&amp;$B45&amp;"]"),Tabela1[Turno],$D45,Tabela1[Mês],P$3)/100,"")</f>
        <v/>
      </c>
      <c r="Q45" s="61">
        <v>0.05</v>
      </c>
      <c r="R45" s="39">
        <f ca="1">IFERROR(AVERAGEIFS(INDIRECT("Tabela1["&amp;$B45&amp;"]"),Tabela1[Turno],$D45,Tabela1[Data Corrigida],R$3)/100,"")</f>
        <v>4.3478260869565216E-2</v>
      </c>
      <c r="S45" s="40">
        <f ca="1">IFERROR(AVERAGEIFS(INDIRECT("Tabela1["&amp;$B45&amp;"]"),Tabela1[Turno],$D45,Tabela1[Data Corrigida],S$3)/100,"")</f>
        <v>4.4198099625683843E-2</v>
      </c>
      <c r="T45" s="40">
        <f ca="1">IFERROR(AVERAGEIFS(INDIRECT("Tabela1["&amp;$B45&amp;"]"),Tabela1[Turno],$D45,Tabela1[Data Corrigida],T$3)/100,"")</f>
        <v>4.4871794871794872E-2</v>
      </c>
      <c r="U45" s="40">
        <f ca="1">IFERROR(AVERAGEIFS(INDIRECT("Tabela1["&amp;$B45&amp;"]"),Tabela1[Turno],$D45,Tabela1[Data Corrigida],U$3)/100,"")</f>
        <v>4.5777591973244151E-2</v>
      </c>
      <c r="V45" s="40">
        <f ca="1">IFERROR(AVERAGEIFS(INDIRECT("Tabela1["&amp;$B45&amp;"]"),Tabela1[Turno],$D45,Tabela1[Data Corrigida],V$3)/100,"")</f>
        <v>5.0995995078920497E-2</v>
      </c>
      <c r="W45" s="40">
        <f ca="1">IFERROR(AVERAGEIFS(INDIRECT("Tabela1["&amp;$B45&amp;"]"),Tabela1[Turno],$D45,Tabela1[Data Corrigida],W$3)/100,"")</f>
        <v>4.870835686053078E-2</v>
      </c>
      <c r="X45" s="40">
        <f ca="1">IFERROR(AVERAGEIFS(INDIRECT("Tabela1["&amp;$B45&amp;"]"),Tabela1[Turno],$D45,Tabela1[Data Corrigida],X$3)/100,"")</f>
        <v>4.7406523795812595E-2</v>
      </c>
      <c r="Y45" s="40">
        <f ca="1">IFERROR(AVERAGEIFS(INDIRECT("Tabela1["&amp;$B45&amp;"]"),Tabela1[Turno],$D45,Tabela1[Data Corrigida],Y$3)/100,"")</f>
        <v>5.1412803532008826E-2</v>
      </c>
      <c r="Z45" s="40" t="str">
        <f ca="1">IFERROR(AVERAGEIFS(INDIRECT("Tabela1["&amp;$B45&amp;"]"),Tabela1[Turno],$D45,Tabela1[Data Corrigida],Z$3)/100,"")</f>
        <v/>
      </c>
      <c r="AA45" s="40" t="str">
        <f ca="1">IFERROR(AVERAGEIFS(INDIRECT("Tabela1["&amp;$B45&amp;"]"),Tabela1[Turno],$D45,Tabela1[Data Corrigida],AA$3)/100,"")</f>
        <v/>
      </c>
      <c r="AB45" s="40" t="str">
        <f ca="1">IFERROR(AVERAGEIFS(INDIRECT("Tabela1["&amp;$B45&amp;"]"),Tabela1[Turno],$D45,Tabela1[Data Corrigida],AB$3)/100,"")</f>
        <v/>
      </c>
      <c r="AC45" s="40" t="str">
        <f ca="1">IFERROR(AVERAGEIFS(INDIRECT("Tabela1["&amp;$B45&amp;"]"),Tabela1[Turno],$D45,Tabela1[Data Corrigida],AC$3)/100,"")</f>
        <v/>
      </c>
      <c r="AD45" s="40" t="str">
        <f ca="1">IFERROR(AVERAGEIFS(INDIRECT("Tabela1["&amp;$B45&amp;"]"),Tabela1[Turno],$D45,Tabela1[Data Corrigida],AD$3)/100,"")</f>
        <v/>
      </c>
      <c r="AE45" s="40" t="str">
        <f ca="1">IFERROR(AVERAGEIFS(INDIRECT("Tabela1["&amp;$B45&amp;"]"),Tabela1[Turno],$D45,Tabela1[Data Corrigida],AE$3)/100,"")</f>
        <v/>
      </c>
      <c r="AF45" s="40" t="str">
        <f ca="1">IFERROR(AVERAGEIFS(INDIRECT("Tabela1["&amp;$B45&amp;"]"),Tabela1[Turno],$D45,Tabela1[Data Corrigida],AF$3)/100,"")</f>
        <v/>
      </c>
      <c r="AG45" s="40" t="str">
        <f ca="1">IFERROR(AVERAGEIFS(INDIRECT("Tabela1["&amp;$B45&amp;"]"),Tabela1[Turno],$D45,Tabela1[Data Corrigida],AG$3)/100,"")</f>
        <v/>
      </c>
      <c r="AH45" s="40" t="str">
        <f ca="1">IFERROR(AVERAGEIFS(INDIRECT("Tabela1["&amp;$B45&amp;"]"),Tabela1[Turno],$D45,Tabela1[Data Corrigida],AH$3)/100,"")</f>
        <v/>
      </c>
      <c r="AI45" s="40" t="str">
        <f ca="1">IFERROR(AVERAGEIFS(INDIRECT("Tabela1["&amp;$B45&amp;"]"),Tabela1[Turno],$D45,Tabela1[Data Corrigida],AI$3)/100,"")</f>
        <v/>
      </c>
      <c r="AJ45" s="40" t="str">
        <f ca="1">IFERROR(AVERAGEIFS(INDIRECT("Tabela1["&amp;$B45&amp;"]"),Tabela1[Turno],$D45,Tabela1[Data Corrigida],AJ$3)/100,"")</f>
        <v/>
      </c>
      <c r="AK45" s="40" t="str">
        <f ca="1">IFERROR(AVERAGEIFS(INDIRECT("Tabela1["&amp;$B45&amp;"]"),Tabela1[Turno],$D45,Tabela1[Data Corrigida],AK$3)/100,"")</f>
        <v/>
      </c>
      <c r="AL45" s="40" t="str">
        <f ca="1">IFERROR(AVERAGEIFS(INDIRECT("Tabela1["&amp;$B45&amp;"]"),Tabela1[Turno],$D45,Tabela1[Data Corrigida],AL$3)/100,"")</f>
        <v/>
      </c>
      <c r="AM45" s="40" t="str">
        <f ca="1">IFERROR(AVERAGEIFS(INDIRECT("Tabela1["&amp;$B45&amp;"]"),Tabela1[Turno],$D45,Tabela1[Data Corrigida],AM$3)/100,"")</f>
        <v/>
      </c>
    </row>
    <row r="46" spans="1:39" ht="15" customHeight="1" x14ac:dyDescent="0.3">
      <c r="A46" s="50" t="str">
        <f>VLOOKUP(Tabela2[[#This Row],[Item 1]],Apoio!$A$2:$B$41,2,0)</f>
        <v>Eviscer</v>
      </c>
      <c r="B46" s="9" t="str">
        <f t="shared" si="2"/>
        <v>% Contaminação Externa Após a Evisceradora</v>
      </c>
      <c r="C46" s="59"/>
      <c r="D46" s="27" t="s">
        <v>33</v>
      </c>
      <c r="E46" s="36">
        <f ca="1">IFERROR(AVERAGEIFS(INDIRECT("Tabela1["&amp;$B46&amp;"]"),Tabela1[Turno],$D46,Tabela1[Mês],E$3)/100,"")</f>
        <v>0.1484</v>
      </c>
      <c r="F46" s="36">
        <f ca="1">IFERROR(AVERAGEIFS(INDIRECT("Tabela1["&amp;$B46&amp;"]"),Tabela1[Turno],$D46,Tabela1[Mês],F$3)/100,"")</f>
        <v>6.5500000000000003E-2</v>
      </c>
      <c r="G46" s="36">
        <f ca="1">IFERROR(AVERAGEIFS(INDIRECT("Tabela1["&amp;$B46&amp;"]"),Tabela1[Turno],$D46,Tabela1[Mês],G$3)/100,"")</f>
        <v>9.69E-2</v>
      </c>
      <c r="H46" s="36" t="str">
        <f ca="1">IFERROR(AVERAGEIFS(INDIRECT("Tabela1["&amp;$B46&amp;"]"),Tabela1[Turno],$D46,Tabela1[Mês],H$3)/100,"")</f>
        <v/>
      </c>
      <c r="I46" s="36">
        <f ca="1">IFERROR(AVERAGEIFS(INDIRECT("Tabela1["&amp;$B46&amp;"]"),Tabela1[Turno],$D46,Tabela1[Mês],I$3)/100,"")</f>
        <v>6.13E-2</v>
      </c>
      <c r="J46" s="36">
        <f ca="1">IFERROR(AVERAGEIFS(INDIRECT("Tabela1["&amp;$B46&amp;"]"),Tabela1[Turno],$D46,Tabela1[Mês],J$3)/100,"")</f>
        <v>7.3200000000000001E-2</v>
      </c>
      <c r="K46" s="36">
        <f ca="1">IFERROR(AVERAGEIFS(INDIRECT("Tabela1["&amp;$B46&amp;"]"),Tabela1[Turno],$D46,Tabela1[Mês],K$3)/100,"")</f>
        <v>3.8001000085394782E-2</v>
      </c>
      <c r="L46" s="36">
        <f ca="1">IFERROR(AVERAGEIFS(INDIRECT("Tabela1["&amp;$B46&amp;"]"),Tabela1[Turno],$D46,Tabela1[Mês],L$3)/100,"")</f>
        <v>2.7190092568654855E-2</v>
      </c>
      <c r="M46" s="36">
        <f ca="1">IFERROR(AVERAGEIFS(INDIRECT("Tabela1["&amp;$B46&amp;"]"),Tabela1[Turno],$D46,Tabela1[Mês],M$3)/100,"")</f>
        <v>4.0861822319631556E-2</v>
      </c>
      <c r="N46" s="36">
        <f ca="1">IFERROR(AVERAGEIFS(INDIRECT("Tabela1["&amp;$B46&amp;"]"),Tabela1[Turno],$D46,Tabela1[Mês],N$3)/100,"")</f>
        <v>3.8373207888422405E-2</v>
      </c>
      <c r="O46" s="36" t="str">
        <f ca="1">IFERROR(AVERAGEIFS(INDIRECT("Tabela1["&amp;$B46&amp;"]"),Tabela1[Turno],$D46,Tabela1[Mês],O$3)/100,"")</f>
        <v/>
      </c>
      <c r="P46" s="41" t="str">
        <f ca="1">IFERROR(AVERAGEIFS(INDIRECT("Tabela1["&amp;$B46&amp;"]"),Tabela1[Turno],$D46,Tabela1[Mês],P$3)/100,"")</f>
        <v/>
      </c>
      <c r="Q46" s="62"/>
      <c r="R46" s="35">
        <f ca="1">IFERROR(AVERAGEIFS(INDIRECT("Tabela1["&amp;$B46&amp;"]"),Tabela1[Turno],$D46,Tabela1[Data Corrigida],R$3)/100,"")</f>
        <v>4.5336145336145328E-2</v>
      </c>
      <c r="S46" s="36">
        <f ca="1">IFERROR(AVERAGEIFS(INDIRECT("Tabela1["&amp;$B46&amp;"]"),Tabela1[Turno],$D46,Tabela1[Data Corrigida],S$3)/100,"")</f>
        <v>3.7473937024161914E-2</v>
      </c>
      <c r="T46" s="36">
        <f ca="1">IFERROR(AVERAGEIFS(INDIRECT("Tabela1["&amp;$B46&amp;"]"),Tabela1[Turno],$D46,Tabela1[Data Corrigida],T$3)/100,"")</f>
        <v>4.8242969102763926E-2</v>
      </c>
      <c r="U46" s="36">
        <f ca="1">IFERROR(AVERAGEIFS(INDIRECT("Tabela1["&amp;$B46&amp;"]"),Tabela1[Turno],$D46,Tabela1[Data Corrigida],U$3)/100,"")</f>
        <v>3.3662817250603508E-2</v>
      </c>
      <c r="V46" s="36">
        <f ca="1">IFERROR(AVERAGEIFS(INDIRECT("Tabela1["&amp;$B46&amp;"]"),Tabela1[Turno],$D46,Tabela1[Data Corrigida],V$3)/100,"")</f>
        <v>3.6088549132027394E-2</v>
      </c>
      <c r="W46" s="36">
        <f ca="1">IFERROR(AVERAGEIFS(INDIRECT("Tabela1["&amp;$B46&amp;"]"),Tabela1[Turno],$D46,Tabela1[Data Corrigida],W$3)/100,"")</f>
        <v>3.1454053193183625E-2</v>
      </c>
      <c r="X46" s="36">
        <f ca="1">IFERROR(AVERAGEIFS(INDIRECT("Tabela1["&amp;$B46&amp;"]"),Tabela1[Turno],$D46,Tabela1[Data Corrigida],X$3)/100,"")</f>
        <v>3.6353984180071137E-2</v>
      </c>
      <c r="Y46" s="36" t="str">
        <f ca="1">IFERROR(AVERAGEIFS(INDIRECT("Tabela1["&amp;$B46&amp;"]"),Tabela1[Turno],$D46,Tabela1[Data Corrigida],Y$3)/100,"")</f>
        <v/>
      </c>
      <c r="Z46" s="36" t="str">
        <f ca="1">IFERROR(AVERAGEIFS(INDIRECT("Tabela1["&amp;$B46&amp;"]"),Tabela1[Turno],$D46,Tabela1[Data Corrigida],Z$3)/100,"")</f>
        <v/>
      </c>
      <c r="AA46" s="36" t="str">
        <f ca="1">IFERROR(AVERAGEIFS(INDIRECT("Tabela1["&amp;$B46&amp;"]"),Tabela1[Turno],$D46,Tabela1[Data Corrigida],AA$3)/100,"")</f>
        <v/>
      </c>
      <c r="AB46" s="36" t="str">
        <f ca="1">IFERROR(AVERAGEIFS(INDIRECT("Tabela1["&amp;$B46&amp;"]"),Tabela1[Turno],$D46,Tabela1[Data Corrigida],AB$3)/100,"")</f>
        <v/>
      </c>
      <c r="AC46" s="36" t="str">
        <f ca="1">IFERROR(AVERAGEIFS(INDIRECT("Tabela1["&amp;$B46&amp;"]"),Tabela1[Turno],$D46,Tabela1[Data Corrigida],AC$3)/100,"")</f>
        <v/>
      </c>
      <c r="AD46" s="36" t="str">
        <f ca="1">IFERROR(AVERAGEIFS(INDIRECT("Tabela1["&amp;$B46&amp;"]"),Tabela1[Turno],$D46,Tabela1[Data Corrigida],AD$3)/100,"")</f>
        <v/>
      </c>
      <c r="AE46" s="36" t="str">
        <f ca="1">IFERROR(AVERAGEIFS(INDIRECT("Tabela1["&amp;$B46&amp;"]"),Tabela1[Turno],$D46,Tabela1[Data Corrigida],AE$3)/100,"")</f>
        <v/>
      </c>
      <c r="AF46" s="36" t="str">
        <f ca="1">IFERROR(AVERAGEIFS(INDIRECT("Tabela1["&amp;$B46&amp;"]"),Tabela1[Turno],$D46,Tabela1[Data Corrigida],AF$3)/100,"")</f>
        <v/>
      </c>
      <c r="AG46" s="36" t="str">
        <f ca="1">IFERROR(AVERAGEIFS(INDIRECT("Tabela1["&amp;$B46&amp;"]"),Tabela1[Turno],$D46,Tabela1[Data Corrigida],AG$3)/100,"")</f>
        <v/>
      </c>
      <c r="AH46" s="36" t="str">
        <f ca="1">IFERROR(AVERAGEIFS(INDIRECT("Tabela1["&amp;$B46&amp;"]"),Tabela1[Turno],$D46,Tabela1[Data Corrigida],AH$3)/100,"")</f>
        <v/>
      </c>
      <c r="AI46" s="36" t="str">
        <f ca="1">IFERROR(AVERAGEIFS(INDIRECT("Tabela1["&amp;$B46&amp;"]"),Tabela1[Turno],$D46,Tabela1[Data Corrigida],AI$3)/100,"")</f>
        <v/>
      </c>
      <c r="AJ46" s="36" t="str">
        <f ca="1">IFERROR(AVERAGEIFS(INDIRECT("Tabela1["&amp;$B46&amp;"]"),Tabela1[Turno],$D46,Tabela1[Data Corrigida],AJ$3)/100,"")</f>
        <v/>
      </c>
      <c r="AK46" s="36" t="str">
        <f ca="1">IFERROR(AVERAGEIFS(INDIRECT("Tabela1["&amp;$B46&amp;"]"),Tabela1[Turno],$D46,Tabela1[Data Corrigida],AK$3)/100,"")</f>
        <v/>
      </c>
      <c r="AL46" s="36" t="str">
        <f ca="1">IFERROR(AVERAGEIFS(INDIRECT("Tabela1["&amp;$B46&amp;"]"),Tabela1[Turno],$D46,Tabela1[Data Corrigida],AL$3)/100,"")</f>
        <v/>
      </c>
      <c r="AM46" s="36" t="str">
        <f ca="1">IFERROR(AVERAGEIFS(INDIRECT("Tabela1["&amp;$B46&amp;"]"),Tabela1[Turno],$D46,Tabela1[Data Corrigida],AM$3)/100,"")</f>
        <v/>
      </c>
    </row>
    <row r="47" spans="1:39" ht="15" customHeight="1" thickBot="1" x14ac:dyDescent="0.35">
      <c r="A47" s="50" t="str">
        <f>VLOOKUP(Tabela2[[#This Row],[Item 1]],Apoio!$A$2:$B$41,2,0)</f>
        <v>Eviscer</v>
      </c>
      <c r="B47" s="9" t="str">
        <f t="shared" si="2"/>
        <v>% Contaminação Externa Após a Evisceradora</v>
      </c>
      <c r="C47" s="60"/>
      <c r="D47" s="28" t="s">
        <v>5</v>
      </c>
      <c r="E47" s="45">
        <f ca="1">IFERROR(AVERAGEIFS(INDIRECT("Tabela1["&amp;$B47&amp;"]"),Tabela1[Mês],E$3)/100,"")</f>
        <v>0.1464</v>
      </c>
      <c r="F47" s="45">
        <f ca="1">IFERROR(AVERAGEIFS(INDIRECT("Tabela1["&amp;$B47&amp;"]"),Tabela1[Mês],F$3)/100,"")</f>
        <v>4.9349999999999998E-2</v>
      </c>
      <c r="G47" s="45">
        <f ca="1">IFERROR(AVERAGEIFS(INDIRECT("Tabela1["&amp;$B47&amp;"]"),Tabela1[Mês],G$3)/100,"")</f>
        <v>6.6099999999999992E-2</v>
      </c>
      <c r="H47" s="45">
        <f ca="1">IFERROR(AVERAGEIFS(INDIRECT("Tabela1["&amp;$B47&amp;"]"),Tabela1[Mês],H$3)/100,"")</f>
        <v>3.0299999999999997E-2</v>
      </c>
      <c r="I47" s="45">
        <f ca="1">IFERROR(AVERAGEIFS(INDIRECT("Tabela1["&amp;$B47&amp;"]"),Tabela1[Mês],I$3)/100,"")</f>
        <v>5.7200000000000001E-2</v>
      </c>
      <c r="J47" s="45">
        <f ca="1">IFERROR(AVERAGEIFS(INDIRECT("Tabela1["&amp;$B47&amp;"]"),Tabela1[Mês],J$3)/100,"")</f>
        <v>5.6250000000000001E-2</v>
      </c>
      <c r="K47" s="45">
        <f ca="1">IFERROR(AVERAGEIFS(INDIRECT("Tabela1["&amp;$B47&amp;"]"),Tabela1[Mês],K$3)/100,"")</f>
        <v>4.4438134110628427E-2</v>
      </c>
      <c r="L47" s="45">
        <f ca="1">IFERROR(AVERAGEIFS(INDIRECT("Tabela1["&amp;$B47&amp;"]"),Tabela1[Mês],L$3)/100,"")</f>
        <v>3.2999050100614616E-2</v>
      </c>
      <c r="M47" s="45">
        <f ca="1">IFERROR(AVERAGEIFS(INDIRECT("Tabela1["&amp;$B47&amp;"]"),Tabela1[Mês],M$3)/100,"")</f>
        <v>4.4989707423570877E-2</v>
      </c>
      <c r="N47" s="45">
        <f ca="1">IFERROR(AVERAGEIFS(INDIRECT("Tabela1["&amp;$B47&amp;"]"),Tabela1[Mês],N$3)/100,"")</f>
        <v>4.3572393749434585E-2</v>
      </c>
      <c r="O47" s="45" t="str">
        <f ca="1">IFERROR(AVERAGEIFS(INDIRECT("Tabela1["&amp;$B47&amp;"]"),Tabela1[Mês],O$3)/100,"")</f>
        <v/>
      </c>
      <c r="P47" s="46" t="str">
        <f ca="1">IFERROR(AVERAGEIFS(INDIRECT("Tabela1["&amp;$B47&amp;"]"),Tabela1[Mês],P$3)/100,"")</f>
        <v/>
      </c>
      <c r="Q47" s="63"/>
      <c r="R47" s="42">
        <f ca="1">IFERROR(AVERAGEIFS(INDIRECT("Tabela1["&amp;$B47&amp;"]"),Tabela1[Data Corrigida],R$3)/100,"")</f>
        <v>4.4274497069528122E-2</v>
      </c>
      <c r="S47" s="43">
        <f ca="1">IFERROR(AVERAGEIFS(INDIRECT("Tabela1["&amp;$B47&amp;"]"),Tabela1[Data Corrigida],S$3)/100,"")</f>
        <v>4.1316315653603025E-2</v>
      </c>
      <c r="T47" s="43">
        <f ca="1">IFERROR(AVERAGEIFS(INDIRECT("Tabela1["&amp;$B47&amp;"]"),Tabela1[Data Corrigida],T$3)/100,"")</f>
        <v>4.7400175545021669E-2</v>
      </c>
      <c r="U47" s="43">
        <f ca="1">IFERROR(AVERAGEIFS(INDIRECT("Tabela1["&amp;$B47&amp;"]"),Tabela1[Data Corrigida],U$3)/100,"")</f>
        <v>4.0585545663541014E-2</v>
      </c>
      <c r="V47" s="43">
        <f ca="1">IFERROR(AVERAGEIFS(INDIRECT("Tabela1["&amp;$B47&amp;"]"),Tabela1[Data Corrigida],V$3)/100,"")</f>
        <v>4.4607089673109168E-2</v>
      </c>
      <c r="W47" s="43">
        <f ca="1">IFERROR(AVERAGEIFS(INDIRECT("Tabela1["&amp;$B47&amp;"]"),Tabela1[Data Corrigida],W$3)/100,"")</f>
        <v>4.131365528881057E-2</v>
      </c>
      <c r="X47" s="43">
        <f ca="1">IFERROR(AVERAGEIFS(INDIRECT("Tabela1["&amp;$B47&amp;"]"),Tabela1[Data Corrigida],X$3)/100,"")</f>
        <v>4.2669721103351967E-2</v>
      </c>
      <c r="Y47" s="43">
        <f ca="1">IFERROR(AVERAGEIFS(INDIRECT("Tabela1["&amp;$B47&amp;"]"),Tabela1[Data Corrigida],Y$3)/100,"")</f>
        <v>5.1412803532008826E-2</v>
      </c>
      <c r="Z47" s="43" t="str">
        <f ca="1">IFERROR(AVERAGEIFS(INDIRECT("Tabela1["&amp;$B47&amp;"]"),Tabela1[Data Corrigida],Z$3)/100,"")</f>
        <v/>
      </c>
      <c r="AA47" s="43" t="str">
        <f ca="1">IFERROR(AVERAGEIFS(INDIRECT("Tabela1["&amp;$B47&amp;"]"),Tabela1[Data Corrigida],AA$3)/100,"")</f>
        <v/>
      </c>
      <c r="AB47" s="43" t="str">
        <f ca="1">IFERROR(AVERAGEIFS(INDIRECT("Tabela1["&amp;$B47&amp;"]"),Tabela1[Data Corrigida],AB$3)/100,"")</f>
        <v/>
      </c>
      <c r="AC47" s="43" t="str">
        <f ca="1">IFERROR(AVERAGEIFS(INDIRECT("Tabela1["&amp;$B47&amp;"]"),Tabela1[Data Corrigida],AC$3)/100,"")</f>
        <v/>
      </c>
      <c r="AD47" s="43" t="str">
        <f ca="1">IFERROR(AVERAGEIFS(INDIRECT("Tabela1["&amp;$B47&amp;"]"),Tabela1[Data Corrigida],AD$3)/100,"")</f>
        <v/>
      </c>
      <c r="AE47" s="43" t="str">
        <f ca="1">IFERROR(AVERAGEIFS(INDIRECT("Tabela1["&amp;$B47&amp;"]"),Tabela1[Data Corrigida],AE$3)/100,"")</f>
        <v/>
      </c>
      <c r="AF47" s="43" t="str">
        <f ca="1">IFERROR(AVERAGEIFS(INDIRECT("Tabela1["&amp;$B47&amp;"]"),Tabela1[Data Corrigida],AF$3)/100,"")</f>
        <v/>
      </c>
      <c r="AG47" s="43" t="str">
        <f ca="1">IFERROR(AVERAGEIFS(INDIRECT("Tabela1["&amp;$B47&amp;"]"),Tabela1[Data Corrigida],AG$3)/100,"")</f>
        <v/>
      </c>
      <c r="AH47" s="43" t="str">
        <f ca="1">IFERROR(AVERAGEIFS(INDIRECT("Tabela1["&amp;$B47&amp;"]"),Tabela1[Data Corrigida],AH$3)/100,"")</f>
        <v/>
      </c>
      <c r="AI47" s="43" t="str">
        <f ca="1">IFERROR(AVERAGEIFS(INDIRECT("Tabela1["&amp;$B47&amp;"]"),Tabela1[Data Corrigida],AI$3)/100,"")</f>
        <v/>
      </c>
      <c r="AJ47" s="43" t="str">
        <f ca="1">IFERROR(AVERAGEIFS(INDIRECT("Tabela1["&amp;$B47&amp;"]"),Tabela1[Data Corrigida],AJ$3)/100,"")</f>
        <v/>
      </c>
      <c r="AK47" s="43" t="str">
        <f ca="1">IFERROR(AVERAGEIFS(INDIRECT("Tabela1["&amp;$B47&amp;"]"),Tabela1[Data Corrigida],AK$3)/100,"")</f>
        <v/>
      </c>
      <c r="AL47" s="43" t="str">
        <f ca="1">IFERROR(AVERAGEIFS(INDIRECT("Tabela1["&amp;$B47&amp;"]"),Tabela1[Data Corrigida],AL$3)/100,"")</f>
        <v/>
      </c>
      <c r="AM47" s="43" t="str">
        <f ca="1">IFERROR(AVERAGEIFS(INDIRECT("Tabela1["&amp;$B47&amp;"]"),Tabela1[Data Corrigida],AM$3)/100,"")</f>
        <v/>
      </c>
    </row>
    <row r="48" spans="1:39" ht="15" customHeight="1" thickTop="1" x14ac:dyDescent="0.3">
      <c r="A48" s="50" t="str">
        <f>VLOOKUP(Tabela2[[#This Row],[Item 1]],Apoio!$A$2:$B$41,2,0)</f>
        <v>Eviscer</v>
      </c>
      <c r="B48" s="9" t="str">
        <f t="shared" si="2"/>
        <v>% Contaminação Interna Após Evisceradora</v>
      </c>
      <c r="C48" s="58" t="str">
        <f>'BD - 022 Evisceração'!AV1</f>
        <v>% Contaminação Interna Após Evisceradora</v>
      </c>
      <c r="D48" s="26" t="s">
        <v>21</v>
      </c>
      <c r="E48" s="34">
        <f ca="1">IFERROR(AVERAGEIFS(INDIRECT("Tabela1["&amp;$B48&amp;"]"),Tabela1[Turno],$D48,Tabela1[Mês],E$3)/100,"")</f>
        <v>4.1599999999999998E-2</v>
      </c>
      <c r="F48" s="34">
        <f ca="1">IFERROR(AVERAGEIFS(INDIRECT("Tabela1["&amp;$B48&amp;"]"),Tabela1[Turno],$D48,Tabela1[Mês],F$3)/100,"")</f>
        <v>5.5000000000000005E-3</v>
      </c>
      <c r="G48" s="34">
        <f ca="1">IFERROR(AVERAGEIFS(INDIRECT("Tabela1["&amp;$B48&amp;"]"),Tabela1[Turno],$D48,Tabela1[Mês],G$3)/100,"")</f>
        <v>4.3E-3</v>
      </c>
      <c r="H48" s="34">
        <f ca="1">IFERROR(AVERAGEIFS(INDIRECT("Tabela1["&amp;$B48&amp;"]"),Tabela1[Turno],$D48,Tabela1[Mês],H$3)/100,"")</f>
        <v>5.1000000000000004E-3</v>
      </c>
      <c r="I48" s="34">
        <f ca="1">IFERROR(AVERAGEIFS(INDIRECT("Tabela1["&amp;$B48&amp;"]"),Tabela1[Turno],$D48,Tabela1[Mês],I$3)/100,"")</f>
        <v>1.21E-2</v>
      </c>
      <c r="J48" s="34">
        <f ca="1">IFERROR(AVERAGEIFS(INDIRECT("Tabela1["&amp;$B48&amp;"]"),Tabela1[Turno],$D48,Tabela1[Mês],J$3)/100,"")</f>
        <v>8.0000000000000002E-3</v>
      </c>
      <c r="K48" s="34">
        <f ca="1">IFERROR(AVERAGEIFS(INDIRECT("Tabela1["&amp;$B48&amp;"]"),Tabela1[Turno],$D48,Tabela1[Mês],K$3)/100,"")</f>
        <v>6.5487009870946397E-3</v>
      </c>
      <c r="L48" s="34">
        <f ca="1">IFERROR(AVERAGEIFS(INDIRECT("Tabela1["&amp;$B48&amp;"]"),Tabela1[Turno],$D48,Tabela1[Mês],L$3)/100,"")</f>
        <v>6.6276299197672974E-3</v>
      </c>
      <c r="M48" s="34">
        <f ca="1">IFERROR(AVERAGEIFS(INDIRECT("Tabela1["&amp;$B48&amp;"]"),Tabela1[Turno],$D48,Tabela1[Mês],M$3)/100,"")</f>
        <v>1.0567469865847829E-2</v>
      </c>
      <c r="N48" s="34">
        <f ca="1">IFERROR(AVERAGEIFS(INDIRECT("Tabela1["&amp;$B48&amp;"]"),Tabela1[Turno],$D48,Tabela1[Mês],N$3)/100,"")</f>
        <v>9.6596857078205828E-3</v>
      </c>
      <c r="O48" s="34" t="str">
        <f ca="1">IFERROR(AVERAGEIFS(INDIRECT("Tabela1["&amp;$B48&amp;"]"),Tabela1[Turno],$D48,Tabela1[Mês],O$3)/100,"")</f>
        <v/>
      </c>
      <c r="P48" s="44" t="str">
        <f ca="1">IFERROR(AVERAGEIFS(INDIRECT("Tabela1["&amp;$B48&amp;"]"),Tabela1[Turno],$D48,Tabela1[Mês],P$3)/100,"")</f>
        <v/>
      </c>
      <c r="Q48" s="61">
        <v>0.01</v>
      </c>
      <c r="R48" s="33">
        <f ca="1">IFERROR(AVERAGEIFS(INDIRECT("Tabela1["&amp;$B48&amp;"]"),Tabela1[Turno],$D48,Tabela1[Data Corrigida],R$3)/100,"")</f>
        <v>6.2111801242236021E-3</v>
      </c>
      <c r="S48" s="34">
        <f ca="1">IFERROR(AVERAGEIFS(INDIRECT("Tabela1["&amp;$B48&amp;"]"),Tabela1[Turno],$D48,Tabela1[Data Corrigida],S$3)/100,"")</f>
        <v>1.2730862572498045E-2</v>
      </c>
      <c r="T48" s="34">
        <f ca="1">IFERROR(AVERAGEIFS(INDIRECT("Tabela1["&amp;$B48&amp;"]"),Tabela1[Turno],$D48,Tabela1[Data Corrigida],T$3)/100,"")</f>
        <v>6.41025641025641E-3</v>
      </c>
      <c r="U48" s="34">
        <f ca="1">IFERROR(AVERAGEIFS(INDIRECT("Tabela1["&amp;$B48&amp;"]"),Tabela1[Turno],$D48,Tabela1[Data Corrigida],U$3)/100,"")</f>
        <v>6.3107182672400052E-3</v>
      </c>
      <c r="V48" s="34">
        <f ca="1">IFERROR(AVERAGEIFS(INDIRECT("Tabela1["&amp;$B48&amp;"]"),Tabela1[Turno],$D48,Tabela1[Data Corrigida],V$3)/100,"")</f>
        <v>1.0448038860074565E-2</v>
      </c>
      <c r="W48" s="34">
        <f ca="1">IFERROR(AVERAGEIFS(INDIRECT("Tabela1["&amp;$B48&amp;"]"),Tabela1[Turno],$D48,Tabela1[Data Corrigida],W$3)/100,"")</f>
        <v>6.5146809712027095E-3</v>
      </c>
      <c r="X48" s="34">
        <f ca="1">IFERROR(AVERAGEIFS(INDIRECT("Tabela1["&amp;$B48&amp;"]"),Tabela1[Turno],$D48,Tabela1[Data Corrigida],X$3)/100,"")</f>
        <v>6.3140142322405503E-3</v>
      </c>
      <c r="Y48" s="34">
        <f ca="1">IFERROR(AVERAGEIFS(INDIRECT("Tabela1["&amp;$B48&amp;"]"),Tabela1[Turno],$D48,Tabela1[Data Corrigida],Y$3)/100,"")</f>
        <v>1.990066225165563E-2</v>
      </c>
      <c r="Z48" s="34" t="str">
        <f ca="1">IFERROR(AVERAGEIFS(INDIRECT("Tabela1["&amp;$B48&amp;"]"),Tabela1[Turno],$D48,Tabela1[Data Corrigida],Z$3)/100,"")</f>
        <v/>
      </c>
      <c r="AA48" s="34" t="str">
        <f ca="1">IFERROR(AVERAGEIFS(INDIRECT("Tabela1["&amp;$B48&amp;"]"),Tabela1[Turno],$D48,Tabela1[Data Corrigida],AA$3)/100,"")</f>
        <v/>
      </c>
      <c r="AB48" s="34" t="str">
        <f ca="1">IFERROR(AVERAGEIFS(INDIRECT("Tabela1["&amp;$B48&amp;"]"),Tabela1[Turno],$D48,Tabela1[Data Corrigida],AB$3)/100,"")</f>
        <v/>
      </c>
      <c r="AC48" s="34" t="str">
        <f ca="1">IFERROR(AVERAGEIFS(INDIRECT("Tabela1["&amp;$B48&amp;"]"),Tabela1[Turno],$D48,Tabela1[Data Corrigida],AC$3)/100,"")</f>
        <v/>
      </c>
      <c r="AD48" s="34" t="str">
        <f ca="1">IFERROR(AVERAGEIFS(INDIRECT("Tabela1["&amp;$B48&amp;"]"),Tabela1[Turno],$D48,Tabela1[Data Corrigida],AD$3)/100,"")</f>
        <v/>
      </c>
      <c r="AE48" s="34" t="str">
        <f ca="1">IFERROR(AVERAGEIFS(INDIRECT("Tabela1["&amp;$B48&amp;"]"),Tabela1[Turno],$D48,Tabela1[Data Corrigida],AE$3)/100,"")</f>
        <v/>
      </c>
      <c r="AF48" s="34" t="str">
        <f ca="1">IFERROR(AVERAGEIFS(INDIRECT("Tabela1["&amp;$B48&amp;"]"),Tabela1[Turno],$D48,Tabela1[Data Corrigida],AF$3)/100,"")</f>
        <v/>
      </c>
      <c r="AG48" s="34" t="str">
        <f ca="1">IFERROR(AVERAGEIFS(INDIRECT("Tabela1["&amp;$B48&amp;"]"),Tabela1[Turno],$D48,Tabela1[Data Corrigida],AG$3)/100,"")</f>
        <v/>
      </c>
      <c r="AH48" s="34" t="str">
        <f ca="1">IFERROR(AVERAGEIFS(INDIRECT("Tabela1["&amp;$B48&amp;"]"),Tabela1[Turno],$D48,Tabela1[Data Corrigida],AH$3)/100,"")</f>
        <v/>
      </c>
      <c r="AI48" s="34" t="str">
        <f ca="1">IFERROR(AVERAGEIFS(INDIRECT("Tabela1["&amp;$B48&amp;"]"),Tabela1[Turno],$D48,Tabela1[Data Corrigida],AI$3)/100,"")</f>
        <v/>
      </c>
      <c r="AJ48" s="34" t="str">
        <f ca="1">IFERROR(AVERAGEIFS(INDIRECT("Tabela1["&amp;$B48&amp;"]"),Tabela1[Turno],$D48,Tabela1[Data Corrigida],AJ$3)/100,"")</f>
        <v/>
      </c>
      <c r="AK48" s="34" t="str">
        <f ca="1">IFERROR(AVERAGEIFS(INDIRECT("Tabela1["&amp;$B48&amp;"]"),Tabela1[Turno],$D48,Tabela1[Data Corrigida],AK$3)/100,"")</f>
        <v/>
      </c>
      <c r="AL48" s="34" t="str">
        <f ca="1">IFERROR(AVERAGEIFS(INDIRECT("Tabela1["&amp;$B48&amp;"]"),Tabela1[Turno],$D48,Tabela1[Data Corrigida],AL$3)/100,"")</f>
        <v/>
      </c>
      <c r="AM48" s="34" t="str">
        <f ca="1">IFERROR(AVERAGEIFS(INDIRECT("Tabela1["&amp;$B48&amp;"]"),Tabela1[Turno],$D48,Tabela1[Data Corrigida],AM$3)/100,"")</f>
        <v/>
      </c>
    </row>
    <row r="49" spans="1:39" ht="15" customHeight="1" x14ac:dyDescent="0.3">
      <c r="A49" s="50" t="str">
        <f>VLOOKUP(Tabela2[[#This Row],[Item 1]],Apoio!$A$2:$B$41,2,0)</f>
        <v>Eviscer</v>
      </c>
      <c r="B49" s="9" t="str">
        <f t="shared" si="2"/>
        <v>% Contaminação Interna Após Evisceradora</v>
      </c>
      <c r="C49" s="59"/>
      <c r="D49" s="27" t="s">
        <v>33</v>
      </c>
      <c r="E49" s="36">
        <f ca="1">IFERROR(AVERAGEIFS(INDIRECT("Tabela1["&amp;$B49&amp;"]"),Tabela1[Turno],$D49,Tabela1[Mês],E$3)/100,"")</f>
        <v>1.6299999999999999E-2</v>
      </c>
      <c r="F49" s="36">
        <f ca="1">IFERROR(AVERAGEIFS(INDIRECT("Tabela1["&amp;$B49&amp;"]"),Tabela1[Turno],$D49,Tabela1[Mês],F$3)/100,"")</f>
        <v>5.3E-3</v>
      </c>
      <c r="G49" s="36">
        <f ca="1">IFERROR(AVERAGEIFS(INDIRECT("Tabela1["&amp;$B49&amp;"]"),Tabela1[Turno],$D49,Tabela1[Mês],G$3)/100,"")</f>
        <v>2.0499999999999997E-2</v>
      </c>
      <c r="H49" s="36" t="str">
        <f ca="1">IFERROR(AVERAGEIFS(INDIRECT("Tabela1["&amp;$B49&amp;"]"),Tabela1[Turno],$D49,Tabela1[Mês],H$3)/100,"")</f>
        <v/>
      </c>
      <c r="I49" s="36">
        <f ca="1">IFERROR(AVERAGEIFS(INDIRECT("Tabela1["&amp;$B49&amp;"]"),Tabela1[Turno],$D49,Tabela1[Mês],I$3)/100,"")</f>
        <v>4.5000000000000005E-3</v>
      </c>
      <c r="J49" s="36">
        <f ca="1">IFERROR(AVERAGEIFS(INDIRECT("Tabela1["&amp;$B49&amp;"]"),Tabela1[Turno],$D49,Tabela1[Mês],J$3)/100,"")</f>
        <v>7.4000000000000003E-3</v>
      </c>
      <c r="K49" s="36">
        <f ca="1">IFERROR(AVERAGEIFS(INDIRECT("Tabela1["&amp;$B49&amp;"]"),Tabela1[Turno],$D49,Tabela1[Mês],K$3)/100,"")</f>
        <v>2.6435255340751967E-3</v>
      </c>
      <c r="L49" s="36">
        <f ca="1">IFERROR(AVERAGEIFS(INDIRECT("Tabela1["&amp;$B49&amp;"]"),Tabela1[Turno],$D49,Tabela1[Mês],L$3)/100,"")</f>
        <v>1.6851177277838112E-3</v>
      </c>
      <c r="M49" s="36">
        <f ca="1">IFERROR(AVERAGEIFS(INDIRECT("Tabela1["&amp;$B49&amp;"]"),Tabela1[Turno],$D49,Tabela1[Mês],M$3)/100,"")</f>
        <v>1.0897844273586323E-3</v>
      </c>
      <c r="N49" s="36">
        <f ca="1">IFERROR(AVERAGEIFS(INDIRECT("Tabela1["&amp;$B49&amp;"]"),Tabela1[Turno],$D49,Tabela1[Mês],N$3)/100,"")</f>
        <v>1.6199121789183901E-3</v>
      </c>
      <c r="O49" s="36" t="str">
        <f ca="1">IFERROR(AVERAGEIFS(INDIRECT("Tabela1["&amp;$B49&amp;"]"),Tabela1[Turno],$D49,Tabela1[Mês],O$3)/100,"")</f>
        <v/>
      </c>
      <c r="P49" s="41" t="str">
        <f ca="1">IFERROR(AVERAGEIFS(INDIRECT("Tabela1["&amp;$B49&amp;"]"),Tabela1[Turno],$D49,Tabela1[Mês],P$3)/100,"")</f>
        <v/>
      </c>
      <c r="Q49" s="62"/>
      <c r="R49" s="35">
        <f ca="1">IFERROR(AVERAGEIFS(INDIRECT("Tabela1["&amp;$B49&amp;"]"),Tabela1[Turno],$D49,Tabela1[Data Corrigida],R$3)/100,"")</f>
        <v>0</v>
      </c>
      <c r="S49" s="36">
        <f ca="1">IFERROR(AVERAGEIFS(INDIRECT("Tabela1["&amp;$B49&amp;"]"),Tabela1[Turno],$D49,Tabela1[Data Corrigida],S$3)/100,"")</f>
        <v>2.0703933747412005E-3</v>
      </c>
      <c r="T49" s="36">
        <f ca="1">IFERROR(AVERAGEIFS(INDIRECT("Tabela1["&amp;$B49&amp;"]"),Tabela1[Turno],$D49,Tabela1[Data Corrigida],T$3)/100,"")</f>
        <v>2.0703933747412005E-3</v>
      </c>
      <c r="U49" s="36">
        <f ca="1">IFERROR(AVERAGEIFS(INDIRECT("Tabela1["&amp;$B49&amp;"]"),Tabela1[Turno],$D49,Tabela1[Data Corrigida],U$3)/100,"")</f>
        <v>0</v>
      </c>
      <c r="V49" s="36">
        <f ca="1">IFERROR(AVERAGEIFS(INDIRECT("Tabela1["&amp;$B49&amp;"]"),Tabela1[Turno],$D49,Tabela1[Data Corrigida],V$3)/100,"")</f>
        <v>4.6344959388437655E-3</v>
      </c>
      <c r="W49" s="36">
        <f ca="1">IFERROR(AVERAGEIFS(INDIRECT("Tabela1["&amp;$B49&amp;"]"),Tabela1[Turno],$D49,Tabela1[Data Corrigida],W$3)/100,"")</f>
        <v>2.5641025641025645E-3</v>
      </c>
      <c r="X49" s="36">
        <f ca="1">IFERROR(AVERAGEIFS(INDIRECT("Tabela1["&amp;$B49&amp;"]"),Tabela1[Turno],$D49,Tabela1[Data Corrigida],X$3)/100,"")</f>
        <v>0</v>
      </c>
      <c r="Y49" s="36" t="str">
        <f ca="1">IFERROR(AVERAGEIFS(INDIRECT("Tabela1["&amp;$B49&amp;"]"),Tabela1[Turno],$D49,Tabela1[Data Corrigida],Y$3)/100,"")</f>
        <v/>
      </c>
      <c r="Z49" s="36" t="str">
        <f ca="1">IFERROR(AVERAGEIFS(INDIRECT("Tabela1["&amp;$B49&amp;"]"),Tabela1[Turno],$D49,Tabela1[Data Corrigida],Z$3)/100,"")</f>
        <v/>
      </c>
      <c r="AA49" s="36" t="str">
        <f ca="1">IFERROR(AVERAGEIFS(INDIRECT("Tabela1["&amp;$B49&amp;"]"),Tabela1[Turno],$D49,Tabela1[Data Corrigida],AA$3)/100,"")</f>
        <v/>
      </c>
      <c r="AB49" s="36" t="str">
        <f ca="1">IFERROR(AVERAGEIFS(INDIRECT("Tabela1["&amp;$B49&amp;"]"),Tabela1[Turno],$D49,Tabela1[Data Corrigida],AB$3)/100,"")</f>
        <v/>
      </c>
      <c r="AC49" s="36" t="str">
        <f ca="1">IFERROR(AVERAGEIFS(INDIRECT("Tabela1["&amp;$B49&amp;"]"),Tabela1[Turno],$D49,Tabela1[Data Corrigida],AC$3)/100,"")</f>
        <v/>
      </c>
      <c r="AD49" s="36" t="str">
        <f ca="1">IFERROR(AVERAGEIFS(INDIRECT("Tabela1["&amp;$B49&amp;"]"),Tabela1[Turno],$D49,Tabela1[Data Corrigida],AD$3)/100,"")</f>
        <v/>
      </c>
      <c r="AE49" s="36" t="str">
        <f ca="1">IFERROR(AVERAGEIFS(INDIRECT("Tabela1["&amp;$B49&amp;"]"),Tabela1[Turno],$D49,Tabela1[Data Corrigida],AE$3)/100,"")</f>
        <v/>
      </c>
      <c r="AF49" s="36" t="str">
        <f ca="1">IFERROR(AVERAGEIFS(INDIRECT("Tabela1["&amp;$B49&amp;"]"),Tabela1[Turno],$D49,Tabela1[Data Corrigida],AF$3)/100,"")</f>
        <v/>
      </c>
      <c r="AG49" s="36" t="str">
        <f ca="1">IFERROR(AVERAGEIFS(INDIRECT("Tabela1["&amp;$B49&amp;"]"),Tabela1[Turno],$D49,Tabela1[Data Corrigida],AG$3)/100,"")</f>
        <v/>
      </c>
      <c r="AH49" s="36" t="str">
        <f ca="1">IFERROR(AVERAGEIFS(INDIRECT("Tabela1["&amp;$B49&amp;"]"),Tabela1[Turno],$D49,Tabela1[Data Corrigida],AH$3)/100,"")</f>
        <v/>
      </c>
      <c r="AI49" s="36" t="str">
        <f ca="1">IFERROR(AVERAGEIFS(INDIRECT("Tabela1["&amp;$B49&amp;"]"),Tabela1[Turno],$D49,Tabela1[Data Corrigida],AI$3)/100,"")</f>
        <v/>
      </c>
      <c r="AJ49" s="36" t="str">
        <f ca="1">IFERROR(AVERAGEIFS(INDIRECT("Tabela1["&amp;$B49&amp;"]"),Tabela1[Turno],$D49,Tabela1[Data Corrigida],AJ$3)/100,"")</f>
        <v/>
      </c>
      <c r="AK49" s="36" t="str">
        <f ca="1">IFERROR(AVERAGEIFS(INDIRECT("Tabela1["&amp;$B49&amp;"]"),Tabela1[Turno],$D49,Tabela1[Data Corrigida],AK$3)/100,"")</f>
        <v/>
      </c>
      <c r="AL49" s="36" t="str">
        <f ca="1">IFERROR(AVERAGEIFS(INDIRECT("Tabela1["&amp;$B49&amp;"]"),Tabela1[Turno],$D49,Tabela1[Data Corrigida],AL$3)/100,"")</f>
        <v/>
      </c>
      <c r="AM49" s="36" t="str">
        <f ca="1">IFERROR(AVERAGEIFS(INDIRECT("Tabela1["&amp;$B49&amp;"]"),Tabela1[Turno],$D49,Tabela1[Data Corrigida],AM$3)/100,"")</f>
        <v/>
      </c>
    </row>
    <row r="50" spans="1:39" ht="15" customHeight="1" thickBot="1" x14ac:dyDescent="0.35">
      <c r="A50" s="50" t="str">
        <f>VLOOKUP(Tabela2[[#This Row],[Item 1]],Apoio!$A$2:$B$41,2,0)</f>
        <v>Eviscer</v>
      </c>
      <c r="B50" s="9" t="str">
        <f t="shared" si="2"/>
        <v>% Contaminação Interna Após Evisceradora</v>
      </c>
      <c r="C50" s="60"/>
      <c r="D50" s="28" t="s">
        <v>5</v>
      </c>
      <c r="E50" s="45">
        <f ca="1">IFERROR(AVERAGEIFS(INDIRECT("Tabela1["&amp;$B50&amp;"]"),Tabela1[Mês],E$3)/100,"")</f>
        <v>2.895E-2</v>
      </c>
      <c r="F50" s="45">
        <f ca="1">IFERROR(AVERAGEIFS(INDIRECT("Tabela1["&amp;$B50&amp;"]"),Tabela1[Mês],F$3)/100,"")</f>
        <v>5.4000000000000003E-3</v>
      </c>
      <c r="G50" s="45">
        <f ca="1">IFERROR(AVERAGEIFS(INDIRECT("Tabela1["&amp;$B50&amp;"]"),Tabela1[Mês],G$3)/100,"")</f>
        <v>1.24E-2</v>
      </c>
      <c r="H50" s="45">
        <f ca="1">IFERROR(AVERAGEIFS(INDIRECT("Tabela1["&amp;$B50&amp;"]"),Tabela1[Mês],H$3)/100,"")</f>
        <v>5.1000000000000004E-3</v>
      </c>
      <c r="I50" s="45">
        <f ca="1">IFERROR(AVERAGEIFS(INDIRECT("Tabela1["&amp;$B50&amp;"]"),Tabela1[Mês],I$3)/100,"")</f>
        <v>8.3000000000000001E-3</v>
      </c>
      <c r="J50" s="45">
        <f ca="1">IFERROR(AVERAGEIFS(INDIRECT("Tabela1["&amp;$B50&amp;"]"),Tabela1[Mês],J$3)/100,"")</f>
        <v>7.7000000000000002E-3</v>
      </c>
      <c r="K50" s="45">
        <f ca="1">IFERROR(AVERAGEIFS(INDIRECT("Tabela1["&amp;$B50&amp;"]"),Tabela1[Mês],K$3)/100,"")</f>
        <v>4.7262857756855663E-3</v>
      </c>
      <c r="L50" s="45">
        <f ca="1">IFERROR(AVERAGEIFS(INDIRECT("Tabela1["&amp;$B50&amp;"]"),Tabela1[Mês],L$3)/100,"")</f>
        <v>4.4145647591776775E-3</v>
      </c>
      <c r="M50" s="45">
        <f ca="1">IFERROR(AVERAGEIFS(INDIRECT("Tabela1["&amp;$B50&amp;"]"),Tabela1[Mês],M$3)/100,"")</f>
        <v>6.4777836834860525E-3</v>
      </c>
      <c r="N50" s="45">
        <f ca="1">IFERROR(AVERAGEIFS(INDIRECT("Tabela1["&amp;$B50&amp;"]"),Tabela1[Mês],N$3)/100,"")</f>
        <v>6.2829808256816624E-3</v>
      </c>
      <c r="O50" s="45" t="str">
        <f ca="1">IFERROR(AVERAGEIFS(INDIRECT("Tabela1["&amp;$B50&amp;"]"),Tabela1[Mês],O$3)/100,"")</f>
        <v/>
      </c>
      <c r="P50" s="46" t="str">
        <f ca="1">IFERROR(AVERAGEIFS(INDIRECT("Tabela1["&amp;$B50&amp;"]"),Tabela1[Mês],P$3)/100,"")</f>
        <v/>
      </c>
      <c r="Q50" s="63"/>
      <c r="R50" s="37">
        <f ca="1">IFERROR(AVERAGEIFS(INDIRECT("Tabela1["&amp;$B50&amp;"]"),Tabela1[Data Corrigida],R$3)/100,"")</f>
        <v>3.5492457852706301E-3</v>
      </c>
      <c r="S50" s="38">
        <f ca="1">IFERROR(AVERAGEIFS(INDIRECT("Tabela1["&amp;$B50&amp;"]"),Tabela1[Data Corrigida],S$3)/100,"")</f>
        <v>8.1620900591736836E-3</v>
      </c>
      <c r="T50" s="38">
        <f ca="1">IFERROR(AVERAGEIFS(INDIRECT("Tabela1["&amp;$B50&amp;"]"),Tabela1[Data Corrigida],T$3)/100,"")</f>
        <v>3.1553591336200026E-3</v>
      </c>
      <c r="U50" s="38">
        <f ca="1">IFERROR(AVERAGEIFS(INDIRECT("Tabela1["&amp;$B50&amp;"]"),Tabela1[Data Corrigida],U$3)/100,"")</f>
        <v>3.6061247241371457E-3</v>
      </c>
      <c r="V50" s="38">
        <f ca="1">IFERROR(AVERAGEIFS(INDIRECT("Tabela1["&amp;$B50&amp;"]"),Tabela1[Data Corrigida],V$3)/100,"")</f>
        <v>7.9565204652613641E-3</v>
      </c>
      <c r="W50" s="38">
        <f ca="1">IFERROR(AVERAGEIFS(INDIRECT("Tabela1["&amp;$B50&amp;"]"),Tabela1[Data Corrigida],W$3)/100,"")</f>
        <v>4.8215759395883618E-3</v>
      </c>
      <c r="X50" s="38">
        <f ca="1">IFERROR(AVERAGEIFS(INDIRECT("Tabela1["&amp;$B50&amp;"]"),Tabela1[Data Corrigida],X$3)/100,"")</f>
        <v>3.6080081327088858E-3</v>
      </c>
      <c r="Y50" s="38">
        <f ca="1">IFERROR(AVERAGEIFS(INDIRECT("Tabela1["&amp;$B50&amp;"]"),Tabela1[Data Corrigida],Y$3)/100,"")</f>
        <v>1.990066225165563E-2</v>
      </c>
      <c r="Z50" s="38" t="str">
        <f ca="1">IFERROR(AVERAGEIFS(INDIRECT("Tabela1["&amp;$B50&amp;"]"),Tabela1[Data Corrigida],Z$3)/100,"")</f>
        <v/>
      </c>
      <c r="AA50" s="38" t="str">
        <f ca="1">IFERROR(AVERAGEIFS(INDIRECT("Tabela1["&amp;$B50&amp;"]"),Tabela1[Data Corrigida],AA$3)/100,"")</f>
        <v/>
      </c>
      <c r="AB50" s="38" t="str">
        <f ca="1">IFERROR(AVERAGEIFS(INDIRECT("Tabela1["&amp;$B50&amp;"]"),Tabela1[Data Corrigida],AB$3)/100,"")</f>
        <v/>
      </c>
      <c r="AC50" s="38" t="str">
        <f ca="1">IFERROR(AVERAGEIFS(INDIRECT("Tabela1["&amp;$B50&amp;"]"),Tabela1[Data Corrigida],AC$3)/100,"")</f>
        <v/>
      </c>
      <c r="AD50" s="38" t="str">
        <f ca="1">IFERROR(AVERAGEIFS(INDIRECT("Tabela1["&amp;$B50&amp;"]"),Tabela1[Data Corrigida],AD$3)/100,"")</f>
        <v/>
      </c>
      <c r="AE50" s="38" t="str">
        <f ca="1">IFERROR(AVERAGEIFS(INDIRECT("Tabela1["&amp;$B50&amp;"]"),Tabela1[Data Corrigida],AE$3)/100,"")</f>
        <v/>
      </c>
      <c r="AF50" s="38" t="str">
        <f ca="1">IFERROR(AVERAGEIFS(INDIRECT("Tabela1["&amp;$B50&amp;"]"),Tabela1[Data Corrigida],AF$3)/100,"")</f>
        <v/>
      </c>
      <c r="AG50" s="38" t="str">
        <f ca="1">IFERROR(AVERAGEIFS(INDIRECT("Tabela1["&amp;$B50&amp;"]"),Tabela1[Data Corrigida],AG$3)/100,"")</f>
        <v/>
      </c>
      <c r="AH50" s="38" t="str">
        <f ca="1">IFERROR(AVERAGEIFS(INDIRECT("Tabela1["&amp;$B50&amp;"]"),Tabela1[Data Corrigida],AH$3)/100,"")</f>
        <v/>
      </c>
      <c r="AI50" s="38" t="str">
        <f ca="1">IFERROR(AVERAGEIFS(INDIRECT("Tabela1["&amp;$B50&amp;"]"),Tabela1[Data Corrigida],AI$3)/100,"")</f>
        <v/>
      </c>
      <c r="AJ50" s="38" t="str">
        <f ca="1">IFERROR(AVERAGEIFS(INDIRECT("Tabela1["&amp;$B50&amp;"]"),Tabela1[Data Corrigida],AJ$3)/100,"")</f>
        <v/>
      </c>
      <c r="AK50" s="38" t="str">
        <f ca="1">IFERROR(AVERAGEIFS(INDIRECT("Tabela1["&amp;$B50&amp;"]"),Tabela1[Data Corrigida],AK$3)/100,"")</f>
        <v/>
      </c>
      <c r="AL50" s="38" t="str">
        <f ca="1">IFERROR(AVERAGEIFS(INDIRECT("Tabela1["&amp;$B50&amp;"]"),Tabela1[Data Corrigida],AL$3)/100,"")</f>
        <v/>
      </c>
      <c r="AM50" s="38" t="str">
        <f ca="1">IFERROR(AVERAGEIFS(INDIRECT("Tabela1["&amp;$B50&amp;"]"),Tabela1[Data Corrigida],AM$3)/100,"")</f>
        <v/>
      </c>
    </row>
    <row r="51" spans="1:39" ht="15" customHeight="1" thickTop="1" x14ac:dyDescent="0.3">
      <c r="A51" s="50" t="str">
        <f>VLOOKUP(Tabela2[[#This Row],[Item 1]],Apoio!$A$2:$B$41,2,0)</f>
        <v>Eviscer</v>
      </c>
      <c r="B51" s="9" t="str">
        <f t="shared" si="2"/>
        <v>% Pro ventrículo não integro</v>
      </c>
      <c r="C51" s="58" t="str">
        <f>'BD - 022 Evisceração'!BA1</f>
        <v>% Pro ventrículo não integro</v>
      </c>
      <c r="D51" s="26" t="s">
        <v>21</v>
      </c>
      <c r="E51" s="34">
        <f ca="1">IFERROR(AVERAGEIFS(INDIRECT("Tabela1["&amp;$B51&amp;"]"),Tabela1[Turno],$D51,Tabela1[Mês],E$3)/100,"")</f>
        <v>0.44189999999999996</v>
      </c>
      <c r="F51" s="34">
        <f ca="1">IFERROR(AVERAGEIFS(INDIRECT("Tabela1["&amp;$B51&amp;"]"),Tabela1[Turno],$D51,Tabela1[Mês],F$3)/100,"")</f>
        <v>0.46600000000000003</v>
      </c>
      <c r="G51" s="34">
        <f ca="1">IFERROR(AVERAGEIFS(INDIRECT("Tabela1["&amp;$B51&amp;"]"),Tabela1[Turno],$D51,Tabela1[Mês],G$3)/100,"")</f>
        <v>0.32500000000000001</v>
      </c>
      <c r="H51" s="34">
        <f ca="1">IFERROR(AVERAGEIFS(INDIRECT("Tabela1["&amp;$B51&amp;"]"),Tabela1[Turno],$D51,Tabela1[Mês],H$3)/100,"")</f>
        <v>0.26590000000000003</v>
      </c>
      <c r="I51" s="34">
        <f ca="1">IFERROR(AVERAGEIFS(INDIRECT("Tabela1["&amp;$B51&amp;"]"),Tabela1[Turno],$D51,Tabela1[Mês],I$3)/100,"")</f>
        <v>0.42109999999999997</v>
      </c>
      <c r="J51" s="34">
        <f ca="1">IFERROR(AVERAGEIFS(INDIRECT("Tabela1["&amp;$B51&amp;"]"),Tabela1[Turno],$D51,Tabela1[Mês],J$3)/100,"")</f>
        <v>0.3856</v>
      </c>
      <c r="K51" s="34">
        <f ca="1">IFERROR(AVERAGEIFS(INDIRECT("Tabela1["&amp;$B51&amp;"]"),Tabela1[Turno],$D51,Tabela1[Mês],K$3)/100,"")</f>
        <v>0.36625000000000002</v>
      </c>
      <c r="L51" s="34">
        <f ca="1">IFERROR(AVERAGEIFS(INDIRECT("Tabela1["&amp;$B51&amp;"]"),Tabela1[Turno],$D51,Tabela1[Mês],L$3)/100,"")</f>
        <v>0.35205479452054794</v>
      </c>
      <c r="M51" s="34">
        <f ca="1">IFERROR(AVERAGEIFS(INDIRECT("Tabela1["&amp;$B51&amp;"]"),Tabela1[Turno],$D51,Tabela1[Mês],M$3)/100,"")</f>
        <v>0.35132530120481931</v>
      </c>
      <c r="N51" s="34">
        <f ca="1">IFERROR(AVERAGEIFS(INDIRECT("Tabela1["&amp;$B51&amp;"]"),Tabela1[Turno],$D51,Tabela1[Mês],N$3)/100,"")</f>
        <v>0.40413793103448276</v>
      </c>
      <c r="O51" s="34" t="str">
        <f ca="1">IFERROR(AVERAGEIFS(INDIRECT("Tabela1["&amp;$B51&amp;"]"),Tabela1[Turno],$D51,Tabela1[Mês],O$3)/100,"")</f>
        <v/>
      </c>
      <c r="P51" s="44" t="str">
        <f ca="1">IFERROR(AVERAGEIFS(INDIRECT("Tabela1["&amp;$B51&amp;"]"),Tabela1[Turno],$D51,Tabela1[Mês],P$3)/100,"")</f>
        <v/>
      </c>
      <c r="Q51" s="61">
        <v>0.02</v>
      </c>
      <c r="R51" s="39">
        <f ca="1">IFERROR(AVERAGEIFS(INDIRECT("Tabela1["&amp;$B51&amp;"]"),Tabela1[Turno],$D51,Tabela1[Data Corrigida],R$3)/100,"")</f>
        <v>0.38</v>
      </c>
      <c r="S51" s="40">
        <f ca="1">IFERROR(AVERAGEIFS(INDIRECT("Tabela1["&amp;$B51&amp;"]"),Tabela1[Turno],$D51,Tabela1[Data Corrigida],S$3)/100,"")</f>
        <v>0.42</v>
      </c>
      <c r="T51" s="40">
        <f ca="1">IFERROR(AVERAGEIFS(INDIRECT("Tabela1["&amp;$B51&amp;"]"),Tabela1[Turno],$D51,Tabela1[Data Corrigida],T$3)/100,"")</f>
        <v>0.4</v>
      </c>
      <c r="U51" s="40">
        <f ca="1">IFERROR(AVERAGEIFS(INDIRECT("Tabela1["&amp;$B51&amp;"]"),Tabela1[Turno],$D51,Tabela1[Data Corrigida],U$3)/100,"")</f>
        <v>0.39500000000000002</v>
      </c>
      <c r="V51" s="40">
        <f ca="1">IFERROR(AVERAGEIFS(INDIRECT("Tabela1["&amp;$B51&amp;"]"),Tabela1[Turno],$D51,Tabela1[Data Corrigida],V$3)/100,"")</f>
        <v>0.4</v>
      </c>
      <c r="W51" s="40">
        <f ca="1">IFERROR(AVERAGEIFS(INDIRECT("Tabela1["&amp;$B51&amp;"]"),Tabela1[Turno],$D51,Tabela1[Data Corrigida],W$3)/100,"")</f>
        <v>0.41499999999999998</v>
      </c>
      <c r="X51" s="40">
        <f ca="1">IFERROR(AVERAGEIFS(INDIRECT("Tabela1["&amp;$B51&amp;"]"),Tabela1[Turno],$D51,Tabela1[Data Corrigida],X$3)/100,"")</f>
        <v>0.39</v>
      </c>
      <c r="Y51" s="40">
        <f ca="1">IFERROR(AVERAGEIFS(INDIRECT("Tabela1["&amp;$B51&amp;"]"),Tabela1[Turno],$D51,Tabela1[Data Corrigida],Y$3)/100,"")</f>
        <v>0.43</v>
      </c>
      <c r="Z51" s="40" t="str">
        <f ca="1">IFERROR(AVERAGEIFS(INDIRECT("Tabela1["&amp;$B51&amp;"]"),Tabela1[Turno],$D51,Tabela1[Data Corrigida],Z$3)/100,"")</f>
        <v/>
      </c>
      <c r="AA51" s="40" t="str">
        <f ca="1">IFERROR(AVERAGEIFS(INDIRECT("Tabela1["&amp;$B51&amp;"]"),Tabela1[Turno],$D51,Tabela1[Data Corrigida],AA$3)/100,"")</f>
        <v/>
      </c>
      <c r="AB51" s="40" t="str">
        <f ca="1">IFERROR(AVERAGEIFS(INDIRECT("Tabela1["&amp;$B51&amp;"]"),Tabela1[Turno],$D51,Tabela1[Data Corrigida],AB$3)/100,"")</f>
        <v/>
      </c>
      <c r="AC51" s="40" t="str">
        <f ca="1">IFERROR(AVERAGEIFS(INDIRECT("Tabela1["&amp;$B51&amp;"]"),Tabela1[Turno],$D51,Tabela1[Data Corrigida],AC$3)/100,"")</f>
        <v/>
      </c>
      <c r="AD51" s="40" t="str">
        <f ca="1">IFERROR(AVERAGEIFS(INDIRECT("Tabela1["&amp;$B51&amp;"]"),Tabela1[Turno],$D51,Tabela1[Data Corrigida],AD$3)/100,"")</f>
        <v/>
      </c>
      <c r="AE51" s="40" t="str">
        <f ca="1">IFERROR(AVERAGEIFS(INDIRECT("Tabela1["&amp;$B51&amp;"]"),Tabela1[Turno],$D51,Tabela1[Data Corrigida],AE$3)/100,"")</f>
        <v/>
      </c>
      <c r="AF51" s="40" t="str">
        <f ca="1">IFERROR(AVERAGEIFS(INDIRECT("Tabela1["&amp;$B51&amp;"]"),Tabela1[Turno],$D51,Tabela1[Data Corrigida],AF$3)/100,"")</f>
        <v/>
      </c>
      <c r="AG51" s="40" t="str">
        <f ca="1">IFERROR(AVERAGEIFS(INDIRECT("Tabela1["&amp;$B51&amp;"]"),Tabela1[Turno],$D51,Tabela1[Data Corrigida],AG$3)/100,"")</f>
        <v/>
      </c>
      <c r="AH51" s="40" t="str">
        <f ca="1">IFERROR(AVERAGEIFS(INDIRECT("Tabela1["&amp;$B51&amp;"]"),Tabela1[Turno],$D51,Tabela1[Data Corrigida],AH$3)/100,"")</f>
        <v/>
      </c>
      <c r="AI51" s="40" t="str">
        <f ca="1">IFERROR(AVERAGEIFS(INDIRECT("Tabela1["&amp;$B51&amp;"]"),Tabela1[Turno],$D51,Tabela1[Data Corrigida],AI$3)/100,"")</f>
        <v/>
      </c>
      <c r="AJ51" s="40" t="str">
        <f ca="1">IFERROR(AVERAGEIFS(INDIRECT("Tabela1["&amp;$B51&amp;"]"),Tabela1[Turno],$D51,Tabela1[Data Corrigida],AJ$3)/100,"")</f>
        <v/>
      </c>
      <c r="AK51" s="40" t="str">
        <f ca="1">IFERROR(AVERAGEIFS(INDIRECT("Tabela1["&amp;$B51&amp;"]"),Tabela1[Turno],$D51,Tabela1[Data Corrigida],AK$3)/100,"")</f>
        <v/>
      </c>
      <c r="AL51" s="40" t="str">
        <f ca="1">IFERROR(AVERAGEIFS(INDIRECT("Tabela1["&amp;$B51&amp;"]"),Tabela1[Turno],$D51,Tabela1[Data Corrigida],AL$3)/100,"")</f>
        <v/>
      </c>
      <c r="AM51" s="40" t="str">
        <f ca="1">IFERROR(AVERAGEIFS(INDIRECT("Tabela1["&amp;$B51&amp;"]"),Tabela1[Turno],$D51,Tabela1[Data Corrigida],AM$3)/100,"")</f>
        <v/>
      </c>
    </row>
    <row r="52" spans="1:39" ht="15" customHeight="1" x14ac:dyDescent="0.3">
      <c r="A52" s="50" t="str">
        <f>VLOOKUP(Tabela2[[#This Row],[Item 1]],Apoio!$A$2:$B$41,2,0)</f>
        <v>Eviscer</v>
      </c>
      <c r="B52" s="9" t="str">
        <f t="shared" si="2"/>
        <v>% Pro ventrículo não integro</v>
      </c>
      <c r="C52" s="59"/>
      <c r="D52" s="27" t="s">
        <v>33</v>
      </c>
      <c r="E52" s="36">
        <f ca="1">IFERROR(AVERAGEIFS(INDIRECT("Tabela1["&amp;$B52&amp;"]"),Tabela1[Turno],$D52,Tabela1[Mês],E$3)/100,"")</f>
        <v>0.39219999999999999</v>
      </c>
      <c r="F52" s="36">
        <f ca="1">IFERROR(AVERAGEIFS(INDIRECT("Tabela1["&amp;$B52&amp;"]"),Tabela1[Turno],$D52,Tabela1[Mês],F$3)/100,"")</f>
        <v>0.3145</v>
      </c>
      <c r="G52" s="36">
        <f ca="1">IFERROR(AVERAGEIFS(INDIRECT("Tabela1["&amp;$B52&amp;"]"),Tabela1[Turno],$D52,Tabela1[Mês],G$3)/100,"")</f>
        <v>0.31140000000000001</v>
      </c>
      <c r="H52" s="36" t="str">
        <f ca="1">IFERROR(AVERAGEIFS(INDIRECT("Tabela1["&amp;$B52&amp;"]"),Tabela1[Turno],$D52,Tabela1[Mês],H$3)/100,"")</f>
        <v/>
      </c>
      <c r="I52" s="36">
        <f ca="1">IFERROR(AVERAGEIFS(INDIRECT("Tabela1["&amp;$B52&amp;"]"),Tabela1[Turno],$D52,Tabela1[Mês],I$3)/100,"")</f>
        <v>0.25670000000000004</v>
      </c>
      <c r="J52" s="36">
        <f ca="1">IFERROR(AVERAGEIFS(INDIRECT("Tabela1["&amp;$B52&amp;"]"),Tabela1[Turno],$D52,Tabela1[Mês],J$3)/100,"")</f>
        <v>0.20300000000000001</v>
      </c>
      <c r="K52" s="36">
        <f ca="1">IFERROR(AVERAGEIFS(INDIRECT("Tabela1["&amp;$B52&amp;"]"),Tabela1[Turno],$D52,Tabela1[Mês],K$3)/100,"")</f>
        <v>0.35571428571428571</v>
      </c>
      <c r="L52" s="36">
        <f ca="1">IFERROR(AVERAGEIFS(INDIRECT("Tabela1["&amp;$B52&amp;"]"),Tabela1[Turno],$D52,Tabela1[Mês],L$3)/100,"")</f>
        <v>0.20933333333333334</v>
      </c>
      <c r="M52" s="36">
        <f ca="1">IFERROR(AVERAGEIFS(INDIRECT("Tabela1["&amp;$B52&amp;"]"),Tabela1[Turno],$D52,Tabela1[Mês],M$3)/100,"")</f>
        <v>0.24158730158730157</v>
      </c>
      <c r="N52" s="36">
        <f ca="1">IFERROR(AVERAGEIFS(INDIRECT("Tabela1["&amp;$B52&amp;"]"),Tabela1[Turno],$D52,Tabela1[Mês],N$3)/100,"")</f>
        <v>0.33809523809523812</v>
      </c>
      <c r="O52" s="36" t="str">
        <f ca="1">IFERROR(AVERAGEIFS(INDIRECT("Tabela1["&amp;$B52&amp;"]"),Tabela1[Turno],$D52,Tabela1[Mês],O$3)/100,"")</f>
        <v/>
      </c>
      <c r="P52" s="41" t="str">
        <f ca="1">IFERROR(AVERAGEIFS(INDIRECT("Tabela1["&amp;$B52&amp;"]"),Tabela1[Turno],$D52,Tabela1[Mês],P$3)/100,"")</f>
        <v/>
      </c>
      <c r="Q52" s="62"/>
      <c r="R52" s="35">
        <f ca="1">IFERROR(AVERAGEIFS(INDIRECT("Tabela1["&amp;$B52&amp;"]"),Tabela1[Turno],$D52,Tabela1[Data Corrigida],R$3)/100,"")</f>
        <v>0.34</v>
      </c>
      <c r="S52" s="36">
        <f ca="1">IFERROR(AVERAGEIFS(INDIRECT("Tabela1["&amp;$B52&amp;"]"),Tabela1[Turno],$D52,Tabela1[Data Corrigida],S$3)/100,"")</f>
        <v>0.32</v>
      </c>
      <c r="T52" s="36">
        <f ca="1">IFERROR(AVERAGEIFS(INDIRECT("Tabela1["&amp;$B52&amp;"]"),Tabela1[Turno],$D52,Tabela1[Data Corrigida],T$3)/100,"")</f>
        <v>0.35333333333333333</v>
      </c>
      <c r="U52" s="36">
        <f ca="1">IFERROR(AVERAGEIFS(INDIRECT("Tabela1["&amp;$B52&amp;"]"),Tabela1[Turno],$D52,Tabela1[Data Corrigida],U$3)/100,"")</f>
        <v>0.35333333333333333</v>
      </c>
      <c r="V52" s="36">
        <f ca="1">IFERROR(AVERAGEIFS(INDIRECT("Tabela1["&amp;$B52&amp;"]"),Tabela1[Turno],$D52,Tabela1[Data Corrigida],V$3)/100,"")</f>
        <v>0.35333333333333333</v>
      </c>
      <c r="W52" s="36">
        <f ca="1">IFERROR(AVERAGEIFS(INDIRECT("Tabela1["&amp;$B52&amp;"]"),Tabela1[Turno],$D52,Tabela1[Data Corrigida],W$3)/100,"")</f>
        <v>0.33333333333333337</v>
      </c>
      <c r="X52" s="36">
        <f ca="1">IFERROR(AVERAGEIFS(INDIRECT("Tabela1["&amp;$B52&amp;"]"),Tabela1[Turno],$D52,Tabela1[Data Corrigida],X$3)/100,"")</f>
        <v>0.3133333333333333</v>
      </c>
      <c r="Y52" s="36" t="str">
        <f ca="1">IFERROR(AVERAGEIFS(INDIRECT("Tabela1["&amp;$B52&amp;"]"),Tabela1[Turno],$D52,Tabela1[Data Corrigida],Y$3)/100,"")</f>
        <v/>
      </c>
      <c r="Z52" s="36" t="str">
        <f ca="1">IFERROR(AVERAGEIFS(INDIRECT("Tabela1["&amp;$B52&amp;"]"),Tabela1[Turno],$D52,Tabela1[Data Corrigida],Z$3)/100,"")</f>
        <v/>
      </c>
      <c r="AA52" s="36" t="str">
        <f ca="1">IFERROR(AVERAGEIFS(INDIRECT("Tabela1["&amp;$B52&amp;"]"),Tabela1[Turno],$D52,Tabela1[Data Corrigida],AA$3)/100,"")</f>
        <v/>
      </c>
      <c r="AB52" s="36" t="str">
        <f ca="1">IFERROR(AVERAGEIFS(INDIRECT("Tabela1["&amp;$B52&amp;"]"),Tabela1[Turno],$D52,Tabela1[Data Corrigida],AB$3)/100,"")</f>
        <v/>
      </c>
      <c r="AC52" s="36" t="str">
        <f ca="1">IFERROR(AVERAGEIFS(INDIRECT("Tabela1["&amp;$B52&amp;"]"),Tabela1[Turno],$D52,Tabela1[Data Corrigida],AC$3)/100,"")</f>
        <v/>
      </c>
      <c r="AD52" s="36" t="str">
        <f ca="1">IFERROR(AVERAGEIFS(INDIRECT("Tabela1["&amp;$B52&amp;"]"),Tabela1[Turno],$D52,Tabela1[Data Corrigida],AD$3)/100,"")</f>
        <v/>
      </c>
      <c r="AE52" s="36" t="str">
        <f ca="1">IFERROR(AVERAGEIFS(INDIRECT("Tabela1["&amp;$B52&amp;"]"),Tabela1[Turno],$D52,Tabela1[Data Corrigida],AE$3)/100,"")</f>
        <v/>
      </c>
      <c r="AF52" s="36" t="str">
        <f ca="1">IFERROR(AVERAGEIFS(INDIRECT("Tabela1["&amp;$B52&amp;"]"),Tabela1[Turno],$D52,Tabela1[Data Corrigida],AF$3)/100,"")</f>
        <v/>
      </c>
      <c r="AG52" s="36" t="str">
        <f ca="1">IFERROR(AVERAGEIFS(INDIRECT("Tabela1["&amp;$B52&amp;"]"),Tabela1[Turno],$D52,Tabela1[Data Corrigida],AG$3)/100,"")</f>
        <v/>
      </c>
      <c r="AH52" s="36" t="str">
        <f ca="1">IFERROR(AVERAGEIFS(INDIRECT("Tabela1["&amp;$B52&amp;"]"),Tabela1[Turno],$D52,Tabela1[Data Corrigida],AH$3)/100,"")</f>
        <v/>
      </c>
      <c r="AI52" s="36" t="str">
        <f ca="1">IFERROR(AVERAGEIFS(INDIRECT("Tabela1["&amp;$B52&amp;"]"),Tabela1[Turno],$D52,Tabela1[Data Corrigida],AI$3)/100,"")</f>
        <v/>
      </c>
      <c r="AJ52" s="36" t="str">
        <f ca="1">IFERROR(AVERAGEIFS(INDIRECT("Tabela1["&amp;$B52&amp;"]"),Tabela1[Turno],$D52,Tabela1[Data Corrigida],AJ$3)/100,"")</f>
        <v/>
      </c>
      <c r="AK52" s="36" t="str">
        <f ca="1">IFERROR(AVERAGEIFS(INDIRECT("Tabela1["&amp;$B52&amp;"]"),Tabela1[Turno],$D52,Tabela1[Data Corrigida],AK$3)/100,"")</f>
        <v/>
      </c>
      <c r="AL52" s="36" t="str">
        <f ca="1">IFERROR(AVERAGEIFS(INDIRECT("Tabela1["&amp;$B52&amp;"]"),Tabela1[Turno],$D52,Tabela1[Data Corrigida],AL$3)/100,"")</f>
        <v/>
      </c>
      <c r="AM52" s="36" t="str">
        <f ca="1">IFERROR(AVERAGEIFS(INDIRECT("Tabela1["&amp;$B52&amp;"]"),Tabela1[Turno],$D52,Tabela1[Data Corrigida],AM$3)/100,"")</f>
        <v/>
      </c>
    </row>
    <row r="53" spans="1:39" ht="15" customHeight="1" thickBot="1" x14ac:dyDescent="0.35">
      <c r="A53" s="50" t="str">
        <f>VLOOKUP(Tabela2[[#This Row],[Item 1]],Apoio!$A$2:$B$41,2,0)</f>
        <v>Eviscer</v>
      </c>
      <c r="B53" s="9" t="str">
        <f t="shared" si="2"/>
        <v>% Pro ventrículo não integro</v>
      </c>
      <c r="C53" s="60"/>
      <c r="D53" s="28" t="s">
        <v>5</v>
      </c>
      <c r="E53" s="45">
        <f ca="1">IFERROR(AVERAGEIFS(INDIRECT("Tabela1["&amp;$B53&amp;"]"),Tabela1[Mês],E$3)/100,"")</f>
        <v>0.41704999999999998</v>
      </c>
      <c r="F53" s="45">
        <f ca="1">IFERROR(AVERAGEIFS(INDIRECT("Tabela1["&amp;$B53&amp;"]"),Tabela1[Mês],F$3)/100,"")</f>
        <v>0.39024999999999999</v>
      </c>
      <c r="G53" s="45">
        <f ca="1">IFERROR(AVERAGEIFS(INDIRECT("Tabela1["&amp;$B53&amp;"]"),Tabela1[Mês],G$3)/100,"")</f>
        <v>0.31819999999999998</v>
      </c>
      <c r="H53" s="45">
        <f ca="1">IFERROR(AVERAGEIFS(INDIRECT("Tabela1["&amp;$B53&amp;"]"),Tabela1[Mês],H$3)/100,"")</f>
        <v>0.26590000000000003</v>
      </c>
      <c r="I53" s="45">
        <f ca="1">IFERROR(AVERAGEIFS(INDIRECT("Tabela1["&amp;$B53&amp;"]"),Tabela1[Mês],I$3)/100,"")</f>
        <v>0.33889999999999998</v>
      </c>
      <c r="J53" s="45">
        <f ca="1">IFERROR(AVERAGEIFS(INDIRECT("Tabela1["&amp;$B53&amp;"]"),Tabela1[Mês],J$3)/100,"")</f>
        <v>0.29430000000000001</v>
      </c>
      <c r="K53" s="45">
        <f ca="1">IFERROR(AVERAGEIFS(INDIRECT("Tabela1["&amp;$B53&amp;"]"),Tabela1[Mês],K$3)/100,"")</f>
        <v>0.36133333333333334</v>
      </c>
      <c r="L53" s="45">
        <f ca="1">IFERROR(AVERAGEIFS(INDIRECT("Tabela1["&amp;$B53&amp;"]"),Tabela1[Mês],L$3)/100,"")</f>
        <v>0.2876691729323308</v>
      </c>
      <c r="M53" s="45">
        <f ca="1">IFERROR(AVERAGEIFS(INDIRECT("Tabela1["&amp;$B53&amp;"]"),Tabela1[Mês],M$3)/100,"")</f>
        <v>0.30397260273972604</v>
      </c>
      <c r="N53" s="45">
        <f ca="1">IFERROR(AVERAGEIFS(INDIRECT("Tabela1["&amp;$B53&amp;"]"),Tabela1[Mês],N$3)/100,"")</f>
        <v>0.37640000000000001</v>
      </c>
      <c r="O53" s="45" t="str">
        <f ca="1">IFERROR(AVERAGEIFS(INDIRECT("Tabela1["&amp;$B53&amp;"]"),Tabela1[Mês],O$3)/100,"")</f>
        <v/>
      </c>
      <c r="P53" s="46" t="str">
        <f ca="1">IFERROR(AVERAGEIFS(INDIRECT("Tabela1["&amp;$B53&amp;"]"),Tabela1[Mês],P$3)/100,"")</f>
        <v/>
      </c>
      <c r="Q53" s="63"/>
      <c r="R53" s="52">
        <f ca="1">IFERROR(AVERAGEIFS(INDIRECT("Tabela1["&amp;$B53&amp;"]"),Tabela1[Data Corrigida],R$3)/100,"")</f>
        <v>0.36285714285714282</v>
      </c>
      <c r="S53" s="53">
        <f ca="1">IFERROR(AVERAGEIFS(INDIRECT("Tabela1["&amp;$B53&amp;"]"),Tabela1[Data Corrigida],S$3)/100,"")</f>
        <v>0.37714285714285717</v>
      </c>
      <c r="T53" s="53">
        <f ca="1">IFERROR(AVERAGEIFS(INDIRECT("Tabela1["&amp;$B53&amp;"]"),Tabela1[Data Corrigida],T$3)/100,"")</f>
        <v>0.36499999999999999</v>
      </c>
      <c r="U53" s="53">
        <f ca="1">IFERROR(AVERAGEIFS(INDIRECT("Tabela1["&amp;$B53&amp;"]"),Tabela1[Data Corrigida],U$3)/100,"")</f>
        <v>0.37714285714285717</v>
      </c>
      <c r="V53" s="53">
        <f ca="1">IFERROR(AVERAGEIFS(INDIRECT("Tabela1["&amp;$B53&amp;"]"),Tabela1[Data Corrigida],V$3)/100,"")</f>
        <v>0.38</v>
      </c>
      <c r="W53" s="53">
        <f ca="1">IFERROR(AVERAGEIFS(INDIRECT("Tabela1["&amp;$B53&amp;"]"),Tabela1[Data Corrigida],W$3)/100,"")</f>
        <v>0.38</v>
      </c>
      <c r="X53" s="53">
        <f ca="1">IFERROR(AVERAGEIFS(INDIRECT("Tabela1["&amp;$B53&amp;"]"),Tabela1[Data Corrigida],X$3)/100,"")</f>
        <v>0.35714285714285715</v>
      </c>
      <c r="Y53" s="53">
        <f ca="1">IFERROR(AVERAGEIFS(INDIRECT("Tabela1["&amp;$B53&amp;"]"),Tabela1[Data Corrigida],Y$3)/100,"")</f>
        <v>0.43</v>
      </c>
      <c r="Z53" s="53" t="str">
        <f ca="1">IFERROR(AVERAGEIFS(INDIRECT("Tabela1["&amp;$B53&amp;"]"),Tabela1[Data Corrigida],Z$3)/100,"")</f>
        <v/>
      </c>
      <c r="AA53" s="53" t="str">
        <f ca="1">IFERROR(AVERAGEIFS(INDIRECT("Tabela1["&amp;$B53&amp;"]"),Tabela1[Data Corrigida],AA$3)/100,"")</f>
        <v/>
      </c>
      <c r="AB53" s="53" t="str">
        <f ca="1">IFERROR(AVERAGEIFS(INDIRECT("Tabela1["&amp;$B53&amp;"]"),Tabela1[Data Corrigida],AB$3)/100,"")</f>
        <v/>
      </c>
      <c r="AC53" s="53" t="str">
        <f ca="1">IFERROR(AVERAGEIFS(INDIRECT("Tabela1["&amp;$B53&amp;"]"),Tabela1[Data Corrigida],AC$3)/100,"")</f>
        <v/>
      </c>
      <c r="AD53" s="53" t="str">
        <f ca="1">IFERROR(AVERAGEIFS(INDIRECT("Tabela1["&amp;$B53&amp;"]"),Tabela1[Data Corrigida],AD$3)/100,"")</f>
        <v/>
      </c>
      <c r="AE53" s="53" t="str">
        <f ca="1">IFERROR(AVERAGEIFS(INDIRECT("Tabela1["&amp;$B53&amp;"]"),Tabela1[Data Corrigida],AE$3)/100,"")</f>
        <v/>
      </c>
      <c r="AF53" s="53" t="str">
        <f ca="1">IFERROR(AVERAGEIFS(INDIRECT("Tabela1["&amp;$B53&amp;"]"),Tabela1[Data Corrigida],AF$3)/100,"")</f>
        <v/>
      </c>
      <c r="AG53" s="53" t="str">
        <f ca="1">IFERROR(AVERAGEIFS(INDIRECT("Tabela1["&amp;$B53&amp;"]"),Tabela1[Data Corrigida],AG$3)/100,"")</f>
        <v/>
      </c>
      <c r="AH53" s="53" t="str">
        <f ca="1">IFERROR(AVERAGEIFS(INDIRECT("Tabela1["&amp;$B53&amp;"]"),Tabela1[Data Corrigida],AH$3)/100,"")</f>
        <v/>
      </c>
      <c r="AI53" s="53" t="str">
        <f ca="1">IFERROR(AVERAGEIFS(INDIRECT("Tabela1["&amp;$B53&amp;"]"),Tabela1[Data Corrigida],AI$3)/100,"")</f>
        <v/>
      </c>
      <c r="AJ53" s="53" t="str">
        <f ca="1">IFERROR(AVERAGEIFS(INDIRECT("Tabela1["&amp;$B53&amp;"]"),Tabela1[Data Corrigida],AJ$3)/100,"")</f>
        <v/>
      </c>
      <c r="AK53" s="53" t="str">
        <f ca="1">IFERROR(AVERAGEIFS(INDIRECT("Tabela1["&amp;$B53&amp;"]"),Tabela1[Data Corrigida],AK$3)/100,"")</f>
        <v/>
      </c>
      <c r="AL53" s="53" t="str">
        <f ca="1">IFERROR(AVERAGEIFS(INDIRECT("Tabela1["&amp;$B53&amp;"]"),Tabela1[Data Corrigida],AL$3)/100,"")</f>
        <v/>
      </c>
      <c r="AM53" s="53" t="str">
        <f ca="1">IFERROR(AVERAGEIFS(INDIRECT("Tabela1["&amp;$B53&amp;"]"),Tabela1[Data Corrigida],AM$3)/100,"")</f>
        <v/>
      </c>
    </row>
    <row r="54" spans="1:39" ht="15" customHeight="1" thickTop="1" x14ac:dyDescent="0.3">
      <c r="A54" s="50" t="str">
        <f>VLOOKUP(Tabela2[[#This Row],[Item 1]],Apoio!$A$2:$B$41,2,0)</f>
        <v>Míudos</v>
      </c>
      <c r="B54" s="9" t="str">
        <f t="shared" si="2"/>
        <v>% Retirada de Coração</v>
      </c>
      <c r="C54" s="58" t="str">
        <f>'BD - 022 Evisceração'!BB1</f>
        <v>% Retirada de Coração</v>
      </c>
      <c r="D54" s="26" t="s">
        <v>21</v>
      </c>
      <c r="E54" s="34">
        <f ca="1">IFERROR(AVERAGEIFS(INDIRECT("Tabela1["&amp;$B54&amp;"]"),Tabela1[Turno],$D54,Tabela1[Mês],E$3)/100,"")</f>
        <v>9.0000000000000011E-3</v>
      </c>
      <c r="F54" s="34">
        <f ca="1">IFERROR(AVERAGEIFS(INDIRECT("Tabela1["&amp;$B54&amp;"]"),Tabela1[Turno],$D54,Tabela1[Mês],F$3)/100,"")</f>
        <v>0.01</v>
      </c>
      <c r="G54" s="34">
        <f ca="1">IFERROR(AVERAGEIFS(INDIRECT("Tabela1["&amp;$B54&amp;"]"),Tabela1[Turno],$D54,Tabela1[Mês],G$3)/100,"")</f>
        <v>1.7000000000000001E-3</v>
      </c>
      <c r="H54" s="34">
        <f ca="1">IFERROR(AVERAGEIFS(INDIRECT("Tabela1["&amp;$B54&amp;"]"),Tabela1[Turno],$D54,Tabela1[Mês],H$3)/100,"")</f>
        <v>1.8E-3</v>
      </c>
      <c r="I54" s="34">
        <f ca="1">IFERROR(AVERAGEIFS(INDIRECT("Tabela1["&amp;$B54&amp;"]"),Tabela1[Turno],$D54,Tabela1[Mês],I$3)/100,"")</f>
        <v>0</v>
      </c>
      <c r="J54" s="34">
        <f ca="1">IFERROR(AVERAGEIFS(INDIRECT("Tabela1["&amp;$B54&amp;"]"),Tabela1[Turno],$D54,Tabela1[Mês],J$3)/100,"")</f>
        <v>1.7000000000000001E-3</v>
      </c>
      <c r="K54" s="34">
        <f ca="1">IFERROR(AVERAGEIFS(INDIRECT("Tabela1["&amp;$B54&amp;"]"),Tabela1[Turno],$D54,Tabela1[Mês],K$3)/100,"")</f>
        <v>5.0000000000000001E-3</v>
      </c>
      <c r="L54" s="34">
        <f ca="1">IFERROR(AVERAGEIFS(INDIRECT("Tabela1["&amp;$B54&amp;"]"),Tabela1[Turno],$D54,Tabela1[Mês],L$3)/100,"")</f>
        <v>7.2222222222222219E-3</v>
      </c>
      <c r="M54" s="34">
        <f ca="1">IFERROR(AVERAGEIFS(INDIRECT("Tabela1["&amp;$B54&amp;"]"),Tabela1[Turno],$D54,Tabela1[Mês],M$3)/100,"")</f>
        <v>1.2195121951219512E-3</v>
      </c>
      <c r="N54" s="34">
        <f ca="1">IFERROR(AVERAGEIFS(INDIRECT("Tabela1["&amp;$B54&amp;"]"),Tabela1[Turno],$D54,Tabela1[Mês],N$3)/100,"")</f>
        <v>5.5172413793103444E-3</v>
      </c>
      <c r="O54" s="34" t="str">
        <f ca="1">IFERROR(AVERAGEIFS(INDIRECT("Tabela1["&amp;$B54&amp;"]"),Tabela1[Turno],$D54,Tabela1[Mês],O$3)/100,"")</f>
        <v/>
      </c>
      <c r="P54" s="44" t="str">
        <f ca="1">IFERROR(AVERAGEIFS(INDIRECT("Tabela1["&amp;$B54&amp;"]"),Tabela1[Turno],$D54,Tabela1[Mês],P$3)/100,"")</f>
        <v/>
      </c>
      <c r="Q54" s="61">
        <v>0.01</v>
      </c>
      <c r="R54" s="39">
        <f ca="1">IFERROR(AVERAGEIFS(INDIRECT("Tabela1["&amp;$B54&amp;"]"),Tabela1[Turno],$D54,Tabela1[Data Corrigida],R$3)/100,"")</f>
        <v>1.4999999999999999E-2</v>
      </c>
      <c r="S54" s="40">
        <f ca="1">IFERROR(AVERAGEIFS(INDIRECT("Tabela1["&amp;$B54&amp;"]"),Tabela1[Turno],$D54,Tabela1[Data Corrigida],S$3)/100,"")</f>
        <v>0</v>
      </c>
      <c r="T54" s="40">
        <f ca="1">IFERROR(AVERAGEIFS(INDIRECT("Tabela1["&amp;$B54&amp;"]"),Tabela1[Turno],$D54,Tabela1[Data Corrigida],T$3)/100,"")</f>
        <v>0.02</v>
      </c>
      <c r="U54" s="40">
        <f ca="1">IFERROR(AVERAGEIFS(INDIRECT("Tabela1["&amp;$B54&amp;"]"),Tabela1[Turno],$D54,Tabela1[Data Corrigida],U$3)/100,"")</f>
        <v>0</v>
      </c>
      <c r="V54" s="40">
        <f ca="1">IFERROR(AVERAGEIFS(INDIRECT("Tabela1["&amp;$B54&amp;"]"),Tabela1[Turno],$D54,Tabela1[Data Corrigida],V$3)/100,"")</f>
        <v>0.01</v>
      </c>
      <c r="W54" s="40">
        <f ca="1">IFERROR(AVERAGEIFS(INDIRECT("Tabela1["&amp;$B54&amp;"]"),Tabela1[Turno],$D54,Tabela1[Data Corrigida],W$3)/100,"")</f>
        <v>5.0000000000000001E-3</v>
      </c>
      <c r="X54" s="40">
        <f ca="1">IFERROR(AVERAGEIFS(INDIRECT("Tabela1["&amp;$B54&amp;"]"),Tabela1[Turno],$D54,Tabela1[Data Corrigida],X$3)/100,"")</f>
        <v>0</v>
      </c>
      <c r="Y54" s="40">
        <f ca="1">IFERROR(AVERAGEIFS(INDIRECT("Tabela1["&amp;$B54&amp;"]"),Tabela1[Turno],$D54,Tabela1[Data Corrigida],Y$3)/100,"")</f>
        <v>5.0000000000000001E-3</v>
      </c>
      <c r="Z54" s="40" t="str">
        <f ca="1">IFERROR(AVERAGEIFS(INDIRECT("Tabela1["&amp;$B54&amp;"]"),Tabela1[Turno],$D54,Tabela1[Data Corrigida],Z$3)/100,"")</f>
        <v/>
      </c>
      <c r="AA54" s="40" t="str">
        <f ca="1">IFERROR(AVERAGEIFS(INDIRECT("Tabela1["&amp;$B54&amp;"]"),Tabela1[Turno],$D54,Tabela1[Data Corrigida],AA$3)/100,"")</f>
        <v/>
      </c>
      <c r="AB54" s="40" t="str">
        <f ca="1">IFERROR(AVERAGEIFS(INDIRECT("Tabela1["&amp;$B54&amp;"]"),Tabela1[Turno],$D54,Tabela1[Data Corrigida],AB$3)/100,"")</f>
        <v/>
      </c>
      <c r="AC54" s="40" t="str">
        <f ca="1">IFERROR(AVERAGEIFS(INDIRECT("Tabela1["&amp;$B54&amp;"]"),Tabela1[Turno],$D54,Tabela1[Data Corrigida],AC$3)/100,"")</f>
        <v/>
      </c>
      <c r="AD54" s="40" t="str">
        <f ca="1">IFERROR(AVERAGEIFS(INDIRECT("Tabela1["&amp;$B54&amp;"]"),Tabela1[Turno],$D54,Tabela1[Data Corrigida],AD$3)/100,"")</f>
        <v/>
      </c>
      <c r="AE54" s="40" t="str">
        <f ca="1">IFERROR(AVERAGEIFS(INDIRECT("Tabela1["&amp;$B54&amp;"]"),Tabela1[Turno],$D54,Tabela1[Data Corrigida],AE$3)/100,"")</f>
        <v/>
      </c>
      <c r="AF54" s="40" t="str">
        <f ca="1">IFERROR(AVERAGEIFS(INDIRECT("Tabela1["&amp;$B54&amp;"]"),Tabela1[Turno],$D54,Tabela1[Data Corrigida],AF$3)/100,"")</f>
        <v/>
      </c>
      <c r="AG54" s="40" t="str">
        <f ca="1">IFERROR(AVERAGEIFS(INDIRECT("Tabela1["&amp;$B54&amp;"]"),Tabela1[Turno],$D54,Tabela1[Data Corrigida],AG$3)/100,"")</f>
        <v/>
      </c>
      <c r="AH54" s="40" t="str">
        <f ca="1">IFERROR(AVERAGEIFS(INDIRECT("Tabela1["&amp;$B54&amp;"]"),Tabela1[Turno],$D54,Tabela1[Data Corrigida],AH$3)/100,"")</f>
        <v/>
      </c>
      <c r="AI54" s="40" t="str">
        <f ca="1">IFERROR(AVERAGEIFS(INDIRECT("Tabela1["&amp;$B54&amp;"]"),Tabela1[Turno],$D54,Tabela1[Data Corrigida],AI$3)/100,"")</f>
        <v/>
      </c>
      <c r="AJ54" s="40" t="str">
        <f ca="1">IFERROR(AVERAGEIFS(INDIRECT("Tabela1["&amp;$B54&amp;"]"),Tabela1[Turno],$D54,Tabela1[Data Corrigida],AJ$3)/100,"")</f>
        <v/>
      </c>
      <c r="AK54" s="40" t="str">
        <f ca="1">IFERROR(AVERAGEIFS(INDIRECT("Tabela1["&amp;$B54&amp;"]"),Tabela1[Turno],$D54,Tabela1[Data Corrigida],AK$3)/100,"")</f>
        <v/>
      </c>
      <c r="AL54" s="40" t="str">
        <f ca="1">IFERROR(AVERAGEIFS(INDIRECT("Tabela1["&amp;$B54&amp;"]"),Tabela1[Turno],$D54,Tabela1[Data Corrigida],AL$3)/100,"")</f>
        <v/>
      </c>
      <c r="AM54" s="40" t="str">
        <f ca="1">IFERROR(AVERAGEIFS(INDIRECT("Tabela1["&amp;$B54&amp;"]"),Tabela1[Turno],$D54,Tabela1[Data Corrigida],AM$3)/100,"")</f>
        <v/>
      </c>
    </row>
    <row r="55" spans="1:39" ht="15" customHeight="1" x14ac:dyDescent="0.3">
      <c r="A55" s="50" t="str">
        <f>VLOOKUP(Tabela2[[#This Row],[Item 1]],Apoio!$A$2:$B$41,2,0)</f>
        <v>Míudos</v>
      </c>
      <c r="B55" s="9" t="str">
        <f t="shared" si="2"/>
        <v>% Retirada de Coração</v>
      </c>
      <c r="C55" s="59"/>
      <c r="D55" s="27" t="s">
        <v>33</v>
      </c>
      <c r="E55" s="36">
        <f ca="1">IFERROR(AVERAGEIFS(INDIRECT("Tabela1["&amp;$B55&amp;"]"),Tabela1[Turno],$D55,Tabela1[Mês],E$3)/100,"")</f>
        <v>5.9999999999999995E-4</v>
      </c>
      <c r="F55" s="36">
        <f ca="1">IFERROR(AVERAGEIFS(INDIRECT("Tabela1["&amp;$B55&amp;"]"),Tabela1[Turno],$D55,Tabela1[Mês],F$3)/100,"")</f>
        <v>0</v>
      </c>
      <c r="G55" s="36">
        <f ca="1">IFERROR(AVERAGEIFS(INDIRECT("Tabela1["&amp;$B55&amp;"]"),Tabela1[Turno],$D55,Tabela1[Mês],G$3)/100,"")</f>
        <v>0</v>
      </c>
      <c r="H55" s="36" t="str">
        <f ca="1">IFERROR(AVERAGEIFS(INDIRECT("Tabela1["&amp;$B55&amp;"]"),Tabela1[Turno],$D55,Tabela1[Mês],H$3)/100,"")</f>
        <v/>
      </c>
      <c r="I55" s="36">
        <f ca="1">IFERROR(AVERAGEIFS(INDIRECT("Tabela1["&amp;$B55&amp;"]"),Tabela1[Turno],$D55,Tabela1[Mês],I$3)/100,"")</f>
        <v>6.7000000000000002E-3</v>
      </c>
      <c r="J55" s="36">
        <f ca="1">IFERROR(AVERAGEIFS(INDIRECT("Tabela1["&amp;$B55&amp;"]"),Tabela1[Turno],$D55,Tabela1[Mês],J$3)/100,"")</f>
        <v>2.1899999999999999E-2</v>
      </c>
      <c r="K55" s="36">
        <f ca="1">IFERROR(AVERAGEIFS(INDIRECT("Tabela1["&amp;$B55&amp;"]"),Tabela1[Turno],$D55,Tabela1[Mês],K$3)/100,"")</f>
        <v>1.4285714285714285E-2</v>
      </c>
      <c r="L55" s="36">
        <f ca="1">IFERROR(AVERAGEIFS(INDIRECT("Tabela1["&amp;$B55&amp;"]"),Tabela1[Turno],$D55,Tabela1[Mês],L$3)/100,"")</f>
        <v>9.6666666666666672E-3</v>
      </c>
      <c r="M55" s="36">
        <f ca="1">IFERROR(AVERAGEIFS(INDIRECT("Tabela1["&amp;$B55&amp;"]"),Tabela1[Turno],$D55,Tabela1[Mês],M$3)/100,"")</f>
        <v>4.4444444444444444E-3</v>
      </c>
      <c r="N55" s="36">
        <f ca="1">IFERROR(AVERAGEIFS(INDIRECT("Tabela1["&amp;$B55&amp;"]"),Tabela1[Turno],$D55,Tabela1[Mês],N$3)/100,"")</f>
        <v>4.7619047619047615E-3</v>
      </c>
      <c r="O55" s="36" t="str">
        <f ca="1">IFERROR(AVERAGEIFS(INDIRECT("Tabela1["&amp;$B55&amp;"]"),Tabela1[Turno],$D55,Tabela1[Mês],O$3)/100,"")</f>
        <v/>
      </c>
      <c r="P55" s="41" t="str">
        <f ca="1">IFERROR(AVERAGEIFS(INDIRECT("Tabela1["&amp;$B55&amp;"]"),Tabela1[Turno],$D55,Tabela1[Mês],P$3)/100,"")</f>
        <v/>
      </c>
      <c r="Q55" s="62"/>
      <c r="R55" s="35">
        <f ca="1">IFERROR(AVERAGEIFS(INDIRECT("Tabela1["&amp;$B55&amp;"]"),Tabela1[Turno],$D55,Tabela1[Data Corrigida],R$3)/100,"")</f>
        <v>0</v>
      </c>
      <c r="S55" s="36">
        <f ca="1">IFERROR(AVERAGEIFS(INDIRECT("Tabela1["&amp;$B55&amp;"]"),Tabela1[Turno],$D55,Tabela1[Data Corrigida],S$3)/100,"")</f>
        <v>6.6666666666666662E-3</v>
      </c>
      <c r="T55" s="36">
        <f ca="1">IFERROR(AVERAGEIFS(INDIRECT("Tabela1["&amp;$B55&amp;"]"),Tabela1[Turno],$D55,Tabela1[Data Corrigida],T$3)/100,"")</f>
        <v>0</v>
      </c>
      <c r="U55" s="36">
        <f ca="1">IFERROR(AVERAGEIFS(INDIRECT("Tabela1["&amp;$B55&amp;"]"),Tabela1[Turno],$D55,Tabela1[Data Corrigida],U$3)/100,"")</f>
        <v>1.3333333333333332E-2</v>
      </c>
      <c r="V55" s="36">
        <f ca="1">IFERROR(AVERAGEIFS(INDIRECT("Tabela1["&amp;$B55&amp;"]"),Tabela1[Turno],$D55,Tabela1[Data Corrigida],V$3)/100,"")</f>
        <v>1.3333333333333332E-2</v>
      </c>
      <c r="W55" s="36">
        <f ca="1">IFERROR(AVERAGEIFS(INDIRECT("Tabela1["&amp;$B55&amp;"]"),Tabela1[Turno],$D55,Tabela1[Data Corrigida],W$3)/100,"")</f>
        <v>0</v>
      </c>
      <c r="X55" s="36">
        <f ca="1">IFERROR(AVERAGEIFS(INDIRECT("Tabela1["&amp;$B55&amp;"]"),Tabela1[Turno],$D55,Tabela1[Data Corrigida],X$3)/100,"")</f>
        <v>0</v>
      </c>
      <c r="Y55" s="36" t="str">
        <f ca="1">IFERROR(AVERAGEIFS(INDIRECT("Tabela1["&amp;$B55&amp;"]"),Tabela1[Turno],$D55,Tabela1[Data Corrigida],Y$3)/100,"")</f>
        <v/>
      </c>
      <c r="Z55" s="36" t="str">
        <f ca="1">IFERROR(AVERAGEIFS(INDIRECT("Tabela1["&amp;$B55&amp;"]"),Tabela1[Turno],$D55,Tabela1[Data Corrigida],Z$3)/100,"")</f>
        <v/>
      </c>
      <c r="AA55" s="36" t="str">
        <f ca="1">IFERROR(AVERAGEIFS(INDIRECT("Tabela1["&amp;$B55&amp;"]"),Tabela1[Turno],$D55,Tabela1[Data Corrigida],AA$3)/100,"")</f>
        <v/>
      </c>
      <c r="AB55" s="36" t="str">
        <f ca="1">IFERROR(AVERAGEIFS(INDIRECT("Tabela1["&amp;$B55&amp;"]"),Tabela1[Turno],$D55,Tabela1[Data Corrigida],AB$3)/100,"")</f>
        <v/>
      </c>
      <c r="AC55" s="36" t="str">
        <f ca="1">IFERROR(AVERAGEIFS(INDIRECT("Tabela1["&amp;$B55&amp;"]"),Tabela1[Turno],$D55,Tabela1[Data Corrigida],AC$3)/100,"")</f>
        <v/>
      </c>
      <c r="AD55" s="36" t="str">
        <f ca="1">IFERROR(AVERAGEIFS(INDIRECT("Tabela1["&amp;$B55&amp;"]"),Tabela1[Turno],$D55,Tabela1[Data Corrigida],AD$3)/100,"")</f>
        <v/>
      </c>
      <c r="AE55" s="36" t="str">
        <f ca="1">IFERROR(AVERAGEIFS(INDIRECT("Tabela1["&amp;$B55&amp;"]"),Tabela1[Turno],$D55,Tabela1[Data Corrigida],AE$3)/100,"")</f>
        <v/>
      </c>
      <c r="AF55" s="36" t="str">
        <f ca="1">IFERROR(AVERAGEIFS(INDIRECT("Tabela1["&amp;$B55&amp;"]"),Tabela1[Turno],$D55,Tabela1[Data Corrigida],AF$3)/100,"")</f>
        <v/>
      </c>
      <c r="AG55" s="36" t="str">
        <f ca="1">IFERROR(AVERAGEIFS(INDIRECT("Tabela1["&amp;$B55&amp;"]"),Tabela1[Turno],$D55,Tabela1[Data Corrigida],AG$3)/100,"")</f>
        <v/>
      </c>
      <c r="AH55" s="36" t="str">
        <f ca="1">IFERROR(AVERAGEIFS(INDIRECT("Tabela1["&amp;$B55&amp;"]"),Tabela1[Turno],$D55,Tabela1[Data Corrigida],AH$3)/100,"")</f>
        <v/>
      </c>
      <c r="AI55" s="36" t="str">
        <f ca="1">IFERROR(AVERAGEIFS(INDIRECT("Tabela1["&amp;$B55&amp;"]"),Tabela1[Turno],$D55,Tabela1[Data Corrigida],AI$3)/100,"")</f>
        <v/>
      </c>
      <c r="AJ55" s="36" t="str">
        <f ca="1">IFERROR(AVERAGEIFS(INDIRECT("Tabela1["&amp;$B55&amp;"]"),Tabela1[Turno],$D55,Tabela1[Data Corrigida],AJ$3)/100,"")</f>
        <v/>
      </c>
      <c r="AK55" s="36" t="str">
        <f ca="1">IFERROR(AVERAGEIFS(INDIRECT("Tabela1["&amp;$B55&amp;"]"),Tabela1[Turno],$D55,Tabela1[Data Corrigida],AK$3)/100,"")</f>
        <v/>
      </c>
      <c r="AL55" s="36" t="str">
        <f ca="1">IFERROR(AVERAGEIFS(INDIRECT("Tabela1["&amp;$B55&amp;"]"),Tabela1[Turno],$D55,Tabela1[Data Corrigida],AL$3)/100,"")</f>
        <v/>
      </c>
      <c r="AM55" s="36" t="str">
        <f ca="1">IFERROR(AVERAGEIFS(INDIRECT("Tabela1["&amp;$B55&amp;"]"),Tabela1[Turno],$D55,Tabela1[Data Corrigida],AM$3)/100,"")</f>
        <v/>
      </c>
    </row>
    <row r="56" spans="1:39" ht="15" customHeight="1" thickBot="1" x14ac:dyDescent="0.35">
      <c r="A56" s="50" t="str">
        <f>VLOOKUP(Tabela2[[#This Row],[Item 1]],Apoio!$A$2:$B$41,2,0)</f>
        <v>Míudos</v>
      </c>
      <c r="B56" s="9" t="str">
        <f t="shared" si="2"/>
        <v>% Retirada de Coração</v>
      </c>
      <c r="C56" s="60"/>
      <c r="D56" s="28" t="s">
        <v>5</v>
      </c>
      <c r="E56" s="45">
        <f ca="1">IFERROR(AVERAGEIFS(INDIRECT("Tabela1["&amp;$B56&amp;"]"),Tabela1[Mês],E$3)/100,"")</f>
        <v>4.7999999999999996E-3</v>
      </c>
      <c r="F56" s="45">
        <f ca="1">IFERROR(AVERAGEIFS(INDIRECT("Tabela1["&amp;$B56&amp;"]"),Tabela1[Mês],F$3)/100,"")</f>
        <v>5.0000000000000001E-3</v>
      </c>
      <c r="G56" s="45">
        <f ca="1">IFERROR(AVERAGEIFS(INDIRECT("Tabela1["&amp;$B56&amp;"]"),Tabela1[Mês],G$3)/100,"")</f>
        <v>8.5000000000000006E-4</v>
      </c>
      <c r="H56" s="45">
        <f ca="1">IFERROR(AVERAGEIFS(INDIRECT("Tabela1["&amp;$B56&amp;"]"),Tabela1[Mês],H$3)/100,"")</f>
        <v>1.8E-3</v>
      </c>
      <c r="I56" s="45">
        <f ca="1">IFERROR(AVERAGEIFS(INDIRECT("Tabela1["&amp;$B56&amp;"]"),Tabela1[Mês],I$3)/100,"")</f>
        <v>3.3500000000000001E-3</v>
      </c>
      <c r="J56" s="45">
        <f ca="1">IFERROR(AVERAGEIFS(INDIRECT("Tabela1["&amp;$B56&amp;"]"),Tabela1[Mês],J$3)/100,"")</f>
        <v>1.18E-2</v>
      </c>
      <c r="K56" s="45">
        <f ca="1">IFERROR(AVERAGEIFS(INDIRECT("Tabela1["&amp;$B56&amp;"]"),Tabela1[Mês],K$3)/100,"")</f>
        <v>9.3333333333333341E-3</v>
      </c>
      <c r="L56" s="45">
        <f ca="1">IFERROR(AVERAGEIFS(INDIRECT("Tabela1["&amp;$B56&amp;"]"),Tabela1[Mês],L$3)/100,"")</f>
        <v>8.3333333333333332E-3</v>
      </c>
      <c r="M56" s="45">
        <f ca="1">IFERROR(AVERAGEIFS(INDIRECT("Tabela1["&amp;$B56&amp;"]"),Tabela1[Mês],M$3)/100,"")</f>
        <v>2.620689655172414E-3</v>
      </c>
      <c r="N56" s="45">
        <f ca="1">IFERROR(AVERAGEIFS(INDIRECT("Tabela1["&amp;$B56&amp;"]"),Tabela1[Mês],N$3)/100,"")</f>
        <v>5.1999999999999998E-3</v>
      </c>
      <c r="O56" s="45" t="str">
        <f ca="1">IFERROR(AVERAGEIFS(INDIRECT("Tabela1["&amp;$B56&amp;"]"),Tabela1[Mês],O$3)/100,"")</f>
        <v/>
      </c>
      <c r="P56" s="46" t="str">
        <f ca="1">IFERROR(AVERAGEIFS(INDIRECT("Tabela1["&amp;$B56&amp;"]"),Tabela1[Mês],P$3)/100,"")</f>
        <v/>
      </c>
      <c r="Q56" s="63"/>
      <c r="R56" s="37">
        <f ca="1">IFERROR(AVERAGEIFS(INDIRECT("Tabela1["&amp;$B56&amp;"]"),Tabela1[Data Corrigida],R$3)/100,"")</f>
        <v>8.5714285714285701E-3</v>
      </c>
      <c r="S56" s="38">
        <f ca="1">IFERROR(AVERAGEIFS(INDIRECT("Tabela1["&amp;$B56&amp;"]"),Tabela1[Data Corrigida],S$3)/100,"")</f>
        <v>2.8571428571428571E-3</v>
      </c>
      <c r="T56" s="38">
        <f ca="1">IFERROR(AVERAGEIFS(INDIRECT("Tabela1["&amp;$B56&amp;"]"),Tabela1[Data Corrigida],T$3)/100,"")</f>
        <v>5.0000000000000001E-3</v>
      </c>
      <c r="U56" s="38">
        <f ca="1">IFERROR(AVERAGEIFS(INDIRECT("Tabela1["&amp;$B56&amp;"]"),Tabela1[Data Corrigida],U$3)/100,"")</f>
        <v>5.7142857142857143E-3</v>
      </c>
      <c r="V56" s="38">
        <f ca="1">IFERROR(AVERAGEIFS(INDIRECT("Tabela1["&amp;$B56&amp;"]"),Tabela1[Data Corrigida],V$3)/100,"")</f>
        <v>1.1428571428571429E-2</v>
      </c>
      <c r="W56" s="38">
        <f ca="1">IFERROR(AVERAGEIFS(INDIRECT("Tabela1["&amp;$B56&amp;"]"),Tabela1[Data Corrigida],W$3)/100,"")</f>
        <v>2.8571428571428571E-3</v>
      </c>
      <c r="X56" s="38">
        <f ca="1">IFERROR(AVERAGEIFS(INDIRECT("Tabela1["&amp;$B56&amp;"]"),Tabela1[Data Corrigida],X$3)/100,"")</f>
        <v>0</v>
      </c>
      <c r="Y56" s="38">
        <f ca="1">IFERROR(AVERAGEIFS(INDIRECT("Tabela1["&amp;$B56&amp;"]"),Tabela1[Data Corrigida],Y$3)/100,"")</f>
        <v>5.0000000000000001E-3</v>
      </c>
      <c r="Z56" s="38" t="str">
        <f ca="1">IFERROR(AVERAGEIFS(INDIRECT("Tabela1["&amp;$B56&amp;"]"),Tabela1[Data Corrigida],Z$3)/100,"")</f>
        <v/>
      </c>
      <c r="AA56" s="38" t="str">
        <f ca="1">IFERROR(AVERAGEIFS(INDIRECT("Tabela1["&amp;$B56&amp;"]"),Tabela1[Data Corrigida],AA$3)/100,"")</f>
        <v/>
      </c>
      <c r="AB56" s="38" t="str">
        <f ca="1">IFERROR(AVERAGEIFS(INDIRECT("Tabela1["&amp;$B56&amp;"]"),Tabela1[Data Corrigida],AB$3)/100,"")</f>
        <v/>
      </c>
      <c r="AC56" s="38" t="str">
        <f ca="1">IFERROR(AVERAGEIFS(INDIRECT("Tabela1["&amp;$B56&amp;"]"),Tabela1[Data Corrigida],AC$3)/100,"")</f>
        <v/>
      </c>
      <c r="AD56" s="38" t="str">
        <f ca="1">IFERROR(AVERAGEIFS(INDIRECT("Tabela1["&amp;$B56&amp;"]"),Tabela1[Data Corrigida],AD$3)/100,"")</f>
        <v/>
      </c>
      <c r="AE56" s="38" t="str">
        <f ca="1">IFERROR(AVERAGEIFS(INDIRECT("Tabela1["&amp;$B56&amp;"]"),Tabela1[Data Corrigida],AE$3)/100,"")</f>
        <v/>
      </c>
      <c r="AF56" s="38" t="str">
        <f ca="1">IFERROR(AVERAGEIFS(INDIRECT("Tabela1["&amp;$B56&amp;"]"),Tabela1[Data Corrigida],AF$3)/100,"")</f>
        <v/>
      </c>
      <c r="AG56" s="38" t="str">
        <f ca="1">IFERROR(AVERAGEIFS(INDIRECT("Tabela1["&amp;$B56&amp;"]"),Tabela1[Data Corrigida],AG$3)/100,"")</f>
        <v/>
      </c>
      <c r="AH56" s="38" t="str">
        <f ca="1">IFERROR(AVERAGEIFS(INDIRECT("Tabela1["&amp;$B56&amp;"]"),Tabela1[Data Corrigida],AH$3)/100,"")</f>
        <v/>
      </c>
      <c r="AI56" s="38" t="str">
        <f ca="1">IFERROR(AVERAGEIFS(INDIRECT("Tabela1["&amp;$B56&amp;"]"),Tabela1[Data Corrigida],AI$3)/100,"")</f>
        <v/>
      </c>
      <c r="AJ56" s="38" t="str">
        <f ca="1">IFERROR(AVERAGEIFS(INDIRECT("Tabela1["&amp;$B56&amp;"]"),Tabela1[Data Corrigida],AJ$3)/100,"")</f>
        <v/>
      </c>
      <c r="AK56" s="38" t="str">
        <f ca="1">IFERROR(AVERAGEIFS(INDIRECT("Tabela1["&amp;$B56&amp;"]"),Tabela1[Data Corrigida],AK$3)/100,"")</f>
        <v/>
      </c>
      <c r="AL56" s="38" t="str">
        <f ca="1">IFERROR(AVERAGEIFS(INDIRECT("Tabela1["&amp;$B56&amp;"]"),Tabela1[Data Corrigida],AL$3)/100,"")</f>
        <v/>
      </c>
      <c r="AM56" s="38" t="str">
        <f ca="1">IFERROR(AVERAGEIFS(INDIRECT("Tabela1["&amp;$B56&amp;"]"),Tabela1[Data Corrigida],AM$3)/100,"")</f>
        <v/>
      </c>
    </row>
    <row r="57" spans="1:39" ht="15" customHeight="1" thickTop="1" x14ac:dyDescent="0.3">
      <c r="A57" s="50" t="str">
        <f>VLOOKUP(Tabela2[[#This Row],[Item 1]],Apoio!$A$2:$B$41,2,0)</f>
        <v>Míudos</v>
      </c>
      <c r="B57" s="9" t="str">
        <f t="shared" si="2"/>
        <v>% Retirada de Fígado</v>
      </c>
      <c r="C57" s="58" t="str">
        <f>'BD - 022 Evisceração'!BC1</f>
        <v>% Retirada de Fígado</v>
      </c>
      <c r="D57" s="26" t="s">
        <v>21</v>
      </c>
      <c r="E57" s="34">
        <f ca="1">IFERROR(AVERAGEIFS(INDIRECT("Tabela1["&amp;$B57&amp;"]"),Tabela1[Turno],$D57,Tabela1[Mês],E$3)/100,"")</f>
        <v>2.4300000000000002E-2</v>
      </c>
      <c r="F57" s="34">
        <f ca="1">IFERROR(AVERAGEIFS(INDIRECT("Tabela1["&amp;$B57&amp;"]"),Tabela1[Turno],$D57,Tabela1[Mês],F$3)/100,"")</f>
        <v>2.1499999999999998E-2</v>
      </c>
      <c r="G57" s="34">
        <f ca="1">IFERROR(AVERAGEIFS(INDIRECT("Tabela1["&amp;$B57&amp;"]"),Tabela1[Turno],$D57,Tabela1[Mês],G$3)/100,"")</f>
        <v>2.7000000000000001E-3</v>
      </c>
      <c r="H57" s="34">
        <f ca="1">IFERROR(AVERAGEIFS(INDIRECT("Tabela1["&amp;$B57&amp;"]"),Tabela1[Turno],$D57,Tabela1[Mês],H$3)/100,"")</f>
        <v>4.4000000000000003E-3</v>
      </c>
      <c r="I57" s="34">
        <f ca="1">IFERROR(AVERAGEIFS(INDIRECT("Tabela1["&amp;$B57&amp;"]"),Tabela1[Turno],$D57,Tabela1[Mês],I$3)/100,"")</f>
        <v>0</v>
      </c>
      <c r="J57" s="34">
        <f ca="1">IFERROR(AVERAGEIFS(INDIRECT("Tabela1["&amp;$B57&amp;"]"),Tabela1[Turno],$D57,Tabela1[Mês],J$3)/100,"")</f>
        <v>1.7000000000000001E-3</v>
      </c>
      <c r="K57" s="34">
        <f ca="1">IFERROR(AVERAGEIFS(INDIRECT("Tabela1["&amp;$B57&amp;"]"),Tabela1[Turno],$D57,Tabela1[Mês],K$3)/100,"")</f>
        <v>5.0000000000000001E-3</v>
      </c>
      <c r="L57" s="34">
        <f ca="1">IFERROR(AVERAGEIFS(INDIRECT("Tabela1["&amp;$B57&amp;"]"),Tabela1[Turno],$D57,Tabela1[Mês],L$3)/100,"")</f>
        <v>5.0000000000000001E-3</v>
      </c>
      <c r="M57" s="34">
        <f ca="1">IFERROR(AVERAGEIFS(INDIRECT("Tabela1["&amp;$B57&amp;"]"),Tabela1[Turno],$D57,Tabela1[Mês],M$3)/100,"")</f>
        <v>1.2195121951219512E-3</v>
      </c>
      <c r="N57" s="34">
        <f ca="1">IFERROR(AVERAGEIFS(INDIRECT("Tabela1["&amp;$B57&amp;"]"),Tabela1[Turno],$D57,Tabela1[Mês],N$3)/100,"")</f>
        <v>5.5172413793103444E-3</v>
      </c>
      <c r="O57" s="34" t="str">
        <f ca="1">IFERROR(AVERAGEIFS(INDIRECT("Tabela1["&amp;$B57&amp;"]"),Tabela1[Turno],$D57,Tabela1[Mês],O$3)/100,"")</f>
        <v/>
      </c>
      <c r="P57" s="44" t="str">
        <f ca="1">IFERROR(AVERAGEIFS(INDIRECT("Tabela1["&amp;$B57&amp;"]"),Tabela1[Turno],$D57,Tabela1[Mês],P$3)/100,"")</f>
        <v/>
      </c>
      <c r="Q57" s="61">
        <v>0.01</v>
      </c>
      <c r="R57" s="39">
        <f ca="1">IFERROR(AVERAGEIFS(INDIRECT("Tabela1["&amp;$B57&amp;"]"),Tabela1[Turno],$D57,Tabela1[Data Corrigida],R$3)/100,"")</f>
        <v>1.4999999999999999E-2</v>
      </c>
      <c r="S57" s="40">
        <f ca="1">IFERROR(AVERAGEIFS(INDIRECT("Tabela1["&amp;$B57&amp;"]"),Tabela1[Turno],$D57,Tabela1[Data Corrigida],S$3)/100,"")</f>
        <v>0</v>
      </c>
      <c r="T57" s="40">
        <f ca="1">IFERROR(AVERAGEIFS(INDIRECT("Tabela1["&amp;$B57&amp;"]"),Tabela1[Turno],$D57,Tabela1[Data Corrigida],T$3)/100,"")</f>
        <v>0.02</v>
      </c>
      <c r="U57" s="40">
        <f ca="1">IFERROR(AVERAGEIFS(INDIRECT("Tabela1["&amp;$B57&amp;"]"),Tabela1[Turno],$D57,Tabela1[Data Corrigida],U$3)/100,"")</f>
        <v>0</v>
      </c>
      <c r="V57" s="40">
        <f ca="1">IFERROR(AVERAGEIFS(INDIRECT("Tabela1["&amp;$B57&amp;"]"),Tabela1[Turno],$D57,Tabela1[Data Corrigida],V$3)/100,"")</f>
        <v>0.01</v>
      </c>
      <c r="W57" s="40">
        <f ca="1">IFERROR(AVERAGEIFS(INDIRECT("Tabela1["&amp;$B57&amp;"]"),Tabela1[Turno],$D57,Tabela1[Data Corrigida],W$3)/100,"")</f>
        <v>5.0000000000000001E-3</v>
      </c>
      <c r="X57" s="40">
        <f ca="1">IFERROR(AVERAGEIFS(INDIRECT("Tabela1["&amp;$B57&amp;"]"),Tabela1[Turno],$D57,Tabela1[Data Corrigida],X$3)/100,"")</f>
        <v>0</v>
      </c>
      <c r="Y57" s="40">
        <f ca="1">IFERROR(AVERAGEIFS(INDIRECT("Tabela1["&amp;$B57&amp;"]"),Tabela1[Turno],$D57,Tabela1[Data Corrigida],Y$3)/100,"")</f>
        <v>5.0000000000000001E-3</v>
      </c>
      <c r="Z57" s="40" t="str">
        <f ca="1">IFERROR(AVERAGEIFS(INDIRECT("Tabela1["&amp;$B57&amp;"]"),Tabela1[Turno],$D57,Tabela1[Data Corrigida],Z$3)/100,"")</f>
        <v/>
      </c>
      <c r="AA57" s="40" t="str">
        <f ca="1">IFERROR(AVERAGEIFS(INDIRECT("Tabela1["&amp;$B57&amp;"]"),Tabela1[Turno],$D57,Tabela1[Data Corrigida],AA$3)/100,"")</f>
        <v/>
      </c>
      <c r="AB57" s="40" t="str">
        <f ca="1">IFERROR(AVERAGEIFS(INDIRECT("Tabela1["&amp;$B57&amp;"]"),Tabela1[Turno],$D57,Tabela1[Data Corrigida],AB$3)/100,"")</f>
        <v/>
      </c>
      <c r="AC57" s="40" t="str">
        <f ca="1">IFERROR(AVERAGEIFS(INDIRECT("Tabela1["&amp;$B57&amp;"]"),Tabela1[Turno],$D57,Tabela1[Data Corrigida],AC$3)/100,"")</f>
        <v/>
      </c>
      <c r="AD57" s="40" t="str">
        <f ca="1">IFERROR(AVERAGEIFS(INDIRECT("Tabela1["&amp;$B57&amp;"]"),Tabela1[Turno],$D57,Tabela1[Data Corrigida],AD$3)/100,"")</f>
        <v/>
      </c>
      <c r="AE57" s="40" t="str">
        <f ca="1">IFERROR(AVERAGEIFS(INDIRECT("Tabela1["&amp;$B57&amp;"]"),Tabela1[Turno],$D57,Tabela1[Data Corrigida],AE$3)/100,"")</f>
        <v/>
      </c>
      <c r="AF57" s="40" t="str">
        <f ca="1">IFERROR(AVERAGEIFS(INDIRECT("Tabela1["&amp;$B57&amp;"]"),Tabela1[Turno],$D57,Tabela1[Data Corrigida],AF$3)/100,"")</f>
        <v/>
      </c>
      <c r="AG57" s="40" t="str">
        <f ca="1">IFERROR(AVERAGEIFS(INDIRECT("Tabela1["&amp;$B57&amp;"]"),Tabela1[Turno],$D57,Tabela1[Data Corrigida],AG$3)/100,"")</f>
        <v/>
      </c>
      <c r="AH57" s="40" t="str">
        <f ca="1">IFERROR(AVERAGEIFS(INDIRECT("Tabela1["&amp;$B57&amp;"]"),Tabela1[Turno],$D57,Tabela1[Data Corrigida],AH$3)/100,"")</f>
        <v/>
      </c>
      <c r="AI57" s="40" t="str">
        <f ca="1">IFERROR(AVERAGEIFS(INDIRECT("Tabela1["&amp;$B57&amp;"]"),Tabela1[Turno],$D57,Tabela1[Data Corrigida],AI$3)/100,"")</f>
        <v/>
      </c>
      <c r="AJ57" s="40" t="str">
        <f ca="1">IFERROR(AVERAGEIFS(INDIRECT("Tabela1["&amp;$B57&amp;"]"),Tabela1[Turno],$D57,Tabela1[Data Corrigida],AJ$3)/100,"")</f>
        <v/>
      </c>
      <c r="AK57" s="40" t="str">
        <f ca="1">IFERROR(AVERAGEIFS(INDIRECT("Tabela1["&amp;$B57&amp;"]"),Tabela1[Turno],$D57,Tabela1[Data Corrigida],AK$3)/100,"")</f>
        <v/>
      </c>
      <c r="AL57" s="40" t="str">
        <f ca="1">IFERROR(AVERAGEIFS(INDIRECT("Tabela1["&amp;$B57&amp;"]"),Tabela1[Turno],$D57,Tabela1[Data Corrigida],AL$3)/100,"")</f>
        <v/>
      </c>
      <c r="AM57" s="40" t="str">
        <f ca="1">IFERROR(AVERAGEIFS(INDIRECT("Tabela1["&amp;$B57&amp;"]"),Tabela1[Turno],$D57,Tabela1[Data Corrigida],AM$3)/100,"")</f>
        <v/>
      </c>
    </row>
    <row r="58" spans="1:39" ht="15" customHeight="1" x14ac:dyDescent="0.3">
      <c r="A58" s="50" t="str">
        <f>VLOOKUP(Tabela2[[#This Row],[Item 1]],Apoio!$A$2:$B$41,2,0)</f>
        <v>Míudos</v>
      </c>
      <c r="B58" s="9" t="str">
        <f t="shared" si="2"/>
        <v>% Retirada de Fígado</v>
      </c>
      <c r="C58" s="59"/>
      <c r="D58" s="27" t="s">
        <v>33</v>
      </c>
      <c r="E58" s="36">
        <f ca="1">IFERROR(AVERAGEIFS(INDIRECT("Tabela1["&amp;$B58&amp;"]"),Tabela1[Turno],$D58,Tabela1[Mês],E$3)/100,"")</f>
        <v>5.9999999999999995E-4</v>
      </c>
      <c r="F58" s="36">
        <f ca="1">IFERROR(AVERAGEIFS(INDIRECT("Tabela1["&amp;$B58&amp;"]"),Tabela1[Turno],$D58,Tabela1[Mês],F$3)/100,"")</f>
        <v>0</v>
      </c>
      <c r="G58" s="36">
        <f ca="1">IFERROR(AVERAGEIFS(INDIRECT("Tabela1["&amp;$B58&amp;"]"),Tabela1[Turno],$D58,Tabela1[Mês],G$3)/100,"")</f>
        <v>1.4499999999999999E-2</v>
      </c>
      <c r="H58" s="36" t="str">
        <f ca="1">IFERROR(AVERAGEIFS(INDIRECT("Tabela1["&amp;$B58&amp;"]"),Tabela1[Turno],$D58,Tabela1[Mês],H$3)/100,"")</f>
        <v/>
      </c>
      <c r="I58" s="36">
        <f ca="1">IFERROR(AVERAGEIFS(INDIRECT("Tabela1["&amp;$B58&amp;"]"),Tabela1[Turno],$D58,Tabela1[Mês],I$3)/100,"")</f>
        <v>1.0500000000000001E-2</v>
      </c>
      <c r="J58" s="36">
        <f ca="1">IFERROR(AVERAGEIFS(INDIRECT("Tabela1["&amp;$B58&amp;"]"),Tabela1[Turno],$D58,Tabela1[Mês],J$3)/100,"")</f>
        <v>3.6400000000000002E-2</v>
      </c>
      <c r="K58" s="36">
        <f ca="1">IFERROR(AVERAGEIFS(INDIRECT("Tabela1["&amp;$B58&amp;"]"),Tabela1[Turno],$D58,Tabela1[Mês],K$3)/100,"")</f>
        <v>0.13</v>
      </c>
      <c r="L58" s="36">
        <f ca="1">IFERROR(AVERAGEIFS(INDIRECT("Tabela1["&amp;$B58&amp;"]"),Tabela1[Turno],$D58,Tabela1[Mês],L$3)/100,"")</f>
        <v>1.5333333333333334E-2</v>
      </c>
      <c r="M58" s="36">
        <f ca="1">IFERROR(AVERAGEIFS(INDIRECT("Tabela1["&amp;$B58&amp;"]"),Tabela1[Turno],$D58,Tabela1[Mês],M$3)/100,"")</f>
        <v>3.8095238095238095E-3</v>
      </c>
      <c r="N58" s="36">
        <f ca="1">IFERROR(AVERAGEIFS(INDIRECT("Tabela1["&amp;$B58&amp;"]"),Tabela1[Turno],$D58,Tabela1[Mês],N$3)/100,"")</f>
        <v>4.7619047619047615E-3</v>
      </c>
      <c r="O58" s="36" t="str">
        <f ca="1">IFERROR(AVERAGEIFS(INDIRECT("Tabela1["&amp;$B58&amp;"]"),Tabela1[Turno],$D58,Tabela1[Mês],O$3)/100,"")</f>
        <v/>
      </c>
      <c r="P58" s="41" t="str">
        <f ca="1">IFERROR(AVERAGEIFS(INDIRECT("Tabela1["&amp;$B58&amp;"]"),Tabela1[Turno],$D58,Tabela1[Mês],P$3)/100,"")</f>
        <v/>
      </c>
      <c r="Q58" s="62"/>
      <c r="R58" s="35">
        <f ca="1">IFERROR(AVERAGEIFS(INDIRECT("Tabela1["&amp;$B58&amp;"]"),Tabela1[Turno],$D58,Tabela1[Data Corrigida],R$3)/100,"")</f>
        <v>1.3333333333333332E-2</v>
      </c>
      <c r="S58" s="36">
        <f ca="1">IFERROR(AVERAGEIFS(INDIRECT("Tabela1["&amp;$B58&amp;"]"),Tabela1[Turno],$D58,Tabela1[Data Corrigida],S$3)/100,"")</f>
        <v>6.6666666666666662E-3</v>
      </c>
      <c r="T58" s="36">
        <f ca="1">IFERROR(AVERAGEIFS(INDIRECT("Tabela1["&amp;$B58&amp;"]"),Tabela1[Turno],$D58,Tabela1[Data Corrigida],T$3)/100,"")</f>
        <v>0</v>
      </c>
      <c r="U58" s="36">
        <f ca="1">IFERROR(AVERAGEIFS(INDIRECT("Tabela1["&amp;$B58&amp;"]"),Tabela1[Turno],$D58,Tabela1[Data Corrigida],U$3)/100,"")</f>
        <v>6.6666666666666662E-3</v>
      </c>
      <c r="V58" s="36">
        <f ca="1">IFERROR(AVERAGEIFS(INDIRECT("Tabela1["&amp;$B58&amp;"]"),Tabela1[Turno],$D58,Tabela1[Data Corrigida],V$3)/100,"")</f>
        <v>6.6666666666666662E-3</v>
      </c>
      <c r="W58" s="36">
        <f ca="1">IFERROR(AVERAGEIFS(INDIRECT("Tabela1["&amp;$B58&amp;"]"),Tabela1[Turno],$D58,Tabela1[Data Corrigida],W$3)/100,"")</f>
        <v>0</v>
      </c>
      <c r="X58" s="36">
        <f ca="1">IFERROR(AVERAGEIFS(INDIRECT("Tabela1["&amp;$B58&amp;"]"),Tabela1[Turno],$D58,Tabela1[Data Corrigida],X$3)/100,"")</f>
        <v>0</v>
      </c>
      <c r="Y58" s="36" t="str">
        <f ca="1">IFERROR(AVERAGEIFS(INDIRECT("Tabela1["&amp;$B58&amp;"]"),Tabela1[Turno],$D58,Tabela1[Data Corrigida],Y$3)/100,"")</f>
        <v/>
      </c>
      <c r="Z58" s="36" t="str">
        <f ca="1">IFERROR(AVERAGEIFS(INDIRECT("Tabela1["&amp;$B58&amp;"]"),Tabela1[Turno],$D58,Tabela1[Data Corrigida],Z$3)/100,"")</f>
        <v/>
      </c>
      <c r="AA58" s="36" t="str">
        <f ca="1">IFERROR(AVERAGEIFS(INDIRECT("Tabela1["&amp;$B58&amp;"]"),Tabela1[Turno],$D58,Tabela1[Data Corrigida],AA$3)/100,"")</f>
        <v/>
      </c>
      <c r="AB58" s="36" t="str">
        <f ca="1">IFERROR(AVERAGEIFS(INDIRECT("Tabela1["&amp;$B58&amp;"]"),Tabela1[Turno],$D58,Tabela1[Data Corrigida],AB$3)/100,"")</f>
        <v/>
      </c>
      <c r="AC58" s="36" t="str">
        <f ca="1">IFERROR(AVERAGEIFS(INDIRECT("Tabela1["&amp;$B58&amp;"]"),Tabela1[Turno],$D58,Tabela1[Data Corrigida],AC$3)/100,"")</f>
        <v/>
      </c>
      <c r="AD58" s="36" t="str">
        <f ca="1">IFERROR(AVERAGEIFS(INDIRECT("Tabela1["&amp;$B58&amp;"]"),Tabela1[Turno],$D58,Tabela1[Data Corrigida],AD$3)/100,"")</f>
        <v/>
      </c>
      <c r="AE58" s="36" t="str">
        <f ca="1">IFERROR(AVERAGEIFS(INDIRECT("Tabela1["&amp;$B58&amp;"]"),Tabela1[Turno],$D58,Tabela1[Data Corrigida],AE$3)/100,"")</f>
        <v/>
      </c>
      <c r="AF58" s="36" t="str">
        <f ca="1">IFERROR(AVERAGEIFS(INDIRECT("Tabela1["&amp;$B58&amp;"]"),Tabela1[Turno],$D58,Tabela1[Data Corrigida],AF$3)/100,"")</f>
        <v/>
      </c>
      <c r="AG58" s="36" t="str">
        <f ca="1">IFERROR(AVERAGEIFS(INDIRECT("Tabela1["&amp;$B58&amp;"]"),Tabela1[Turno],$D58,Tabela1[Data Corrigida],AG$3)/100,"")</f>
        <v/>
      </c>
      <c r="AH58" s="36" t="str">
        <f ca="1">IFERROR(AVERAGEIFS(INDIRECT("Tabela1["&amp;$B58&amp;"]"),Tabela1[Turno],$D58,Tabela1[Data Corrigida],AH$3)/100,"")</f>
        <v/>
      </c>
      <c r="AI58" s="36" t="str">
        <f ca="1">IFERROR(AVERAGEIFS(INDIRECT("Tabela1["&amp;$B58&amp;"]"),Tabela1[Turno],$D58,Tabela1[Data Corrigida],AI$3)/100,"")</f>
        <v/>
      </c>
      <c r="AJ58" s="36" t="str">
        <f ca="1">IFERROR(AVERAGEIFS(INDIRECT("Tabela1["&amp;$B58&amp;"]"),Tabela1[Turno],$D58,Tabela1[Data Corrigida],AJ$3)/100,"")</f>
        <v/>
      </c>
      <c r="AK58" s="36" t="str">
        <f ca="1">IFERROR(AVERAGEIFS(INDIRECT("Tabela1["&amp;$B58&amp;"]"),Tabela1[Turno],$D58,Tabela1[Data Corrigida],AK$3)/100,"")</f>
        <v/>
      </c>
      <c r="AL58" s="36" t="str">
        <f ca="1">IFERROR(AVERAGEIFS(INDIRECT("Tabela1["&amp;$B58&amp;"]"),Tabela1[Turno],$D58,Tabela1[Data Corrigida],AL$3)/100,"")</f>
        <v/>
      </c>
      <c r="AM58" s="36" t="str">
        <f ca="1">IFERROR(AVERAGEIFS(INDIRECT("Tabela1["&amp;$B58&amp;"]"),Tabela1[Turno],$D58,Tabela1[Data Corrigida],AM$3)/100,"")</f>
        <v/>
      </c>
    </row>
    <row r="59" spans="1:39" ht="15" customHeight="1" thickBot="1" x14ac:dyDescent="0.35">
      <c r="A59" s="50" t="str">
        <f>VLOOKUP(Tabela2[[#This Row],[Item 1]],Apoio!$A$2:$B$41,2,0)</f>
        <v>Míudos</v>
      </c>
      <c r="B59" s="9" t="str">
        <f t="shared" si="2"/>
        <v>% Retirada de Fígado</v>
      </c>
      <c r="C59" s="60"/>
      <c r="D59" s="28" t="s">
        <v>5</v>
      </c>
      <c r="E59" s="45">
        <f ca="1">IFERROR(AVERAGEIFS(INDIRECT("Tabela1["&amp;$B59&amp;"]"),Tabela1[Mês],E$3)/100,"")</f>
        <v>1.2450000000000001E-2</v>
      </c>
      <c r="F59" s="45">
        <f ca="1">IFERROR(AVERAGEIFS(INDIRECT("Tabela1["&amp;$B59&amp;"]"),Tabela1[Mês],F$3)/100,"")</f>
        <v>1.0749999999999999E-2</v>
      </c>
      <c r="G59" s="45">
        <f ca="1">IFERROR(AVERAGEIFS(INDIRECT("Tabela1["&amp;$B59&amp;"]"),Tabela1[Mês],G$3)/100,"")</f>
        <v>8.6E-3</v>
      </c>
      <c r="H59" s="45">
        <f ca="1">IFERROR(AVERAGEIFS(INDIRECT("Tabela1["&amp;$B59&amp;"]"),Tabela1[Mês],H$3)/100,"")</f>
        <v>4.4000000000000003E-3</v>
      </c>
      <c r="I59" s="45">
        <f ca="1">IFERROR(AVERAGEIFS(INDIRECT("Tabela1["&amp;$B59&amp;"]"),Tabela1[Mês],I$3)/100,"")</f>
        <v>5.2500000000000003E-3</v>
      </c>
      <c r="J59" s="45">
        <f ca="1">IFERROR(AVERAGEIFS(INDIRECT("Tabela1["&amp;$B59&amp;"]"),Tabela1[Mês],J$3)/100,"")</f>
        <v>1.9050000000000001E-2</v>
      </c>
      <c r="K59" s="45">
        <f ca="1">IFERROR(AVERAGEIFS(INDIRECT("Tabela1["&amp;$B59&amp;"]"),Tabela1[Mês],K$3)/100,"")</f>
        <v>6.3333333333333325E-2</v>
      </c>
      <c r="L59" s="45">
        <f ca="1">IFERROR(AVERAGEIFS(INDIRECT("Tabela1["&amp;$B59&amp;"]"),Tabela1[Mês],L$3)/100,"")</f>
        <v>9.696969696969697E-3</v>
      </c>
      <c r="M59" s="45">
        <f ca="1">IFERROR(AVERAGEIFS(INDIRECT("Tabela1["&amp;$B59&amp;"]"),Tabela1[Mês],M$3)/100,"")</f>
        <v>2.3448275862068967E-3</v>
      </c>
      <c r="N59" s="45">
        <f ca="1">IFERROR(AVERAGEIFS(INDIRECT("Tabela1["&amp;$B59&amp;"]"),Tabela1[Mês],N$3)/100,"")</f>
        <v>5.1999999999999998E-3</v>
      </c>
      <c r="O59" s="45" t="str">
        <f ca="1">IFERROR(AVERAGEIFS(INDIRECT("Tabela1["&amp;$B59&amp;"]"),Tabela1[Mês],O$3)/100,"")</f>
        <v/>
      </c>
      <c r="P59" s="46" t="str">
        <f ca="1">IFERROR(AVERAGEIFS(INDIRECT("Tabela1["&amp;$B59&amp;"]"),Tabela1[Mês],P$3)/100,"")</f>
        <v/>
      </c>
      <c r="Q59" s="63"/>
      <c r="R59" s="42">
        <f ca="1">IFERROR(AVERAGEIFS(INDIRECT("Tabela1["&amp;$B59&amp;"]"),Tabela1[Data Corrigida],R$3)/100,"")</f>
        <v>1.4285714285714285E-2</v>
      </c>
      <c r="S59" s="43">
        <f ca="1">IFERROR(AVERAGEIFS(INDIRECT("Tabela1["&amp;$B59&amp;"]"),Tabela1[Data Corrigida],S$3)/100,"")</f>
        <v>2.8571428571428571E-3</v>
      </c>
      <c r="T59" s="43">
        <f ca="1">IFERROR(AVERAGEIFS(INDIRECT("Tabela1["&amp;$B59&amp;"]"),Tabela1[Data Corrigida],T$3)/100,"")</f>
        <v>5.0000000000000001E-3</v>
      </c>
      <c r="U59" s="43">
        <f ca="1">IFERROR(AVERAGEIFS(INDIRECT("Tabela1["&amp;$B59&amp;"]"),Tabela1[Data Corrigida],U$3)/100,"")</f>
        <v>2.8571428571428571E-3</v>
      </c>
      <c r="V59" s="43">
        <f ca="1">IFERROR(AVERAGEIFS(INDIRECT("Tabela1["&amp;$B59&amp;"]"),Tabela1[Data Corrigida],V$3)/100,"")</f>
        <v>8.5714285714285701E-3</v>
      </c>
      <c r="W59" s="43">
        <f ca="1">IFERROR(AVERAGEIFS(INDIRECT("Tabela1["&amp;$B59&amp;"]"),Tabela1[Data Corrigida],W$3)/100,"")</f>
        <v>2.8571428571428571E-3</v>
      </c>
      <c r="X59" s="43">
        <f ca="1">IFERROR(AVERAGEIFS(INDIRECT("Tabela1["&amp;$B59&amp;"]"),Tabela1[Data Corrigida],X$3)/100,"")</f>
        <v>0</v>
      </c>
      <c r="Y59" s="43">
        <f ca="1">IFERROR(AVERAGEIFS(INDIRECT("Tabela1["&amp;$B59&amp;"]"),Tabela1[Data Corrigida],Y$3)/100,"")</f>
        <v>5.0000000000000001E-3</v>
      </c>
      <c r="Z59" s="43" t="str">
        <f ca="1">IFERROR(AVERAGEIFS(INDIRECT("Tabela1["&amp;$B59&amp;"]"),Tabela1[Data Corrigida],Z$3)/100,"")</f>
        <v/>
      </c>
      <c r="AA59" s="43" t="str">
        <f ca="1">IFERROR(AVERAGEIFS(INDIRECT("Tabela1["&amp;$B59&amp;"]"),Tabela1[Data Corrigida],AA$3)/100,"")</f>
        <v/>
      </c>
      <c r="AB59" s="43" t="str">
        <f ca="1">IFERROR(AVERAGEIFS(INDIRECT("Tabela1["&amp;$B59&amp;"]"),Tabela1[Data Corrigida],AB$3)/100,"")</f>
        <v/>
      </c>
      <c r="AC59" s="43" t="str">
        <f ca="1">IFERROR(AVERAGEIFS(INDIRECT("Tabela1["&amp;$B59&amp;"]"),Tabela1[Data Corrigida],AC$3)/100,"")</f>
        <v/>
      </c>
      <c r="AD59" s="43" t="str">
        <f ca="1">IFERROR(AVERAGEIFS(INDIRECT("Tabela1["&amp;$B59&amp;"]"),Tabela1[Data Corrigida],AD$3)/100,"")</f>
        <v/>
      </c>
      <c r="AE59" s="43" t="str">
        <f ca="1">IFERROR(AVERAGEIFS(INDIRECT("Tabela1["&amp;$B59&amp;"]"),Tabela1[Data Corrigida],AE$3)/100,"")</f>
        <v/>
      </c>
      <c r="AF59" s="43" t="str">
        <f ca="1">IFERROR(AVERAGEIFS(INDIRECT("Tabela1["&amp;$B59&amp;"]"),Tabela1[Data Corrigida],AF$3)/100,"")</f>
        <v/>
      </c>
      <c r="AG59" s="43" t="str">
        <f ca="1">IFERROR(AVERAGEIFS(INDIRECT("Tabela1["&amp;$B59&amp;"]"),Tabela1[Data Corrigida],AG$3)/100,"")</f>
        <v/>
      </c>
      <c r="AH59" s="43" t="str">
        <f ca="1">IFERROR(AVERAGEIFS(INDIRECT("Tabela1["&amp;$B59&amp;"]"),Tabela1[Data Corrigida],AH$3)/100,"")</f>
        <v/>
      </c>
      <c r="AI59" s="43" t="str">
        <f ca="1">IFERROR(AVERAGEIFS(INDIRECT("Tabela1["&amp;$B59&amp;"]"),Tabela1[Data Corrigida],AI$3)/100,"")</f>
        <v/>
      </c>
      <c r="AJ59" s="43" t="str">
        <f ca="1">IFERROR(AVERAGEIFS(INDIRECT("Tabela1["&amp;$B59&amp;"]"),Tabela1[Data Corrigida],AJ$3)/100,"")</f>
        <v/>
      </c>
      <c r="AK59" s="43" t="str">
        <f ca="1">IFERROR(AVERAGEIFS(INDIRECT("Tabela1["&amp;$B59&amp;"]"),Tabela1[Data Corrigida],AK$3)/100,"")</f>
        <v/>
      </c>
      <c r="AL59" s="43" t="str">
        <f ca="1">IFERROR(AVERAGEIFS(INDIRECT("Tabela1["&amp;$B59&amp;"]"),Tabela1[Data Corrigida],AL$3)/100,"")</f>
        <v/>
      </c>
      <c r="AM59" s="43" t="str">
        <f ca="1">IFERROR(AVERAGEIFS(INDIRECT("Tabela1["&amp;$B59&amp;"]"),Tabela1[Data Corrigida],AM$3)/100,"")</f>
        <v/>
      </c>
    </row>
    <row r="60" spans="1:39" ht="15" customHeight="1" thickTop="1" x14ac:dyDescent="0.3">
      <c r="A60" s="50" t="str">
        <f>VLOOKUP(Tabela2[[#This Row],[Item 1]],Apoio!$A$2:$B$41,2,0)</f>
        <v>Míudos</v>
      </c>
      <c r="B60" s="9" t="str">
        <f t="shared" si="2"/>
        <v>% Queratina na moela</v>
      </c>
      <c r="C60" s="58" t="str">
        <f>'BD - 022 Evisceração'!BF1</f>
        <v>% Queratina na moela</v>
      </c>
      <c r="D60" s="26" t="s">
        <v>21</v>
      </c>
      <c r="E60" s="34">
        <f ca="1">IFERROR(AVERAGEIFS(INDIRECT("Tabela1["&amp;$B60&amp;"]"),Tabela1[Turno],$D60,Tabela1[Mês],E$3)/100,"")</f>
        <v>0.24100000000000002</v>
      </c>
      <c r="F60" s="34">
        <f ca="1">IFERROR(AVERAGEIFS(INDIRECT("Tabela1["&amp;$B60&amp;"]"),Tabela1[Turno],$D60,Tabela1[Mês],F$3)/100,"")</f>
        <v>0.28270000000000001</v>
      </c>
      <c r="G60" s="34">
        <f ca="1">IFERROR(AVERAGEIFS(INDIRECT("Tabela1["&amp;$B60&amp;"]"),Tabela1[Turno],$D60,Tabela1[Mês],G$3)/100,"")</f>
        <v>0.21789999999999998</v>
      </c>
      <c r="H60" s="34">
        <f ca="1">IFERROR(AVERAGEIFS(INDIRECT("Tabela1["&amp;$B60&amp;"]"),Tabela1[Turno],$D60,Tabela1[Mês],H$3)/100,"")</f>
        <v>0.1794</v>
      </c>
      <c r="I60" s="34">
        <f ca="1">IFERROR(AVERAGEIFS(INDIRECT("Tabela1["&amp;$B60&amp;"]"),Tabela1[Turno],$D60,Tabela1[Mês],I$3)/100,"")</f>
        <v>0.21609999999999999</v>
      </c>
      <c r="J60" s="34">
        <f ca="1">IFERROR(AVERAGEIFS(INDIRECT("Tabela1["&amp;$B60&amp;"]"),Tabela1[Turno],$D60,Tabela1[Mês],J$3)/100,"")</f>
        <v>0.23719999999999999</v>
      </c>
      <c r="K60" s="34">
        <f ca="1">IFERROR(AVERAGEIFS(INDIRECT("Tabela1["&amp;$B60&amp;"]"),Tabela1[Turno],$D60,Tabela1[Mês],K$3)/100,"")</f>
        <v>0.24333333333333332</v>
      </c>
      <c r="L60" s="34">
        <f ca="1">IFERROR(AVERAGEIFS(INDIRECT("Tabela1["&amp;$B60&amp;"]"),Tabela1[Turno],$D60,Tabela1[Mês],L$3)/100,"")</f>
        <v>0.22916666666666669</v>
      </c>
      <c r="M60" s="34">
        <f ca="1">IFERROR(AVERAGEIFS(INDIRECT("Tabela1["&amp;$B60&amp;"]"),Tabela1[Turno],$D60,Tabela1[Mês],M$3)/100,"")</f>
        <v>0.21216867469879516</v>
      </c>
      <c r="N60" s="34">
        <f ca="1">IFERROR(AVERAGEIFS(INDIRECT("Tabela1["&amp;$B60&amp;"]"),Tabela1[Turno],$D60,Tabela1[Mês],N$3)/100,"")</f>
        <v>0.19103448275862067</v>
      </c>
      <c r="O60" s="34" t="str">
        <f ca="1">IFERROR(AVERAGEIFS(INDIRECT("Tabela1["&amp;$B60&amp;"]"),Tabela1[Turno],$D60,Tabela1[Mês],O$3)/100,"")</f>
        <v/>
      </c>
      <c r="P60" s="44" t="str">
        <f ca="1">IFERROR(AVERAGEIFS(INDIRECT("Tabela1["&amp;$B60&amp;"]"),Tabela1[Turno],$D60,Tabela1[Mês],P$3)/100,"")</f>
        <v/>
      </c>
      <c r="Q60" s="61">
        <v>0.3</v>
      </c>
      <c r="R60" s="33">
        <f ca="1">IFERROR(AVERAGEIFS(INDIRECT("Tabela1["&amp;$B60&amp;"]"),Tabela1[Turno],$D60,Tabela1[Data Corrigida],R$3)/100,"")</f>
        <v>0.215</v>
      </c>
      <c r="S60" s="34">
        <f ca="1">IFERROR(AVERAGEIFS(INDIRECT("Tabela1["&amp;$B60&amp;"]"),Tabela1[Turno],$D60,Tabela1[Data Corrigida],S$3)/100,"")</f>
        <v>0.19500000000000001</v>
      </c>
      <c r="T60" s="34">
        <f ca="1">IFERROR(AVERAGEIFS(INDIRECT("Tabela1["&amp;$B60&amp;"]"),Tabela1[Turno],$D60,Tabela1[Data Corrigida],T$3)/100,"")</f>
        <v>0.15</v>
      </c>
      <c r="U60" s="34">
        <f ca="1">IFERROR(AVERAGEIFS(INDIRECT("Tabela1["&amp;$B60&amp;"]"),Tabela1[Turno],$D60,Tabela1[Data Corrigida],U$3)/100,"")</f>
        <v>0.17749999999999999</v>
      </c>
      <c r="V60" s="34">
        <f ca="1">IFERROR(AVERAGEIFS(INDIRECT("Tabela1["&amp;$B60&amp;"]"),Tabela1[Turno],$D60,Tabela1[Data Corrigida],V$3)/100,"")</f>
        <v>0.21</v>
      </c>
      <c r="W60" s="34">
        <f ca="1">IFERROR(AVERAGEIFS(INDIRECT("Tabela1["&amp;$B60&amp;"]"),Tabela1[Turno],$D60,Tabela1[Data Corrigida],W$3)/100,"")</f>
        <v>0.16750000000000001</v>
      </c>
      <c r="X60" s="34">
        <f ca="1">IFERROR(AVERAGEIFS(INDIRECT("Tabela1["&amp;$B60&amp;"]"),Tabela1[Turno],$D60,Tabela1[Data Corrigida],X$3)/100,"")</f>
        <v>0.22</v>
      </c>
      <c r="Y60" s="34">
        <f ca="1">IFERROR(AVERAGEIFS(INDIRECT("Tabela1["&amp;$B60&amp;"]"),Tabela1[Turno],$D60,Tabela1[Data Corrigida],Y$3)/100,"")</f>
        <v>0.16250000000000001</v>
      </c>
      <c r="Z60" s="34" t="str">
        <f ca="1">IFERROR(AVERAGEIFS(INDIRECT("Tabela1["&amp;$B60&amp;"]"),Tabela1[Turno],$D60,Tabela1[Data Corrigida],Z$3)/100,"")</f>
        <v/>
      </c>
      <c r="AA60" s="34" t="str">
        <f ca="1">IFERROR(AVERAGEIFS(INDIRECT("Tabela1["&amp;$B60&amp;"]"),Tabela1[Turno],$D60,Tabela1[Data Corrigida],AA$3)/100,"")</f>
        <v/>
      </c>
      <c r="AB60" s="34" t="str">
        <f ca="1">IFERROR(AVERAGEIFS(INDIRECT("Tabela1["&amp;$B60&amp;"]"),Tabela1[Turno],$D60,Tabela1[Data Corrigida],AB$3)/100,"")</f>
        <v/>
      </c>
      <c r="AC60" s="34" t="str">
        <f ca="1">IFERROR(AVERAGEIFS(INDIRECT("Tabela1["&amp;$B60&amp;"]"),Tabela1[Turno],$D60,Tabela1[Data Corrigida],AC$3)/100,"")</f>
        <v/>
      </c>
      <c r="AD60" s="34" t="str">
        <f ca="1">IFERROR(AVERAGEIFS(INDIRECT("Tabela1["&amp;$B60&amp;"]"),Tabela1[Turno],$D60,Tabela1[Data Corrigida],AD$3)/100,"")</f>
        <v/>
      </c>
      <c r="AE60" s="34" t="str">
        <f ca="1">IFERROR(AVERAGEIFS(INDIRECT("Tabela1["&amp;$B60&amp;"]"),Tabela1[Turno],$D60,Tabela1[Data Corrigida],AE$3)/100,"")</f>
        <v/>
      </c>
      <c r="AF60" s="34" t="str">
        <f ca="1">IFERROR(AVERAGEIFS(INDIRECT("Tabela1["&amp;$B60&amp;"]"),Tabela1[Turno],$D60,Tabela1[Data Corrigida],AF$3)/100,"")</f>
        <v/>
      </c>
      <c r="AG60" s="34" t="str">
        <f ca="1">IFERROR(AVERAGEIFS(INDIRECT("Tabela1["&amp;$B60&amp;"]"),Tabela1[Turno],$D60,Tabela1[Data Corrigida],AG$3)/100,"")</f>
        <v/>
      </c>
      <c r="AH60" s="34" t="str">
        <f ca="1">IFERROR(AVERAGEIFS(INDIRECT("Tabela1["&amp;$B60&amp;"]"),Tabela1[Turno],$D60,Tabela1[Data Corrigida],AH$3)/100,"")</f>
        <v/>
      </c>
      <c r="AI60" s="34" t="str">
        <f ca="1">IFERROR(AVERAGEIFS(INDIRECT("Tabela1["&amp;$B60&amp;"]"),Tabela1[Turno],$D60,Tabela1[Data Corrigida],AI$3)/100,"")</f>
        <v/>
      </c>
      <c r="AJ60" s="34" t="str">
        <f ca="1">IFERROR(AVERAGEIFS(INDIRECT("Tabela1["&amp;$B60&amp;"]"),Tabela1[Turno],$D60,Tabela1[Data Corrigida],AJ$3)/100,"")</f>
        <v/>
      </c>
      <c r="AK60" s="34" t="str">
        <f ca="1">IFERROR(AVERAGEIFS(INDIRECT("Tabela1["&amp;$B60&amp;"]"),Tabela1[Turno],$D60,Tabela1[Data Corrigida],AK$3)/100,"")</f>
        <v/>
      </c>
      <c r="AL60" s="34" t="str">
        <f ca="1">IFERROR(AVERAGEIFS(INDIRECT("Tabela1["&amp;$B60&amp;"]"),Tabela1[Turno],$D60,Tabela1[Data Corrigida],AL$3)/100,"")</f>
        <v/>
      </c>
      <c r="AM60" s="34" t="str">
        <f ca="1">IFERROR(AVERAGEIFS(INDIRECT("Tabela1["&amp;$B60&amp;"]"),Tabela1[Turno],$D60,Tabela1[Data Corrigida],AM$3)/100,"")</f>
        <v/>
      </c>
    </row>
    <row r="61" spans="1:39" ht="15" customHeight="1" x14ac:dyDescent="0.3">
      <c r="A61" s="50" t="str">
        <f>VLOOKUP(Tabela2[[#This Row],[Item 1]],Apoio!$A$2:$B$41,2,0)</f>
        <v>Míudos</v>
      </c>
      <c r="B61" s="9" t="str">
        <f t="shared" si="2"/>
        <v>% Queratina na moela</v>
      </c>
      <c r="C61" s="59"/>
      <c r="D61" s="27" t="s">
        <v>33</v>
      </c>
      <c r="E61" s="36">
        <f ca="1">IFERROR(AVERAGEIFS(INDIRECT("Tabela1["&amp;$B61&amp;"]"),Tabela1[Turno],$D61,Tabela1[Mês],E$3)/100,"")</f>
        <v>0.23219999999999999</v>
      </c>
      <c r="F61" s="36">
        <f ca="1">IFERROR(AVERAGEIFS(INDIRECT("Tabela1["&amp;$B61&amp;"]"),Tabela1[Turno],$D61,Tabela1[Mês],F$3)/100,"")</f>
        <v>0.24929999999999999</v>
      </c>
      <c r="G61" s="36">
        <f ca="1">IFERROR(AVERAGEIFS(INDIRECT("Tabela1["&amp;$B61&amp;"]"),Tabela1[Turno],$D61,Tabela1[Mês],G$3)/100,"")</f>
        <v>0.21359999999999998</v>
      </c>
      <c r="H61" s="36" t="str">
        <f ca="1">IFERROR(AVERAGEIFS(INDIRECT("Tabela1["&amp;$B61&amp;"]"),Tabela1[Turno],$D61,Tabela1[Mês],H$3)/100,"")</f>
        <v/>
      </c>
      <c r="I61" s="36">
        <f ca="1">IFERROR(AVERAGEIFS(INDIRECT("Tabela1["&amp;$B61&amp;"]"),Tabela1[Turno],$D61,Tabela1[Mês],I$3)/100,"")</f>
        <v>9.6500000000000002E-2</v>
      </c>
      <c r="J61" s="36">
        <f ca="1">IFERROR(AVERAGEIFS(INDIRECT("Tabela1["&amp;$B61&amp;"]"),Tabela1[Turno],$D61,Tabela1[Mês],J$3)/100,"")</f>
        <v>0.10220000000000001</v>
      </c>
      <c r="K61" s="36">
        <f ca="1">IFERROR(AVERAGEIFS(INDIRECT("Tabela1["&amp;$B61&amp;"]"),Tabela1[Turno],$D61,Tabela1[Mês],K$3)/100,"")</f>
        <v>0.13214285714285715</v>
      </c>
      <c r="L61" s="36">
        <f ca="1">IFERROR(AVERAGEIFS(INDIRECT("Tabela1["&amp;$B61&amp;"]"),Tabela1[Turno],$D61,Tabela1[Mês],L$3)/100,"")</f>
        <v>7.4833333333333335E-2</v>
      </c>
      <c r="M61" s="36">
        <f ca="1">IFERROR(AVERAGEIFS(INDIRECT("Tabela1["&amp;$B61&amp;"]"),Tabela1[Turno],$D61,Tabela1[Mês],M$3)/100,"")</f>
        <v>0.14047619047619048</v>
      </c>
      <c r="N61" s="36">
        <f ca="1">IFERROR(AVERAGEIFS(INDIRECT("Tabela1["&amp;$B61&amp;"]"),Tabela1[Turno],$D61,Tabela1[Mês],N$3)/100,"")</f>
        <v>0.20428571428571426</v>
      </c>
      <c r="O61" s="36" t="str">
        <f ca="1">IFERROR(AVERAGEIFS(INDIRECT("Tabela1["&amp;$B61&amp;"]"),Tabela1[Turno],$D61,Tabela1[Mês],O$3)/100,"")</f>
        <v/>
      </c>
      <c r="P61" s="41" t="str">
        <f ca="1">IFERROR(AVERAGEIFS(INDIRECT("Tabela1["&amp;$B61&amp;"]"),Tabela1[Turno],$D61,Tabela1[Mês],P$3)/100,"")</f>
        <v/>
      </c>
      <c r="Q61" s="62"/>
      <c r="R61" s="35">
        <f ca="1">IFERROR(AVERAGEIFS(INDIRECT("Tabela1["&amp;$B61&amp;"]"),Tabela1[Turno],$D61,Tabela1[Data Corrigida],R$3)/100,"")</f>
        <v>0.19666666666666668</v>
      </c>
      <c r="S61" s="36">
        <f ca="1">IFERROR(AVERAGEIFS(INDIRECT("Tabela1["&amp;$B61&amp;"]"),Tabela1[Turno],$D61,Tabela1[Data Corrigida],S$3)/100,"")</f>
        <v>0.20333333333333331</v>
      </c>
      <c r="T61" s="36">
        <f ca="1">IFERROR(AVERAGEIFS(INDIRECT("Tabela1["&amp;$B61&amp;"]"),Tabela1[Turno],$D61,Tabela1[Data Corrigida],T$3)/100,"")</f>
        <v>0.21</v>
      </c>
      <c r="U61" s="36">
        <f ca="1">IFERROR(AVERAGEIFS(INDIRECT("Tabela1["&amp;$B61&amp;"]"),Tabela1[Turno],$D61,Tabela1[Data Corrigida],U$3)/100,"")</f>
        <v>0.20333333333333331</v>
      </c>
      <c r="V61" s="36">
        <f ca="1">IFERROR(AVERAGEIFS(INDIRECT("Tabela1["&amp;$B61&amp;"]"),Tabela1[Turno],$D61,Tabela1[Data Corrigida],V$3)/100,"")</f>
        <v>0.20666666666666667</v>
      </c>
      <c r="W61" s="36">
        <f ca="1">IFERROR(AVERAGEIFS(INDIRECT("Tabela1["&amp;$B61&amp;"]"),Tabela1[Turno],$D61,Tabela1[Data Corrigida],W$3)/100,"")</f>
        <v>0.20666666666666667</v>
      </c>
      <c r="X61" s="36">
        <f ca="1">IFERROR(AVERAGEIFS(INDIRECT("Tabela1["&amp;$B61&amp;"]"),Tabela1[Turno],$D61,Tabela1[Data Corrigida],X$3)/100,"")</f>
        <v>0.20333333333333331</v>
      </c>
      <c r="Y61" s="36" t="str">
        <f ca="1">IFERROR(AVERAGEIFS(INDIRECT("Tabela1["&amp;$B61&amp;"]"),Tabela1[Turno],$D61,Tabela1[Data Corrigida],Y$3)/100,"")</f>
        <v/>
      </c>
      <c r="Z61" s="36" t="str">
        <f ca="1">IFERROR(AVERAGEIFS(INDIRECT("Tabela1["&amp;$B61&amp;"]"),Tabela1[Turno],$D61,Tabela1[Data Corrigida],Z$3)/100,"")</f>
        <v/>
      </c>
      <c r="AA61" s="36" t="str">
        <f ca="1">IFERROR(AVERAGEIFS(INDIRECT("Tabela1["&amp;$B61&amp;"]"),Tabela1[Turno],$D61,Tabela1[Data Corrigida],AA$3)/100,"")</f>
        <v/>
      </c>
      <c r="AB61" s="36" t="str">
        <f ca="1">IFERROR(AVERAGEIFS(INDIRECT("Tabela1["&amp;$B61&amp;"]"),Tabela1[Turno],$D61,Tabela1[Data Corrigida],AB$3)/100,"")</f>
        <v/>
      </c>
      <c r="AC61" s="36" t="str">
        <f ca="1">IFERROR(AVERAGEIFS(INDIRECT("Tabela1["&amp;$B61&amp;"]"),Tabela1[Turno],$D61,Tabela1[Data Corrigida],AC$3)/100,"")</f>
        <v/>
      </c>
      <c r="AD61" s="36" t="str">
        <f ca="1">IFERROR(AVERAGEIFS(INDIRECT("Tabela1["&amp;$B61&amp;"]"),Tabela1[Turno],$D61,Tabela1[Data Corrigida],AD$3)/100,"")</f>
        <v/>
      </c>
      <c r="AE61" s="36" t="str">
        <f ca="1">IFERROR(AVERAGEIFS(INDIRECT("Tabela1["&amp;$B61&amp;"]"),Tabela1[Turno],$D61,Tabela1[Data Corrigida],AE$3)/100,"")</f>
        <v/>
      </c>
      <c r="AF61" s="36" t="str">
        <f ca="1">IFERROR(AVERAGEIFS(INDIRECT("Tabela1["&amp;$B61&amp;"]"),Tabela1[Turno],$D61,Tabela1[Data Corrigida],AF$3)/100,"")</f>
        <v/>
      </c>
      <c r="AG61" s="36" t="str">
        <f ca="1">IFERROR(AVERAGEIFS(INDIRECT("Tabela1["&amp;$B61&amp;"]"),Tabela1[Turno],$D61,Tabela1[Data Corrigida],AG$3)/100,"")</f>
        <v/>
      </c>
      <c r="AH61" s="36" t="str">
        <f ca="1">IFERROR(AVERAGEIFS(INDIRECT("Tabela1["&amp;$B61&amp;"]"),Tabela1[Turno],$D61,Tabela1[Data Corrigida],AH$3)/100,"")</f>
        <v/>
      </c>
      <c r="AI61" s="36" t="str">
        <f ca="1">IFERROR(AVERAGEIFS(INDIRECT("Tabela1["&amp;$B61&amp;"]"),Tabela1[Turno],$D61,Tabela1[Data Corrigida],AI$3)/100,"")</f>
        <v/>
      </c>
      <c r="AJ61" s="36" t="str">
        <f ca="1">IFERROR(AVERAGEIFS(INDIRECT("Tabela1["&amp;$B61&amp;"]"),Tabela1[Turno],$D61,Tabela1[Data Corrigida],AJ$3)/100,"")</f>
        <v/>
      </c>
      <c r="AK61" s="36" t="str">
        <f ca="1">IFERROR(AVERAGEIFS(INDIRECT("Tabela1["&amp;$B61&amp;"]"),Tabela1[Turno],$D61,Tabela1[Data Corrigida],AK$3)/100,"")</f>
        <v/>
      </c>
      <c r="AL61" s="36" t="str">
        <f ca="1">IFERROR(AVERAGEIFS(INDIRECT("Tabela1["&amp;$B61&amp;"]"),Tabela1[Turno],$D61,Tabela1[Data Corrigida],AL$3)/100,"")</f>
        <v/>
      </c>
      <c r="AM61" s="36" t="str">
        <f ca="1">IFERROR(AVERAGEIFS(INDIRECT("Tabela1["&amp;$B61&amp;"]"),Tabela1[Turno],$D61,Tabela1[Data Corrigida],AM$3)/100,"")</f>
        <v/>
      </c>
    </row>
    <row r="62" spans="1:39" ht="15" customHeight="1" thickBot="1" x14ac:dyDescent="0.35">
      <c r="A62" s="50" t="str">
        <f>VLOOKUP(Tabela2[[#This Row],[Item 1]],Apoio!$A$2:$B$41,2,0)</f>
        <v>Míudos</v>
      </c>
      <c r="B62" s="9" t="str">
        <f t="shared" si="2"/>
        <v>% Queratina na moela</v>
      </c>
      <c r="C62" s="60"/>
      <c r="D62" s="28" t="s">
        <v>5</v>
      </c>
      <c r="E62" s="45">
        <f ca="1">IFERROR(AVERAGEIFS(INDIRECT("Tabela1["&amp;$B62&amp;"]"),Tabela1[Mês],E$3)/100,"")</f>
        <v>0.2366</v>
      </c>
      <c r="F62" s="45">
        <f ca="1">IFERROR(AVERAGEIFS(INDIRECT("Tabela1["&amp;$B62&amp;"]"),Tabela1[Mês],F$3)/100,"")</f>
        <v>0.26600000000000001</v>
      </c>
      <c r="G62" s="45">
        <f ca="1">IFERROR(AVERAGEIFS(INDIRECT("Tabela1["&amp;$B62&amp;"]"),Tabela1[Mês],G$3)/100,"")</f>
        <v>0.21575</v>
      </c>
      <c r="H62" s="45">
        <f ca="1">IFERROR(AVERAGEIFS(INDIRECT("Tabela1["&amp;$B62&amp;"]"),Tabela1[Mês],H$3)/100,"")</f>
        <v>0.1794</v>
      </c>
      <c r="I62" s="45">
        <f ca="1">IFERROR(AVERAGEIFS(INDIRECT("Tabela1["&amp;$B62&amp;"]"),Tabela1[Mês],I$3)/100,"")</f>
        <v>0.15629999999999999</v>
      </c>
      <c r="J62" s="45">
        <f ca="1">IFERROR(AVERAGEIFS(INDIRECT("Tabela1["&amp;$B62&amp;"]"),Tabela1[Mês],J$3)/100,"")</f>
        <v>0.16969999999999999</v>
      </c>
      <c r="K62" s="45">
        <f ca="1">IFERROR(AVERAGEIFS(INDIRECT("Tabela1["&amp;$B62&amp;"]"),Tabela1[Mês],K$3)/100,"")</f>
        <v>0.18965517241379309</v>
      </c>
      <c r="L62" s="45">
        <f ca="1">IFERROR(AVERAGEIFS(INDIRECT("Tabela1["&amp;$B62&amp;"]"),Tabela1[Mês],L$3)/100,"")</f>
        <v>0.15901515151515153</v>
      </c>
      <c r="M62" s="45">
        <f ca="1">IFERROR(AVERAGEIFS(INDIRECT("Tabela1["&amp;$B62&amp;"]"),Tabela1[Mês],M$3)/100,"")</f>
        <v>0.18123287671232877</v>
      </c>
      <c r="N62" s="45">
        <f ca="1">IFERROR(AVERAGEIFS(INDIRECT("Tabela1["&amp;$B62&amp;"]"),Tabela1[Mês],N$3)/100,"")</f>
        <v>0.1966</v>
      </c>
      <c r="O62" s="45" t="str">
        <f ca="1">IFERROR(AVERAGEIFS(INDIRECT("Tabela1["&amp;$B62&amp;"]"),Tabela1[Mês],O$3)/100,"")</f>
        <v/>
      </c>
      <c r="P62" s="46" t="str">
        <f ca="1">IFERROR(AVERAGEIFS(INDIRECT("Tabela1["&amp;$B62&amp;"]"),Tabela1[Mês],P$3)/100,"")</f>
        <v/>
      </c>
      <c r="Q62" s="63"/>
      <c r="R62" s="37">
        <f ca="1">IFERROR(AVERAGEIFS(INDIRECT("Tabela1["&amp;$B62&amp;"]"),Tabela1[Data Corrigida],R$3)/100,"")</f>
        <v>0.20714285714285716</v>
      </c>
      <c r="S62" s="38">
        <f ca="1">IFERROR(AVERAGEIFS(INDIRECT("Tabela1["&amp;$B62&amp;"]"),Tabela1[Data Corrigida],S$3)/100,"")</f>
        <v>0.19857142857142857</v>
      </c>
      <c r="T62" s="38">
        <f ca="1">IFERROR(AVERAGEIFS(INDIRECT("Tabela1["&amp;$B62&amp;"]"),Tabela1[Data Corrigida],T$3)/100,"")</f>
        <v>0.19500000000000001</v>
      </c>
      <c r="U62" s="38">
        <f ca="1">IFERROR(AVERAGEIFS(INDIRECT("Tabela1["&amp;$B62&amp;"]"),Tabela1[Data Corrigida],U$3)/100,"")</f>
        <v>0.18857142857142858</v>
      </c>
      <c r="V62" s="38">
        <f ca="1">IFERROR(AVERAGEIFS(INDIRECT("Tabela1["&amp;$B62&amp;"]"),Tabela1[Data Corrigida],V$3)/100,"")</f>
        <v>0.20857142857142857</v>
      </c>
      <c r="W62" s="38">
        <f ca="1">IFERROR(AVERAGEIFS(INDIRECT("Tabela1["&amp;$B62&amp;"]"),Tabela1[Data Corrigida],W$3)/100,"")</f>
        <v>0.18428571428571427</v>
      </c>
      <c r="X62" s="38">
        <f ca="1">IFERROR(AVERAGEIFS(INDIRECT("Tabela1["&amp;$B62&amp;"]"),Tabela1[Data Corrigida],X$3)/100,"")</f>
        <v>0.21285714285714286</v>
      </c>
      <c r="Y62" s="38">
        <f ca="1">IFERROR(AVERAGEIFS(INDIRECT("Tabela1["&amp;$B62&amp;"]"),Tabela1[Data Corrigida],Y$3)/100,"")</f>
        <v>0.16250000000000001</v>
      </c>
      <c r="Z62" s="38" t="str">
        <f ca="1">IFERROR(AVERAGEIFS(INDIRECT("Tabela1["&amp;$B62&amp;"]"),Tabela1[Data Corrigida],Z$3)/100,"")</f>
        <v/>
      </c>
      <c r="AA62" s="38" t="str">
        <f ca="1">IFERROR(AVERAGEIFS(INDIRECT("Tabela1["&amp;$B62&amp;"]"),Tabela1[Data Corrigida],AA$3)/100,"")</f>
        <v/>
      </c>
      <c r="AB62" s="38" t="str">
        <f ca="1">IFERROR(AVERAGEIFS(INDIRECT("Tabela1["&amp;$B62&amp;"]"),Tabela1[Data Corrigida],AB$3)/100,"")</f>
        <v/>
      </c>
      <c r="AC62" s="38" t="str">
        <f ca="1">IFERROR(AVERAGEIFS(INDIRECT("Tabela1["&amp;$B62&amp;"]"),Tabela1[Data Corrigida],AC$3)/100,"")</f>
        <v/>
      </c>
      <c r="AD62" s="38" t="str">
        <f ca="1">IFERROR(AVERAGEIFS(INDIRECT("Tabela1["&amp;$B62&amp;"]"),Tabela1[Data Corrigida],AD$3)/100,"")</f>
        <v/>
      </c>
      <c r="AE62" s="38" t="str">
        <f ca="1">IFERROR(AVERAGEIFS(INDIRECT("Tabela1["&amp;$B62&amp;"]"),Tabela1[Data Corrigida],AE$3)/100,"")</f>
        <v/>
      </c>
      <c r="AF62" s="38" t="str">
        <f ca="1">IFERROR(AVERAGEIFS(INDIRECT("Tabela1["&amp;$B62&amp;"]"),Tabela1[Data Corrigida],AF$3)/100,"")</f>
        <v/>
      </c>
      <c r="AG62" s="38" t="str">
        <f ca="1">IFERROR(AVERAGEIFS(INDIRECT("Tabela1["&amp;$B62&amp;"]"),Tabela1[Data Corrigida],AG$3)/100,"")</f>
        <v/>
      </c>
      <c r="AH62" s="38" t="str">
        <f ca="1">IFERROR(AVERAGEIFS(INDIRECT("Tabela1["&amp;$B62&amp;"]"),Tabela1[Data Corrigida],AH$3)/100,"")</f>
        <v/>
      </c>
      <c r="AI62" s="38" t="str">
        <f ca="1">IFERROR(AVERAGEIFS(INDIRECT("Tabela1["&amp;$B62&amp;"]"),Tabela1[Data Corrigida],AI$3)/100,"")</f>
        <v/>
      </c>
      <c r="AJ62" s="38" t="str">
        <f ca="1">IFERROR(AVERAGEIFS(INDIRECT("Tabela1["&amp;$B62&amp;"]"),Tabela1[Data Corrigida],AJ$3)/100,"")</f>
        <v/>
      </c>
      <c r="AK62" s="38" t="str">
        <f ca="1">IFERROR(AVERAGEIFS(INDIRECT("Tabela1["&amp;$B62&amp;"]"),Tabela1[Data Corrigida],AK$3)/100,"")</f>
        <v/>
      </c>
      <c r="AL62" s="38" t="str">
        <f ca="1">IFERROR(AVERAGEIFS(INDIRECT("Tabela1["&amp;$B62&amp;"]"),Tabela1[Data Corrigida],AL$3)/100,"")</f>
        <v/>
      </c>
      <c r="AM62" s="38" t="str">
        <f ca="1">IFERROR(AVERAGEIFS(INDIRECT("Tabela1["&amp;$B62&amp;"]"),Tabela1[Data Corrigida],AM$3)/100,"")</f>
        <v/>
      </c>
    </row>
    <row r="63" spans="1:39" ht="15" customHeight="1" thickTop="1" x14ac:dyDescent="0.3">
      <c r="A63" s="50" t="str">
        <f>VLOOKUP(Tabela2[[#This Row],[Item 1]],Apoio!$A$2:$B$41,2,0)</f>
        <v>Eviscer</v>
      </c>
      <c r="B63" s="9" t="str">
        <f t="shared" si="2"/>
        <v>% Erro de corte na moela</v>
      </c>
      <c r="C63" s="58" t="str">
        <f>'BD - 022 Evisceração'!BG1</f>
        <v>% Erro de corte na moela</v>
      </c>
      <c r="D63" s="26" t="s">
        <v>21</v>
      </c>
      <c r="E63" s="34">
        <f ca="1">IFERROR(AVERAGEIFS(INDIRECT("Tabela1["&amp;$B63&amp;"]"),Tabela1[Turno],$D63,Tabela1[Mês],E$3)/100,"")</f>
        <v>0.13189999999999999</v>
      </c>
      <c r="F63" s="34">
        <f ca="1">IFERROR(AVERAGEIFS(INDIRECT("Tabela1["&amp;$B63&amp;"]"),Tabela1[Turno],$D63,Tabela1[Mês],F$3)/100,"")</f>
        <v>0.18629999999999999</v>
      </c>
      <c r="G63" s="34">
        <f ca="1">IFERROR(AVERAGEIFS(INDIRECT("Tabela1["&amp;$B63&amp;"]"),Tabela1[Turno],$D63,Tabela1[Mês],G$3)/100,"")</f>
        <v>0.13869999999999999</v>
      </c>
      <c r="H63" s="34">
        <f ca="1">IFERROR(AVERAGEIFS(INDIRECT("Tabela1["&amp;$B63&amp;"]"),Tabela1[Turno],$D63,Tabela1[Mês],H$3)/100,"")</f>
        <v>0.15060000000000001</v>
      </c>
      <c r="I63" s="34">
        <f ca="1">IFERROR(AVERAGEIFS(INDIRECT("Tabela1["&amp;$B63&amp;"]"),Tabela1[Turno],$D63,Tabela1[Mês],I$3)/100,"")</f>
        <v>0.2087</v>
      </c>
      <c r="J63" s="34">
        <f ca="1">IFERROR(AVERAGEIFS(INDIRECT("Tabela1["&amp;$B63&amp;"]"),Tabela1[Turno],$D63,Tabela1[Mês],J$3)/100,"")</f>
        <v>0.24249999999999999</v>
      </c>
      <c r="K63" s="34">
        <f ca="1">IFERROR(AVERAGEIFS(INDIRECT("Tabela1["&amp;$B63&amp;"]"),Tabela1[Turno],$D63,Tabela1[Mês],K$3)/100,"")</f>
        <v>0.30133333333333334</v>
      </c>
      <c r="L63" s="34">
        <f ca="1">IFERROR(AVERAGEIFS(INDIRECT("Tabela1["&amp;$B63&amp;"]"),Tabela1[Turno],$D63,Tabela1[Mês],L$3)/100,"")</f>
        <v>0.18643835616438356</v>
      </c>
      <c r="M63" s="34">
        <f ca="1">IFERROR(AVERAGEIFS(INDIRECT("Tabela1["&amp;$B63&amp;"]"),Tabela1[Turno],$D63,Tabela1[Mês],M$3)/100,"")</f>
        <v>0.17048192771084339</v>
      </c>
      <c r="N63" s="34">
        <f ca="1">IFERROR(AVERAGEIFS(INDIRECT("Tabela1["&amp;$B63&amp;"]"),Tabela1[Turno],$D63,Tabela1[Mês],N$3)/100,"")</f>
        <v>0.19586206896551722</v>
      </c>
      <c r="O63" s="34" t="str">
        <f ca="1">IFERROR(AVERAGEIFS(INDIRECT("Tabela1["&amp;$B63&amp;"]"),Tabela1[Turno],$D63,Tabela1[Mês],O$3)/100,"")</f>
        <v/>
      </c>
      <c r="P63" s="44" t="str">
        <f ca="1">IFERROR(AVERAGEIFS(INDIRECT("Tabela1["&amp;$B63&amp;"]"),Tabela1[Turno],$D63,Tabela1[Mês],P$3)/100,"")</f>
        <v/>
      </c>
      <c r="Q63" s="61">
        <v>0.15</v>
      </c>
      <c r="R63" s="39">
        <f ca="1">IFERROR(AVERAGEIFS(INDIRECT("Tabela1["&amp;$B63&amp;"]"),Tabela1[Turno],$D63,Tabela1[Data Corrigida],R$3)/100,"")</f>
        <v>0.1925</v>
      </c>
      <c r="S63" s="40">
        <f ca="1">IFERROR(AVERAGEIFS(INDIRECT("Tabela1["&amp;$B63&amp;"]"),Tabela1[Turno],$D63,Tabela1[Data Corrigida],S$3)/100,"")</f>
        <v>0.23</v>
      </c>
      <c r="T63" s="40">
        <f ca="1">IFERROR(AVERAGEIFS(INDIRECT("Tabela1["&amp;$B63&amp;"]"),Tabela1[Turno],$D63,Tabela1[Data Corrigida],T$3)/100,"")</f>
        <v>0.24</v>
      </c>
      <c r="U63" s="40">
        <f ca="1">IFERROR(AVERAGEIFS(INDIRECT("Tabela1["&amp;$B63&amp;"]"),Tabela1[Turno],$D63,Tabela1[Data Corrigida],U$3)/100,"")</f>
        <v>0.2225</v>
      </c>
      <c r="V63" s="40">
        <f ca="1">IFERROR(AVERAGEIFS(INDIRECT("Tabela1["&amp;$B63&amp;"]"),Tabela1[Turno],$D63,Tabela1[Data Corrigida],V$3)/100,"")</f>
        <v>0.19750000000000001</v>
      </c>
      <c r="W63" s="40">
        <f ca="1">IFERROR(AVERAGEIFS(INDIRECT("Tabela1["&amp;$B63&amp;"]"),Tabela1[Turno],$D63,Tabela1[Data Corrigida],W$3)/100,"")</f>
        <v>0.19</v>
      </c>
      <c r="X63" s="40">
        <f ca="1">IFERROR(AVERAGEIFS(INDIRECT("Tabela1["&amp;$B63&amp;"]"),Tabela1[Turno],$D63,Tabela1[Data Corrigida],X$3)/100,"")</f>
        <v>0.22</v>
      </c>
      <c r="Y63" s="40">
        <f ca="1">IFERROR(AVERAGEIFS(INDIRECT("Tabela1["&amp;$B63&amp;"]"),Tabela1[Turno],$D63,Tabela1[Data Corrigida],Y$3)/100,"")</f>
        <v>0.1075</v>
      </c>
      <c r="Z63" s="40" t="str">
        <f ca="1">IFERROR(AVERAGEIFS(INDIRECT("Tabela1["&amp;$B63&amp;"]"),Tabela1[Turno],$D63,Tabela1[Data Corrigida],Z$3)/100,"")</f>
        <v/>
      </c>
      <c r="AA63" s="40" t="str">
        <f ca="1">IFERROR(AVERAGEIFS(INDIRECT("Tabela1["&amp;$B63&amp;"]"),Tabela1[Turno],$D63,Tabela1[Data Corrigida],AA$3)/100,"")</f>
        <v/>
      </c>
      <c r="AB63" s="40" t="str">
        <f ca="1">IFERROR(AVERAGEIFS(INDIRECT("Tabela1["&amp;$B63&amp;"]"),Tabela1[Turno],$D63,Tabela1[Data Corrigida],AB$3)/100,"")</f>
        <v/>
      </c>
      <c r="AC63" s="40" t="str">
        <f ca="1">IFERROR(AVERAGEIFS(INDIRECT("Tabela1["&amp;$B63&amp;"]"),Tabela1[Turno],$D63,Tabela1[Data Corrigida],AC$3)/100,"")</f>
        <v/>
      </c>
      <c r="AD63" s="40" t="str">
        <f ca="1">IFERROR(AVERAGEIFS(INDIRECT("Tabela1["&amp;$B63&amp;"]"),Tabela1[Turno],$D63,Tabela1[Data Corrigida],AD$3)/100,"")</f>
        <v/>
      </c>
      <c r="AE63" s="40" t="str">
        <f ca="1">IFERROR(AVERAGEIFS(INDIRECT("Tabela1["&amp;$B63&amp;"]"),Tabela1[Turno],$D63,Tabela1[Data Corrigida],AE$3)/100,"")</f>
        <v/>
      </c>
      <c r="AF63" s="40" t="str">
        <f ca="1">IFERROR(AVERAGEIFS(INDIRECT("Tabela1["&amp;$B63&amp;"]"),Tabela1[Turno],$D63,Tabela1[Data Corrigida],AF$3)/100,"")</f>
        <v/>
      </c>
      <c r="AG63" s="40" t="str">
        <f ca="1">IFERROR(AVERAGEIFS(INDIRECT("Tabela1["&amp;$B63&amp;"]"),Tabela1[Turno],$D63,Tabela1[Data Corrigida],AG$3)/100,"")</f>
        <v/>
      </c>
      <c r="AH63" s="40" t="str">
        <f ca="1">IFERROR(AVERAGEIFS(INDIRECT("Tabela1["&amp;$B63&amp;"]"),Tabela1[Turno],$D63,Tabela1[Data Corrigida],AH$3)/100,"")</f>
        <v/>
      </c>
      <c r="AI63" s="40" t="str">
        <f ca="1">IFERROR(AVERAGEIFS(INDIRECT("Tabela1["&amp;$B63&amp;"]"),Tabela1[Turno],$D63,Tabela1[Data Corrigida],AI$3)/100,"")</f>
        <v/>
      </c>
      <c r="AJ63" s="40" t="str">
        <f ca="1">IFERROR(AVERAGEIFS(INDIRECT("Tabela1["&amp;$B63&amp;"]"),Tabela1[Turno],$D63,Tabela1[Data Corrigida],AJ$3)/100,"")</f>
        <v/>
      </c>
      <c r="AK63" s="40" t="str">
        <f ca="1">IFERROR(AVERAGEIFS(INDIRECT("Tabela1["&amp;$B63&amp;"]"),Tabela1[Turno],$D63,Tabela1[Data Corrigida],AK$3)/100,"")</f>
        <v/>
      </c>
      <c r="AL63" s="40" t="str">
        <f ca="1">IFERROR(AVERAGEIFS(INDIRECT("Tabela1["&amp;$B63&amp;"]"),Tabela1[Turno],$D63,Tabela1[Data Corrigida],AL$3)/100,"")</f>
        <v/>
      </c>
      <c r="AM63" s="40" t="str">
        <f ca="1">IFERROR(AVERAGEIFS(INDIRECT("Tabela1["&amp;$B63&amp;"]"),Tabela1[Turno],$D63,Tabela1[Data Corrigida],AM$3)/100,"")</f>
        <v/>
      </c>
    </row>
    <row r="64" spans="1:39" ht="15" customHeight="1" x14ac:dyDescent="0.3">
      <c r="A64" s="50" t="str">
        <f>VLOOKUP(Tabela2[[#This Row],[Item 1]],Apoio!$A$2:$B$41,2,0)</f>
        <v>Eviscer</v>
      </c>
      <c r="B64" s="9" t="str">
        <f t="shared" si="2"/>
        <v>% Erro de corte na moela</v>
      </c>
      <c r="C64" s="59"/>
      <c r="D64" s="27" t="s">
        <v>33</v>
      </c>
      <c r="E64" s="36">
        <f ca="1">IFERROR(AVERAGEIFS(INDIRECT("Tabela1["&amp;$B64&amp;"]"),Tabela1[Turno],$D64,Tabela1[Mês],E$3)/100,"")</f>
        <v>8.6099999999999996E-2</v>
      </c>
      <c r="F64" s="36">
        <f ca="1">IFERROR(AVERAGEIFS(INDIRECT("Tabela1["&amp;$B64&amp;"]"),Tabela1[Turno],$D64,Tabela1[Mês],F$3)/100,"")</f>
        <v>0.19699999999999998</v>
      </c>
      <c r="G64" s="36">
        <f ca="1">IFERROR(AVERAGEIFS(INDIRECT("Tabela1["&amp;$B64&amp;"]"),Tabela1[Turno],$D64,Tabela1[Mês],G$3)/100,"")</f>
        <v>9.64E-2</v>
      </c>
      <c r="H64" s="36" t="str">
        <f ca="1">IFERROR(AVERAGEIFS(INDIRECT("Tabela1["&amp;$B64&amp;"]"),Tabela1[Turno],$D64,Tabela1[Mês],H$3)/100,"")</f>
        <v/>
      </c>
      <c r="I64" s="36">
        <f ca="1">IFERROR(AVERAGEIFS(INDIRECT("Tabela1["&amp;$B64&amp;"]"),Tabela1[Turno],$D64,Tabela1[Mês],I$3)/100,"")</f>
        <v>7.7699999999999991E-2</v>
      </c>
      <c r="J64" s="36">
        <f ca="1">IFERROR(AVERAGEIFS(INDIRECT("Tabela1["&amp;$B64&amp;"]"),Tabela1[Turno],$D64,Tabela1[Mês],J$3)/100,"")</f>
        <v>7.2099999999999997E-2</v>
      </c>
      <c r="K64" s="36">
        <f ca="1">IFERROR(AVERAGEIFS(INDIRECT("Tabela1["&amp;$B64&amp;"]"),Tabela1[Turno],$D64,Tabela1[Mês],K$3)/100,"")</f>
        <v>5.7142857142857141E-2</v>
      </c>
      <c r="L64" s="36">
        <f ca="1">IFERROR(AVERAGEIFS(INDIRECT("Tabela1["&amp;$B64&amp;"]"),Tabela1[Turno],$D64,Tabela1[Mês],L$3)/100,"")</f>
        <v>3.9E-2</v>
      </c>
      <c r="M64" s="36">
        <f ca="1">IFERROR(AVERAGEIFS(INDIRECT("Tabela1["&amp;$B64&amp;"]"),Tabela1[Turno],$D64,Tabela1[Mês],M$3)/100,"")</f>
        <v>0.10412698412698412</v>
      </c>
      <c r="N64" s="36">
        <f ca="1">IFERROR(AVERAGEIFS(INDIRECT("Tabela1["&amp;$B64&amp;"]"),Tabela1[Turno],$D64,Tabela1[Mês],N$3)/100,"")</f>
        <v>0.17</v>
      </c>
      <c r="O64" s="36" t="str">
        <f ca="1">IFERROR(AVERAGEIFS(INDIRECT("Tabela1["&amp;$B64&amp;"]"),Tabela1[Turno],$D64,Tabela1[Mês],O$3)/100,"")</f>
        <v/>
      </c>
      <c r="P64" s="41" t="str">
        <f ca="1">IFERROR(AVERAGEIFS(INDIRECT("Tabela1["&amp;$B64&amp;"]"),Tabela1[Turno],$D64,Tabela1[Mês],P$3)/100,"")</f>
        <v/>
      </c>
      <c r="Q64" s="62"/>
      <c r="R64" s="35">
        <f ca="1">IFERROR(AVERAGEIFS(INDIRECT("Tabela1["&amp;$B64&amp;"]"),Tabela1[Turno],$D64,Tabela1[Data Corrigida],R$3)/100,"")</f>
        <v>0.15333333333333335</v>
      </c>
      <c r="S64" s="36">
        <f ca="1">IFERROR(AVERAGEIFS(INDIRECT("Tabela1["&amp;$B64&amp;"]"),Tabela1[Turno],$D64,Tabela1[Data Corrigida],S$3)/100,"")</f>
        <v>0.17666666666666667</v>
      </c>
      <c r="T64" s="36">
        <f ca="1">IFERROR(AVERAGEIFS(INDIRECT("Tabela1["&amp;$B64&amp;"]"),Tabela1[Turno],$D64,Tabela1[Data Corrigida],T$3)/100,"")</f>
        <v>0.18666666666666668</v>
      </c>
      <c r="U64" s="36">
        <f ca="1">IFERROR(AVERAGEIFS(INDIRECT("Tabela1["&amp;$B64&amp;"]"),Tabela1[Turno],$D64,Tabela1[Data Corrigida],U$3)/100,"")</f>
        <v>0.17</v>
      </c>
      <c r="V64" s="36">
        <f ca="1">IFERROR(AVERAGEIFS(INDIRECT("Tabela1["&amp;$B64&amp;"]"),Tabela1[Turno],$D64,Tabela1[Data Corrigida],V$3)/100,"")</f>
        <v>0.17</v>
      </c>
      <c r="W64" s="36">
        <f ca="1">IFERROR(AVERAGEIFS(INDIRECT("Tabela1["&amp;$B64&amp;"]"),Tabela1[Turno],$D64,Tabela1[Data Corrigida],W$3)/100,"")</f>
        <v>0.16666666666666669</v>
      </c>
      <c r="X64" s="36">
        <f ca="1">IFERROR(AVERAGEIFS(INDIRECT("Tabela1["&amp;$B64&amp;"]"),Tabela1[Turno],$D64,Tabela1[Data Corrigida],X$3)/100,"")</f>
        <v>0.16666666666666669</v>
      </c>
      <c r="Y64" s="36" t="str">
        <f ca="1">IFERROR(AVERAGEIFS(INDIRECT("Tabela1["&amp;$B64&amp;"]"),Tabela1[Turno],$D64,Tabela1[Data Corrigida],Y$3)/100,"")</f>
        <v/>
      </c>
      <c r="Z64" s="36" t="str">
        <f ca="1">IFERROR(AVERAGEIFS(INDIRECT("Tabela1["&amp;$B64&amp;"]"),Tabela1[Turno],$D64,Tabela1[Data Corrigida],Z$3)/100,"")</f>
        <v/>
      </c>
      <c r="AA64" s="36" t="str">
        <f ca="1">IFERROR(AVERAGEIFS(INDIRECT("Tabela1["&amp;$B64&amp;"]"),Tabela1[Turno],$D64,Tabela1[Data Corrigida],AA$3)/100,"")</f>
        <v/>
      </c>
      <c r="AB64" s="36" t="str">
        <f ca="1">IFERROR(AVERAGEIFS(INDIRECT("Tabela1["&amp;$B64&amp;"]"),Tabela1[Turno],$D64,Tabela1[Data Corrigida],AB$3)/100,"")</f>
        <v/>
      </c>
      <c r="AC64" s="36" t="str">
        <f ca="1">IFERROR(AVERAGEIFS(INDIRECT("Tabela1["&amp;$B64&amp;"]"),Tabela1[Turno],$D64,Tabela1[Data Corrigida],AC$3)/100,"")</f>
        <v/>
      </c>
      <c r="AD64" s="36" t="str">
        <f ca="1">IFERROR(AVERAGEIFS(INDIRECT("Tabela1["&amp;$B64&amp;"]"),Tabela1[Turno],$D64,Tabela1[Data Corrigida],AD$3)/100,"")</f>
        <v/>
      </c>
      <c r="AE64" s="36" t="str">
        <f ca="1">IFERROR(AVERAGEIFS(INDIRECT("Tabela1["&amp;$B64&amp;"]"),Tabela1[Turno],$D64,Tabela1[Data Corrigida],AE$3)/100,"")</f>
        <v/>
      </c>
      <c r="AF64" s="36" t="str">
        <f ca="1">IFERROR(AVERAGEIFS(INDIRECT("Tabela1["&amp;$B64&amp;"]"),Tabela1[Turno],$D64,Tabela1[Data Corrigida],AF$3)/100,"")</f>
        <v/>
      </c>
      <c r="AG64" s="36" t="str">
        <f ca="1">IFERROR(AVERAGEIFS(INDIRECT("Tabela1["&amp;$B64&amp;"]"),Tabela1[Turno],$D64,Tabela1[Data Corrigida],AG$3)/100,"")</f>
        <v/>
      </c>
      <c r="AH64" s="36" t="str">
        <f ca="1">IFERROR(AVERAGEIFS(INDIRECT("Tabela1["&amp;$B64&amp;"]"),Tabela1[Turno],$D64,Tabela1[Data Corrigida],AH$3)/100,"")</f>
        <v/>
      </c>
      <c r="AI64" s="36" t="str">
        <f ca="1">IFERROR(AVERAGEIFS(INDIRECT("Tabela1["&amp;$B64&amp;"]"),Tabela1[Turno],$D64,Tabela1[Data Corrigida],AI$3)/100,"")</f>
        <v/>
      </c>
      <c r="AJ64" s="36" t="str">
        <f ca="1">IFERROR(AVERAGEIFS(INDIRECT("Tabela1["&amp;$B64&amp;"]"),Tabela1[Turno],$D64,Tabela1[Data Corrigida],AJ$3)/100,"")</f>
        <v/>
      </c>
      <c r="AK64" s="36" t="str">
        <f ca="1">IFERROR(AVERAGEIFS(INDIRECT("Tabela1["&amp;$B64&amp;"]"),Tabela1[Turno],$D64,Tabela1[Data Corrigida],AK$3)/100,"")</f>
        <v/>
      </c>
      <c r="AL64" s="36" t="str">
        <f ca="1">IFERROR(AVERAGEIFS(INDIRECT("Tabela1["&amp;$B64&amp;"]"),Tabela1[Turno],$D64,Tabela1[Data Corrigida],AL$3)/100,"")</f>
        <v/>
      </c>
      <c r="AM64" s="36" t="str">
        <f ca="1">IFERROR(AVERAGEIFS(INDIRECT("Tabela1["&amp;$B64&amp;"]"),Tabela1[Turno],$D64,Tabela1[Data Corrigida],AM$3)/100,"")</f>
        <v/>
      </c>
    </row>
    <row r="65" spans="1:39" ht="15" customHeight="1" thickBot="1" x14ac:dyDescent="0.35">
      <c r="A65" s="50" t="str">
        <f>VLOOKUP(Tabela2[[#This Row],[Item 1]],Apoio!$A$2:$B$41,2,0)</f>
        <v>Eviscer</v>
      </c>
      <c r="B65" s="9" t="str">
        <f t="shared" si="2"/>
        <v>% Erro de corte na moela</v>
      </c>
      <c r="C65" s="60"/>
      <c r="D65" s="28" t="s">
        <v>5</v>
      </c>
      <c r="E65" s="45">
        <f ca="1">IFERROR(AVERAGEIFS(INDIRECT("Tabela1["&amp;$B65&amp;"]"),Tabela1[Mês],E$3)/100,"")</f>
        <v>0.10899999999999999</v>
      </c>
      <c r="F65" s="45">
        <f ca="1">IFERROR(AVERAGEIFS(INDIRECT("Tabela1["&amp;$B65&amp;"]"),Tabela1[Mês],F$3)/100,"")</f>
        <v>0.19164999999999999</v>
      </c>
      <c r="G65" s="45">
        <f ca="1">IFERROR(AVERAGEIFS(INDIRECT("Tabela1["&amp;$B65&amp;"]"),Tabela1[Mês],G$3)/100,"")</f>
        <v>0.11754999999999999</v>
      </c>
      <c r="H65" s="45">
        <f ca="1">IFERROR(AVERAGEIFS(INDIRECT("Tabela1["&amp;$B65&amp;"]"),Tabela1[Mês],H$3)/100,"")</f>
        <v>0.15060000000000001</v>
      </c>
      <c r="I65" s="45">
        <f ca="1">IFERROR(AVERAGEIFS(INDIRECT("Tabela1["&amp;$B65&amp;"]"),Tabela1[Mês],I$3)/100,"")</f>
        <v>0.14319999999999999</v>
      </c>
      <c r="J65" s="45">
        <f ca="1">IFERROR(AVERAGEIFS(INDIRECT("Tabela1["&amp;$B65&amp;"]"),Tabela1[Mês],J$3)/100,"")</f>
        <v>0.1573</v>
      </c>
      <c r="K65" s="45">
        <f ca="1">IFERROR(AVERAGEIFS(INDIRECT("Tabela1["&amp;$B65&amp;"]"),Tabela1[Mês],K$3)/100,"")</f>
        <v>0.18344827586206897</v>
      </c>
      <c r="L65" s="45">
        <f ca="1">IFERROR(AVERAGEIFS(INDIRECT("Tabela1["&amp;$B65&amp;"]"),Tabela1[Mês],L$3)/100,"")</f>
        <v>0.11992481203007518</v>
      </c>
      <c r="M65" s="45">
        <f ca="1">IFERROR(AVERAGEIFS(INDIRECT("Tabela1["&amp;$B65&amp;"]"),Tabela1[Mês],M$3)/100,"")</f>
        <v>0.14184931506849316</v>
      </c>
      <c r="N65" s="45">
        <f ca="1">IFERROR(AVERAGEIFS(INDIRECT("Tabela1["&amp;$B65&amp;"]"),Tabela1[Mês],N$3)/100,"")</f>
        <v>0.185</v>
      </c>
      <c r="O65" s="45" t="str">
        <f ca="1">IFERROR(AVERAGEIFS(INDIRECT("Tabela1["&amp;$B65&amp;"]"),Tabela1[Mês],O$3)/100,"")</f>
        <v/>
      </c>
      <c r="P65" s="46" t="str">
        <f ca="1">IFERROR(AVERAGEIFS(INDIRECT("Tabela1["&amp;$B65&amp;"]"),Tabela1[Mês],P$3)/100,"")</f>
        <v/>
      </c>
      <c r="Q65" s="63"/>
      <c r="R65" s="37">
        <f ca="1">IFERROR(AVERAGEIFS(INDIRECT("Tabela1["&amp;$B65&amp;"]"),Tabela1[Data Corrigida],R$3)/100,"")</f>
        <v>0.17571428571428574</v>
      </c>
      <c r="S65" s="38">
        <f ca="1">IFERROR(AVERAGEIFS(INDIRECT("Tabela1["&amp;$B65&amp;"]"),Tabela1[Data Corrigida],S$3)/100,"")</f>
        <v>0.20714285714285716</v>
      </c>
      <c r="T65" s="38">
        <f ca="1">IFERROR(AVERAGEIFS(INDIRECT("Tabela1["&amp;$B65&amp;"]"),Tabela1[Data Corrigida],T$3)/100,"")</f>
        <v>0.2</v>
      </c>
      <c r="U65" s="38">
        <f ca="1">IFERROR(AVERAGEIFS(INDIRECT("Tabela1["&amp;$B65&amp;"]"),Tabela1[Data Corrigida],U$3)/100,"")</f>
        <v>0.2</v>
      </c>
      <c r="V65" s="38">
        <f ca="1">IFERROR(AVERAGEIFS(INDIRECT("Tabela1["&amp;$B65&amp;"]"),Tabela1[Data Corrigida],V$3)/100,"")</f>
        <v>0.18571428571428572</v>
      </c>
      <c r="W65" s="38">
        <f ca="1">IFERROR(AVERAGEIFS(INDIRECT("Tabela1["&amp;$B65&amp;"]"),Tabela1[Data Corrigida],W$3)/100,"")</f>
        <v>0.18</v>
      </c>
      <c r="X65" s="38">
        <f ca="1">IFERROR(AVERAGEIFS(INDIRECT("Tabela1["&amp;$B65&amp;"]"),Tabela1[Data Corrigida],X$3)/100,"")</f>
        <v>0.19714285714285715</v>
      </c>
      <c r="Y65" s="38">
        <f ca="1">IFERROR(AVERAGEIFS(INDIRECT("Tabela1["&amp;$B65&amp;"]"),Tabela1[Data Corrigida],Y$3)/100,"")</f>
        <v>0.1075</v>
      </c>
      <c r="Z65" s="38" t="str">
        <f ca="1">IFERROR(AVERAGEIFS(INDIRECT("Tabela1["&amp;$B65&amp;"]"),Tabela1[Data Corrigida],Z$3)/100,"")</f>
        <v/>
      </c>
      <c r="AA65" s="38" t="str">
        <f ca="1">IFERROR(AVERAGEIFS(INDIRECT("Tabela1["&amp;$B65&amp;"]"),Tabela1[Data Corrigida],AA$3)/100,"")</f>
        <v/>
      </c>
      <c r="AB65" s="38" t="str">
        <f ca="1">IFERROR(AVERAGEIFS(INDIRECT("Tabela1["&amp;$B65&amp;"]"),Tabela1[Data Corrigida],AB$3)/100,"")</f>
        <v/>
      </c>
      <c r="AC65" s="38" t="str">
        <f ca="1">IFERROR(AVERAGEIFS(INDIRECT("Tabela1["&amp;$B65&amp;"]"),Tabela1[Data Corrigida],AC$3)/100,"")</f>
        <v/>
      </c>
      <c r="AD65" s="38" t="str">
        <f ca="1">IFERROR(AVERAGEIFS(INDIRECT("Tabela1["&amp;$B65&amp;"]"),Tabela1[Data Corrigida],AD$3)/100,"")</f>
        <v/>
      </c>
      <c r="AE65" s="38" t="str">
        <f ca="1">IFERROR(AVERAGEIFS(INDIRECT("Tabela1["&amp;$B65&amp;"]"),Tabela1[Data Corrigida],AE$3)/100,"")</f>
        <v/>
      </c>
      <c r="AF65" s="38" t="str">
        <f ca="1">IFERROR(AVERAGEIFS(INDIRECT("Tabela1["&amp;$B65&amp;"]"),Tabela1[Data Corrigida],AF$3)/100,"")</f>
        <v/>
      </c>
      <c r="AG65" s="38" t="str">
        <f ca="1">IFERROR(AVERAGEIFS(INDIRECT("Tabela1["&amp;$B65&amp;"]"),Tabela1[Data Corrigida],AG$3)/100,"")</f>
        <v/>
      </c>
      <c r="AH65" s="38" t="str">
        <f ca="1">IFERROR(AVERAGEIFS(INDIRECT("Tabela1["&amp;$B65&amp;"]"),Tabela1[Data Corrigida],AH$3)/100,"")</f>
        <v/>
      </c>
      <c r="AI65" s="38" t="str">
        <f ca="1">IFERROR(AVERAGEIFS(INDIRECT("Tabela1["&amp;$B65&amp;"]"),Tabela1[Data Corrigida],AI$3)/100,"")</f>
        <v/>
      </c>
      <c r="AJ65" s="38" t="str">
        <f ca="1">IFERROR(AVERAGEIFS(INDIRECT("Tabela1["&amp;$B65&amp;"]"),Tabela1[Data Corrigida],AJ$3)/100,"")</f>
        <v/>
      </c>
      <c r="AK65" s="38" t="str">
        <f ca="1">IFERROR(AVERAGEIFS(INDIRECT("Tabela1["&amp;$B65&amp;"]"),Tabela1[Data Corrigida],AK$3)/100,"")</f>
        <v/>
      </c>
      <c r="AL65" s="38" t="str">
        <f ca="1">IFERROR(AVERAGEIFS(INDIRECT("Tabela1["&amp;$B65&amp;"]"),Tabela1[Data Corrigida],AL$3)/100,"")</f>
        <v/>
      </c>
      <c r="AM65" s="38" t="str">
        <f ca="1">IFERROR(AVERAGEIFS(INDIRECT("Tabela1["&amp;$B65&amp;"]"),Tabela1[Data Corrigida],AM$3)/100,"")</f>
        <v/>
      </c>
    </row>
    <row r="66" spans="1:39" ht="15" customHeight="1" thickTop="1" x14ac:dyDescent="0.3">
      <c r="A66" s="50" t="str">
        <f>VLOOKUP(Tabela2[[#This Row],[Item 1]],Apoio!$A$2:$B$41,2,0)</f>
        <v>Míudos</v>
      </c>
      <c r="B66" s="9" t="str">
        <f t="shared" si="2"/>
        <v>Palma com Calos pós Chiller</v>
      </c>
      <c r="C66" s="58" t="str">
        <f>'BD - 022 Evisceração'!BK1</f>
        <v>Palma com Calos pós Chiller</v>
      </c>
      <c r="D66" s="26" t="s">
        <v>21</v>
      </c>
      <c r="E66" s="34">
        <f ca="1">IFERROR(AVERAGEIFS(INDIRECT("Tabela1["&amp;$B66&amp;"]"),Tabela1[Turno],$D66,Tabela1[Mês],E$3)/32,"")</f>
        <v>0.10781250000000001</v>
      </c>
      <c r="F66" s="34">
        <f ca="1">IFERROR(AVERAGEIFS(INDIRECT("Tabela1["&amp;$B66&amp;"]"),Tabela1[Turno],$D66,Tabela1[Mês],F$3)/32,"")</f>
        <v>4.0312500000000001E-2</v>
      </c>
      <c r="G66" s="34">
        <f ca="1">IFERROR(AVERAGEIFS(INDIRECT("Tabela1["&amp;$B66&amp;"]"),Tabela1[Turno],$D66,Tabela1[Mês],G$3)/32,"")</f>
        <v>1.5625E-2</v>
      </c>
      <c r="H66" s="34">
        <f ca="1">IFERROR(AVERAGEIFS(INDIRECT("Tabela1["&amp;$B66&amp;"]"),Tabela1[Turno],$D66,Tabela1[Mês],H$3)/32,"")</f>
        <v>3.4375000000000003E-2</v>
      </c>
      <c r="I66" s="34">
        <f ca="1">IFERROR(AVERAGEIFS(INDIRECT("Tabela1["&amp;$B66&amp;"]"),Tabela1[Turno],$D66,Tabela1[Mês],I$3)/32,"")</f>
        <v>6.1562499999999999E-2</v>
      </c>
      <c r="J66" s="34">
        <f ca="1">IFERROR(AVERAGEIFS(INDIRECT("Tabela1["&amp;$B66&amp;"]"),Tabela1[Turno],$D66,Tabela1[Mês],J$3)/32,"")</f>
        <v>5.7812500000000003E-2</v>
      </c>
      <c r="K66" s="34">
        <f ca="1">IFERROR(AVERAGEIFS(INDIRECT("Tabela1["&amp;$B66&amp;"]"),Tabela1[Turno],$D66,Tabela1[Mês],K$3)/32,"")</f>
        <v>1.0416666666666666E-2</v>
      </c>
      <c r="L66" s="34">
        <f ca="1">IFERROR(AVERAGEIFS(INDIRECT("Tabela1["&amp;$B66&amp;"]"),Tabela1[Turno],$D66,Tabela1[Mês],L$3)/32,"")</f>
        <v>1.0817307692307692E-2</v>
      </c>
      <c r="M66" s="34">
        <f ca="1">IFERROR(AVERAGEIFS(INDIRECT("Tabela1["&amp;$B66&amp;"]"),Tabela1[Turno],$D66,Tabela1[Mês],M$3)/32,"")</f>
        <v>1.7992424242424244E-2</v>
      </c>
      <c r="N66" s="34">
        <f ca="1">IFERROR(AVERAGEIFS(INDIRECT("Tabela1["&amp;$B66&amp;"]"),Tabela1[Turno],$D66,Tabela1[Mês],N$3)/32,"")</f>
        <v>2.2321428571428572E-2</v>
      </c>
      <c r="O66" s="34" t="str">
        <f ca="1">IFERROR(AVERAGEIFS(INDIRECT("Tabela1["&amp;$B66&amp;"]"),Tabela1[Turno],$D66,Tabela1[Mês],O$3)/32,"")</f>
        <v/>
      </c>
      <c r="P66" s="44" t="str">
        <f ca="1">IFERROR(AVERAGEIFS(INDIRECT("Tabela1["&amp;$B66&amp;"]"),Tabela1[Turno],$D66,Tabela1[Mês],P$3)/32,"")</f>
        <v/>
      </c>
      <c r="Q66" s="61">
        <v>0.03</v>
      </c>
      <c r="R66" s="33">
        <f ca="1">IFERROR(AVERAGEIFS(INDIRECT("Tabela1["&amp;$B66&amp;"]"),Tabela1[Turno],$D66,Tabela1[Data Corrigida],R$3)/32,"")</f>
        <v>1.0416666666666666E-2</v>
      </c>
      <c r="S66" s="34">
        <f ca="1">IFERROR(AVERAGEIFS(INDIRECT("Tabela1["&amp;$B66&amp;"]"),Tabela1[Turno],$D66,Tabela1[Data Corrigida],S$3)/32,"")</f>
        <v>0</v>
      </c>
      <c r="T66" s="34" t="str">
        <f ca="1">IFERROR(AVERAGEIFS(INDIRECT("Tabela1["&amp;$B66&amp;"]"),Tabela1[Turno],$D66,Tabela1[Data Corrigida],T$3)/32,"")</f>
        <v/>
      </c>
      <c r="U66" s="34">
        <f ca="1">IFERROR(AVERAGEIFS(INDIRECT("Tabela1["&amp;$B66&amp;"]"),Tabela1[Turno],$D66,Tabela1[Data Corrigida],U$3)/32,"")</f>
        <v>3.125E-2</v>
      </c>
      <c r="V66" s="34">
        <f ca="1">IFERROR(AVERAGEIFS(INDIRECT("Tabela1["&amp;$B66&amp;"]"),Tabela1[Turno],$D66,Tabela1[Data Corrigida],V$3)/32,"")</f>
        <v>3.125E-2</v>
      </c>
      <c r="W66" s="34">
        <f ca="1">IFERROR(AVERAGEIFS(INDIRECT("Tabela1["&amp;$B66&amp;"]"),Tabela1[Turno],$D66,Tabela1[Data Corrigida],W$3)/32,"")</f>
        <v>2.0833333333333332E-2</v>
      </c>
      <c r="X66" s="34">
        <f ca="1">IFERROR(AVERAGEIFS(INDIRECT("Tabela1["&amp;$B66&amp;"]"),Tabela1[Turno],$D66,Tabela1[Data Corrigida],X$3)/32,"")</f>
        <v>4.6875E-2</v>
      </c>
      <c r="Y66" s="34">
        <f ca="1">IFERROR(AVERAGEIFS(INDIRECT("Tabela1["&amp;$B66&amp;"]"),Tabela1[Turno],$D66,Tabela1[Data Corrigida],Y$3)/32,"")</f>
        <v>3.125E-2</v>
      </c>
      <c r="Z66" s="34" t="str">
        <f ca="1">IFERROR(AVERAGEIFS(INDIRECT("Tabela1["&amp;$B66&amp;"]"),Tabela1[Turno],$D66,Tabela1[Data Corrigida],Z$3)/32,"")</f>
        <v/>
      </c>
      <c r="AA66" s="34" t="str">
        <f ca="1">IFERROR(AVERAGEIFS(INDIRECT("Tabela1["&amp;$B66&amp;"]"),Tabela1[Turno],$D66,Tabela1[Data Corrigida],AA$3)/32,"")</f>
        <v/>
      </c>
      <c r="AB66" s="34" t="str">
        <f ca="1">IFERROR(AVERAGEIFS(INDIRECT("Tabela1["&amp;$B66&amp;"]"),Tabela1[Turno],$D66,Tabela1[Data Corrigida],AB$3)/32,"")</f>
        <v/>
      </c>
      <c r="AC66" s="34" t="str">
        <f ca="1">IFERROR(AVERAGEIFS(INDIRECT("Tabela1["&amp;$B66&amp;"]"),Tabela1[Turno],$D66,Tabela1[Data Corrigida],AC$3)/32,"")</f>
        <v/>
      </c>
      <c r="AD66" s="34" t="str">
        <f ca="1">IFERROR(AVERAGEIFS(INDIRECT("Tabela1["&amp;$B66&amp;"]"),Tabela1[Turno],$D66,Tabela1[Data Corrigida],AD$3)/32,"")</f>
        <v/>
      </c>
      <c r="AE66" s="34" t="str">
        <f ca="1">IFERROR(AVERAGEIFS(INDIRECT("Tabela1["&amp;$B66&amp;"]"),Tabela1[Turno],$D66,Tabela1[Data Corrigida],AE$3)/32,"")</f>
        <v/>
      </c>
      <c r="AF66" s="34" t="str">
        <f ca="1">IFERROR(AVERAGEIFS(INDIRECT("Tabela1["&amp;$B66&amp;"]"),Tabela1[Turno],$D66,Tabela1[Data Corrigida],AF$3)/32,"")</f>
        <v/>
      </c>
      <c r="AG66" s="34" t="str">
        <f ca="1">IFERROR(AVERAGEIFS(INDIRECT("Tabela1["&amp;$B66&amp;"]"),Tabela1[Turno],$D66,Tabela1[Data Corrigida],AG$3)/32,"")</f>
        <v/>
      </c>
      <c r="AH66" s="34" t="str">
        <f ca="1">IFERROR(AVERAGEIFS(INDIRECT("Tabela1["&amp;$B66&amp;"]"),Tabela1[Turno],$D66,Tabela1[Data Corrigida],AH$3)/32,"")</f>
        <v/>
      </c>
      <c r="AI66" s="34" t="str">
        <f ca="1">IFERROR(AVERAGEIFS(INDIRECT("Tabela1["&amp;$B66&amp;"]"),Tabela1[Turno],$D66,Tabela1[Data Corrigida],AI$3)/32,"")</f>
        <v/>
      </c>
      <c r="AJ66" s="34" t="str">
        <f ca="1">IFERROR(AVERAGEIFS(INDIRECT("Tabela1["&amp;$B66&amp;"]"),Tabela1[Turno],$D66,Tabela1[Data Corrigida],AJ$3)/32,"")</f>
        <v/>
      </c>
      <c r="AK66" s="34" t="str">
        <f ca="1">IFERROR(AVERAGEIFS(INDIRECT("Tabela1["&amp;$B66&amp;"]"),Tabela1[Turno],$D66,Tabela1[Data Corrigida],AK$3)/32,"")</f>
        <v/>
      </c>
      <c r="AL66" s="34" t="str">
        <f ca="1">IFERROR(AVERAGEIFS(INDIRECT("Tabela1["&amp;$B66&amp;"]"),Tabela1[Turno],$D66,Tabela1[Data Corrigida],AL$3)/32,"")</f>
        <v/>
      </c>
      <c r="AM66" s="34" t="str">
        <f ca="1">IFERROR(AVERAGEIFS(INDIRECT("Tabela1["&amp;$B66&amp;"]"),Tabela1[Turno],$D66,Tabela1[Data Corrigida],AM$3)/32,"")</f>
        <v/>
      </c>
    </row>
    <row r="67" spans="1:39" ht="15" customHeight="1" x14ac:dyDescent="0.3">
      <c r="A67" s="50" t="str">
        <f>VLOOKUP(Tabela2[[#This Row],[Item 1]],Apoio!$A$2:$B$41,2,0)</f>
        <v>Míudos</v>
      </c>
      <c r="B67" s="9" t="str">
        <f t="shared" si="2"/>
        <v>Palma com Calos pós Chiller</v>
      </c>
      <c r="C67" s="59"/>
      <c r="D67" s="27" t="s">
        <v>33</v>
      </c>
      <c r="E67" s="36">
        <f ca="1">IFERROR(AVERAGEIFS(INDIRECT("Tabela1["&amp;$B67&amp;"]"),Tabela1[Turno],$D67,Tabela1[Mês],E$3)/32,"")</f>
        <v>1.40625E-2</v>
      </c>
      <c r="F67" s="36">
        <f ca="1">IFERROR(AVERAGEIFS(INDIRECT("Tabela1["&amp;$B67&amp;"]"),Tabela1[Turno],$D67,Tabela1[Mês],F$3)/32,"")</f>
        <v>1.5625E-2</v>
      </c>
      <c r="G67" s="36">
        <f ca="1">IFERROR(AVERAGEIFS(INDIRECT("Tabela1["&amp;$B67&amp;"]"),Tabela1[Turno],$D67,Tabela1[Mês],G$3)/32,"")</f>
        <v>2.0312500000000001E-2</v>
      </c>
      <c r="H67" s="36" t="str">
        <f ca="1">IFERROR(AVERAGEIFS(INDIRECT("Tabela1["&amp;$B67&amp;"]"),Tabela1[Turno],$D67,Tabela1[Mês],H$3)/32,"")</f>
        <v/>
      </c>
      <c r="I67" s="36">
        <f ca="1">IFERROR(AVERAGEIFS(INDIRECT("Tabela1["&amp;$B67&amp;"]"),Tabela1[Turno],$D67,Tabela1[Mês],I$3)/32,"")</f>
        <v>0.1125</v>
      </c>
      <c r="J67" s="36">
        <f ca="1">IFERROR(AVERAGEIFS(INDIRECT("Tabela1["&amp;$B67&amp;"]"),Tabela1[Turno],$D67,Tabela1[Mês],J$3)/32,"")</f>
        <v>0.17156250000000001</v>
      </c>
      <c r="K67" s="36">
        <f ca="1">IFERROR(AVERAGEIFS(INDIRECT("Tabela1["&amp;$B67&amp;"]"),Tabela1[Turno],$D67,Tabela1[Mês],K$3)/32,"")</f>
        <v>0.13920454545454544</v>
      </c>
      <c r="L67" s="36">
        <f ca="1">IFERROR(AVERAGEIFS(INDIRECT("Tabela1["&amp;$B67&amp;"]"),Tabela1[Turno],$D67,Tabela1[Mês],L$3)/32,"")</f>
        <v>0.10036057692307693</v>
      </c>
      <c r="M67" s="36">
        <f ca="1">IFERROR(AVERAGEIFS(INDIRECT("Tabela1["&amp;$B67&amp;"]"),Tabela1[Turno],$D67,Tabela1[Mês],M$3)/32,"")</f>
        <v>9.8790322580645157E-2</v>
      </c>
      <c r="N67" s="36">
        <f ca="1">IFERROR(AVERAGEIFS(INDIRECT("Tabela1["&amp;$B67&amp;"]"),Tabela1[Turno],$D67,Tabela1[Mês],N$3)/32,"")</f>
        <v>7.7380952380952384E-2</v>
      </c>
      <c r="O67" s="36" t="str">
        <f ca="1">IFERROR(AVERAGEIFS(INDIRECT("Tabela1["&amp;$B67&amp;"]"),Tabela1[Turno],$D67,Tabela1[Mês],O$3)/32,"")</f>
        <v/>
      </c>
      <c r="P67" s="41" t="str">
        <f ca="1">IFERROR(AVERAGEIFS(INDIRECT("Tabela1["&amp;$B67&amp;"]"),Tabela1[Turno],$D67,Tabela1[Mês],P$3)/32,"")</f>
        <v/>
      </c>
      <c r="Q67" s="62"/>
      <c r="R67" s="35">
        <f ca="1">IFERROR(AVERAGEIFS(INDIRECT("Tabela1["&amp;$B67&amp;"]"),Tabela1[Turno],$D67,Tabela1[Data Corrigida],R$3)/32,"")</f>
        <v>6.25E-2</v>
      </c>
      <c r="S67" s="36">
        <f ca="1">IFERROR(AVERAGEIFS(INDIRECT("Tabela1["&amp;$B67&amp;"]"),Tabela1[Turno],$D67,Tabela1[Data Corrigida],S$3)/32,"")</f>
        <v>4.1666666666666664E-2</v>
      </c>
      <c r="T67" s="36">
        <f ca="1">IFERROR(AVERAGEIFS(INDIRECT("Tabela1["&amp;$B67&amp;"]"),Tabela1[Turno],$D67,Tabela1[Data Corrigida],T$3)/32,"")</f>
        <v>6.25E-2</v>
      </c>
      <c r="U67" s="36">
        <f ca="1">IFERROR(AVERAGEIFS(INDIRECT("Tabela1["&amp;$B67&amp;"]"),Tabela1[Turno],$D67,Tabela1[Data Corrigida],U$3)/32,"")</f>
        <v>0.125</v>
      </c>
      <c r="V67" s="36">
        <f ca="1">IFERROR(AVERAGEIFS(INDIRECT("Tabela1["&amp;$B67&amp;"]"),Tabela1[Turno],$D67,Tabela1[Data Corrigida],V$3)/32,"")</f>
        <v>9.375E-2</v>
      </c>
      <c r="W67" s="36">
        <f ca="1">IFERROR(AVERAGEIFS(INDIRECT("Tabela1["&amp;$B67&amp;"]"),Tabela1[Turno],$D67,Tabela1[Data Corrigida],W$3)/32,"")</f>
        <v>0.125</v>
      </c>
      <c r="X67" s="36">
        <f ca="1">IFERROR(AVERAGEIFS(INDIRECT("Tabela1["&amp;$B67&amp;"]"),Tabela1[Turno],$D67,Tabela1[Data Corrigida],X$3)/32,"")</f>
        <v>3.125E-2</v>
      </c>
      <c r="Y67" s="36" t="str">
        <f ca="1">IFERROR(AVERAGEIFS(INDIRECT("Tabela1["&amp;$B67&amp;"]"),Tabela1[Turno],$D67,Tabela1[Data Corrigida],Y$3)/32,"")</f>
        <v/>
      </c>
      <c r="Z67" s="36" t="str">
        <f ca="1">IFERROR(AVERAGEIFS(INDIRECT("Tabela1["&amp;$B67&amp;"]"),Tabela1[Turno],$D67,Tabela1[Data Corrigida],Z$3)/32,"")</f>
        <v/>
      </c>
      <c r="AA67" s="36" t="str">
        <f ca="1">IFERROR(AVERAGEIFS(INDIRECT("Tabela1["&amp;$B67&amp;"]"),Tabela1[Turno],$D67,Tabela1[Data Corrigida],AA$3)/32,"")</f>
        <v/>
      </c>
      <c r="AB67" s="36" t="str">
        <f ca="1">IFERROR(AVERAGEIFS(INDIRECT("Tabela1["&amp;$B67&amp;"]"),Tabela1[Turno],$D67,Tabela1[Data Corrigida],AB$3)/32,"")</f>
        <v/>
      </c>
      <c r="AC67" s="36" t="str">
        <f ca="1">IFERROR(AVERAGEIFS(INDIRECT("Tabela1["&amp;$B67&amp;"]"),Tabela1[Turno],$D67,Tabela1[Data Corrigida],AC$3)/32,"")</f>
        <v/>
      </c>
      <c r="AD67" s="36" t="str">
        <f ca="1">IFERROR(AVERAGEIFS(INDIRECT("Tabela1["&amp;$B67&amp;"]"),Tabela1[Turno],$D67,Tabela1[Data Corrigida],AD$3)/32,"")</f>
        <v/>
      </c>
      <c r="AE67" s="36" t="str">
        <f ca="1">IFERROR(AVERAGEIFS(INDIRECT("Tabela1["&amp;$B67&amp;"]"),Tabela1[Turno],$D67,Tabela1[Data Corrigida],AE$3)/32,"")</f>
        <v/>
      </c>
      <c r="AF67" s="36" t="str">
        <f ca="1">IFERROR(AVERAGEIFS(INDIRECT("Tabela1["&amp;$B67&amp;"]"),Tabela1[Turno],$D67,Tabela1[Data Corrigida],AF$3)/32,"")</f>
        <v/>
      </c>
      <c r="AG67" s="36" t="str">
        <f ca="1">IFERROR(AVERAGEIFS(INDIRECT("Tabela1["&amp;$B67&amp;"]"),Tabela1[Turno],$D67,Tabela1[Data Corrigida],AG$3)/32,"")</f>
        <v/>
      </c>
      <c r="AH67" s="36" t="str">
        <f ca="1">IFERROR(AVERAGEIFS(INDIRECT("Tabela1["&amp;$B67&amp;"]"),Tabela1[Turno],$D67,Tabela1[Data Corrigida],AH$3)/32,"")</f>
        <v/>
      </c>
      <c r="AI67" s="36" t="str">
        <f ca="1">IFERROR(AVERAGEIFS(INDIRECT("Tabela1["&amp;$B67&amp;"]"),Tabela1[Turno],$D67,Tabela1[Data Corrigida],AI$3)/32,"")</f>
        <v/>
      </c>
      <c r="AJ67" s="36" t="str">
        <f ca="1">IFERROR(AVERAGEIFS(INDIRECT("Tabela1["&amp;$B67&amp;"]"),Tabela1[Turno],$D67,Tabela1[Data Corrigida],AJ$3)/32,"")</f>
        <v/>
      </c>
      <c r="AK67" s="36" t="str">
        <f ca="1">IFERROR(AVERAGEIFS(INDIRECT("Tabela1["&amp;$B67&amp;"]"),Tabela1[Turno],$D67,Tabela1[Data Corrigida],AK$3)/32,"")</f>
        <v/>
      </c>
      <c r="AL67" s="36" t="str">
        <f ca="1">IFERROR(AVERAGEIFS(INDIRECT("Tabela1["&amp;$B67&amp;"]"),Tabela1[Turno],$D67,Tabela1[Data Corrigida],AL$3)/32,"")</f>
        <v/>
      </c>
      <c r="AM67" s="36" t="str">
        <f ca="1">IFERROR(AVERAGEIFS(INDIRECT("Tabela1["&amp;$B67&amp;"]"),Tabela1[Turno],$D67,Tabela1[Data Corrigida],AM$3)/32,"")</f>
        <v/>
      </c>
    </row>
    <row r="68" spans="1:39" ht="15" customHeight="1" thickBot="1" x14ac:dyDescent="0.35">
      <c r="A68" s="50" t="str">
        <f>VLOOKUP(Tabela2[[#This Row],[Item 1]],Apoio!$A$2:$B$41,2,0)</f>
        <v>Míudos</v>
      </c>
      <c r="B68" s="9" t="str">
        <f t="shared" si="2"/>
        <v>Palma com Calos pós Chiller</v>
      </c>
      <c r="C68" s="60"/>
      <c r="D68" s="28" t="s">
        <v>5</v>
      </c>
      <c r="E68" s="45">
        <f ca="1">IFERROR(AVERAGEIFS(INDIRECT("Tabela1["&amp;$B68&amp;"]"),Tabela1[Mês],E$3)/32,"")</f>
        <v>6.0937500000000006E-2</v>
      </c>
      <c r="F68" s="45">
        <f ca="1">IFERROR(AVERAGEIFS(INDIRECT("Tabela1["&amp;$B68&amp;"]"),Tabela1[Mês],F$3)/32,"")</f>
        <v>2.7968750000000001E-2</v>
      </c>
      <c r="G68" s="45">
        <f ca="1">IFERROR(AVERAGEIFS(INDIRECT("Tabela1["&amp;$B68&amp;"]"),Tabela1[Mês],G$3)/32,"")</f>
        <v>1.7968749999999999E-2</v>
      </c>
      <c r="H68" s="45">
        <f ca="1">IFERROR(AVERAGEIFS(INDIRECT("Tabela1["&amp;$B68&amp;"]"),Tabela1[Mês],H$3)/32,"")</f>
        <v>3.4375000000000003E-2</v>
      </c>
      <c r="I68" s="45">
        <f ca="1">IFERROR(AVERAGEIFS(INDIRECT("Tabela1["&amp;$B68&amp;"]"),Tabela1[Mês],I$3)/32,"")</f>
        <v>8.7031250000000004E-2</v>
      </c>
      <c r="J68" s="45">
        <f ca="1">IFERROR(AVERAGEIFS(INDIRECT("Tabela1["&amp;$B68&amp;"]"),Tabela1[Mês],J$3)/32,"")</f>
        <v>0.1146875</v>
      </c>
      <c r="K68" s="45">
        <f ca="1">IFERROR(AVERAGEIFS(INDIRECT("Tabela1["&amp;$B68&amp;"]"),Tabela1[Mês],K$3)/32,"")</f>
        <v>9.375E-2</v>
      </c>
      <c r="L68" s="45">
        <f ca="1">IFERROR(AVERAGEIFS(INDIRECT("Tabela1["&amp;$B68&amp;"]"),Tabela1[Mês],L$3)/32,"")</f>
        <v>7.0512820512820512E-2</v>
      </c>
      <c r="M68" s="45">
        <f ca="1">IFERROR(AVERAGEIFS(INDIRECT("Tabela1["&amp;$B68&amp;"]"),Tabela1[Mês],M$3)/32,"")</f>
        <v>7.0723684210526314E-2</v>
      </c>
      <c r="N68" s="45">
        <f ca="1">IFERROR(AVERAGEIFS(INDIRECT("Tabela1["&amp;$B68&amp;"]"),Tabela1[Mês],N$3)/32,"")</f>
        <v>5.5357142857142855E-2</v>
      </c>
      <c r="O68" s="45" t="str">
        <f ca="1">IFERROR(AVERAGEIFS(INDIRECT("Tabela1["&amp;$B68&amp;"]"),Tabela1[Mês],O$3)/32,"")</f>
        <v/>
      </c>
      <c r="P68" s="46" t="str">
        <f ca="1">IFERROR(AVERAGEIFS(INDIRECT("Tabela1["&amp;$B68&amp;"]"),Tabela1[Mês],P$3)/32,"")</f>
        <v/>
      </c>
      <c r="Q68" s="63"/>
      <c r="R68" s="37">
        <f ca="1">IFERROR(AVERAGEIFS(INDIRECT("Tabela1["&amp;$B68&amp;"]"),Tabela1[Data Corrigida],R$3)/32,"")</f>
        <v>3.6458333333333336E-2</v>
      </c>
      <c r="S68" s="38">
        <f ca="1">IFERROR(AVERAGEIFS(INDIRECT("Tabela1["&amp;$B68&amp;"]"),Tabela1[Data Corrigida],S$3)/32,"")</f>
        <v>2.5000000000000001E-2</v>
      </c>
      <c r="T68" s="38">
        <f ca="1">IFERROR(AVERAGEIFS(INDIRECT("Tabela1["&amp;$B68&amp;"]"),Tabela1[Data Corrigida],T$3)/32,"")</f>
        <v>6.25E-2</v>
      </c>
      <c r="U68" s="38">
        <f ca="1">IFERROR(AVERAGEIFS(INDIRECT("Tabela1["&amp;$B68&amp;"]"),Tabela1[Data Corrigida],U$3)/32,"")</f>
        <v>8.7499999999999994E-2</v>
      </c>
      <c r="V68" s="38">
        <f ca="1">IFERROR(AVERAGEIFS(INDIRECT("Tabela1["&amp;$B68&amp;"]"),Tabela1[Data Corrigida],V$3)/32,"")</f>
        <v>7.8125E-2</v>
      </c>
      <c r="W68" s="38">
        <f ca="1">IFERROR(AVERAGEIFS(INDIRECT("Tabela1["&amp;$B68&amp;"]"),Tabela1[Data Corrigida],W$3)/32,"")</f>
        <v>7.2916666666666671E-2</v>
      </c>
      <c r="X68" s="38">
        <f ca="1">IFERROR(AVERAGEIFS(INDIRECT("Tabela1["&amp;$B68&amp;"]"),Tabela1[Data Corrigida],X$3)/32,"")</f>
        <v>3.7499999999999999E-2</v>
      </c>
      <c r="Y68" s="38">
        <f ca="1">IFERROR(AVERAGEIFS(INDIRECT("Tabela1["&amp;$B68&amp;"]"),Tabela1[Data Corrigida],Y$3)/32,"")</f>
        <v>3.125E-2</v>
      </c>
      <c r="Z68" s="38" t="str">
        <f ca="1">IFERROR(AVERAGEIFS(INDIRECT("Tabela1["&amp;$B68&amp;"]"),Tabela1[Data Corrigida],Z$3)/32,"")</f>
        <v/>
      </c>
      <c r="AA68" s="38" t="str">
        <f ca="1">IFERROR(AVERAGEIFS(INDIRECT("Tabela1["&amp;$B68&amp;"]"),Tabela1[Data Corrigida],AA$3)/32,"")</f>
        <v/>
      </c>
      <c r="AB68" s="38" t="str">
        <f ca="1">IFERROR(AVERAGEIFS(INDIRECT("Tabela1["&amp;$B68&amp;"]"),Tabela1[Data Corrigida],AB$3)/32,"")</f>
        <v/>
      </c>
      <c r="AC68" s="38" t="str">
        <f ca="1">IFERROR(AVERAGEIFS(INDIRECT("Tabela1["&amp;$B68&amp;"]"),Tabela1[Data Corrigida],AC$3)/32,"")</f>
        <v/>
      </c>
      <c r="AD68" s="38" t="str">
        <f ca="1">IFERROR(AVERAGEIFS(INDIRECT("Tabela1["&amp;$B68&amp;"]"),Tabela1[Data Corrigida],AD$3)/32,"")</f>
        <v/>
      </c>
      <c r="AE68" s="38" t="str">
        <f ca="1">IFERROR(AVERAGEIFS(INDIRECT("Tabela1["&amp;$B68&amp;"]"),Tabela1[Data Corrigida],AE$3)/32,"")</f>
        <v/>
      </c>
      <c r="AF68" s="38" t="str">
        <f ca="1">IFERROR(AVERAGEIFS(INDIRECT("Tabela1["&amp;$B68&amp;"]"),Tabela1[Data Corrigida],AF$3)/32,"")</f>
        <v/>
      </c>
      <c r="AG68" s="38" t="str">
        <f ca="1">IFERROR(AVERAGEIFS(INDIRECT("Tabela1["&amp;$B68&amp;"]"),Tabela1[Data Corrigida],AG$3)/32,"")</f>
        <v/>
      </c>
      <c r="AH68" s="38" t="str">
        <f ca="1">IFERROR(AVERAGEIFS(INDIRECT("Tabela1["&amp;$B68&amp;"]"),Tabela1[Data Corrigida],AH$3)/32,"")</f>
        <v/>
      </c>
      <c r="AI68" s="38" t="str">
        <f ca="1">IFERROR(AVERAGEIFS(INDIRECT("Tabela1["&amp;$B68&amp;"]"),Tabela1[Data Corrigida],AI$3)/32,"")</f>
        <v/>
      </c>
      <c r="AJ68" s="38" t="str">
        <f ca="1">IFERROR(AVERAGEIFS(INDIRECT("Tabela1["&amp;$B68&amp;"]"),Tabela1[Data Corrigida],AJ$3)/32,"")</f>
        <v/>
      </c>
      <c r="AK68" s="38" t="str">
        <f ca="1">IFERROR(AVERAGEIFS(INDIRECT("Tabela1["&amp;$B68&amp;"]"),Tabela1[Data Corrigida],AK$3)/32,"")</f>
        <v/>
      </c>
      <c r="AL68" s="38" t="str">
        <f ca="1">IFERROR(AVERAGEIFS(INDIRECT("Tabela1["&amp;$B68&amp;"]"),Tabela1[Data Corrigida],AL$3)/32,"")</f>
        <v/>
      </c>
      <c r="AM68" s="38" t="str">
        <f ca="1">IFERROR(AVERAGEIFS(INDIRECT("Tabela1["&amp;$B68&amp;"]"),Tabela1[Data Corrigida],AM$3)/32,"")</f>
        <v/>
      </c>
    </row>
    <row r="69" spans="1:39" ht="15" customHeight="1" thickTop="1" x14ac:dyDescent="0.3">
      <c r="A69" s="50" t="str">
        <f>VLOOKUP(Tabela2[[#This Row],[Item 1]],Apoio!$A$2:$B$41,2,0)</f>
        <v>Míudos</v>
      </c>
      <c r="B69" s="9" t="str">
        <f t="shared" si="2"/>
        <v>Palma com Fratura externa</v>
      </c>
      <c r="C69" s="58" t="str">
        <f>'BD - 022 Evisceração'!BL1</f>
        <v>Palma com Fratura externa</v>
      </c>
      <c r="D69" s="26" t="s">
        <v>21</v>
      </c>
      <c r="E69" s="34">
        <f ca="1">IFERROR(AVERAGEIFS(INDIRECT("Tabela1["&amp;$B69&amp;"]"),Tabela1[Turno],$D69,Tabela1[Mês],E$3)/32,"")</f>
        <v>0</v>
      </c>
      <c r="F69" s="34">
        <f ca="1">IFERROR(AVERAGEIFS(INDIRECT("Tabela1["&amp;$B69&amp;"]"),Tabela1[Turno],$D69,Tabela1[Mês],F$3)/32,"")</f>
        <v>0</v>
      </c>
      <c r="G69" s="34">
        <f ca="1">IFERROR(AVERAGEIFS(INDIRECT("Tabela1["&amp;$B69&amp;"]"),Tabela1[Turno],$D69,Tabela1[Mês],G$3)/32,"")</f>
        <v>4.0625000000000001E-3</v>
      </c>
      <c r="H69" s="34">
        <f ca="1">IFERROR(AVERAGEIFS(INDIRECT("Tabela1["&amp;$B69&amp;"]"),Tabela1[Turno],$D69,Tabela1[Mês],H$3)/32,"")</f>
        <v>0</v>
      </c>
      <c r="I69" s="34">
        <f ca="1">IFERROR(AVERAGEIFS(INDIRECT("Tabela1["&amp;$B69&amp;"]"),Tabela1[Turno],$D69,Tabela1[Mês],I$3)/32,"")</f>
        <v>0</v>
      </c>
      <c r="J69" s="34">
        <f ca="1">IFERROR(AVERAGEIFS(INDIRECT("Tabela1["&amp;$B69&amp;"]"),Tabela1[Turno],$D69,Tabela1[Mês],J$3)/32,"")</f>
        <v>0</v>
      </c>
      <c r="K69" s="34">
        <f ca="1">IFERROR(AVERAGEIFS(INDIRECT("Tabela1["&amp;$B69&amp;"]"),Tabela1[Turno],$D69,Tabela1[Mês],K$3)/32,"")</f>
        <v>0</v>
      </c>
      <c r="L69" s="34">
        <f ca="1">IFERROR(AVERAGEIFS(INDIRECT("Tabela1["&amp;$B69&amp;"]"),Tabela1[Turno],$D69,Tabela1[Mês],L$3)/32,"")</f>
        <v>0</v>
      </c>
      <c r="M69" s="34">
        <f ca="1">IFERROR(AVERAGEIFS(INDIRECT("Tabela1["&amp;$B69&amp;"]"),Tabela1[Turno],$D69,Tabela1[Mês],M$3)/32,"")</f>
        <v>0</v>
      </c>
      <c r="N69" s="34">
        <f ca="1">IFERROR(AVERAGEIFS(INDIRECT("Tabela1["&amp;$B69&amp;"]"),Tabela1[Turno],$D69,Tabela1[Mês],N$3)/32,"")</f>
        <v>0</v>
      </c>
      <c r="O69" s="34" t="str">
        <f ca="1">IFERROR(AVERAGEIFS(INDIRECT("Tabela1["&amp;$B69&amp;"]"),Tabela1[Turno],$D69,Tabela1[Mês],O$3)/32,"")</f>
        <v/>
      </c>
      <c r="P69" s="44" t="str">
        <f ca="1">IFERROR(AVERAGEIFS(INDIRECT("Tabela1["&amp;$B69&amp;"]"),Tabela1[Turno],$D69,Tabela1[Mês],P$3)/32,"")</f>
        <v/>
      </c>
      <c r="Q69" s="61">
        <v>0</v>
      </c>
      <c r="R69" s="33">
        <f ca="1">IFERROR(AVERAGEIFS(INDIRECT("Tabela1["&amp;$B69&amp;"]"),Tabela1[Turno],$D69,Tabela1[Data Corrigida],R$3)/32,"")</f>
        <v>0</v>
      </c>
      <c r="S69" s="34">
        <f ca="1">IFERROR(AVERAGEIFS(INDIRECT("Tabela1["&amp;$B69&amp;"]"),Tabela1[Turno],$D69,Tabela1[Data Corrigida],S$3)/32,"")</f>
        <v>0</v>
      </c>
      <c r="T69" s="34" t="str">
        <f ca="1">IFERROR(AVERAGEIFS(INDIRECT("Tabela1["&amp;$B69&amp;"]"),Tabela1[Turno],$D69,Tabela1[Data Corrigida],T$3)/32,"")</f>
        <v/>
      </c>
      <c r="U69" s="34">
        <f ca="1">IFERROR(AVERAGEIFS(INDIRECT("Tabela1["&amp;$B69&amp;"]"),Tabela1[Turno],$D69,Tabela1[Data Corrigida],U$3)/32,"")</f>
        <v>0</v>
      </c>
      <c r="V69" s="34">
        <f ca="1">IFERROR(AVERAGEIFS(INDIRECT("Tabela1["&amp;$B69&amp;"]"),Tabela1[Turno],$D69,Tabela1[Data Corrigida],V$3)/32,"")</f>
        <v>0</v>
      </c>
      <c r="W69" s="34">
        <f ca="1">IFERROR(AVERAGEIFS(INDIRECT("Tabela1["&amp;$B69&amp;"]"),Tabela1[Turno],$D69,Tabela1[Data Corrigida],W$3)/32,"")</f>
        <v>0</v>
      </c>
      <c r="X69" s="34">
        <f ca="1">IFERROR(AVERAGEIFS(INDIRECT("Tabela1["&amp;$B69&amp;"]"),Tabela1[Turno],$D69,Tabela1[Data Corrigida],X$3)/32,"")</f>
        <v>0</v>
      </c>
      <c r="Y69" s="34">
        <f ca="1">IFERROR(AVERAGEIFS(INDIRECT("Tabela1["&amp;$B69&amp;"]"),Tabela1[Turno],$D69,Tabela1[Data Corrigida],Y$3)/32,"")</f>
        <v>0</v>
      </c>
      <c r="Z69" s="34" t="str">
        <f ca="1">IFERROR(AVERAGEIFS(INDIRECT("Tabela1["&amp;$B69&amp;"]"),Tabela1[Turno],$D69,Tabela1[Data Corrigida],Z$3)/32,"")</f>
        <v/>
      </c>
      <c r="AA69" s="34" t="str">
        <f ca="1">IFERROR(AVERAGEIFS(INDIRECT("Tabela1["&amp;$B69&amp;"]"),Tabela1[Turno],$D69,Tabela1[Data Corrigida],AA$3)/32,"")</f>
        <v/>
      </c>
      <c r="AB69" s="34" t="str">
        <f ca="1">IFERROR(AVERAGEIFS(INDIRECT("Tabela1["&amp;$B69&amp;"]"),Tabela1[Turno],$D69,Tabela1[Data Corrigida],AB$3)/32,"")</f>
        <v/>
      </c>
      <c r="AC69" s="34" t="str">
        <f ca="1">IFERROR(AVERAGEIFS(INDIRECT("Tabela1["&amp;$B69&amp;"]"),Tabela1[Turno],$D69,Tabela1[Data Corrigida],AC$3)/32,"")</f>
        <v/>
      </c>
      <c r="AD69" s="34" t="str">
        <f ca="1">IFERROR(AVERAGEIFS(INDIRECT("Tabela1["&amp;$B69&amp;"]"),Tabela1[Turno],$D69,Tabela1[Data Corrigida],AD$3)/32,"")</f>
        <v/>
      </c>
      <c r="AE69" s="34" t="str">
        <f ca="1">IFERROR(AVERAGEIFS(INDIRECT("Tabela1["&amp;$B69&amp;"]"),Tabela1[Turno],$D69,Tabela1[Data Corrigida],AE$3)/32,"")</f>
        <v/>
      </c>
      <c r="AF69" s="34" t="str">
        <f ca="1">IFERROR(AVERAGEIFS(INDIRECT("Tabela1["&amp;$B69&amp;"]"),Tabela1[Turno],$D69,Tabela1[Data Corrigida],AF$3)/32,"")</f>
        <v/>
      </c>
      <c r="AG69" s="34" t="str">
        <f ca="1">IFERROR(AVERAGEIFS(INDIRECT("Tabela1["&amp;$B69&amp;"]"),Tabela1[Turno],$D69,Tabela1[Data Corrigida],AG$3)/32,"")</f>
        <v/>
      </c>
      <c r="AH69" s="34" t="str">
        <f ca="1">IFERROR(AVERAGEIFS(INDIRECT("Tabela1["&amp;$B69&amp;"]"),Tabela1[Turno],$D69,Tabela1[Data Corrigida],AH$3)/32,"")</f>
        <v/>
      </c>
      <c r="AI69" s="34" t="str">
        <f ca="1">IFERROR(AVERAGEIFS(INDIRECT("Tabela1["&amp;$B69&amp;"]"),Tabela1[Turno],$D69,Tabela1[Data Corrigida],AI$3)/32,"")</f>
        <v/>
      </c>
      <c r="AJ69" s="34" t="str">
        <f ca="1">IFERROR(AVERAGEIFS(INDIRECT("Tabela1["&amp;$B69&amp;"]"),Tabela1[Turno],$D69,Tabela1[Data Corrigida],AJ$3)/32,"")</f>
        <v/>
      </c>
      <c r="AK69" s="34" t="str">
        <f ca="1">IFERROR(AVERAGEIFS(INDIRECT("Tabela1["&amp;$B69&amp;"]"),Tabela1[Turno],$D69,Tabela1[Data Corrigida],AK$3)/32,"")</f>
        <v/>
      </c>
      <c r="AL69" s="34" t="str">
        <f ca="1">IFERROR(AVERAGEIFS(INDIRECT("Tabela1["&amp;$B69&amp;"]"),Tabela1[Turno],$D69,Tabela1[Data Corrigida],AL$3)/32,"")</f>
        <v/>
      </c>
      <c r="AM69" s="34" t="str">
        <f ca="1">IFERROR(AVERAGEIFS(INDIRECT("Tabela1["&amp;$B69&amp;"]"),Tabela1[Turno],$D69,Tabela1[Data Corrigida],AM$3)/32,"")</f>
        <v/>
      </c>
    </row>
    <row r="70" spans="1:39" ht="15" customHeight="1" x14ac:dyDescent="0.3">
      <c r="A70" s="50" t="str">
        <f>VLOOKUP(Tabela2[[#This Row],[Item 1]],Apoio!$A$2:$B$41,2,0)</f>
        <v>Míudos</v>
      </c>
      <c r="B70" s="9" t="str">
        <f t="shared" si="2"/>
        <v>Palma com Fratura externa</v>
      </c>
      <c r="C70" s="59"/>
      <c r="D70" s="27" t="s">
        <v>33</v>
      </c>
      <c r="E70" s="36">
        <f ca="1">IFERROR(AVERAGEIFS(INDIRECT("Tabela1["&amp;$B70&amp;"]"),Tabela1[Turno],$D70,Tabela1[Mês],E$3)/32,"")</f>
        <v>3.1250000000000002E-3</v>
      </c>
      <c r="F70" s="36">
        <f ca="1">IFERROR(AVERAGEIFS(INDIRECT("Tabela1["&amp;$B70&amp;"]"),Tabela1[Turno],$D70,Tabela1[Mês],F$3)/32,"")</f>
        <v>9.0624999999999994E-3</v>
      </c>
      <c r="G70" s="36">
        <f ca="1">IFERROR(AVERAGEIFS(INDIRECT("Tabela1["&amp;$B70&amp;"]"),Tabela1[Turno],$D70,Tabela1[Mês],G$3)/32,"")</f>
        <v>1.6250000000000001E-2</v>
      </c>
      <c r="H70" s="36" t="str">
        <f ca="1">IFERROR(AVERAGEIFS(INDIRECT("Tabela1["&amp;$B70&amp;"]"),Tabela1[Turno],$D70,Tabela1[Mês],H$3)/32,"")</f>
        <v/>
      </c>
      <c r="I70" s="36">
        <f ca="1">IFERROR(AVERAGEIFS(INDIRECT("Tabela1["&amp;$B70&amp;"]"),Tabela1[Turno],$D70,Tabela1[Mês],I$3)/32,"")</f>
        <v>5.9375000000000001E-3</v>
      </c>
      <c r="J70" s="36">
        <f ca="1">IFERROR(AVERAGEIFS(INDIRECT("Tabela1["&amp;$B70&amp;"]"),Tabela1[Turno],$D70,Tabela1[Mês],J$3)/32,"")</f>
        <v>4.0625000000000001E-3</v>
      </c>
      <c r="K70" s="36">
        <f ca="1">IFERROR(AVERAGEIFS(INDIRECT("Tabela1["&amp;$B70&amp;"]"),Tabela1[Turno],$D70,Tabela1[Mês],K$3)/32,"")</f>
        <v>0</v>
      </c>
      <c r="L70" s="36">
        <f ca="1">IFERROR(AVERAGEIFS(INDIRECT("Tabela1["&amp;$B70&amp;"]"),Tabela1[Turno],$D70,Tabela1[Mês],L$3)/32,"")</f>
        <v>0</v>
      </c>
      <c r="M70" s="36">
        <f ca="1">IFERROR(AVERAGEIFS(INDIRECT("Tabela1["&amp;$B70&amp;"]"),Tabela1[Turno],$D70,Tabela1[Mês],M$3)/32,"")</f>
        <v>0</v>
      </c>
      <c r="N70" s="36">
        <f ca="1">IFERROR(AVERAGEIFS(INDIRECT("Tabela1["&amp;$B70&amp;"]"),Tabela1[Turno],$D70,Tabela1[Mês],N$3)/32,"")</f>
        <v>0</v>
      </c>
      <c r="O70" s="36" t="str">
        <f ca="1">IFERROR(AVERAGEIFS(INDIRECT("Tabela1["&amp;$B70&amp;"]"),Tabela1[Turno],$D70,Tabela1[Mês],O$3)/32,"")</f>
        <v/>
      </c>
      <c r="P70" s="41" t="str">
        <f ca="1">IFERROR(AVERAGEIFS(INDIRECT("Tabela1["&amp;$B70&amp;"]"),Tabela1[Turno],$D70,Tabela1[Mês],P$3)/32,"")</f>
        <v/>
      </c>
      <c r="Q70" s="62"/>
      <c r="R70" s="35">
        <f ca="1">IFERROR(AVERAGEIFS(INDIRECT("Tabela1["&amp;$B70&amp;"]"),Tabela1[Turno],$D70,Tabela1[Data Corrigida],R$3)/32,"")</f>
        <v>0</v>
      </c>
      <c r="S70" s="36">
        <f ca="1">IFERROR(AVERAGEIFS(INDIRECT("Tabela1["&amp;$B70&amp;"]"),Tabela1[Turno],$D70,Tabela1[Data Corrigida],S$3)/32,"")</f>
        <v>0</v>
      </c>
      <c r="T70" s="36">
        <f ca="1">IFERROR(AVERAGEIFS(INDIRECT("Tabela1["&amp;$B70&amp;"]"),Tabela1[Turno],$D70,Tabela1[Data Corrigida],T$3)/32,"")</f>
        <v>0</v>
      </c>
      <c r="U70" s="36">
        <f ca="1">IFERROR(AVERAGEIFS(INDIRECT("Tabela1["&amp;$B70&amp;"]"),Tabela1[Turno],$D70,Tabela1[Data Corrigida],U$3)/32,"")</f>
        <v>0</v>
      </c>
      <c r="V70" s="36">
        <f ca="1">IFERROR(AVERAGEIFS(INDIRECT("Tabela1["&amp;$B70&amp;"]"),Tabela1[Turno],$D70,Tabela1[Data Corrigida],V$3)/32,"")</f>
        <v>0</v>
      </c>
      <c r="W70" s="36">
        <f ca="1">IFERROR(AVERAGEIFS(INDIRECT("Tabela1["&amp;$B70&amp;"]"),Tabela1[Turno],$D70,Tabela1[Data Corrigida],W$3)/32,"")</f>
        <v>0</v>
      </c>
      <c r="X70" s="36">
        <f ca="1">IFERROR(AVERAGEIFS(INDIRECT("Tabela1["&amp;$B70&amp;"]"),Tabela1[Turno],$D70,Tabela1[Data Corrigida],X$3)/32,"")</f>
        <v>0</v>
      </c>
      <c r="Y70" s="36" t="str">
        <f ca="1">IFERROR(AVERAGEIFS(INDIRECT("Tabela1["&amp;$B70&amp;"]"),Tabela1[Turno],$D70,Tabela1[Data Corrigida],Y$3)/32,"")</f>
        <v/>
      </c>
      <c r="Z70" s="36" t="str">
        <f ca="1">IFERROR(AVERAGEIFS(INDIRECT("Tabela1["&amp;$B70&amp;"]"),Tabela1[Turno],$D70,Tabela1[Data Corrigida],Z$3)/32,"")</f>
        <v/>
      </c>
      <c r="AA70" s="36" t="str">
        <f ca="1">IFERROR(AVERAGEIFS(INDIRECT("Tabela1["&amp;$B70&amp;"]"),Tabela1[Turno],$D70,Tabela1[Data Corrigida],AA$3)/32,"")</f>
        <v/>
      </c>
      <c r="AB70" s="36" t="str">
        <f ca="1">IFERROR(AVERAGEIFS(INDIRECT("Tabela1["&amp;$B70&amp;"]"),Tabela1[Turno],$D70,Tabela1[Data Corrigida],AB$3)/32,"")</f>
        <v/>
      </c>
      <c r="AC70" s="36" t="str">
        <f ca="1">IFERROR(AVERAGEIFS(INDIRECT("Tabela1["&amp;$B70&amp;"]"),Tabela1[Turno],$D70,Tabela1[Data Corrigida],AC$3)/32,"")</f>
        <v/>
      </c>
      <c r="AD70" s="36" t="str">
        <f ca="1">IFERROR(AVERAGEIFS(INDIRECT("Tabela1["&amp;$B70&amp;"]"),Tabela1[Turno],$D70,Tabela1[Data Corrigida],AD$3)/32,"")</f>
        <v/>
      </c>
      <c r="AE70" s="36" t="str">
        <f ca="1">IFERROR(AVERAGEIFS(INDIRECT("Tabela1["&amp;$B70&amp;"]"),Tabela1[Turno],$D70,Tabela1[Data Corrigida],AE$3)/32,"")</f>
        <v/>
      </c>
      <c r="AF70" s="36" t="str">
        <f ca="1">IFERROR(AVERAGEIFS(INDIRECT("Tabela1["&amp;$B70&amp;"]"),Tabela1[Turno],$D70,Tabela1[Data Corrigida],AF$3)/32,"")</f>
        <v/>
      </c>
      <c r="AG70" s="36" t="str">
        <f ca="1">IFERROR(AVERAGEIFS(INDIRECT("Tabela1["&amp;$B70&amp;"]"),Tabela1[Turno],$D70,Tabela1[Data Corrigida],AG$3)/32,"")</f>
        <v/>
      </c>
      <c r="AH70" s="36" t="str">
        <f ca="1">IFERROR(AVERAGEIFS(INDIRECT("Tabela1["&amp;$B70&amp;"]"),Tabela1[Turno],$D70,Tabela1[Data Corrigida],AH$3)/32,"")</f>
        <v/>
      </c>
      <c r="AI70" s="36" t="str">
        <f ca="1">IFERROR(AVERAGEIFS(INDIRECT("Tabela1["&amp;$B70&amp;"]"),Tabela1[Turno],$D70,Tabela1[Data Corrigida],AI$3)/32,"")</f>
        <v/>
      </c>
      <c r="AJ70" s="36" t="str">
        <f ca="1">IFERROR(AVERAGEIFS(INDIRECT("Tabela1["&amp;$B70&amp;"]"),Tabela1[Turno],$D70,Tabela1[Data Corrigida],AJ$3)/32,"")</f>
        <v/>
      </c>
      <c r="AK70" s="36" t="str">
        <f ca="1">IFERROR(AVERAGEIFS(INDIRECT("Tabela1["&amp;$B70&amp;"]"),Tabela1[Turno],$D70,Tabela1[Data Corrigida],AK$3)/32,"")</f>
        <v/>
      </c>
      <c r="AL70" s="36" t="str">
        <f ca="1">IFERROR(AVERAGEIFS(INDIRECT("Tabela1["&amp;$B70&amp;"]"),Tabela1[Turno],$D70,Tabela1[Data Corrigida],AL$3)/32,"")</f>
        <v/>
      </c>
      <c r="AM70" s="36" t="str">
        <f ca="1">IFERROR(AVERAGEIFS(INDIRECT("Tabela1["&amp;$B70&amp;"]"),Tabela1[Turno],$D70,Tabela1[Data Corrigida],AM$3)/32,"")</f>
        <v/>
      </c>
    </row>
    <row r="71" spans="1:39" ht="15" customHeight="1" thickBot="1" x14ac:dyDescent="0.35">
      <c r="A71" s="50" t="str">
        <f>VLOOKUP(Tabela2[[#This Row],[Item 1]],Apoio!$A$2:$B$41,2,0)</f>
        <v>Míudos</v>
      </c>
      <c r="B71" s="9" t="str">
        <f t="shared" si="2"/>
        <v>Palma com Fratura externa</v>
      </c>
      <c r="C71" s="60"/>
      <c r="D71" s="28" t="s">
        <v>5</v>
      </c>
      <c r="E71" s="45">
        <f ca="1">IFERROR(AVERAGEIFS(INDIRECT("Tabela1["&amp;$B71&amp;"]"),Tabela1[Mês],E$3)/32,"")</f>
        <v>1.5625000000000001E-3</v>
      </c>
      <c r="F71" s="45">
        <f ca="1">IFERROR(AVERAGEIFS(INDIRECT("Tabela1["&amp;$B71&amp;"]"),Tabela1[Mês],F$3)/32,"")</f>
        <v>4.5312499999999997E-3</v>
      </c>
      <c r="G71" s="45">
        <f ca="1">IFERROR(AVERAGEIFS(INDIRECT("Tabela1["&amp;$B71&amp;"]"),Tabela1[Mês],G$3)/32,"")</f>
        <v>1.015625E-2</v>
      </c>
      <c r="H71" s="45">
        <f ca="1">IFERROR(AVERAGEIFS(INDIRECT("Tabela1["&amp;$B71&amp;"]"),Tabela1[Mês],H$3)/32,"")</f>
        <v>0</v>
      </c>
      <c r="I71" s="45">
        <f ca="1">IFERROR(AVERAGEIFS(INDIRECT("Tabela1["&amp;$B71&amp;"]"),Tabela1[Mês],I$3)/32,"")</f>
        <v>2.96875E-3</v>
      </c>
      <c r="J71" s="45">
        <f ca="1">IFERROR(AVERAGEIFS(INDIRECT("Tabela1["&amp;$B71&amp;"]"),Tabela1[Mês],J$3)/32,"")</f>
        <v>2.0312500000000001E-3</v>
      </c>
      <c r="K71" s="45">
        <f ca="1">IFERROR(AVERAGEIFS(INDIRECT("Tabela1["&amp;$B71&amp;"]"),Tabela1[Mês],K$3)/32,"")</f>
        <v>0</v>
      </c>
      <c r="L71" s="45">
        <f ca="1">IFERROR(AVERAGEIFS(INDIRECT("Tabela1["&amp;$B71&amp;"]"),Tabela1[Mês],L$3)/32,"")</f>
        <v>0</v>
      </c>
      <c r="M71" s="45">
        <f ca="1">IFERROR(AVERAGEIFS(INDIRECT("Tabela1["&amp;$B71&amp;"]"),Tabela1[Mês],M$3)/32,"")</f>
        <v>0</v>
      </c>
      <c r="N71" s="45">
        <f ca="1">IFERROR(AVERAGEIFS(INDIRECT("Tabela1["&amp;$B71&amp;"]"),Tabela1[Mês],N$3)/32,"")</f>
        <v>0</v>
      </c>
      <c r="O71" s="45" t="str">
        <f ca="1">IFERROR(AVERAGEIFS(INDIRECT("Tabela1["&amp;$B71&amp;"]"),Tabela1[Mês],O$3)/32,"")</f>
        <v/>
      </c>
      <c r="P71" s="46" t="str">
        <f ca="1">IFERROR(AVERAGEIFS(INDIRECT("Tabela1["&amp;$B71&amp;"]"),Tabela1[Mês],P$3)/32,"")</f>
        <v/>
      </c>
      <c r="Q71" s="63"/>
      <c r="R71" s="37">
        <f ca="1">IFERROR(AVERAGEIFS(INDIRECT("Tabela1["&amp;$B71&amp;"]"),Tabela1[Data Corrigida],R$3)/32,"")</f>
        <v>0</v>
      </c>
      <c r="S71" s="38">
        <f ca="1">IFERROR(AVERAGEIFS(INDIRECT("Tabela1["&amp;$B71&amp;"]"),Tabela1[Data Corrigida],S$3)/32,"")</f>
        <v>0</v>
      </c>
      <c r="T71" s="38">
        <f ca="1">IFERROR(AVERAGEIFS(INDIRECT("Tabela1["&amp;$B71&amp;"]"),Tabela1[Data Corrigida],T$3)/32,"")</f>
        <v>0</v>
      </c>
      <c r="U71" s="38">
        <f ca="1">IFERROR(AVERAGEIFS(INDIRECT("Tabela1["&amp;$B71&amp;"]"),Tabela1[Data Corrigida],U$3)/32,"")</f>
        <v>0</v>
      </c>
      <c r="V71" s="38">
        <f ca="1">IFERROR(AVERAGEIFS(INDIRECT("Tabela1["&amp;$B71&amp;"]"),Tabela1[Data Corrigida],V$3)/32,"")</f>
        <v>0</v>
      </c>
      <c r="W71" s="38">
        <f ca="1">IFERROR(AVERAGEIFS(INDIRECT("Tabela1["&amp;$B71&amp;"]"),Tabela1[Data Corrigida],W$3)/32,"")</f>
        <v>0</v>
      </c>
      <c r="X71" s="38">
        <f ca="1">IFERROR(AVERAGEIFS(INDIRECT("Tabela1["&amp;$B71&amp;"]"),Tabela1[Data Corrigida],X$3)/32,"")</f>
        <v>0</v>
      </c>
      <c r="Y71" s="38">
        <f ca="1">IFERROR(AVERAGEIFS(INDIRECT("Tabela1["&amp;$B71&amp;"]"),Tabela1[Data Corrigida],Y$3)/32,"")</f>
        <v>0</v>
      </c>
      <c r="Z71" s="38" t="str">
        <f ca="1">IFERROR(AVERAGEIFS(INDIRECT("Tabela1["&amp;$B71&amp;"]"),Tabela1[Data Corrigida],Z$3)/32,"")</f>
        <v/>
      </c>
      <c r="AA71" s="38" t="str">
        <f ca="1">IFERROR(AVERAGEIFS(INDIRECT("Tabela1["&amp;$B71&amp;"]"),Tabela1[Data Corrigida],AA$3)/32,"")</f>
        <v/>
      </c>
      <c r="AB71" s="38" t="str">
        <f ca="1">IFERROR(AVERAGEIFS(INDIRECT("Tabela1["&amp;$B71&amp;"]"),Tabela1[Data Corrigida],AB$3)/32,"")</f>
        <v/>
      </c>
      <c r="AC71" s="38" t="str">
        <f ca="1">IFERROR(AVERAGEIFS(INDIRECT("Tabela1["&amp;$B71&amp;"]"),Tabela1[Data Corrigida],AC$3)/32,"")</f>
        <v/>
      </c>
      <c r="AD71" s="38" t="str">
        <f ca="1">IFERROR(AVERAGEIFS(INDIRECT("Tabela1["&amp;$B71&amp;"]"),Tabela1[Data Corrigida],AD$3)/32,"")</f>
        <v/>
      </c>
      <c r="AE71" s="38" t="str">
        <f ca="1">IFERROR(AVERAGEIFS(INDIRECT("Tabela1["&amp;$B71&amp;"]"),Tabela1[Data Corrigida],AE$3)/32,"")</f>
        <v/>
      </c>
      <c r="AF71" s="38" t="str">
        <f ca="1">IFERROR(AVERAGEIFS(INDIRECT("Tabela1["&amp;$B71&amp;"]"),Tabela1[Data Corrigida],AF$3)/32,"")</f>
        <v/>
      </c>
      <c r="AG71" s="38" t="str">
        <f ca="1">IFERROR(AVERAGEIFS(INDIRECT("Tabela1["&amp;$B71&amp;"]"),Tabela1[Data Corrigida],AG$3)/32,"")</f>
        <v/>
      </c>
      <c r="AH71" s="38" t="str">
        <f ca="1">IFERROR(AVERAGEIFS(INDIRECT("Tabela1["&amp;$B71&amp;"]"),Tabela1[Data Corrigida],AH$3)/32,"")</f>
        <v/>
      </c>
      <c r="AI71" s="38" t="str">
        <f ca="1">IFERROR(AVERAGEIFS(INDIRECT("Tabela1["&amp;$B71&amp;"]"),Tabela1[Data Corrigida],AI$3)/32,"")</f>
        <v/>
      </c>
      <c r="AJ71" s="38" t="str">
        <f ca="1">IFERROR(AVERAGEIFS(INDIRECT("Tabela1["&amp;$B71&amp;"]"),Tabela1[Data Corrigida],AJ$3)/32,"")</f>
        <v/>
      </c>
      <c r="AK71" s="38" t="str">
        <f ca="1">IFERROR(AVERAGEIFS(INDIRECT("Tabela1["&amp;$B71&amp;"]"),Tabela1[Data Corrigida],AK$3)/32,"")</f>
        <v/>
      </c>
      <c r="AL71" s="38" t="str">
        <f ca="1">IFERROR(AVERAGEIFS(INDIRECT("Tabela1["&amp;$B71&amp;"]"),Tabela1[Data Corrigida],AL$3)/32,"")</f>
        <v/>
      </c>
      <c r="AM71" s="38" t="str">
        <f ca="1">IFERROR(AVERAGEIFS(INDIRECT("Tabela1["&amp;$B71&amp;"]"),Tabela1[Data Corrigida],AM$3)/32,"")</f>
        <v/>
      </c>
    </row>
    <row r="72" spans="1:39" ht="15" customHeight="1" thickTop="1" x14ac:dyDescent="0.3">
      <c r="A72" s="50" t="str">
        <f>VLOOKUP(Tabela2[[#This Row],[Item 1]],Apoio!$A$2:$B$41,2,0)</f>
        <v>Míudos</v>
      </c>
      <c r="B72" s="9" t="str">
        <f t="shared" ref="B72:B77" si="3">IF(C72=0,B71,C72)</f>
        <v>Palma com Fratura interna</v>
      </c>
      <c r="C72" s="58" t="str">
        <f>'BD - 022 Evisceração'!BM1</f>
        <v>Palma com Fratura interna</v>
      </c>
      <c r="D72" s="26" t="s">
        <v>21</v>
      </c>
      <c r="E72" s="34">
        <f ca="1">IFERROR(AVERAGEIFS(INDIRECT("Tabela1["&amp;$B72&amp;"]"),Tabela1[Turno],$D72,Tabela1[Mês],E$3)/32,"")</f>
        <v>0.14624999999999999</v>
      </c>
      <c r="F72" s="34">
        <f ca="1">IFERROR(AVERAGEIFS(INDIRECT("Tabela1["&amp;$B72&amp;"]"),Tabela1[Turno],$D72,Tabela1[Mês],F$3)/32,"")</f>
        <v>0.1184375</v>
      </c>
      <c r="G72" s="34">
        <f ca="1">IFERROR(AVERAGEIFS(INDIRECT("Tabela1["&amp;$B72&amp;"]"),Tabela1[Turno],$D72,Tabela1[Mês],G$3)/32,"")</f>
        <v>0.16875000000000001</v>
      </c>
      <c r="H72" s="34">
        <f ca="1">IFERROR(AVERAGEIFS(INDIRECT("Tabela1["&amp;$B72&amp;"]"),Tabela1[Turno],$D72,Tabela1[Mês],H$3)/32,"")</f>
        <v>0.34281250000000002</v>
      </c>
      <c r="I72" s="34">
        <f ca="1">IFERROR(AVERAGEIFS(INDIRECT("Tabela1["&amp;$B72&amp;"]"),Tabela1[Turno],$D72,Tabela1[Mês],I$3)/32,"")</f>
        <v>0.26687499999999997</v>
      </c>
      <c r="J72" s="34">
        <f ca="1">IFERROR(AVERAGEIFS(INDIRECT("Tabela1["&amp;$B72&amp;"]"),Tabela1[Turno],$D72,Tabela1[Mês],J$3)/32,"")</f>
        <v>0.26187500000000002</v>
      </c>
      <c r="K72" s="34">
        <f ca="1">IFERROR(AVERAGEIFS(INDIRECT("Tabela1["&amp;$B72&amp;"]"),Tabela1[Turno],$D72,Tabela1[Mês],K$3)/32,"")</f>
        <v>5.2083333333333336E-2</v>
      </c>
      <c r="L72" s="34">
        <f ca="1">IFERROR(AVERAGEIFS(INDIRECT("Tabela1["&amp;$B72&amp;"]"),Tabela1[Turno],$D72,Tabela1[Mês],L$3)/32,"")</f>
        <v>3.9663461538461536E-2</v>
      </c>
      <c r="M72" s="34">
        <f ca="1">IFERROR(AVERAGEIFS(INDIRECT("Tabela1["&amp;$B72&amp;"]"),Tabela1[Turno],$D72,Tabela1[Mês],M$3)/32,"")</f>
        <v>3.6931818181818184E-2</v>
      </c>
      <c r="N72" s="34">
        <f ca="1">IFERROR(AVERAGEIFS(INDIRECT("Tabela1["&amp;$B72&amp;"]"),Tabela1[Turno],$D72,Tabela1[Mês],N$3)/32,"")</f>
        <v>4.2410714285714288E-2</v>
      </c>
      <c r="O72" s="34" t="str">
        <f ca="1">IFERROR(AVERAGEIFS(INDIRECT("Tabela1["&amp;$B72&amp;"]"),Tabela1[Turno],$D72,Tabela1[Mês],O$3)/32,"")</f>
        <v/>
      </c>
      <c r="P72" s="44" t="str">
        <f ca="1">IFERROR(AVERAGEIFS(INDIRECT("Tabela1["&amp;$B72&amp;"]"),Tabela1[Turno],$D72,Tabela1[Mês],P$3)/32,"")</f>
        <v/>
      </c>
      <c r="Q72" s="61">
        <v>0</v>
      </c>
      <c r="R72" s="33">
        <f ca="1">IFERROR(AVERAGEIFS(INDIRECT("Tabela1["&amp;$B72&amp;"]"),Tabela1[Turno],$D72,Tabela1[Data Corrigida],R$3)/32,"")</f>
        <v>4.1666666666666664E-2</v>
      </c>
      <c r="S72" s="34">
        <f ca="1">IFERROR(AVERAGEIFS(INDIRECT("Tabela1["&amp;$B72&amp;"]"),Tabela1[Turno],$D72,Tabela1[Data Corrigida],S$3)/32,"")</f>
        <v>3.125E-2</v>
      </c>
      <c r="T72" s="34" t="str">
        <f ca="1">IFERROR(AVERAGEIFS(INDIRECT("Tabela1["&amp;$B72&amp;"]"),Tabela1[Turno],$D72,Tabela1[Data Corrigida],T$3)/32,"")</f>
        <v/>
      </c>
      <c r="U72" s="34">
        <f ca="1">IFERROR(AVERAGEIFS(INDIRECT("Tabela1["&amp;$B72&amp;"]"),Tabela1[Turno],$D72,Tabela1[Data Corrigida],U$3)/32,"")</f>
        <v>4.6875E-2</v>
      </c>
      <c r="V72" s="34">
        <f ca="1">IFERROR(AVERAGEIFS(INDIRECT("Tabela1["&amp;$B72&amp;"]"),Tabela1[Turno],$D72,Tabela1[Data Corrigida],V$3)/32,"")</f>
        <v>6.25E-2</v>
      </c>
      <c r="W72" s="34">
        <f ca="1">IFERROR(AVERAGEIFS(INDIRECT("Tabela1["&amp;$B72&amp;"]"),Tabela1[Turno],$D72,Tabela1[Data Corrigida],W$3)/32,"")</f>
        <v>4.1666666666666664E-2</v>
      </c>
      <c r="X72" s="34">
        <f ca="1">IFERROR(AVERAGEIFS(INDIRECT("Tabela1["&amp;$B72&amp;"]"),Tabela1[Turno],$D72,Tabela1[Data Corrigida],X$3)/32,"")</f>
        <v>3.125E-2</v>
      </c>
      <c r="Y72" s="34">
        <f ca="1">IFERROR(AVERAGEIFS(INDIRECT("Tabela1["&amp;$B72&amp;"]"),Tabela1[Turno],$D72,Tabela1[Data Corrigida],Y$3)/32,"")</f>
        <v>6.25E-2</v>
      </c>
      <c r="Z72" s="34" t="str">
        <f ca="1">IFERROR(AVERAGEIFS(INDIRECT("Tabela1["&amp;$B72&amp;"]"),Tabela1[Turno],$D72,Tabela1[Data Corrigida],Z$3)/32,"")</f>
        <v/>
      </c>
      <c r="AA72" s="34" t="str">
        <f ca="1">IFERROR(AVERAGEIFS(INDIRECT("Tabela1["&amp;$B72&amp;"]"),Tabela1[Turno],$D72,Tabela1[Data Corrigida],AA$3)/32,"")</f>
        <v/>
      </c>
      <c r="AB72" s="34" t="str">
        <f ca="1">IFERROR(AVERAGEIFS(INDIRECT("Tabela1["&amp;$B72&amp;"]"),Tabela1[Turno],$D72,Tabela1[Data Corrigida],AB$3)/32,"")</f>
        <v/>
      </c>
      <c r="AC72" s="34" t="str">
        <f ca="1">IFERROR(AVERAGEIFS(INDIRECT("Tabela1["&amp;$B72&amp;"]"),Tabela1[Turno],$D72,Tabela1[Data Corrigida],AC$3)/32,"")</f>
        <v/>
      </c>
      <c r="AD72" s="34" t="str">
        <f ca="1">IFERROR(AVERAGEIFS(INDIRECT("Tabela1["&amp;$B72&amp;"]"),Tabela1[Turno],$D72,Tabela1[Data Corrigida],AD$3)/32,"")</f>
        <v/>
      </c>
      <c r="AE72" s="34" t="str">
        <f ca="1">IFERROR(AVERAGEIFS(INDIRECT("Tabela1["&amp;$B72&amp;"]"),Tabela1[Turno],$D72,Tabela1[Data Corrigida],AE$3)/32,"")</f>
        <v/>
      </c>
      <c r="AF72" s="34" t="str">
        <f ca="1">IFERROR(AVERAGEIFS(INDIRECT("Tabela1["&amp;$B72&amp;"]"),Tabela1[Turno],$D72,Tabela1[Data Corrigida],AF$3)/32,"")</f>
        <v/>
      </c>
      <c r="AG72" s="34" t="str">
        <f ca="1">IFERROR(AVERAGEIFS(INDIRECT("Tabela1["&amp;$B72&amp;"]"),Tabela1[Turno],$D72,Tabela1[Data Corrigida],AG$3)/32,"")</f>
        <v/>
      </c>
      <c r="AH72" s="34" t="str">
        <f ca="1">IFERROR(AVERAGEIFS(INDIRECT("Tabela1["&amp;$B72&amp;"]"),Tabela1[Turno],$D72,Tabela1[Data Corrigida],AH$3)/32,"")</f>
        <v/>
      </c>
      <c r="AI72" s="34" t="str">
        <f ca="1">IFERROR(AVERAGEIFS(INDIRECT("Tabela1["&amp;$B72&amp;"]"),Tabela1[Turno],$D72,Tabela1[Data Corrigida],AI$3)/32,"")</f>
        <v/>
      </c>
      <c r="AJ72" s="34" t="str">
        <f ca="1">IFERROR(AVERAGEIFS(INDIRECT("Tabela1["&amp;$B72&amp;"]"),Tabela1[Turno],$D72,Tabela1[Data Corrigida],AJ$3)/32,"")</f>
        <v/>
      </c>
      <c r="AK72" s="34" t="str">
        <f ca="1">IFERROR(AVERAGEIFS(INDIRECT("Tabela1["&amp;$B72&amp;"]"),Tabela1[Turno],$D72,Tabela1[Data Corrigida],AK$3)/32,"")</f>
        <v/>
      </c>
      <c r="AL72" s="34" t="str">
        <f ca="1">IFERROR(AVERAGEIFS(INDIRECT("Tabela1["&amp;$B72&amp;"]"),Tabela1[Turno],$D72,Tabela1[Data Corrigida],AL$3)/32,"")</f>
        <v/>
      </c>
      <c r="AM72" s="34" t="str">
        <f ca="1">IFERROR(AVERAGEIFS(INDIRECT("Tabela1["&amp;$B72&amp;"]"),Tabela1[Turno],$D72,Tabela1[Data Corrigida],AM$3)/32,"")</f>
        <v/>
      </c>
    </row>
    <row r="73" spans="1:39" ht="15" customHeight="1" x14ac:dyDescent="0.3">
      <c r="A73" s="50" t="str">
        <f>VLOOKUP(Tabela2[[#This Row],[Item 1]],Apoio!$A$2:$B$41,2,0)</f>
        <v>Míudos</v>
      </c>
      <c r="B73" s="9" t="str">
        <f t="shared" si="3"/>
        <v>Palma com Fratura interna</v>
      </c>
      <c r="C73" s="59"/>
      <c r="D73" s="27" t="s">
        <v>33</v>
      </c>
      <c r="E73" s="36">
        <f ca="1">IFERROR(AVERAGEIFS(INDIRECT("Tabela1["&amp;$B73&amp;"]"),Tabela1[Turno],$D73,Tabela1[Mês],E$3)/32,"")</f>
        <v>0.125</v>
      </c>
      <c r="F73" s="36">
        <f ca="1">IFERROR(AVERAGEIFS(INDIRECT("Tabela1["&amp;$B73&amp;"]"),Tabela1[Turno],$D73,Tabela1[Mês],F$3)/32,"")</f>
        <v>1.5625E-2</v>
      </c>
      <c r="G73" s="36">
        <f ca="1">IFERROR(AVERAGEIFS(INDIRECT("Tabela1["&amp;$B73&amp;"]"),Tabela1[Turno],$D73,Tabela1[Mês],G$3)/32,"")</f>
        <v>2.2187499999999999E-2</v>
      </c>
      <c r="H73" s="36" t="str">
        <f ca="1">IFERROR(AVERAGEIFS(INDIRECT("Tabela1["&amp;$B73&amp;"]"),Tabela1[Turno],$D73,Tabela1[Mês],H$3)/32,"")</f>
        <v/>
      </c>
      <c r="I73" s="36">
        <f ca="1">IFERROR(AVERAGEIFS(INDIRECT("Tabela1["&amp;$B73&amp;"]"),Tabela1[Turno],$D73,Tabela1[Mês],I$3)/32,"")</f>
        <v>5.6250000000000001E-2</v>
      </c>
      <c r="J73" s="36">
        <f ca="1">IFERROR(AVERAGEIFS(INDIRECT("Tabela1["&amp;$B73&amp;"]"),Tabela1[Turno],$D73,Tabela1[Mês],J$3)/32,"")</f>
        <v>4.2500000000000003E-2</v>
      </c>
      <c r="K73" s="36">
        <f ca="1">IFERROR(AVERAGEIFS(INDIRECT("Tabela1["&amp;$B73&amp;"]"),Tabela1[Turno],$D73,Tabela1[Mês],K$3)/32,"")</f>
        <v>0</v>
      </c>
      <c r="L73" s="36">
        <f ca="1">IFERROR(AVERAGEIFS(INDIRECT("Tabela1["&amp;$B73&amp;"]"),Tabela1[Turno],$D73,Tabela1[Mês],L$3)/32,"")</f>
        <v>0</v>
      </c>
      <c r="M73" s="36">
        <f ca="1">IFERROR(AVERAGEIFS(INDIRECT("Tabela1["&amp;$B73&amp;"]"),Tabela1[Turno],$D73,Tabela1[Mês],M$3)/32,"")</f>
        <v>0</v>
      </c>
      <c r="N73" s="36">
        <f ca="1">IFERROR(AVERAGEIFS(INDIRECT("Tabela1["&amp;$B73&amp;"]"),Tabela1[Turno],$D73,Tabela1[Mês],N$3)/32,"")</f>
        <v>0</v>
      </c>
      <c r="O73" s="36" t="str">
        <f ca="1">IFERROR(AVERAGEIFS(INDIRECT("Tabela1["&amp;$B73&amp;"]"),Tabela1[Turno],$D73,Tabela1[Mês],O$3)/32,"")</f>
        <v/>
      </c>
      <c r="P73" s="41" t="str">
        <f ca="1">IFERROR(AVERAGEIFS(INDIRECT("Tabela1["&amp;$B73&amp;"]"),Tabela1[Turno],$D73,Tabela1[Mês],P$3)/32,"")</f>
        <v/>
      </c>
      <c r="Q73" s="62"/>
      <c r="R73" s="35">
        <f ca="1">IFERROR(AVERAGEIFS(INDIRECT("Tabela1["&amp;$B73&amp;"]"),Tabela1[Turno],$D73,Tabela1[Data Corrigida],R$3)/32,"")</f>
        <v>0</v>
      </c>
      <c r="S73" s="36">
        <f ca="1">IFERROR(AVERAGEIFS(INDIRECT("Tabela1["&amp;$B73&amp;"]"),Tabela1[Turno],$D73,Tabela1[Data Corrigida],S$3)/32,"")</f>
        <v>0</v>
      </c>
      <c r="T73" s="36">
        <f ca="1">IFERROR(AVERAGEIFS(INDIRECT("Tabela1["&amp;$B73&amp;"]"),Tabela1[Turno],$D73,Tabela1[Data Corrigida],T$3)/32,"")</f>
        <v>0</v>
      </c>
      <c r="U73" s="36">
        <f ca="1">IFERROR(AVERAGEIFS(INDIRECT("Tabela1["&amp;$B73&amp;"]"),Tabela1[Turno],$D73,Tabela1[Data Corrigida],U$3)/32,"")</f>
        <v>0</v>
      </c>
      <c r="V73" s="36">
        <f ca="1">IFERROR(AVERAGEIFS(INDIRECT("Tabela1["&amp;$B73&amp;"]"),Tabela1[Turno],$D73,Tabela1[Data Corrigida],V$3)/32,"")</f>
        <v>0</v>
      </c>
      <c r="W73" s="36">
        <f ca="1">IFERROR(AVERAGEIFS(INDIRECT("Tabela1["&amp;$B73&amp;"]"),Tabela1[Turno],$D73,Tabela1[Data Corrigida],W$3)/32,"")</f>
        <v>0</v>
      </c>
      <c r="X73" s="36">
        <f ca="1">IFERROR(AVERAGEIFS(INDIRECT("Tabela1["&amp;$B73&amp;"]"),Tabela1[Turno],$D73,Tabela1[Data Corrigida],X$3)/32,"")</f>
        <v>0</v>
      </c>
      <c r="Y73" s="36" t="str">
        <f ca="1">IFERROR(AVERAGEIFS(INDIRECT("Tabela1["&amp;$B73&amp;"]"),Tabela1[Turno],$D73,Tabela1[Data Corrigida],Y$3)/32,"")</f>
        <v/>
      </c>
      <c r="Z73" s="36" t="str">
        <f ca="1">IFERROR(AVERAGEIFS(INDIRECT("Tabela1["&amp;$B73&amp;"]"),Tabela1[Turno],$D73,Tabela1[Data Corrigida],Z$3)/32,"")</f>
        <v/>
      </c>
      <c r="AA73" s="36" t="str">
        <f ca="1">IFERROR(AVERAGEIFS(INDIRECT("Tabela1["&amp;$B73&amp;"]"),Tabela1[Turno],$D73,Tabela1[Data Corrigida],AA$3)/32,"")</f>
        <v/>
      </c>
      <c r="AB73" s="36" t="str">
        <f ca="1">IFERROR(AVERAGEIFS(INDIRECT("Tabela1["&amp;$B73&amp;"]"),Tabela1[Turno],$D73,Tabela1[Data Corrigida],AB$3)/32,"")</f>
        <v/>
      </c>
      <c r="AC73" s="36" t="str">
        <f ca="1">IFERROR(AVERAGEIFS(INDIRECT("Tabela1["&amp;$B73&amp;"]"),Tabela1[Turno],$D73,Tabela1[Data Corrigida],AC$3)/32,"")</f>
        <v/>
      </c>
      <c r="AD73" s="36" t="str">
        <f ca="1">IFERROR(AVERAGEIFS(INDIRECT("Tabela1["&amp;$B73&amp;"]"),Tabela1[Turno],$D73,Tabela1[Data Corrigida],AD$3)/32,"")</f>
        <v/>
      </c>
      <c r="AE73" s="36" t="str">
        <f ca="1">IFERROR(AVERAGEIFS(INDIRECT("Tabela1["&amp;$B73&amp;"]"),Tabela1[Turno],$D73,Tabela1[Data Corrigida],AE$3)/32,"")</f>
        <v/>
      </c>
      <c r="AF73" s="36" t="str">
        <f ca="1">IFERROR(AVERAGEIFS(INDIRECT("Tabela1["&amp;$B73&amp;"]"),Tabela1[Turno],$D73,Tabela1[Data Corrigida],AF$3)/32,"")</f>
        <v/>
      </c>
      <c r="AG73" s="36" t="str">
        <f ca="1">IFERROR(AVERAGEIFS(INDIRECT("Tabela1["&amp;$B73&amp;"]"),Tabela1[Turno],$D73,Tabela1[Data Corrigida],AG$3)/32,"")</f>
        <v/>
      </c>
      <c r="AH73" s="36" t="str">
        <f ca="1">IFERROR(AVERAGEIFS(INDIRECT("Tabela1["&amp;$B73&amp;"]"),Tabela1[Turno],$D73,Tabela1[Data Corrigida],AH$3)/32,"")</f>
        <v/>
      </c>
      <c r="AI73" s="36" t="str">
        <f ca="1">IFERROR(AVERAGEIFS(INDIRECT("Tabela1["&amp;$B73&amp;"]"),Tabela1[Turno],$D73,Tabela1[Data Corrigida],AI$3)/32,"")</f>
        <v/>
      </c>
      <c r="AJ73" s="36" t="str">
        <f ca="1">IFERROR(AVERAGEIFS(INDIRECT("Tabela1["&amp;$B73&amp;"]"),Tabela1[Turno],$D73,Tabela1[Data Corrigida],AJ$3)/32,"")</f>
        <v/>
      </c>
      <c r="AK73" s="36" t="str">
        <f ca="1">IFERROR(AVERAGEIFS(INDIRECT("Tabela1["&amp;$B73&amp;"]"),Tabela1[Turno],$D73,Tabela1[Data Corrigida],AK$3)/32,"")</f>
        <v/>
      </c>
      <c r="AL73" s="36" t="str">
        <f ca="1">IFERROR(AVERAGEIFS(INDIRECT("Tabela1["&amp;$B73&amp;"]"),Tabela1[Turno],$D73,Tabela1[Data Corrigida],AL$3)/32,"")</f>
        <v/>
      </c>
      <c r="AM73" s="36" t="str">
        <f ca="1">IFERROR(AVERAGEIFS(INDIRECT("Tabela1["&amp;$B73&amp;"]"),Tabela1[Turno],$D73,Tabela1[Data Corrigida],AM$3)/32,"")</f>
        <v/>
      </c>
    </row>
    <row r="74" spans="1:39" ht="15" customHeight="1" thickBot="1" x14ac:dyDescent="0.35">
      <c r="A74" s="50" t="str">
        <f>VLOOKUP(Tabela2[[#This Row],[Item 1]],Apoio!$A$2:$B$41,2,0)</f>
        <v>Míudos</v>
      </c>
      <c r="B74" s="9" t="str">
        <f t="shared" si="3"/>
        <v>Palma com Fratura interna</v>
      </c>
      <c r="C74" s="60"/>
      <c r="D74" s="28" t="s">
        <v>5</v>
      </c>
      <c r="E74" s="45">
        <f ca="1">IFERROR(AVERAGEIFS(INDIRECT("Tabela1["&amp;$B74&amp;"]"),Tabela1[Mês],E$3)/32,"")</f>
        <v>0.135625</v>
      </c>
      <c r="F74" s="45">
        <f ca="1">IFERROR(AVERAGEIFS(INDIRECT("Tabela1["&amp;$B74&amp;"]"),Tabela1[Mês],F$3)/32,"")</f>
        <v>6.7031250000000001E-2</v>
      </c>
      <c r="G74" s="45">
        <f ca="1">IFERROR(AVERAGEIFS(INDIRECT("Tabela1["&amp;$B74&amp;"]"),Tabela1[Mês],G$3)/32,"")</f>
        <v>9.5468750000000005E-2</v>
      </c>
      <c r="H74" s="45">
        <f ca="1">IFERROR(AVERAGEIFS(INDIRECT("Tabela1["&amp;$B74&amp;"]"),Tabela1[Mês],H$3)/32,"")</f>
        <v>0.34281250000000002</v>
      </c>
      <c r="I74" s="45">
        <f ca="1">IFERROR(AVERAGEIFS(INDIRECT("Tabela1["&amp;$B74&amp;"]"),Tabela1[Mês],I$3)/32,"")</f>
        <v>0.1615625</v>
      </c>
      <c r="J74" s="45">
        <f ca="1">IFERROR(AVERAGEIFS(INDIRECT("Tabela1["&amp;$B74&amp;"]"),Tabela1[Mês],J$3)/32,"")</f>
        <v>0.1521875</v>
      </c>
      <c r="K74" s="45">
        <f ca="1">IFERROR(AVERAGEIFS(INDIRECT("Tabela1["&amp;$B74&amp;"]"),Tabela1[Mês],K$3)/32,"")</f>
        <v>1.8382352941176471E-2</v>
      </c>
      <c r="L74" s="45">
        <f ca="1">IFERROR(AVERAGEIFS(INDIRECT("Tabela1["&amp;$B74&amp;"]"),Tabela1[Mês],L$3)/32,"")</f>
        <v>1.3569078947368422E-2</v>
      </c>
      <c r="M74" s="45">
        <f ca="1">IFERROR(AVERAGEIFS(INDIRECT("Tabela1["&amp;$B74&amp;"]"),Tabela1[Mês],M$3)/32,"")</f>
        <v>1.2965425531914893E-2</v>
      </c>
      <c r="N74" s="45">
        <f ca="1">IFERROR(AVERAGEIFS(INDIRECT("Tabela1["&amp;$B74&amp;"]"),Tabela1[Mês],N$3)/32,"")</f>
        <v>1.6964285714285713E-2</v>
      </c>
      <c r="O74" s="45" t="str">
        <f ca="1">IFERROR(AVERAGEIFS(INDIRECT("Tabela1["&amp;$B74&amp;"]"),Tabela1[Mês],O$3)/32,"")</f>
        <v/>
      </c>
      <c r="P74" s="46" t="str">
        <f ca="1">IFERROR(AVERAGEIFS(INDIRECT("Tabela1["&amp;$B74&amp;"]"),Tabela1[Mês],P$3)/32,"")</f>
        <v/>
      </c>
      <c r="Q74" s="63"/>
      <c r="R74" s="37">
        <f ca="1">IFERROR(AVERAGEIFS(INDIRECT("Tabela1["&amp;$B74&amp;"]"),Tabela1[Data Corrigida],R$3)/32,"")</f>
        <v>2.0833333333333332E-2</v>
      </c>
      <c r="S74" s="38">
        <f ca="1">IFERROR(AVERAGEIFS(INDIRECT("Tabela1["&amp;$B74&amp;"]"),Tabela1[Data Corrigida],S$3)/32,"")</f>
        <v>1.2500000000000001E-2</v>
      </c>
      <c r="T74" s="38">
        <f ca="1">IFERROR(AVERAGEIFS(INDIRECT("Tabela1["&amp;$B74&amp;"]"),Tabela1[Data Corrigida],T$3)/32,"")</f>
        <v>0</v>
      </c>
      <c r="U74" s="38">
        <f ca="1">IFERROR(AVERAGEIFS(INDIRECT("Tabela1["&amp;$B74&amp;"]"),Tabela1[Data Corrigida],U$3)/32,"")</f>
        <v>1.8749999999999999E-2</v>
      </c>
      <c r="V74" s="38">
        <f ca="1">IFERROR(AVERAGEIFS(INDIRECT("Tabela1["&amp;$B74&amp;"]"),Tabela1[Data Corrigida],V$3)/32,"")</f>
        <v>1.5625E-2</v>
      </c>
      <c r="W74" s="38">
        <f ca="1">IFERROR(AVERAGEIFS(INDIRECT("Tabela1["&amp;$B74&amp;"]"),Tabela1[Data Corrigida],W$3)/32,"")</f>
        <v>2.0833333333333332E-2</v>
      </c>
      <c r="X74" s="38">
        <f ca="1">IFERROR(AVERAGEIFS(INDIRECT("Tabela1["&amp;$B74&amp;"]"),Tabela1[Data Corrigida],X$3)/32,"")</f>
        <v>1.2500000000000001E-2</v>
      </c>
      <c r="Y74" s="38">
        <f ca="1">IFERROR(AVERAGEIFS(INDIRECT("Tabela1["&amp;$B74&amp;"]"),Tabela1[Data Corrigida],Y$3)/32,"")</f>
        <v>6.25E-2</v>
      </c>
      <c r="Z74" s="38" t="str">
        <f ca="1">IFERROR(AVERAGEIFS(INDIRECT("Tabela1["&amp;$B74&amp;"]"),Tabela1[Data Corrigida],Z$3)/32,"")</f>
        <v/>
      </c>
      <c r="AA74" s="38" t="str">
        <f ca="1">IFERROR(AVERAGEIFS(INDIRECT("Tabela1["&amp;$B74&amp;"]"),Tabela1[Data Corrigida],AA$3)/32,"")</f>
        <v/>
      </c>
      <c r="AB74" s="38" t="str">
        <f ca="1">IFERROR(AVERAGEIFS(INDIRECT("Tabela1["&amp;$B74&amp;"]"),Tabela1[Data Corrigida],AB$3)/32,"")</f>
        <v/>
      </c>
      <c r="AC74" s="38" t="str">
        <f ca="1">IFERROR(AVERAGEIFS(INDIRECT("Tabela1["&amp;$B74&amp;"]"),Tabela1[Data Corrigida],AC$3)/32,"")</f>
        <v/>
      </c>
      <c r="AD74" s="38" t="str">
        <f ca="1">IFERROR(AVERAGEIFS(INDIRECT("Tabela1["&amp;$B74&amp;"]"),Tabela1[Data Corrigida],AD$3)/32,"")</f>
        <v/>
      </c>
      <c r="AE74" s="38" t="str">
        <f ca="1">IFERROR(AVERAGEIFS(INDIRECT("Tabela1["&amp;$B74&amp;"]"),Tabela1[Data Corrigida],AE$3)/32,"")</f>
        <v/>
      </c>
      <c r="AF74" s="38" t="str">
        <f ca="1">IFERROR(AVERAGEIFS(INDIRECT("Tabela1["&amp;$B74&amp;"]"),Tabela1[Data Corrigida],AF$3)/32,"")</f>
        <v/>
      </c>
      <c r="AG74" s="38" t="str">
        <f ca="1">IFERROR(AVERAGEIFS(INDIRECT("Tabela1["&amp;$B74&amp;"]"),Tabela1[Data Corrigida],AG$3)/32,"")</f>
        <v/>
      </c>
      <c r="AH74" s="38" t="str">
        <f ca="1">IFERROR(AVERAGEIFS(INDIRECT("Tabela1["&amp;$B74&amp;"]"),Tabela1[Data Corrigida],AH$3)/32,"")</f>
        <v/>
      </c>
      <c r="AI74" s="38" t="str">
        <f ca="1">IFERROR(AVERAGEIFS(INDIRECT("Tabela1["&amp;$B74&amp;"]"),Tabela1[Data Corrigida],AI$3)/32,"")</f>
        <v/>
      </c>
      <c r="AJ74" s="38" t="str">
        <f ca="1">IFERROR(AVERAGEIFS(INDIRECT("Tabela1["&amp;$B74&amp;"]"),Tabela1[Data Corrigida],AJ$3)/32,"")</f>
        <v/>
      </c>
      <c r="AK74" s="38" t="str">
        <f ca="1">IFERROR(AVERAGEIFS(INDIRECT("Tabela1["&amp;$B74&amp;"]"),Tabela1[Data Corrigida],AK$3)/32,"")</f>
        <v/>
      </c>
      <c r="AL74" s="38" t="str">
        <f ca="1">IFERROR(AVERAGEIFS(INDIRECT("Tabela1["&amp;$B74&amp;"]"),Tabela1[Data Corrigida],AL$3)/32,"")</f>
        <v/>
      </c>
      <c r="AM74" s="38" t="str">
        <f ca="1">IFERROR(AVERAGEIFS(INDIRECT("Tabela1["&amp;$B74&amp;"]"),Tabela1[Data Corrigida],AM$3)/32,"")</f>
        <v/>
      </c>
    </row>
    <row r="75" spans="1:39" s="20" customFormat="1" ht="15" customHeight="1" thickTop="1" x14ac:dyDescent="0.3">
      <c r="A75" s="50" t="str">
        <f>VLOOKUP(Tabela2[[#This Row],[Item 1]],Apoio!$A$2:$B$41,2,0)</f>
        <v>Eviscer</v>
      </c>
      <c r="B75" s="22" t="str">
        <f t="shared" si="3"/>
        <v>Carcaças quebradas após papo - traquéia</v>
      </c>
      <c r="C75" s="58" t="str">
        <f>'BD - 022 Evisceração'!BH1</f>
        <v>Carcaças quebradas após papo - traquéia</v>
      </c>
      <c r="D75" s="26" t="s">
        <v>21</v>
      </c>
      <c r="E75" s="34" t="str">
        <f ca="1">IFERROR(AVERAGEIFS(INDIRECT("Tabela1["&amp;$B75&amp;"]"),Tabela1[Turno],$D75,Tabela1[Mês],E$3)/32,"")</f>
        <v/>
      </c>
      <c r="F75" s="34" t="str">
        <f ca="1">IFERROR(AVERAGEIFS(INDIRECT("Tabela1["&amp;$B75&amp;"]"),Tabela1[Turno],$D75,Tabela1[Mês],F$3)/32,"")</f>
        <v/>
      </c>
      <c r="G75" s="34" t="str">
        <f ca="1">IFERROR(AVERAGEIFS(INDIRECT("Tabela1["&amp;$B75&amp;"]"),Tabela1[Turno],$D75,Tabela1[Mês],G$3)/32,"")</f>
        <v/>
      </c>
      <c r="H75" s="34" t="str">
        <f ca="1">IFERROR(AVERAGEIFS(INDIRECT("Tabela1["&amp;$B75&amp;"]"),Tabela1[Turno],$D75,Tabela1[Mês],H$3)/32,"")</f>
        <v/>
      </c>
      <c r="I75" s="34" t="str">
        <f ca="1">IFERROR(AVERAGEIFS(INDIRECT("Tabela1["&amp;$B75&amp;"]"),Tabela1[Turno],$D75,Tabela1[Mês],I$3)/32,"")</f>
        <v/>
      </c>
      <c r="J75" s="34" t="str">
        <f ca="1">IFERROR(AVERAGEIFS(INDIRECT("Tabela1["&amp;$B75&amp;"]"),Tabela1[Turno],$D75,Tabela1[Mês],J$3)/32,"")</f>
        <v/>
      </c>
      <c r="K75" s="34">
        <f ca="1">IFERROR(AVERAGEIFS(INDIRECT("Tabela1["&amp;$B75&amp;"]"),Tabela1[Turno],$D75,Tabela1[Mês],K$3)/32,"")</f>
        <v>5.8333333333333334E-2</v>
      </c>
      <c r="L75" s="34">
        <f ca="1">IFERROR(AVERAGEIFS(INDIRECT("Tabela1["&amp;$B75&amp;"]"),Tabela1[Turno],$D75,Tabela1[Mês],L$3)/32,"")</f>
        <v>2.8169014084507043E-2</v>
      </c>
      <c r="M75" s="34">
        <f ca="1">IFERROR(AVERAGEIFS(INDIRECT("Tabela1["&amp;$B75&amp;"]"),Tabela1[Turno],$D75,Tabela1[Mês],M$3)/32,"")</f>
        <v>2.8201219512195123E-2</v>
      </c>
      <c r="N75" s="34">
        <f ca="1">IFERROR(AVERAGEIFS(INDIRECT("Tabela1["&amp;$B75&amp;"]"),Tabela1[Turno],$D75,Tabela1[Mês],N$3)/32,"")</f>
        <v>3.017241379310345E-2</v>
      </c>
      <c r="O75" s="34" t="str">
        <f ca="1">IFERROR(AVERAGEIFS(INDIRECT("Tabela1["&amp;$B75&amp;"]"),Tabela1[Turno],$D75,Tabela1[Mês],O$3)/32,"")</f>
        <v/>
      </c>
      <c r="P75" s="44" t="str">
        <f ca="1">IFERROR(AVERAGEIFS(INDIRECT("Tabela1["&amp;$B75&amp;"]"),Tabela1[Turno],$D75,Tabela1[Mês],P$3)/32,"")</f>
        <v/>
      </c>
      <c r="Q75" s="61">
        <v>0.01</v>
      </c>
      <c r="R75" s="33">
        <f ca="1">IFERROR(AVERAGEIFS(INDIRECT("Tabela1["&amp;$B75&amp;"]"),Tabela1[Turno],$D75,Tabela1[Data Corrigida],R$3)/32,"")</f>
        <v>3.125E-2</v>
      </c>
      <c r="S75" s="34">
        <f ca="1">IFERROR(AVERAGEIFS(INDIRECT("Tabela1["&amp;$B75&amp;"]"),Tabela1[Turno],$D75,Tabela1[Data Corrigida],S$3)/32,"")</f>
        <v>3.125E-2</v>
      </c>
      <c r="T75" s="34">
        <f ca="1">IFERROR(AVERAGEIFS(INDIRECT("Tabela1["&amp;$B75&amp;"]"),Tabela1[Turno],$D75,Tabela1[Data Corrigida],T$3)/32,"")</f>
        <v>0</v>
      </c>
      <c r="U75" s="34">
        <f ca="1">IFERROR(AVERAGEIFS(INDIRECT("Tabela1["&amp;$B75&amp;"]"),Tabela1[Turno],$D75,Tabela1[Data Corrigida],U$3)/32,"")</f>
        <v>2.34375E-2</v>
      </c>
      <c r="V75" s="34">
        <f ca="1">IFERROR(AVERAGEIFS(INDIRECT("Tabela1["&amp;$B75&amp;"]"),Tabela1[Turno],$D75,Tabela1[Data Corrigida],V$3)/32,"")</f>
        <v>3.125E-2</v>
      </c>
      <c r="W75" s="34">
        <f ca="1">IFERROR(AVERAGEIFS(INDIRECT("Tabela1["&amp;$B75&amp;"]"),Tabela1[Turno],$D75,Tabela1[Data Corrigida],W$3)/32,"")</f>
        <v>3.90625E-2</v>
      </c>
      <c r="X75" s="34">
        <f ca="1">IFERROR(AVERAGEIFS(INDIRECT("Tabela1["&amp;$B75&amp;"]"),Tabela1[Turno],$D75,Tabela1[Data Corrigida],X$3)/32,"")</f>
        <v>3.125E-2</v>
      </c>
      <c r="Y75" s="34">
        <f ca="1">IFERROR(AVERAGEIFS(INDIRECT("Tabela1["&amp;$B75&amp;"]"),Tabela1[Turno],$D75,Tabela1[Data Corrigida],Y$3)/32,"")</f>
        <v>3.125E-2</v>
      </c>
      <c r="Z75" s="34" t="str">
        <f ca="1">IFERROR(AVERAGEIFS(INDIRECT("Tabela1["&amp;$B75&amp;"]"),Tabela1[Turno],$D75,Tabela1[Data Corrigida],Z$3)/32,"")</f>
        <v/>
      </c>
      <c r="AA75" s="34" t="str">
        <f ca="1">IFERROR(AVERAGEIFS(INDIRECT("Tabela1["&amp;$B75&amp;"]"),Tabela1[Turno],$D75,Tabela1[Data Corrigida],AA$3)/32,"")</f>
        <v/>
      </c>
      <c r="AB75" s="34" t="str">
        <f ca="1">IFERROR(AVERAGEIFS(INDIRECT("Tabela1["&amp;$B75&amp;"]"),Tabela1[Turno],$D75,Tabela1[Data Corrigida],AB$3)/32,"")</f>
        <v/>
      </c>
      <c r="AC75" s="34" t="str">
        <f ca="1">IFERROR(AVERAGEIFS(INDIRECT("Tabela1["&amp;$B75&amp;"]"),Tabela1[Turno],$D75,Tabela1[Data Corrigida],AC$3)/32,"")</f>
        <v/>
      </c>
      <c r="AD75" s="34" t="str">
        <f ca="1">IFERROR(AVERAGEIFS(INDIRECT("Tabela1["&amp;$B75&amp;"]"),Tabela1[Turno],$D75,Tabela1[Data Corrigida],AD$3)/32,"")</f>
        <v/>
      </c>
      <c r="AE75" s="34" t="str">
        <f ca="1">IFERROR(AVERAGEIFS(INDIRECT("Tabela1["&amp;$B75&amp;"]"),Tabela1[Turno],$D75,Tabela1[Data Corrigida],AE$3)/32,"")</f>
        <v/>
      </c>
      <c r="AF75" s="34" t="str">
        <f ca="1">IFERROR(AVERAGEIFS(INDIRECT("Tabela1["&amp;$B75&amp;"]"),Tabela1[Turno],$D75,Tabela1[Data Corrigida],AF$3)/32,"")</f>
        <v/>
      </c>
      <c r="AG75" s="34" t="str">
        <f ca="1">IFERROR(AVERAGEIFS(INDIRECT("Tabela1["&amp;$B75&amp;"]"),Tabela1[Turno],$D75,Tabela1[Data Corrigida],AG$3)/32,"")</f>
        <v/>
      </c>
      <c r="AH75" s="34" t="str">
        <f ca="1">IFERROR(AVERAGEIFS(INDIRECT("Tabela1["&amp;$B75&amp;"]"),Tabela1[Turno],$D75,Tabela1[Data Corrigida],AH$3)/32,"")</f>
        <v/>
      </c>
      <c r="AI75" s="34" t="str">
        <f ca="1">IFERROR(AVERAGEIFS(INDIRECT("Tabela1["&amp;$B75&amp;"]"),Tabela1[Turno],$D75,Tabela1[Data Corrigida],AI$3)/32,"")</f>
        <v/>
      </c>
      <c r="AJ75" s="34" t="str">
        <f ca="1">IFERROR(AVERAGEIFS(INDIRECT("Tabela1["&amp;$B75&amp;"]"),Tabela1[Turno],$D75,Tabela1[Data Corrigida],AJ$3)/32,"")</f>
        <v/>
      </c>
      <c r="AK75" s="34" t="str">
        <f ca="1">IFERROR(AVERAGEIFS(INDIRECT("Tabela1["&amp;$B75&amp;"]"),Tabela1[Turno],$D75,Tabela1[Data Corrigida],AK$3)/32,"")</f>
        <v/>
      </c>
      <c r="AL75" s="34" t="str">
        <f ca="1">IFERROR(AVERAGEIFS(INDIRECT("Tabela1["&amp;$B75&amp;"]"),Tabela1[Turno],$D75,Tabela1[Data Corrigida],AL$3)/32,"")</f>
        <v/>
      </c>
      <c r="AM75" s="34" t="str">
        <f ca="1">IFERROR(AVERAGEIFS(INDIRECT("Tabela1["&amp;$B75&amp;"]"),Tabela1[Turno],$D75,Tabela1[Data Corrigida],AM$3)/32,"")</f>
        <v/>
      </c>
    </row>
    <row r="76" spans="1:39" s="20" customFormat="1" ht="15" customHeight="1" x14ac:dyDescent="0.3">
      <c r="A76" s="50" t="str">
        <f>VLOOKUP(Tabela2[[#This Row],[Item 1]],Apoio!$A$2:$B$41,2,0)</f>
        <v>Eviscer</v>
      </c>
      <c r="B76" s="22" t="str">
        <f t="shared" si="3"/>
        <v>Carcaças quebradas após papo - traquéia</v>
      </c>
      <c r="C76" s="59"/>
      <c r="D76" s="27" t="s">
        <v>33</v>
      </c>
      <c r="E76" s="36" t="str">
        <f ca="1">IFERROR(AVERAGEIFS(INDIRECT("Tabela1["&amp;$B76&amp;"]"),Tabela1[Turno],$D76,Tabela1[Mês],E$3)/32,"")</f>
        <v/>
      </c>
      <c r="F76" s="36" t="str">
        <f ca="1">IFERROR(AVERAGEIFS(INDIRECT("Tabela1["&amp;$B76&amp;"]"),Tabela1[Turno],$D76,Tabela1[Mês],F$3)/32,"")</f>
        <v/>
      </c>
      <c r="G76" s="36" t="str">
        <f ca="1">IFERROR(AVERAGEIFS(INDIRECT("Tabela1["&amp;$B76&amp;"]"),Tabela1[Turno],$D76,Tabela1[Mês],G$3)/32,"")</f>
        <v/>
      </c>
      <c r="H76" s="36" t="str">
        <f ca="1">IFERROR(AVERAGEIFS(INDIRECT("Tabela1["&amp;$B76&amp;"]"),Tabela1[Turno],$D76,Tabela1[Mês],H$3)/32,"")</f>
        <v/>
      </c>
      <c r="I76" s="36" t="str">
        <f ca="1">IFERROR(AVERAGEIFS(INDIRECT("Tabela1["&amp;$B76&amp;"]"),Tabela1[Turno],$D76,Tabela1[Mês],I$3)/32,"")</f>
        <v/>
      </c>
      <c r="J76" s="36" t="str">
        <f ca="1">IFERROR(AVERAGEIFS(INDIRECT("Tabela1["&amp;$B76&amp;"]"),Tabela1[Turno],$D76,Tabela1[Mês],J$3)/32,"")</f>
        <v/>
      </c>
      <c r="K76" s="36">
        <f ca="1">IFERROR(AVERAGEIFS(INDIRECT("Tabela1["&amp;$B76&amp;"]"),Tabela1[Turno],$D76,Tabela1[Mês],K$3)/32,"")</f>
        <v>1.6826923076923076E-2</v>
      </c>
      <c r="L76" s="36">
        <f ca="1">IFERROR(AVERAGEIFS(INDIRECT("Tabela1["&amp;$B76&amp;"]"),Tabela1[Turno],$D76,Tabela1[Mês],L$3)/32,"")</f>
        <v>1.6163793103448276E-3</v>
      </c>
      <c r="M76" s="36">
        <f ca="1">IFERROR(AVERAGEIFS(INDIRECT("Tabela1["&amp;$B76&amp;"]"),Tabela1[Turno],$D76,Tabela1[Mês],M$3)/32,"")</f>
        <v>0</v>
      </c>
      <c r="N76" s="36">
        <f ca="1">IFERROR(AVERAGEIFS(INDIRECT("Tabela1["&amp;$B76&amp;"]"),Tabela1[Turno],$D76,Tabela1[Mês],N$3)/32,"")</f>
        <v>1.488095238095238E-3</v>
      </c>
      <c r="O76" s="36" t="str">
        <f ca="1">IFERROR(AVERAGEIFS(INDIRECT("Tabela1["&amp;$B76&amp;"]"),Tabela1[Turno],$D76,Tabela1[Mês],O$3)/32,"")</f>
        <v/>
      </c>
      <c r="P76" s="41" t="str">
        <f ca="1">IFERROR(AVERAGEIFS(INDIRECT("Tabela1["&amp;$B76&amp;"]"),Tabela1[Turno],$D76,Tabela1[Mês],P$3)/32,"")</f>
        <v/>
      </c>
      <c r="Q76" s="62"/>
      <c r="R76" s="35">
        <f ca="1">IFERROR(AVERAGEIFS(INDIRECT("Tabela1["&amp;$B76&amp;"]"),Tabela1[Turno],$D76,Tabela1[Data Corrigida],R$3)/32,"")</f>
        <v>0</v>
      </c>
      <c r="S76" s="36">
        <f ca="1">IFERROR(AVERAGEIFS(INDIRECT("Tabela1["&amp;$B76&amp;"]"),Tabela1[Turno],$D76,Tabela1[Data Corrigida],S$3)/32,"")</f>
        <v>0</v>
      </c>
      <c r="T76" s="36">
        <f ca="1">IFERROR(AVERAGEIFS(INDIRECT("Tabela1["&amp;$B76&amp;"]"),Tabela1[Turno],$D76,Tabela1[Data Corrigida],T$3)/32,"")</f>
        <v>0</v>
      </c>
      <c r="U76" s="36">
        <f ca="1">IFERROR(AVERAGEIFS(INDIRECT("Tabela1["&amp;$B76&amp;"]"),Tabela1[Turno],$D76,Tabela1[Data Corrigida],U$3)/32,"")</f>
        <v>0</v>
      </c>
      <c r="V76" s="36">
        <f ca="1">IFERROR(AVERAGEIFS(INDIRECT("Tabela1["&amp;$B76&amp;"]"),Tabela1[Turno],$D76,Tabela1[Data Corrigida],V$3)/32,"")</f>
        <v>0</v>
      </c>
      <c r="W76" s="36">
        <f ca="1">IFERROR(AVERAGEIFS(INDIRECT("Tabela1["&amp;$B76&amp;"]"),Tabela1[Turno],$D76,Tabela1[Data Corrigida],W$3)/32,"")</f>
        <v>1.0416666666666666E-2</v>
      </c>
      <c r="X76" s="36">
        <f ca="1">IFERROR(AVERAGEIFS(INDIRECT("Tabela1["&amp;$B76&amp;"]"),Tabela1[Turno],$D76,Tabela1[Data Corrigida],X$3)/32,"")</f>
        <v>0</v>
      </c>
      <c r="Y76" s="36" t="str">
        <f ca="1">IFERROR(AVERAGEIFS(INDIRECT("Tabela1["&amp;$B76&amp;"]"),Tabela1[Turno],$D76,Tabela1[Data Corrigida],Y$3)/32,"")</f>
        <v/>
      </c>
      <c r="Z76" s="36" t="str">
        <f ca="1">IFERROR(AVERAGEIFS(INDIRECT("Tabela1["&amp;$B76&amp;"]"),Tabela1[Turno],$D76,Tabela1[Data Corrigida],Z$3)/32,"")</f>
        <v/>
      </c>
      <c r="AA76" s="36" t="str">
        <f ca="1">IFERROR(AVERAGEIFS(INDIRECT("Tabela1["&amp;$B76&amp;"]"),Tabela1[Turno],$D76,Tabela1[Data Corrigida],AA$3)/32,"")</f>
        <v/>
      </c>
      <c r="AB76" s="36" t="str">
        <f ca="1">IFERROR(AVERAGEIFS(INDIRECT("Tabela1["&amp;$B76&amp;"]"),Tabela1[Turno],$D76,Tabela1[Data Corrigida],AB$3)/32,"")</f>
        <v/>
      </c>
      <c r="AC76" s="36" t="str">
        <f ca="1">IFERROR(AVERAGEIFS(INDIRECT("Tabela1["&amp;$B76&amp;"]"),Tabela1[Turno],$D76,Tabela1[Data Corrigida],AC$3)/32,"")</f>
        <v/>
      </c>
      <c r="AD76" s="36" t="str">
        <f ca="1">IFERROR(AVERAGEIFS(INDIRECT("Tabela1["&amp;$B76&amp;"]"),Tabela1[Turno],$D76,Tabela1[Data Corrigida],AD$3)/32,"")</f>
        <v/>
      </c>
      <c r="AE76" s="36" t="str">
        <f ca="1">IFERROR(AVERAGEIFS(INDIRECT("Tabela1["&amp;$B76&amp;"]"),Tabela1[Turno],$D76,Tabela1[Data Corrigida],AE$3)/32,"")</f>
        <v/>
      </c>
      <c r="AF76" s="36" t="str">
        <f ca="1">IFERROR(AVERAGEIFS(INDIRECT("Tabela1["&amp;$B76&amp;"]"),Tabela1[Turno],$D76,Tabela1[Data Corrigida],AF$3)/32,"")</f>
        <v/>
      </c>
      <c r="AG76" s="36" t="str">
        <f ca="1">IFERROR(AVERAGEIFS(INDIRECT("Tabela1["&amp;$B76&amp;"]"),Tabela1[Turno],$D76,Tabela1[Data Corrigida],AG$3)/32,"")</f>
        <v/>
      </c>
      <c r="AH76" s="36" t="str">
        <f ca="1">IFERROR(AVERAGEIFS(INDIRECT("Tabela1["&amp;$B76&amp;"]"),Tabela1[Turno],$D76,Tabela1[Data Corrigida],AH$3)/32,"")</f>
        <v/>
      </c>
      <c r="AI76" s="36" t="str">
        <f ca="1">IFERROR(AVERAGEIFS(INDIRECT("Tabela1["&amp;$B76&amp;"]"),Tabela1[Turno],$D76,Tabela1[Data Corrigida],AI$3)/32,"")</f>
        <v/>
      </c>
      <c r="AJ76" s="36" t="str">
        <f ca="1">IFERROR(AVERAGEIFS(INDIRECT("Tabela1["&amp;$B76&amp;"]"),Tabela1[Turno],$D76,Tabela1[Data Corrigida],AJ$3)/32,"")</f>
        <v/>
      </c>
      <c r="AK76" s="36" t="str">
        <f ca="1">IFERROR(AVERAGEIFS(INDIRECT("Tabela1["&amp;$B76&amp;"]"),Tabela1[Turno],$D76,Tabela1[Data Corrigida],AK$3)/32,"")</f>
        <v/>
      </c>
      <c r="AL76" s="36" t="str">
        <f ca="1">IFERROR(AVERAGEIFS(INDIRECT("Tabela1["&amp;$B76&amp;"]"),Tabela1[Turno],$D76,Tabela1[Data Corrigida],AL$3)/32,"")</f>
        <v/>
      </c>
      <c r="AM76" s="36" t="str">
        <f ca="1">IFERROR(AVERAGEIFS(INDIRECT("Tabela1["&amp;$B76&amp;"]"),Tabela1[Turno],$D76,Tabela1[Data Corrigida],AM$3)/32,"")</f>
        <v/>
      </c>
    </row>
    <row r="77" spans="1:39" s="20" customFormat="1" ht="15" customHeight="1" thickBot="1" x14ac:dyDescent="0.35">
      <c r="A77" s="50" t="str">
        <f>VLOOKUP(Tabela2[[#This Row],[Item 1]],Apoio!$A$2:$B$41,2,0)</f>
        <v>Eviscer</v>
      </c>
      <c r="B77" s="22" t="str">
        <f t="shared" si="3"/>
        <v>Carcaças quebradas após papo - traquéia</v>
      </c>
      <c r="C77" s="60"/>
      <c r="D77" s="28" t="s">
        <v>5</v>
      </c>
      <c r="E77" s="45" t="str">
        <f ca="1">IFERROR(AVERAGEIFS(INDIRECT("Tabela1["&amp;$B77&amp;"]"),Tabela1[Mês],E$3)/32,"")</f>
        <v/>
      </c>
      <c r="F77" s="45" t="str">
        <f ca="1">IFERROR(AVERAGEIFS(INDIRECT("Tabela1["&amp;$B77&amp;"]"),Tabela1[Mês],F$3)/32,"")</f>
        <v/>
      </c>
      <c r="G77" s="45" t="str">
        <f ca="1">IFERROR(AVERAGEIFS(INDIRECT("Tabela1["&amp;$B77&amp;"]"),Tabela1[Mês],G$3)/32,"")</f>
        <v/>
      </c>
      <c r="H77" s="45" t="str">
        <f ca="1">IFERROR(AVERAGEIFS(INDIRECT("Tabela1["&amp;$B77&amp;"]"),Tabela1[Mês],H$3)/32,"")</f>
        <v/>
      </c>
      <c r="I77" s="45" t="str">
        <f ca="1">IFERROR(AVERAGEIFS(INDIRECT("Tabela1["&amp;$B77&amp;"]"),Tabela1[Mês],I$3)/32,"")</f>
        <v/>
      </c>
      <c r="J77" s="45" t="str">
        <f ca="1">IFERROR(AVERAGEIFS(INDIRECT("Tabela1["&amp;$B77&amp;"]"),Tabela1[Mês],J$3)/32,"")</f>
        <v/>
      </c>
      <c r="K77" s="45">
        <f ca="1">IFERROR(AVERAGEIFS(INDIRECT("Tabela1["&amp;$B77&amp;"]"),Tabela1[Mês],K$3)/32,"")</f>
        <v>3.90625E-2</v>
      </c>
      <c r="L77" s="45">
        <f ca="1">IFERROR(AVERAGEIFS(INDIRECT("Tabela1["&amp;$B77&amp;"]"),Tabela1[Mês],L$3)/32,"")</f>
        <v>1.6230620155038761E-2</v>
      </c>
      <c r="M77" s="45">
        <f ca="1">IFERROR(AVERAGEIFS(INDIRECT("Tabela1["&amp;$B77&amp;"]"),Tabela1[Mês],M$3)/32,"")</f>
        <v>1.6171328671328672E-2</v>
      </c>
      <c r="N77" s="45">
        <f ca="1">IFERROR(AVERAGEIFS(INDIRECT("Tabela1["&amp;$B77&amp;"]"),Tabela1[Mês],N$3)/32,"")</f>
        <v>1.8124999999999999E-2</v>
      </c>
      <c r="O77" s="45" t="str">
        <f ca="1">IFERROR(AVERAGEIFS(INDIRECT("Tabela1["&amp;$B77&amp;"]"),Tabela1[Mês],O$3)/32,"")</f>
        <v/>
      </c>
      <c r="P77" s="46" t="str">
        <f ca="1">IFERROR(AVERAGEIFS(INDIRECT("Tabela1["&amp;$B77&amp;"]"),Tabela1[Mês],P$3)/32,"")</f>
        <v/>
      </c>
      <c r="Q77" s="63"/>
      <c r="R77" s="37">
        <f ca="1">IFERROR(AVERAGEIFS(INDIRECT("Tabela1["&amp;$B77&amp;"]"),Tabela1[Data Corrigida],R$3)/32,"")</f>
        <v>1.7857142857142856E-2</v>
      </c>
      <c r="S77" s="38">
        <f ca="1">IFERROR(AVERAGEIFS(INDIRECT("Tabela1["&amp;$B77&amp;"]"),Tabela1[Data Corrigida],S$3)/32,"")</f>
        <v>1.7857142857142856E-2</v>
      </c>
      <c r="T77" s="38">
        <f ca="1">IFERROR(AVERAGEIFS(INDIRECT("Tabela1["&amp;$B77&amp;"]"),Tabela1[Data Corrigida],T$3)/32,"")</f>
        <v>0</v>
      </c>
      <c r="U77" s="38">
        <f ca="1">IFERROR(AVERAGEIFS(INDIRECT("Tabela1["&amp;$B77&amp;"]"),Tabela1[Data Corrigida],U$3)/32,"")</f>
        <v>1.3392857142857142E-2</v>
      </c>
      <c r="V77" s="38">
        <f ca="1">IFERROR(AVERAGEIFS(INDIRECT("Tabela1["&amp;$B77&amp;"]"),Tabela1[Data Corrigida],V$3)/32,"")</f>
        <v>1.7857142857142856E-2</v>
      </c>
      <c r="W77" s="38">
        <f ca="1">IFERROR(AVERAGEIFS(INDIRECT("Tabela1["&amp;$B77&amp;"]"),Tabela1[Data Corrigida],W$3)/32,"")</f>
        <v>2.6785714285714284E-2</v>
      </c>
      <c r="X77" s="38">
        <f ca="1">IFERROR(AVERAGEIFS(INDIRECT("Tabela1["&amp;$B77&amp;"]"),Tabela1[Data Corrigida],X$3)/32,"")</f>
        <v>1.7857142857142856E-2</v>
      </c>
      <c r="Y77" s="38">
        <f ca="1">IFERROR(AVERAGEIFS(INDIRECT("Tabela1["&amp;$B77&amp;"]"),Tabela1[Data Corrigida],Y$3)/32,"")</f>
        <v>3.125E-2</v>
      </c>
      <c r="Z77" s="38" t="str">
        <f ca="1">IFERROR(AVERAGEIFS(INDIRECT("Tabela1["&amp;$B77&amp;"]"),Tabela1[Data Corrigida],Z$3)/32,"")</f>
        <v/>
      </c>
      <c r="AA77" s="38" t="str">
        <f ca="1">IFERROR(AVERAGEIFS(INDIRECT("Tabela1["&amp;$B77&amp;"]"),Tabela1[Data Corrigida],AA$3)/32,"")</f>
        <v/>
      </c>
      <c r="AB77" s="38" t="str">
        <f ca="1">IFERROR(AVERAGEIFS(INDIRECT("Tabela1["&amp;$B77&amp;"]"),Tabela1[Data Corrigida],AB$3)/32,"")</f>
        <v/>
      </c>
      <c r="AC77" s="38" t="str">
        <f ca="1">IFERROR(AVERAGEIFS(INDIRECT("Tabela1["&amp;$B77&amp;"]"),Tabela1[Data Corrigida],AC$3)/32,"")</f>
        <v/>
      </c>
      <c r="AD77" s="38" t="str">
        <f ca="1">IFERROR(AVERAGEIFS(INDIRECT("Tabela1["&amp;$B77&amp;"]"),Tabela1[Data Corrigida],AD$3)/32,"")</f>
        <v/>
      </c>
      <c r="AE77" s="38" t="str">
        <f ca="1">IFERROR(AVERAGEIFS(INDIRECT("Tabela1["&amp;$B77&amp;"]"),Tabela1[Data Corrigida],AE$3)/32,"")</f>
        <v/>
      </c>
      <c r="AF77" s="38" t="str">
        <f ca="1">IFERROR(AVERAGEIFS(INDIRECT("Tabela1["&amp;$B77&amp;"]"),Tabela1[Data Corrigida],AF$3)/32,"")</f>
        <v/>
      </c>
      <c r="AG77" s="38" t="str">
        <f ca="1">IFERROR(AVERAGEIFS(INDIRECT("Tabela1["&amp;$B77&amp;"]"),Tabela1[Data Corrigida],AG$3)/32,"")</f>
        <v/>
      </c>
      <c r="AH77" s="38" t="str">
        <f ca="1">IFERROR(AVERAGEIFS(INDIRECT("Tabela1["&amp;$B77&amp;"]"),Tabela1[Data Corrigida],AH$3)/32,"")</f>
        <v/>
      </c>
      <c r="AI77" s="38" t="str">
        <f ca="1">IFERROR(AVERAGEIFS(INDIRECT("Tabela1["&amp;$B77&amp;"]"),Tabela1[Data Corrigida],AI$3)/32,"")</f>
        <v/>
      </c>
      <c r="AJ77" s="38" t="str">
        <f ca="1">IFERROR(AVERAGEIFS(INDIRECT("Tabela1["&amp;$B77&amp;"]"),Tabela1[Data Corrigida],AJ$3)/32,"")</f>
        <v/>
      </c>
      <c r="AK77" s="38" t="str">
        <f ca="1">IFERROR(AVERAGEIFS(INDIRECT("Tabela1["&amp;$B77&amp;"]"),Tabela1[Data Corrigida],AK$3)/32,"")</f>
        <v/>
      </c>
      <c r="AL77" s="38" t="str">
        <f ca="1">IFERROR(AVERAGEIFS(INDIRECT("Tabela1["&amp;$B77&amp;"]"),Tabela1[Data Corrigida],AL$3)/32,"")</f>
        <v/>
      </c>
      <c r="AM77" s="38" t="str">
        <f ca="1">IFERROR(AVERAGEIFS(INDIRECT("Tabela1["&amp;$B77&amp;"]"),Tabela1[Data Corrigida],AM$3)/32,"")</f>
        <v/>
      </c>
    </row>
    <row r="78" spans="1:39" s="20" customFormat="1" ht="15" customHeight="1" thickTop="1" x14ac:dyDescent="0.3">
      <c r="A78" s="51" t="str">
        <f>VLOOKUP(Tabela2[[#This Row],[Item 1]],Apoio!$A$2:$B$41,2,0)</f>
        <v>Míudos</v>
      </c>
      <c r="B78" s="22" t="str">
        <f t="shared" ref="B78:B80" si="4">IF(C78=0,B77,C78)</f>
        <v>% Presença de moela apos linha de retirada</v>
      </c>
      <c r="C78" s="58" t="str">
        <f>'BD - 022 Evisceração'!BE1</f>
        <v>% Presença de moela apos linha de retirada</v>
      </c>
      <c r="D78" s="26" t="s">
        <v>21</v>
      </c>
      <c r="E78" s="34" t="str">
        <f ca="1">IFERROR(AVERAGEIFS(INDIRECT("Tabela1["&amp;$B78&amp;"]"),Tabela1[Turno],$D78,Tabela1[Mês],E$3)/100,"")</f>
        <v/>
      </c>
      <c r="F78" s="34" t="str">
        <f ca="1">IFERROR(AVERAGEIFS(INDIRECT("Tabela1["&amp;$B78&amp;"]"),Tabela1[Turno],$D78,Tabela1[Mês],F$3)/100,"")</f>
        <v/>
      </c>
      <c r="G78" s="34" t="str">
        <f ca="1">IFERROR(AVERAGEIFS(INDIRECT("Tabela1["&amp;$B78&amp;"]"),Tabela1[Turno],$D78,Tabela1[Mês],G$3)/100,"")</f>
        <v/>
      </c>
      <c r="H78" s="34" t="str">
        <f ca="1">IFERROR(AVERAGEIFS(INDIRECT("Tabela1["&amp;$B78&amp;"]"),Tabela1[Turno],$D78,Tabela1[Mês],H$3)/100,"")</f>
        <v/>
      </c>
      <c r="I78" s="34" t="str">
        <f ca="1">IFERROR(AVERAGEIFS(INDIRECT("Tabela1["&amp;$B78&amp;"]"),Tabela1[Turno],$D78,Tabela1[Mês],I$3)/100,"")</f>
        <v/>
      </c>
      <c r="J78" s="34" t="str">
        <f ca="1">IFERROR(AVERAGEIFS(INDIRECT("Tabela1["&amp;$B78&amp;"]"),Tabela1[Turno],$D78,Tabela1[Mês],J$3)/100,"")</f>
        <v/>
      </c>
      <c r="K78" s="34" t="str">
        <f ca="1">IFERROR(AVERAGEIFS(INDIRECT("Tabela1["&amp;$B78&amp;"]"),Tabela1[Turno],$D78,Tabela1[Mês],K$3)/100,"")</f>
        <v/>
      </c>
      <c r="L78" s="34">
        <f ca="1">IFERROR(AVERAGEIFS(INDIRECT("Tabela1["&amp;$B78&amp;"]"),Tabela1[Turno],$D78,Tabela1[Mês],L$3)/100,"")</f>
        <v>7.1274073271157647E-3</v>
      </c>
      <c r="M78" s="34">
        <f ca="1">IFERROR(AVERAGEIFS(INDIRECT("Tabela1["&amp;$B78&amp;"]"),Tabela1[Turno],$D78,Tabela1[Mês],M$3)/100,"")</f>
        <v>4.5581803689406526E-3</v>
      </c>
      <c r="N78" s="34">
        <f ca="1">IFERROR(AVERAGEIFS(INDIRECT("Tabela1["&amp;$B78&amp;"]"),Tabela1[Turno],$D78,Tabela1[Mês],N$3)/100,"")</f>
        <v>6.601237227645879E-3</v>
      </c>
      <c r="O78" s="34" t="str">
        <f ca="1">IFERROR(AVERAGEIFS(INDIRECT("Tabela1["&amp;$B78&amp;"]"),Tabela1[Turno],$D78,Tabela1[Mês],O$3)/100,"")</f>
        <v/>
      </c>
      <c r="P78" s="44" t="str">
        <f ca="1">IFERROR(AVERAGEIFS(INDIRECT("Tabela1["&amp;$B78&amp;"]"),Tabela1[Turno],$D78,Tabela1[Mês],P$3)/100,"")</f>
        <v/>
      </c>
      <c r="Q78" s="61">
        <v>0</v>
      </c>
      <c r="R78" s="33">
        <f ca="1">IFERROR(AVERAGEIFS(INDIRECT("Tabela1["&amp;$B78&amp;"]"),Tabela1[Turno],$D78,Tabela1[Data Corrigida],R$3)/100,"")</f>
        <v>3.105590062111801E-3</v>
      </c>
      <c r="S78" s="34">
        <f ca="1">IFERROR(AVERAGEIFS(INDIRECT("Tabela1["&amp;$B78&amp;"]"),Tabela1[Turno],$D78,Tabela1[Data Corrigida],S$3)/100,"")</f>
        <v>3.2084241701287484E-3</v>
      </c>
      <c r="T78" s="34">
        <f ca="1">IFERROR(AVERAGEIFS(INDIRECT("Tabela1["&amp;$B78&amp;"]"),Tabela1[Turno],$D78,Tabela1[Data Corrigida],T$3)/100,"")</f>
        <v>6.41025641025641E-3</v>
      </c>
      <c r="U78" s="34">
        <f ca="1">IFERROR(AVERAGEIFS(INDIRECT("Tabela1["&amp;$B78&amp;"]"),Tabela1[Turno],$D78,Tabela1[Data Corrigida],U$3)/100,"")</f>
        <v>4.7081541646759031E-3</v>
      </c>
      <c r="V78" s="34">
        <f ca="1">IFERROR(AVERAGEIFS(INDIRECT("Tabela1["&amp;$B78&amp;"]"),Tabela1[Turno],$D78,Tabela1[Data Corrigida],V$3)/100,"")</f>
        <v>1.4170727055840791E-2</v>
      </c>
      <c r="W78" s="34">
        <f ca="1">IFERROR(AVERAGEIFS(INDIRECT("Tabela1["&amp;$B78&amp;"]"),Tabela1[Turno],$D78,Tabela1[Data Corrigida],W$3)/100,"")</f>
        <v>1.1335403726708075E-2</v>
      </c>
      <c r="X78" s="34">
        <f ca="1">IFERROR(AVERAGEIFS(INDIRECT("Tabela1["&amp;$B78&amp;"]"),Tabela1[Turno],$D78,Tabela1[Data Corrigida],X$3)/100,"")</f>
        <v>3.105590062111801E-3</v>
      </c>
      <c r="Y78" s="34">
        <f ca="1">IFERROR(AVERAGEIFS(INDIRECT("Tabela1["&amp;$B78&amp;"]"),Tabela1[Turno],$D78,Tabela1[Data Corrigida],Y$3)/100,"")</f>
        <v>6.6225165562913916E-3</v>
      </c>
      <c r="Z78" s="34" t="str">
        <f ca="1">IFERROR(AVERAGEIFS(INDIRECT("Tabela1["&amp;$B78&amp;"]"),Tabela1[Turno],$D78,Tabela1[Data Corrigida],Z$3)/100,"")</f>
        <v/>
      </c>
      <c r="AA78" s="34" t="str">
        <f ca="1">IFERROR(AVERAGEIFS(INDIRECT("Tabela1["&amp;$B78&amp;"]"),Tabela1[Turno],$D78,Tabela1[Data Corrigida],AA$3)/100,"")</f>
        <v/>
      </c>
      <c r="AB78" s="34" t="str">
        <f ca="1">IFERROR(AVERAGEIFS(INDIRECT("Tabela1["&amp;$B78&amp;"]"),Tabela1[Turno],$D78,Tabela1[Data Corrigida],AB$3)/100,"")</f>
        <v/>
      </c>
      <c r="AC78" s="34" t="str">
        <f ca="1">IFERROR(AVERAGEIFS(INDIRECT("Tabela1["&amp;$B78&amp;"]"),Tabela1[Turno],$D78,Tabela1[Data Corrigida],AC$3)/100,"")</f>
        <v/>
      </c>
      <c r="AD78" s="34" t="str">
        <f ca="1">IFERROR(AVERAGEIFS(INDIRECT("Tabela1["&amp;$B78&amp;"]"),Tabela1[Turno],$D78,Tabela1[Data Corrigida],AD$3)/100,"")</f>
        <v/>
      </c>
      <c r="AE78" s="34" t="str">
        <f ca="1">IFERROR(AVERAGEIFS(INDIRECT("Tabela1["&amp;$B78&amp;"]"),Tabela1[Turno],$D78,Tabela1[Data Corrigida],AE$3)/100,"")</f>
        <v/>
      </c>
      <c r="AF78" s="34" t="str">
        <f ca="1">IFERROR(AVERAGEIFS(INDIRECT("Tabela1["&amp;$B78&amp;"]"),Tabela1[Turno],$D78,Tabela1[Data Corrigida],AF$3)/100,"")</f>
        <v/>
      </c>
      <c r="AG78" s="34" t="str">
        <f ca="1">IFERROR(AVERAGEIFS(INDIRECT("Tabela1["&amp;$B78&amp;"]"),Tabela1[Turno],$D78,Tabela1[Data Corrigida],AG$3)/100,"")</f>
        <v/>
      </c>
      <c r="AH78" s="34" t="str">
        <f ca="1">IFERROR(AVERAGEIFS(INDIRECT("Tabela1["&amp;$B78&amp;"]"),Tabela1[Turno],$D78,Tabela1[Data Corrigida],AH$3)/100,"")</f>
        <v/>
      </c>
      <c r="AI78" s="34" t="str">
        <f ca="1">IFERROR(AVERAGEIFS(INDIRECT("Tabela1["&amp;$B78&amp;"]"),Tabela1[Turno],$D78,Tabela1[Data Corrigida],AI$3)/100,"")</f>
        <v/>
      </c>
      <c r="AJ78" s="34" t="str">
        <f ca="1">IFERROR(AVERAGEIFS(INDIRECT("Tabela1["&amp;$B78&amp;"]"),Tabela1[Turno],$D78,Tabela1[Data Corrigida],AJ$3)/100,"")</f>
        <v/>
      </c>
      <c r="AK78" s="34" t="str">
        <f ca="1">IFERROR(AVERAGEIFS(INDIRECT("Tabela1["&amp;$B78&amp;"]"),Tabela1[Turno],$D78,Tabela1[Data Corrigida],AK$3)/100,"")</f>
        <v/>
      </c>
      <c r="AL78" s="34" t="str">
        <f ca="1">IFERROR(AVERAGEIFS(INDIRECT("Tabela1["&amp;$B78&amp;"]"),Tabela1[Turno],$D78,Tabela1[Data Corrigida],AL$3)/100,"")</f>
        <v/>
      </c>
      <c r="AM78" s="34" t="str">
        <f ca="1">IFERROR(AVERAGEIFS(INDIRECT("Tabela1["&amp;$B78&amp;"]"),Tabela1[Turno],$D78,Tabela1[Data Corrigida],AM$3)/100,"")</f>
        <v/>
      </c>
    </row>
    <row r="79" spans="1:39" s="20" customFormat="1" ht="15" customHeight="1" x14ac:dyDescent="0.3">
      <c r="A79" s="51" t="str">
        <f>VLOOKUP(Tabela2[[#This Row],[Item 1]],Apoio!$A$2:$B$41,2,0)</f>
        <v>Míudos</v>
      </c>
      <c r="B79" s="22" t="str">
        <f t="shared" si="4"/>
        <v>% Presença de moela apos linha de retirada</v>
      </c>
      <c r="C79" s="59"/>
      <c r="D79" s="27" t="s">
        <v>33</v>
      </c>
      <c r="E79" s="36" t="str">
        <f ca="1">IFERROR(AVERAGEIFS(INDIRECT("Tabela1["&amp;$B79&amp;"]"),Tabela1[Turno],$D79,Tabela1[Mês],E$3)/100,"")</f>
        <v/>
      </c>
      <c r="F79" s="36" t="str">
        <f ca="1">IFERROR(AVERAGEIFS(INDIRECT("Tabela1["&amp;$B79&amp;"]"),Tabela1[Turno],$D79,Tabela1[Mês],F$3)/100,"")</f>
        <v/>
      </c>
      <c r="G79" s="36" t="str">
        <f ca="1">IFERROR(AVERAGEIFS(INDIRECT("Tabela1["&amp;$B79&amp;"]"),Tabela1[Turno],$D79,Tabela1[Mês],G$3)/100,"")</f>
        <v/>
      </c>
      <c r="H79" s="36" t="str">
        <f ca="1">IFERROR(AVERAGEIFS(INDIRECT("Tabela1["&amp;$B79&amp;"]"),Tabela1[Turno],$D79,Tabela1[Mês],H$3)/100,"")</f>
        <v/>
      </c>
      <c r="I79" s="36" t="str">
        <f ca="1">IFERROR(AVERAGEIFS(INDIRECT("Tabela1["&amp;$B79&amp;"]"),Tabela1[Turno],$D79,Tabela1[Mês],I$3)/100,"")</f>
        <v/>
      </c>
      <c r="J79" s="36" t="str">
        <f ca="1">IFERROR(AVERAGEIFS(INDIRECT("Tabela1["&amp;$B79&amp;"]"),Tabela1[Turno],$D79,Tabela1[Mês],J$3)/100,"")</f>
        <v/>
      </c>
      <c r="K79" s="36" t="str">
        <f ca="1">IFERROR(AVERAGEIFS(INDIRECT("Tabela1["&amp;$B79&amp;"]"),Tabela1[Turno],$D79,Tabela1[Mês],K$3)/100,"")</f>
        <v/>
      </c>
      <c r="L79" s="36">
        <f ca="1">IFERROR(AVERAGEIFS(INDIRECT("Tabela1["&amp;$B79&amp;"]"),Tabela1[Turno],$D79,Tabela1[Mês],L$3)/100,"")</f>
        <v>4.499815757811468E-3</v>
      </c>
      <c r="M79" s="36">
        <f ca="1">IFERROR(AVERAGEIFS(INDIRECT("Tabela1["&amp;$B79&amp;"]"),Tabela1[Turno],$D79,Tabela1[Mês],M$3)/100,"")</f>
        <v>2.605151728329896E-3</v>
      </c>
      <c r="N79" s="36">
        <f ca="1">IFERROR(AVERAGEIFS(INDIRECT("Tabela1["&amp;$B79&amp;"]"),Tabela1[Turno],$D79,Tabela1[Mês],N$3)/100,"")</f>
        <v>2.0400579406790586E-3</v>
      </c>
      <c r="O79" s="36" t="str">
        <f ca="1">IFERROR(AVERAGEIFS(INDIRECT("Tabela1["&amp;$B79&amp;"]"),Tabela1[Turno],$D79,Tabela1[Mês],O$3)/100,"")</f>
        <v/>
      </c>
      <c r="P79" s="41" t="str">
        <f ca="1">IFERROR(AVERAGEIFS(INDIRECT("Tabela1["&amp;$B79&amp;"]"),Tabela1[Turno],$D79,Tabela1[Mês],P$3)/100,"")</f>
        <v/>
      </c>
      <c r="Q79" s="62"/>
      <c r="R79" s="35">
        <f ca="1">IFERROR(AVERAGEIFS(INDIRECT("Tabela1["&amp;$B79&amp;"]"),Tabela1[Turno],$D79,Tabela1[Data Corrigida],R$3)/100,"")</f>
        <v>2.3809523809523812E-3</v>
      </c>
      <c r="S79" s="36">
        <f ca="1">IFERROR(AVERAGEIFS(INDIRECT("Tabela1["&amp;$B79&amp;"]"),Tabela1[Turno],$D79,Tabela1[Data Corrigida],S$3)/100,"")</f>
        <v>2.1367521367521365E-3</v>
      </c>
      <c r="T79" s="36">
        <f ca="1">IFERROR(AVERAGEIFS(INDIRECT("Tabela1["&amp;$B79&amp;"]"),Tabela1[Turno],$D79,Tabela1[Data Corrigida],T$3)/100,"")</f>
        <v>0</v>
      </c>
      <c r="U79" s="36">
        <f ca="1">IFERROR(AVERAGEIFS(INDIRECT("Tabela1["&amp;$B79&amp;"]"),Tabela1[Turno],$D79,Tabela1[Data Corrigida],U$3)/100,"")</f>
        <v>0</v>
      </c>
      <c r="V79" s="36">
        <f ca="1">IFERROR(AVERAGEIFS(INDIRECT("Tabela1["&amp;$B79&amp;"]"),Tabela1[Turno],$D79,Tabela1[Data Corrigida],V$3)/100,"")</f>
        <v>7.1985985029463292E-3</v>
      </c>
      <c r="W79" s="36">
        <f ca="1">IFERROR(AVERAGEIFS(INDIRECT("Tabela1["&amp;$B79&amp;"]"),Tabela1[Turno],$D79,Tabela1[Data Corrigida],W$3)/100,"")</f>
        <v>0</v>
      </c>
      <c r="X79" s="36">
        <f ca="1">IFERROR(AVERAGEIFS(INDIRECT("Tabela1["&amp;$B79&amp;"]"),Tabela1[Turno],$D79,Tabela1[Data Corrigida],X$3)/100,"")</f>
        <v>2.5641025641025645E-3</v>
      </c>
      <c r="Y79" s="36" t="str">
        <f ca="1">IFERROR(AVERAGEIFS(INDIRECT("Tabela1["&amp;$B79&amp;"]"),Tabela1[Turno],$D79,Tabela1[Data Corrigida],Y$3)/100,"")</f>
        <v/>
      </c>
      <c r="Z79" s="36" t="str">
        <f ca="1">IFERROR(AVERAGEIFS(INDIRECT("Tabela1["&amp;$B79&amp;"]"),Tabela1[Turno],$D79,Tabela1[Data Corrigida],Z$3)/100,"")</f>
        <v/>
      </c>
      <c r="AA79" s="36" t="str">
        <f ca="1">IFERROR(AVERAGEIFS(INDIRECT("Tabela1["&amp;$B79&amp;"]"),Tabela1[Turno],$D79,Tabela1[Data Corrigida],AA$3)/100,"")</f>
        <v/>
      </c>
      <c r="AB79" s="36" t="str">
        <f ca="1">IFERROR(AVERAGEIFS(INDIRECT("Tabela1["&amp;$B79&amp;"]"),Tabela1[Turno],$D79,Tabela1[Data Corrigida],AB$3)/100,"")</f>
        <v/>
      </c>
      <c r="AC79" s="36" t="str">
        <f ca="1">IFERROR(AVERAGEIFS(INDIRECT("Tabela1["&amp;$B79&amp;"]"),Tabela1[Turno],$D79,Tabela1[Data Corrigida],AC$3)/100,"")</f>
        <v/>
      </c>
      <c r="AD79" s="36" t="str">
        <f ca="1">IFERROR(AVERAGEIFS(INDIRECT("Tabela1["&amp;$B79&amp;"]"),Tabela1[Turno],$D79,Tabela1[Data Corrigida],AD$3)/100,"")</f>
        <v/>
      </c>
      <c r="AE79" s="36" t="str">
        <f ca="1">IFERROR(AVERAGEIFS(INDIRECT("Tabela1["&amp;$B79&amp;"]"),Tabela1[Turno],$D79,Tabela1[Data Corrigida],AE$3)/100,"")</f>
        <v/>
      </c>
      <c r="AF79" s="36" t="str">
        <f ca="1">IFERROR(AVERAGEIFS(INDIRECT("Tabela1["&amp;$B79&amp;"]"),Tabela1[Turno],$D79,Tabela1[Data Corrigida],AF$3)/100,"")</f>
        <v/>
      </c>
      <c r="AG79" s="36" t="str">
        <f ca="1">IFERROR(AVERAGEIFS(INDIRECT("Tabela1["&amp;$B79&amp;"]"),Tabela1[Turno],$D79,Tabela1[Data Corrigida],AG$3)/100,"")</f>
        <v/>
      </c>
      <c r="AH79" s="36" t="str">
        <f ca="1">IFERROR(AVERAGEIFS(INDIRECT("Tabela1["&amp;$B79&amp;"]"),Tabela1[Turno],$D79,Tabela1[Data Corrigida],AH$3)/100,"")</f>
        <v/>
      </c>
      <c r="AI79" s="36" t="str">
        <f ca="1">IFERROR(AVERAGEIFS(INDIRECT("Tabela1["&amp;$B79&amp;"]"),Tabela1[Turno],$D79,Tabela1[Data Corrigida],AI$3)/100,"")</f>
        <v/>
      </c>
      <c r="AJ79" s="36" t="str">
        <f ca="1">IFERROR(AVERAGEIFS(INDIRECT("Tabela1["&amp;$B79&amp;"]"),Tabela1[Turno],$D79,Tabela1[Data Corrigida],AJ$3)/100,"")</f>
        <v/>
      </c>
      <c r="AK79" s="36" t="str">
        <f ca="1">IFERROR(AVERAGEIFS(INDIRECT("Tabela1["&amp;$B79&amp;"]"),Tabela1[Turno],$D79,Tabela1[Data Corrigida],AK$3)/100,"")</f>
        <v/>
      </c>
      <c r="AL79" s="36" t="str">
        <f ca="1">IFERROR(AVERAGEIFS(INDIRECT("Tabela1["&amp;$B79&amp;"]"),Tabela1[Turno],$D79,Tabela1[Data Corrigida],AL$3)/100,"")</f>
        <v/>
      </c>
      <c r="AM79" s="36" t="str">
        <f ca="1">IFERROR(AVERAGEIFS(INDIRECT("Tabela1["&amp;$B79&amp;"]"),Tabela1[Turno],$D79,Tabela1[Data Corrigida],AM$3)/100,"")</f>
        <v/>
      </c>
    </row>
    <row r="80" spans="1:39" s="20" customFormat="1" ht="15" customHeight="1" thickBot="1" x14ac:dyDescent="0.35">
      <c r="A80" s="51" t="str">
        <f>VLOOKUP(Tabela2[[#This Row],[Item 1]],Apoio!$A$2:$B$41,2,0)</f>
        <v>Míudos</v>
      </c>
      <c r="B80" s="22" t="str">
        <f t="shared" si="4"/>
        <v>% Presença de moela apos linha de retirada</v>
      </c>
      <c r="C80" s="60"/>
      <c r="D80" s="28" t="s">
        <v>5</v>
      </c>
      <c r="E80" s="45" t="str">
        <f ca="1">IFERROR(AVERAGEIFS(INDIRECT("Tabela1["&amp;$B80&amp;"]"),Tabela1[Mês],E$3)/100,"")</f>
        <v/>
      </c>
      <c r="F80" s="45" t="str">
        <f ca="1">IFERROR(AVERAGEIFS(INDIRECT("Tabela1["&amp;$B80&amp;"]"),Tabela1[Mês],F$3)/100,"")</f>
        <v/>
      </c>
      <c r="G80" s="45" t="str">
        <f ca="1">IFERROR(AVERAGEIFS(INDIRECT("Tabela1["&amp;$B80&amp;"]"),Tabela1[Mês],G$3)/100,"")</f>
        <v/>
      </c>
      <c r="H80" s="45" t="str">
        <f ca="1">IFERROR(AVERAGEIFS(INDIRECT("Tabela1["&amp;$B80&amp;"]"),Tabela1[Mês],H$3)/100,"")</f>
        <v/>
      </c>
      <c r="I80" s="45" t="str">
        <f ca="1">IFERROR(AVERAGEIFS(INDIRECT("Tabela1["&amp;$B80&amp;"]"),Tabela1[Mês],I$3)/100,"")</f>
        <v/>
      </c>
      <c r="J80" s="45" t="str">
        <f ca="1">IFERROR(AVERAGEIFS(INDIRECT("Tabela1["&amp;$B80&amp;"]"),Tabela1[Mês],J$3)/100,"")</f>
        <v/>
      </c>
      <c r="K80" s="45" t="str">
        <f ca="1">IFERROR(AVERAGEIFS(INDIRECT("Tabela1["&amp;$B80&amp;"]"),Tabela1[Mês],K$3)/100,"")</f>
        <v/>
      </c>
      <c r="L80" s="45">
        <f ca="1">IFERROR(AVERAGEIFS(INDIRECT("Tabela1["&amp;$B80&amp;"]"),Tabela1[Mês],L$3)/100,"")</f>
        <v>5.8979837488174246E-3</v>
      </c>
      <c r="M80" s="45">
        <f ca="1">IFERROR(AVERAGEIFS(INDIRECT("Tabela1["&amp;$B80&amp;"]"),Tabela1[Mês],M$3)/100,"")</f>
        <v>3.7154351336086129E-3</v>
      </c>
      <c r="N80" s="45">
        <f ca="1">IFERROR(AVERAGEIFS(INDIRECT("Tabela1["&amp;$B80&amp;"]"),Tabela1[Mês],N$3)/100,"")</f>
        <v>4.6855419271198146E-3</v>
      </c>
      <c r="O80" s="45" t="str">
        <f ca="1">IFERROR(AVERAGEIFS(INDIRECT("Tabela1["&amp;$B80&amp;"]"),Tabela1[Mês],O$3)/100,"")</f>
        <v/>
      </c>
      <c r="P80" s="46" t="str">
        <f ca="1">IFERROR(AVERAGEIFS(INDIRECT("Tabela1["&amp;$B80&amp;"]"),Tabela1[Mês],P$3)/100,"")</f>
        <v/>
      </c>
      <c r="Q80" s="63"/>
      <c r="R80" s="37">
        <f ca="1">IFERROR(AVERAGEIFS(INDIRECT("Tabela1["&amp;$B80&amp;"]"),Tabela1[Data Corrigida],R$3)/100,"")</f>
        <v>2.7950310559006208E-3</v>
      </c>
      <c r="S80" s="38">
        <f ca="1">IFERROR(AVERAGEIFS(INDIRECT("Tabela1["&amp;$B80&amp;"]"),Tabela1[Data Corrigida],S$3)/100,"")</f>
        <v>2.7491361558244862E-3</v>
      </c>
      <c r="T80" s="38">
        <f ca="1">IFERROR(AVERAGEIFS(INDIRECT("Tabela1["&amp;$B80&amp;"]"),Tabela1[Data Corrigida],T$3)/100,"")</f>
        <v>1.6025641025641025E-3</v>
      </c>
      <c r="U80" s="38">
        <f ca="1">IFERROR(AVERAGEIFS(INDIRECT("Tabela1["&amp;$B80&amp;"]"),Tabela1[Data Corrigida],U$3)/100,"")</f>
        <v>2.6903738083862306E-3</v>
      </c>
      <c r="V80" s="38">
        <f ca="1">IFERROR(AVERAGEIFS(INDIRECT("Tabela1["&amp;$B80&amp;"]"),Tabela1[Data Corrigida],V$3)/100,"")</f>
        <v>1.1182671961743164E-2</v>
      </c>
      <c r="W80" s="38">
        <f ca="1">IFERROR(AVERAGEIFS(INDIRECT("Tabela1["&amp;$B80&amp;"]"),Tabela1[Data Corrigida],W$3)/100,"")</f>
        <v>6.4773735581189007E-3</v>
      </c>
      <c r="X80" s="38">
        <f ca="1">IFERROR(AVERAGEIFS(INDIRECT("Tabela1["&amp;$B80&amp;"]"),Tabela1[Data Corrigida],X$3)/100,"")</f>
        <v>2.873523991536414E-3</v>
      </c>
      <c r="Y80" s="38">
        <f ca="1">IFERROR(AVERAGEIFS(INDIRECT("Tabela1["&amp;$B80&amp;"]"),Tabela1[Data Corrigida],Y$3)/100,"")</f>
        <v>6.6225165562913916E-3</v>
      </c>
      <c r="Z80" s="38" t="str">
        <f ca="1">IFERROR(AVERAGEIFS(INDIRECT("Tabela1["&amp;$B80&amp;"]"),Tabela1[Data Corrigida],Z$3)/100,"")</f>
        <v/>
      </c>
      <c r="AA80" s="38" t="str">
        <f ca="1">IFERROR(AVERAGEIFS(INDIRECT("Tabela1["&amp;$B80&amp;"]"),Tabela1[Data Corrigida],AA$3)/100,"")</f>
        <v/>
      </c>
      <c r="AB80" s="38" t="str">
        <f ca="1">IFERROR(AVERAGEIFS(INDIRECT("Tabela1["&amp;$B80&amp;"]"),Tabela1[Data Corrigida],AB$3)/100,"")</f>
        <v/>
      </c>
      <c r="AC80" s="38" t="str">
        <f ca="1">IFERROR(AVERAGEIFS(INDIRECT("Tabela1["&amp;$B80&amp;"]"),Tabela1[Data Corrigida],AC$3)/100,"")</f>
        <v/>
      </c>
      <c r="AD80" s="38" t="str">
        <f ca="1">IFERROR(AVERAGEIFS(INDIRECT("Tabela1["&amp;$B80&amp;"]"),Tabela1[Data Corrigida],AD$3)/100,"")</f>
        <v/>
      </c>
      <c r="AE80" s="38" t="str">
        <f ca="1">IFERROR(AVERAGEIFS(INDIRECT("Tabela1["&amp;$B80&amp;"]"),Tabela1[Data Corrigida],AE$3)/100,"")</f>
        <v/>
      </c>
      <c r="AF80" s="38" t="str">
        <f ca="1">IFERROR(AVERAGEIFS(INDIRECT("Tabela1["&amp;$B80&amp;"]"),Tabela1[Data Corrigida],AF$3)/100,"")</f>
        <v/>
      </c>
      <c r="AG80" s="38" t="str">
        <f ca="1">IFERROR(AVERAGEIFS(INDIRECT("Tabela1["&amp;$B80&amp;"]"),Tabela1[Data Corrigida],AG$3)/100,"")</f>
        <v/>
      </c>
      <c r="AH80" s="38" t="str">
        <f ca="1">IFERROR(AVERAGEIFS(INDIRECT("Tabela1["&amp;$B80&amp;"]"),Tabela1[Data Corrigida],AH$3)/100,"")</f>
        <v/>
      </c>
      <c r="AI80" s="38" t="str">
        <f ca="1">IFERROR(AVERAGEIFS(INDIRECT("Tabela1["&amp;$B80&amp;"]"),Tabela1[Data Corrigida],AI$3)/100,"")</f>
        <v/>
      </c>
      <c r="AJ80" s="38" t="str">
        <f ca="1">IFERROR(AVERAGEIFS(INDIRECT("Tabela1["&amp;$B80&amp;"]"),Tabela1[Data Corrigida],AJ$3)/100,"")</f>
        <v/>
      </c>
      <c r="AK80" s="38" t="str">
        <f ca="1">IFERROR(AVERAGEIFS(INDIRECT("Tabela1["&amp;$B80&amp;"]"),Tabela1[Data Corrigida],AK$3)/100,"")</f>
        <v/>
      </c>
      <c r="AL80" s="38" t="str">
        <f ca="1">IFERROR(AVERAGEIFS(INDIRECT("Tabela1["&amp;$B80&amp;"]"),Tabela1[Data Corrigida],AL$3)/100,"")</f>
        <v/>
      </c>
      <c r="AM80" s="38" t="str">
        <f ca="1">IFERROR(AVERAGEIFS(INDIRECT("Tabela1["&amp;$B80&amp;"]"),Tabela1[Data Corrigida],AM$3)/100,"")</f>
        <v/>
      </c>
    </row>
    <row r="81" spans="1:39" s="20" customFormat="1" ht="15" customHeight="1" thickTop="1" x14ac:dyDescent="0.3">
      <c r="A81" s="51" t="str">
        <f>VLOOKUP(Tabela2[[#This Row],[Item 1]],Apoio!$A$2:$B$41,2,0)</f>
        <v>Míudos</v>
      </c>
      <c r="B81" s="22" t="str">
        <f t="shared" ref="B81:B83" si="5">IF(C81=0,B80,C81)</f>
        <v xml:space="preserve">% Perda de pacotes na evisceradora </v>
      </c>
      <c r="C81" s="58" t="str">
        <f>'BD - 022 Evisceração'!AR1</f>
        <v xml:space="preserve">% Perda de pacotes na evisceradora </v>
      </c>
      <c r="D81" s="26" t="s">
        <v>21</v>
      </c>
      <c r="E81" s="34" t="str">
        <f ca="1">IFERROR(AVERAGEIFS(INDIRECT("Tabela1["&amp;$B81&amp;"]"),Tabela1[Turno],$D81,Tabela1[Mês],E$3)/100,"")</f>
        <v/>
      </c>
      <c r="F81" s="34" t="str">
        <f ca="1">IFERROR(AVERAGEIFS(INDIRECT("Tabela1["&amp;$B81&amp;"]"),Tabela1[Turno],$D81,Tabela1[Mês],F$3)/100,"")</f>
        <v/>
      </c>
      <c r="G81" s="34" t="str">
        <f ca="1">IFERROR(AVERAGEIFS(INDIRECT("Tabela1["&amp;$B81&amp;"]"),Tabela1[Turno],$D81,Tabela1[Mês],G$3)/100,"")</f>
        <v/>
      </c>
      <c r="H81" s="34" t="str">
        <f ca="1">IFERROR(AVERAGEIFS(INDIRECT("Tabela1["&amp;$B81&amp;"]"),Tabela1[Turno],$D81,Tabela1[Mês],H$3)/100,"")</f>
        <v/>
      </c>
      <c r="I81" s="34" t="str">
        <f ca="1">IFERROR(AVERAGEIFS(INDIRECT("Tabela1["&amp;$B81&amp;"]"),Tabela1[Turno],$D81,Tabela1[Mês],I$3)/100,"")</f>
        <v/>
      </c>
      <c r="J81" s="34" t="str">
        <f ca="1">IFERROR(AVERAGEIFS(INDIRECT("Tabela1["&amp;$B81&amp;"]"),Tabela1[Turno],$D81,Tabela1[Mês],J$3)/100,"")</f>
        <v/>
      </c>
      <c r="K81" s="34" t="str">
        <f ca="1">IFERROR(AVERAGEIFS(INDIRECT("Tabela1["&amp;$B81&amp;"]"),Tabela1[Turno],$D81,Tabela1[Mês],K$3)/100,"")</f>
        <v/>
      </c>
      <c r="L81" s="34" t="str">
        <f ca="1">IFERROR(AVERAGEIFS(INDIRECT("Tabela1["&amp;$B81&amp;"]"),Tabela1[Turno],$D81,Tabela1[Mês],L$3)/100,"")</f>
        <v/>
      </c>
      <c r="M81" s="34">
        <f ca="1">IFERROR(AVERAGEIFS(INDIRECT("Tabela1["&amp;$B81&amp;"]"),Tabela1[Turno],$D81,Tabela1[Mês],M$3)/100,"")</f>
        <v>1.9580030290998338E-2</v>
      </c>
      <c r="N81" s="34">
        <f ca="1">IFERROR(AVERAGEIFS(INDIRECT("Tabela1["&amp;$B81&amp;"]"),Tabela1[Turno],$D81,Tabela1[Mês],N$3)/100,"")</f>
        <v>1.3407760529497676E-2</v>
      </c>
      <c r="O81" s="34" t="str">
        <f ca="1">IFERROR(AVERAGEIFS(INDIRECT("Tabela1["&amp;$B81&amp;"]"),Tabela1[Turno],$D81,Tabela1[Mês],O$3)/100,"")</f>
        <v/>
      </c>
      <c r="P81" s="44" t="str">
        <f ca="1">IFERROR(AVERAGEIFS(INDIRECT("Tabela1["&amp;$B81&amp;"]"),Tabela1[Turno],$D81,Tabela1[Mês],P$3)/100,"")</f>
        <v/>
      </c>
      <c r="Q81" s="61">
        <v>0</v>
      </c>
      <c r="R81" s="33">
        <f ca="1">IFERROR(AVERAGEIFS(INDIRECT("Tabela1["&amp;$B81&amp;"]"),Tabela1[Turno],$D81,Tabela1[Data Corrigida],R$3)/100,"")</f>
        <v>1.3975155279503104E-2</v>
      </c>
      <c r="S81" s="34">
        <f ca="1">IFERROR(AVERAGEIFS(INDIRECT("Tabela1["&amp;$B81&amp;"]"),Tabela1[Turno],$D81,Tabela1[Data Corrigida],S$3)/100,"")</f>
        <v>1.4180823495536999E-2</v>
      </c>
      <c r="T81" s="34">
        <f ca="1">IFERROR(AVERAGEIFS(INDIRECT("Tabela1["&amp;$B81&amp;"]"),Tabela1[Turno],$D81,Tabela1[Data Corrigida],T$3)/100,"")</f>
        <v>1.9230769230769232E-2</v>
      </c>
      <c r="U81" s="34">
        <f ca="1">IFERROR(AVERAGEIFS(INDIRECT("Tabela1["&amp;$B81&amp;"]"),Tabela1[Turno],$D81,Tabela1[Data Corrigida],U$3)/100,"")</f>
        <v>1.742912884217232E-2</v>
      </c>
      <c r="V81" s="34">
        <f ca="1">IFERROR(AVERAGEIFS(INDIRECT("Tabela1["&amp;$B81&amp;"]"),Tabela1[Turno],$D81,Tabela1[Data Corrigida],V$3)/100,"")</f>
        <v>1.5826356194913637E-2</v>
      </c>
      <c r="W81" s="34">
        <f ca="1">IFERROR(AVERAGEIFS(INDIRECT("Tabela1["&amp;$B81&amp;"]"),Tabela1[Turno],$D81,Tabela1[Data Corrigida],W$3)/100,"")</f>
        <v>9.8531902879728968E-3</v>
      </c>
      <c r="X81" s="34">
        <f ca="1">IFERROR(AVERAGEIFS(INDIRECT("Tabela1["&amp;$B81&amp;"]"),Tabela1[Turno],$D81,Tabela1[Data Corrigida],X$3)/100,"")</f>
        <v>7.8668092632964495E-3</v>
      </c>
      <c r="Y81" s="34">
        <f ca="1">IFERROR(AVERAGEIFS(INDIRECT("Tabela1["&amp;$B81&amp;"]"),Tabela1[Turno],$D81,Tabela1[Data Corrigida],Y$3)/100,"")</f>
        <v>1.326710816777042E-2</v>
      </c>
      <c r="Z81" s="34" t="str">
        <f ca="1">IFERROR(AVERAGEIFS(INDIRECT("Tabela1["&amp;$B81&amp;"]"),Tabela1[Turno],$D81,Tabela1[Data Corrigida],Z$3)/100,"")</f>
        <v/>
      </c>
      <c r="AA81" s="34" t="str">
        <f ca="1">IFERROR(AVERAGEIFS(INDIRECT("Tabela1["&amp;$B81&amp;"]"),Tabela1[Turno],$D81,Tabela1[Data Corrigida],AA$3)/100,"")</f>
        <v/>
      </c>
      <c r="AB81" s="34" t="str">
        <f ca="1">IFERROR(AVERAGEIFS(INDIRECT("Tabela1["&amp;$B81&amp;"]"),Tabela1[Turno],$D81,Tabela1[Data Corrigida],AB$3)/100,"")</f>
        <v/>
      </c>
      <c r="AC81" s="34" t="str">
        <f ca="1">IFERROR(AVERAGEIFS(INDIRECT("Tabela1["&amp;$B81&amp;"]"),Tabela1[Turno],$D81,Tabela1[Data Corrigida],AC$3)/100,"")</f>
        <v/>
      </c>
      <c r="AD81" s="34" t="str">
        <f ca="1">IFERROR(AVERAGEIFS(INDIRECT("Tabela1["&amp;$B81&amp;"]"),Tabela1[Turno],$D81,Tabela1[Data Corrigida],AD$3)/100,"")</f>
        <v/>
      </c>
      <c r="AE81" s="34" t="str">
        <f ca="1">IFERROR(AVERAGEIFS(INDIRECT("Tabela1["&amp;$B81&amp;"]"),Tabela1[Turno],$D81,Tabela1[Data Corrigida],AE$3)/100,"")</f>
        <v/>
      </c>
      <c r="AF81" s="34" t="str">
        <f ca="1">IFERROR(AVERAGEIFS(INDIRECT("Tabela1["&amp;$B81&amp;"]"),Tabela1[Turno],$D81,Tabela1[Data Corrigida],AF$3)/100,"")</f>
        <v/>
      </c>
      <c r="AG81" s="34" t="str">
        <f ca="1">IFERROR(AVERAGEIFS(INDIRECT("Tabela1["&amp;$B81&amp;"]"),Tabela1[Turno],$D81,Tabela1[Data Corrigida],AG$3)/100,"")</f>
        <v/>
      </c>
      <c r="AH81" s="34" t="str">
        <f ca="1">IFERROR(AVERAGEIFS(INDIRECT("Tabela1["&amp;$B81&amp;"]"),Tabela1[Turno],$D81,Tabela1[Data Corrigida],AH$3)/100,"")</f>
        <v/>
      </c>
      <c r="AI81" s="34" t="str">
        <f ca="1">IFERROR(AVERAGEIFS(INDIRECT("Tabela1["&amp;$B81&amp;"]"),Tabela1[Turno],$D81,Tabela1[Data Corrigida],AI$3)/100,"")</f>
        <v/>
      </c>
      <c r="AJ81" s="34" t="str">
        <f ca="1">IFERROR(AVERAGEIFS(INDIRECT("Tabela1["&amp;$B81&amp;"]"),Tabela1[Turno],$D81,Tabela1[Data Corrigida],AJ$3)/100,"")</f>
        <v/>
      </c>
      <c r="AK81" s="34" t="str">
        <f ca="1">IFERROR(AVERAGEIFS(INDIRECT("Tabela1["&amp;$B81&amp;"]"),Tabela1[Turno],$D81,Tabela1[Data Corrigida],AK$3)/100,"")</f>
        <v/>
      </c>
      <c r="AL81" s="34" t="str">
        <f ca="1">IFERROR(AVERAGEIFS(INDIRECT("Tabela1["&amp;$B81&amp;"]"),Tabela1[Turno],$D81,Tabela1[Data Corrigida],AL$3)/100,"")</f>
        <v/>
      </c>
      <c r="AM81" s="34" t="str">
        <f ca="1">IFERROR(AVERAGEIFS(INDIRECT("Tabela1["&amp;$B81&amp;"]"),Tabela1[Turno],$D81,Tabela1[Data Corrigida],AM$3)/100,"")</f>
        <v/>
      </c>
    </row>
    <row r="82" spans="1:39" s="20" customFormat="1" ht="15" customHeight="1" x14ac:dyDescent="0.3">
      <c r="A82" s="51" t="str">
        <f>VLOOKUP(Tabela2[[#This Row],[Item 1]],Apoio!$A$2:$B$41,2,0)</f>
        <v>Míudos</v>
      </c>
      <c r="B82" s="22" t="str">
        <f t="shared" si="5"/>
        <v xml:space="preserve">% Perda de pacotes na evisceradora </v>
      </c>
      <c r="C82" s="59"/>
      <c r="D82" s="27" t="s">
        <v>33</v>
      </c>
      <c r="E82" s="36" t="str">
        <f ca="1">IFERROR(AVERAGEIFS(INDIRECT("Tabela1["&amp;$B82&amp;"]"),Tabela1[Turno],$D82,Tabela1[Mês],E$3)/100,"")</f>
        <v/>
      </c>
      <c r="F82" s="36" t="str">
        <f ca="1">IFERROR(AVERAGEIFS(INDIRECT("Tabela1["&amp;$B82&amp;"]"),Tabela1[Turno],$D82,Tabela1[Mês],F$3)/100,"")</f>
        <v/>
      </c>
      <c r="G82" s="36" t="str">
        <f ca="1">IFERROR(AVERAGEIFS(INDIRECT("Tabela1["&amp;$B82&amp;"]"),Tabela1[Turno],$D82,Tabela1[Mês],G$3)/100,"")</f>
        <v/>
      </c>
      <c r="H82" s="36" t="str">
        <f ca="1">IFERROR(AVERAGEIFS(INDIRECT("Tabela1["&amp;$B82&amp;"]"),Tabela1[Turno],$D82,Tabela1[Mês],H$3)/100,"")</f>
        <v/>
      </c>
      <c r="I82" s="36" t="str">
        <f ca="1">IFERROR(AVERAGEIFS(INDIRECT("Tabela1["&amp;$B82&amp;"]"),Tabela1[Turno],$D82,Tabela1[Mês],I$3)/100,"")</f>
        <v/>
      </c>
      <c r="J82" s="36" t="str">
        <f ca="1">IFERROR(AVERAGEIFS(INDIRECT("Tabela1["&amp;$B82&amp;"]"),Tabela1[Turno],$D82,Tabela1[Mês],J$3)/100,"")</f>
        <v/>
      </c>
      <c r="K82" s="36" t="str">
        <f ca="1">IFERROR(AVERAGEIFS(INDIRECT("Tabela1["&amp;$B82&amp;"]"),Tabela1[Turno],$D82,Tabela1[Mês],K$3)/100,"")</f>
        <v/>
      </c>
      <c r="L82" s="36" t="str">
        <f ca="1">IFERROR(AVERAGEIFS(INDIRECT("Tabela1["&amp;$B82&amp;"]"),Tabela1[Turno],$D82,Tabela1[Mês],L$3)/100,"")</f>
        <v/>
      </c>
      <c r="M82" s="36">
        <f ca="1">IFERROR(AVERAGEIFS(INDIRECT("Tabela1["&amp;$B82&amp;"]"),Tabela1[Turno],$D82,Tabela1[Mês],M$3)/100,"")</f>
        <v>3.2446523496796054E-2</v>
      </c>
      <c r="N82" s="36">
        <f ca="1">IFERROR(AVERAGEIFS(INDIRECT("Tabela1["&amp;$B82&amp;"]"),Tabela1[Turno],$D82,Tabela1[Mês],N$3)/100,"")</f>
        <v>3.6253542116433508E-2</v>
      </c>
      <c r="O82" s="36" t="str">
        <f ca="1">IFERROR(AVERAGEIFS(INDIRECT("Tabela1["&amp;$B82&amp;"]"),Tabela1[Turno],$D82,Tabela1[Mês],O$3)/100,"")</f>
        <v/>
      </c>
      <c r="P82" s="41" t="str">
        <f ca="1">IFERROR(AVERAGEIFS(INDIRECT("Tabela1["&amp;$B82&amp;"]"),Tabela1[Turno],$D82,Tabela1[Mês],P$3)/100,"")</f>
        <v/>
      </c>
      <c r="Q82" s="62"/>
      <c r="R82" s="35">
        <f ca="1">IFERROR(AVERAGEIFS(INDIRECT("Tabela1["&amp;$B82&amp;"]"),Tabela1[Turno],$D82,Tabela1[Data Corrigida],R$3)/100,"")</f>
        <v>4.1560291560291562E-2</v>
      </c>
      <c r="S82" s="36">
        <f ca="1">IFERROR(AVERAGEIFS(INDIRECT("Tabela1["&amp;$B82&amp;"]"),Tabela1[Turno],$D82,Tabela1[Data Corrigida],S$3)/100,"")</f>
        <v>4.0413859004563651E-2</v>
      </c>
      <c r="T82" s="36">
        <f ca="1">IFERROR(AVERAGEIFS(INDIRECT("Tabela1["&amp;$B82&amp;"]"),Tabela1[Turno],$D82,Tabela1[Data Corrigida],T$3)/100,"")</f>
        <v>3.1743496692202118E-2</v>
      </c>
      <c r="U82" s="36">
        <f ca="1">IFERROR(AVERAGEIFS(INDIRECT("Tabela1["&amp;$B82&amp;"]"),Tabela1[Turno],$D82,Tabela1[Data Corrigida],U$3)/100,"")</f>
        <v>3.6654270242056503E-2</v>
      </c>
      <c r="V82" s="36">
        <f ca="1">IFERROR(AVERAGEIFS(INDIRECT("Tabela1["&amp;$B82&amp;"]"),Tabela1[Turno],$D82,Tabela1[Data Corrigida],V$3)/100,"")</f>
        <v>3.3524446567924832E-2</v>
      </c>
      <c r="W82" s="36">
        <f ca="1">IFERROR(AVERAGEIFS(INDIRECT("Tabela1["&amp;$B82&amp;"]"),Tabela1[Turno],$D82,Tabela1[Data Corrigida],W$3)/100,"")</f>
        <v>3.5594839942666032E-2</v>
      </c>
      <c r="X82" s="36">
        <f ca="1">IFERROR(AVERAGEIFS(INDIRECT("Tabela1["&amp;$B82&amp;"]"),Tabela1[Turno],$D82,Tabela1[Data Corrigida],X$3)/100,"")</f>
        <v>3.4283590805329937E-2</v>
      </c>
      <c r="Y82" s="36" t="str">
        <f ca="1">IFERROR(AVERAGEIFS(INDIRECT("Tabela1["&amp;$B82&amp;"]"),Tabela1[Turno],$D82,Tabela1[Data Corrigida],Y$3)/100,"")</f>
        <v/>
      </c>
      <c r="Z82" s="36" t="str">
        <f ca="1">IFERROR(AVERAGEIFS(INDIRECT("Tabela1["&amp;$B82&amp;"]"),Tabela1[Turno],$D82,Tabela1[Data Corrigida],Z$3)/100,"")</f>
        <v/>
      </c>
      <c r="AA82" s="36" t="str">
        <f ca="1">IFERROR(AVERAGEIFS(INDIRECT("Tabela1["&amp;$B82&amp;"]"),Tabela1[Turno],$D82,Tabela1[Data Corrigida],AA$3)/100,"")</f>
        <v/>
      </c>
      <c r="AB82" s="36" t="str">
        <f ca="1">IFERROR(AVERAGEIFS(INDIRECT("Tabela1["&amp;$B82&amp;"]"),Tabela1[Turno],$D82,Tabela1[Data Corrigida],AB$3)/100,"")</f>
        <v/>
      </c>
      <c r="AC82" s="36" t="str">
        <f ca="1">IFERROR(AVERAGEIFS(INDIRECT("Tabela1["&amp;$B82&amp;"]"),Tabela1[Turno],$D82,Tabela1[Data Corrigida],AC$3)/100,"")</f>
        <v/>
      </c>
      <c r="AD82" s="36" t="str">
        <f ca="1">IFERROR(AVERAGEIFS(INDIRECT("Tabela1["&amp;$B82&amp;"]"),Tabela1[Turno],$D82,Tabela1[Data Corrigida],AD$3)/100,"")</f>
        <v/>
      </c>
      <c r="AE82" s="36" t="str">
        <f ca="1">IFERROR(AVERAGEIFS(INDIRECT("Tabela1["&amp;$B82&amp;"]"),Tabela1[Turno],$D82,Tabela1[Data Corrigida],AE$3)/100,"")</f>
        <v/>
      </c>
      <c r="AF82" s="36" t="str">
        <f ca="1">IFERROR(AVERAGEIFS(INDIRECT("Tabela1["&amp;$B82&amp;"]"),Tabela1[Turno],$D82,Tabela1[Data Corrigida],AF$3)/100,"")</f>
        <v/>
      </c>
      <c r="AG82" s="36" t="str">
        <f ca="1">IFERROR(AVERAGEIFS(INDIRECT("Tabela1["&amp;$B82&amp;"]"),Tabela1[Turno],$D82,Tabela1[Data Corrigida],AG$3)/100,"")</f>
        <v/>
      </c>
      <c r="AH82" s="36" t="str">
        <f ca="1">IFERROR(AVERAGEIFS(INDIRECT("Tabela1["&amp;$B82&amp;"]"),Tabela1[Turno],$D82,Tabela1[Data Corrigida],AH$3)/100,"")</f>
        <v/>
      </c>
      <c r="AI82" s="36" t="str">
        <f ca="1">IFERROR(AVERAGEIFS(INDIRECT("Tabela1["&amp;$B82&amp;"]"),Tabela1[Turno],$D82,Tabela1[Data Corrigida],AI$3)/100,"")</f>
        <v/>
      </c>
      <c r="AJ82" s="36" t="str">
        <f ca="1">IFERROR(AVERAGEIFS(INDIRECT("Tabela1["&amp;$B82&amp;"]"),Tabela1[Turno],$D82,Tabela1[Data Corrigida],AJ$3)/100,"")</f>
        <v/>
      </c>
      <c r="AK82" s="36" t="str">
        <f ca="1">IFERROR(AVERAGEIFS(INDIRECT("Tabela1["&amp;$B82&amp;"]"),Tabela1[Turno],$D82,Tabela1[Data Corrigida],AK$3)/100,"")</f>
        <v/>
      </c>
      <c r="AL82" s="36" t="str">
        <f ca="1">IFERROR(AVERAGEIFS(INDIRECT("Tabela1["&amp;$B82&amp;"]"),Tabela1[Turno],$D82,Tabela1[Data Corrigida],AL$3)/100,"")</f>
        <v/>
      </c>
      <c r="AM82" s="36" t="str">
        <f ca="1">IFERROR(AVERAGEIFS(INDIRECT("Tabela1["&amp;$B82&amp;"]"),Tabela1[Turno],$D82,Tabela1[Data Corrigida],AM$3)/100,"")</f>
        <v/>
      </c>
    </row>
    <row r="83" spans="1:39" s="20" customFormat="1" ht="15" customHeight="1" thickBot="1" x14ac:dyDescent="0.35">
      <c r="A83" s="51" t="str">
        <f>VLOOKUP(Tabela2[[#This Row],[Item 1]],Apoio!$A$2:$B$41,2,0)</f>
        <v>Míudos</v>
      </c>
      <c r="B83" s="22" t="str">
        <f t="shared" si="5"/>
        <v xml:space="preserve">% Perda de pacotes na evisceradora </v>
      </c>
      <c r="C83" s="60"/>
      <c r="D83" s="28" t="s">
        <v>5</v>
      </c>
      <c r="E83" s="45" t="str">
        <f ca="1">IFERROR(AVERAGEIFS(INDIRECT("Tabela1["&amp;$B83&amp;"]"),Tabela1[Mês],E$3)/100,"")</f>
        <v/>
      </c>
      <c r="F83" s="45" t="str">
        <f ca="1">IFERROR(AVERAGEIFS(INDIRECT("Tabela1["&amp;$B83&amp;"]"),Tabela1[Mês],F$3)/100,"")</f>
        <v/>
      </c>
      <c r="G83" s="45" t="str">
        <f ca="1">IFERROR(AVERAGEIFS(INDIRECT("Tabela1["&amp;$B83&amp;"]"),Tabela1[Mês],G$3)/100,"")</f>
        <v/>
      </c>
      <c r="H83" s="45" t="str">
        <f ca="1">IFERROR(AVERAGEIFS(INDIRECT("Tabela1["&amp;$B83&amp;"]"),Tabela1[Mês],H$3)/100,"")</f>
        <v/>
      </c>
      <c r="I83" s="45" t="str">
        <f ca="1">IFERROR(AVERAGEIFS(INDIRECT("Tabela1["&amp;$B83&amp;"]"),Tabela1[Mês],I$3)/100,"")</f>
        <v/>
      </c>
      <c r="J83" s="45" t="str">
        <f ca="1">IFERROR(AVERAGEIFS(INDIRECT("Tabela1["&amp;$B83&amp;"]"),Tabela1[Mês],J$3)/100,"")</f>
        <v/>
      </c>
      <c r="K83" s="45" t="str">
        <f ca="1">IFERROR(AVERAGEIFS(INDIRECT("Tabela1["&amp;$B83&amp;"]"),Tabela1[Mês],K$3)/100,"")</f>
        <v/>
      </c>
      <c r="L83" s="45" t="str">
        <f ca="1">IFERROR(AVERAGEIFS(INDIRECT("Tabela1["&amp;$B83&amp;"]"),Tabela1[Mês],L$3)/100,"")</f>
        <v/>
      </c>
      <c r="M83" s="45">
        <f ca="1">IFERROR(AVERAGEIFS(INDIRECT("Tabela1["&amp;$B83&amp;"]"),Tabela1[Mês],M$3)/100,"")</f>
        <v>2.5247414203075892E-2</v>
      </c>
      <c r="N83" s="45">
        <f ca="1">IFERROR(AVERAGEIFS(INDIRECT("Tabela1["&amp;$B83&amp;"]"),Tabela1[Mês],N$3)/100,"")</f>
        <v>2.3002988796010721E-2</v>
      </c>
      <c r="O83" s="45" t="str">
        <f ca="1">IFERROR(AVERAGEIFS(INDIRECT("Tabela1["&amp;$B83&amp;"]"),Tabela1[Mês],O$3)/100,"")</f>
        <v/>
      </c>
      <c r="P83" s="46" t="str">
        <f ca="1">IFERROR(AVERAGEIFS(INDIRECT("Tabela1["&amp;$B83&amp;"]"),Tabela1[Mês],P$3)/100,"")</f>
        <v/>
      </c>
      <c r="Q83" s="63"/>
      <c r="R83" s="37">
        <f ca="1">IFERROR(AVERAGEIFS(INDIRECT("Tabela1["&amp;$B83&amp;"]"),Tabela1[Data Corrigida],R$3)/100,"")</f>
        <v>2.5797356542698161E-2</v>
      </c>
      <c r="S83" s="38">
        <f ca="1">IFERROR(AVERAGEIFS(INDIRECT("Tabela1["&amp;$B83&amp;"]"),Tabela1[Data Corrigida],S$3)/100,"")</f>
        <v>2.5423552999405571E-2</v>
      </c>
      <c r="T83" s="38">
        <f ca="1">IFERROR(AVERAGEIFS(INDIRECT("Tabela1["&amp;$B83&amp;"]"),Tabela1[Data Corrigida],T$3)/100,"")</f>
        <v>2.8615314826843895E-2</v>
      </c>
      <c r="U83" s="38">
        <f ca="1">IFERROR(AVERAGEIFS(INDIRECT("Tabela1["&amp;$B83&amp;"]"),Tabela1[Data Corrigida],U$3)/100,"")</f>
        <v>2.5668475156408403E-2</v>
      </c>
      <c r="V83" s="38">
        <f ca="1">IFERROR(AVERAGEIFS(INDIRECT("Tabela1["&amp;$B83&amp;"]"),Tabela1[Data Corrigida],V$3)/100,"")</f>
        <v>2.3411252069061292E-2</v>
      </c>
      <c r="W83" s="38">
        <f ca="1">IFERROR(AVERAGEIFS(INDIRECT("Tabela1["&amp;$B83&amp;"]"),Tabela1[Data Corrigida],W$3)/100,"")</f>
        <v>2.0885325854269957E-2</v>
      </c>
      <c r="X83" s="38">
        <f ca="1">IFERROR(AVERAGEIFS(INDIRECT("Tabela1["&amp;$B83&amp;"]"),Tabela1[Data Corrigida],X$3)/100,"")</f>
        <v>1.9188287067025092E-2</v>
      </c>
      <c r="Y83" s="38">
        <f ca="1">IFERROR(AVERAGEIFS(INDIRECT("Tabela1["&amp;$B83&amp;"]"),Tabela1[Data Corrigida],Y$3)/100,"")</f>
        <v>1.326710816777042E-2</v>
      </c>
      <c r="Z83" s="38" t="str">
        <f ca="1">IFERROR(AVERAGEIFS(INDIRECT("Tabela1["&amp;$B83&amp;"]"),Tabela1[Data Corrigida],Z$3)/100,"")</f>
        <v/>
      </c>
      <c r="AA83" s="38" t="str">
        <f ca="1">IFERROR(AVERAGEIFS(INDIRECT("Tabela1["&amp;$B83&amp;"]"),Tabela1[Data Corrigida],AA$3)/100,"")</f>
        <v/>
      </c>
      <c r="AB83" s="38" t="str">
        <f ca="1">IFERROR(AVERAGEIFS(INDIRECT("Tabela1["&amp;$B83&amp;"]"),Tabela1[Data Corrigida],AB$3)/100,"")</f>
        <v/>
      </c>
      <c r="AC83" s="38" t="str">
        <f ca="1">IFERROR(AVERAGEIFS(INDIRECT("Tabela1["&amp;$B83&amp;"]"),Tabela1[Data Corrigida],AC$3)/100,"")</f>
        <v/>
      </c>
      <c r="AD83" s="38" t="str">
        <f ca="1">IFERROR(AVERAGEIFS(INDIRECT("Tabela1["&amp;$B83&amp;"]"),Tabela1[Data Corrigida],AD$3)/100,"")</f>
        <v/>
      </c>
      <c r="AE83" s="38" t="str">
        <f ca="1">IFERROR(AVERAGEIFS(INDIRECT("Tabela1["&amp;$B83&amp;"]"),Tabela1[Data Corrigida],AE$3)/100,"")</f>
        <v/>
      </c>
      <c r="AF83" s="38" t="str">
        <f ca="1">IFERROR(AVERAGEIFS(INDIRECT("Tabela1["&amp;$B83&amp;"]"),Tabela1[Data Corrigida],AF$3)/100,"")</f>
        <v/>
      </c>
      <c r="AG83" s="38" t="str">
        <f ca="1">IFERROR(AVERAGEIFS(INDIRECT("Tabela1["&amp;$B83&amp;"]"),Tabela1[Data Corrigida],AG$3)/100,"")</f>
        <v/>
      </c>
      <c r="AH83" s="38" t="str">
        <f ca="1">IFERROR(AVERAGEIFS(INDIRECT("Tabela1["&amp;$B83&amp;"]"),Tabela1[Data Corrigida],AH$3)/100,"")</f>
        <v/>
      </c>
      <c r="AI83" s="38" t="str">
        <f ca="1">IFERROR(AVERAGEIFS(INDIRECT("Tabela1["&amp;$B83&amp;"]"),Tabela1[Data Corrigida],AI$3)/100,"")</f>
        <v/>
      </c>
      <c r="AJ83" s="38" t="str">
        <f ca="1">IFERROR(AVERAGEIFS(INDIRECT("Tabela1["&amp;$B83&amp;"]"),Tabela1[Data Corrigida],AJ$3)/100,"")</f>
        <v/>
      </c>
      <c r="AK83" s="38" t="str">
        <f ca="1">IFERROR(AVERAGEIFS(INDIRECT("Tabela1["&amp;$B83&amp;"]"),Tabela1[Data Corrigida],AK$3)/100,"")</f>
        <v/>
      </c>
      <c r="AL83" s="38" t="str">
        <f ca="1">IFERROR(AVERAGEIFS(INDIRECT("Tabela1["&amp;$B83&amp;"]"),Tabela1[Data Corrigida],AL$3)/100,"")</f>
        <v/>
      </c>
      <c r="AM83" s="38" t="str">
        <f ca="1">IFERROR(AVERAGEIFS(INDIRECT("Tabela1["&amp;$B83&amp;"]"),Tabela1[Data Corrigida],AM$3)/100,"")</f>
        <v/>
      </c>
    </row>
    <row r="84" spans="1:39" ht="15" thickTop="1" x14ac:dyDescent="0.3">
      <c r="B84" s="9"/>
    </row>
    <row r="85" spans="1:39" x14ac:dyDescent="0.3">
      <c r="B85" s="9"/>
    </row>
    <row r="86" spans="1:39" x14ac:dyDescent="0.3">
      <c r="B86" s="9"/>
    </row>
    <row r="87" spans="1:39" x14ac:dyDescent="0.3">
      <c r="B87" s="9"/>
    </row>
    <row r="88" spans="1:39" x14ac:dyDescent="0.3">
      <c r="B88" s="9"/>
    </row>
    <row r="89" spans="1:39" x14ac:dyDescent="0.3">
      <c r="B89" s="9"/>
    </row>
    <row r="90" spans="1:39" x14ac:dyDescent="0.3">
      <c r="B90" s="9"/>
    </row>
    <row r="91" spans="1:39" x14ac:dyDescent="0.3">
      <c r="B91" s="9"/>
    </row>
    <row r="92" spans="1:39" x14ac:dyDescent="0.3">
      <c r="B92" s="9"/>
    </row>
    <row r="93" spans="1:39" x14ac:dyDescent="0.3">
      <c r="B93" s="9"/>
    </row>
    <row r="94" spans="1:39" x14ac:dyDescent="0.3">
      <c r="B94" s="9"/>
    </row>
    <row r="95" spans="1:39" x14ac:dyDescent="0.3">
      <c r="B95" s="9"/>
    </row>
    <row r="96" spans="1:39" x14ac:dyDescent="0.3">
      <c r="B96" s="9"/>
    </row>
    <row r="97" spans="2:2" x14ac:dyDescent="0.3">
      <c r="B97" s="9"/>
    </row>
    <row r="98" spans="2:2" x14ac:dyDescent="0.3">
      <c r="B98" s="9"/>
    </row>
    <row r="99" spans="2:2" x14ac:dyDescent="0.3">
      <c r="B99" s="9"/>
    </row>
    <row r="100" spans="2:2" x14ac:dyDescent="0.3">
      <c r="B100" s="9"/>
    </row>
    <row r="101" spans="2:2" x14ac:dyDescent="0.3">
      <c r="B101" s="9"/>
    </row>
    <row r="102" spans="2:2" x14ac:dyDescent="0.3">
      <c r="B102" s="9"/>
    </row>
    <row r="103" spans="2:2" x14ac:dyDescent="0.3">
      <c r="B103" s="9"/>
    </row>
    <row r="104" spans="2:2" x14ac:dyDescent="0.3">
      <c r="B104" s="9"/>
    </row>
    <row r="105" spans="2:2" x14ac:dyDescent="0.3">
      <c r="B105" s="9"/>
    </row>
    <row r="106" spans="2:2" x14ac:dyDescent="0.3">
      <c r="B106" s="9"/>
    </row>
    <row r="107" spans="2:2" x14ac:dyDescent="0.3">
      <c r="B107" s="9"/>
    </row>
    <row r="108" spans="2:2" x14ac:dyDescent="0.3">
      <c r="B108" s="9"/>
    </row>
    <row r="109" spans="2:2" x14ac:dyDescent="0.3">
      <c r="B109" s="9"/>
    </row>
    <row r="110" spans="2:2" x14ac:dyDescent="0.3">
      <c r="B110" s="9"/>
    </row>
    <row r="111" spans="2:2" x14ac:dyDescent="0.3">
      <c r="B111" s="9"/>
    </row>
    <row r="112" spans="2:2" x14ac:dyDescent="0.3">
      <c r="B112" s="9"/>
    </row>
    <row r="113" spans="2:25" x14ac:dyDescent="0.3">
      <c r="B113" s="9"/>
      <c r="R113" s="7" t="s">
        <v>134</v>
      </c>
    </row>
    <row r="114" spans="2:25" x14ac:dyDescent="0.3">
      <c r="B114" s="9"/>
      <c r="R114" s="5">
        <v>46296</v>
      </c>
      <c r="S114" s="5">
        <v>46297</v>
      </c>
      <c r="T114" s="5">
        <v>46300</v>
      </c>
      <c r="U114" s="5">
        <v>46301</v>
      </c>
      <c r="V114" s="5">
        <v>46302</v>
      </c>
      <c r="W114" s="5">
        <v>46303</v>
      </c>
      <c r="X114" s="5">
        <v>46304</v>
      </c>
      <c r="Y114" s="5">
        <v>46308</v>
      </c>
    </row>
    <row r="115" spans="2:25" x14ac:dyDescent="0.3">
      <c r="B115" s="9"/>
    </row>
    <row r="116" spans="2:25" x14ac:dyDescent="0.3">
      <c r="B116" s="9"/>
    </row>
    <row r="117" spans="2:25" x14ac:dyDescent="0.3">
      <c r="B117" s="9"/>
    </row>
    <row r="118" spans="2:25" x14ac:dyDescent="0.3">
      <c r="B118" s="9"/>
    </row>
    <row r="119" spans="2:25" x14ac:dyDescent="0.3">
      <c r="B119" s="9"/>
    </row>
    <row r="120" spans="2:25" x14ac:dyDescent="0.3">
      <c r="B120" s="9"/>
    </row>
    <row r="121" spans="2:25" x14ac:dyDescent="0.3">
      <c r="B121" s="9"/>
    </row>
    <row r="122" spans="2:25" x14ac:dyDescent="0.3">
      <c r="B122" s="9"/>
    </row>
    <row r="123" spans="2:25" x14ac:dyDescent="0.3">
      <c r="B123" s="9"/>
    </row>
    <row r="124" spans="2:25" x14ac:dyDescent="0.3">
      <c r="B124" s="9"/>
    </row>
    <row r="125" spans="2:25" x14ac:dyDescent="0.3">
      <c r="B125" s="9"/>
    </row>
    <row r="126" spans="2:25" x14ac:dyDescent="0.3">
      <c r="B126" s="9"/>
    </row>
    <row r="127" spans="2:25" x14ac:dyDescent="0.3">
      <c r="B127" s="9"/>
    </row>
    <row r="128" spans="2:25" x14ac:dyDescent="0.3">
      <c r="B128" s="9"/>
    </row>
    <row r="129" spans="2:2" x14ac:dyDescent="0.3">
      <c r="B129" s="9"/>
    </row>
    <row r="130" spans="2:2" x14ac:dyDescent="0.3">
      <c r="B130" s="9"/>
    </row>
    <row r="131" spans="2:2" x14ac:dyDescent="0.3">
      <c r="B131" s="9"/>
    </row>
    <row r="132" spans="2:2" x14ac:dyDescent="0.3">
      <c r="B132" s="9"/>
    </row>
    <row r="133" spans="2:2" x14ac:dyDescent="0.3">
      <c r="B133" s="9"/>
    </row>
    <row r="134" spans="2:2" x14ac:dyDescent="0.3">
      <c r="B134" s="9"/>
    </row>
    <row r="135" spans="2:2" x14ac:dyDescent="0.3">
      <c r="B135" s="9"/>
    </row>
    <row r="136" spans="2:2" x14ac:dyDescent="0.3">
      <c r="B136" s="9"/>
    </row>
    <row r="137" spans="2:2" x14ac:dyDescent="0.3">
      <c r="B137" s="9"/>
    </row>
    <row r="138" spans="2:2" x14ac:dyDescent="0.3">
      <c r="B138" s="9"/>
    </row>
    <row r="139" spans="2:2" x14ac:dyDescent="0.3">
      <c r="B139" s="9"/>
    </row>
    <row r="140" spans="2:2" x14ac:dyDescent="0.3">
      <c r="B140" s="9"/>
    </row>
    <row r="141" spans="2:2" x14ac:dyDescent="0.3">
      <c r="B141" s="9"/>
    </row>
    <row r="142" spans="2:2" x14ac:dyDescent="0.3">
      <c r="B142" s="9"/>
    </row>
    <row r="143" spans="2:2" x14ac:dyDescent="0.3">
      <c r="B143" s="9"/>
    </row>
    <row r="144" spans="2:2" x14ac:dyDescent="0.3">
      <c r="B144" s="9"/>
    </row>
    <row r="145" spans="2:2" x14ac:dyDescent="0.3">
      <c r="B145" s="9"/>
    </row>
    <row r="146" spans="2:2" x14ac:dyDescent="0.3">
      <c r="B146" s="9"/>
    </row>
    <row r="147" spans="2:2" x14ac:dyDescent="0.3">
      <c r="B147" s="9"/>
    </row>
    <row r="148" spans="2:2" x14ac:dyDescent="0.3">
      <c r="B148" s="9"/>
    </row>
    <row r="149" spans="2:2" x14ac:dyDescent="0.3">
      <c r="B149" s="9"/>
    </row>
    <row r="150" spans="2:2" x14ac:dyDescent="0.3">
      <c r="B150" s="9"/>
    </row>
    <row r="151" spans="2:2" x14ac:dyDescent="0.3">
      <c r="B151" s="9"/>
    </row>
    <row r="152" spans="2:2" x14ac:dyDescent="0.3">
      <c r="B152" s="9"/>
    </row>
    <row r="153" spans="2:2" x14ac:dyDescent="0.3">
      <c r="B153" s="9"/>
    </row>
    <row r="154" spans="2:2" x14ac:dyDescent="0.3">
      <c r="B154" s="9"/>
    </row>
    <row r="155" spans="2:2" x14ac:dyDescent="0.3">
      <c r="B155" s="9"/>
    </row>
    <row r="156" spans="2:2" x14ac:dyDescent="0.3">
      <c r="B156" s="9"/>
    </row>
    <row r="157" spans="2:2" x14ac:dyDescent="0.3">
      <c r="B157" s="9"/>
    </row>
    <row r="158" spans="2:2" x14ac:dyDescent="0.3">
      <c r="B158" s="9"/>
    </row>
    <row r="159" spans="2:2" x14ac:dyDescent="0.3">
      <c r="B159" s="9"/>
    </row>
    <row r="160" spans="2:2" x14ac:dyDescent="0.3">
      <c r="B160" s="9"/>
    </row>
    <row r="161" spans="2:2" x14ac:dyDescent="0.3">
      <c r="B161" s="9"/>
    </row>
    <row r="162" spans="2:2" x14ac:dyDescent="0.3">
      <c r="B162" s="9"/>
    </row>
    <row r="163" spans="2:2" x14ac:dyDescent="0.3">
      <c r="B163" s="9"/>
    </row>
  </sheetData>
  <mergeCells count="52">
    <mergeCell ref="Q66:Q68"/>
    <mergeCell ref="Q69:Q71"/>
    <mergeCell ref="Q72:Q74"/>
    <mergeCell ref="C72:C74"/>
    <mergeCell ref="C63:C65"/>
    <mergeCell ref="Q21:Q23"/>
    <mergeCell ref="Q24:Q26"/>
    <mergeCell ref="Q27:Q29"/>
    <mergeCell ref="Q30:Q32"/>
    <mergeCell ref="Q33:Q35"/>
    <mergeCell ref="Q6:Q8"/>
    <mergeCell ref="Q9:Q11"/>
    <mergeCell ref="Q12:Q14"/>
    <mergeCell ref="Q15:Q17"/>
    <mergeCell ref="Q18:Q20"/>
    <mergeCell ref="C21:C23"/>
    <mergeCell ref="C24:C26"/>
    <mergeCell ref="C27:C29"/>
    <mergeCell ref="Q42:Q44"/>
    <mergeCell ref="C66:C68"/>
    <mergeCell ref="C45:C47"/>
    <mergeCell ref="C48:C50"/>
    <mergeCell ref="C51:C53"/>
    <mergeCell ref="C54:C56"/>
    <mergeCell ref="C57:C59"/>
    <mergeCell ref="Q45:Q47"/>
    <mergeCell ref="C60:C62"/>
    <mergeCell ref="Q48:Q50"/>
    <mergeCell ref="Q51:Q53"/>
    <mergeCell ref="Q54:Q56"/>
    <mergeCell ref="Q57:Q59"/>
    <mergeCell ref="C6:C8"/>
    <mergeCell ref="C9:C11"/>
    <mergeCell ref="C12:C14"/>
    <mergeCell ref="C15:C17"/>
    <mergeCell ref="C18:C20"/>
    <mergeCell ref="C81:C83"/>
    <mergeCell ref="Q81:Q83"/>
    <mergeCell ref="C30:C32"/>
    <mergeCell ref="C33:C35"/>
    <mergeCell ref="C36:C38"/>
    <mergeCell ref="C39:C41"/>
    <mergeCell ref="C69:C71"/>
    <mergeCell ref="Q60:Q62"/>
    <mergeCell ref="C42:C44"/>
    <mergeCell ref="Q36:Q38"/>
    <mergeCell ref="Q39:Q41"/>
    <mergeCell ref="C78:C80"/>
    <mergeCell ref="Q78:Q80"/>
    <mergeCell ref="C75:C77"/>
    <mergeCell ref="Q75:Q77"/>
    <mergeCell ref="Q63:Q65"/>
  </mergeCells>
  <conditionalFormatting sqref="R6:X8">
    <cfRule type="cellIs" dxfId="114" priority="145" operator="greaterThan">
      <formula>$Q$6</formula>
    </cfRule>
  </conditionalFormatting>
  <conditionalFormatting sqref="R9:X11">
    <cfRule type="cellIs" dxfId="113" priority="144" operator="greaterThan">
      <formula>$Q$9</formula>
    </cfRule>
  </conditionalFormatting>
  <conditionalFormatting sqref="R12:X14">
    <cfRule type="cellIs" dxfId="112" priority="143" operator="greaterThan">
      <formula>$Q$12</formula>
    </cfRule>
  </conditionalFormatting>
  <conditionalFormatting sqref="R15:X17">
    <cfRule type="cellIs" dxfId="111" priority="142" operator="greaterThan">
      <formula>$Q$15</formula>
    </cfRule>
  </conditionalFormatting>
  <conditionalFormatting sqref="R18:X20">
    <cfRule type="cellIs" dxfId="110" priority="141" operator="greaterThan">
      <formula>$Q$18</formula>
    </cfRule>
  </conditionalFormatting>
  <conditionalFormatting sqref="R21:X23">
    <cfRule type="cellIs" dxfId="109" priority="140" operator="greaterThan">
      <formula>$Q$21</formula>
    </cfRule>
  </conditionalFormatting>
  <conditionalFormatting sqref="R24:X26">
    <cfRule type="cellIs" dxfId="108" priority="139" operator="greaterThan">
      <formula>$Q$24</formula>
    </cfRule>
  </conditionalFormatting>
  <conditionalFormatting sqref="R27:X29">
    <cfRule type="cellIs" dxfId="107" priority="138" operator="greaterThan">
      <formula>$Q$27</formula>
    </cfRule>
  </conditionalFormatting>
  <conditionalFormatting sqref="R30:X32">
    <cfRule type="cellIs" dxfId="106" priority="137" operator="greaterThan">
      <formula>$Q$30</formula>
    </cfRule>
  </conditionalFormatting>
  <conditionalFormatting sqref="R33:X35">
    <cfRule type="cellIs" dxfId="105" priority="136" operator="greaterThan">
      <formula>$Q$33</formula>
    </cfRule>
  </conditionalFormatting>
  <conditionalFormatting sqref="R36:X38">
    <cfRule type="cellIs" dxfId="104" priority="135" operator="greaterThan">
      <formula>$Q$36</formula>
    </cfRule>
  </conditionalFormatting>
  <conditionalFormatting sqref="R39:X41">
    <cfRule type="cellIs" dxfId="103" priority="134" operator="greaterThan">
      <formula>$Q$39</formula>
    </cfRule>
  </conditionalFormatting>
  <conditionalFormatting sqref="R42:X44">
    <cfRule type="cellIs" dxfId="102" priority="133" operator="greaterThan">
      <formula>$Q$42</formula>
    </cfRule>
  </conditionalFormatting>
  <conditionalFormatting sqref="R45:X47">
    <cfRule type="cellIs" dxfId="101" priority="132" operator="greaterThan">
      <formula>$Q$45</formula>
    </cfRule>
  </conditionalFormatting>
  <conditionalFormatting sqref="R48:X50">
    <cfRule type="cellIs" dxfId="100" priority="131" operator="greaterThan">
      <formula>$Q$48</formula>
    </cfRule>
  </conditionalFormatting>
  <conditionalFormatting sqref="R51:X53">
    <cfRule type="cellIs" dxfId="99" priority="130" operator="greaterThan">
      <formula>$Q$51</formula>
    </cfRule>
  </conditionalFormatting>
  <conditionalFormatting sqref="R54:X56">
    <cfRule type="cellIs" dxfId="98" priority="129" operator="greaterThan">
      <formula>$Q$54</formula>
    </cfRule>
  </conditionalFormatting>
  <conditionalFormatting sqref="R57:X59">
    <cfRule type="cellIs" dxfId="97" priority="128" operator="greaterThan">
      <formula>$Q$57</formula>
    </cfRule>
  </conditionalFormatting>
  <conditionalFormatting sqref="R60:X62">
    <cfRule type="cellIs" dxfId="96" priority="127" operator="greaterThan">
      <formula>$Q$60</formula>
    </cfRule>
  </conditionalFormatting>
  <conditionalFormatting sqref="R63:X65">
    <cfRule type="cellIs" dxfId="95" priority="126" operator="greaterThan">
      <formula>$Q$63</formula>
    </cfRule>
  </conditionalFormatting>
  <conditionalFormatting sqref="R66:X68">
    <cfRule type="cellIs" dxfId="94" priority="125" operator="greaterThan">
      <formula>$Q$66</formula>
    </cfRule>
  </conditionalFormatting>
  <conditionalFormatting sqref="R69:X71">
    <cfRule type="cellIs" dxfId="93" priority="124" operator="greaterThan">
      <formula>$Q$69</formula>
    </cfRule>
  </conditionalFormatting>
  <conditionalFormatting sqref="R72:X74">
    <cfRule type="cellIs" dxfId="92" priority="123" operator="greaterThan">
      <formula>$Q$72</formula>
    </cfRule>
  </conditionalFormatting>
  <conditionalFormatting sqref="E8:P8">
    <cfRule type="colorScale" priority="122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11:P11">
    <cfRule type="colorScale" priority="121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17:P17">
    <cfRule type="colorScale" priority="119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26:P26">
    <cfRule type="colorScale" priority="116">
      <colorScale>
        <cfvo type="num" val="0.03"/>
        <cfvo type="num" val="0.05"/>
        <cfvo type="num" val="0.8"/>
        <color rgb="FF63BE7B"/>
        <color rgb="FFFFEB84"/>
        <color rgb="FFF8696B"/>
      </colorScale>
    </cfRule>
  </conditionalFormatting>
  <conditionalFormatting sqref="E29:P29">
    <cfRule type="colorScale" priority="115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44:P44">
    <cfRule type="colorScale" priority="110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62:P62">
    <cfRule type="colorScale" priority="104">
      <colorScale>
        <cfvo type="num" val="0.28000000000000003"/>
        <cfvo type="num" val="0.34"/>
        <cfvo type="num" val="0.4"/>
        <color rgb="FF63BE7B"/>
        <color rgb="FFFFEB84"/>
        <color rgb="FFF8696B"/>
      </colorScale>
    </cfRule>
  </conditionalFormatting>
  <conditionalFormatting sqref="E65:P65">
    <cfRule type="colorScale" priority="103">
      <colorScale>
        <cfvo type="num" val="0.14499999999999999"/>
        <cfvo type="num" val="0.18"/>
        <cfvo type="num" val="0.22"/>
        <color rgb="FF63BE7B"/>
        <color rgb="FFFFEB84"/>
        <color rgb="FFF8696B"/>
      </colorScale>
    </cfRule>
  </conditionalFormatting>
  <conditionalFormatting sqref="R75:X77">
    <cfRule type="cellIs" dxfId="91" priority="99" operator="greaterThan">
      <formula>$Q$72</formula>
    </cfRule>
  </conditionalFormatting>
  <conditionalFormatting sqref="R78:X80">
    <cfRule type="cellIs" dxfId="90" priority="97" operator="greaterThan">
      <formula>$Q$72</formula>
    </cfRule>
  </conditionalFormatting>
  <conditionalFormatting sqref="Y6:AM8">
    <cfRule type="cellIs" dxfId="89" priority="45" operator="greaterThan">
      <formula>$Q$6</formula>
    </cfRule>
  </conditionalFormatting>
  <conditionalFormatting sqref="Y9:AM11">
    <cfRule type="cellIs" dxfId="88" priority="44" operator="greaterThan">
      <formula>$Q$9</formula>
    </cfRule>
  </conditionalFormatting>
  <conditionalFormatting sqref="Y12:AM14">
    <cfRule type="cellIs" dxfId="87" priority="43" operator="greaterThan">
      <formula>$Q$12</formula>
    </cfRule>
  </conditionalFormatting>
  <conditionalFormatting sqref="Y15:AM17">
    <cfRule type="cellIs" dxfId="86" priority="42" operator="greaterThan">
      <formula>$Q$15</formula>
    </cfRule>
  </conditionalFormatting>
  <conditionalFormatting sqref="Y18:AM20">
    <cfRule type="cellIs" dxfId="85" priority="41" operator="greaterThan">
      <formula>$Q$18</formula>
    </cfRule>
  </conditionalFormatting>
  <conditionalFormatting sqref="Y21:AM23">
    <cfRule type="cellIs" dxfId="84" priority="40" operator="greaterThan">
      <formula>$Q$21</formula>
    </cfRule>
  </conditionalFormatting>
  <conditionalFormatting sqref="Y24:AM26">
    <cfRule type="cellIs" dxfId="83" priority="39" operator="greaterThan">
      <formula>$Q$24</formula>
    </cfRule>
  </conditionalFormatting>
  <conditionalFormatting sqref="Y27:AM29">
    <cfRule type="cellIs" dxfId="82" priority="38" operator="greaterThan">
      <formula>$Q$27</formula>
    </cfRule>
  </conditionalFormatting>
  <conditionalFormatting sqref="Y30:AM32">
    <cfRule type="cellIs" dxfId="81" priority="37" operator="greaterThan">
      <formula>$Q$30</formula>
    </cfRule>
  </conditionalFormatting>
  <conditionalFormatting sqref="Y33:AM35">
    <cfRule type="cellIs" dxfId="80" priority="36" operator="greaterThan">
      <formula>$Q$33</formula>
    </cfRule>
  </conditionalFormatting>
  <conditionalFormatting sqref="Y36:AM38">
    <cfRule type="cellIs" dxfId="79" priority="35" operator="greaterThan">
      <formula>$Q$36</formula>
    </cfRule>
  </conditionalFormatting>
  <conditionalFormatting sqref="Y39:AM41">
    <cfRule type="cellIs" dxfId="78" priority="34" operator="greaterThan">
      <formula>$Q$39</formula>
    </cfRule>
  </conditionalFormatting>
  <conditionalFormatting sqref="Y42:AM44">
    <cfRule type="cellIs" dxfId="77" priority="33" operator="greaterThan">
      <formula>$Q$42</formula>
    </cfRule>
  </conditionalFormatting>
  <conditionalFormatting sqref="Y45:AM47">
    <cfRule type="cellIs" dxfId="76" priority="32" operator="greaterThan">
      <formula>$Q$45</formula>
    </cfRule>
  </conditionalFormatting>
  <conditionalFormatting sqref="Y48:AM50">
    <cfRule type="cellIs" dxfId="75" priority="31" operator="greaterThan">
      <formula>$Q$48</formula>
    </cfRule>
  </conditionalFormatting>
  <conditionalFormatting sqref="Y51:AM53">
    <cfRule type="cellIs" dxfId="74" priority="30" operator="greaterThan">
      <formula>$Q$51</formula>
    </cfRule>
  </conditionalFormatting>
  <conditionalFormatting sqref="Y54:AM56">
    <cfRule type="cellIs" dxfId="73" priority="29" operator="greaterThan">
      <formula>$Q$54</formula>
    </cfRule>
  </conditionalFormatting>
  <conditionalFormatting sqref="Y57:AM59">
    <cfRule type="cellIs" dxfId="72" priority="28" operator="greaterThan">
      <formula>$Q$57</formula>
    </cfRule>
  </conditionalFormatting>
  <conditionalFormatting sqref="Y60:AM62">
    <cfRule type="cellIs" dxfId="71" priority="27" operator="greaterThan">
      <formula>$Q$60</formula>
    </cfRule>
  </conditionalFormatting>
  <conditionalFormatting sqref="Y63:AM65">
    <cfRule type="cellIs" dxfId="70" priority="26" operator="greaterThan">
      <formula>$Q$63</formula>
    </cfRule>
  </conditionalFormatting>
  <conditionalFormatting sqref="Y66:AM68">
    <cfRule type="cellIs" dxfId="69" priority="25" operator="greaterThan">
      <formula>$Q$66</formula>
    </cfRule>
  </conditionalFormatting>
  <conditionalFormatting sqref="Y69:AM71">
    <cfRule type="cellIs" dxfId="68" priority="24" operator="greaterThan">
      <formula>$Q$69</formula>
    </cfRule>
  </conditionalFormatting>
  <conditionalFormatting sqref="Y72:AM74">
    <cfRule type="cellIs" dxfId="67" priority="23" operator="greaterThan">
      <formula>$Q$72</formula>
    </cfRule>
  </conditionalFormatting>
  <conditionalFormatting sqref="Y75:AM77">
    <cfRule type="cellIs" dxfId="66" priority="22" operator="greaterThan">
      <formula>$Q$72</formula>
    </cfRule>
  </conditionalFormatting>
  <conditionalFormatting sqref="Y78:AM80">
    <cfRule type="cellIs" dxfId="65" priority="21" operator="greaterThan">
      <formula>$Q$72</formula>
    </cfRule>
  </conditionalFormatting>
  <conditionalFormatting sqref="E14:P14">
    <cfRule type="colorScale" priority="20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20:P20">
    <cfRule type="colorScale" priority="19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71:P71">
    <cfRule type="colorScale" priority="18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74:P74">
    <cfRule type="colorScale" priority="17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80:P80">
    <cfRule type="colorScale" priority="16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47:P47">
    <cfRule type="colorScale" priority="15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23:P23">
    <cfRule type="colorScale" priority="14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0:P50">
    <cfRule type="colorScale" priority="13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6:P56">
    <cfRule type="colorScale" priority="12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9:P59">
    <cfRule type="colorScale" priority="11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77:P77">
    <cfRule type="colorScale" priority="10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68:P68">
    <cfRule type="colorScale" priority="9">
      <colorScale>
        <cfvo type="num" val="0.03"/>
        <cfvo type="num" val="0.05"/>
        <cfvo type="num" val="0.8"/>
        <color rgb="FF63BE7B"/>
        <color rgb="FFFFEB84"/>
        <color rgb="FFF8696B"/>
      </colorScale>
    </cfRule>
  </conditionalFormatting>
  <conditionalFormatting sqref="E32:P32">
    <cfRule type="colorScale" priority="8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35:P35">
    <cfRule type="colorScale" priority="7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38:P38">
    <cfRule type="colorScale" priority="6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41:P41">
    <cfRule type="colorScale" priority="5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53:P53">
    <cfRule type="colorScale" priority="4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R81:X83">
    <cfRule type="cellIs" dxfId="64" priority="3" operator="greaterThan">
      <formula>$Q$72</formula>
    </cfRule>
  </conditionalFormatting>
  <conditionalFormatting sqref="Y81:AM83">
    <cfRule type="cellIs" dxfId="63" priority="2" operator="greaterThan">
      <formula>$Q$72</formula>
    </cfRule>
  </conditionalFormatting>
  <conditionalFormatting sqref="E83:P83">
    <cfRule type="colorScale" priority="1">
      <colorScale>
        <cfvo type="num" val="0"/>
        <cfvo type="num" val="1.4999999999999999E-2"/>
        <cfvo type="num" val="0.03"/>
        <color rgb="FF63BE7B"/>
        <color rgb="FFFFEB84"/>
        <color rgb="FFF8696B"/>
      </colorScale>
    </cfRule>
  </conditionalFormatting>
  <pageMargins left="0" right="0" top="0.19685039370078741" bottom="0.19685039370078741" header="0" footer="0"/>
  <pageSetup paperSize="9" scale="65" fitToWidth="0" orientation="portrait" r:id="rId2"/>
  <ignoredErrors>
    <ignoredError sqref="R8:X11 R68:X74 E8:P11 E68:P71 E21:P65 R21:X65 E15:P17 R15:X17 E74:P74 E76:Q77 E75:P75 R75:X75 Y8:AM77 R76:X77 Y78:AM80 E78:X80 AN78:AN80" formula="1"/>
  </ignoredErrors>
  <drawing r:id="rId3"/>
  <tableParts count="1">
    <tablePart r:id="rId4"/>
  </tableParts>
  <extLst>
    <ext xmlns:x14="http://schemas.microsoft.com/office/spreadsheetml/2009/9/main" uri="{A8765BA9-456A-4dab-B4F3-ACF838C121DE}">
      <x14:slicerList>
        <x14:slicer r:id="rId5"/>
      </x14:slicerList>
    </ext>
    <ext xmlns:x15="http://schemas.microsoft.com/office/spreadsheetml/2010/11/main" uri="{3A4CF648-6AED-40f4-86FF-DC5316D8AED3}">
      <x14:slicerList xmlns:x14="http://schemas.microsoft.com/office/spreadsheetml/2009/9/main">
        <x14:slicer r:id="rId6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372"/>
  <sheetViews>
    <sheetView topLeftCell="C344" workbookViewId="0">
      <selection activeCell="BF359" sqref="BF359:BM372"/>
    </sheetView>
  </sheetViews>
  <sheetFormatPr defaultRowHeight="14.4" x14ac:dyDescent="0.3"/>
  <cols>
    <col min="1" max="1" width="16.88671875" hidden="1" customWidth="1"/>
    <col min="2" max="2" width="12.5546875" hidden="1" customWidth="1"/>
    <col min="3" max="3" width="5" customWidth="1"/>
    <col min="4" max="4" width="19.88671875" hidden="1" customWidth="1"/>
    <col min="5" max="5" width="19" hidden="1" customWidth="1"/>
    <col min="6" max="6" width="9.88671875" hidden="1" customWidth="1"/>
    <col min="7" max="7" width="20" customWidth="1"/>
    <col min="8" max="8" width="10.5546875" hidden="1" customWidth="1"/>
    <col min="10" max="10" width="11" customWidth="1"/>
    <col min="11" max="11" width="13.5546875" style="1" customWidth="1"/>
    <col min="12" max="12" width="33.109375" customWidth="1"/>
    <col min="13" max="14" width="12.6640625" customWidth="1"/>
    <col min="15" max="22" width="9.88671875" customWidth="1"/>
    <col min="23" max="24" width="10.6640625" customWidth="1"/>
    <col min="25" max="30" width="9.88671875" customWidth="1"/>
    <col min="31" max="31" width="12.44140625" customWidth="1"/>
    <col min="32" max="32" width="12.33203125" customWidth="1"/>
    <col min="33" max="34" width="9.88671875" customWidth="1"/>
    <col min="35" max="35" width="10.88671875" customWidth="1"/>
    <col min="36" max="39" width="9.88671875" customWidth="1"/>
    <col min="40" max="41" width="10.6640625" customWidth="1"/>
    <col min="42" max="44" width="10" customWidth="1"/>
    <col min="45" max="45" width="12.5546875" customWidth="1"/>
    <col min="46" max="48" width="12.109375" customWidth="1"/>
    <col min="49" max="49" width="11.33203125" customWidth="1"/>
    <col min="50" max="52" width="9.88671875" customWidth="1"/>
    <col min="53" max="53" width="11.33203125" customWidth="1"/>
    <col min="54" max="65" width="9.88671875" customWidth="1"/>
    <col min="66" max="66" width="11.88671875" hidden="1" customWidth="1"/>
    <col min="67" max="67" width="9.88671875" customWidth="1"/>
  </cols>
  <sheetData>
    <row r="1" spans="1:67" s="2" customFormat="1" ht="57.75" customHeight="1" x14ac:dyDescent="0.3">
      <c r="A1" s="2" t="s">
        <v>126</v>
      </c>
      <c r="B1" s="2" t="s">
        <v>127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184</v>
      </c>
      <c r="K1" s="2" t="s">
        <v>187</v>
      </c>
      <c r="L1" s="2" t="s">
        <v>7</v>
      </c>
      <c r="M1" s="2" t="s">
        <v>203</v>
      </c>
      <c r="N1" s="2" t="s">
        <v>186</v>
      </c>
      <c r="O1" s="2" t="s">
        <v>204</v>
      </c>
      <c r="P1" s="2" t="s">
        <v>185</v>
      </c>
      <c r="Q1" s="2" t="s">
        <v>110</v>
      </c>
      <c r="R1" s="2" t="s">
        <v>200</v>
      </c>
      <c r="S1" s="2" t="s">
        <v>111</v>
      </c>
      <c r="T1" s="2" t="s">
        <v>201</v>
      </c>
      <c r="U1" s="2" t="s">
        <v>112</v>
      </c>
      <c r="V1" s="2" t="s">
        <v>202</v>
      </c>
      <c r="W1" s="2" t="s">
        <v>113</v>
      </c>
      <c r="X1" s="2" t="s">
        <v>135</v>
      </c>
      <c r="Y1" s="2" t="s">
        <v>114</v>
      </c>
      <c r="Z1" s="2" t="s">
        <v>136</v>
      </c>
      <c r="AA1" s="2" t="s">
        <v>115</v>
      </c>
      <c r="AB1" s="2" t="s">
        <v>189</v>
      </c>
      <c r="AC1" s="2" t="s">
        <v>116</v>
      </c>
      <c r="AD1" s="2" t="s">
        <v>190</v>
      </c>
      <c r="AE1" s="2" t="s">
        <v>117</v>
      </c>
      <c r="AF1" s="2" t="s">
        <v>191</v>
      </c>
      <c r="AG1" s="2" t="s">
        <v>118</v>
      </c>
      <c r="AH1" s="2" t="s">
        <v>192</v>
      </c>
      <c r="AI1" s="2" t="s">
        <v>8</v>
      </c>
      <c r="AJ1" s="2" t="s">
        <v>119</v>
      </c>
      <c r="AK1" s="2" t="s">
        <v>193</v>
      </c>
      <c r="AL1" s="2" t="s">
        <v>120</v>
      </c>
      <c r="AM1" s="2" t="s">
        <v>194</v>
      </c>
      <c r="AN1" s="2" t="s">
        <v>121</v>
      </c>
      <c r="AO1" s="2" t="s">
        <v>122</v>
      </c>
      <c r="AP1" s="2" t="s">
        <v>195</v>
      </c>
      <c r="AQ1" s="2" t="s">
        <v>701</v>
      </c>
      <c r="AR1" s="2" t="s">
        <v>702</v>
      </c>
      <c r="AS1" s="2" t="s">
        <v>123</v>
      </c>
      <c r="AT1" s="2" t="s">
        <v>196</v>
      </c>
      <c r="AU1" s="2" t="s">
        <v>124</v>
      </c>
      <c r="AV1" s="2" t="s">
        <v>197</v>
      </c>
      <c r="AW1" s="2" t="s">
        <v>125</v>
      </c>
      <c r="AX1" s="2" t="s">
        <v>9</v>
      </c>
      <c r="AY1" s="2" t="s">
        <v>10</v>
      </c>
      <c r="AZ1" s="2" t="s">
        <v>11</v>
      </c>
      <c r="BA1" s="2" t="s">
        <v>188</v>
      </c>
      <c r="BB1" s="2" t="s">
        <v>12</v>
      </c>
      <c r="BC1" s="2" t="s">
        <v>216</v>
      </c>
      <c r="BD1" s="2" t="s">
        <v>235</v>
      </c>
      <c r="BE1" s="2" t="s">
        <v>236</v>
      </c>
      <c r="BF1" s="2" t="s">
        <v>199</v>
      </c>
      <c r="BG1" s="2" t="s">
        <v>198</v>
      </c>
      <c r="BH1" s="2" t="s">
        <v>234</v>
      </c>
      <c r="BI1" s="2" t="s">
        <v>215</v>
      </c>
      <c r="BJ1" s="2" t="s">
        <v>13</v>
      </c>
      <c r="BK1" s="2" t="s">
        <v>261</v>
      </c>
      <c r="BL1" s="2" t="s">
        <v>260</v>
      </c>
      <c r="BM1" s="2" t="s">
        <v>262</v>
      </c>
      <c r="BN1" s="2" t="s">
        <v>14</v>
      </c>
      <c r="BO1" s="2" t="s">
        <v>15</v>
      </c>
    </row>
    <row r="2" spans="1:67" x14ac:dyDescent="0.3">
      <c r="A2" s="4">
        <f>INT(Tabela1[[#This Row],[Data e Hora]])</f>
        <v>46023</v>
      </c>
      <c r="B2" s="4" t="str">
        <f>UPPER(TEXT(Tabela1[[#This Row],[Data Corrigida]],"MMM"))</f>
        <v>JAN</v>
      </c>
      <c r="D2">
        <v>46023</v>
      </c>
      <c r="E2">
        <v>46023</v>
      </c>
      <c r="F2" t="s">
        <v>19</v>
      </c>
      <c r="G2" s="32">
        <v>46023.281157407408</v>
      </c>
      <c r="H2" t="s">
        <v>20</v>
      </c>
      <c r="I2" t="s">
        <v>21</v>
      </c>
      <c r="J2" s="1">
        <v>145</v>
      </c>
      <c r="K2" s="1">
        <v>3289</v>
      </c>
      <c r="L2" t="s">
        <v>23</v>
      </c>
      <c r="M2" s="31">
        <v>33.6</v>
      </c>
      <c r="N2" s="48">
        <f>Tabela1[[#This Row],[Pena após Depenadeira]]/Tabela1[[#This Row],[Velocidade (FPM)]]*100</f>
        <v>23.172413793103448</v>
      </c>
      <c r="O2" s="31">
        <v>22.62</v>
      </c>
      <c r="P2" s="48">
        <f>Tabela1[[#This Row],[Pena após Repasse]]/Tabela1[[#This Row],[Velocidade (FPM)]]*100</f>
        <v>15.6</v>
      </c>
      <c r="Q2" s="31"/>
      <c r="R2" s="31"/>
      <c r="S2" s="31">
        <v>1.19</v>
      </c>
      <c r="T2" s="31"/>
      <c r="U2" s="31">
        <v>0.92</v>
      </c>
      <c r="V2" s="31"/>
      <c r="W2" s="31">
        <v>0.8</v>
      </c>
      <c r="X2" s="31"/>
      <c r="Y2" s="31">
        <v>3.82</v>
      </c>
      <c r="Z2" s="3">
        <f>IFERROR(Tabela1[[#This Row],[Retorno Pés]]/(Tabela1[[#This Row],[Velocidade (FPM)]]*2)*100,"")</f>
        <v>1.3172413793103448</v>
      </c>
      <c r="AA2" s="1"/>
      <c r="AB2" s="3">
        <v>12.55</v>
      </c>
      <c r="AC2" s="1">
        <v>0</v>
      </c>
      <c r="AD2" s="3">
        <v>0</v>
      </c>
      <c r="AE2" s="1"/>
      <c r="AF2" s="3">
        <v>2.42</v>
      </c>
      <c r="AG2" s="1"/>
      <c r="AH2" s="3">
        <v>7.17</v>
      </c>
      <c r="AI2" s="1"/>
      <c r="AJ2" s="1"/>
      <c r="AK2" s="3">
        <v>6.02</v>
      </c>
      <c r="AL2" s="1"/>
      <c r="AM2" s="3">
        <v>3.05</v>
      </c>
      <c r="AN2" s="1"/>
      <c r="AO2" s="1"/>
      <c r="AP2" s="3">
        <v>17.84</v>
      </c>
      <c r="AQ2" s="3"/>
      <c r="AR2" s="3"/>
      <c r="AS2" s="1"/>
      <c r="AT2" s="3">
        <v>14.44</v>
      </c>
      <c r="AU2" s="1"/>
      <c r="AV2" s="3">
        <v>4.16</v>
      </c>
      <c r="AW2" s="1"/>
      <c r="AX2" s="1"/>
      <c r="AY2" s="1"/>
      <c r="AZ2" s="1"/>
      <c r="BA2" s="31">
        <v>44.19</v>
      </c>
      <c r="BB2" s="31">
        <v>0.9</v>
      </c>
      <c r="BC2" s="31">
        <v>2.4300000000000002</v>
      </c>
      <c r="BD2" s="31"/>
      <c r="BE2" s="54"/>
      <c r="BF2" s="31">
        <v>24.1</v>
      </c>
      <c r="BG2" s="31">
        <v>13.19</v>
      </c>
      <c r="BH2" s="6"/>
      <c r="BI2" s="6"/>
      <c r="BJ2" s="1"/>
      <c r="BK2" s="1">
        <v>3.45</v>
      </c>
      <c r="BL2" s="1">
        <v>0</v>
      </c>
      <c r="BM2" s="1">
        <v>4.68</v>
      </c>
    </row>
    <row r="3" spans="1:67" x14ac:dyDescent="0.3">
      <c r="A3" s="4">
        <f>INT(Tabela1[[#This Row],[Data e Hora]])</f>
        <v>46023</v>
      </c>
      <c r="B3" s="4" t="str">
        <f>UPPER(TEXT(Tabela1[[#This Row],[Data Corrigida]],"MMM"))</f>
        <v>JAN</v>
      </c>
      <c r="D3">
        <v>46023</v>
      </c>
      <c r="E3">
        <v>46023</v>
      </c>
      <c r="F3" t="s">
        <v>19</v>
      </c>
      <c r="G3" s="32">
        <v>46023.614490740743</v>
      </c>
      <c r="H3" t="s">
        <v>20</v>
      </c>
      <c r="I3" t="s">
        <v>33</v>
      </c>
      <c r="J3" s="1">
        <v>145</v>
      </c>
      <c r="K3" s="1">
        <v>3289</v>
      </c>
      <c r="M3" s="31">
        <v>27.69</v>
      </c>
      <c r="N3" s="48">
        <f>Tabela1[[#This Row],[Pena após Depenadeira]]/Tabela1[[#This Row],[Velocidade (FPM)]]*100</f>
        <v>19.096551724137932</v>
      </c>
      <c r="O3" s="31">
        <v>7.28</v>
      </c>
      <c r="P3" s="48">
        <f>Tabela1[[#This Row],[Pena após Repasse]]/Tabela1[[#This Row],[Velocidade (FPM)]]*100</f>
        <v>5.0206896551724141</v>
      </c>
      <c r="Q3" s="31"/>
      <c r="R3" s="31"/>
      <c r="S3" s="31">
        <v>1.1100000000000001</v>
      </c>
      <c r="T3" s="31"/>
      <c r="U3" s="31">
        <v>0.47</v>
      </c>
      <c r="V3" s="31"/>
      <c r="W3" s="31">
        <v>1.56</v>
      </c>
      <c r="X3" s="31"/>
      <c r="Y3" s="31">
        <v>5.43</v>
      </c>
      <c r="Z3" s="3">
        <f>IFERROR(Tabela1[[#This Row],[Retorno Pés]]/(Tabela1[[#This Row],[Velocidade (FPM)]]*2)*100,"")</f>
        <v>1.8724137931034481</v>
      </c>
      <c r="AA3" s="1"/>
      <c r="AB3" s="3">
        <v>8.4600000000000009</v>
      </c>
      <c r="AC3" s="1"/>
      <c r="AD3" s="3">
        <v>0.04</v>
      </c>
      <c r="AE3" s="1"/>
      <c r="AF3" s="3">
        <v>0.81</v>
      </c>
      <c r="AG3" s="1"/>
      <c r="AH3" s="3">
        <v>4.54</v>
      </c>
      <c r="AI3" s="1"/>
      <c r="AJ3" s="1"/>
      <c r="AK3" s="3">
        <v>2.37</v>
      </c>
      <c r="AL3" s="1"/>
      <c r="AM3" s="3">
        <v>0.52</v>
      </c>
      <c r="AN3" s="1"/>
      <c r="AO3" s="1"/>
      <c r="AP3" s="3">
        <v>14.8</v>
      </c>
      <c r="AQ3" s="3"/>
      <c r="AR3" s="3"/>
      <c r="AS3" s="1"/>
      <c r="AT3" s="3">
        <v>14.84</v>
      </c>
      <c r="AU3" s="1"/>
      <c r="AV3" s="3">
        <v>1.63</v>
      </c>
      <c r="AW3" s="1"/>
      <c r="AX3" s="1"/>
      <c r="AY3" s="1"/>
      <c r="AZ3" s="1"/>
      <c r="BA3" s="31">
        <v>39.22</v>
      </c>
      <c r="BB3" s="31">
        <v>0.06</v>
      </c>
      <c r="BC3" s="31">
        <v>0.06</v>
      </c>
      <c r="BD3" s="31"/>
      <c r="BE3" s="54"/>
      <c r="BF3" s="31">
        <v>23.22</v>
      </c>
      <c r="BG3" s="31">
        <v>8.61</v>
      </c>
      <c r="BH3" s="6"/>
      <c r="BI3" s="6"/>
      <c r="BJ3" s="1"/>
      <c r="BK3" s="6">
        <v>0.45</v>
      </c>
      <c r="BL3" s="6">
        <v>0.1</v>
      </c>
      <c r="BM3" s="6">
        <v>4</v>
      </c>
    </row>
    <row r="4" spans="1:67" x14ac:dyDescent="0.3">
      <c r="A4" s="4">
        <f>INT(Tabela1[[#This Row],[Data e Hora]])</f>
        <v>46054</v>
      </c>
      <c r="B4" s="4" t="str">
        <f>UPPER(TEXT(Tabela1[[#This Row],[Data Corrigida]],"MMM"))</f>
        <v>FEV</v>
      </c>
      <c r="D4">
        <v>46054</v>
      </c>
      <c r="E4">
        <v>46054</v>
      </c>
      <c r="F4" t="s">
        <v>19</v>
      </c>
      <c r="G4" s="32">
        <v>46054.281157407408</v>
      </c>
      <c r="H4" t="s">
        <v>20</v>
      </c>
      <c r="I4" t="s">
        <v>21</v>
      </c>
      <c r="J4" s="1">
        <v>145</v>
      </c>
      <c r="K4" s="1">
        <v>2933</v>
      </c>
      <c r="L4" t="s">
        <v>23</v>
      </c>
      <c r="M4" s="31">
        <v>12.4</v>
      </c>
      <c r="N4" s="48">
        <f>Tabela1[[#This Row],[Pena após Depenadeira]]/Tabela1[[#This Row],[Velocidade (FPM)]]*100</f>
        <v>8.5517241379310338</v>
      </c>
      <c r="O4" s="31">
        <v>21.17</v>
      </c>
      <c r="P4" s="48">
        <f>Tabela1[[#This Row],[Pena após Repasse]]/Tabela1[[#This Row],[Velocidade (FPM)]]*100</f>
        <v>14.600000000000001</v>
      </c>
      <c r="Q4" s="31"/>
      <c r="R4" s="31"/>
      <c r="S4" s="31">
        <v>0.7</v>
      </c>
      <c r="T4" s="31"/>
      <c r="U4" s="31">
        <v>0.77</v>
      </c>
      <c r="V4" s="31"/>
      <c r="W4" s="31">
        <v>1.4</v>
      </c>
      <c r="X4" s="31"/>
      <c r="Y4" s="31">
        <v>4.32</v>
      </c>
      <c r="Z4" s="3">
        <f>IFERROR(Tabela1[[#This Row],[Retorno Pés]]/(Tabela1[[#This Row],[Velocidade (FPM)]]*2)*100,"")</f>
        <v>1.4896551724137932</v>
      </c>
      <c r="AA4" s="1"/>
      <c r="AB4" s="3">
        <v>3.8</v>
      </c>
      <c r="AC4" s="1"/>
      <c r="AD4" s="3">
        <v>0</v>
      </c>
      <c r="AE4" s="1"/>
      <c r="AF4" s="3">
        <v>0</v>
      </c>
      <c r="AG4" s="1"/>
      <c r="AH4" s="3">
        <v>4.2699999999999996</v>
      </c>
      <c r="AI4" s="1"/>
      <c r="AJ4" s="1"/>
      <c r="AK4" s="3">
        <v>1.27</v>
      </c>
      <c r="AL4" s="1"/>
      <c r="AM4" s="3">
        <v>1.1299999999999999</v>
      </c>
      <c r="AN4" s="1"/>
      <c r="AO4" s="1"/>
      <c r="AP4" s="3">
        <v>6.58</v>
      </c>
      <c r="AQ4" s="3"/>
      <c r="AR4" s="3"/>
      <c r="AS4" s="1"/>
      <c r="AT4" s="3">
        <v>3.32</v>
      </c>
      <c r="AU4" s="1"/>
      <c r="AV4" s="3">
        <v>0.55000000000000004</v>
      </c>
      <c r="AW4" s="1"/>
      <c r="AX4" s="1"/>
      <c r="AY4" s="1"/>
      <c r="AZ4" s="1"/>
      <c r="BA4" s="31">
        <v>46.6</v>
      </c>
      <c r="BB4" s="31">
        <v>1</v>
      </c>
      <c r="BC4" s="31">
        <v>2.15</v>
      </c>
      <c r="BD4" s="31"/>
      <c r="BE4" s="54"/>
      <c r="BF4" s="31">
        <v>28.27</v>
      </c>
      <c r="BG4" s="31">
        <v>18.63</v>
      </c>
      <c r="BH4" s="6"/>
      <c r="BI4" s="6"/>
      <c r="BJ4" s="1"/>
      <c r="BK4" s="1">
        <v>1.29</v>
      </c>
      <c r="BL4" s="1">
        <v>0</v>
      </c>
      <c r="BM4" s="1">
        <v>3.79</v>
      </c>
    </row>
    <row r="5" spans="1:67" x14ac:dyDescent="0.3">
      <c r="A5" s="4">
        <f>INT(Tabela1[[#This Row],[Data e Hora]])</f>
        <v>46054</v>
      </c>
      <c r="B5" s="4" t="str">
        <f>UPPER(TEXT(Tabela1[[#This Row],[Data Corrigida]],"MMM"))</f>
        <v>FEV</v>
      </c>
      <c r="D5">
        <v>46054</v>
      </c>
      <c r="E5">
        <v>46054</v>
      </c>
      <c r="F5" t="s">
        <v>19</v>
      </c>
      <c r="G5" s="32">
        <v>46054.614490740743</v>
      </c>
      <c r="H5" t="s">
        <v>20</v>
      </c>
      <c r="I5" t="s">
        <v>33</v>
      </c>
      <c r="J5" s="1">
        <v>145</v>
      </c>
      <c r="K5" s="1">
        <v>2933</v>
      </c>
      <c r="M5" s="31">
        <v>32.729999999999997</v>
      </c>
      <c r="N5" s="48">
        <f>Tabela1[[#This Row],[Pena após Depenadeira]]/Tabela1[[#This Row],[Velocidade (FPM)]]*100</f>
        <v>22.572413793103447</v>
      </c>
      <c r="O5" s="31">
        <v>8.18</v>
      </c>
      <c r="P5" s="48">
        <f>Tabela1[[#This Row],[Pena após Repasse]]/Tabela1[[#This Row],[Velocidade (FPM)]]*100</f>
        <v>5.6413793103448278</v>
      </c>
      <c r="Q5" s="31"/>
      <c r="R5" s="31"/>
      <c r="S5" s="31">
        <v>1.45</v>
      </c>
      <c r="T5" s="31"/>
      <c r="U5" s="31">
        <v>0.8</v>
      </c>
      <c r="V5" s="31"/>
      <c r="W5" s="31">
        <v>1.05</v>
      </c>
      <c r="X5" s="31"/>
      <c r="Y5" s="31">
        <v>3.56</v>
      </c>
      <c r="Z5" s="3">
        <f>IFERROR(Tabela1[[#This Row],[Retorno Pés]]/(Tabela1[[#This Row],[Velocidade (FPM)]]*2)*100,"")</f>
        <v>1.2275862068965517</v>
      </c>
      <c r="AA5" s="1"/>
      <c r="AB5" s="3">
        <v>2.93</v>
      </c>
      <c r="AC5" s="1"/>
      <c r="AD5" s="3">
        <v>0.18</v>
      </c>
      <c r="AE5" s="1"/>
      <c r="AF5" s="3">
        <v>0.56000000000000005</v>
      </c>
      <c r="AG5" s="1"/>
      <c r="AH5" s="3">
        <v>3.1</v>
      </c>
      <c r="AI5" s="1"/>
      <c r="AJ5" s="1"/>
      <c r="AK5" s="3">
        <v>0.43</v>
      </c>
      <c r="AL5" s="1"/>
      <c r="AM5" s="3">
        <v>0.8</v>
      </c>
      <c r="AN5" s="1"/>
      <c r="AO5" s="1"/>
      <c r="AP5" s="3">
        <v>6.45</v>
      </c>
      <c r="AQ5" s="3"/>
      <c r="AR5" s="3"/>
      <c r="AS5" s="1"/>
      <c r="AT5" s="3">
        <v>6.55</v>
      </c>
      <c r="AU5" s="1"/>
      <c r="AV5" s="3">
        <v>0.53</v>
      </c>
      <c r="AW5" s="1"/>
      <c r="AX5" s="1"/>
      <c r="AY5" s="1"/>
      <c r="AZ5" s="1"/>
      <c r="BA5" s="31">
        <v>31.45</v>
      </c>
      <c r="BB5" s="31">
        <v>0</v>
      </c>
      <c r="BC5" s="31">
        <v>0</v>
      </c>
      <c r="BD5" s="31"/>
      <c r="BE5" s="54"/>
      <c r="BF5" s="31">
        <v>24.93</v>
      </c>
      <c r="BG5" s="31">
        <v>19.7</v>
      </c>
      <c r="BH5" s="6"/>
      <c r="BI5" s="6"/>
      <c r="BJ5" s="1"/>
      <c r="BK5" s="6">
        <v>0.5</v>
      </c>
      <c r="BL5" s="6">
        <v>0.28999999999999998</v>
      </c>
      <c r="BM5" s="6">
        <v>0.5</v>
      </c>
    </row>
    <row r="6" spans="1:67" x14ac:dyDescent="0.3">
      <c r="A6" s="4">
        <f>INT(Tabela1[[#This Row],[Data e Hora]])</f>
        <v>46082</v>
      </c>
      <c r="B6" s="4" t="str">
        <f>UPPER(TEXT(Tabela1[[#This Row],[Data Corrigida]],"MMM"))</f>
        <v>MAR</v>
      </c>
      <c r="D6">
        <v>46082</v>
      </c>
      <c r="E6">
        <v>46082</v>
      </c>
      <c r="F6" t="s">
        <v>19</v>
      </c>
      <c r="G6" s="32">
        <v>46082.281157407408</v>
      </c>
      <c r="H6" t="s">
        <v>20</v>
      </c>
      <c r="I6" t="s">
        <v>21</v>
      </c>
      <c r="J6" s="1">
        <v>145</v>
      </c>
      <c r="K6" s="1">
        <v>2827</v>
      </c>
      <c r="L6" t="s">
        <v>23</v>
      </c>
      <c r="M6" s="31">
        <v>21.44</v>
      </c>
      <c r="N6" s="48">
        <f>Tabela1[[#This Row],[Pena após Depenadeira]]/Tabela1[[#This Row],[Velocidade (FPM)]]*100</f>
        <v>14.786206896551727</v>
      </c>
      <c r="O6" s="31">
        <v>11.71</v>
      </c>
      <c r="P6" s="48">
        <f>Tabela1[[#This Row],[Pena após Repasse]]/Tabela1[[#This Row],[Velocidade (FPM)]]*100</f>
        <v>8.0758620689655185</v>
      </c>
      <c r="Q6" s="31"/>
      <c r="R6" s="31"/>
      <c r="S6" s="31">
        <v>2.04</v>
      </c>
      <c r="T6" s="31"/>
      <c r="U6" s="31">
        <v>1.4</v>
      </c>
      <c r="V6" s="31"/>
      <c r="W6" s="31">
        <v>3.96</v>
      </c>
      <c r="X6" s="31"/>
      <c r="Y6" s="31">
        <v>3.68</v>
      </c>
      <c r="Z6" s="3">
        <f>IFERROR(Tabela1[[#This Row],[Retorno Pés]]/(Tabela1[[#This Row],[Velocidade (FPM)]]*2)*100,"")</f>
        <v>1.2689655172413794</v>
      </c>
      <c r="AA6" s="1"/>
      <c r="AB6" s="3">
        <v>5.29</v>
      </c>
      <c r="AC6" s="1"/>
      <c r="AD6" s="3">
        <v>0.01</v>
      </c>
      <c r="AE6" s="1"/>
      <c r="AF6" s="3">
        <v>0</v>
      </c>
      <c r="AG6" s="1"/>
      <c r="AH6" s="3">
        <v>2.57</v>
      </c>
      <c r="AI6" s="1"/>
      <c r="AJ6" s="1"/>
      <c r="AK6" s="3">
        <v>1.34</v>
      </c>
      <c r="AL6" s="1"/>
      <c r="AM6" s="3">
        <v>1.83</v>
      </c>
      <c r="AN6" s="1"/>
      <c r="AO6" s="1"/>
      <c r="AP6" s="3">
        <v>6.59</v>
      </c>
      <c r="AQ6" s="3"/>
      <c r="AR6" s="3"/>
      <c r="AS6" s="1"/>
      <c r="AT6" s="3">
        <v>3.53</v>
      </c>
      <c r="AU6" s="1"/>
      <c r="AV6" s="3">
        <v>0.43</v>
      </c>
      <c r="AW6" s="1"/>
      <c r="AX6" s="1"/>
      <c r="AY6" s="1"/>
      <c r="AZ6" s="1"/>
      <c r="BA6" s="31">
        <v>32.5</v>
      </c>
      <c r="BB6" s="31">
        <v>0.17</v>
      </c>
      <c r="BC6" s="31">
        <v>0.27</v>
      </c>
      <c r="BD6" s="31"/>
      <c r="BE6" s="54"/>
      <c r="BF6" s="31">
        <v>21.79</v>
      </c>
      <c r="BG6" s="31">
        <v>13.87</v>
      </c>
      <c r="BH6" s="6"/>
      <c r="BI6" s="6"/>
      <c r="BJ6" s="1"/>
      <c r="BK6" s="6">
        <v>0.5</v>
      </c>
      <c r="BL6" s="6">
        <v>0.13</v>
      </c>
      <c r="BM6" s="6">
        <v>5.4</v>
      </c>
    </row>
    <row r="7" spans="1:67" x14ac:dyDescent="0.3">
      <c r="A7" s="4">
        <f>INT(Tabela1[[#This Row],[Data e Hora]])</f>
        <v>46082</v>
      </c>
      <c r="B7" s="4" t="str">
        <f>UPPER(TEXT(Tabela1[[#This Row],[Data Corrigida]],"MMM"))</f>
        <v>MAR</v>
      </c>
      <c r="D7">
        <v>46082</v>
      </c>
      <c r="E7">
        <v>46082</v>
      </c>
      <c r="F7" t="s">
        <v>19</v>
      </c>
      <c r="G7" s="32">
        <v>46082.614490740743</v>
      </c>
      <c r="H7" t="s">
        <v>20</v>
      </c>
      <c r="I7" t="s">
        <v>33</v>
      </c>
      <c r="J7" s="1">
        <v>145</v>
      </c>
      <c r="K7" s="1">
        <v>2827</v>
      </c>
      <c r="M7" s="31">
        <v>26.09</v>
      </c>
      <c r="N7" s="48">
        <f>Tabela1[[#This Row],[Pena após Depenadeira]]/Tabela1[[#This Row],[Velocidade (FPM)]]*100</f>
        <v>17.993103448275864</v>
      </c>
      <c r="O7" s="31">
        <v>10.02</v>
      </c>
      <c r="P7" s="48">
        <f>Tabela1[[#This Row],[Pena após Repasse]]/Tabela1[[#This Row],[Velocidade (FPM)]]*100</f>
        <v>6.9103448275862069</v>
      </c>
      <c r="Q7" s="31"/>
      <c r="R7" s="31"/>
      <c r="S7" s="31">
        <v>3.52</v>
      </c>
      <c r="T7" s="31"/>
      <c r="U7" s="31">
        <v>0.85</v>
      </c>
      <c r="V7" s="31"/>
      <c r="W7" s="31">
        <v>4.84</v>
      </c>
      <c r="X7" s="31"/>
      <c r="Y7" s="31">
        <v>4.13</v>
      </c>
      <c r="Z7" s="3">
        <f>IFERROR(Tabela1[[#This Row],[Retorno Pés]]/(Tabela1[[#This Row],[Velocidade (FPM)]]*2)*100,"")</f>
        <v>1.4241379310344826</v>
      </c>
      <c r="AA7" s="1"/>
      <c r="AB7" s="3">
        <v>4.38</v>
      </c>
      <c r="AC7" s="1"/>
      <c r="AD7" s="3">
        <v>0.03</v>
      </c>
      <c r="AE7" s="1"/>
      <c r="AF7" s="3">
        <v>0.11</v>
      </c>
      <c r="AG7" s="1"/>
      <c r="AH7" s="3">
        <v>3.35</v>
      </c>
      <c r="AI7" s="1"/>
      <c r="AJ7" s="1"/>
      <c r="AK7" s="3">
        <v>1.4</v>
      </c>
      <c r="AL7" s="1"/>
      <c r="AM7" s="3">
        <v>1.64</v>
      </c>
      <c r="AN7" s="1"/>
      <c r="AO7" s="1"/>
      <c r="AP7" s="3">
        <v>7.12</v>
      </c>
      <c r="AQ7" s="3"/>
      <c r="AR7" s="3"/>
      <c r="AS7" s="1"/>
      <c r="AT7" s="3">
        <v>9.69</v>
      </c>
      <c r="AU7" s="1"/>
      <c r="AV7" s="3">
        <v>2.0499999999999998</v>
      </c>
      <c r="AW7" s="1"/>
      <c r="AX7" s="1"/>
      <c r="AY7" s="1"/>
      <c r="AZ7" s="1"/>
      <c r="BA7" s="31">
        <v>31.14</v>
      </c>
      <c r="BB7" s="31">
        <v>0</v>
      </c>
      <c r="BC7" s="31">
        <v>1.45</v>
      </c>
      <c r="BD7" s="31"/>
      <c r="BE7" s="54"/>
      <c r="BF7" s="31">
        <v>21.36</v>
      </c>
      <c r="BG7" s="31">
        <v>9.64</v>
      </c>
      <c r="BH7" s="6"/>
      <c r="BI7" s="6"/>
      <c r="BJ7" s="1"/>
      <c r="BK7" s="6">
        <v>0.65</v>
      </c>
      <c r="BL7" s="6">
        <v>0.52</v>
      </c>
      <c r="BM7" s="6">
        <v>0.71</v>
      </c>
    </row>
    <row r="8" spans="1:67" x14ac:dyDescent="0.3">
      <c r="A8" s="4">
        <f>INT(Tabela1[[#This Row],[Data e Hora]])</f>
        <v>46113</v>
      </c>
      <c r="B8" s="4" t="str">
        <f>UPPER(TEXT(Tabela1[[#This Row],[Data Corrigida]],"MMM"))</f>
        <v>ABR</v>
      </c>
      <c r="D8">
        <v>46113</v>
      </c>
      <c r="E8">
        <v>46113</v>
      </c>
      <c r="F8" t="s">
        <v>19</v>
      </c>
      <c r="G8" s="32">
        <v>46113.197824074072</v>
      </c>
      <c r="H8" t="s">
        <v>20</v>
      </c>
      <c r="I8" t="s">
        <v>21</v>
      </c>
      <c r="J8" s="1">
        <v>145</v>
      </c>
      <c r="K8" s="1">
        <v>2877</v>
      </c>
      <c r="L8" t="s">
        <v>23</v>
      </c>
      <c r="M8" s="31">
        <v>16.78</v>
      </c>
      <c r="N8" s="48">
        <f>Tabela1[[#This Row],[Pena após Depenadeira]]/Tabela1[[#This Row],[Velocidade (FPM)]]*100</f>
        <v>11.572413793103449</v>
      </c>
      <c r="O8" s="31">
        <v>9.7799999999999994</v>
      </c>
      <c r="P8" s="48">
        <f>Tabela1[[#This Row],[Pena após Repasse]]/Tabela1[[#This Row],[Velocidade (FPM)]]*100</f>
        <v>6.7448275862068963</v>
      </c>
      <c r="Q8" s="31"/>
      <c r="R8" s="31"/>
      <c r="S8" s="31">
        <v>2.72</v>
      </c>
      <c r="T8" s="31"/>
      <c r="U8" s="31">
        <v>2.72</v>
      </c>
      <c r="V8" s="31"/>
      <c r="W8" s="31">
        <v>1.97</v>
      </c>
      <c r="X8" s="31"/>
      <c r="Y8" s="31">
        <v>3.65</v>
      </c>
      <c r="Z8" s="3">
        <f>IFERROR(Tabela1[[#This Row],[Retorno Pés]]/(Tabela1[[#This Row],[Velocidade (FPM)]]*2)*100,"")</f>
        <v>1.2586206896551724</v>
      </c>
      <c r="AA8" s="1"/>
      <c r="AB8" s="3">
        <v>2.64</v>
      </c>
      <c r="AC8" s="1"/>
      <c r="AD8" s="3">
        <v>0.06</v>
      </c>
      <c r="AE8" s="1"/>
      <c r="AF8" s="3">
        <v>0.02</v>
      </c>
      <c r="AG8" s="1"/>
      <c r="AH8" s="3">
        <v>2.3199999999999998</v>
      </c>
      <c r="AI8" s="1"/>
      <c r="AJ8" s="1"/>
      <c r="AK8" s="3">
        <v>2.35</v>
      </c>
      <c r="AL8" s="1"/>
      <c r="AM8" s="3">
        <v>2.12</v>
      </c>
      <c r="AN8" s="1"/>
      <c r="AO8" s="1"/>
      <c r="AP8" s="3">
        <v>7.58</v>
      </c>
      <c r="AQ8" s="3"/>
      <c r="AR8" s="3"/>
      <c r="AS8" s="1"/>
      <c r="AT8" s="3">
        <v>3.03</v>
      </c>
      <c r="AU8" s="1"/>
      <c r="AV8" s="3">
        <v>0.51</v>
      </c>
      <c r="AW8" s="1"/>
      <c r="AX8" s="1"/>
      <c r="AY8" s="1"/>
      <c r="AZ8" s="1"/>
      <c r="BA8" s="31">
        <v>26.59</v>
      </c>
      <c r="BB8" s="31">
        <v>0.18</v>
      </c>
      <c r="BC8" s="31">
        <v>0.44</v>
      </c>
      <c r="BD8" s="31"/>
      <c r="BE8" s="54"/>
      <c r="BF8" s="31">
        <v>17.940000000000001</v>
      </c>
      <c r="BG8" s="31">
        <v>15.06</v>
      </c>
      <c r="BH8" s="6"/>
      <c r="BI8" s="6"/>
      <c r="BJ8" s="1"/>
      <c r="BK8" s="6">
        <v>1.1000000000000001</v>
      </c>
      <c r="BL8" s="6">
        <v>0</v>
      </c>
      <c r="BM8" s="6">
        <v>10.97</v>
      </c>
    </row>
    <row r="9" spans="1:67" x14ac:dyDescent="0.3">
      <c r="A9" s="4">
        <f>INT(Tabela1[[#This Row],[Data e Hora]])</f>
        <v>46143</v>
      </c>
      <c r="B9" s="4" t="str">
        <f>UPPER(TEXT(Tabela1[[#This Row],[Data Corrigida]],"MMM"))</f>
        <v>MAI</v>
      </c>
      <c r="D9">
        <v>46143</v>
      </c>
      <c r="E9">
        <v>46143</v>
      </c>
      <c r="F9" t="s">
        <v>19</v>
      </c>
      <c r="G9" s="32">
        <v>46143.197824074072</v>
      </c>
      <c r="H9" t="s">
        <v>20</v>
      </c>
      <c r="I9" t="s">
        <v>21</v>
      </c>
      <c r="J9" s="1">
        <v>145</v>
      </c>
      <c r="K9" s="1">
        <v>3390</v>
      </c>
      <c r="L9" t="s">
        <v>23</v>
      </c>
      <c r="M9" s="31">
        <v>23.39</v>
      </c>
      <c r="N9" s="48">
        <f>Tabela1[[#This Row],[Pena após Depenadeira]]/Tabela1[[#This Row],[Velocidade (FPM)]]*100</f>
        <v>16.131034482758622</v>
      </c>
      <c r="O9" s="31">
        <v>15.66</v>
      </c>
      <c r="P9" s="48">
        <f>Tabela1[[#This Row],[Pena após Repasse]]/Tabela1[[#This Row],[Velocidade (FPM)]]*100</f>
        <v>10.8</v>
      </c>
      <c r="Q9" s="31"/>
      <c r="R9" s="31"/>
      <c r="S9" s="31">
        <v>3.42</v>
      </c>
      <c r="T9" s="31"/>
      <c r="U9" s="31">
        <v>0.87</v>
      </c>
      <c r="V9" s="31"/>
      <c r="W9" s="31">
        <v>0.42</v>
      </c>
      <c r="X9" s="31"/>
      <c r="Y9" s="31">
        <v>6.43</v>
      </c>
      <c r="Z9" s="3">
        <f>IFERROR(Tabela1[[#This Row],[Retorno Pés]]/(Tabela1[[#This Row],[Velocidade (FPM)]]*2)*100,"")</f>
        <v>2.2172413793103445</v>
      </c>
      <c r="AA9" s="1"/>
      <c r="AB9" s="3">
        <v>7.65</v>
      </c>
      <c r="AC9" s="1"/>
      <c r="AD9" s="3">
        <v>0</v>
      </c>
      <c r="AE9" s="1"/>
      <c r="AF9" s="3">
        <v>0</v>
      </c>
      <c r="AG9" s="1"/>
      <c r="AH9" s="3">
        <v>8.19</v>
      </c>
      <c r="AI9" s="1"/>
      <c r="AJ9" s="1"/>
      <c r="AK9" s="3">
        <v>1.98</v>
      </c>
      <c r="AL9" s="1"/>
      <c r="AM9" s="3">
        <v>2.1800000000000002</v>
      </c>
      <c r="AN9" s="1"/>
      <c r="AO9" s="1"/>
      <c r="AP9" s="3">
        <v>10.15</v>
      </c>
      <c r="AQ9" s="3"/>
      <c r="AR9" s="3"/>
      <c r="AS9" s="1"/>
      <c r="AT9" s="3">
        <v>5.31</v>
      </c>
      <c r="AU9" s="1"/>
      <c r="AV9" s="3">
        <v>1.21</v>
      </c>
      <c r="AW9" s="1"/>
      <c r="AX9" s="1"/>
      <c r="AY9" s="1"/>
      <c r="AZ9" s="1"/>
      <c r="BA9" s="31">
        <v>42.11</v>
      </c>
      <c r="BB9" s="31">
        <v>0</v>
      </c>
      <c r="BC9" s="31">
        <v>0</v>
      </c>
      <c r="BD9" s="31"/>
      <c r="BE9" s="54"/>
      <c r="BF9" s="31">
        <v>21.61</v>
      </c>
      <c r="BG9" s="31">
        <v>20.87</v>
      </c>
      <c r="BH9" s="6"/>
      <c r="BI9" s="6"/>
      <c r="BJ9" s="1"/>
      <c r="BK9" s="1">
        <v>1.97</v>
      </c>
      <c r="BL9" s="1">
        <v>0</v>
      </c>
      <c r="BM9" s="1">
        <v>8.5399999999999991</v>
      </c>
    </row>
    <row r="10" spans="1:67" x14ac:dyDescent="0.3">
      <c r="A10" s="4">
        <f>INT(Tabela1[[#This Row],[Data e Hora]])</f>
        <v>46144</v>
      </c>
      <c r="B10" s="4" t="str">
        <f>UPPER(TEXT(Tabela1[[#This Row],[Data Corrigida]],"MMM"))</f>
        <v>MAI</v>
      </c>
      <c r="D10">
        <v>46143</v>
      </c>
      <c r="E10">
        <v>46144</v>
      </c>
      <c r="F10" t="s">
        <v>19</v>
      </c>
      <c r="G10" s="32">
        <v>46144.197824074072</v>
      </c>
      <c r="H10" t="s">
        <v>20</v>
      </c>
      <c r="I10" t="s">
        <v>33</v>
      </c>
      <c r="J10" s="1">
        <v>145</v>
      </c>
      <c r="K10" s="1">
        <v>3390</v>
      </c>
      <c r="L10" t="s">
        <v>34</v>
      </c>
      <c r="M10" s="31">
        <v>15.6</v>
      </c>
      <c r="N10" s="48">
        <f>Tabela1[[#This Row],[Pena após Depenadeira]]/Tabela1[[#This Row],[Velocidade (FPM)]]*100</f>
        <v>10.758620689655173</v>
      </c>
      <c r="O10" s="31">
        <v>9.75</v>
      </c>
      <c r="P10" s="48">
        <f>Tabela1[[#This Row],[Pena após Repasse]]/Tabela1[[#This Row],[Velocidade (FPM)]]*100</f>
        <v>6.7241379310344822</v>
      </c>
      <c r="Q10" s="31"/>
      <c r="R10" s="31"/>
      <c r="S10" s="31">
        <v>5.27</v>
      </c>
      <c r="T10" s="31"/>
      <c r="U10" s="31">
        <v>3.29</v>
      </c>
      <c r="V10" s="31"/>
      <c r="W10" s="31">
        <v>2.31</v>
      </c>
      <c r="X10" s="31"/>
      <c r="Y10" s="31">
        <v>8.69</v>
      </c>
      <c r="Z10" s="3">
        <f>IFERROR(Tabela1[[#This Row],[Retorno Pés]]/(Tabela1[[#This Row],[Velocidade (FPM)]]*2)*100,"")</f>
        <v>2.9965517241379311</v>
      </c>
      <c r="AA10" s="1"/>
      <c r="AB10" s="3">
        <v>14.31</v>
      </c>
      <c r="AC10" s="1"/>
      <c r="AD10" s="3">
        <v>1.1100000000000001</v>
      </c>
      <c r="AE10" s="1"/>
      <c r="AF10" s="3">
        <v>1.1200000000000001</v>
      </c>
      <c r="AG10" s="1"/>
      <c r="AH10" s="3">
        <v>5.66</v>
      </c>
      <c r="AI10" s="1"/>
      <c r="AJ10" s="1"/>
      <c r="AK10" s="3">
        <v>2.02</v>
      </c>
      <c r="AL10" s="1"/>
      <c r="AM10" s="3">
        <v>1.98</v>
      </c>
      <c r="AN10" s="1"/>
      <c r="AO10" s="1"/>
      <c r="AP10" s="3">
        <v>11.17</v>
      </c>
      <c r="AQ10" s="3"/>
      <c r="AR10" s="3"/>
      <c r="AS10" s="1"/>
      <c r="AT10" s="3">
        <v>6.13</v>
      </c>
      <c r="AU10" s="1"/>
      <c r="AV10" s="3">
        <v>0.45</v>
      </c>
      <c r="AW10" s="1"/>
      <c r="AX10" s="1"/>
      <c r="AY10" s="1"/>
      <c r="AZ10" s="1"/>
      <c r="BA10" s="31">
        <v>25.67</v>
      </c>
      <c r="BB10" s="31">
        <v>0.67</v>
      </c>
      <c r="BC10" s="31">
        <v>1.05</v>
      </c>
      <c r="BD10" s="31"/>
      <c r="BE10" s="54"/>
      <c r="BF10" s="31">
        <v>9.65</v>
      </c>
      <c r="BG10" s="31">
        <v>7.77</v>
      </c>
      <c r="BH10" s="6"/>
      <c r="BI10" s="6"/>
      <c r="BJ10" s="1"/>
      <c r="BK10" s="6">
        <v>3.6</v>
      </c>
      <c r="BL10" s="6">
        <v>0.19</v>
      </c>
      <c r="BM10" s="6">
        <v>1.8</v>
      </c>
    </row>
    <row r="11" spans="1:67" x14ac:dyDescent="0.3">
      <c r="A11" s="4">
        <f>INT(Tabela1[[#This Row],[Data e Hora]])</f>
        <v>46176</v>
      </c>
      <c r="B11" s="4" t="str">
        <f>UPPER(TEXT(Tabela1[[#This Row],[Data Corrigida]],"MMM"))</f>
        <v>JUN</v>
      </c>
      <c r="D11">
        <v>46174</v>
      </c>
      <c r="E11">
        <v>46174</v>
      </c>
      <c r="F11" t="s">
        <v>19</v>
      </c>
      <c r="G11" s="32">
        <v>46176.197824074072</v>
      </c>
      <c r="H11" t="s">
        <v>20</v>
      </c>
      <c r="I11" t="s">
        <v>21</v>
      </c>
      <c r="J11" s="1">
        <v>145</v>
      </c>
      <c r="K11" s="1">
        <v>2969</v>
      </c>
      <c r="L11" t="s">
        <v>23</v>
      </c>
      <c r="M11" s="31">
        <v>25.92</v>
      </c>
      <c r="N11" s="48">
        <f>Tabela1[[#This Row],[Pena após Depenadeira]]/Tabela1[[#This Row],[Velocidade (FPM)]]*100</f>
        <v>17.875862068965517</v>
      </c>
      <c r="O11" s="31">
        <v>16.920000000000002</v>
      </c>
      <c r="P11" s="48">
        <f>Tabela1[[#This Row],[Pena após Repasse]]/Tabela1[[#This Row],[Velocidade (FPM)]]*100</f>
        <v>11.66896551724138</v>
      </c>
      <c r="Q11" s="31"/>
      <c r="R11" s="31"/>
      <c r="S11" s="31">
        <v>2.17</v>
      </c>
      <c r="T11" s="31"/>
      <c r="U11" s="31">
        <v>0.72</v>
      </c>
      <c r="V11" s="31"/>
      <c r="W11" s="31">
        <v>0</v>
      </c>
      <c r="X11" s="31"/>
      <c r="Y11" s="31">
        <v>2.76</v>
      </c>
      <c r="Z11" s="3">
        <f>IFERROR(Tabela1[[#This Row],[Retorno Pés]]/(Tabela1[[#This Row],[Velocidade (FPM)]]*2)*100,"")</f>
        <v>0.9517241379310345</v>
      </c>
      <c r="AA11" s="1"/>
      <c r="AB11" s="3">
        <v>5.78</v>
      </c>
      <c r="AC11" s="1"/>
      <c r="AD11" s="3">
        <v>0</v>
      </c>
      <c r="AE11" s="1"/>
      <c r="AF11" s="3">
        <v>0</v>
      </c>
      <c r="AG11" s="1"/>
      <c r="AH11" s="3">
        <v>7.02</v>
      </c>
      <c r="AI11" s="1"/>
      <c r="AJ11" s="1"/>
      <c r="AK11" s="3">
        <v>3.67</v>
      </c>
      <c r="AL11" s="1"/>
      <c r="AM11" s="3">
        <v>2.11</v>
      </c>
      <c r="AN11" s="1"/>
      <c r="AO11" s="1"/>
      <c r="AP11" s="3">
        <v>10.65</v>
      </c>
      <c r="AQ11" s="3"/>
      <c r="AR11" s="3"/>
      <c r="AS11" s="1"/>
      <c r="AT11" s="3">
        <v>3.93</v>
      </c>
      <c r="AU11" s="1"/>
      <c r="AV11" s="3">
        <v>0.8</v>
      </c>
      <c r="AW11" s="1"/>
      <c r="AX11" s="1"/>
      <c r="AY11" s="1"/>
      <c r="AZ11" s="1"/>
      <c r="BA11" s="31">
        <v>38.56</v>
      </c>
      <c r="BB11" s="31">
        <v>0.17</v>
      </c>
      <c r="BC11" s="31">
        <v>0.17</v>
      </c>
      <c r="BD11" s="31"/>
      <c r="BE11" s="54"/>
      <c r="BF11" s="31">
        <v>23.72</v>
      </c>
      <c r="BG11" s="31">
        <v>24.25</v>
      </c>
      <c r="BH11" s="6"/>
      <c r="BI11" s="6"/>
      <c r="BJ11" s="1"/>
      <c r="BK11" s="1">
        <v>1.85</v>
      </c>
      <c r="BL11" s="1">
        <v>0</v>
      </c>
      <c r="BM11" s="1">
        <v>8.3800000000000008</v>
      </c>
    </row>
    <row r="12" spans="1:67" x14ac:dyDescent="0.3">
      <c r="A12" s="4">
        <f>INT(Tabela1[[#This Row],[Data e Hora]])</f>
        <v>46176</v>
      </c>
      <c r="B12" s="4" t="str">
        <f>UPPER(TEXT(Tabela1[[#This Row],[Data Corrigida]],"MMM"))</f>
        <v>JUN</v>
      </c>
      <c r="D12">
        <v>46174</v>
      </c>
      <c r="E12">
        <v>46174</v>
      </c>
      <c r="F12" t="s">
        <v>19</v>
      </c>
      <c r="G12" s="32">
        <v>46176.614490740743</v>
      </c>
      <c r="H12" t="s">
        <v>20</v>
      </c>
      <c r="I12" t="s">
        <v>33</v>
      </c>
      <c r="J12" s="1">
        <v>145</v>
      </c>
      <c r="K12" s="1">
        <v>2969</v>
      </c>
      <c r="M12" s="31">
        <v>20</v>
      </c>
      <c r="N12" s="48">
        <f>Tabela1[[#This Row],[Pena após Depenadeira]]/Tabela1[[#This Row],[Velocidade (FPM)]]*100</f>
        <v>13.793103448275861</v>
      </c>
      <c r="O12" s="31">
        <v>9.4499999999999993</v>
      </c>
      <c r="P12" s="48">
        <f>Tabela1[[#This Row],[Pena após Repasse]]/Tabela1[[#This Row],[Velocidade (FPM)]]*100</f>
        <v>6.5172413793103443</v>
      </c>
      <c r="Q12" s="31"/>
      <c r="R12" s="31"/>
      <c r="S12" s="31">
        <v>4.45</v>
      </c>
      <c r="T12" s="31"/>
      <c r="U12" s="31">
        <v>3.19</v>
      </c>
      <c r="V12" s="31"/>
      <c r="W12" s="31">
        <v>2.1</v>
      </c>
      <c r="X12" s="31"/>
      <c r="Y12" s="31">
        <v>8.1300000000000008</v>
      </c>
      <c r="Z12" s="3">
        <f>IFERROR(Tabela1[[#This Row],[Retorno Pés]]/(Tabela1[[#This Row],[Velocidade (FPM)]]*2)*100,"")</f>
        <v>2.8034482758620696</v>
      </c>
      <c r="AA12" s="1"/>
      <c r="AB12" s="3">
        <v>10.199999999999999</v>
      </c>
      <c r="AC12" s="1"/>
      <c r="AD12" s="3">
        <v>0.14000000000000001</v>
      </c>
      <c r="AE12" s="1"/>
      <c r="AF12" s="3">
        <v>1.06</v>
      </c>
      <c r="AG12" s="1"/>
      <c r="AH12" s="3">
        <v>5.64</v>
      </c>
      <c r="AI12" s="1"/>
      <c r="AJ12" s="1"/>
      <c r="AK12" s="3">
        <v>2.94</v>
      </c>
      <c r="AL12" s="1"/>
      <c r="AM12" s="3">
        <v>1.77</v>
      </c>
      <c r="AN12" s="1"/>
      <c r="AO12" s="1"/>
      <c r="AP12" s="3">
        <v>9.49</v>
      </c>
      <c r="AQ12" s="3"/>
      <c r="AR12" s="3"/>
      <c r="AS12" s="1"/>
      <c r="AT12" s="3">
        <v>7.32</v>
      </c>
      <c r="AU12" s="1"/>
      <c r="AV12" s="3">
        <v>0.74</v>
      </c>
      <c r="AW12" s="1"/>
      <c r="AX12" s="1"/>
      <c r="AY12" s="1"/>
      <c r="AZ12" s="1"/>
      <c r="BA12" s="31">
        <v>20.3</v>
      </c>
      <c r="BB12" s="31">
        <v>2.19</v>
      </c>
      <c r="BC12" s="31">
        <v>3.64</v>
      </c>
      <c r="BD12" s="31"/>
      <c r="BE12" s="54"/>
      <c r="BF12" s="31">
        <v>10.220000000000001</v>
      </c>
      <c r="BG12" s="31">
        <v>7.21</v>
      </c>
      <c r="BH12" s="6"/>
      <c r="BI12" s="6"/>
      <c r="BJ12" s="1"/>
      <c r="BK12" s="1">
        <v>5.49</v>
      </c>
      <c r="BL12" s="1">
        <v>0.13</v>
      </c>
      <c r="BM12" s="1">
        <v>1.36</v>
      </c>
    </row>
    <row r="13" spans="1:67" x14ac:dyDescent="0.3">
      <c r="A13" s="4">
        <f>INT(Tabela1[[#This Row],[Data e Hora]])</f>
        <v>46238</v>
      </c>
      <c r="B13" s="4" t="str">
        <f>UPPER(TEXT(Tabela1[[#This Row],[Data Corrigida]],"MMM"))</f>
        <v>AGO</v>
      </c>
      <c r="C13" t="s">
        <v>155</v>
      </c>
      <c r="D13" t="s">
        <v>156</v>
      </c>
      <c r="E13" t="s">
        <v>157</v>
      </c>
      <c r="F13" t="s">
        <v>19</v>
      </c>
      <c r="G13" s="5" t="s">
        <v>158</v>
      </c>
      <c r="H13" t="s">
        <v>20</v>
      </c>
      <c r="I13" t="s">
        <v>33</v>
      </c>
      <c r="J13" s="1">
        <v>146</v>
      </c>
      <c r="K13" s="1">
        <v>3572</v>
      </c>
      <c r="L13" t="s">
        <v>34</v>
      </c>
      <c r="M13" s="1">
        <v>21</v>
      </c>
      <c r="N13" s="48">
        <f>Tabela1[[#This Row],[Pena após Depenadeira]]/Tabela1[[#This Row],[Velocidade (FPM)]]*100</f>
        <v>14.383561643835616</v>
      </c>
      <c r="O13" s="1">
        <v>7</v>
      </c>
      <c r="P13" s="48">
        <f>Tabela1[[#This Row],[Pena após Repasse]]/Tabela1[[#This Row],[Velocidade (FPM)]]*100</f>
        <v>4.7945205479452051</v>
      </c>
      <c r="Q13" s="1">
        <v>6</v>
      </c>
      <c r="R13" s="1"/>
      <c r="S13" s="1">
        <v>3</v>
      </c>
      <c r="T13" s="1"/>
      <c r="U13" s="1">
        <v>0</v>
      </c>
      <c r="V13" s="1"/>
      <c r="W13" s="1">
        <v>0</v>
      </c>
      <c r="X13" s="1" t="s">
        <v>22</v>
      </c>
      <c r="Y13" s="1">
        <v>3</v>
      </c>
      <c r="Z13" s="3">
        <f>IFERROR(Tabela1[[#This Row],[Retorno Pés]]/(Tabela1[[#This Row],[Velocidade (FPM)]]*2)*100,"")</f>
        <v>1.0273972602739725</v>
      </c>
      <c r="AA13" s="1">
        <v>8</v>
      </c>
      <c r="AB13" s="3">
        <v>5.4794520547945202</v>
      </c>
      <c r="AC13" s="1">
        <v>0</v>
      </c>
      <c r="AD13" s="3">
        <v>0</v>
      </c>
      <c r="AE13" s="1">
        <v>0</v>
      </c>
      <c r="AF13" s="3">
        <v>0</v>
      </c>
      <c r="AG13" s="1">
        <v>3</v>
      </c>
      <c r="AH13" s="3">
        <v>2.054794520547945</v>
      </c>
      <c r="AI13" s="1" t="s">
        <v>22</v>
      </c>
      <c r="AJ13" s="1">
        <v>0</v>
      </c>
      <c r="AK13" s="3">
        <v>0</v>
      </c>
      <c r="AL13" s="1">
        <v>0</v>
      </c>
      <c r="AM13" s="3">
        <v>0</v>
      </c>
      <c r="AN13" s="1" t="s">
        <v>22</v>
      </c>
      <c r="AO13" s="1">
        <v>15</v>
      </c>
      <c r="AP13" s="3">
        <v>10.273972602739725</v>
      </c>
      <c r="AQ13" s="3"/>
      <c r="AR13" s="3"/>
      <c r="AS13" s="1">
        <v>4</v>
      </c>
      <c r="AT13" s="3">
        <v>2.7397260273972601</v>
      </c>
      <c r="AU13" s="1">
        <v>0</v>
      </c>
      <c r="AV13" s="3">
        <v>0</v>
      </c>
      <c r="AW13" s="1" t="s">
        <v>22</v>
      </c>
      <c r="AX13" s="1">
        <v>16</v>
      </c>
      <c r="AY13" s="1">
        <v>15</v>
      </c>
      <c r="AZ13" s="1">
        <v>17</v>
      </c>
      <c r="BA13" s="1">
        <v>32</v>
      </c>
      <c r="BB13" s="1">
        <v>30</v>
      </c>
      <c r="BC13" s="1">
        <v>34</v>
      </c>
      <c r="BD13" s="1"/>
      <c r="BE13" s="54"/>
      <c r="BF13" s="6">
        <v>16</v>
      </c>
      <c r="BG13" s="6">
        <v>10</v>
      </c>
      <c r="BH13" s="6">
        <v>0</v>
      </c>
      <c r="BI13" s="6"/>
      <c r="BJ13" s="1" t="s">
        <v>22</v>
      </c>
      <c r="BK13" s="6">
        <v>0</v>
      </c>
      <c r="BL13" s="6">
        <v>0</v>
      </c>
      <c r="BM13" s="6">
        <v>0</v>
      </c>
      <c r="BN13" t="s">
        <v>24</v>
      </c>
      <c r="BO13">
        <v>13183</v>
      </c>
    </row>
    <row r="14" spans="1:67" x14ac:dyDescent="0.3">
      <c r="A14" s="4">
        <f>INT(Tabela1[[#This Row],[Data e Hora]])</f>
        <v>46238</v>
      </c>
      <c r="B14" s="4" t="str">
        <f>UPPER(TEXT(Tabela1[[#This Row],[Data Corrigida]],"MMM"))</f>
        <v>AGO</v>
      </c>
      <c r="C14" t="s">
        <v>159</v>
      </c>
      <c r="D14" t="s">
        <v>160</v>
      </c>
      <c r="E14" t="s">
        <v>157</v>
      </c>
      <c r="F14" t="s">
        <v>19</v>
      </c>
      <c r="G14" s="5" t="s">
        <v>158</v>
      </c>
      <c r="H14" t="s">
        <v>20</v>
      </c>
      <c r="I14" t="s">
        <v>33</v>
      </c>
      <c r="J14" s="1">
        <v>135</v>
      </c>
      <c r="K14" s="1">
        <v>3312</v>
      </c>
      <c r="L14" t="s">
        <v>34</v>
      </c>
      <c r="M14" s="1">
        <v>24</v>
      </c>
      <c r="N14" s="48">
        <f>Tabela1[[#This Row],[Pena após Depenadeira]]/Tabela1[[#This Row],[Velocidade (FPM)]]*100</f>
        <v>17.777777777777779</v>
      </c>
      <c r="O14" s="1">
        <v>5</v>
      </c>
      <c r="P14" s="48">
        <f>Tabela1[[#This Row],[Pena após Repasse]]/Tabela1[[#This Row],[Velocidade (FPM)]]*100</f>
        <v>3.7037037037037033</v>
      </c>
      <c r="Q14" s="1">
        <v>5</v>
      </c>
      <c r="R14" s="1"/>
      <c r="S14" s="1">
        <v>3</v>
      </c>
      <c r="T14" s="1"/>
      <c r="U14" s="1">
        <v>1</v>
      </c>
      <c r="V14" s="1"/>
      <c r="W14" s="1">
        <v>2</v>
      </c>
      <c r="X14" s="1" t="s">
        <v>22</v>
      </c>
      <c r="Y14" s="1">
        <v>1</v>
      </c>
      <c r="Z14" s="3">
        <f>IFERROR(Tabela1[[#This Row],[Retorno Pés]]/(Tabela1[[#This Row],[Velocidade (FPM)]]*2)*100,"")</f>
        <v>0.37037037037037041</v>
      </c>
      <c r="AA14" s="1">
        <v>1</v>
      </c>
      <c r="AB14" s="3">
        <v>0.74074074074074081</v>
      </c>
      <c r="AC14" s="1">
        <v>0</v>
      </c>
      <c r="AD14" s="3">
        <v>0</v>
      </c>
      <c r="AE14" s="1">
        <v>0</v>
      </c>
      <c r="AF14" s="3">
        <v>0</v>
      </c>
      <c r="AG14" s="1">
        <v>1</v>
      </c>
      <c r="AH14" s="3">
        <v>0.74074074074074081</v>
      </c>
      <c r="AI14" s="1" t="s">
        <v>22</v>
      </c>
      <c r="AJ14" s="1">
        <v>1</v>
      </c>
      <c r="AK14" s="3">
        <v>0.74074074074074081</v>
      </c>
      <c r="AL14" s="1">
        <v>0</v>
      </c>
      <c r="AM14" s="3">
        <v>0</v>
      </c>
      <c r="AN14" s="1" t="s">
        <v>22</v>
      </c>
      <c r="AO14" s="1">
        <v>12</v>
      </c>
      <c r="AP14" s="3">
        <v>8.8888888888888893</v>
      </c>
      <c r="AQ14" s="3"/>
      <c r="AR14" s="3"/>
      <c r="AS14" s="1">
        <v>4</v>
      </c>
      <c r="AT14" s="3">
        <v>2.9629629629629632</v>
      </c>
      <c r="AU14" s="1">
        <v>0</v>
      </c>
      <c r="AV14" s="3">
        <v>0</v>
      </c>
      <c r="AW14" s="1" t="s">
        <v>22</v>
      </c>
      <c r="AX14" s="1">
        <v>9</v>
      </c>
      <c r="AY14" s="1">
        <v>0</v>
      </c>
      <c r="AZ14" s="1">
        <v>3</v>
      </c>
      <c r="BA14" s="1">
        <v>18</v>
      </c>
      <c r="BB14" s="1">
        <v>0</v>
      </c>
      <c r="BC14" s="1">
        <v>6</v>
      </c>
      <c r="BD14" s="1"/>
      <c r="BE14" s="54"/>
      <c r="BF14" s="6">
        <v>10</v>
      </c>
      <c r="BG14" s="6">
        <v>11</v>
      </c>
      <c r="BH14" s="6">
        <v>0</v>
      </c>
      <c r="BI14" s="6"/>
      <c r="BJ14" s="1" t="s">
        <v>22</v>
      </c>
      <c r="BK14" s="6">
        <v>0</v>
      </c>
      <c r="BL14" s="6">
        <v>0</v>
      </c>
      <c r="BM14" s="6">
        <v>0</v>
      </c>
      <c r="BN14" t="s">
        <v>24</v>
      </c>
      <c r="BO14">
        <v>14608</v>
      </c>
    </row>
    <row r="15" spans="1:67" x14ac:dyDescent="0.3">
      <c r="A15" s="4">
        <f>INT(Tabela1[[#This Row],[Data e Hora]])</f>
        <v>46238</v>
      </c>
      <c r="B15" s="4" t="str">
        <f>UPPER(TEXT(Tabela1[[#This Row],[Data Corrigida]],"MMM"))</f>
        <v>AGO</v>
      </c>
      <c r="C15" t="s">
        <v>161</v>
      </c>
      <c r="D15" t="s">
        <v>162</v>
      </c>
      <c r="E15" t="s">
        <v>163</v>
      </c>
      <c r="F15" t="s">
        <v>19</v>
      </c>
      <c r="G15" s="5" t="s">
        <v>158</v>
      </c>
      <c r="H15" t="s">
        <v>20</v>
      </c>
      <c r="I15" t="s">
        <v>21</v>
      </c>
      <c r="J15" s="1">
        <v>145</v>
      </c>
      <c r="K15" s="1">
        <v>2901</v>
      </c>
      <c r="L15" t="s">
        <v>23</v>
      </c>
      <c r="M15" s="1">
        <v>33</v>
      </c>
      <c r="N15" s="48">
        <f>Tabela1[[#This Row],[Pena após Depenadeira]]/Tabela1[[#This Row],[Velocidade (FPM)]]*100</f>
        <v>22.758620689655174</v>
      </c>
      <c r="O15" s="1">
        <v>21</v>
      </c>
      <c r="P15" s="48">
        <f>Tabela1[[#This Row],[Pena após Repasse]]/Tabela1[[#This Row],[Velocidade (FPM)]]*100</f>
        <v>14.482758620689657</v>
      </c>
      <c r="Q15" s="1">
        <v>0</v>
      </c>
      <c r="R15" s="1"/>
      <c r="S15" s="1">
        <v>1</v>
      </c>
      <c r="T15" s="1"/>
      <c r="U15" s="1">
        <v>0</v>
      </c>
      <c r="V15" s="1"/>
      <c r="W15" s="1">
        <v>0</v>
      </c>
      <c r="X15" s="1" t="s">
        <v>22</v>
      </c>
      <c r="Y15" s="1">
        <v>4</v>
      </c>
      <c r="Z15" s="3">
        <f>IFERROR(Tabela1[[#This Row],[Retorno Pés]]/(Tabela1[[#This Row],[Velocidade (FPM)]]*2)*100,"")</f>
        <v>1.3793103448275863</v>
      </c>
      <c r="AA15" s="1">
        <v>3</v>
      </c>
      <c r="AB15" s="3">
        <v>2.0689655172413794</v>
      </c>
      <c r="AC15" s="1">
        <v>1</v>
      </c>
      <c r="AD15" s="3">
        <v>0.68965517241379315</v>
      </c>
      <c r="AE15" s="1">
        <v>3</v>
      </c>
      <c r="AF15" s="3">
        <v>2.0689655172413794</v>
      </c>
      <c r="AG15" s="1">
        <v>8</v>
      </c>
      <c r="AH15" s="3">
        <v>5.5172413793103452</v>
      </c>
      <c r="AI15" s="1" t="s">
        <v>22</v>
      </c>
      <c r="AJ15" s="1">
        <v>1</v>
      </c>
      <c r="AK15" s="3">
        <v>0.68965517241379315</v>
      </c>
      <c r="AL15" s="1">
        <v>3</v>
      </c>
      <c r="AM15" s="3">
        <v>2.0689655172413794</v>
      </c>
      <c r="AN15" s="1" t="s">
        <v>22</v>
      </c>
      <c r="AO15" s="1">
        <v>6</v>
      </c>
      <c r="AP15" s="3">
        <v>4.1379310344827589</v>
      </c>
      <c r="AQ15" s="3"/>
      <c r="AR15" s="3"/>
      <c r="AS15" s="1">
        <v>11</v>
      </c>
      <c r="AT15" s="3">
        <v>7.5862068965517242</v>
      </c>
      <c r="AU15" s="1">
        <v>3</v>
      </c>
      <c r="AV15" s="3">
        <v>2.0689655172413794</v>
      </c>
      <c r="AW15" s="1" t="s">
        <v>22</v>
      </c>
      <c r="AX15" s="1">
        <v>19</v>
      </c>
      <c r="AY15" s="1">
        <v>0</v>
      </c>
      <c r="AZ15" s="1">
        <v>0</v>
      </c>
      <c r="BA15" s="1">
        <v>38</v>
      </c>
      <c r="BB15" s="1">
        <v>0</v>
      </c>
      <c r="BC15" s="1">
        <v>0</v>
      </c>
      <c r="BD15" s="1"/>
      <c r="BE15" s="54"/>
      <c r="BF15" s="6">
        <v>28</v>
      </c>
      <c r="BG15" s="6">
        <v>26</v>
      </c>
      <c r="BH15" s="6">
        <v>1</v>
      </c>
      <c r="BI15" s="6"/>
      <c r="BJ15" s="1" t="s">
        <v>22</v>
      </c>
      <c r="BK15" s="1" t="s">
        <v>22</v>
      </c>
      <c r="BL15" s="1" t="s">
        <v>22</v>
      </c>
      <c r="BM15" s="1" t="s">
        <v>22</v>
      </c>
      <c r="BN15" t="s">
        <v>22</v>
      </c>
      <c r="BO15">
        <v>3046</v>
      </c>
    </row>
    <row r="16" spans="1:67" x14ac:dyDescent="0.3">
      <c r="A16" s="4">
        <f>INT(Tabela1[[#This Row],[Data e Hora]])</f>
        <v>46238</v>
      </c>
      <c r="B16" s="4" t="str">
        <f>UPPER(TEXT(Tabela1[[#This Row],[Data Corrigida]],"MMM"))</f>
        <v>AGO</v>
      </c>
      <c r="C16" t="s">
        <v>164</v>
      </c>
      <c r="D16" t="s">
        <v>165</v>
      </c>
      <c r="E16" t="s">
        <v>166</v>
      </c>
      <c r="F16" t="s">
        <v>19</v>
      </c>
      <c r="G16" s="5" t="s">
        <v>158</v>
      </c>
      <c r="H16" t="s">
        <v>20</v>
      </c>
      <c r="I16" t="s">
        <v>21</v>
      </c>
      <c r="J16" s="1">
        <v>155</v>
      </c>
      <c r="K16" s="1">
        <v>2980</v>
      </c>
      <c r="L16" t="s">
        <v>23</v>
      </c>
      <c r="M16" s="1">
        <v>44</v>
      </c>
      <c r="N16" s="48">
        <f>Tabela1[[#This Row],[Pena após Depenadeira]]/Tabela1[[#This Row],[Velocidade (FPM)]]*100</f>
        <v>28.387096774193548</v>
      </c>
      <c r="O16" s="1">
        <v>29</v>
      </c>
      <c r="P16" s="48">
        <f>Tabela1[[#This Row],[Pena após Repasse]]/Tabela1[[#This Row],[Velocidade (FPM)]]*100</f>
        <v>18.70967741935484</v>
      </c>
      <c r="Q16" s="1" t="s">
        <v>22</v>
      </c>
      <c r="R16" s="1"/>
      <c r="S16" s="1">
        <v>1</v>
      </c>
      <c r="T16" s="1"/>
      <c r="U16" s="1">
        <v>0</v>
      </c>
      <c r="V16" s="1"/>
      <c r="W16" s="1">
        <v>0</v>
      </c>
      <c r="X16" s="1" t="s">
        <v>22</v>
      </c>
      <c r="Y16" s="1">
        <v>4</v>
      </c>
      <c r="Z16" s="3">
        <f>IFERROR(Tabela1[[#This Row],[Retorno Pés]]/(Tabela1[[#This Row],[Velocidade (FPM)]]*2)*100,"")</f>
        <v>1.2903225806451613</v>
      </c>
      <c r="AA16" s="1">
        <v>12</v>
      </c>
      <c r="AB16" s="3">
        <v>7.741935483870968</v>
      </c>
      <c r="AC16" s="1">
        <v>2</v>
      </c>
      <c r="AD16" s="3">
        <v>1.2903225806451613</v>
      </c>
      <c r="AE16" s="1">
        <v>1</v>
      </c>
      <c r="AF16" s="3">
        <v>0.64516129032258063</v>
      </c>
      <c r="AG16" s="1">
        <v>6</v>
      </c>
      <c r="AH16" s="3">
        <v>3.870967741935484</v>
      </c>
      <c r="AI16" s="1" t="s">
        <v>22</v>
      </c>
      <c r="AJ16" s="1">
        <v>2</v>
      </c>
      <c r="AK16" s="3">
        <v>1.2903225806451613</v>
      </c>
      <c r="AL16" s="1">
        <v>2</v>
      </c>
      <c r="AM16" s="3">
        <v>1.2903225806451613</v>
      </c>
      <c r="AN16" s="1" t="s">
        <v>22</v>
      </c>
      <c r="AO16" s="1">
        <v>5</v>
      </c>
      <c r="AP16" s="3">
        <v>3.225806451612903</v>
      </c>
      <c r="AQ16" s="3"/>
      <c r="AR16" s="3"/>
      <c r="AS16" s="1">
        <v>6</v>
      </c>
      <c r="AT16" s="3">
        <v>3.870967741935484</v>
      </c>
      <c r="AU16" s="1">
        <v>1</v>
      </c>
      <c r="AV16" s="3">
        <v>0.64516129032258063</v>
      </c>
      <c r="AW16" s="1" t="s">
        <v>22</v>
      </c>
      <c r="AX16" s="1">
        <v>17</v>
      </c>
      <c r="AY16" s="1">
        <v>0</v>
      </c>
      <c r="AZ16" s="1">
        <v>0</v>
      </c>
      <c r="BA16" s="1">
        <v>34</v>
      </c>
      <c r="BB16" s="1">
        <v>0</v>
      </c>
      <c r="BC16" s="1">
        <v>0</v>
      </c>
      <c r="BD16" s="1"/>
      <c r="BE16" s="54"/>
      <c r="BF16" s="6">
        <v>24</v>
      </c>
      <c r="BG16" s="6">
        <v>29</v>
      </c>
      <c r="BH16" s="6">
        <v>2</v>
      </c>
      <c r="BI16" s="6"/>
      <c r="BJ16" s="1" t="s">
        <v>22</v>
      </c>
      <c r="BK16" s="1" t="s">
        <v>22</v>
      </c>
      <c r="BL16" s="1" t="s">
        <v>22</v>
      </c>
      <c r="BM16" s="1" t="s">
        <v>22</v>
      </c>
      <c r="BN16" t="s">
        <v>24</v>
      </c>
      <c r="BO16">
        <v>1474</v>
      </c>
    </row>
    <row r="17" spans="1:67" x14ac:dyDescent="0.3">
      <c r="A17" s="4">
        <f>INT(Tabela1[[#This Row],[Data e Hora]])</f>
        <v>46238</v>
      </c>
      <c r="B17" s="4" t="str">
        <f>UPPER(TEXT(Tabela1[[#This Row],[Data Corrigida]],"MMM"))</f>
        <v>AGO</v>
      </c>
      <c r="C17" t="s">
        <v>167</v>
      </c>
      <c r="D17" t="s">
        <v>168</v>
      </c>
      <c r="E17" t="s">
        <v>166</v>
      </c>
      <c r="F17" t="s">
        <v>19</v>
      </c>
      <c r="G17" s="5" t="s">
        <v>158</v>
      </c>
      <c r="H17" t="s">
        <v>20</v>
      </c>
      <c r="I17" t="s">
        <v>21</v>
      </c>
      <c r="J17" s="1">
        <v>140</v>
      </c>
      <c r="K17" s="1">
        <v>2990</v>
      </c>
      <c r="L17" t="s">
        <v>23</v>
      </c>
      <c r="M17" s="1">
        <v>42</v>
      </c>
      <c r="N17" s="48">
        <f>Tabela1[[#This Row],[Pena após Depenadeira]]/Tabela1[[#This Row],[Velocidade (FPM)]]*100</f>
        <v>30</v>
      </c>
      <c r="O17" s="1">
        <v>25</v>
      </c>
      <c r="P17" s="48">
        <f>Tabela1[[#This Row],[Pena após Repasse]]/Tabela1[[#This Row],[Velocidade (FPM)]]*100</f>
        <v>17.857142857142858</v>
      </c>
      <c r="Q17" s="1">
        <v>0</v>
      </c>
      <c r="R17" s="1"/>
      <c r="S17" s="1">
        <v>1</v>
      </c>
      <c r="T17" s="1"/>
      <c r="U17" s="1">
        <v>1</v>
      </c>
      <c r="V17" s="1"/>
      <c r="W17" s="1">
        <v>0</v>
      </c>
      <c r="X17" s="1" t="s">
        <v>22</v>
      </c>
      <c r="Y17" s="1">
        <v>2</v>
      </c>
      <c r="Z17" s="3">
        <f>IFERROR(Tabela1[[#This Row],[Retorno Pés]]/(Tabela1[[#This Row],[Velocidade (FPM)]]*2)*100,"")</f>
        <v>0.7142857142857143</v>
      </c>
      <c r="AA17" s="1">
        <v>13</v>
      </c>
      <c r="AB17" s="3">
        <v>9.2857142857142865</v>
      </c>
      <c r="AC17" s="1">
        <v>0</v>
      </c>
      <c r="AD17" s="3">
        <v>0</v>
      </c>
      <c r="AE17" s="1">
        <v>3</v>
      </c>
      <c r="AF17" s="3">
        <v>2.1428571428571428</v>
      </c>
      <c r="AG17" s="1">
        <v>4</v>
      </c>
      <c r="AH17" s="3">
        <v>2.8571428571428572</v>
      </c>
      <c r="AI17" s="1" t="s">
        <v>22</v>
      </c>
      <c r="AJ17" s="1">
        <v>1</v>
      </c>
      <c r="AK17" s="3">
        <v>0.7142857142857143</v>
      </c>
      <c r="AL17" s="1">
        <v>2</v>
      </c>
      <c r="AM17" s="3">
        <v>1.4285714285714286</v>
      </c>
      <c r="AN17" s="1" t="s">
        <v>22</v>
      </c>
      <c r="AO17" s="1">
        <v>4</v>
      </c>
      <c r="AP17" s="3">
        <v>2.8571428571428572</v>
      </c>
      <c r="AQ17" s="3"/>
      <c r="AR17" s="3"/>
      <c r="AS17" s="1">
        <v>6</v>
      </c>
      <c r="AT17" s="3">
        <v>4.2857142857142856</v>
      </c>
      <c r="AU17" s="1">
        <v>1</v>
      </c>
      <c r="AV17" s="3">
        <v>0.7142857142857143</v>
      </c>
      <c r="AW17" s="1" t="s">
        <v>22</v>
      </c>
      <c r="AX17" s="1">
        <v>20</v>
      </c>
      <c r="AY17" s="1">
        <v>0</v>
      </c>
      <c r="AZ17" s="1">
        <v>0</v>
      </c>
      <c r="BA17" s="1">
        <v>40</v>
      </c>
      <c r="BB17" s="1">
        <v>0</v>
      </c>
      <c r="BC17" s="1">
        <v>0</v>
      </c>
      <c r="BD17" s="1"/>
      <c r="BE17" s="54"/>
      <c r="BF17" s="6">
        <v>22</v>
      </c>
      <c r="BG17" s="6">
        <v>35</v>
      </c>
      <c r="BH17" s="6">
        <v>0</v>
      </c>
      <c r="BI17" s="6"/>
      <c r="BJ17" s="1" t="s">
        <v>22</v>
      </c>
      <c r="BK17" s="6" t="s">
        <v>22</v>
      </c>
      <c r="BL17" s="6" t="s">
        <v>22</v>
      </c>
      <c r="BM17" s="6" t="s">
        <v>22</v>
      </c>
      <c r="BN17" t="s">
        <v>22</v>
      </c>
      <c r="BO17">
        <v>1635</v>
      </c>
    </row>
    <row r="18" spans="1:67" x14ac:dyDescent="0.3">
      <c r="A18" s="4">
        <f>INT(Tabela1[[#This Row],[Data e Hora]])</f>
        <v>46237</v>
      </c>
      <c r="B18" s="4" t="str">
        <f>UPPER(TEXT(Tabela1[[#This Row],[Data Corrigida]],"MMM"))</f>
        <v>AGO</v>
      </c>
      <c r="C18" t="s">
        <v>169</v>
      </c>
      <c r="D18" t="s">
        <v>170</v>
      </c>
      <c r="E18" t="s">
        <v>171</v>
      </c>
      <c r="F18" t="s">
        <v>19</v>
      </c>
      <c r="G18" s="5" t="s">
        <v>172</v>
      </c>
      <c r="H18" t="s">
        <v>20</v>
      </c>
      <c r="I18" t="s">
        <v>33</v>
      </c>
      <c r="J18" s="1">
        <v>98</v>
      </c>
      <c r="K18" s="1">
        <v>3088</v>
      </c>
      <c r="L18" t="s">
        <v>34</v>
      </c>
      <c r="M18" s="1">
        <v>22</v>
      </c>
      <c r="N18" s="48">
        <f>Tabela1[[#This Row],[Pena após Depenadeira]]/Tabela1[[#This Row],[Velocidade (FPM)]]*100</f>
        <v>22.448979591836736</v>
      </c>
      <c r="O18" s="1">
        <v>13</v>
      </c>
      <c r="P18" s="48">
        <f>Tabela1[[#This Row],[Pena após Repasse]]/Tabela1[[#This Row],[Velocidade (FPM)]]*100</f>
        <v>13.26530612244898</v>
      </c>
      <c r="Q18" s="1">
        <v>4</v>
      </c>
      <c r="R18" s="1"/>
      <c r="S18" s="1">
        <v>4</v>
      </c>
      <c r="T18" s="1"/>
      <c r="U18" s="1">
        <v>0</v>
      </c>
      <c r="V18" s="1"/>
      <c r="W18" s="1">
        <v>0</v>
      </c>
      <c r="X18" s="1" t="s">
        <v>22</v>
      </c>
      <c r="Y18" s="1">
        <v>2</v>
      </c>
      <c r="Z18" s="3">
        <f>IFERROR(Tabela1[[#This Row],[Retorno Pés]]/(Tabela1[[#This Row],[Velocidade (FPM)]]*2)*100,"")</f>
        <v>1.0204081632653061</v>
      </c>
      <c r="AA18" s="1">
        <v>4</v>
      </c>
      <c r="AB18" s="3">
        <v>4.0816326530612246</v>
      </c>
      <c r="AC18" s="1">
        <v>0</v>
      </c>
      <c r="AD18" s="3">
        <v>0</v>
      </c>
      <c r="AE18" s="1">
        <v>0</v>
      </c>
      <c r="AF18" s="3">
        <v>0</v>
      </c>
      <c r="AG18" s="1">
        <v>3</v>
      </c>
      <c r="AH18" s="3">
        <v>3.0612244897959182</v>
      </c>
      <c r="AI18" s="1" t="s">
        <v>22</v>
      </c>
      <c r="AJ18" s="1">
        <v>0</v>
      </c>
      <c r="AK18" s="3">
        <v>0</v>
      </c>
      <c r="AL18" s="1">
        <v>0</v>
      </c>
      <c r="AM18" s="3">
        <v>0</v>
      </c>
      <c r="AN18" s="1" t="s">
        <v>22</v>
      </c>
      <c r="AO18" s="1">
        <v>1</v>
      </c>
      <c r="AP18" s="3">
        <v>1.0204081632653061</v>
      </c>
      <c r="AQ18" s="3"/>
      <c r="AR18" s="3"/>
      <c r="AS18" s="1">
        <v>3</v>
      </c>
      <c r="AT18" s="3">
        <v>3.0612244897959182</v>
      </c>
      <c r="AU18" s="1">
        <v>0</v>
      </c>
      <c r="AV18" s="3">
        <v>0</v>
      </c>
      <c r="AW18" s="1" t="s">
        <v>22</v>
      </c>
      <c r="AX18" s="1">
        <v>7</v>
      </c>
      <c r="AY18" s="1">
        <v>1</v>
      </c>
      <c r="AZ18" s="1">
        <v>2</v>
      </c>
      <c r="BA18" s="1">
        <v>14</v>
      </c>
      <c r="BB18" s="1">
        <v>2</v>
      </c>
      <c r="BC18" s="1">
        <v>4</v>
      </c>
      <c r="BD18" s="1"/>
      <c r="BE18" s="54"/>
      <c r="BF18" s="6">
        <v>8</v>
      </c>
      <c r="BG18" s="6">
        <v>5</v>
      </c>
      <c r="BH18" s="6">
        <v>0</v>
      </c>
      <c r="BI18" s="6"/>
      <c r="BJ18" s="1" t="s">
        <v>22</v>
      </c>
      <c r="BK18" s="6">
        <v>2</v>
      </c>
      <c r="BL18" s="6">
        <v>0</v>
      </c>
      <c r="BM18" s="6">
        <v>0</v>
      </c>
      <c r="BN18" t="s">
        <v>24</v>
      </c>
      <c r="BO18">
        <v>12886</v>
      </c>
    </row>
    <row r="19" spans="1:67" x14ac:dyDescent="0.3">
      <c r="A19" s="4">
        <f>INT(Tabela1[[#This Row],[Data e Hora]])</f>
        <v>46237</v>
      </c>
      <c r="B19" s="4" t="str">
        <f>UPPER(TEXT(Tabela1[[#This Row],[Data Corrigida]],"MMM"))</f>
        <v>AGO</v>
      </c>
      <c r="C19" t="s">
        <v>173</v>
      </c>
      <c r="D19" t="s">
        <v>174</v>
      </c>
      <c r="E19" t="s">
        <v>175</v>
      </c>
      <c r="F19" t="s">
        <v>19</v>
      </c>
      <c r="G19" s="5" t="s">
        <v>172</v>
      </c>
      <c r="H19" t="s">
        <v>20</v>
      </c>
      <c r="I19" t="s">
        <v>33</v>
      </c>
      <c r="J19" s="1">
        <v>79</v>
      </c>
      <c r="K19" s="1">
        <v>3285</v>
      </c>
      <c r="L19" t="s">
        <v>34</v>
      </c>
      <c r="M19" s="1">
        <v>7</v>
      </c>
      <c r="N19" s="48">
        <f>Tabela1[[#This Row],[Pena após Depenadeira]]/Tabela1[[#This Row],[Velocidade (FPM)]]*100</f>
        <v>8.8607594936708853</v>
      </c>
      <c r="O19" s="1">
        <v>2</v>
      </c>
      <c r="P19" s="48">
        <f>Tabela1[[#This Row],[Pena após Repasse]]/Tabela1[[#This Row],[Velocidade (FPM)]]*100</f>
        <v>2.5316455696202533</v>
      </c>
      <c r="Q19" s="1">
        <v>4</v>
      </c>
      <c r="R19" s="1"/>
      <c r="S19" s="1">
        <v>3</v>
      </c>
      <c r="T19" s="1"/>
      <c r="U19" s="1">
        <v>1</v>
      </c>
      <c r="V19" s="1"/>
      <c r="W19" s="1">
        <v>1</v>
      </c>
      <c r="X19" s="1" t="s">
        <v>22</v>
      </c>
      <c r="Y19" s="1">
        <v>2</v>
      </c>
      <c r="Z19" s="3">
        <f>IFERROR(Tabela1[[#This Row],[Retorno Pés]]/(Tabela1[[#This Row],[Velocidade (FPM)]]*2)*100,"")</f>
        <v>1.2658227848101267</v>
      </c>
      <c r="AA19" s="1">
        <v>26</v>
      </c>
      <c r="AB19" s="3">
        <v>32.911392405063289</v>
      </c>
      <c r="AC19" s="1">
        <v>0</v>
      </c>
      <c r="AD19" s="3">
        <v>0</v>
      </c>
      <c r="AE19" s="1">
        <v>0</v>
      </c>
      <c r="AF19" s="3">
        <v>0</v>
      </c>
      <c r="AG19" s="1">
        <v>7</v>
      </c>
      <c r="AH19" s="3">
        <v>8.8607594936708853</v>
      </c>
      <c r="AI19" s="1" t="s">
        <v>22</v>
      </c>
      <c r="AJ19" s="1">
        <v>4</v>
      </c>
      <c r="AK19" s="3">
        <v>5.0632911392405067</v>
      </c>
      <c r="AL19" s="1">
        <v>0</v>
      </c>
      <c r="AM19" s="3">
        <v>0</v>
      </c>
      <c r="AN19" s="1" t="s">
        <v>22</v>
      </c>
      <c r="AO19" s="1">
        <v>4</v>
      </c>
      <c r="AP19" s="3">
        <v>5.0632911392405067</v>
      </c>
      <c r="AQ19" s="3"/>
      <c r="AR19" s="3"/>
      <c r="AS19" s="1">
        <v>3</v>
      </c>
      <c r="AT19" s="3">
        <v>3.79746835443038</v>
      </c>
      <c r="AU19" s="1">
        <v>0</v>
      </c>
      <c r="AV19" s="3">
        <v>0</v>
      </c>
      <c r="AW19" s="1" t="s">
        <v>22</v>
      </c>
      <c r="AX19" s="1">
        <v>9</v>
      </c>
      <c r="AY19" s="1">
        <v>0</v>
      </c>
      <c r="AZ19" s="1">
        <v>3</v>
      </c>
      <c r="BA19" s="1">
        <v>18</v>
      </c>
      <c r="BB19" s="1">
        <v>0</v>
      </c>
      <c r="BC19" s="1">
        <v>6</v>
      </c>
      <c r="BD19" s="1"/>
      <c r="BE19" s="54"/>
      <c r="BF19" s="6">
        <v>7</v>
      </c>
      <c r="BG19" s="6">
        <v>2</v>
      </c>
      <c r="BH19" s="6">
        <v>0</v>
      </c>
      <c r="BI19" s="6"/>
      <c r="BJ19" s="1" t="s">
        <v>22</v>
      </c>
      <c r="BK19" s="6">
        <v>3</v>
      </c>
      <c r="BL19" s="6">
        <v>0</v>
      </c>
      <c r="BM19" s="6">
        <v>0</v>
      </c>
      <c r="BN19" t="s">
        <v>24</v>
      </c>
      <c r="BO19">
        <v>12727</v>
      </c>
    </row>
    <row r="20" spans="1:67" x14ac:dyDescent="0.3">
      <c r="A20" s="4">
        <f>INT(Tabela1[[#This Row],[Data e Hora]])</f>
        <v>46237</v>
      </c>
      <c r="B20" s="4" t="str">
        <f>UPPER(TEXT(Tabela1[[#This Row],[Data Corrigida]],"MMM"))</f>
        <v>AGO</v>
      </c>
      <c r="C20" t="s">
        <v>16</v>
      </c>
      <c r="D20" t="s">
        <v>17</v>
      </c>
      <c r="E20" t="s">
        <v>18</v>
      </c>
      <c r="F20" t="s">
        <v>19</v>
      </c>
      <c r="G20" s="5" t="s">
        <v>172</v>
      </c>
      <c r="H20" t="s">
        <v>20</v>
      </c>
      <c r="I20" t="s">
        <v>21</v>
      </c>
      <c r="J20" s="1">
        <v>151</v>
      </c>
      <c r="K20" s="1">
        <v>3341</v>
      </c>
      <c r="L20" t="s">
        <v>23</v>
      </c>
      <c r="M20" s="1">
        <v>23</v>
      </c>
      <c r="N20" s="48">
        <f>Tabela1[[#This Row],[Pena após Depenadeira]]/Tabela1[[#This Row],[Velocidade (FPM)]]*100</f>
        <v>15.231788079470199</v>
      </c>
      <c r="O20" s="1">
        <v>7</v>
      </c>
      <c r="P20" s="48">
        <f>Tabela1[[#This Row],[Pena após Repasse]]/Tabela1[[#This Row],[Velocidade (FPM)]]*100</f>
        <v>4.6357615894039732</v>
      </c>
      <c r="Q20" s="1" t="s">
        <v>22</v>
      </c>
      <c r="R20" s="1"/>
      <c r="S20" s="1">
        <v>3</v>
      </c>
      <c r="T20" s="1"/>
      <c r="U20" s="1">
        <v>1</v>
      </c>
      <c r="V20" s="1"/>
      <c r="W20" s="1">
        <v>10</v>
      </c>
      <c r="X20" s="1" t="s">
        <v>22</v>
      </c>
      <c r="Y20" s="1">
        <v>2</v>
      </c>
      <c r="Z20" s="3">
        <f>IFERROR(Tabela1[[#This Row],[Retorno Pés]]/(Tabela1[[#This Row],[Velocidade (FPM)]]*2)*100,"")</f>
        <v>0.66225165562913912</v>
      </c>
      <c r="AA20" s="1">
        <v>25</v>
      </c>
      <c r="AB20" s="3">
        <v>16.556291390728479</v>
      </c>
      <c r="AC20" s="1">
        <v>0</v>
      </c>
      <c r="AD20" s="3">
        <v>0</v>
      </c>
      <c r="AE20" s="1">
        <v>2</v>
      </c>
      <c r="AF20" s="3">
        <v>1.3245033112582782</v>
      </c>
      <c r="AG20" s="1">
        <v>8</v>
      </c>
      <c r="AH20" s="3">
        <v>5.298013245033113</v>
      </c>
      <c r="AI20" s="1" t="s">
        <v>22</v>
      </c>
      <c r="AJ20" s="1">
        <v>10</v>
      </c>
      <c r="AK20" s="3">
        <v>6.6225165562913908</v>
      </c>
      <c r="AL20" s="1">
        <v>4</v>
      </c>
      <c r="AM20" s="3">
        <v>2.6490066225165565</v>
      </c>
      <c r="AN20" s="1" t="s">
        <v>22</v>
      </c>
      <c r="AO20" s="1">
        <v>18</v>
      </c>
      <c r="AP20" s="3">
        <v>11.920529801324504</v>
      </c>
      <c r="AQ20" s="3"/>
      <c r="AR20" s="3"/>
      <c r="AS20" s="1">
        <v>12</v>
      </c>
      <c r="AT20" s="3">
        <v>7.9470198675496695</v>
      </c>
      <c r="AU20" s="1">
        <v>3</v>
      </c>
      <c r="AV20" s="3">
        <v>1.9867549668874174</v>
      </c>
      <c r="AW20" s="1" t="s">
        <v>22</v>
      </c>
      <c r="AX20" s="1">
        <v>18</v>
      </c>
      <c r="AY20" s="1">
        <v>0</v>
      </c>
      <c r="AZ20" s="1">
        <v>0</v>
      </c>
      <c r="BA20" s="1">
        <v>36</v>
      </c>
      <c r="BB20" s="1">
        <v>0</v>
      </c>
      <c r="BC20" s="1">
        <v>0</v>
      </c>
      <c r="BD20" s="1"/>
      <c r="BE20" s="54"/>
      <c r="BF20" s="6">
        <v>27</v>
      </c>
      <c r="BG20" s="6">
        <v>36</v>
      </c>
      <c r="BH20" s="6">
        <v>3</v>
      </c>
      <c r="BI20" s="6"/>
      <c r="BJ20" s="1" t="s">
        <v>22</v>
      </c>
      <c r="BK20" s="1" t="s">
        <v>22</v>
      </c>
      <c r="BL20" s="1" t="s">
        <v>22</v>
      </c>
      <c r="BM20" s="1" t="s">
        <v>22</v>
      </c>
      <c r="BN20" t="s">
        <v>24</v>
      </c>
      <c r="BO20">
        <v>2599</v>
      </c>
    </row>
    <row r="21" spans="1:67" x14ac:dyDescent="0.3">
      <c r="A21" s="4">
        <f>INT(Tabela1[[#This Row],[Data e Hora]])</f>
        <v>46237</v>
      </c>
      <c r="B21" s="4" t="str">
        <f>UPPER(TEXT(Tabela1[[#This Row],[Data Corrigida]],"MMM"))</f>
        <v>AGO</v>
      </c>
      <c r="C21" t="s">
        <v>25</v>
      </c>
      <c r="D21" t="s">
        <v>26</v>
      </c>
      <c r="E21" t="s">
        <v>27</v>
      </c>
      <c r="F21" t="s">
        <v>19</v>
      </c>
      <c r="G21" s="5" t="s">
        <v>172</v>
      </c>
      <c r="H21" t="s">
        <v>20</v>
      </c>
      <c r="I21" t="s">
        <v>21</v>
      </c>
      <c r="J21" s="1">
        <v>146</v>
      </c>
      <c r="K21" s="1">
        <v>3276</v>
      </c>
      <c r="L21" t="s">
        <v>23</v>
      </c>
      <c r="M21" s="1">
        <v>19</v>
      </c>
      <c r="N21" s="48">
        <f>Tabela1[[#This Row],[Pena após Depenadeira]]/Tabela1[[#This Row],[Velocidade (FPM)]]*100</f>
        <v>13.013698630136986</v>
      </c>
      <c r="O21" s="1">
        <v>7</v>
      </c>
      <c r="P21" s="48">
        <f>Tabela1[[#This Row],[Pena após Repasse]]/Tabela1[[#This Row],[Velocidade (FPM)]]*100</f>
        <v>4.7945205479452051</v>
      </c>
      <c r="Q21" s="1">
        <v>0</v>
      </c>
      <c r="R21" s="1"/>
      <c r="S21" s="1">
        <v>4</v>
      </c>
      <c r="T21" s="1"/>
      <c r="U21" s="1">
        <v>1</v>
      </c>
      <c r="V21" s="1"/>
      <c r="W21" s="1">
        <v>0</v>
      </c>
      <c r="X21" s="1" t="s">
        <v>22</v>
      </c>
      <c r="Y21" s="1">
        <v>1</v>
      </c>
      <c r="Z21" s="3">
        <f>IFERROR(Tabela1[[#This Row],[Retorno Pés]]/(Tabela1[[#This Row],[Velocidade (FPM)]]*2)*100,"")</f>
        <v>0.34246575342465752</v>
      </c>
      <c r="AA21" s="1">
        <v>10</v>
      </c>
      <c r="AB21" s="3">
        <v>6.8493150684931505</v>
      </c>
      <c r="AC21" s="1">
        <v>0</v>
      </c>
      <c r="AD21" s="3">
        <v>0</v>
      </c>
      <c r="AE21" s="1">
        <v>2</v>
      </c>
      <c r="AF21" s="3">
        <v>1.3698630136986301</v>
      </c>
      <c r="AG21" s="1">
        <v>2</v>
      </c>
      <c r="AH21" s="3">
        <v>1.3698630136986301</v>
      </c>
      <c r="AI21" s="1" t="s">
        <v>22</v>
      </c>
      <c r="AJ21" s="1">
        <v>4</v>
      </c>
      <c r="AK21" s="3">
        <v>2.7397260273972601</v>
      </c>
      <c r="AL21" s="1">
        <v>2</v>
      </c>
      <c r="AM21" s="3">
        <v>1.3698630136986301</v>
      </c>
      <c r="AN21" s="1" t="s">
        <v>22</v>
      </c>
      <c r="AO21" s="1">
        <v>8</v>
      </c>
      <c r="AP21" s="3">
        <v>5.4794520547945202</v>
      </c>
      <c r="AQ21" s="3"/>
      <c r="AR21" s="3"/>
      <c r="AS21" s="1">
        <v>6</v>
      </c>
      <c r="AT21" s="3">
        <v>4.10958904109589</v>
      </c>
      <c r="AU21" s="1">
        <v>1</v>
      </c>
      <c r="AV21" s="3">
        <v>0.68493150684931503</v>
      </c>
      <c r="AW21" s="1" t="s">
        <v>22</v>
      </c>
      <c r="AX21" s="1">
        <v>19</v>
      </c>
      <c r="AY21" s="1">
        <v>0</v>
      </c>
      <c r="AZ21" s="1">
        <v>0</v>
      </c>
      <c r="BA21" s="1">
        <v>38</v>
      </c>
      <c r="BB21" s="1">
        <v>0</v>
      </c>
      <c r="BC21" s="1">
        <v>0</v>
      </c>
      <c r="BD21" s="1"/>
      <c r="BE21" s="54"/>
      <c r="BF21" s="6">
        <v>25</v>
      </c>
      <c r="BG21" s="6">
        <v>29</v>
      </c>
      <c r="BH21" s="6">
        <v>1</v>
      </c>
      <c r="BI21" s="6"/>
      <c r="BJ21" s="1" t="s">
        <v>22</v>
      </c>
      <c r="BK21" s="6">
        <v>0</v>
      </c>
      <c r="BL21" s="6">
        <v>0</v>
      </c>
      <c r="BM21" s="6">
        <v>1</v>
      </c>
      <c r="BN21" t="s">
        <v>24</v>
      </c>
      <c r="BO21">
        <v>1715</v>
      </c>
    </row>
    <row r="22" spans="1:67" x14ac:dyDescent="0.3">
      <c r="A22" s="4">
        <f>INT(Tabela1[[#This Row],[Data e Hora]])</f>
        <v>46237</v>
      </c>
      <c r="B22" s="4" t="str">
        <f>UPPER(TEXT(Tabela1[[#This Row],[Data Corrigida]],"MMM"))</f>
        <v>AGO</v>
      </c>
      <c r="C22" t="s">
        <v>28</v>
      </c>
      <c r="D22" t="s">
        <v>29</v>
      </c>
      <c r="E22" t="s">
        <v>27</v>
      </c>
      <c r="F22" t="s">
        <v>19</v>
      </c>
      <c r="G22" s="5" t="s">
        <v>172</v>
      </c>
      <c r="H22" t="s">
        <v>20</v>
      </c>
      <c r="I22" t="s">
        <v>21</v>
      </c>
      <c r="J22" s="1">
        <v>135</v>
      </c>
      <c r="K22" s="1">
        <v>3123</v>
      </c>
      <c r="L22" t="s">
        <v>23</v>
      </c>
      <c r="M22" s="1">
        <v>25</v>
      </c>
      <c r="N22" s="48">
        <f>Tabela1[[#This Row],[Pena após Depenadeira]]/Tabela1[[#This Row],[Velocidade (FPM)]]*100</f>
        <v>18.518518518518519</v>
      </c>
      <c r="O22" s="1">
        <v>5</v>
      </c>
      <c r="P22" s="48">
        <f>Tabela1[[#This Row],[Pena após Repasse]]/Tabela1[[#This Row],[Velocidade (FPM)]]*100</f>
        <v>3.7037037037037033</v>
      </c>
      <c r="Q22" s="1">
        <v>1</v>
      </c>
      <c r="R22" s="1"/>
      <c r="S22" s="1">
        <v>4</v>
      </c>
      <c r="T22" s="1"/>
      <c r="U22" s="1">
        <v>0</v>
      </c>
      <c r="V22" s="1"/>
      <c r="W22" s="1" t="s">
        <v>22</v>
      </c>
      <c r="X22" s="1" t="s">
        <v>22</v>
      </c>
      <c r="Y22" s="1">
        <v>2</v>
      </c>
      <c r="Z22" s="3">
        <f>IFERROR(Tabela1[[#This Row],[Retorno Pés]]/(Tabela1[[#This Row],[Velocidade (FPM)]]*2)*100,"")</f>
        <v>0.74074074074074081</v>
      </c>
      <c r="AA22" s="1">
        <v>2</v>
      </c>
      <c r="AB22" s="3">
        <v>1.4814814814814816</v>
      </c>
      <c r="AC22" s="1">
        <v>0</v>
      </c>
      <c r="AD22" s="3">
        <v>0</v>
      </c>
      <c r="AE22" s="1">
        <v>1</v>
      </c>
      <c r="AF22" s="3">
        <v>0.74074074074074081</v>
      </c>
      <c r="AG22" s="1">
        <v>2</v>
      </c>
      <c r="AH22" s="3">
        <v>1.4814814814814816</v>
      </c>
      <c r="AI22" s="1" t="s">
        <v>22</v>
      </c>
      <c r="AJ22" s="1">
        <v>4</v>
      </c>
      <c r="AK22" s="3">
        <v>2.9629629629629632</v>
      </c>
      <c r="AL22" s="1">
        <v>3</v>
      </c>
      <c r="AM22" s="3">
        <v>2.2222222222222223</v>
      </c>
      <c r="AN22" s="1" t="s">
        <v>22</v>
      </c>
      <c r="AO22" s="1">
        <v>10</v>
      </c>
      <c r="AP22" s="3">
        <v>7.4074074074074066</v>
      </c>
      <c r="AQ22" s="3"/>
      <c r="AR22" s="3"/>
      <c r="AS22" s="1">
        <v>9</v>
      </c>
      <c r="AT22" s="3">
        <v>6.666666666666667</v>
      </c>
      <c r="AU22" s="1">
        <v>3</v>
      </c>
      <c r="AV22" s="3">
        <v>2.2222222222222223</v>
      </c>
      <c r="AW22" s="1" t="s">
        <v>22</v>
      </c>
      <c r="AX22" s="1">
        <v>17</v>
      </c>
      <c r="AY22" s="1">
        <v>0</v>
      </c>
      <c r="AZ22" s="1">
        <v>0</v>
      </c>
      <c r="BA22" s="1">
        <v>34</v>
      </c>
      <c r="BB22" s="1">
        <v>0</v>
      </c>
      <c r="BC22" s="1">
        <v>0</v>
      </c>
      <c r="BD22" s="1"/>
      <c r="BE22" s="54"/>
      <c r="BF22" s="6">
        <v>25</v>
      </c>
      <c r="BG22" s="6">
        <v>37</v>
      </c>
      <c r="BH22" s="6">
        <v>4</v>
      </c>
      <c r="BI22" s="6"/>
      <c r="BJ22" s="1" t="s">
        <v>22</v>
      </c>
      <c r="BK22" s="6" t="s">
        <v>22</v>
      </c>
      <c r="BL22" s="6" t="s">
        <v>22</v>
      </c>
      <c r="BM22" s="6" t="s">
        <v>22</v>
      </c>
      <c r="BN22" t="s">
        <v>24</v>
      </c>
      <c r="BO22">
        <v>2275</v>
      </c>
    </row>
    <row r="23" spans="1:67" x14ac:dyDescent="0.3">
      <c r="A23" s="4">
        <f>INT(Tabela1[[#This Row],[Data e Hora]])</f>
        <v>46233</v>
      </c>
      <c r="B23" s="4" t="str">
        <f>UPPER(TEXT(Tabela1[[#This Row],[Data Corrigida]],"MMM"))</f>
        <v>JUL</v>
      </c>
      <c r="C23" t="s">
        <v>30</v>
      </c>
      <c r="D23" t="s">
        <v>31</v>
      </c>
      <c r="E23" t="s">
        <v>32</v>
      </c>
      <c r="F23" t="s">
        <v>19</v>
      </c>
      <c r="G23" s="5" t="s">
        <v>176</v>
      </c>
      <c r="H23" t="s">
        <v>20</v>
      </c>
      <c r="I23" t="s">
        <v>33</v>
      </c>
      <c r="J23" s="1">
        <v>153</v>
      </c>
      <c r="K23" s="1">
        <v>2882</v>
      </c>
      <c r="L23" t="s">
        <v>34</v>
      </c>
      <c r="M23" s="1">
        <v>14</v>
      </c>
      <c r="N23" s="48">
        <f>Tabela1[[#This Row],[Pena após Depenadeira]]/Tabela1[[#This Row],[Velocidade (FPM)]]*100</f>
        <v>9.1503267973856204</v>
      </c>
      <c r="O23" s="1">
        <v>15</v>
      </c>
      <c r="P23" s="48">
        <f>Tabela1[[#This Row],[Pena após Repasse]]/Tabela1[[#This Row],[Velocidade (FPM)]]*100</f>
        <v>9.8039215686274517</v>
      </c>
      <c r="Q23" s="1">
        <v>5</v>
      </c>
      <c r="R23" s="1"/>
      <c r="S23" s="1">
        <v>4</v>
      </c>
      <c r="T23" s="1"/>
      <c r="U23" s="1">
        <v>1</v>
      </c>
      <c r="V23" s="1"/>
      <c r="W23" s="1">
        <v>1</v>
      </c>
      <c r="X23" s="1" t="s">
        <v>22</v>
      </c>
      <c r="Y23" s="1" t="s">
        <v>22</v>
      </c>
      <c r="Z23" s="3" t="str">
        <f>IFERROR(Tabela1[[#This Row],[Retorno Pés]]/(Tabela1[[#This Row],[Velocidade (FPM)]]*2)*100,"")</f>
        <v/>
      </c>
      <c r="AA23" s="1">
        <v>20</v>
      </c>
      <c r="AB23" s="3">
        <v>13.071895424836603</v>
      </c>
      <c r="AC23" s="1">
        <v>1</v>
      </c>
      <c r="AD23" s="3">
        <v>0.65359477124183007</v>
      </c>
      <c r="AE23" s="1">
        <v>1</v>
      </c>
      <c r="AF23" s="3">
        <v>0.65359477124183007</v>
      </c>
      <c r="AG23" s="1">
        <v>4</v>
      </c>
      <c r="AH23" s="3">
        <v>2.6143790849673203</v>
      </c>
      <c r="AI23" s="1" t="s">
        <v>22</v>
      </c>
      <c r="AJ23" s="1">
        <v>2</v>
      </c>
      <c r="AK23" s="3">
        <v>1.3071895424836601</v>
      </c>
      <c r="AL23" s="1">
        <v>8</v>
      </c>
      <c r="AM23" s="3">
        <v>5.2287581699346406</v>
      </c>
      <c r="AN23" s="1" t="s">
        <v>22</v>
      </c>
      <c r="AO23" s="1">
        <v>14</v>
      </c>
      <c r="AP23" s="3">
        <v>9.1503267973856204</v>
      </c>
      <c r="AQ23" s="3"/>
      <c r="AR23" s="3"/>
      <c r="AS23" s="1">
        <v>4</v>
      </c>
      <c r="AT23" s="3">
        <v>2.6143790849673203</v>
      </c>
      <c r="AU23" s="1">
        <v>2</v>
      </c>
      <c r="AV23" s="3">
        <v>1.3071895424836601</v>
      </c>
      <c r="AW23" s="1" t="s">
        <v>22</v>
      </c>
      <c r="AX23" s="1">
        <v>20</v>
      </c>
      <c r="AY23" s="1">
        <v>3</v>
      </c>
      <c r="AZ23" s="1">
        <v>6</v>
      </c>
      <c r="BA23" s="1">
        <v>40</v>
      </c>
      <c r="BB23" s="1">
        <v>6</v>
      </c>
      <c r="BC23" s="1">
        <v>12</v>
      </c>
      <c r="BD23" s="1"/>
      <c r="BE23" s="54"/>
      <c r="BF23" s="6">
        <v>11</v>
      </c>
      <c r="BG23" s="6">
        <v>6</v>
      </c>
      <c r="BH23" s="6">
        <v>0</v>
      </c>
      <c r="BI23" s="6"/>
      <c r="BJ23" s="1" t="s">
        <v>22</v>
      </c>
      <c r="BK23" s="6">
        <v>13</v>
      </c>
      <c r="BL23" s="6">
        <v>0</v>
      </c>
      <c r="BM23" s="6">
        <v>0</v>
      </c>
      <c r="BN23" t="s">
        <v>24</v>
      </c>
      <c r="BO23">
        <v>8657</v>
      </c>
    </row>
    <row r="24" spans="1:67" x14ac:dyDescent="0.3">
      <c r="A24" s="4">
        <f>INT(Tabela1[[#This Row],[Data e Hora]])</f>
        <v>46233</v>
      </c>
      <c r="B24" s="4" t="str">
        <f>UPPER(TEXT(Tabela1[[#This Row],[Data Corrigida]],"MMM"))</f>
        <v>JUL</v>
      </c>
      <c r="C24" t="s">
        <v>35</v>
      </c>
      <c r="D24" t="s">
        <v>36</v>
      </c>
      <c r="E24" t="s">
        <v>37</v>
      </c>
      <c r="F24" t="s">
        <v>19</v>
      </c>
      <c r="G24" s="5" t="s">
        <v>176</v>
      </c>
      <c r="H24" t="s">
        <v>20</v>
      </c>
      <c r="I24" t="s">
        <v>33</v>
      </c>
      <c r="J24" s="1">
        <v>100</v>
      </c>
      <c r="K24" s="1">
        <v>2882</v>
      </c>
      <c r="L24" t="s">
        <v>34</v>
      </c>
      <c r="M24" s="1">
        <v>5</v>
      </c>
      <c r="N24" s="48">
        <f>Tabela1[[#This Row],[Pena após Depenadeira]]/Tabela1[[#This Row],[Velocidade (FPM)]]*100</f>
        <v>5</v>
      </c>
      <c r="O24" s="1">
        <v>0</v>
      </c>
      <c r="P24" s="48">
        <f>Tabela1[[#This Row],[Pena após Repasse]]/Tabela1[[#This Row],[Velocidade (FPM)]]*100</f>
        <v>0</v>
      </c>
      <c r="Q24" s="1">
        <v>5</v>
      </c>
      <c r="R24" s="1"/>
      <c r="S24" s="1">
        <v>3</v>
      </c>
      <c r="T24" s="1"/>
      <c r="U24" s="1">
        <v>2</v>
      </c>
      <c r="V24" s="1"/>
      <c r="W24" s="1">
        <v>2</v>
      </c>
      <c r="X24" s="1" t="s">
        <v>22</v>
      </c>
      <c r="Y24" s="1">
        <v>5</v>
      </c>
      <c r="Z24" s="3">
        <f>IFERROR(Tabela1[[#This Row],[Retorno Pés]]/(Tabela1[[#This Row],[Velocidade (FPM)]]*2)*100,"")</f>
        <v>2.5</v>
      </c>
      <c r="AA24" s="1">
        <v>7</v>
      </c>
      <c r="AB24" s="3">
        <v>7.0000000000000009</v>
      </c>
      <c r="AC24" s="1">
        <v>0</v>
      </c>
      <c r="AD24" s="3">
        <v>0</v>
      </c>
      <c r="AE24" s="1">
        <v>1</v>
      </c>
      <c r="AF24" s="3">
        <v>1</v>
      </c>
      <c r="AG24" s="1">
        <v>13</v>
      </c>
      <c r="AH24" s="3">
        <v>13</v>
      </c>
      <c r="AI24" s="1" t="s">
        <v>22</v>
      </c>
      <c r="AJ24" s="1">
        <v>0</v>
      </c>
      <c r="AK24" s="3">
        <v>0</v>
      </c>
      <c r="AL24" s="1">
        <v>0</v>
      </c>
      <c r="AM24" s="3">
        <v>0</v>
      </c>
      <c r="AN24" s="1" t="s">
        <v>22</v>
      </c>
      <c r="AO24" s="1">
        <v>15</v>
      </c>
      <c r="AP24" s="3">
        <v>15</v>
      </c>
      <c r="AQ24" s="3"/>
      <c r="AR24" s="3"/>
      <c r="AS24" s="1">
        <v>6</v>
      </c>
      <c r="AT24" s="3">
        <v>6</v>
      </c>
      <c r="AU24" s="1">
        <v>0</v>
      </c>
      <c r="AV24" s="3">
        <v>0</v>
      </c>
      <c r="AW24" s="1" t="s">
        <v>22</v>
      </c>
      <c r="AX24" s="1">
        <v>16</v>
      </c>
      <c r="AY24" s="1">
        <v>1</v>
      </c>
      <c r="AZ24" s="1">
        <v>5</v>
      </c>
      <c r="BA24" s="1">
        <v>32</v>
      </c>
      <c r="BB24" s="1">
        <v>2</v>
      </c>
      <c r="BC24" s="1">
        <v>10</v>
      </c>
      <c r="BD24" s="1"/>
      <c r="BE24" s="54"/>
      <c r="BF24" s="6">
        <v>14</v>
      </c>
      <c r="BG24" s="6">
        <v>5</v>
      </c>
      <c r="BH24" s="6">
        <v>1</v>
      </c>
      <c r="BI24" s="6"/>
      <c r="BJ24" s="1" t="s">
        <v>22</v>
      </c>
      <c r="BK24" s="6">
        <v>10</v>
      </c>
      <c r="BL24" s="6">
        <v>0</v>
      </c>
      <c r="BM24" s="6">
        <v>0</v>
      </c>
      <c r="BN24" t="s">
        <v>24</v>
      </c>
      <c r="BO24">
        <v>12526</v>
      </c>
    </row>
    <row r="25" spans="1:67" x14ac:dyDescent="0.3">
      <c r="A25" s="4">
        <f>INT(Tabela1[[#This Row],[Data e Hora]])</f>
        <v>46233</v>
      </c>
      <c r="B25" s="4" t="str">
        <f>UPPER(TEXT(Tabela1[[#This Row],[Data Corrigida]],"MMM"))</f>
        <v>JUL</v>
      </c>
      <c r="C25" t="s">
        <v>38</v>
      </c>
      <c r="D25" t="s">
        <v>39</v>
      </c>
      <c r="E25" t="s">
        <v>40</v>
      </c>
      <c r="F25" t="s">
        <v>19</v>
      </c>
      <c r="G25" s="5" t="s">
        <v>176</v>
      </c>
      <c r="H25" t="s">
        <v>20</v>
      </c>
      <c r="I25" t="s">
        <v>21</v>
      </c>
      <c r="J25" s="1">
        <v>150</v>
      </c>
      <c r="K25" s="1">
        <v>2818</v>
      </c>
      <c r="L25" t="s">
        <v>23</v>
      </c>
      <c r="M25" s="1">
        <v>15</v>
      </c>
      <c r="N25" s="48">
        <f>Tabela1[[#This Row],[Pena após Depenadeira]]/Tabela1[[#This Row],[Velocidade (FPM)]]*100</f>
        <v>10</v>
      </c>
      <c r="O25" s="1">
        <v>4</v>
      </c>
      <c r="P25" s="48">
        <f>Tabela1[[#This Row],[Pena após Repasse]]/Tabela1[[#This Row],[Velocidade (FPM)]]*100</f>
        <v>2.666666666666667</v>
      </c>
      <c r="Q25" s="1">
        <v>0</v>
      </c>
      <c r="R25" s="1"/>
      <c r="S25" s="1">
        <v>3</v>
      </c>
      <c r="T25" s="1"/>
      <c r="U25" s="1">
        <v>1</v>
      </c>
      <c r="V25" s="1"/>
      <c r="W25" s="1">
        <v>0</v>
      </c>
      <c r="X25" s="1" t="s">
        <v>22</v>
      </c>
      <c r="Y25" s="1">
        <v>3</v>
      </c>
      <c r="Z25" s="3">
        <f>IFERROR(Tabela1[[#This Row],[Retorno Pés]]/(Tabela1[[#This Row],[Velocidade (FPM)]]*2)*100,"")</f>
        <v>1</v>
      </c>
      <c r="AA25" s="1">
        <v>12</v>
      </c>
      <c r="AB25" s="3">
        <v>8</v>
      </c>
      <c r="AC25" s="1">
        <v>1</v>
      </c>
      <c r="AD25" s="3">
        <v>0.66666666666666674</v>
      </c>
      <c r="AE25" s="1">
        <v>3</v>
      </c>
      <c r="AF25" s="3">
        <v>2</v>
      </c>
      <c r="AG25" s="1">
        <v>11</v>
      </c>
      <c r="AH25" s="3">
        <v>7.333333333333333</v>
      </c>
      <c r="AI25" s="1" t="s">
        <v>22</v>
      </c>
      <c r="AJ25" s="1">
        <v>3</v>
      </c>
      <c r="AK25" s="3">
        <v>2</v>
      </c>
      <c r="AL25" s="1">
        <v>2</v>
      </c>
      <c r="AM25" s="3">
        <v>1.3333333333333335</v>
      </c>
      <c r="AN25" s="1" t="s">
        <v>22</v>
      </c>
      <c r="AO25" s="1">
        <v>13</v>
      </c>
      <c r="AP25" s="3">
        <v>8.6666666666666679</v>
      </c>
      <c r="AQ25" s="3"/>
      <c r="AR25" s="3"/>
      <c r="AS25" s="1">
        <v>8</v>
      </c>
      <c r="AT25" s="3">
        <v>5.3333333333333339</v>
      </c>
      <c r="AU25" s="1">
        <v>1</v>
      </c>
      <c r="AV25" s="3">
        <v>0.66666666666666674</v>
      </c>
      <c r="AW25" s="1" t="s">
        <v>22</v>
      </c>
      <c r="AX25" s="1">
        <v>19</v>
      </c>
      <c r="AY25" s="1">
        <v>0</v>
      </c>
      <c r="AZ25" s="1">
        <v>0</v>
      </c>
      <c r="BA25" s="1">
        <v>38</v>
      </c>
      <c r="BB25" s="1">
        <v>0</v>
      </c>
      <c r="BC25" s="1">
        <v>0</v>
      </c>
      <c r="BD25" s="1"/>
      <c r="BE25" s="54"/>
      <c r="BF25" s="6">
        <v>27</v>
      </c>
      <c r="BG25" s="6">
        <v>30</v>
      </c>
      <c r="BH25" s="6">
        <v>2</v>
      </c>
      <c r="BI25" s="6"/>
      <c r="BJ25" s="1" t="s">
        <v>22</v>
      </c>
      <c r="BK25" s="6">
        <v>1</v>
      </c>
      <c r="BL25" s="6">
        <v>0</v>
      </c>
      <c r="BM25" s="6">
        <v>2</v>
      </c>
      <c r="BN25" t="s">
        <v>24</v>
      </c>
      <c r="BO25">
        <v>2524</v>
      </c>
    </row>
    <row r="26" spans="1:67" x14ac:dyDescent="0.3">
      <c r="A26" s="4">
        <f>INT(Tabela1[[#This Row],[Data e Hora]])</f>
        <v>46233</v>
      </c>
      <c r="B26" s="4" t="str">
        <f>UPPER(TEXT(Tabela1[[#This Row],[Data Corrigida]],"MMM"))</f>
        <v>JUL</v>
      </c>
      <c r="C26" t="s">
        <v>41</v>
      </c>
      <c r="D26" t="s">
        <v>42</v>
      </c>
      <c r="E26" t="s">
        <v>43</v>
      </c>
      <c r="F26" t="s">
        <v>19</v>
      </c>
      <c r="G26" s="5" t="s">
        <v>176</v>
      </c>
      <c r="H26" t="s">
        <v>20</v>
      </c>
      <c r="I26" t="s">
        <v>21</v>
      </c>
      <c r="J26" s="1">
        <v>151</v>
      </c>
      <c r="K26" s="1">
        <v>2818</v>
      </c>
      <c r="L26" t="s">
        <v>23</v>
      </c>
      <c r="M26" s="1">
        <v>14</v>
      </c>
      <c r="N26" s="48">
        <f>Tabela1[[#This Row],[Pena após Depenadeira]]/Tabela1[[#This Row],[Velocidade (FPM)]]*100</f>
        <v>9.2715231788079464</v>
      </c>
      <c r="O26" s="1">
        <v>4</v>
      </c>
      <c r="P26" s="48">
        <f>Tabela1[[#This Row],[Pena após Repasse]]/Tabela1[[#This Row],[Velocidade (FPM)]]*100</f>
        <v>2.6490066225165565</v>
      </c>
      <c r="Q26" s="1">
        <v>1</v>
      </c>
      <c r="R26" s="1"/>
      <c r="S26" s="1">
        <v>2</v>
      </c>
      <c r="T26" s="1"/>
      <c r="U26" s="1">
        <v>1</v>
      </c>
      <c r="V26" s="1"/>
      <c r="W26" s="1">
        <v>0</v>
      </c>
      <c r="X26" s="1" t="s">
        <v>22</v>
      </c>
      <c r="Y26" s="1">
        <v>3</v>
      </c>
      <c r="Z26" s="3">
        <f>IFERROR(Tabela1[[#This Row],[Retorno Pés]]/(Tabela1[[#This Row],[Velocidade (FPM)]]*2)*100,"")</f>
        <v>0.99337748344370869</v>
      </c>
      <c r="AA26" s="1">
        <v>9</v>
      </c>
      <c r="AB26" s="3">
        <v>5.9602649006622519</v>
      </c>
      <c r="AC26" s="1">
        <v>0</v>
      </c>
      <c r="AD26" s="3">
        <v>0</v>
      </c>
      <c r="AE26" s="1">
        <v>0</v>
      </c>
      <c r="AF26" s="3">
        <v>0</v>
      </c>
      <c r="AG26" s="1">
        <v>6</v>
      </c>
      <c r="AH26" s="3">
        <v>3.9735099337748347</v>
      </c>
      <c r="AI26" s="1" t="s">
        <v>22</v>
      </c>
      <c r="AJ26" s="1">
        <v>2</v>
      </c>
      <c r="AK26" s="3">
        <v>1.3245033112582782</v>
      </c>
      <c r="AL26" s="1">
        <v>1</v>
      </c>
      <c r="AM26" s="3">
        <v>0.66225165562913912</v>
      </c>
      <c r="AN26" s="1" t="s">
        <v>22</v>
      </c>
      <c r="AO26" s="1">
        <v>13</v>
      </c>
      <c r="AP26" s="3">
        <v>8.6092715231788084</v>
      </c>
      <c r="AQ26" s="3"/>
      <c r="AR26" s="3"/>
      <c r="AS26" s="1">
        <v>6</v>
      </c>
      <c r="AT26" s="3">
        <v>3.9735099337748347</v>
      </c>
      <c r="AU26" s="1">
        <v>1</v>
      </c>
      <c r="AV26" s="3">
        <v>0.66225165562913912</v>
      </c>
      <c r="AW26" s="1" t="s">
        <v>22</v>
      </c>
      <c r="AX26" s="1">
        <v>18</v>
      </c>
      <c r="AY26" s="1">
        <v>0</v>
      </c>
      <c r="AZ26" s="1">
        <v>0</v>
      </c>
      <c r="BA26" s="1">
        <v>36</v>
      </c>
      <c r="BB26" s="1">
        <v>0</v>
      </c>
      <c r="BC26" s="1">
        <v>0</v>
      </c>
      <c r="BD26" s="1"/>
      <c r="BE26" s="54"/>
      <c r="BF26" s="6">
        <v>26</v>
      </c>
      <c r="BG26" s="6">
        <v>31</v>
      </c>
      <c r="BH26" s="6">
        <v>3</v>
      </c>
      <c r="BI26" s="6"/>
      <c r="BJ26" s="1" t="s">
        <v>22</v>
      </c>
      <c r="BK26" s="6">
        <v>0</v>
      </c>
      <c r="BL26" s="6">
        <v>0</v>
      </c>
      <c r="BM26" s="6">
        <v>2</v>
      </c>
      <c r="BN26" t="s">
        <v>22</v>
      </c>
      <c r="BO26">
        <v>3378</v>
      </c>
    </row>
    <row r="27" spans="1:67" x14ac:dyDescent="0.3">
      <c r="A27" s="4">
        <f>INT(Tabela1[[#This Row],[Data e Hora]])</f>
        <v>46233</v>
      </c>
      <c r="B27" s="4" t="str">
        <f>UPPER(TEXT(Tabela1[[#This Row],[Data Corrigida]],"MMM"))</f>
        <v>JUL</v>
      </c>
      <c r="C27" t="s">
        <v>44</v>
      </c>
      <c r="D27" t="s">
        <v>45</v>
      </c>
      <c r="E27" t="s">
        <v>43</v>
      </c>
      <c r="F27" t="s">
        <v>19</v>
      </c>
      <c r="G27" s="5" t="s">
        <v>176</v>
      </c>
      <c r="H27" t="s">
        <v>20</v>
      </c>
      <c r="I27" t="s">
        <v>21</v>
      </c>
      <c r="J27" s="1">
        <v>140</v>
      </c>
      <c r="K27" s="1">
        <v>2818</v>
      </c>
      <c r="L27" t="s">
        <v>23</v>
      </c>
      <c r="M27" s="1">
        <v>15</v>
      </c>
      <c r="N27" s="48">
        <f>Tabela1[[#This Row],[Pena após Depenadeira]]/Tabela1[[#This Row],[Velocidade (FPM)]]*100</f>
        <v>10.714285714285714</v>
      </c>
      <c r="O27" s="1">
        <v>3</v>
      </c>
      <c r="P27" s="48">
        <f>Tabela1[[#This Row],[Pena após Repasse]]/Tabela1[[#This Row],[Velocidade (FPM)]]*100</f>
        <v>2.1428571428571428</v>
      </c>
      <c r="Q27" s="1">
        <v>0</v>
      </c>
      <c r="R27" s="1"/>
      <c r="S27" s="1">
        <v>2</v>
      </c>
      <c r="T27" s="1"/>
      <c r="U27" s="1">
        <v>1</v>
      </c>
      <c r="V27" s="1"/>
      <c r="W27" s="1" t="s">
        <v>22</v>
      </c>
      <c r="X27" s="1" t="s">
        <v>22</v>
      </c>
      <c r="Y27" s="1">
        <v>1</v>
      </c>
      <c r="Z27" s="3">
        <f>IFERROR(Tabela1[[#This Row],[Retorno Pés]]/(Tabela1[[#This Row],[Velocidade (FPM)]]*2)*100,"")</f>
        <v>0.35714285714285715</v>
      </c>
      <c r="AA27" s="1">
        <v>11</v>
      </c>
      <c r="AB27" s="3">
        <v>7.8571428571428568</v>
      </c>
      <c r="AC27" s="1">
        <v>0</v>
      </c>
      <c r="AD27" s="3">
        <v>0</v>
      </c>
      <c r="AE27" s="1">
        <v>1</v>
      </c>
      <c r="AF27" s="3">
        <v>0.7142857142857143</v>
      </c>
      <c r="AG27" s="1">
        <v>6</v>
      </c>
      <c r="AH27" s="3">
        <v>4.2857142857142856</v>
      </c>
      <c r="AI27" s="1" t="s">
        <v>22</v>
      </c>
      <c r="AJ27" s="1">
        <v>1</v>
      </c>
      <c r="AK27" s="3">
        <v>0.7142857142857143</v>
      </c>
      <c r="AL27" s="1">
        <v>2</v>
      </c>
      <c r="AM27" s="3">
        <v>1.4285714285714286</v>
      </c>
      <c r="AN27" s="1" t="s">
        <v>22</v>
      </c>
      <c r="AO27" s="1">
        <v>12</v>
      </c>
      <c r="AP27" s="3">
        <v>8.5714285714285712</v>
      </c>
      <c r="AQ27" s="3"/>
      <c r="AR27" s="3"/>
      <c r="AS27" s="1">
        <v>8</v>
      </c>
      <c r="AT27" s="3">
        <v>5.7142857142857144</v>
      </c>
      <c r="AU27" s="1">
        <v>1</v>
      </c>
      <c r="AV27" s="3">
        <v>0.7142857142857143</v>
      </c>
      <c r="AW27" s="1" t="s">
        <v>22</v>
      </c>
      <c r="AX27" s="1">
        <v>15</v>
      </c>
      <c r="AY27" s="1">
        <v>0</v>
      </c>
      <c r="AZ27" s="1">
        <v>0</v>
      </c>
      <c r="BA27" s="1">
        <v>30</v>
      </c>
      <c r="BB27" s="1">
        <v>0</v>
      </c>
      <c r="BC27" s="1">
        <v>0</v>
      </c>
      <c r="BD27" s="1"/>
      <c r="BE27" s="54"/>
      <c r="BF27" s="6">
        <v>23</v>
      </c>
      <c r="BG27" s="6">
        <v>26</v>
      </c>
      <c r="BH27" s="6">
        <v>2</v>
      </c>
      <c r="BI27" s="6"/>
      <c r="BJ27" s="1" t="s">
        <v>22</v>
      </c>
      <c r="BK27" s="1" t="s">
        <v>22</v>
      </c>
      <c r="BL27" s="1" t="s">
        <v>22</v>
      </c>
      <c r="BM27" s="1" t="s">
        <v>22</v>
      </c>
      <c r="BN27" t="s">
        <v>24</v>
      </c>
      <c r="BO27">
        <v>1686</v>
      </c>
    </row>
    <row r="28" spans="1:67" x14ac:dyDescent="0.3">
      <c r="A28" s="4">
        <f>INT(Tabela1[[#This Row],[Data e Hora]])</f>
        <v>46232</v>
      </c>
      <c r="B28" s="4" t="str">
        <f>UPPER(TEXT(Tabela1[[#This Row],[Data Corrigida]],"MMM"))</f>
        <v>JUL</v>
      </c>
      <c r="C28" t="s">
        <v>46</v>
      </c>
      <c r="D28" t="s">
        <v>47</v>
      </c>
      <c r="E28" t="s">
        <v>48</v>
      </c>
      <c r="F28" t="s">
        <v>19</v>
      </c>
      <c r="G28" s="5" t="s">
        <v>177</v>
      </c>
      <c r="H28" t="s">
        <v>20</v>
      </c>
      <c r="I28" t="s">
        <v>33</v>
      </c>
      <c r="J28" s="1">
        <v>135</v>
      </c>
      <c r="K28" s="1">
        <v>2745</v>
      </c>
      <c r="L28" t="s">
        <v>34</v>
      </c>
      <c r="M28" s="1">
        <v>21</v>
      </c>
      <c r="N28" s="48">
        <f>Tabela1[[#This Row],[Pena após Depenadeira]]/Tabela1[[#This Row],[Velocidade (FPM)]]*100</f>
        <v>15.555555555555555</v>
      </c>
      <c r="O28" s="1">
        <v>7</v>
      </c>
      <c r="P28" s="48">
        <f>Tabela1[[#This Row],[Pena após Repasse]]/Tabela1[[#This Row],[Velocidade (FPM)]]*100</f>
        <v>5.1851851851851851</v>
      </c>
      <c r="Q28" s="1">
        <v>4</v>
      </c>
      <c r="R28" s="1"/>
      <c r="S28" s="1">
        <v>4</v>
      </c>
      <c r="T28" s="1"/>
      <c r="U28" s="1">
        <v>3</v>
      </c>
      <c r="V28" s="1"/>
      <c r="W28" s="1">
        <v>1</v>
      </c>
      <c r="X28" s="1" t="s">
        <v>22</v>
      </c>
      <c r="Y28" s="1">
        <v>3</v>
      </c>
      <c r="Z28" s="3">
        <f>IFERROR(Tabela1[[#This Row],[Retorno Pés]]/(Tabela1[[#This Row],[Velocidade (FPM)]]*2)*100,"")</f>
        <v>1.1111111111111112</v>
      </c>
      <c r="AA28" s="1">
        <v>29</v>
      </c>
      <c r="AB28" s="3">
        <v>21.481481481481481</v>
      </c>
      <c r="AC28" s="1">
        <v>0</v>
      </c>
      <c r="AD28" s="3">
        <v>0</v>
      </c>
      <c r="AE28" s="1">
        <v>0</v>
      </c>
      <c r="AF28" s="3">
        <v>0</v>
      </c>
      <c r="AG28" s="1">
        <v>4</v>
      </c>
      <c r="AH28" s="3">
        <v>2.9629629629629632</v>
      </c>
      <c r="AI28" s="1" t="s">
        <v>22</v>
      </c>
      <c r="AJ28" s="1">
        <v>1</v>
      </c>
      <c r="AK28" s="3">
        <v>0.74074074074074081</v>
      </c>
      <c r="AL28" s="1">
        <v>0</v>
      </c>
      <c r="AM28" s="3">
        <v>0</v>
      </c>
      <c r="AN28" s="1" t="s">
        <v>22</v>
      </c>
      <c r="AO28" s="1">
        <v>10</v>
      </c>
      <c r="AP28" s="3">
        <v>7.4074074074074066</v>
      </c>
      <c r="AQ28" s="3"/>
      <c r="AR28" s="3"/>
      <c r="AS28" s="1">
        <v>4</v>
      </c>
      <c r="AT28" s="3">
        <v>2.9629629629629632</v>
      </c>
      <c r="AU28" s="1">
        <v>1</v>
      </c>
      <c r="AV28" s="3">
        <v>0.74074074074074081</v>
      </c>
      <c r="AW28" s="1" t="s">
        <v>22</v>
      </c>
      <c r="AX28" s="1">
        <v>20</v>
      </c>
      <c r="AY28" s="1">
        <v>2</v>
      </c>
      <c r="AZ28" s="1">
        <v>2</v>
      </c>
      <c r="BA28" s="1">
        <v>40</v>
      </c>
      <c r="BB28" s="1">
        <v>4</v>
      </c>
      <c r="BC28" s="1">
        <v>4</v>
      </c>
      <c r="BD28" s="1"/>
      <c r="BE28" s="54"/>
      <c r="BF28" s="6">
        <v>11</v>
      </c>
      <c r="BG28" s="6">
        <v>9</v>
      </c>
      <c r="BH28" s="6">
        <v>1</v>
      </c>
      <c r="BI28" s="6"/>
      <c r="BJ28" s="1" t="s">
        <v>22</v>
      </c>
      <c r="BK28" s="6">
        <v>3</v>
      </c>
      <c r="BL28" s="6">
        <v>0</v>
      </c>
      <c r="BM28" s="6">
        <v>0</v>
      </c>
      <c r="BN28" t="s">
        <v>24</v>
      </c>
      <c r="BO28">
        <v>7615</v>
      </c>
    </row>
    <row r="29" spans="1:67" x14ac:dyDescent="0.3">
      <c r="A29" s="4">
        <f>INT(Tabela1[[#This Row],[Data e Hora]])</f>
        <v>46232</v>
      </c>
      <c r="B29" s="4" t="str">
        <f>UPPER(TEXT(Tabela1[[#This Row],[Data Corrigida]],"MMM"))</f>
        <v>JUL</v>
      </c>
      <c r="C29" t="s">
        <v>49</v>
      </c>
      <c r="D29" t="s">
        <v>50</v>
      </c>
      <c r="E29" t="s">
        <v>51</v>
      </c>
      <c r="F29" t="s">
        <v>19</v>
      </c>
      <c r="G29" s="5" t="s">
        <v>177</v>
      </c>
      <c r="H29" t="s">
        <v>20</v>
      </c>
      <c r="I29" t="s">
        <v>33</v>
      </c>
      <c r="J29" s="1">
        <v>79</v>
      </c>
      <c r="K29" s="1">
        <v>2745</v>
      </c>
      <c r="L29" t="s">
        <v>34</v>
      </c>
      <c r="M29" s="1">
        <v>2</v>
      </c>
      <c r="N29" s="48">
        <f>Tabela1[[#This Row],[Pena após Depenadeira]]/Tabela1[[#This Row],[Velocidade (FPM)]]*100</f>
        <v>2.5316455696202533</v>
      </c>
      <c r="O29" s="1">
        <v>4</v>
      </c>
      <c r="P29" s="48">
        <f>Tabela1[[#This Row],[Pena após Repasse]]/Tabela1[[#This Row],[Velocidade (FPM)]]*100</f>
        <v>5.0632911392405067</v>
      </c>
      <c r="Q29" s="1">
        <v>4</v>
      </c>
      <c r="R29" s="1"/>
      <c r="S29" s="1">
        <v>1</v>
      </c>
      <c r="T29" s="1"/>
      <c r="U29" s="1">
        <v>0</v>
      </c>
      <c r="V29" s="1"/>
      <c r="W29" s="1">
        <v>3</v>
      </c>
      <c r="X29" s="1" t="s">
        <v>22</v>
      </c>
      <c r="Y29" s="1">
        <v>0</v>
      </c>
      <c r="Z29" s="3">
        <f>IFERROR(Tabela1[[#This Row],[Retorno Pés]]/(Tabela1[[#This Row],[Velocidade (FPM)]]*2)*100,"")</f>
        <v>0</v>
      </c>
      <c r="AA29" s="1">
        <v>15</v>
      </c>
      <c r="AB29" s="3">
        <v>18.9873417721519</v>
      </c>
      <c r="AC29" s="1">
        <v>0</v>
      </c>
      <c r="AD29" s="3">
        <v>0</v>
      </c>
      <c r="AE29" s="1">
        <v>0</v>
      </c>
      <c r="AF29" s="3">
        <v>0</v>
      </c>
      <c r="AG29" s="1">
        <v>4</v>
      </c>
      <c r="AH29" s="3">
        <v>5.0632911392405067</v>
      </c>
      <c r="AI29" s="1" t="s">
        <v>22</v>
      </c>
      <c r="AJ29" s="1">
        <v>1</v>
      </c>
      <c r="AK29" s="3">
        <v>1.2658227848101267</v>
      </c>
      <c r="AL29" s="1">
        <v>1</v>
      </c>
      <c r="AM29" s="3">
        <v>1.2658227848101267</v>
      </c>
      <c r="AN29" s="1" t="s">
        <v>22</v>
      </c>
      <c r="AO29" s="1">
        <v>3</v>
      </c>
      <c r="AP29" s="3">
        <v>3.79746835443038</v>
      </c>
      <c r="AQ29" s="3"/>
      <c r="AR29" s="3"/>
      <c r="AS29" s="1">
        <v>1</v>
      </c>
      <c r="AT29" s="3">
        <v>1.2658227848101267</v>
      </c>
      <c r="AU29" s="1">
        <v>0</v>
      </c>
      <c r="AV29" s="3">
        <v>0</v>
      </c>
      <c r="AW29" s="1" t="s">
        <v>22</v>
      </c>
      <c r="AX29" s="1">
        <v>18</v>
      </c>
      <c r="AY29" s="1">
        <v>1</v>
      </c>
      <c r="AZ29" s="1">
        <v>10</v>
      </c>
      <c r="BA29" s="1">
        <v>36</v>
      </c>
      <c r="BB29" s="1">
        <v>2</v>
      </c>
      <c r="BC29" s="1">
        <v>20</v>
      </c>
      <c r="BD29" s="1"/>
      <c r="BE29" s="54"/>
      <c r="BF29" s="6">
        <v>12</v>
      </c>
      <c r="BG29" s="6">
        <v>3</v>
      </c>
      <c r="BH29" s="6">
        <v>0</v>
      </c>
      <c r="BI29" s="6"/>
      <c r="BJ29" s="1" t="s">
        <v>178</v>
      </c>
      <c r="BK29" s="1" t="s">
        <v>22</v>
      </c>
      <c r="BL29" s="1" t="s">
        <v>22</v>
      </c>
      <c r="BM29" s="1" t="s">
        <v>22</v>
      </c>
      <c r="BN29" t="s">
        <v>24</v>
      </c>
      <c r="BO29">
        <v>9507</v>
      </c>
    </row>
    <row r="30" spans="1:67" x14ac:dyDescent="0.3">
      <c r="A30" s="4">
        <f>INT(Tabela1[[#This Row],[Data e Hora]])</f>
        <v>46232</v>
      </c>
      <c r="B30" s="4" t="str">
        <f>UPPER(TEXT(Tabela1[[#This Row],[Data Corrigida]],"MMM"))</f>
        <v>JUL</v>
      </c>
      <c r="C30" t="s">
        <v>52</v>
      </c>
      <c r="D30" t="s">
        <v>53</v>
      </c>
      <c r="E30" t="s">
        <v>54</v>
      </c>
      <c r="F30" t="s">
        <v>19</v>
      </c>
      <c r="G30" s="5" t="s">
        <v>177</v>
      </c>
      <c r="H30" t="s">
        <v>20</v>
      </c>
      <c r="I30" t="s">
        <v>21</v>
      </c>
      <c r="J30" s="1">
        <v>140</v>
      </c>
      <c r="K30" s="1">
        <v>2690</v>
      </c>
      <c r="L30" t="s">
        <v>23</v>
      </c>
      <c r="M30" s="1">
        <v>21</v>
      </c>
      <c r="N30" s="48">
        <f>Tabela1[[#This Row],[Pena após Depenadeira]]/Tabela1[[#This Row],[Velocidade (FPM)]]*100</f>
        <v>15</v>
      </c>
      <c r="O30" s="1">
        <v>9</v>
      </c>
      <c r="P30" s="48">
        <f>Tabela1[[#This Row],[Pena após Repasse]]/Tabela1[[#This Row],[Velocidade (FPM)]]*100</f>
        <v>6.4285714285714279</v>
      </c>
      <c r="Q30" s="1">
        <v>0</v>
      </c>
      <c r="R30" s="1"/>
      <c r="S30" s="1">
        <v>3</v>
      </c>
      <c r="T30" s="1"/>
      <c r="U30" s="1">
        <v>1</v>
      </c>
      <c r="V30" s="1"/>
      <c r="W30" s="1">
        <v>4</v>
      </c>
      <c r="X30" s="1" t="s">
        <v>22</v>
      </c>
      <c r="Y30" s="1">
        <v>0</v>
      </c>
      <c r="Z30" s="3">
        <f>IFERROR(Tabela1[[#This Row],[Retorno Pés]]/(Tabela1[[#This Row],[Velocidade (FPM)]]*2)*100,"")</f>
        <v>0</v>
      </c>
      <c r="AA30" s="1">
        <v>9</v>
      </c>
      <c r="AB30" s="3">
        <v>6.4285714285714279</v>
      </c>
      <c r="AC30" s="1">
        <v>1</v>
      </c>
      <c r="AD30" s="3">
        <v>0.7142857142857143</v>
      </c>
      <c r="AE30" s="1">
        <v>3</v>
      </c>
      <c r="AF30" s="3">
        <v>2.1428571428571428</v>
      </c>
      <c r="AG30" s="1">
        <v>9</v>
      </c>
      <c r="AH30" s="3">
        <v>6.4285714285714279</v>
      </c>
      <c r="AI30" s="1" t="s">
        <v>22</v>
      </c>
      <c r="AJ30" s="1">
        <v>2</v>
      </c>
      <c r="AK30" s="3">
        <v>1.4285714285714286</v>
      </c>
      <c r="AL30" s="1">
        <v>1</v>
      </c>
      <c r="AM30" s="3">
        <v>0.7142857142857143</v>
      </c>
      <c r="AN30" s="1" t="s">
        <v>22</v>
      </c>
      <c r="AO30" s="1">
        <v>15</v>
      </c>
      <c r="AP30" s="3">
        <v>10.714285714285714</v>
      </c>
      <c r="AQ30" s="3"/>
      <c r="AR30" s="3"/>
      <c r="AS30" s="1">
        <v>8</v>
      </c>
      <c r="AT30" s="3">
        <v>5.7142857142857144</v>
      </c>
      <c r="AU30" s="1">
        <v>1</v>
      </c>
      <c r="AV30" s="3">
        <v>0.7142857142857143</v>
      </c>
      <c r="AW30" s="1" t="s">
        <v>22</v>
      </c>
      <c r="AX30" s="1">
        <v>19</v>
      </c>
      <c r="AY30" s="1">
        <v>0</v>
      </c>
      <c r="AZ30" s="1">
        <v>0</v>
      </c>
      <c r="BA30" s="1">
        <v>38</v>
      </c>
      <c r="BB30" s="1">
        <v>0</v>
      </c>
      <c r="BC30" s="1">
        <v>0</v>
      </c>
      <c r="BD30" s="1"/>
      <c r="BE30" s="54"/>
      <c r="BF30" s="6">
        <v>23</v>
      </c>
      <c r="BG30" s="6">
        <v>34</v>
      </c>
      <c r="BH30" s="6">
        <v>2</v>
      </c>
      <c r="BI30" s="6"/>
      <c r="BJ30" s="1" t="s">
        <v>22</v>
      </c>
      <c r="BK30" s="1" t="s">
        <v>22</v>
      </c>
      <c r="BL30" s="1" t="s">
        <v>22</v>
      </c>
      <c r="BM30" s="1" t="s">
        <v>22</v>
      </c>
      <c r="BN30" t="s">
        <v>22</v>
      </c>
      <c r="BO30">
        <v>2803</v>
      </c>
    </row>
    <row r="31" spans="1:67" x14ac:dyDescent="0.3">
      <c r="A31" s="4">
        <f>INT(Tabela1[[#This Row],[Data e Hora]])</f>
        <v>46232</v>
      </c>
      <c r="B31" s="4" t="str">
        <f>UPPER(TEXT(Tabela1[[#This Row],[Data Corrigida]],"MMM"))</f>
        <v>JUL</v>
      </c>
      <c r="C31" t="s">
        <v>55</v>
      </c>
      <c r="D31" t="s">
        <v>56</v>
      </c>
      <c r="E31" t="s">
        <v>57</v>
      </c>
      <c r="F31" t="s">
        <v>19</v>
      </c>
      <c r="G31" s="5" t="s">
        <v>177</v>
      </c>
      <c r="H31" t="s">
        <v>20</v>
      </c>
      <c r="I31" t="s">
        <v>21</v>
      </c>
      <c r="J31" s="1">
        <v>151</v>
      </c>
      <c r="K31" s="1">
        <v>2690</v>
      </c>
      <c r="L31" t="s">
        <v>23</v>
      </c>
      <c r="M31" s="1">
        <v>45</v>
      </c>
      <c r="N31" s="48">
        <f>Tabela1[[#This Row],[Pena após Depenadeira]]/Tabela1[[#This Row],[Velocidade (FPM)]]*100</f>
        <v>29.80132450331126</v>
      </c>
      <c r="O31" s="1">
        <v>27</v>
      </c>
      <c r="P31" s="48">
        <f>Tabela1[[#This Row],[Pena após Repasse]]/Tabela1[[#This Row],[Velocidade (FPM)]]*100</f>
        <v>17.880794701986755</v>
      </c>
      <c r="Q31" s="1">
        <v>0</v>
      </c>
      <c r="R31" s="1"/>
      <c r="S31" s="1">
        <v>1</v>
      </c>
      <c r="T31" s="1"/>
      <c r="U31" s="1">
        <v>2</v>
      </c>
      <c r="V31" s="1"/>
      <c r="W31" s="1">
        <v>0</v>
      </c>
      <c r="X31" s="1" t="s">
        <v>22</v>
      </c>
      <c r="Y31" s="1">
        <v>2</v>
      </c>
      <c r="Z31" s="3">
        <f>IFERROR(Tabela1[[#This Row],[Retorno Pés]]/(Tabela1[[#This Row],[Velocidade (FPM)]]*2)*100,"")</f>
        <v>0.66225165562913912</v>
      </c>
      <c r="AA31" s="1">
        <v>4</v>
      </c>
      <c r="AB31" s="3">
        <v>2.6490066225165565</v>
      </c>
      <c r="AC31" s="1">
        <v>0</v>
      </c>
      <c r="AD31" s="3">
        <v>0</v>
      </c>
      <c r="AE31" s="1">
        <v>1</v>
      </c>
      <c r="AF31" s="3">
        <v>0.66225165562913912</v>
      </c>
      <c r="AG31" s="1">
        <v>8</v>
      </c>
      <c r="AH31" s="3">
        <v>5.298013245033113</v>
      </c>
      <c r="AI31" s="1" t="s">
        <v>22</v>
      </c>
      <c r="AJ31" s="1">
        <v>2</v>
      </c>
      <c r="AK31" s="3">
        <v>1.3245033112582782</v>
      </c>
      <c r="AL31" s="1">
        <v>2</v>
      </c>
      <c r="AM31" s="3">
        <v>1.3245033112582782</v>
      </c>
      <c r="AN31" s="1" t="s">
        <v>22</v>
      </c>
      <c r="AO31" s="1">
        <v>10</v>
      </c>
      <c r="AP31" s="3">
        <v>6.6225165562913908</v>
      </c>
      <c r="AQ31" s="3"/>
      <c r="AR31" s="3"/>
      <c r="AS31" s="1">
        <v>6</v>
      </c>
      <c r="AT31" s="3">
        <v>3.9735099337748347</v>
      </c>
      <c r="AU31" s="1">
        <v>1</v>
      </c>
      <c r="AV31" s="3">
        <v>0.66225165562913912</v>
      </c>
      <c r="AW31" s="1" t="s">
        <v>22</v>
      </c>
      <c r="AX31" s="1">
        <v>17</v>
      </c>
      <c r="AY31" s="1">
        <v>0</v>
      </c>
      <c r="AZ31" s="1">
        <v>0</v>
      </c>
      <c r="BA31" s="1">
        <v>34</v>
      </c>
      <c r="BB31" s="1">
        <v>0</v>
      </c>
      <c r="BC31" s="1">
        <v>0</v>
      </c>
      <c r="BD31" s="1"/>
      <c r="BE31" s="54"/>
      <c r="BF31" s="6">
        <v>23</v>
      </c>
      <c r="BG31" s="6">
        <v>35</v>
      </c>
      <c r="BH31" s="6">
        <v>2</v>
      </c>
      <c r="BI31" s="6"/>
      <c r="BJ31" s="1" t="s">
        <v>22</v>
      </c>
      <c r="BK31" s="6">
        <v>0</v>
      </c>
      <c r="BL31" s="6">
        <v>0</v>
      </c>
      <c r="BM31" s="6">
        <v>2</v>
      </c>
      <c r="BN31" t="s">
        <v>24</v>
      </c>
      <c r="BO31">
        <v>1916</v>
      </c>
    </row>
    <row r="32" spans="1:67" x14ac:dyDescent="0.3">
      <c r="A32" s="4">
        <f>INT(Tabela1[[#This Row],[Data e Hora]])</f>
        <v>46232</v>
      </c>
      <c r="B32" s="4" t="str">
        <f>UPPER(TEXT(Tabela1[[#This Row],[Data Corrigida]],"MMM"))</f>
        <v>JUL</v>
      </c>
      <c r="C32" t="s">
        <v>58</v>
      </c>
      <c r="D32" t="s">
        <v>59</v>
      </c>
      <c r="E32" t="s">
        <v>57</v>
      </c>
      <c r="F32" t="s">
        <v>19</v>
      </c>
      <c r="G32" s="5" t="s">
        <v>177</v>
      </c>
      <c r="H32" t="s">
        <v>20</v>
      </c>
      <c r="I32" t="s">
        <v>21</v>
      </c>
      <c r="J32" s="1">
        <v>130</v>
      </c>
      <c r="K32" s="1">
        <v>2690</v>
      </c>
      <c r="L32" t="s">
        <v>23</v>
      </c>
      <c r="M32" s="1">
        <v>30</v>
      </c>
      <c r="N32" s="48">
        <f>Tabela1[[#This Row],[Pena após Depenadeira]]/Tabela1[[#This Row],[Velocidade (FPM)]]*100</f>
        <v>23.076923076923077</v>
      </c>
      <c r="O32" s="1">
        <v>11</v>
      </c>
      <c r="P32" s="48">
        <f>Tabela1[[#This Row],[Pena após Repasse]]/Tabela1[[#This Row],[Velocidade (FPM)]]*100</f>
        <v>8.4615384615384617</v>
      </c>
      <c r="Q32" s="1" t="s">
        <v>22</v>
      </c>
      <c r="R32" s="1"/>
      <c r="S32" s="1">
        <v>4</v>
      </c>
      <c r="T32" s="1"/>
      <c r="U32" s="1">
        <v>1</v>
      </c>
      <c r="V32" s="1"/>
      <c r="W32" s="1">
        <v>0</v>
      </c>
      <c r="X32" s="1" t="s">
        <v>22</v>
      </c>
      <c r="Y32" s="1">
        <v>0</v>
      </c>
      <c r="Z32" s="3">
        <f>IFERROR(Tabela1[[#This Row],[Retorno Pés]]/(Tabela1[[#This Row],[Velocidade (FPM)]]*2)*100,"")</f>
        <v>0</v>
      </c>
      <c r="AA32" s="1">
        <v>10</v>
      </c>
      <c r="AB32" s="3">
        <v>7.6923076923076925</v>
      </c>
      <c r="AC32" s="1">
        <v>2</v>
      </c>
      <c r="AD32" s="3">
        <v>1.5384615384615385</v>
      </c>
      <c r="AE32" s="1">
        <v>7</v>
      </c>
      <c r="AF32" s="3">
        <v>5.384615384615385</v>
      </c>
      <c r="AG32" s="1">
        <v>12</v>
      </c>
      <c r="AH32" s="3">
        <v>9.2307692307692317</v>
      </c>
      <c r="AI32" s="1" t="s">
        <v>22</v>
      </c>
      <c r="AJ32" s="1">
        <v>9</v>
      </c>
      <c r="AK32" s="3">
        <v>6.9230769230769234</v>
      </c>
      <c r="AL32" s="1">
        <v>3</v>
      </c>
      <c r="AM32" s="3">
        <v>2.3076923076923079</v>
      </c>
      <c r="AN32" s="1" t="s">
        <v>22</v>
      </c>
      <c r="AO32" s="1">
        <v>12</v>
      </c>
      <c r="AP32" s="3">
        <v>9.2307692307692317</v>
      </c>
      <c r="AQ32" s="3"/>
      <c r="AR32" s="3"/>
      <c r="AS32" s="1">
        <v>11</v>
      </c>
      <c r="AT32" s="3">
        <v>8.4615384615384617</v>
      </c>
      <c r="AU32" s="1">
        <v>1</v>
      </c>
      <c r="AV32" s="3">
        <v>0.76923076923076927</v>
      </c>
      <c r="AW32" s="1" t="s">
        <v>22</v>
      </c>
      <c r="AX32" s="1">
        <v>19</v>
      </c>
      <c r="AY32" s="1">
        <v>0</v>
      </c>
      <c r="AZ32" s="1">
        <v>0</v>
      </c>
      <c r="BA32" s="1">
        <v>38</v>
      </c>
      <c r="BB32" s="1">
        <v>0</v>
      </c>
      <c r="BC32" s="1">
        <v>0</v>
      </c>
      <c r="BD32" s="1"/>
      <c r="BE32" s="54"/>
      <c r="BF32" s="6">
        <v>26</v>
      </c>
      <c r="BG32" s="6">
        <v>33</v>
      </c>
      <c r="BH32" s="6">
        <v>2</v>
      </c>
      <c r="BI32" s="6"/>
      <c r="BJ32" s="1" t="s">
        <v>22</v>
      </c>
      <c r="BK32" s="1" t="s">
        <v>22</v>
      </c>
      <c r="BL32" s="1" t="s">
        <v>22</v>
      </c>
      <c r="BM32" s="1" t="s">
        <v>22</v>
      </c>
      <c r="BN32" t="s">
        <v>24</v>
      </c>
      <c r="BO32">
        <v>3280</v>
      </c>
    </row>
    <row r="33" spans="1:67" x14ac:dyDescent="0.3">
      <c r="A33" s="4">
        <f>INT(Tabela1[[#This Row],[Data e Hora]])</f>
        <v>46231</v>
      </c>
      <c r="B33" s="4" t="str">
        <f>UPPER(TEXT(Tabela1[[#This Row],[Data Corrigida]],"MMM"))</f>
        <v>JUL</v>
      </c>
      <c r="C33" t="s">
        <v>60</v>
      </c>
      <c r="D33" t="s">
        <v>61</v>
      </c>
      <c r="E33" t="s">
        <v>62</v>
      </c>
      <c r="F33" t="s">
        <v>19</v>
      </c>
      <c r="G33" s="5" t="s">
        <v>179</v>
      </c>
      <c r="H33" t="s">
        <v>20</v>
      </c>
      <c r="I33" t="s">
        <v>33</v>
      </c>
      <c r="J33" s="1">
        <v>145</v>
      </c>
      <c r="K33" s="1">
        <v>2631</v>
      </c>
      <c r="L33" t="s">
        <v>34</v>
      </c>
      <c r="M33" s="1">
        <v>27</v>
      </c>
      <c r="N33" s="48">
        <f>Tabela1[[#This Row],[Pena após Depenadeira]]/Tabela1[[#This Row],[Velocidade (FPM)]]*100</f>
        <v>18.620689655172416</v>
      </c>
      <c r="O33" s="1">
        <v>16</v>
      </c>
      <c r="P33" s="48">
        <f>Tabela1[[#This Row],[Pena após Repasse]]/Tabela1[[#This Row],[Velocidade (FPM)]]*100</f>
        <v>11.03448275862069</v>
      </c>
      <c r="Q33" s="1">
        <v>5</v>
      </c>
      <c r="R33" s="1"/>
      <c r="S33" s="1">
        <v>3</v>
      </c>
      <c r="T33" s="1"/>
      <c r="U33" s="1">
        <v>2</v>
      </c>
      <c r="V33" s="1"/>
      <c r="W33" s="1">
        <v>1</v>
      </c>
      <c r="X33" s="1" t="s">
        <v>22</v>
      </c>
      <c r="Y33" s="1">
        <v>5</v>
      </c>
      <c r="Z33" s="3">
        <f>IFERROR(Tabela1[[#This Row],[Retorno Pés]]/(Tabela1[[#This Row],[Velocidade (FPM)]]*2)*100,"")</f>
        <v>1.7241379310344827</v>
      </c>
      <c r="AA33" s="1">
        <v>16</v>
      </c>
      <c r="AB33" s="3">
        <v>11.03448275862069</v>
      </c>
      <c r="AC33" s="1">
        <v>1</v>
      </c>
      <c r="AD33" s="3">
        <v>0.68965517241379315</v>
      </c>
      <c r="AE33" s="1">
        <v>2</v>
      </c>
      <c r="AF33" s="3">
        <v>1.3793103448275863</v>
      </c>
      <c r="AG33" s="1">
        <v>6</v>
      </c>
      <c r="AH33" s="3">
        <v>4.1379310344827589</v>
      </c>
      <c r="AI33" s="1" t="s">
        <v>22</v>
      </c>
      <c r="AJ33" s="1">
        <v>0</v>
      </c>
      <c r="AK33" s="3">
        <v>0</v>
      </c>
      <c r="AL33" s="1">
        <v>0</v>
      </c>
      <c r="AM33" s="3">
        <v>0</v>
      </c>
      <c r="AN33" s="1" t="s">
        <v>22</v>
      </c>
      <c r="AO33" s="1">
        <v>16</v>
      </c>
      <c r="AP33" s="3">
        <v>11.03448275862069</v>
      </c>
      <c r="AQ33" s="3"/>
      <c r="AR33" s="3"/>
      <c r="AS33" s="1">
        <v>5</v>
      </c>
      <c r="AT33" s="3">
        <v>3.4482758620689653</v>
      </c>
      <c r="AU33" s="1">
        <v>0</v>
      </c>
      <c r="AV33" s="3">
        <v>0</v>
      </c>
      <c r="AW33" s="1" t="s">
        <v>22</v>
      </c>
      <c r="AX33" s="1">
        <v>16</v>
      </c>
      <c r="AY33" s="1">
        <v>0</v>
      </c>
      <c r="AZ33" s="1">
        <v>5</v>
      </c>
      <c r="BA33" s="1">
        <v>32</v>
      </c>
      <c r="BB33" s="1">
        <v>0</v>
      </c>
      <c r="BC33" s="1">
        <v>10</v>
      </c>
      <c r="BD33" s="1"/>
      <c r="BE33" s="54"/>
      <c r="BF33" s="6">
        <v>15</v>
      </c>
      <c r="BG33" s="6">
        <v>5</v>
      </c>
      <c r="BH33" s="6">
        <v>0</v>
      </c>
      <c r="BI33" s="6"/>
      <c r="BJ33" s="1" t="s">
        <v>22</v>
      </c>
      <c r="BK33" s="6">
        <v>3</v>
      </c>
      <c r="BL33" s="6">
        <v>0</v>
      </c>
      <c r="BM33" s="6">
        <v>0</v>
      </c>
      <c r="BN33" t="s">
        <v>24</v>
      </c>
      <c r="BO33">
        <v>13010</v>
      </c>
    </row>
    <row r="34" spans="1:67" x14ac:dyDescent="0.3">
      <c r="A34" s="4">
        <f>INT(Tabela1[[#This Row],[Data e Hora]])</f>
        <v>46231</v>
      </c>
      <c r="B34" s="4" t="str">
        <f>UPPER(TEXT(Tabela1[[#This Row],[Data Corrigida]],"MMM"))</f>
        <v>JUL</v>
      </c>
      <c r="C34" t="s">
        <v>63</v>
      </c>
      <c r="D34" t="s">
        <v>64</v>
      </c>
      <c r="E34" t="s">
        <v>65</v>
      </c>
      <c r="F34" t="s">
        <v>19</v>
      </c>
      <c r="G34" s="5" t="s">
        <v>179</v>
      </c>
      <c r="H34" t="s">
        <v>20</v>
      </c>
      <c r="I34" t="s">
        <v>33</v>
      </c>
      <c r="J34" s="1">
        <v>130</v>
      </c>
      <c r="K34" s="1">
        <v>2631</v>
      </c>
      <c r="L34" t="s">
        <v>34</v>
      </c>
      <c r="M34" s="1">
        <v>22</v>
      </c>
      <c r="N34" s="48">
        <f>Tabela1[[#This Row],[Pena após Depenadeira]]/Tabela1[[#This Row],[Velocidade (FPM)]]*100</f>
        <v>16.923076923076923</v>
      </c>
      <c r="O34" s="1">
        <v>13</v>
      </c>
      <c r="P34" s="48">
        <f>Tabela1[[#This Row],[Pena após Repasse]]/Tabela1[[#This Row],[Velocidade (FPM)]]*100</f>
        <v>10</v>
      </c>
      <c r="Q34" s="1">
        <v>6</v>
      </c>
      <c r="R34" s="1"/>
      <c r="S34" s="1">
        <v>2</v>
      </c>
      <c r="T34" s="1"/>
      <c r="U34" s="1">
        <v>1</v>
      </c>
      <c r="V34" s="1"/>
      <c r="W34" s="1">
        <v>1</v>
      </c>
      <c r="X34" s="1" t="s">
        <v>22</v>
      </c>
      <c r="Y34" s="1">
        <v>3</v>
      </c>
      <c r="Z34" s="3">
        <f>IFERROR(Tabela1[[#This Row],[Retorno Pés]]/(Tabela1[[#This Row],[Velocidade (FPM)]]*2)*100,"")</f>
        <v>1.153846153846154</v>
      </c>
      <c r="AA34" s="1">
        <v>15</v>
      </c>
      <c r="AB34" s="3">
        <v>11.538461538461538</v>
      </c>
      <c r="AC34" s="1">
        <v>1</v>
      </c>
      <c r="AD34" s="3">
        <v>0.76923076923076927</v>
      </c>
      <c r="AE34" s="1">
        <v>1</v>
      </c>
      <c r="AF34" s="3">
        <v>0.76923076923076927</v>
      </c>
      <c r="AG34" s="1">
        <v>6</v>
      </c>
      <c r="AH34" s="3">
        <v>4.6153846153846159</v>
      </c>
      <c r="AI34" s="1" t="s">
        <v>22</v>
      </c>
      <c r="AJ34" s="1">
        <v>0</v>
      </c>
      <c r="AK34" s="3">
        <v>0</v>
      </c>
      <c r="AL34" s="1">
        <v>0</v>
      </c>
      <c r="AM34" s="3">
        <v>0</v>
      </c>
      <c r="AN34" s="1" t="s">
        <v>22</v>
      </c>
      <c r="AO34" s="1">
        <v>8</v>
      </c>
      <c r="AP34" s="3">
        <v>6.1538461538461542</v>
      </c>
      <c r="AQ34" s="3"/>
      <c r="AR34" s="3"/>
      <c r="AS34" s="1">
        <v>3</v>
      </c>
      <c r="AT34" s="3">
        <v>2.3076923076923079</v>
      </c>
      <c r="AU34" s="1">
        <v>0</v>
      </c>
      <c r="AV34" s="3">
        <v>0</v>
      </c>
      <c r="AW34" s="1" t="s">
        <v>22</v>
      </c>
      <c r="AX34" s="1">
        <v>15</v>
      </c>
      <c r="AY34" s="1">
        <v>1</v>
      </c>
      <c r="AZ34" s="1">
        <v>6</v>
      </c>
      <c r="BA34" s="1">
        <v>30</v>
      </c>
      <c r="BB34" s="1">
        <v>2</v>
      </c>
      <c r="BC34" s="1">
        <v>12</v>
      </c>
      <c r="BD34" s="1"/>
      <c r="BE34" s="54"/>
      <c r="BF34" s="6">
        <v>16</v>
      </c>
      <c r="BG34" s="6">
        <v>7</v>
      </c>
      <c r="BH34" s="6">
        <v>0</v>
      </c>
      <c r="BI34" s="6"/>
      <c r="BJ34" s="1" t="s">
        <v>22</v>
      </c>
      <c r="BK34" s="6">
        <v>0</v>
      </c>
      <c r="BL34" s="6">
        <v>0</v>
      </c>
      <c r="BM34" s="6">
        <v>0</v>
      </c>
      <c r="BN34" t="s">
        <v>24</v>
      </c>
      <c r="BO34">
        <v>11203</v>
      </c>
    </row>
    <row r="35" spans="1:67" x14ac:dyDescent="0.3">
      <c r="A35" s="4">
        <f>INT(Tabela1[[#This Row],[Data e Hora]])</f>
        <v>46231</v>
      </c>
      <c r="B35" s="4" t="str">
        <f>UPPER(TEXT(Tabela1[[#This Row],[Data Corrigida]],"MMM"))</f>
        <v>JUL</v>
      </c>
      <c r="C35" t="s">
        <v>66</v>
      </c>
      <c r="D35" t="s">
        <v>67</v>
      </c>
      <c r="E35" t="s">
        <v>68</v>
      </c>
      <c r="F35" t="s">
        <v>19</v>
      </c>
      <c r="G35" s="5" t="s">
        <v>179</v>
      </c>
      <c r="H35" t="s">
        <v>20</v>
      </c>
      <c r="I35" t="s">
        <v>21</v>
      </c>
      <c r="J35" s="1">
        <v>151</v>
      </c>
      <c r="K35" s="1">
        <v>2747</v>
      </c>
      <c r="L35" t="s">
        <v>23</v>
      </c>
      <c r="M35" s="1">
        <v>22</v>
      </c>
      <c r="N35" s="48">
        <f>Tabela1[[#This Row],[Pena após Depenadeira]]/Tabela1[[#This Row],[Velocidade (FPM)]]*100</f>
        <v>14.569536423841059</v>
      </c>
      <c r="O35" s="1">
        <v>12</v>
      </c>
      <c r="P35" s="48">
        <f>Tabela1[[#This Row],[Pena após Repasse]]/Tabela1[[#This Row],[Velocidade (FPM)]]*100</f>
        <v>7.9470198675496695</v>
      </c>
      <c r="Q35" s="1">
        <v>0</v>
      </c>
      <c r="R35" s="1"/>
      <c r="S35" s="1">
        <v>2</v>
      </c>
      <c r="T35" s="1"/>
      <c r="U35" s="1">
        <v>1</v>
      </c>
      <c r="V35" s="1"/>
      <c r="W35" s="1">
        <v>0</v>
      </c>
      <c r="X35" s="1" t="s">
        <v>22</v>
      </c>
      <c r="Y35" s="1">
        <v>0</v>
      </c>
      <c r="Z35" s="3">
        <f>IFERROR(Tabela1[[#This Row],[Retorno Pés]]/(Tabela1[[#This Row],[Velocidade (FPM)]]*2)*100,"")</f>
        <v>0</v>
      </c>
      <c r="AA35" s="1">
        <v>30</v>
      </c>
      <c r="AB35" s="3">
        <v>19.867549668874172</v>
      </c>
      <c r="AC35" s="1">
        <v>2</v>
      </c>
      <c r="AD35" s="3">
        <v>1.3245033112582782</v>
      </c>
      <c r="AE35" s="1">
        <v>2</v>
      </c>
      <c r="AF35" s="3">
        <v>1.3245033112582782</v>
      </c>
      <c r="AG35" s="1">
        <v>8</v>
      </c>
      <c r="AH35" s="3">
        <v>5.298013245033113</v>
      </c>
      <c r="AI35" s="1" t="s">
        <v>22</v>
      </c>
      <c r="AJ35" s="1">
        <v>2</v>
      </c>
      <c r="AK35" s="3">
        <v>1.3245033112582782</v>
      </c>
      <c r="AL35" s="1">
        <v>1</v>
      </c>
      <c r="AM35" s="3">
        <v>0.66225165562913912</v>
      </c>
      <c r="AN35" s="1" t="s">
        <v>22</v>
      </c>
      <c r="AO35" s="1">
        <v>18</v>
      </c>
      <c r="AP35" s="3">
        <v>11.920529801324504</v>
      </c>
      <c r="AQ35" s="3"/>
      <c r="AR35" s="3"/>
      <c r="AS35" s="1">
        <v>8</v>
      </c>
      <c r="AT35" s="3">
        <v>5.298013245033113</v>
      </c>
      <c r="AU35" s="1">
        <v>1</v>
      </c>
      <c r="AV35" s="3">
        <v>0.66225165562913912</v>
      </c>
      <c r="AW35" s="1" t="s">
        <v>22</v>
      </c>
      <c r="AX35" s="1">
        <v>19</v>
      </c>
      <c r="AY35" s="1">
        <v>0</v>
      </c>
      <c r="AZ35" s="1">
        <v>0</v>
      </c>
      <c r="BA35" s="1">
        <v>38</v>
      </c>
      <c r="BB35" s="1">
        <v>0</v>
      </c>
      <c r="BC35" s="1">
        <v>0</v>
      </c>
      <c r="BD35" s="1"/>
      <c r="BE35" s="54"/>
      <c r="BF35" s="6">
        <v>27</v>
      </c>
      <c r="BG35" s="6">
        <v>25</v>
      </c>
      <c r="BH35" s="6">
        <v>4</v>
      </c>
      <c r="BI35" s="6"/>
      <c r="BJ35" s="1" t="s">
        <v>22</v>
      </c>
      <c r="BK35" s="6">
        <v>1</v>
      </c>
      <c r="BL35" s="6">
        <v>0</v>
      </c>
      <c r="BM35" s="6">
        <v>1</v>
      </c>
      <c r="BN35" t="s">
        <v>22</v>
      </c>
      <c r="BO35">
        <v>6566</v>
      </c>
    </row>
    <row r="36" spans="1:67" x14ac:dyDescent="0.3">
      <c r="A36" s="4">
        <f>INT(Tabela1[[#This Row],[Data e Hora]])</f>
        <v>46231</v>
      </c>
      <c r="B36" s="4" t="str">
        <f>UPPER(TEXT(Tabela1[[#This Row],[Data Corrigida]],"MMM"))</f>
        <v>JUL</v>
      </c>
      <c r="C36" t="s">
        <v>69</v>
      </c>
      <c r="D36" t="s">
        <v>70</v>
      </c>
      <c r="E36" t="s">
        <v>68</v>
      </c>
      <c r="F36" t="s">
        <v>19</v>
      </c>
      <c r="G36" s="5" t="s">
        <v>179</v>
      </c>
      <c r="H36" t="s">
        <v>20</v>
      </c>
      <c r="I36" t="s">
        <v>21</v>
      </c>
      <c r="J36" s="1">
        <v>151</v>
      </c>
      <c r="K36" s="1">
        <v>2747</v>
      </c>
      <c r="L36" t="s">
        <v>23</v>
      </c>
      <c r="M36" s="1">
        <v>55</v>
      </c>
      <c r="N36" s="48">
        <f>Tabela1[[#This Row],[Pena após Depenadeira]]/Tabela1[[#This Row],[Velocidade (FPM)]]*100</f>
        <v>36.423841059602644</v>
      </c>
      <c r="O36" s="1">
        <v>41</v>
      </c>
      <c r="P36" s="48">
        <f>Tabela1[[#This Row],[Pena após Repasse]]/Tabela1[[#This Row],[Velocidade (FPM)]]*100</f>
        <v>27.152317880794701</v>
      </c>
      <c r="Q36" s="1">
        <v>0</v>
      </c>
      <c r="R36" s="1"/>
      <c r="S36" s="1">
        <v>2</v>
      </c>
      <c r="T36" s="1"/>
      <c r="U36" s="1">
        <v>1</v>
      </c>
      <c r="V36" s="1"/>
      <c r="W36" s="1">
        <v>0</v>
      </c>
      <c r="X36" s="1" t="s">
        <v>22</v>
      </c>
      <c r="Y36" s="1">
        <v>1</v>
      </c>
      <c r="Z36" s="3">
        <f>IFERROR(Tabela1[[#This Row],[Retorno Pés]]/(Tabela1[[#This Row],[Velocidade (FPM)]]*2)*100,"")</f>
        <v>0.33112582781456956</v>
      </c>
      <c r="AA36" s="1">
        <v>17</v>
      </c>
      <c r="AB36" s="3">
        <v>11.258278145695364</v>
      </c>
      <c r="AC36" s="1">
        <v>1</v>
      </c>
      <c r="AD36" s="3">
        <v>0.66225165562913912</v>
      </c>
      <c r="AE36" s="1">
        <v>4</v>
      </c>
      <c r="AF36" s="3">
        <v>2.6490066225165565</v>
      </c>
      <c r="AG36" s="1">
        <v>8</v>
      </c>
      <c r="AH36" s="3">
        <v>5.298013245033113</v>
      </c>
      <c r="AI36" s="1" t="s">
        <v>22</v>
      </c>
      <c r="AJ36" s="1">
        <v>2</v>
      </c>
      <c r="AK36" s="3">
        <v>1.3245033112582782</v>
      </c>
      <c r="AL36" s="1">
        <v>3</v>
      </c>
      <c r="AM36" s="3">
        <v>1.9867549668874174</v>
      </c>
      <c r="AN36" s="1" t="s">
        <v>22</v>
      </c>
      <c r="AO36" s="1">
        <v>14</v>
      </c>
      <c r="AP36" s="3">
        <v>9.2715231788079464</v>
      </c>
      <c r="AQ36" s="3"/>
      <c r="AR36" s="3"/>
      <c r="AS36" s="1">
        <v>8</v>
      </c>
      <c r="AT36" s="3">
        <v>5.298013245033113</v>
      </c>
      <c r="AU36" s="1">
        <v>1</v>
      </c>
      <c r="AV36" s="3">
        <v>0.66225165562913912</v>
      </c>
      <c r="AW36" s="1" t="s">
        <v>22</v>
      </c>
      <c r="AX36" s="1">
        <v>16</v>
      </c>
      <c r="AY36" s="1">
        <v>0</v>
      </c>
      <c r="AZ36" s="1">
        <v>0</v>
      </c>
      <c r="BA36" s="1">
        <v>32</v>
      </c>
      <c r="BB36" s="1">
        <v>0</v>
      </c>
      <c r="BC36" s="1">
        <v>0</v>
      </c>
      <c r="BD36" s="1"/>
      <c r="BE36" s="54"/>
      <c r="BF36" s="6">
        <v>25</v>
      </c>
      <c r="BG36" s="6">
        <v>22</v>
      </c>
      <c r="BH36" s="6">
        <v>3</v>
      </c>
      <c r="BI36" s="6"/>
      <c r="BJ36" s="1" t="s">
        <v>22</v>
      </c>
      <c r="BK36" s="1" t="s">
        <v>22</v>
      </c>
      <c r="BL36" s="1" t="s">
        <v>22</v>
      </c>
      <c r="BM36" s="1" t="s">
        <v>22</v>
      </c>
      <c r="BN36" t="s">
        <v>24</v>
      </c>
      <c r="BO36">
        <v>1799</v>
      </c>
    </row>
    <row r="37" spans="1:67" x14ac:dyDescent="0.3">
      <c r="A37" s="4">
        <f>INT(Tabela1[[#This Row],[Data e Hora]])</f>
        <v>46231</v>
      </c>
      <c r="B37" s="4" t="str">
        <f>UPPER(TEXT(Tabela1[[#This Row],[Data Corrigida]],"MMM"))</f>
        <v>JUL</v>
      </c>
      <c r="C37" t="s">
        <v>71</v>
      </c>
      <c r="D37" t="s">
        <v>72</v>
      </c>
      <c r="E37" t="s">
        <v>68</v>
      </c>
      <c r="F37" t="s">
        <v>19</v>
      </c>
      <c r="G37" s="5" t="s">
        <v>179</v>
      </c>
      <c r="H37" t="s">
        <v>20</v>
      </c>
      <c r="I37" t="s">
        <v>21</v>
      </c>
      <c r="J37" s="1">
        <v>145</v>
      </c>
      <c r="K37" s="1">
        <v>2747</v>
      </c>
      <c r="L37" t="s">
        <v>23</v>
      </c>
      <c r="M37" s="1">
        <v>44</v>
      </c>
      <c r="N37" s="48">
        <f>Tabela1[[#This Row],[Pena após Depenadeira]]/Tabela1[[#This Row],[Velocidade (FPM)]]*100</f>
        <v>30.344827586206897</v>
      </c>
      <c r="O37" s="1">
        <v>30</v>
      </c>
      <c r="P37" s="48">
        <f>Tabela1[[#This Row],[Pena após Repasse]]/Tabela1[[#This Row],[Velocidade (FPM)]]*100</f>
        <v>20.689655172413794</v>
      </c>
      <c r="Q37" s="1">
        <v>0</v>
      </c>
      <c r="R37" s="1"/>
      <c r="S37" s="1">
        <v>4</v>
      </c>
      <c r="T37" s="1"/>
      <c r="U37" s="1">
        <v>1</v>
      </c>
      <c r="V37" s="1"/>
      <c r="W37" s="1">
        <v>0</v>
      </c>
      <c r="X37" s="1" t="s">
        <v>22</v>
      </c>
      <c r="Y37" s="1">
        <v>2</v>
      </c>
      <c r="Z37" s="3">
        <f>IFERROR(Tabela1[[#This Row],[Retorno Pés]]/(Tabela1[[#This Row],[Velocidade (FPM)]]*2)*100,"")</f>
        <v>0.68965517241379315</v>
      </c>
      <c r="AA37" s="1">
        <v>22</v>
      </c>
      <c r="AB37" s="3">
        <v>15.172413793103448</v>
      </c>
      <c r="AC37" s="1">
        <v>0</v>
      </c>
      <c r="AD37" s="3">
        <v>0</v>
      </c>
      <c r="AE37" s="1">
        <v>2</v>
      </c>
      <c r="AF37" s="3">
        <v>1.3793103448275863</v>
      </c>
      <c r="AG37" s="1">
        <v>9</v>
      </c>
      <c r="AH37" s="3">
        <v>6.2068965517241379</v>
      </c>
      <c r="AI37" s="1" t="s">
        <v>22</v>
      </c>
      <c r="AJ37" s="1">
        <v>2</v>
      </c>
      <c r="AK37" s="3">
        <v>1.3793103448275863</v>
      </c>
      <c r="AL37" s="1">
        <v>3</v>
      </c>
      <c r="AM37" s="3">
        <v>2.0689655172413794</v>
      </c>
      <c r="AN37" s="1" t="s">
        <v>22</v>
      </c>
      <c r="AO37" s="1">
        <v>11</v>
      </c>
      <c r="AP37" s="3">
        <v>7.5862068965517242</v>
      </c>
      <c r="AQ37" s="3"/>
      <c r="AR37" s="3"/>
      <c r="AS37" s="1">
        <v>5</v>
      </c>
      <c r="AT37" s="3">
        <v>3.4482758620689653</v>
      </c>
      <c r="AU37" s="1">
        <v>1</v>
      </c>
      <c r="AV37" s="3">
        <v>0.68965517241379315</v>
      </c>
      <c r="AW37" s="1" t="s">
        <v>22</v>
      </c>
      <c r="AX37" s="1">
        <v>18</v>
      </c>
      <c r="AY37" s="1">
        <v>0</v>
      </c>
      <c r="AZ37" s="1">
        <v>0</v>
      </c>
      <c r="BA37" s="1">
        <v>36</v>
      </c>
      <c r="BB37" s="1">
        <v>0</v>
      </c>
      <c r="BC37" s="1">
        <v>0</v>
      </c>
      <c r="BD37" s="1"/>
      <c r="BE37" s="54"/>
      <c r="BF37" s="6">
        <v>27</v>
      </c>
      <c r="BG37" s="6">
        <v>22</v>
      </c>
      <c r="BH37" s="6">
        <v>1</v>
      </c>
      <c r="BI37" s="6"/>
      <c r="BJ37" s="1" t="s">
        <v>22</v>
      </c>
      <c r="BK37" s="1" t="s">
        <v>22</v>
      </c>
      <c r="BL37" s="1" t="s">
        <v>22</v>
      </c>
      <c r="BM37" s="1" t="s">
        <v>22</v>
      </c>
      <c r="BN37" t="s">
        <v>24</v>
      </c>
      <c r="BO37">
        <v>1521</v>
      </c>
    </row>
    <row r="38" spans="1:67" x14ac:dyDescent="0.3">
      <c r="A38" s="4">
        <f>INT(Tabela1[[#This Row],[Data e Hora]])</f>
        <v>46230</v>
      </c>
      <c r="B38" s="4" t="str">
        <f>UPPER(TEXT(Tabela1[[#This Row],[Data Corrigida]],"MMM"))</f>
        <v>JUL</v>
      </c>
      <c r="C38" t="s">
        <v>73</v>
      </c>
      <c r="D38" t="s">
        <v>74</v>
      </c>
      <c r="E38" t="s">
        <v>75</v>
      </c>
      <c r="F38" t="s">
        <v>19</v>
      </c>
      <c r="G38" s="5" t="s">
        <v>180</v>
      </c>
      <c r="H38" t="s">
        <v>20</v>
      </c>
      <c r="I38" t="s">
        <v>33</v>
      </c>
      <c r="J38" s="1">
        <v>155</v>
      </c>
      <c r="K38" s="1">
        <v>2771</v>
      </c>
      <c r="L38" t="s">
        <v>34</v>
      </c>
      <c r="M38" s="1">
        <v>37</v>
      </c>
      <c r="N38" s="48">
        <f>Tabela1[[#This Row],[Pena após Depenadeira]]/Tabela1[[#This Row],[Velocidade (FPM)]]*100</f>
        <v>23.870967741935484</v>
      </c>
      <c r="O38" s="1">
        <v>27</v>
      </c>
      <c r="P38" s="48">
        <f>Tabela1[[#This Row],[Pena após Repasse]]/Tabela1[[#This Row],[Velocidade (FPM)]]*100</f>
        <v>17.419354838709676</v>
      </c>
      <c r="Q38" s="1">
        <v>7</v>
      </c>
      <c r="R38" s="1"/>
      <c r="S38" s="1">
        <v>5</v>
      </c>
      <c r="T38" s="1"/>
      <c r="U38" s="1">
        <v>3</v>
      </c>
      <c r="V38" s="1"/>
      <c r="W38" s="1">
        <v>2</v>
      </c>
      <c r="X38" s="1" t="s">
        <v>22</v>
      </c>
      <c r="Y38" s="1">
        <v>3</v>
      </c>
      <c r="Z38" s="3">
        <f>IFERROR(Tabela1[[#This Row],[Retorno Pés]]/(Tabela1[[#This Row],[Velocidade (FPM)]]*2)*100,"")</f>
        <v>0.967741935483871</v>
      </c>
      <c r="AA38" s="1">
        <v>23</v>
      </c>
      <c r="AB38" s="3">
        <v>14.838709677419354</v>
      </c>
      <c r="AC38" s="1">
        <v>0</v>
      </c>
      <c r="AD38" s="3">
        <v>0</v>
      </c>
      <c r="AE38" s="1">
        <v>1</v>
      </c>
      <c r="AF38" s="3">
        <v>0.64516129032258063</v>
      </c>
      <c r="AG38" s="1">
        <v>13</v>
      </c>
      <c r="AH38" s="3">
        <v>8.3870967741935498</v>
      </c>
      <c r="AI38" s="1" t="s">
        <v>22</v>
      </c>
      <c r="AJ38" s="1">
        <v>1</v>
      </c>
      <c r="AK38" s="3">
        <v>0.64516129032258063</v>
      </c>
      <c r="AL38" s="1">
        <v>0</v>
      </c>
      <c r="AM38" s="3">
        <v>0</v>
      </c>
      <c r="AN38" s="1" t="s">
        <v>22</v>
      </c>
      <c r="AO38" s="1">
        <v>5</v>
      </c>
      <c r="AP38" s="3">
        <v>3.225806451612903</v>
      </c>
      <c r="AQ38" s="3"/>
      <c r="AR38" s="3"/>
      <c r="AS38" s="1">
        <v>9</v>
      </c>
      <c r="AT38" s="3">
        <v>5.806451612903226</v>
      </c>
      <c r="AU38" s="1">
        <v>0</v>
      </c>
      <c r="AV38" s="3">
        <v>0</v>
      </c>
      <c r="AW38" s="1" t="s">
        <v>22</v>
      </c>
      <c r="AX38" s="1">
        <v>20</v>
      </c>
      <c r="AY38" s="1">
        <v>0</v>
      </c>
      <c r="AZ38" s="1">
        <v>10</v>
      </c>
      <c r="BA38" s="1">
        <v>40</v>
      </c>
      <c r="BB38" s="1">
        <v>0</v>
      </c>
      <c r="BC38" s="1">
        <v>20</v>
      </c>
      <c r="BD38" s="1"/>
      <c r="BE38" s="54"/>
      <c r="BF38" s="6">
        <v>20</v>
      </c>
      <c r="BG38" s="6">
        <v>3</v>
      </c>
      <c r="BH38" s="6">
        <v>1</v>
      </c>
      <c r="BI38" s="6"/>
      <c r="BJ38" s="1" t="s">
        <v>22</v>
      </c>
      <c r="BK38" s="6">
        <v>3</v>
      </c>
      <c r="BL38" s="6">
        <v>0</v>
      </c>
      <c r="BM38" s="6">
        <v>0</v>
      </c>
      <c r="BN38" t="s">
        <v>24</v>
      </c>
      <c r="BO38">
        <v>8427</v>
      </c>
    </row>
    <row r="39" spans="1:67" x14ac:dyDescent="0.3">
      <c r="A39" s="4">
        <f>INT(Tabela1[[#This Row],[Data e Hora]])</f>
        <v>46230</v>
      </c>
      <c r="B39" s="4" t="str">
        <f>UPPER(TEXT(Tabela1[[#This Row],[Data Corrigida]],"MMM"))</f>
        <v>JUL</v>
      </c>
      <c r="C39" t="s">
        <v>76</v>
      </c>
      <c r="D39" t="s">
        <v>77</v>
      </c>
      <c r="E39" t="s">
        <v>75</v>
      </c>
      <c r="F39" t="s">
        <v>19</v>
      </c>
      <c r="G39" s="5" t="s">
        <v>180</v>
      </c>
      <c r="H39" t="s">
        <v>20</v>
      </c>
      <c r="I39" t="s">
        <v>33</v>
      </c>
      <c r="J39" s="1">
        <v>130</v>
      </c>
      <c r="K39" s="1">
        <v>2771</v>
      </c>
      <c r="L39" t="s">
        <v>34</v>
      </c>
      <c r="M39" s="1">
        <v>8</v>
      </c>
      <c r="N39" s="48">
        <f>Tabela1[[#This Row],[Pena após Depenadeira]]/Tabela1[[#This Row],[Velocidade (FPM)]]*100</f>
        <v>6.1538461538461542</v>
      </c>
      <c r="O39" s="1">
        <v>13</v>
      </c>
      <c r="P39" s="48">
        <f>Tabela1[[#This Row],[Pena após Repasse]]/Tabela1[[#This Row],[Velocidade (FPM)]]*100</f>
        <v>10</v>
      </c>
      <c r="Q39" s="1">
        <v>6</v>
      </c>
      <c r="R39" s="1"/>
      <c r="S39" s="1">
        <v>0</v>
      </c>
      <c r="T39" s="1"/>
      <c r="U39" s="1">
        <v>1</v>
      </c>
      <c r="V39" s="1"/>
      <c r="W39" s="1">
        <v>1</v>
      </c>
      <c r="X39" s="1" t="s">
        <v>22</v>
      </c>
      <c r="Y39" s="1">
        <v>6</v>
      </c>
      <c r="Z39" s="3">
        <f>IFERROR(Tabela1[[#This Row],[Retorno Pés]]/(Tabela1[[#This Row],[Velocidade (FPM)]]*2)*100,"")</f>
        <v>2.3076923076923079</v>
      </c>
      <c r="AA39" s="1">
        <v>13</v>
      </c>
      <c r="AB39" s="3">
        <v>10</v>
      </c>
      <c r="AC39" s="1">
        <v>1</v>
      </c>
      <c r="AD39" s="3">
        <v>0.76923076923076927</v>
      </c>
      <c r="AE39" s="1">
        <v>0</v>
      </c>
      <c r="AF39" s="3">
        <v>0</v>
      </c>
      <c r="AG39" s="1">
        <v>5</v>
      </c>
      <c r="AH39" s="3">
        <v>3.8461538461538463</v>
      </c>
      <c r="AI39" s="1" t="s">
        <v>22</v>
      </c>
      <c r="AJ39" s="1">
        <v>2</v>
      </c>
      <c r="AK39" s="3">
        <v>1.5384615384615385</v>
      </c>
      <c r="AL39" s="1">
        <v>1</v>
      </c>
      <c r="AM39" s="3">
        <v>0.76923076923076927</v>
      </c>
      <c r="AN39" s="1" t="s">
        <v>22</v>
      </c>
      <c r="AO39" s="1">
        <v>1</v>
      </c>
      <c r="AP39" s="3">
        <v>0.76923076923076927</v>
      </c>
      <c r="AQ39" s="3"/>
      <c r="AR39" s="3"/>
      <c r="AS39" s="1">
        <v>5</v>
      </c>
      <c r="AT39" s="3">
        <v>3.8461538461538463</v>
      </c>
      <c r="AU39" s="1">
        <v>0</v>
      </c>
      <c r="AV39" s="3">
        <v>0</v>
      </c>
      <c r="AW39" s="1" t="s">
        <v>22</v>
      </c>
      <c r="AX39" s="1">
        <v>16</v>
      </c>
      <c r="AY39" s="1">
        <v>0</v>
      </c>
      <c r="AZ39" s="1">
        <v>5</v>
      </c>
      <c r="BA39" s="1">
        <v>32</v>
      </c>
      <c r="BB39" s="1">
        <v>0</v>
      </c>
      <c r="BC39" s="1">
        <v>10</v>
      </c>
      <c r="BD39" s="1"/>
      <c r="BE39" s="54"/>
      <c r="BF39" s="6">
        <v>6</v>
      </c>
      <c r="BG39" s="6">
        <v>3</v>
      </c>
      <c r="BH39" s="6">
        <v>3</v>
      </c>
      <c r="BI39" s="6"/>
      <c r="BJ39" s="1" t="s">
        <v>22</v>
      </c>
      <c r="BK39" s="6">
        <v>1</v>
      </c>
      <c r="BL39" s="6">
        <v>0</v>
      </c>
      <c r="BM39" s="6">
        <v>0</v>
      </c>
      <c r="BN39" t="s">
        <v>22</v>
      </c>
      <c r="BO39">
        <v>11508</v>
      </c>
    </row>
    <row r="40" spans="1:67" x14ac:dyDescent="0.3">
      <c r="A40" s="4">
        <f>INT(Tabela1[[#This Row],[Data e Hora]])</f>
        <v>46230</v>
      </c>
      <c r="B40" s="4" t="str">
        <f>UPPER(TEXT(Tabela1[[#This Row],[Data Corrigida]],"MMM"))</f>
        <v>JUL</v>
      </c>
      <c r="C40" t="s">
        <v>78</v>
      </c>
      <c r="D40" t="s">
        <v>79</v>
      </c>
      <c r="E40" t="s">
        <v>80</v>
      </c>
      <c r="F40" t="s">
        <v>19</v>
      </c>
      <c r="G40" s="5" t="s">
        <v>180</v>
      </c>
      <c r="H40" t="s">
        <v>20</v>
      </c>
      <c r="I40" t="s">
        <v>21</v>
      </c>
      <c r="J40" s="1">
        <v>150</v>
      </c>
      <c r="K40" s="1">
        <v>3008</v>
      </c>
      <c r="L40" t="s">
        <v>23</v>
      </c>
      <c r="M40" s="1">
        <v>40</v>
      </c>
      <c r="N40" s="48">
        <f>Tabela1[[#This Row],[Pena após Depenadeira]]/Tabela1[[#This Row],[Velocidade (FPM)]]*100</f>
        <v>26.666666666666668</v>
      </c>
      <c r="O40" s="1">
        <v>23</v>
      </c>
      <c r="P40" s="48">
        <f>Tabela1[[#This Row],[Pena após Repasse]]/Tabela1[[#This Row],[Velocidade (FPM)]]*100</f>
        <v>15.333333333333332</v>
      </c>
      <c r="Q40" s="1">
        <v>0</v>
      </c>
      <c r="R40" s="1"/>
      <c r="S40" s="1">
        <v>4</v>
      </c>
      <c r="T40" s="1"/>
      <c r="U40" s="1">
        <v>1</v>
      </c>
      <c r="V40" s="1"/>
      <c r="W40" s="1">
        <v>0</v>
      </c>
      <c r="X40" s="1" t="s">
        <v>22</v>
      </c>
      <c r="Y40" s="1">
        <v>1</v>
      </c>
      <c r="Z40" s="3">
        <f>IFERROR(Tabela1[[#This Row],[Retorno Pés]]/(Tabela1[[#This Row],[Velocidade (FPM)]]*2)*100,"")</f>
        <v>0.33333333333333337</v>
      </c>
      <c r="AA40" s="1">
        <v>33</v>
      </c>
      <c r="AB40" s="3">
        <v>22</v>
      </c>
      <c r="AC40" s="1">
        <v>2</v>
      </c>
      <c r="AD40" s="3">
        <v>1.3333333333333335</v>
      </c>
      <c r="AE40" s="1">
        <v>1</v>
      </c>
      <c r="AF40" s="3">
        <v>0.66666666666666674</v>
      </c>
      <c r="AG40" s="1">
        <v>12</v>
      </c>
      <c r="AH40" s="3">
        <v>8</v>
      </c>
      <c r="AI40" s="1" t="s">
        <v>22</v>
      </c>
      <c r="AJ40" s="1">
        <v>7</v>
      </c>
      <c r="AK40" s="3">
        <v>4.666666666666667</v>
      </c>
      <c r="AL40" s="1">
        <v>2</v>
      </c>
      <c r="AM40" s="3">
        <v>1.3333333333333335</v>
      </c>
      <c r="AN40" s="1" t="s">
        <v>22</v>
      </c>
      <c r="AO40" s="1">
        <v>13</v>
      </c>
      <c r="AP40" s="3">
        <v>8.6666666666666679</v>
      </c>
      <c r="AQ40" s="3"/>
      <c r="AR40" s="3"/>
      <c r="AS40" s="1">
        <v>5</v>
      </c>
      <c r="AT40" s="3">
        <v>3.3333333333333335</v>
      </c>
      <c r="AU40" s="1">
        <v>1</v>
      </c>
      <c r="AV40" s="3">
        <v>0.66666666666666674</v>
      </c>
      <c r="AW40" s="1" t="s">
        <v>22</v>
      </c>
      <c r="AX40" s="1">
        <v>15</v>
      </c>
      <c r="AY40" s="1">
        <v>0</v>
      </c>
      <c r="AZ40" s="1">
        <v>0</v>
      </c>
      <c r="BA40" s="1">
        <v>30</v>
      </c>
      <c r="BB40" s="1">
        <v>0</v>
      </c>
      <c r="BC40" s="1">
        <v>0</v>
      </c>
      <c r="BD40" s="1"/>
      <c r="BE40" s="54"/>
      <c r="BF40" s="1" t="s">
        <v>22</v>
      </c>
      <c r="BG40" s="1" t="s">
        <v>22</v>
      </c>
      <c r="BH40" s="1" t="s">
        <v>22</v>
      </c>
      <c r="BI40" s="1"/>
      <c r="BJ40" s="1" t="s">
        <v>22</v>
      </c>
      <c r="BK40" s="1" t="s">
        <v>22</v>
      </c>
      <c r="BL40" s="1" t="s">
        <v>22</v>
      </c>
      <c r="BM40" s="1" t="s">
        <v>22</v>
      </c>
      <c r="BN40" t="s">
        <v>24</v>
      </c>
      <c r="BO40">
        <v>2210</v>
      </c>
    </row>
    <row r="41" spans="1:67" x14ac:dyDescent="0.3">
      <c r="A41" s="4">
        <f>INT(Tabela1[[#This Row],[Data e Hora]])</f>
        <v>46230</v>
      </c>
      <c r="B41" s="4" t="str">
        <f>UPPER(TEXT(Tabela1[[#This Row],[Data Corrigida]],"MMM"))</f>
        <v>JUL</v>
      </c>
      <c r="C41" t="s">
        <v>81</v>
      </c>
      <c r="D41" t="s">
        <v>82</v>
      </c>
      <c r="E41" t="s">
        <v>80</v>
      </c>
      <c r="F41" t="s">
        <v>19</v>
      </c>
      <c r="G41" s="5" t="s">
        <v>180</v>
      </c>
      <c r="H41" t="s">
        <v>20</v>
      </c>
      <c r="I41" t="s">
        <v>21</v>
      </c>
      <c r="J41" s="1">
        <v>140</v>
      </c>
      <c r="K41" s="1">
        <v>3008</v>
      </c>
      <c r="L41" t="s">
        <v>23</v>
      </c>
      <c r="M41" s="1">
        <v>27</v>
      </c>
      <c r="N41" s="48">
        <f>Tabela1[[#This Row],[Pena após Depenadeira]]/Tabela1[[#This Row],[Velocidade (FPM)]]*100</f>
        <v>19.285714285714288</v>
      </c>
      <c r="O41" s="1">
        <v>14</v>
      </c>
      <c r="P41" s="48">
        <f>Tabela1[[#This Row],[Pena após Repasse]]/Tabela1[[#This Row],[Velocidade (FPM)]]*100</f>
        <v>10</v>
      </c>
      <c r="Q41" s="1">
        <v>0</v>
      </c>
      <c r="R41" s="1"/>
      <c r="S41" s="1">
        <v>3</v>
      </c>
      <c r="T41" s="1"/>
      <c r="U41" s="1">
        <v>1</v>
      </c>
      <c r="V41" s="1"/>
      <c r="W41" s="1">
        <v>0</v>
      </c>
      <c r="X41" s="1" t="s">
        <v>22</v>
      </c>
      <c r="Y41" s="1">
        <v>1</v>
      </c>
      <c r="Z41" s="3">
        <f>IFERROR(Tabela1[[#This Row],[Retorno Pés]]/(Tabela1[[#This Row],[Velocidade (FPM)]]*2)*100,"")</f>
        <v>0.35714285714285715</v>
      </c>
      <c r="AA41" s="1">
        <v>7</v>
      </c>
      <c r="AB41" s="3">
        <v>5</v>
      </c>
      <c r="AC41" s="1">
        <v>1</v>
      </c>
      <c r="AD41" s="3">
        <v>0.7142857142857143</v>
      </c>
      <c r="AE41" s="1">
        <v>2</v>
      </c>
      <c r="AF41" s="3">
        <v>1.4285714285714286</v>
      </c>
      <c r="AG41" s="1">
        <v>5</v>
      </c>
      <c r="AH41" s="3">
        <v>3.5714285714285712</v>
      </c>
      <c r="AI41" s="1" t="s">
        <v>22</v>
      </c>
      <c r="AJ41" s="1">
        <v>1</v>
      </c>
      <c r="AK41" s="3">
        <v>0.7142857142857143</v>
      </c>
      <c r="AL41" s="1">
        <v>1</v>
      </c>
      <c r="AM41" s="3">
        <v>0.7142857142857143</v>
      </c>
      <c r="AN41" s="1" t="s">
        <v>22</v>
      </c>
      <c r="AO41" s="1">
        <v>6</v>
      </c>
      <c r="AP41" s="3">
        <v>4.2857142857142856</v>
      </c>
      <c r="AQ41" s="3"/>
      <c r="AR41" s="3"/>
      <c r="AS41" s="1">
        <v>5</v>
      </c>
      <c r="AT41" s="3">
        <v>3.5714285714285712</v>
      </c>
      <c r="AU41" s="1">
        <v>0</v>
      </c>
      <c r="AV41" s="3">
        <v>0</v>
      </c>
      <c r="AW41" s="1" t="s">
        <v>22</v>
      </c>
      <c r="AX41" s="1">
        <v>19</v>
      </c>
      <c r="AY41" s="1">
        <v>0</v>
      </c>
      <c r="AZ41" s="1">
        <v>0</v>
      </c>
      <c r="BA41" s="1">
        <v>38</v>
      </c>
      <c r="BB41" s="1">
        <v>0</v>
      </c>
      <c r="BC41" s="1">
        <v>0</v>
      </c>
      <c r="BD41" s="1"/>
      <c r="BE41" s="54"/>
      <c r="BF41" s="6">
        <v>23</v>
      </c>
      <c r="BG41" s="6">
        <v>27</v>
      </c>
      <c r="BH41" s="6">
        <v>1</v>
      </c>
      <c r="BI41" s="6"/>
      <c r="BJ41" s="1" t="s">
        <v>22</v>
      </c>
      <c r="BK41" s="1" t="s">
        <v>22</v>
      </c>
      <c r="BL41" s="1" t="s">
        <v>22</v>
      </c>
      <c r="BM41" s="1" t="s">
        <v>22</v>
      </c>
      <c r="BN41" t="s">
        <v>24</v>
      </c>
      <c r="BO41">
        <v>337</v>
      </c>
    </row>
    <row r="42" spans="1:67" x14ac:dyDescent="0.3">
      <c r="A42" s="4">
        <f>INT(Tabela1[[#This Row],[Data e Hora]])</f>
        <v>46230</v>
      </c>
      <c r="B42" s="4" t="str">
        <f>UPPER(TEXT(Tabela1[[#This Row],[Data Corrigida]],"MMM"))</f>
        <v>JUL</v>
      </c>
      <c r="C42" t="s">
        <v>83</v>
      </c>
      <c r="D42" t="s">
        <v>84</v>
      </c>
      <c r="E42" t="s">
        <v>80</v>
      </c>
      <c r="F42" t="s">
        <v>19</v>
      </c>
      <c r="G42" s="5" t="s">
        <v>180</v>
      </c>
      <c r="H42" t="s">
        <v>20</v>
      </c>
      <c r="I42" t="s">
        <v>21</v>
      </c>
      <c r="J42" s="1">
        <v>130</v>
      </c>
      <c r="K42" s="1">
        <v>3008</v>
      </c>
      <c r="L42" t="s">
        <v>23</v>
      </c>
      <c r="M42" s="1">
        <v>34</v>
      </c>
      <c r="N42" s="48">
        <f>Tabela1[[#This Row],[Pena após Depenadeira]]/Tabela1[[#This Row],[Velocidade (FPM)]]*100</f>
        <v>26.153846153846157</v>
      </c>
      <c r="O42" s="1">
        <v>16</v>
      </c>
      <c r="P42" s="48">
        <f>Tabela1[[#This Row],[Pena após Repasse]]/Tabela1[[#This Row],[Velocidade (FPM)]]*100</f>
        <v>12.307692307692308</v>
      </c>
      <c r="Q42" s="1">
        <v>0</v>
      </c>
      <c r="R42" s="1"/>
      <c r="S42" s="1">
        <v>3</v>
      </c>
      <c r="T42" s="1"/>
      <c r="U42" s="1">
        <v>1</v>
      </c>
      <c r="V42" s="1"/>
      <c r="W42" s="1">
        <v>0</v>
      </c>
      <c r="X42" s="1" t="s">
        <v>22</v>
      </c>
      <c r="Y42" s="1">
        <v>1</v>
      </c>
      <c r="Z42" s="3">
        <f>IFERROR(Tabela1[[#This Row],[Retorno Pés]]/(Tabela1[[#This Row],[Velocidade (FPM)]]*2)*100,"")</f>
        <v>0.38461538461538464</v>
      </c>
      <c r="AA42" s="1">
        <v>3</v>
      </c>
      <c r="AB42" s="3">
        <v>2.3076923076923079</v>
      </c>
      <c r="AC42" s="1">
        <v>0</v>
      </c>
      <c r="AD42" s="3">
        <v>0</v>
      </c>
      <c r="AE42" s="1">
        <v>0</v>
      </c>
      <c r="AF42" s="3">
        <v>0</v>
      </c>
      <c r="AG42" s="1">
        <v>2</v>
      </c>
      <c r="AH42" s="3">
        <v>1.5384615384615385</v>
      </c>
      <c r="AI42" s="1" t="s">
        <v>22</v>
      </c>
      <c r="AJ42" s="1">
        <v>1</v>
      </c>
      <c r="AK42" s="3">
        <v>0.76923076923076927</v>
      </c>
      <c r="AL42" s="1">
        <v>2</v>
      </c>
      <c r="AM42" s="3">
        <v>1.5384615384615385</v>
      </c>
      <c r="AN42" s="1" t="s">
        <v>22</v>
      </c>
      <c r="AO42" s="1">
        <v>7</v>
      </c>
      <c r="AP42" s="3">
        <v>5.384615384615385</v>
      </c>
      <c r="AQ42" s="3"/>
      <c r="AR42" s="3"/>
      <c r="AS42" s="1">
        <v>3</v>
      </c>
      <c r="AT42" s="3">
        <v>2.3076923076923079</v>
      </c>
      <c r="AU42" s="1">
        <v>0</v>
      </c>
      <c r="AV42" s="3">
        <v>0</v>
      </c>
      <c r="AW42" s="1" t="s">
        <v>22</v>
      </c>
      <c r="AX42" s="1">
        <v>17</v>
      </c>
      <c r="AY42" s="1">
        <v>0</v>
      </c>
      <c r="AZ42" s="1">
        <v>0</v>
      </c>
      <c r="BA42" s="1">
        <v>34</v>
      </c>
      <c r="BB42" s="1">
        <v>0</v>
      </c>
      <c r="BC42" s="1">
        <v>0</v>
      </c>
      <c r="BD42" s="1"/>
      <c r="BE42" s="54"/>
      <c r="BF42" s="6">
        <v>20</v>
      </c>
      <c r="BG42" s="6">
        <v>21</v>
      </c>
      <c r="BH42" s="6">
        <v>1</v>
      </c>
      <c r="BI42" s="6"/>
      <c r="BJ42" s="1" t="s">
        <v>22</v>
      </c>
      <c r="BK42" s="1" t="s">
        <v>22</v>
      </c>
      <c r="BL42" s="1" t="s">
        <v>22</v>
      </c>
      <c r="BM42" s="1" t="s">
        <v>22</v>
      </c>
      <c r="BN42" t="s">
        <v>22</v>
      </c>
      <c r="BO42">
        <v>228</v>
      </c>
    </row>
    <row r="43" spans="1:67" x14ac:dyDescent="0.3">
      <c r="A43" s="4">
        <f>INT(Tabela1[[#This Row],[Data e Hora]])</f>
        <v>46227</v>
      </c>
      <c r="B43" s="4" t="str">
        <f>UPPER(TEXT(Tabela1[[#This Row],[Data Corrigida]],"MMM"))</f>
        <v>JUL</v>
      </c>
      <c r="C43" t="s">
        <v>85</v>
      </c>
      <c r="D43" t="s">
        <v>86</v>
      </c>
      <c r="E43" t="s">
        <v>87</v>
      </c>
      <c r="F43" t="s">
        <v>19</v>
      </c>
      <c r="G43" s="5" t="s">
        <v>181</v>
      </c>
      <c r="H43" t="s">
        <v>20</v>
      </c>
      <c r="I43" t="s">
        <v>33</v>
      </c>
      <c r="J43" s="1">
        <v>142</v>
      </c>
      <c r="K43" s="1">
        <v>2772</v>
      </c>
      <c r="L43" t="s">
        <v>34</v>
      </c>
      <c r="M43" s="1">
        <v>17</v>
      </c>
      <c r="N43" s="48">
        <f>Tabela1[[#This Row],[Pena após Depenadeira]]/Tabela1[[#This Row],[Velocidade (FPM)]]*100</f>
        <v>11.971830985915492</v>
      </c>
      <c r="O43" s="1">
        <v>19</v>
      </c>
      <c r="P43" s="48">
        <f>Tabela1[[#This Row],[Pena após Repasse]]/Tabela1[[#This Row],[Velocidade (FPM)]]*100</f>
        <v>13.380281690140844</v>
      </c>
      <c r="Q43" s="1">
        <v>16</v>
      </c>
      <c r="R43" s="1"/>
      <c r="S43" s="1">
        <v>1</v>
      </c>
      <c r="T43" s="1"/>
      <c r="U43" s="1">
        <v>2</v>
      </c>
      <c r="V43" s="1"/>
      <c r="W43" s="1">
        <v>1</v>
      </c>
      <c r="X43" s="1" t="s">
        <v>22</v>
      </c>
      <c r="Y43" s="1">
        <v>2</v>
      </c>
      <c r="Z43" s="3">
        <f>IFERROR(Tabela1[[#This Row],[Retorno Pés]]/(Tabela1[[#This Row],[Velocidade (FPM)]]*2)*100,"")</f>
        <v>0.70422535211267612</v>
      </c>
      <c r="AA43" s="1">
        <v>19</v>
      </c>
      <c r="AB43" s="3">
        <v>13.380281690140844</v>
      </c>
      <c r="AC43" s="1">
        <v>0</v>
      </c>
      <c r="AD43" s="3">
        <v>0</v>
      </c>
      <c r="AE43" s="1">
        <v>0</v>
      </c>
      <c r="AF43" s="3">
        <v>0</v>
      </c>
      <c r="AG43" s="1">
        <v>5</v>
      </c>
      <c r="AH43" s="3">
        <v>3.5211267605633805</v>
      </c>
      <c r="AI43" s="1" t="s">
        <v>22</v>
      </c>
      <c r="AJ43" s="1">
        <v>2</v>
      </c>
      <c r="AK43" s="3">
        <v>1.4084507042253522</v>
      </c>
      <c r="AL43" s="1">
        <v>0</v>
      </c>
      <c r="AM43" s="3">
        <v>0</v>
      </c>
      <c r="AN43" s="1" t="s">
        <v>22</v>
      </c>
      <c r="AO43" s="1">
        <v>8</v>
      </c>
      <c r="AP43" s="3">
        <v>5.6338028169014089</v>
      </c>
      <c r="AQ43" s="3"/>
      <c r="AR43" s="3"/>
      <c r="AS43" s="1">
        <v>4</v>
      </c>
      <c r="AT43" s="3">
        <v>2.8169014084507045</v>
      </c>
      <c r="AU43" s="1">
        <v>0</v>
      </c>
      <c r="AV43" s="3">
        <v>0</v>
      </c>
      <c r="AW43" s="1" t="s">
        <v>22</v>
      </c>
      <c r="AX43" s="1">
        <v>20</v>
      </c>
      <c r="AY43" s="1">
        <v>0</v>
      </c>
      <c r="AZ43" s="1">
        <v>0</v>
      </c>
      <c r="BA43" s="1">
        <v>40</v>
      </c>
      <c r="BB43" s="1">
        <v>0</v>
      </c>
      <c r="BC43" s="1">
        <v>0</v>
      </c>
      <c r="BD43" s="1"/>
      <c r="BE43" s="54"/>
      <c r="BF43" s="6">
        <v>20</v>
      </c>
      <c r="BG43" s="6">
        <v>12</v>
      </c>
      <c r="BH43" s="6">
        <v>1</v>
      </c>
      <c r="BI43" s="6"/>
      <c r="BJ43" s="1" t="s">
        <v>22</v>
      </c>
      <c r="BK43" s="6">
        <v>1</v>
      </c>
      <c r="BL43" s="6">
        <v>0</v>
      </c>
      <c r="BM43" s="6">
        <v>0</v>
      </c>
      <c r="BN43" t="s">
        <v>24</v>
      </c>
      <c r="BO43">
        <v>6684</v>
      </c>
    </row>
    <row r="44" spans="1:67" x14ac:dyDescent="0.3">
      <c r="A44" s="4">
        <f>INT(Tabela1[[#This Row],[Data e Hora]])</f>
        <v>46227</v>
      </c>
      <c r="B44" s="4" t="str">
        <f>UPPER(TEXT(Tabela1[[#This Row],[Data Corrigida]],"MMM"))</f>
        <v>JUL</v>
      </c>
      <c r="C44" t="s">
        <v>88</v>
      </c>
      <c r="D44" t="s">
        <v>89</v>
      </c>
      <c r="E44" t="s">
        <v>87</v>
      </c>
      <c r="F44" t="s">
        <v>19</v>
      </c>
      <c r="G44" s="5" t="s">
        <v>181</v>
      </c>
      <c r="H44" t="s">
        <v>20</v>
      </c>
      <c r="I44" t="s">
        <v>33</v>
      </c>
      <c r="J44" s="1">
        <v>130</v>
      </c>
      <c r="K44" s="1">
        <v>2772</v>
      </c>
      <c r="L44" t="s">
        <v>34</v>
      </c>
      <c r="M44" s="1">
        <v>25</v>
      </c>
      <c r="N44" s="48">
        <f>Tabela1[[#This Row],[Pena após Depenadeira]]/Tabela1[[#This Row],[Velocidade (FPM)]]*100</f>
        <v>19.230769230769234</v>
      </c>
      <c r="O44" s="1">
        <v>22</v>
      </c>
      <c r="P44" s="48">
        <f>Tabela1[[#This Row],[Pena após Repasse]]/Tabela1[[#This Row],[Velocidade (FPM)]]*100</f>
        <v>16.923076923076923</v>
      </c>
      <c r="Q44" s="1">
        <v>7</v>
      </c>
      <c r="R44" s="1"/>
      <c r="S44" s="1">
        <v>4</v>
      </c>
      <c r="T44" s="1"/>
      <c r="U44" s="1">
        <v>3</v>
      </c>
      <c r="V44" s="1"/>
      <c r="W44" s="1">
        <v>2</v>
      </c>
      <c r="X44" s="1" t="s">
        <v>22</v>
      </c>
      <c r="Y44" s="1">
        <v>1</v>
      </c>
      <c r="Z44" s="3">
        <f>IFERROR(Tabela1[[#This Row],[Retorno Pés]]/(Tabela1[[#This Row],[Velocidade (FPM)]]*2)*100,"")</f>
        <v>0.38461538461538464</v>
      </c>
      <c r="AA44" s="1">
        <v>25</v>
      </c>
      <c r="AB44" s="3">
        <v>19.230769230769234</v>
      </c>
      <c r="AC44" s="1">
        <v>0</v>
      </c>
      <c r="AD44" s="3">
        <v>0</v>
      </c>
      <c r="AE44" s="1">
        <v>2</v>
      </c>
      <c r="AF44" s="3">
        <v>1.5384615384615385</v>
      </c>
      <c r="AG44" s="1">
        <v>6</v>
      </c>
      <c r="AH44" s="3">
        <v>4.6153846153846159</v>
      </c>
      <c r="AI44" s="1" t="s">
        <v>22</v>
      </c>
      <c r="AJ44" s="1">
        <v>2</v>
      </c>
      <c r="AK44" s="3">
        <v>1.5384615384615385</v>
      </c>
      <c r="AL44" s="1">
        <v>1</v>
      </c>
      <c r="AM44" s="3">
        <v>0.76923076923076927</v>
      </c>
      <c r="AN44" s="1" t="s">
        <v>22</v>
      </c>
      <c r="AO44" s="1">
        <v>3</v>
      </c>
      <c r="AP44" s="3">
        <v>2.3076923076923079</v>
      </c>
      <c r="AQ44" s="3"/>
      <c r="AR44" s="3"/>
      <c r="AS44" s="1">
        <v>5</v>
      </c>
      <c r="AT44" s="3">
        <v>3.8461538461538463</v>
      </c>
      <c r="AU44" s="1">
        <v>0</v>
      </c>
      <c r="AV44" s="3">
        <v>0</v>
      </c>
      <c r="AW44" s="1" t="s">
        <v>22</v>
      </c>
      <c r="AX44" s="1">
        <v>20</v>
      </c>
      <c r="AY44" s="1">
        <v>1</v>
      </c>
      <c r="AZ44" s="1">
        <v>16</v>
      </c>
      <c r="BA44" s="1">
        <v>40</v>
      </c>
      <c r="BB44" s="1">
        <v>2</v>
      </c>
      <c r="BC44" s="1">
        <v>32</v>
      </c>
      <c r="BD44" s="1"/>
      <c r="BE44" s="54"/>
      <c r="BF44" s="6">
        <v>10</v>
      </c>
      <c r="BG44" s="6">
        <v>4</v>
      </c>
      <c r="BH44" s="6">
        <v>0</v>
      </c>
      <c r="BI44" s="6"/>
      <c r="BJ44" s="1" t="s">
        <v>22</v>
      </c>
      <c r="BK44" s="6">
        <v>2</v>
      </c>
      <c r="BL44" s="6">
        <v>0</v>
      </c>
      <c r="BM44" s="6">
        <v>0</v>
      </c>
      <c r="BN44" t="s">
        <v>24</v>
      </c>
      <c r="BO44">
        <v>10297</v>
      </c>
    </row>
    <row r="45" spans="1:67" x14ac:dyDescent="0.3">
      <c r="A45" s="4">
        <f>INT(Tabela1[[#This Row],[Data e Hora]])</f>
        <v>46227</v>
      </c>
      <c r="B45" s="4" t="str">
        <f>UPPER(TEXT(Tabela1[[#This Row],[Data Corrigida]],"MMM"))</f>
        <v>JUL</v>
      </c>
      <c r="C45" t="s">
        <v>90</v>
      </c>
      <c r="D45" t="s">
        <v>91</v>
      </c>
      <c r="E45" t="s">
        <v>92</v>
      </c>
      <c r="F45" t="s">
        <v>19</v>
      </c>
      <c r="G45" s="5" t="s">
        <v>181</v>
      </c>
      <c r="H45" t="s">
        <v>20</v>
      </c>
      <c r="I45" t="s">
        <v>21</v>
      </c>
      <c r="J45" s="1">
        <v>140</v>
      </c>
      <c r="K45" s="1">
        <v>2653</v>
      </c>
      <c r="L45" t="s">
        <v>23</v>
      </c>
      <c r="M45" s="1">
        <v>49</v>
      </c>
      <c r="N45" s="48">
        <f>Tabela1[[#This Row],[Pena após Depenadeira]]/Tabela1[[#This Row],[Velocidade (FPM)]]*100</f>
        <v>35</v>
      </c>
      <c r="O45" s="1">
        <v>34</v>
      </c>
      <c r="P45" s="48">
        <f>Tabela1[[#This Row],[Pena após Repasse]]/Tabela1[[#This Row],[Velocidade (FPM)]]*100</f>
        <v>24.285714285714285</v>
      </c>
      <c r="Q45" s="1">
        <v>0</v>
      </c>
      <c r="R45" s="1"/>
      <c r="S45" s="1">
        <v>1</v>
      </c>
      <c r="T45" s="1"/>
      <c r="U45" s="1">
        <v>1</v>
      </c>
      <c r="V45" s="1"/>
      <c r="W45" s="1">
        <v>0</v>
      </c>
      <c r="X45" s="1" t="s">
        <v>22</v>
      </c>
      <c r="Y45" s="1">
        <v>1</v>
      </c>
      <c r="Z45" s="3">
        <f>IFERROR(Tabela1[[#This Row],[Retorno Pés]]/(Tabela1[[#This Row],[Velocidade (FPM)]]*2)*100,"")</f>
        <v>0.35714285714285715</v>
      </c>
      <c r="AA45" s="1">
        <v>29</v>
      </c>
      <c r="AB45" s="3">
        <v>20.714285714285715</v>
      </c>
      <c r="AC45" s="1">
        <v>0</v>
      </c>
      <c r="AD45" s="3">
        <v>0</v>
      </c>
      <c r="AE45" s="1">
        <v>1</v>
      </c>
      <c r="AF45" s="3">
        <v>0.7142857142857143</v>
      </c>
      <c r="AG45" s="1">
        <v>8</v>
      </c>
      <c r="AH45" s="3">
        <v>5.7142857142857144</v>
      </c>
      <c r="AI45" s="1" t="s">
        <v>22</v>
      </c>
      <c r="AJ45" s="1">
        <v>7</v>
      </c>
      <c r="AK45" s="3">
        <v>5</v>
      </c>
      <c r="AL45" s="1">
        <v>2</v>
      </c>
      <c r="AM45" s="3">
        <v>1.4285714285714286</v>
      </c>
      <c r="AN45" s="1" t="s">
        <v>22</v>
      </c>
      <c r="AO45" s="1">
        <v>19</v>
      </c>
      <c r="AP45" s="3">
        <v>13.571428571428571</v>
      </c>
      <c r="AQ45" s="3"/>
      <c r="AR45" s="3"/>
      <c r="AS45" s="1">
        <v>7</v>
      </c>
      <c r="AT45" s="3">
        <v>5</v>
      </c>
      <c r="AU45" s="1">
        <v>0</v>
      </c>
      <c r="AV45" s="3">
        <v>0</v>
      </c>
      <c r="AW45" s="1" t="s">
        <v>22</v>
      </c>
      <c r="AX45" s="1">
        <v>16</v>
      </c>
      <c r="AY45" s="1">
        <v>0</v>
      </c>
      <c r="AZ45" s="1">
        <v>0</v>
      </c>
      <c r="BA45" s="1">
        <v>32</v>
      </c>
      <c r="BB45" s="1">
        <v>0</v>
      </c>
      <c r="BC45" s="1">
        <v>0</v>
      </c>
      <c r="BD45" s="1"/>
      <c r="BE45" s="54"/>
      <c r="BF45" s="6">
        <v>21</v>
      </c>
      <c r="BG45" s="6">
        <v>44</v>
      </c>
      <c r="BH45" s="6">
        <v>1</v>
      </c>
      <c r="BI45" s="6"/>
      <c r="BJ45" s="1" t="s">
        <v>22</v>
      </c>
      <c r="BK45" s="6">
        <v>0</v>
      </c>
      <c r="BL45" s="6">
        <v>0</v>
      </c>
      <c r="BM45" s="6">
        <v>2</v>
      </c>
      <c r="BN45" t="s">
        <v>24</v>
      </c>
      <c r="BO45">
        <v>2099</v>
      </c>
    </row>
    <row r="46" spans="1:67" x14ac:dyDescent="0.3">
      <c r="A46" s="4">
        <f>INT(Tabela1[[#This Row],[Data e Hora]])</f>
        <v>46227</v>
      </c>
      <c r="B46" s="4" t="str">
        <f>UPPER(TEXT(Tabela1[[#This Row],[Data Corrigida]],"MMM"))</f>
        <v>JUL</v>
      </c>
      <c r="C46" t="s">
        <v>93</v>
      </c>
      <c r="D46" t="s">
        <v>94</v>
      </c>
      <c r="E46" t="s">
        <v>92</v>
      </c>
      <c r="F46" t="s">
        <v>19</v>
      </c>
      <c r="G46" s="5" t="s">
        <v>181</v>
      </c>
      <c r="H46" t="s">
        <v>20</v>
      </c>
      <c r="I46" t="s">
        <v>21</v>
      </c>
      <c r="J46" s="1">
        <v>135</v>
      </c>
      <c r="K46" s="1">
        <v>2653</v>
      </c>
      <c r="L46" t="s">
        <v>23</v>
      </c>
      <c r="M46" s="1">
        <v>39</v>
      </c>
      <c r="N46" s="48">
        <f>Tabela1[[#This Row],[Pena após Depenadeira]]/Tabela1[[#This Row],[Velocidade (FPM)]]*100</f>
        <v>28.888888888888886</v>
      </c>
      <c r="O46" s="1">
        <v>25</v>
      </c>
      <c r="P46" s="48">
        <f>Tabela1[[#This Row],[Pena após Repasse]]/Tabela1[[#This Row],[Velocidade (FPM)]]*100</f>
        <v>18.518518518518519</v>
      </c>
      <c r="Q46" s="1">
        <v>0</v>
      </c>
      <c r="R46" s="1"/>
      <c r="S46" s="1" t="s">
        <v>22</v>
      </c>
      <c r="T46" s="1"/>
      <c r="U46" s="1">
        <v>1</v>
      </c>
      <c r="V46" s="1"/>
      <c r="W46" s="1">
        <v>0</v>
      </c>
      <c r="X46" s="1" t="s">
        <v>22</v>
      </c>
      <c r="Y46" s="1">
        <v>0</v>
      </c>
      <c r="Z46" s="3">
        <f>IFERROR(Tabela1[[#This Row],[Retorno Pés]]/(Tabela1[[#This Row],[Velocidade (FPM)]]*2)*100,"")</f>
        <v>0</v>
      </c>
      <c r="AA46" s="1">
        <v>22</v>
      </c>
      <c r="AB46" s="3">
        <v>16.296296296296298</v>
      </c>
      <c r="AC46" s="1">
        <v>0</v>
      </c>
      <c r="AD46" s="3">
        <v>0</v>
      </c>
      <c r="AE46" s="1">
        <v>6</v>
      </c>
      <c r="AF46" s="3">
        <v>4.4444444444444446</v>
      </c>
      <c r="AG46" s="1">
        <v>9</v>
      </c>
      <c r="AH46" s="3">
        <v>6.666666666666667</v>
      </c>
      <c r="AI46" s="1" t="s">
        <v>22</v>
      </c>
      <c r="AJ46" s="1">
        <v>5</v>
      </c>
      <c r="AK46" s="3">
        <v>3.7037037037037033</v>
      </c>
      <c r="AL46" s="1">
        <v>2</v>
      </c>
      <c r="AM46" s="3">
        <v>1.4814814814814816</v>
      </c>
      <c r="AN46" s="1" t="s">
        <v>22</v>
      </c>
      <c r="AO46" s="1">
        <v>23</v>
      </c>
      <c r="AP46" s="3">
        <v>17.037037037037038</v>
      </c>
      <c r="AQ46" s="3"/>
      <c r="AR46" s="3"/>
      <c r="AS46" s="1">
        <v>9</v>
      </c>
      <c r="AT46" s="3">
        <v>6.666666666666667</v>
      </c>
      <c r="AU46" s="1">
        <v>1</v>
      </c>
      <c r="AV46" s="3">
        <v>0.74074074074074081</v>
      </c>
      <c r="AW46" s="1" t="s">
        <v>22</v>
      </c>
      <c r="AX46" s="1">
        <v>19</v>
      </c>
      <c r="AY46" s="1">
        <v>0</v>
      </c>
      <c r="AZ46" s="1">
        <v>0</v>
      </c>
      <c r="BA46" s="1">
        <v>38</v>
      </c>
      <c r="BB46" s="1">
        <v>0</v>
      </c>
      <c r="BC46" s="1">
        <v>0</v>
      </c>
      <c r="BD46" s="1"/>
      <c r="BE46" s="54"/>
      <c r="BF46" s="6">
        <v>25</v>
      </c>
      <c r="BG46" s="6">
        <v>48</v>
      </c>
      <c r="BH46" s="6">
        <v>2</v>
      </c>
      <c r="BI46" s="6"/>
      <c r="BJ46" s="1" t="s">
        <v>22</v>
      </c>
      <c r="BK46" s="6">
        <v>0</v>
      </c>
      <c r="BL46" s="6">
        <v>0</v>
      </c>
      <c r="BM46" s="6">
        <v>1</v>
      </c>
      <c r="BN46" t="s">
        <v>22</v>
      </c>
      <c r="BO46">
        <v>544</v>
      </c>
    </row>
    <row r="47" spans="1:67" x14ac:dyDescent="0.3">
      <c r="A47" s="4">
        <f>INT(Tabela1[[#This Row],[Data e Hora]])</f>
        <v>46227</v>
      </c>
      <c r="B47" s="4" t="str">
        <f>UPPER(TEXT(Tabela1[[#This Row],[Data Corrigida]],"MMM"))</f>
        <v>JUL</v>
      </c>
      <c r="C47" t="s">
        <v>95</v>
      </c>
      <c r="D47" t="s">
        <v>96</v>
      </c>
      <c r="E47" t="s">
        <v>92</v>
      </c>
      <c r="F47" t="s">
        <v>19</v>
      </c>
      <c r="G47" s="5" t="s">
        <v>181</v>
      </c>
      <c r="H47" t="s">
        <v>20</v>
      </c>
      <c r="I47" t="s">
        <v>21</v>
      </c>
      <c r="J47" s="1">
        <v>135</v>
      </c>
      <c r="K47" s="1">
        <v>2653</v>
      </c>
      <c r="L47" t="s">
        <v>23</v>
      </c>
      <c r="M47" s="1">
        <v>33</v>
      </c>
      <c r="N47" s="48">
        <f>Tabela1[[#This Row],[Pena após Depenadeira]]/Tabela1[[#This Row],[Velocidade (FPM)]]*100</f>
        <v>24.444444444444443</v>
      </c>
      <c r="O47" s="1">
        <v>23</v>
      </c>
      <c r="P47" s="48">
        <f>Tabela1[[#This Row],[Pena após Repasse]]/Tabela1[[#This Row],[Velocidade (FPM)]]*100</f>
        <v>17.037037037037038</v>
      </c>
      <c r="Q47" s="1">
        <v>0</v>
      </c>
      <c r="R47" s="1"/>
      <c r="S47" s="1">
        <v>2</v>
      </c>
      <c r="T47" s="1"/>
      <c r="U47" s="1">
        <v>3</v>
      </c>
      <c r="V47" s="1"/>
      <c r="W47" s="1">
        <v>0</v>
      </c>
      <c r="X47" s="1" t="s">
        <v>22</v>
      </c>
      <c r="Y47" s="1">
        <v>1</v>
      </c>
      <c r="Z47" s="3">
        <f>IFERROR(Tabela1[[#This Row],[Retorno Pés]]/(Tabela1[[#This Row],[Velocidade (FPM)]]*2)*100,"")</f>
        <v>0.37037037037037041</v>
      </c>
      <c r="AA47" s="1">
        <v>10</v>
      </c>
      <c r="AB47" s="3">
        <v>7.4074074074074066</v>
      </c>
      <c r="AC47" s="1">
        <v>0</v>
      </c>
      <c r="AD47" s="3">
        <v>0</v>
      </c>
      <c r="AE47" s="1">
        <v>3</v>
      </c>
      <c r="AF47" s="3">
        <v>2.2222222222222223</v>
      </c>
      <c r="AG47" s="1">
        <v>6</v>
      </c>
      <c r="AH47" s="3">
        <v>4.4444444444444446</v>
      </c>
      <c r="AI47" s="1" t="s">
        <v>22</v>
      </c>
      <c r="AJ47" s="1">
        <v>2</v>
      </c>
      <c r="AK47" s="3">
        <v>1.4814814814814816</v>
      </c>
      <c r="AL47" s="1">
        <v>2</v>
      </c>
      <c r="AM47" s="3">
        <v>1.4814814814814816</v>
      </c>
      <c r="AN47" s="1" t="s">
        <v>22</v>
      </c>
      <c r="AO47" s="1">
        <v>19</v>
      </c>
      <c r="AP47" s="3">
        <v>14.074074074074074</v>
      </c>
      <c r="AQ47" s="3"/>
      <c r="AR47" s="3"/>
      <c r="AS47" s="1">
        <v>11</v>
      </c>
      <c r="AT47" s="3">
        <v>8.1481481481481488</v>
      </c>
      <c r="AU47" s="1">
        <v>3</v>
      </c>
      <c r="AV47" s="3">
        <v>2.2222222222222223</v>
      </c>
      <c r="AW47" s="1" t="s">
        <v>22</v>
      </c>
      <c r="AX47" s="1">
        <v>17</v>
      </c>
      <c r="AY47" s="1">
        <v>0</v>
      </c>
      <c r="AZ47" s="1">
        <v>0</v>
      </c>
      <c r="BA47" s="1">
        <v>34</v>
      </c>
      <c r="BB47" s="1">
        <v>0</v>
      </c>
      <c r="BC47" s="1">
        <v>0</v>
      </c>
      <c r="BD47" s="1"/>
      <c r="BE47" s="54"/>
      <c r="BF47" s="6">
        <v>28</v>
      </c>
      <c r="BG47" s="6">
        <v>25</v>
      </c>
      <c r="BH47" s="6">
        <v>0</v>
      </c>
      <c r="BI47" s="6"/>
      <c r="BJ47" s="1" t="s">
        <v>22</v>
      </c>
      <c r="BK47" s="1" t="s">
        <v>22</v>
      </c>
      <c r="BL47" s="1" t="s">
        <v>22</v>
      </c>
      <c r="BM47" s="1" t="s">
        <v>22</v>
      </c>
      <c r="BN47" t="s">
        <v>22</v>
      </c>
      <c r="BO47">
        <v>305</v>
      </c>
    </row>
    <row r="48" spans="1:67" x14ac:dyDescent="0.3">
      <c r="A48" s="4">
        <f>INT(Tabela1[[#This Row],[Data e Hora]])</f>
        <v>46226</v>
      </c>
      <c r="B48" s="4" t="str">
        <f>UPPER(TEXT(Tabela1[[#This Row],[Data Corrigida]],"MMM"))</f>
        <v>JUL</v>
      </c>
      <c r="C48" t="s">
        <v>97</v>
      </c>
      <c r="D48" t="s">
        <v>98</v>
      </c>
      <c r="E48" t="s">
        <v>99</v>
      </c>
      <c r="F48" t="s">
        <v>19</v>
      </c>
      <c r="G48" s="5" t="s">
        <v>182</v>
      </c>
      <c r="H48" t="s">
        <v>20</v>
      </c>
      <c r="I48" t="s">
        <v>33</v>
      </c>
      <c r="J48" s="1">
        <v>120</v>
      </c>
      <c r="K48" s="1">
        <v>2707</v>
      </c>
      <c r="L48" t="s">
        <v>34</v>
      </c>
      <c r="M48" s="1">
        <v>28</v>
      </c>
      <c r="N48" s="48">
        <f>Tabela1[[#This Row],[Pena após Depenadeira]]/Tabela1[[#This Row],[Velocidade (FPM)]]*100</f>
        <v>23.333333333333332</v>
      </c>
      <c r="O48" s="1">
        <v>7</v>
      </c>
      <c r="P48" s="48">
        <f>Tabela1[[#This Row],[Pena após Repasse]]/Tabela1[[#This Row],[Velocidade (FPM)]]*100</f>
        <v>5.833333333333333</v>
      </c>
      <c r="Q48" s="1">
        <v>8</v>
      </c>
      <c r="R48" s="1"/>
      <c r="S48" s="1">
        <v>3</v>
      </c>
      <c r="T48" s="1"/>
      <c r="U48" s="1">
        <v>2</v>
      </c>
      <c r="V48" s="1"/>
      <c r="W48" s="1">
        <v>2</v>
      </c>
      <c r="X48" s="1" t="s">
        <v>22</v>
      </c>
      <c r="Y48" s="1">
        <v>1</v>
      </c>
      <c r="Z48" s="3">
        <f>IFERROR(Tabela1[[#This Row],[Retorno Pés]]/(Tabela1[[#This Row],[Velocidade (FPM)]]*2)*100,"")</f>
        <v>0.41666666666666669</v>
      </c>
      <c r="AA48" s="1">
        <v>13</v>
      </c>
      <c r="AB48" s="3">
        <v>10.833333333333334</v>
      </c>
      <c r="AC48" s="1">
        <v>1</v>
      </c>
      <c r="AD48" s="3">
        <v>0.83333333333333337</v>
      </c>
      <c r="AE48" s="1">
        <v>0</v>
      </c>
      <c r="AF48" s="3">
        <v>0</v>
      </c>
      <c r="AG48" s="1">
        <v>7</v>
      </c>
      <c r="AH48" s="3">
        <v>5.833333333333333</v>
      </c>
      <c r="AI48" s="1" t="s">
        <v>22</v>
      </c>
      <c r="AJ48" s="1">
        <v>0</v>
      </c>
      <c r="AK48" s="3">
        <v>0</v>
      </c>
      <c r="AL48" s="1">
        <v>0</v>
      </c>
      <c r="AM48" s="3">
        <v>0</v>
      </c>
      <c r="AN48" s="1" t="s">
        <v>22</v>
      </c>
      <c r="AO48" s="1">
        <v>6</v>
      </c>
      <c r="AP48" s="3">
        <v>5</v>
      </c>
      <c r="AQ48" s="3"/>
      <c r="AR48" s="3"/>
      <c r="AS48" s="1">
        <v>7</v>
      </c>
      <c r="AT48" s="3">
        <v>5.833333333333333</v>
      </c>
      <c r="AU48" s="1">
        <v>1</v>
      </c>
      <c r="AV48" s="3">
        <v>0.83333333333333337</v>
      </c>
      <c r="AW48" s="1" t="s">
        <v>22</v>
      </c>
      <c r="AX48" s="1">
        <v>20</v>
      </c>
      <c r="AY48" s="1">
        <v>0</v>
      </c>
      <c r="AZ48" s="1">
        <v>8</v>
      </c>
      <c r="BA48" s="1">
        <v>40</v>
      </c>
      <c r="BB48" s="1">
        <v>0</v>
      </c>
      <c r="BC48" s="1">
        <v>16</v>
      </c>
      <c r="BD48" s="1"/>
      <c r="BE48" s="54"/>
      <c r="BF48" s="6">
        <v>10</v>
      </c>
      <c r="BG48" s="6">
        <v>4</v>
      </c>
      <c r="BH48" s="6">
        <v>0</v>
      </c>
      <c r="BI48" s="6"/>
      <c r="BJ48" s="1" t="s">
        <v>22</v>
      </c>
      <c r="BK48" s="1" t="s">
        <v>22</v>
      </c>
      <c r="BL48" s="1" t="s">
        <v>22</v>
      </c>
      <c r="BM48" s="1" t="s">
        <v>22</v>
      </c>
      <c r="BN48" t="s">
        <v>24</v>
      </c>
      <c r="BO48">
        <v>7354</v>
      </c>
    </row>
    <row r="49" spans="1:67" x14ac:dyDescent="0.3">
      <c r="A49" s="4">
        <f>INT(Tabela1[[#This Row],[Data e Hora]])</f>
        <v>46226</v>
      </c>
      <c r="B49" s="4" t="str">
        <f>UPPER(TEXT(Tabela1[[#This Row],[Data Corrigida]],"MMM"))</f>
        <v>JUL</v>
      </c>
      <c r="C49" t="s">
        <v>100</v>
      </c>
      <c r="D49" t="s">
        <v>101</v>
      </c>
      <c r="E49" t="s">
        <v>99</v>
      </c>
      <c r="F49" t="s">
        <v>19</v>
      </c>
      <c r="G49" s="5" t="s">
        <v>182</v>
      </c>
      <c r="H49" t="s">
        <v>20</v>
      </c>
      <c r="I49" t="s">
        <v>33</v>
      </c>
      <c r="J49" s="1">
        <v>122</v>
      </c>
      <c r="K49" s="1">
        <v>2707</v>
      </c>
      <c r="L49" t="s">
        <v>34</v>
      </c>
      <c r="M49" s="1">
        <v>28</v>
      </c>
      <c r="N49" s="48">
        <f>Tabela1[[#This Row],[Pena após Depenadeira]]/Tabela1[[#This Row],[Velocidade (FPM)]]*100</f>
        <v>22.950819672131146</v>
      </c>
      <c r="O49" s="1">
        <v>14</v>
      </c>
      <c r="P49" s="48">
        <f>Tabela1[[#This Row],[Pena após Repasse]]/Tabela1[[#This Row],[Velocidade (FPM)]]*100</f>
        <v>11.475409836065573</v>
      </c>
      <c r="Q49" s="1" t="s">
        <v>22</v>
      </c>
      <c r="R49" s="1"/>
      <c r="S49" s="1">
        <v>3</v>
      </c>
      <c r="T49" s="1"/>
      <c r="U49" s="1">
        <v>1</v>
      </c>
      <c r="V49" s="1"/>
      <c r="W49" s="1">
        <v>2</v>
      </c>
      <c r="X49" s="1" t="s">
        <v>22</v>
      </c>
      <c r="Y49" s="1">
        <v>3</v>
      </c>
      <c r="Z49" s="3">
        <f>IFERROR(Tabela1[[#This Row],[Retorno Pés]]/(Tabela1[[#This Row],[Velocidade (FPM)]]*2)*100,"")</f>
        <v>1.2295081967213115</v>
      </c>
      <c r="AA49" s="1">
        <v>9</v>
      </c>
      <c r="AB49" s="3">
        <v>7.3770491803278686</v>
      </c>
      <c r="AC49" s="1">
        <v>1</v>
      </c>
      <c r="AD49" s="3">
        <v>0.81967213114754101</v>
      </c>
      <c r="AE49" s="1">
        <v>2</v>
      </c>
      <c r="AF49" s="3">
        <v>1.639344262295082</v>
      </c>
      <c r="AG49" s="1">
        <v>4</v>
      </c>
      <c r="AH49" s="3">
        <v>3.278688524590164</v>
      </c>
      <c r="AI49" s="1" t="s">
        <v>22</v>
      </c>
      <c r="AJ49" s="1">
        <v>0</v>
      </c>
      <c r="AK49" s="3">
        <v>0</v>
      </c>
      <c r="AL49" s="1">
        <v>0</v>
      </c>
      <c r="AM49" s="3">
        <v>0</v>
      </c>
      <c r="AN49" s="1" t="s">
        <v>22</v>
      </c>
      <c r="AO49" s="1">
        <v>5</v>
      </c>
      <c r="AP49" s="3">
        <v>4.0983606557377046</v>
      </c>
      <c r="AQ49" s="3"/>
      <c r="AR49" s="3"/>
      <c r="AS49" s="1">
        <v>5</v>
      </c>
      <c r="AT49" s="3">
        <v>4.0983606557377046</v>
      </c>
      <c r="AU49" s="1">
        <v>1</v>
      </c>
      <c r="AV49" s="3">
        <v>0.81967213114754101</v>
      </c>
      <c r="AW49" s="1" t="s">
        <v>22</v>
      </c>
      <c r="AX49" s="1">
        <v>15</v>
      </c>
      <c r="AY49" s="1">
        <v>0</v>
      </c>
      <c r="AZ49" s="1">
        <v>6</v>
      </c>
      <c r="BA49" s="1">
        <v>30</v>
      </c>
      <c r="BB49" s="1">
        <v>0</v>
      </c>
      <c r="BC49" s="1">
        <v>12</v>
      </c>
      <c r="BD49" s="1"/>
      <c r="BE49" s="54"/>
      <c r="BF49" s="6">
        <v>16</v>
      </c>
      <c r="BG49" s="6">
        <v>5</v>
      </c>
      <c r="BH49" s="1" t="s">
        <v>22</v>
      </c>
      <c r="BI49" s="1"/>
      <c r="BJ49" s="1" t="s">
        <v>22</v>
      </c>
      <c r="BK49" s="6">
        <v>3</v>
      </c>
      <c r="BL49" s="6">
        <v>0</v>
      </c>
      <c r="BM49" s="6">
        <v>0</v>
      </c>
      <c r="BN49" t="s">
        <v>22</v>
      </c>
      <c r="BO49">
        <v>5679</v>
      </c>
    </row>
    <row r="50" spans="1:67" x14ac:dyDescent="0.3">
      <c r="A50" s="4">
        <f>INT(Tabela1[[#This Row],[Data e Hora]])</f>
        <v>46226</v>
      </c>
      <c r="B50" s="4" t="str">
        <f>UPPER(TEXT(Tabela1[[#This Row],[Data Corrigida]],"MMM"))</f>
        <v>JUL</v>
      </c>
      <c r="C50" t="s">
        <v>102</v>
      </c>
      <c r="D50" t="s">
        <v>103</v>
      </c>
      <c r="E50" t="s">
        <v>99</v>
      </c>
      <c r="F50" t="s">
        <v>19</v>
      </c>
      <c r="G50" s="5" t="s">
        <v>182</v>
      </c>
      <c r="H50" t="s">
        <v>20</v>
      </c>
      <c r="I50" t="s">
        <v>33</v>
      </c>
      <c r="J50" s="1">
        <v>130</v>
      </c>
      <c r="K50" s="1">
        <v>270</v>
      </c>
      <c r="L50" t="s">
        <v>34</v>
      </c>
      <c r="M50" s="1">
        <v>22</v>
      </c>
      <c r="N50" s="48">
        <f>Tabela1[[#This Row],[Pena após Depenadeira]]/Tabela1[[#This Row],[Velocidade (FPM)]]*100</f>
        <v>16.923076923076923</v>
      </c>
      <c r="O50" s="1">
        <v>9</v>
      </c>
      <c r="P50" s="48">
        <f>Tabela1[[#This Row],[Pena após Repasse]]/Tabela1[[#This Row],[Velocidade (FPM)]]*100</f>
        <v>6.9230769230769234</v>
      </c>
      <c r="Q50" s="1">
        <v>3</v>
      </c>
      <c r="R50" s="1"/>
      <c r="S50" s="1">
        <v>6</v>
      </c>
      <c r="T50" s="1"/>
      <c r="U50" s="1">
        <v>3</v>
      </c>
      <c r="V50" s="1"/>
      <c r="W50" s="1">
        <v>3</v>
      </c>
      <c r="X50" s="1" t="s">
        <v>22</v>
      </c>
      <c r="Y50" s="1">
        <v>5</v>
      </c>
      <c r="Z50" s="3">
        <f>IFERROR(Tabela1[[#This Row],[Retorno Pés]]/(Tabela1[[#This Row],[Velocidade (FPM)]]*2)*100,"")</f>
        <v>1.9230769230769231</v>
      </c>
      <c r="AA50" s="1">
        <v>10</v>
      </c>
      <c r="AB50" s="3">
        <v>7.6923076923076925</v>
      </c>
      <c r="AC50" s="1">
        <v>1</v>
      </c>
      <c r="AD50" s="3">
        <v>0.76923076923076927</v>
      </c>
      <c r="AE50" s="1">
        <v>2</v>
      </c>
      <c r="AF50" s="3">
        <v>1.5384615384615385</v>
      </c>
      <c r="AG50" s="1">
        <v>6</v>
      </c>
      <c r="AH50" s="3">
        <v>4.6153846153846159</v>
      </c>
      <c r="AI50" s="1" t="s">
        <v>22</v>
      </c>
      <c r="AJ50" s="1">
        <v>0</v>
      </c>
      <c r="AK50" s="3">
        <v>0</v>
      </c>
      <c r="AL50" s="1">
        <v>0</v>
      </c>
      <c r="AM50" s="3">
        <v>0</v>
      </c>
      <c r="AN50" s="1" t="s">
        <v>22</v>
      </c>
      <c r="AO50" s="1">
        <v>10</v>
      </c>
      <c r="AP50" s="3">
        <v>7.6923076923076925</v>
      </c>
      <c r="AQ50" s="3"/>
      <c r="AR50" s="3"/>
      <c r="AS50" s="1">
        <v>7</v>
      </c>
      <c r="AT50" s="3">
        <v>5.384615384615385</v>
      </c>
      <c r="AU50" s="1">
        <v>0</v>
      </c>
      <c r="AV50" s="3">
        <v>0</v>
      </c>
      <c r="AW50" s="1" t="s">
        <v>22</v>
      </c>
      <c r="AX50" s="1">
        <v>15</v>
      </c>
      <c r="AY50" s="1">
        <v>1</v>
      </c>
      <c r="AZ50" s="1">
        <v>5</v>
      </c>
      <c r="BA50" s="1">
        <v>30</v>
      </c>
      <c r="BB50" s="1">
        <v>2</v>
      </c>
      <c r="BC50" s="1">
        <v>10</v>
      </c>
      <c r="BD50" s="1"/>
      <c r="BE50" s="54"/>
      <c r="BF50" s="6">
        <v>9</v>
      </c>
      <c r="BG50" s="6">
        <v>4</v>
      </c>
      <c r="BH50" s="6">
        <v>0</v>
      </c>
      <c r="BI50" s="6"/>
      <c r="BJ50" s="1" t="s">
        <v>22</v>
      </c>
      <c r="BK50" s="1" t="s">
        <v>22</v>
      </c>
      <c r="BL50" s="1" t="s">
        <v>22</v>
      </c>
      <c r="BM50" s="1" t="s">
        <v>22</v>
      </c>
      <c r="BN50" t="s">
        <v>24</v>
      </c>
      <c r="BO50">
        <v>25799</v>
      </c>
    </row>
    <row r="51" spans="1:67" x14ac:dyDescent="0.3">
      <c r="A51" s="4">
        <f>INT(Tabela1[[#This Row],[Data e Hora]])</f>
        <v>46226</v>
      </c>
      <c r="B51" s="4" t="str">
        <f>UPPER(TEXT(Tabela1[[#This Row],[Data Corrigida]],"MMM"))</f>
        <v>JUL</v>
      </c>
      <c r="C51" t="s">
        <v>104</v>
      </c>
      <c r="D51" t="s">
        <v>105</v>
      </c>
      <c r="E51" t="s">
        <v>106</v>
      </c>
      <c r="F51" t="s">
        <v>19</v>
      </c>
      <c r="G51" s="5" t="s">
        <v>182</v>
      </c>
      <c r="H51" t="s">
        <v>20</v>
      </c>
      <c r="I51" t="s">
        <v>21</v>
      </c>
      <c r="J51" s="1">
        <v>155</v>
      </c>
      <c r="K51" s="1">
        <v>2839</v>
      </c>
      <c r="L51" t="s">
        <v>23</v>
      </c>
      <c r="M51" s="1">
        <v>41</v>
      </c>
      <c r="N51" s="48">
        <f>Tabela1[[#This Row],[Pena após Depenadeira]]/Tabela1[[#This Row],[Velocidade (FPM)]]*100</f>
        <v>26.451612903225808</v>
      </c>
      <c r="O51" s="1">
        <v>28</v>
      </c>
      <c r="P51" s="48">
        <f>Tabela1[[#This Row],[Pena após Repasse]]/Tabela1[[#This Row],[Velocidade (FPM)]]*100</f>
        <v>18.064516129032256</v>
      </c>
      <c r="Q51" s="1">
        <v>1</v>
      </c>
      <c r="R51" s="1"/>
      <c r="S51" s="1">
        <v>3</v>
      </c>
      <c r="T51" s="1"/>
      <c r="U51" s="1">
        <v>1</v>
      </c>
      <c r="V51" s="1"/>
      <c r="W51" s="1">
        <v>0</v>
      </c>
      <c r="X51" s="1" t="s">
        <v>22</v>
      </c>
      <c r="Y51" s="1">
        <v>2</v>
      </c>
      <c r="Z51" s="3">
        <f>IFERROR(Tabela1[[#This Row],[Retorno Pés]]/(Tabela1[[#This Row],[Velocidade (FPM)]]*2)*100,"")</f>
        <v>0.64516129032258063</v>
      </c>
      <c r="AA51" s="1">
        <v>12</v>
      </c>
      <c r="AB51" s="3">
        <v>7.741935483870968</v>
      </c>
      <c r="AC51" s="1">
        <v>1</v>
      </c>
      <c r="AD51" s="3">
        <v>0.64516129032258063</v>
      </c>
      <c r="AE51" s="1">
        <v>4</v>
      </c>
      <c r="AF51" s="3">
        <v>2.5806451612903225</v>
      </c>
      <c r="AG51" s="1">
        <v>7</v>
      </c>
      <c r="AH51" s="3">
        <v>4.5161290322580641</v>
      </c>
      <c r="AI51" s="1" t="s">
        <v>22</v>
      </c>
      <c r="AJ51" s="1">
        <v>1</v>
      </c>
      <c r="AK51" s="3">
        <v>0.64516129032258063</v>
      </c>
      <c r="AL51" s="1">
        <v>2</v>
      </c>
      <c r="AM51" s="3">
        <v>1.2903225806451613</v>
      </c>
      <c r="AN51" s="1" t="s">
        <v>22</v>
      </c>
      <c r="AO51" s="1">
        <v>19</v>
      </c>
      <c r="AP51" s="3">
        <v>12.258064516129032</v>
      </c>
      <c r="AQ51" s="3"/>
      <c r="AR51" s="3"/>
      <c r="AS51" s="1">
        <v>6</v>
      </c>
      <c r="AT51" s="3">
        <v>3.870967741935484</v>
      </c>
      <c r="AU51" s="1">
        <v>1</v>
      </c>
      <c r="AV51" s="3">
        <v>0.64516129032258063</v>
      </c>
      <c r="AW51" s="1" t="s">
        <v>22</v>
      </c>
      <c r="AX51" s="1">
        <v>30</v>
      </c>
      <c r="AY51" s="1">
        <v>4</v>
      </c>
      <c r="AZ51" s="1">
        <v>4</v>
      </c>
      <c r="BA51" s="1">
        <v>60</v>
      </c>
      <c r="BB51" s="1">
        <v>8</v>
      </c>
      <c r="BC51" s="1">
        <v>8</v>
      </c>
      <c r="BD51" s="1"/>
      <c r="BE51" s="54"/>
      <c r="BF51" s="6">
        <v>21</v>
      </c>
      <c r="BG51" s="6">
        <v>29</v>
      </c>
      <c r="BH51" s="6">
        <v>2</v>
      </c>
      <c r="BI51" s="6"/>
      <c r="BJ51" s="1" t="s">
        <v>22</v>
      </c>
      <c r="BK51" s="1" t="s">
        <v>22</v>
      </c>
      <c r="BL51" s="1" t="s">
        <v>22</v>
      </c>
      <c r="BM51" s="1" t="s">
        <v>22</v>
      </c>
      <c r="BN51" t="s">
        <v>24</v>
      </c>
      <c r="BO51">
        <v>1614</v>
      </c>
    </row>
    <row r="52" spans="1:67" x14ac:dyDescent="0.3">
      <c r="A52" s="4">
        <f>INT(Tabela1[[#This Row],[Data e Hora]])</f>
        <v>46225</v>
      </c>
      <c r="B52" s="4" t="str">
        <f>UPPER(TEXT(Tabela1[[#This Row],[Data Corrigida]],"MMM"))</f>
        <v>JUL</v>
      </c>
      <c r="C52" t="s">
        <v>107</v>
      </c>
      <c r="D52" t="s">
        <v>108</v>
      </c>
      <c r="E52" t="s">
        <v>109</v>
      </c>
      <c r="F52" t="s">
        <v>19</v>
      </c>
      <c r="G52" s="5" t="s">
        <v>183</v>
      </c>
      <c r="H52" t="s">
        <v>20</v>
      </c>
      <c r="I52" t="s">
        <v>33</v>
      </c>
      <c r="J52" s="1">
        <v>101</v>
      </c>
      <c r="K52" s="1">
        <v>2693</v>
      </c>
      <c r="L52" t="s">
        <v>34</v>
      </c>
      <c r="M52" s="1">
        <v>16</v>
      </c>
      <c r="N52" s="48">
        <f>Tabela1[[#This Row],[Pena após Depenadeira]]/Tabela1[[#This Row],[Velocidade (FPM)]]*100</f>
        <v>15.841584158415841</v>
      </c>
      <c r="O52" s="1">
        <v>7</v>
      </c>
      <c r="P52" s="48">
        <f>Tabela1[[#This Row],[Pena após Repasse]]/Tabela1[[#This Row],[Velocidade (FPM)]]*100</f>
        <v>6.9306930693069315</v>
      </c>
      <c r="Q52" s="1">
        <v>5</v>
      </c>
      <c r="R52" s="1"/>
      <c r="S52" s="1">
        <v>5</v>
      </c>
      <c r="T52" s="1"/>
      <c r="U52" s="1">
        <v>3</v>
      </c>
      <c r="V52" s="1"/>
      <c r="W52" s="1">
        <v>1</v>
      </c>
      <c r="X52" s="1" t="s">
        <v>22</v>
      </c>
      <c r="Y52" s="1">
        <v>3</v>
      </c>
      <c r="Z52" s="3">
        <f>IFERROR(Tabela1[[#This Row],[Retorno Pés]]/(Tabela1[[#This Row],[Velocidade (FPM)]]*2)*100,"")</f>
        <v>1.4851485148514851</v>
      </c>
      <c r="AA52" s="1">
        <v>11</v>
      </c>
      <c r="AB52" s="3">
        <v>10.891089108910892</v>
      </c>
      <c r="AC52" s="1">
        <v>2</v>
      </c>
      <c r="AD52" s="3">
        <v>1.9801980198019802</v>
      </c>
      <c r="AE52" s="1">
        <v>0</v>
      </c>
      <c r="AF52" s="3">
        <v>0</v>
      </c>
      <c r="AG52" s="1">
        <v>4</v>
      </c>
      <c r="AH52" s="3">
        <v>3.9603960396039604</v>
      </c>
      <c r="AI52" s="1" t="s">
        <v>22</v>
      </c>
      <c r="AJ52" s="1">
        <v>1</v>
      </c>
      <c r="AK52" s="3">
        <v>0.99009900990099009</v>
      </c>
      <c r="AL52" s="1">
        <v>1</v>
      </c>
      <c r="AM52" s="3">
        <v>0.99009900990099009</v>
      </c>
      <c r="AN52" s="1" t="s">
        <v>22</v>
      </c>
      <c r="AO52" s="1">
        <v>4</v>
      </c>
      <c r="AP52" s="3">
        <v>3.9603960396039604</v>
      </c>
      <c r="AQ52" s="3"/>
      <c r="AR52" s="3"/>
      <c r="AS52" s="1">
        <v>3</v>
      </c>
      <c r="AT52" s="3">
        <v>2.9702970297029703</v>
      </c>
      <c r="AU52" s="1">
        <v>0</v>
      </c>
      <c r="AV52" s="3">
        <v>0</v>
      </c>
      <c r="AW52" s="1" t="s">
        <v>22</v>
      </c>
      <c r="AX52" s="1">
        <v>18</v>
      </c>
      <c r="AY52" s="1">
        <v>0</v>
      </c>
      <c r="AZ52" s="1">
        <v>7</v>
      </c>
      <c r="BA52" s="1">
        <v>36</v>
      </c>
      <c r="BB52" s="1">
        <v>0</v>
      </c>
      <c r="BC52" s="1">
        <v>14</v>
      </c>
      <c r="BD52" s="1"/>
      <c r="BE52" s="54"/>
      <c r="BF52" s="6">
        <v>15</v>
      </c>
      <c r="BG52" s="6">
        <v>10</v>
      </c>
      <c r="BH52" s="6">
        <v>0</v>
      </c>
      <c r="BI52" s="6"/>
      <c r="BJ52" s="1" t="s">
        <v>22</v>
      </c>
      <c r="BK52" s="6">
        <v>10</v>
      </c>
      <c r="BL52" s="6">
        <v>0</v>
      </c>
      <c r="BM52" s="6">
        <v>0</v>
      </c>
      <c r="BN52" t="s">
        <v>24</v>
      </c>
      <c r="BO52">
        <v>11815</v>
      </c>
    </row>
    <row r="53" spans="1:67" x14ac:dyDescent="0.3">
      <c r="A53" s="4">
        <f>INT(Tabela1[[#This Row],[Data e Hora]])</f>
        <v>46240</v>
      </c>
      <c r="B53" s="4" t="str">
        <f>UPPER(TEXT(Tabela1[[#This Row],[Data Corrigida]],"MMM"))</f>
        <v>AGO</v>
      </c>
      <c r="C53" t="s">
        <v>226</v>
      </c>
      <c r="D53" t="s">
        <v>227</v>
      </c>
      <c r="E53" t="s">
        <v>228</v>
      </c>
      <c r="F53" t="s">
        <v>19</v>
      </c>
      <c r="G53" s="5" t="s">
        <v>220</v>
      </c>
      <c r="H53" t="s">
        <v>20</v>
      </c>
      <c r="I53" t="s">
        <v>33</v>
      </c>
      <c r="J53" s="1">
        <v>135</v>
      </c>
      <c r="K53" s="1">
        <v>3281</v>
      </c>
      <c r="L53" t="s">
        <v>34</v>
      </c>
      <c r="M53" s="1">
        <v>20</v>
      </c>
      <c r="N53" s="48">
        <f>Tabela1[[#This Row],[Pena após Depenadeira]]/Tabela1[[#This Row],[Velocidade (FPM)]]*100</f>
        <v>14.814814814814813</v>
      </c>
      <c r="O53" s="1">
        <v>12</v>
      </c>
      <c r="P53" s="48">
        <f>Tabela1[[#This Row],[Pena após Repasse]]/Tabela1[[#This Row],[Velocidade (FPM)]]*100</f>
        <v>8.8888888888888893</v>
      </c>
      <c r="Q53" s="1">
        <v>0</v>
      </c>
      <c r="R53" s="1">
        <v>0</v>
      </c>
      <c r="S53" s="1">
        <v>1</v>
      </c>
      <c r="T53" s="1">
        <v>1</v>
      </c>
      <c r="U53" s="1">
        <v>0</v>
      </c>
      <c r="V53" s="1">
        <v>0</v>
      </c>
      <c r="W53" s="1">
        <v>0</v>
      </c>
      <c r="X53" s="1">
        <v>0</v>
      </c>
      <c r="Y53" s="1">
        <v>3</v>
      </c>
      <c r="Z53" s="3">
        <v>1.1111111111111112</v>
      </c>
      <c r="AA53" s="1">
        <v>14</v>
      </c>
      <c r="AB53" s="3">
        <v>10.37037037037037</v>
      </c>
      <c r="AC53" s="1">
        <v>0</v>
      </c>
      <c r="AD53" s="3">
        <v>0</v>
      </c>
      <c r="AE53" s="1">
        <v>1</v>
      </c>
      <c r="AF53" s="3">
        <v>0.74074074074074081</v>
      </c>
      <c r="AG53" s="1">
        <v>3</v>
      </c>
      <c r="AH53" s="3">
        <v>2.2222222222222223</v>
      </c>
      <c r="AI53" s="1" t="s">
        <v>22</v>
      </c>
      <c r="AJ53" s="1">
        <v>4</v>
      </c>
      <c r="AK53" s="3">
        <v>2.9629629629629632</v>
      </c>
      <c r="AL53" s="1">
        <v>0</v>
      </c>
      <c r="AM53" s="3">
        <v>0</v>
      </c>
      <c r="AN53" s="1" t="s">
        <v>22</v>
      </c>
      <c r="AO53" s="1">
        <v>4</v>
      </c>
      <c r="AP53" s="3">
        <v>2.9629629629629632</v>
      </c>
      <c r="AQ53" s="3"/>
      <c r="AR53" s="3"/>
      <c r="AS53" s="1">
        <v>7</v>
      </c>
      <c r="AT53" s="3">
        <v>5.1851851851851851</v>
      </c>
      <c r="AU53" s="1">
        <v>0</v>
      </c>
      <c r="AV53" s="3">
        <v>0</v>
      </c>
      <c r="AW53" s="1" t="s">
        <v>22</v>
      </c>
      <c r="AX53" s="1">
        <v>14</v>
      </c>
      <c r="AY53" s="1">
        <v>0</v>
      </c>
      <c r="AZ53" s="1">
        <v>0</v>
      </c>
      <c r="BA53" s="1">
        <v>28</v>
      </c>
      <c r="BB53" s="1">
        <v>0</v>
      </c>
      <c r="BC53" s="1">
        <v>0</v>
      </c>
      <c r="BD53" s="1">
        <v>0</v>
      </c>
      <c r="BE53" s="54">
        <v>0</v>
      </c>
      <c r="BF53" s="6">
        <v>20</v>
      </c>
      <c r="BG53" s="6">
        <v>8</v>
      </c>
      <c r="BH53" s="1">
        <v>0</v>
      </c>
      <c r="BI53" s="6">
        <v>0</v>
      </c>
      <c r="BJ53" s="1" t="s">
        <v>22</v>
      </c>
      <c r="BK53" s="6">
        <v>6</v>
      </c>
      <c r="BL53" s="6">
        <v>0</v>
      </c>
      <c r="BM53" s="1">
        <v>0</v>
      </c>
      <c r="BN53" t="s">
        <v>24</v>
      </c>
      <c r="BO53">
        <v>9777</v>
      </c>
    </row>
    <row r="54" spans="1:67" x14ac:dyDescent="0.3">
      <c r="A54" s="4">
        <f>INT(Tabela1[[#This Row],[Data e Hora]])</f>
        <v>46240</v>
      </c>
      <c r="B54" s="4" t="str">
        <f>UPPER(TEXT(Tabela1[[#This Row],[Data Corrigida]],"MMM"))</f>
        <v>AGO</v>
      </c>
      <c r="C54" t="s">
        <v>229</v>
      </c>
      <c r="D54" t="s">
        <v>230</v>
      </c>
      <c r="E54" t="s">
        <v>231</v>
      </c>
      <c r="F54" t="s">
        <v>19</v>
      </c>
      <c r="G54" s="5" t="s">
        <v>220</v>
      </c>
      <c r="H54" t="s">
        <v>20</v>
      </c>
      <c r="I54" t="s">
        <v>33</v>
      </c>
      <c r="J54" s="1">
        <v>137</v>
      </c>
      <c r="K54" s="1">
        <v>3181</v>
      </c>
      <c r="L54" t="s">
        <v>34</v>
      </c>
      <c r="M54" s="1">
        <v>19</v>
      </c>
      <c r="N54" s="48">
        <f>Tabela1[[#This Row],[Pena após Depenadeira]]/Tabela1[[#This Row],[Velocidade (FPM)]]*100</f>
        <v>13.868613138686131</v>
      </c>
      <c r="O54" s="1">
        <v>14</v>
      </c>
      <c r="P54" s="48">
        <f>Tabela1[[#This Row],[Pena após Repasse]]/Tabela1[[#This Row],[Velocidade (FPM)]]*100</f>
        <v>10.218978102189782</v>
      </c>
      <c r="Q54" s="1">
        <v>0</v>
      </c>
      <c r="R54" s="1">
        <v>0</v>
      </c>
      <c r="S54" s="1">
        <v>2</v>
      </c>
      <c r="T54" s="1">
        <v>2</v>
      </c>
      <c r="U54" s="1">
        <v>0</v>
      </c>
      <c r="V54" s="1">
        <v>0</v>
      </c>
      <c r="W54" s="1">
        <v>0</v>
      </c>
      <c r="X54" s="1">
        <v>0</v>
      </c>
      <c r="Y54" s="1">
        <v>3</v>
      </c>
      <c r="Z54" s="3">
        <v>1.0948905109489051</v>
      </c>
      <c r="AA54" s="1">
        <v>8</v>
      </c>
      <c r="AB54" s="3">
        <v>5.8394160583941606</v>
      </c>
      <c r="AC54" s="1">
        <v>0</v>
      </c>
      <c r="AD54" s="3">
        <v>0</v>
      </c>
      <c r="AE54" s="1">
        <v>0</v>
      </c>
      <c r="AF54" s="3">
        <v>0</v>
      </c>
      <c r="AG54" s="1">
        <v>1</v>
      </c>
      <c r="AH54" s="3">
        <v>0.72992700729927007</v>
      </c>
      <c r="AI54" s="1" t="s">
        <v>22</v>
      </c>
      <c r="AJ54" s="1">
        <v>1</v>
      </c>
      <c r="AK54" s="3">
        <v>0.72992700729927007</v>
      </c>
      <c r="AL54" s="1">
        <v>0</v>
      </c>
      <c r="AM54" s="3">
        <v>0</v>
      </c>
      <c r="AN54" s="1" t="s">
        <v>22</v>
      </c>
      <c r="AO54" s="1">
        <v>8</v>
      </c>
      <c r="AP54" s="3">
        <v>5.8394160583941606</v>
      </c>
      <c r="AQ54" s="3"/>
      <c r="AR54" s="3"/>
      <c r="AS54" s="1">
        <v>4</v>
      </c>
      <c r="AT54" s="3">
        <v>2.9197080291970803</v>
      </c>
      <c r="AU54" s="1">
        <v>1</v>
      </c>
      <c r="AV54" s="3">
        <v>0.72992700729927007</v>
      </c>
      <c r="AW54" s="1" t="s">
        <v>22</v>
      </c>
      <c r="AX54" s="1">
        <v>6</v>
      </c>
      <c r="AY54" s="1">
        <v>0</v>
      </c>
      <c r="AZ54" s="1">
        <v>1</v>
      </c>
      <c r="BA54" s="1">
        <v>12</v>
      </c>
      <c r="BB54" s="1">
        <v>0</v>
      </c>
      <c r="BC54" s="1">
        <v>2</v>
      </c>
      <c r="BD54" s="1" t="s">
        <v>22</v>
      </c>
      <c r="BE54" s="54" t="s">
        <v>22</v>
      </c>
      <c r="BF54" s="6">
        <v>2</v>
      </c>
      <c r="BG54" s="6">
        <v>3</v>
      </c>
      <c r="BH54" s="1" t="s">
        <v>22</v>
      </c>
      <c r="BI54" s="6" t="s">
        <v>22</v>
      </c>
      <c r="BJ54" s="1" t="s">
        <v>22</v>
      </c>
      <c r="BK54" s="6">
        <v>3</v>
      </c>
      <c r="BL54" s="6">
        <v>0</v>
      </c>
      <c r="BM54" s="1" t="s">
        <v>22</v>
      </c>
      <c r="BN54" t="s">
        <v>24</v>
      </c>
      <c r="BO54">
        <v>7703</v>
      </c>
    </row>
    <row r="55" spans="1:67" x14ac:dyDescent="0.3">
      <c r="A55" s="4">
        <f>INT(Tabela1[[#This Row],[Data e Hora]])</f>
        <v>46240</v>
      </c>
      <c r="B55" s="4" t="str">
        <f>UPPER(TEXT(Tabela1[[#This Row],[Data Corrigida]],"MMM"))</f>
        <v>AGO</v>
      </c>
      <c r="C55" t="s">
        <v>232</v>
      </c>
      <c r="D55" t="s">
        <v>233</v>
      </c>
      <c r="E55" t="s">
        <v>231</v>
      </c>
      <c r="F55" t="s">
        <v>19</v>
      </c>
      <c r="G55" s="5" t="s">
        <v>220</v>
      </c>
      <c r="H55" t="s">
        <v>20</v>
      </c>
      <c r="I55" t="s">
        <v>33</v>
      </c>
      <c r="J55" s="1">
        <v>130</v>
      </c>
      <c r="K55" s="1">
        <v>3156</v>
      </c>
      <c r="L55" t="s">
        <v>34</v>
      </c>
      <c r="M55" s="1">
        <v>20</v>
      </c>
      <c r="N55" s="48">
        <f>Tabela1[[#This Row],[Pena após Depenadeira]]/Tabela1[[#This Row],[Velocidade (FPM)]]*100</f>
        <v>15.384615384615385</v>
      </c>
      <c r="O55" s="1">
        <v>6</v>
      </c>
      <c r="P55" s="48">
        <f>Tabela1[[#This Row],[Pena após Repasse]]/Tabela1[[#This Row],[Velocidade (FPM)]]*100</f>
        <v>4.6153846153846159</v>
      </c>
      <c r="Q55" s="1">
        <v>2</v>
      </c>
      <c r="R55" s="1">
        <v>20</v>
      </c>
      <c r="S55" s="1">
        <v>1</v>
      </c>
      <c r="T55" s="1">
        <v>1</v>
      </c>
      <c r="U55" s="1">
        <v>0</v>
      </c>
      <c r="V55" s="1">
        <v>0</v>
      </c>
      <c r="W55" s="1">
        <v>1</v>
      </c>
      <c r="X55" s="1">
        <v>5</v>
      </c>
      <c r="Y55" s="1">
        <v>2</v>
      </c>
      <c r="Z55" s="3">
        <v>0.76923076923076927</v>
      </c>
      <c r="AA55" s="1">
        <v>3</v>
      </c>
      <c r="AB55" s="3">
        <v>2.3076923076923079</v>
      </c>
      <c r="AC55" s="1">
        <v>0</v>
      </c>
      <c r="AD55" s="3">
        <v>0</v>
      </c>
      <c r="AE55" s="1">
        <v>0</v>
      </c>
      <c r="AF55" s="3">
        <v>0</v>
      </c>
      <c r="AG55" s="1">
        <v>3</v>
      </c>
      <c r="AH55" s="3">
        <v>2.3076923076923079</v>
      </c>
      <c r="AI55" s="1" t="s">
        <v>22</v>
      </c>
      <c r="AJ55" s="1">
        <v>4</v>
      </c>
      <c r="AK55" s="3">
        <v>3.0769230769230771</v>
      </c>
      <c r="AL55" s="1">
        <v>0</v>
      </c>
      <c r="AM55" s="3">
        <v>0</v>
      </c>
      <c r="AN55" s="1" t="s">
        <v>22</v>
      </c>
      <c r="AO55" s="1">
        <v>4</v>
      </c>
      <c r="AP55" s="3">
        <v>3.0769230769230771</v>
      </c>
      <c r="AQ55" s="3"/>
      <c r="AR55" s="3"/>
      <c r="AS55" s="1">
        <v>2</v>
      </c>
      <c r="AT55" s="3">
        <v>1.5384615384615385</v>
      </c>
      <c r="AU55" s="1">
        <v>0</v>
      </c>
      <c r="AV55" s="3">
        <v>0</v>
      </c>
      <c r="AW55" s="1" t="s">
        <v>22</v>
      </c>
      <c r="AX55" s="1">
        <v>9</v>
      </c>
      <c r="AY55" s="1">
        <v>0</v>
      </c>
      <c r="AZ55" s="1">
        <v>0</v>
      </c>
      <c r="BA55" s="1">
        <v>18</v>
      </c>
      <c r="BB55" s="1">
        <v>0</v>
      </c>
      <c r="BC55" s="1">
        <v>0</v>
      </c>
      <c r="BD55" s="1" t="s">
        <v>22</v>
      </c>
      <c r="BE55" s="54" t="s">
        <v>22</v>
      </c>
      <c r="BF55" s="6">
        <v>4</v>
      </c>
      <c r="BG55" s="6">
        <v>2</v>
      </c>
      <c r="BH55" s="1" t="s">
        <v>22</v>
      </c>
      <c r="BI55" s="6" t="s">
        <v>22</v>
      </c>
      <c r="BJ55" s="1" t="s">
        <v>22</v>
      </c>
      <c r="BK55" s="6">
        <v>1</v>
      </c>
      <c r="BL55" s="6">
        <v>0</v>
      </c>
      <c r="BM55" s="1" t="s">
        <v>22</v>
      </c>
      <c r="BN55" t="s">
        <v>24</v>
      </c>
      <c r="BO55">
        <v>6568</v>
      </c>
    </row>
    <row r="56" spans="1:67" x14ac:dyDescent="0.3">
      <c r="A56" s="4">
        <f>INT(Tabela1[[#This Row],[Data e Hora]])</f>
        <v>46240</v>
      </c>
      <c r="B56" s="4" t="str">
        <f>UPPER(TEXT(Tabela1[[#This Row],[Data Corrigida]],"MMM"))</f>
        <v>AGO</v>
      </c>
      <c r="C56" t="s">
        <v>217</v>
      </c>
      <c r="D56" t="s">
        <v>218</v>
      </c>
      <c r="E56" t="s">
        <v>219</v>
      </c>
      <c r="F56" t="s">
        <v>19</v>
      </c>
      <c r="G56" s="5" t="s">
        <v>220</v>
      </c>
      <c r="H56" t="s">
        <v>20</v>
      </c>
      <c r="I56" t="s">
        <v>21</v>
      </c>
      <c r="J56" s="1">
        <v>157</v>
      </c>
      <c r="K56" s="1">
        <v>2922</v>
      </c>
      <c r="L56" t="s">
        <v>23</v>
      </c>
      <c r="M56" s="1">
        <v>39</v>
      </c>
      <c r="N56" s="48">
        <f>Tabela1[[#This Row],[Pena após Depenadeira]]/Tabela1[[#This Row],[Velocidade (FPM)]]*100</f>
        <v>24.840764331210192</v>
      </c>
      <c r="O56" s="1">
        <v>20</v>
      </c>
      <c r="P56" s="48">
        <f>Tabela1[[#This Row],[Pena após Repasse]]/Tabela1[[#This Row],[Velocidade (FPM)]]*100</f>
        <v>12.738853503184714</v>
      </c>
      <c r="Q56" s="1">
        <v>0</v>
      </c>
      <c r="R56" s="1">
        <v>0</v>
      </c>
      <c r="S56" s="1">
        <v>1</v>
      </c>
      <c r="T56" s="1">
        <v>1</v>
      </c>
      <c r="U56" s="1">
        <v>1</v>
      </c>
      <c r="V56" s="1">
        <v>1</v>
      </c>
      <c r="W56" s="1">
        <v>0</v>
      </c>
      <c r="X56" s="1">
        <v>0</v>
      </c>
      <c r="Y56" s="1">
        <v>2</v>
      </c>
      <c r="Z56" s="3">
        <v>0.63694267515923575</v>
      </c>
      <c r="AA56" s="1">
        <v>4</v>
      </c>
      <c r="AB56" s="3">
        <v>2.547770700636943</v>
      </c>
      <c r="AC56" s="1">
        <v>1</v>
      </c>
      <c r="AD56" s="3">
        <v>0.63694267515923575</v>
      </c>
      <c r="AE56" s="1">
        <v>4</v>
      </c>
      <c r="AF56" s="3">
        <v>2.547770700636943</v>
      </c>
      <c r="AG56" s="1">
        <v>6</v>
      </c>
      <c r="AH56" s="3">
        <v>3.8216560509554141</v>
      </c>
      <c r="AI56" s="1" t="s">
        <v>22</v>
      </c>
      <c r="AJ56" s="1">
        <v>2</v>
      </c>
      <c r="AK56" s="3">
        <v>1.2738853503184715</v>
      </c>
      <c r="AL56" s="1">
        <v>1</v>
      </c>
      <c r="AM56" s="3">
        <v>0.63694267515923575</v>
      </c>
      <c r="AN56" s="1" t="s">
        <v>22</v>
      </c>
      <c r="AO56" s="1">
        <v>3</v>
      </c>
      <c r="AP56" s="3">
        <v>1.910828025477707</v>
      </c>
      <c r="AQ56" s="3"/>
      <c r="AR56" s="3"/>
      <c r="AS56" s="1">
        <v>6</v>
      </c>
      <c r="AT56" s="3">
        <v>3.8216560509554141</v>
      </c>
      <c r="AU56" s="1">
        <v>0</v>
      </c>
      <c r="AV56" s="3">
        <v>0</v>
      </c>
      <c r="AW56" s="1" t="s">
        <v>22</v>
      </c>
      <c r="AX56" s="1">
        <v>21</v>
      </c>
      <c r="AY56" s="1">
        <v>0</v>
      </c>
      <c r="AZ56" s="1">
        <v>0</v>
      </c>
      <c r="BA56" s="1">
        <v>42</v>
      </c>
      <c r="BB56" s="1">
        <v>0</v>
      </c>
      <c r="BC56" s="1">
        <v>0</v>
      </c>
      <c r="BD56" s="1" t="s">
        <v>22</v>
      </c>
      <c r="BE56" s="54" t="s">
        <v>22</v>
      </c>
      <c r="BF56" s="6">
        <v>27</v>
      </c>
      <c r="BG56" s="6">
        <v>34</v>
      </c>
      <c r="BH56" s="1">
        <v>1</v>
      </c>
      <c r="BI56" s="6" t="s">
        <v>22</v>
      </c>
      <c r="BJ56" s="1" t="s">
        <v>22</v>
      </c>
      <c r="BK56" s="1" t="s">
        <v>22</v>
      </c>
      <c r="BL56" s="1" t="s">
        <v>22</v>
      </c>
      <c r="BM56" s="1" t="s">
        <v>22</v>
      </c>
      <c r="BN56" t="s">
        <v>22</v>
      </c>
      <c r="BO56">
        <v>2240</v>
      </c>
    </row>
    <row r="57" spans="1:67" x14ac:dyDescent="0.3">
      <c r="A57" s="4">
        <f>INT(Tabela1[[#This Row],[Data e Hora]])</f>
        <v>46240</v>
      </c>
      <c r="B57" s="4" t="str">
        <f>UPPER(TEXT(Tabela1[[#This Row],[Data Corrigida]],"MMM"))</f>
        <v>AGO</v>
      </c>
      <c r="C57" t="s">
        <v>221</v>
      </c>
      <c r="D57" t="s">
        <v>222</v>
      </c>
      <c r="E57" t="s">
        <v>223</v>
      </c>
      <c r="F57" t="s">
        <v>19</v>
      </c>
      <c r="G57" s="5" t="s">
        <v>220</v>
      </c>
      <c r="H57" t="s">
        <v>20</v>
      </c>
      <c r="I57" t="s">
        <v>21</v>
      </c>
      <c r="J57" s="1">
        <v>161</v>
      </c>
      <c r="K57" s="1">
        <v>2922</v>
      </c>
      <c r="L57" t="s">
        <v>23</v>
      </c>
      <c r="M57" s="1">
        <v>44</v>
      </c>
      <c r="N57" s="48">
        <f>Tabela1[[#This Row],[Pena após Depenadeira]]/Tabela1[[#This Row],[Velocidade (FPM)]]*100</f>
        <v>27.329192546583851</v>
      </c>
      <c r="O57" s="1">
        <v>23</v>
      </c>
      <c r="P57" s="48">
        <f>Tabela1[[#This Row],[Pena após Repasse]]/Tabela1[[#This Row],[Velocidade (FPM)]]*100</f>
        <v>14.285714285714285</v>
      </c>
      <c r="Q57" s="1">
        <v>0</v>
      </c>
      <c r="R57" s="1">
        <v>0</v>
      </c>
      <c r="S57" s="1">
        <v>1</v>
      </c>
      <c r="T57" s="1">
        <v>1</v>
      </c>
      <c r="U57" s="1">
        <v>1</v>
      </c>
      <c r="V57" s="1">
        <v>1</v>
      </c>
      <c r="W57" s="1">
        <v>0</v>
      </c>
      <c r="X57" s="1">
        <v>0</v>
      </c>
      <c r="Y57" s="1">
        <v>2</v>
      </c>
      <c r="Z57" s="3">
        <v>0.6211180124223602</v>
      </c>
      <c r="AA57" s="1">
        <v>4</v>
      </c>
      <c r="AB57" s="3">
        <v>2.4844720496894408</v>
      </c>
      <c r="AC57" s="1">
        <v>0</v>
      </c>
      <c r="AD57" s="3">
        <v>0</v>
      </c>
      <c r="AE57" s="1">
        <v>4</v>
      </c>
      <c r="AF57" s="3">
        <v>2.4844720496894408</v>
      </c>
      <c r="AG57" s="1">
        <v>8</v>
      </c>
      <c r="AH57" s="3">
        <v>4.9689440993788816</v>
      </c>
      <c r="AI57" s="1" t="s">
        <v>22</v>
      </c>
      <c r="AJ57" s="1">
        <v>3</v>
      </c>
      <c r="AK57" s="3">
        <v>1.8633540372670807</v>
      </c>
      <c r="AL57" s="1">
        <v>2</v>
      </c>
      <c r="AM57" s="3">
        <v>1.2422360248447204</v>
      </c>
      <c r="AN57" s="1" t="s">
        <v>22</v>
      </c>
      <c r="AO57" s="1">
        <v>5</v>
      </c>
      <c r="AP57" s="3">
        <v>3.1055900621118013</v>
      </c>
      <c r="AQ57" s="3"/>
      <c r="AR57" s="3"/>
      <c r="AS57" s="1">
        <v>6</v>
      </c>
      <c r="AT57" s="3">
        <v>3.7267080745341614</v>
      </c>
      <c r="AU57" s="1">
        <v>0</v>
      </c>
      <c r="AV57" s="3">
        <v>0</v>
      </c>
      <c r="AW57" s="1" t="s">
        <v>22</v>
      </c>
      <c r="AX57" s="1">
        <v>17</v>
      </c>
      <c r="AY57" s="1">
        <v>0</v>
      </c>
      <c r="AZ57" s="1">
        <v>0</v>
      </c>
      <c r="BA57" s="1">
        <v>34</v>
      </c>
      <c r="BB57" s="1">
        <v>0</v>
      </c>
      <c r="BC57" s="1">
        <v>0</v>
      </c>
      <c r="BD57" s="1" t="s">
        <v>22</v>
      </c>
      <c r="BE57" s="54" t="s">
        <v>22</v>
      </c>
      <c r="BF57" s="6">
        <v>25</v>
      </c>
      <c r="BG57" s="6">
        <v>29</v>
      </c>
      <c r="BH57" s="1">
        <v>1</v>
      </c>
      <c r="BI57" s="6" t="s">
        <v>22</v>
      </c>
      <c r="BJ57" s="1" t="s">
        <v>22</v>
      </c>
      <c r="BK57" s="1" t="s">
        <v>22</v>
      </c>
      <c r="BL57" s="1" t="s">
        <v>22</v>
      </c>
      <c r="BM57" s="1" t="s">
        <v>22</v>
      </c>
      <c r="BN57" t="s">
        <v>22</v>
      </c>
      <c r="BO57">
        <v>2942</v>
      </c>
    </row>
    <row r="58" spans="1:67" x14ac:dyDescent="0.3">
      <c r="A58" s="4">
        <f>INT(Tabela1[[#This Row],[Data e Hora]])</f>
        <v>46240</v>
      </c>
      <c r="B58" s="4" t="str">
        <f>UPPER(TEXT(Tabela1[[#This Row],[Data Corrigida]],"MMM"))</f>
        <v>AGO</v>
      </c>
      <c r="C58" t="s">
        <v>224</v>
      </c>
      <c r="D58" t="s">
        <v>225</v>
      </c>
      <c r="E58" t="s">
        <v>223</v>
      </c>
      <c r="F58" t="s">
        <v>19</v>
      </c>
      <c r="G58" s="5" t="s">
        <v>220</v>
      </c>
      <c r="H58" t="s">
        <v>20</v>
      </c>
      <c r="I58" t="s">
        <v>21</v>
      </c>
      <c r="J58" s="1">
        <v>151</v>
      </c>
      <c r="K58" s="1">
        <v>2990</v>
      </c>
      <c r="L58" t="s">
        <v>23</v>
      </c>
      <c r="M58" s="1">
        <v>47</v>
      </c>
      <c r="N58" s="48">
        <f>Tabela1[[#This Row],[Pena após Depenadeira]]/Tabela1[[#This Row],[Velocidade (FPM)]]*100</f>
        <v>31.125827814569533</v>
      </c>
      <c r="O58" s="1">
        <v>25</v>
      </c>
      <c r="P58" s="48">
        <f>Tabela1[[#This Row],[Pena após Repasse]]/Tabela1[[#This Row],[Velocidade (FPM)]]*100</f>
        <v>16.556291390728479</v>
      </c>
      <c r="Q58" s="1">
        <v>0</v>
      </c>
      <c r="R58" s="1">
        <v>0</v>
      </c>
      <c r="S58" s="1">
        <v>1</v>
      </c>
      <c r="T58" s="1">
        <v>1</v>
      </c>
      <c r="U58" s="1">
        <v>1</v>
      </c>
      <c r="V58" s="1">
        <v>1</v>
      </c>
      <c r="W58" s="1">
        <v>0</v>
      </c>
      <c r="X58" s="1">
        <v>0</v>
      </c>
      <c r="Y58" s="1">
        <v>2</v>
      </c>
      <c r="Z58" s="3">
        <v>0.66225165562913912</v>
      </c>
      <c r="AA58" s="1">
        <v>4</v>
      </c>
      <c r="AB58" s="3">
        <v>2.6490066225165565</v>
      </c>
      <c r="AC58" s="1">
        <v>0</v>
      </c>
      <c r="AD58" s="3">
        <v>0</v>
      </c>
      <c r="AE58" s="1">
        <v>1</v>
      </c>
      <c r="AF58" s="3">
        <v>0.66225165562913912</v>
      </c>
      <c r="AG58" s="1">
        <v>4</v>
      </c>
      <c r="AH58" s="3">
        <v>2.6490066225165565</v>
      </c>
      <c r="AI58" s="1" t="s">
        <v>22</v>
      </c>
      <c r="AJ58" s="1">
        <v>2</v>
      </c>
      <c r="AK58" s="3">
        <v>1.3245033112582782</v>
      </c>
      <c r="AL58" s="1">
        <v>2</v>
      </c>
      <c r="AM58" s="3">
        <v>1.3245033112582782</v>
      </c>
      <c r="AN58" s="1" t="s">
        <v>22</v>
      </c>
      <c r="AO58" s="1">
        <v>6</v>
      </c>
      <c r="AP58" s="3">
        <v>3.9735099337748347</v>
      </c>
      <c r="AQ58" s="3"/>
      <c r="AR58" s="3"/>
      <c r="AS58" s="1">
        <v>7</v>
      </c>
      <c r="AT58" s="3">
        <v>4.6357615894039732</v>
      </c>
      <c r="AU58" s="1">
        <v>1</v>
      </c>
      <c r="AV58" s="3">
        <v>0.66225165562913912</v>
      </c>
      <c r="AW58" s="1" t="s">
        <v>22</v>
      </c>
      <c r="AX58" s="1">
        <v>15</v>
      </c>
      <c r="AY58" s="1">
        <v>0</v>
      </c>
      <c r="AZ58" s="1">
        <v>0</v>
      </c>
      <c r="BA58" s="1">
        <v>30</v>
      </c>
      <c r="BB58" s="1">
        <v>0</v>
      </c>
      <c r="BC58" s="1">
        <v>0</v>
      </c>
      <c r="BD58" s="1" t="s">
        <v>22</v>
      </c>
      <c r="BE58" s="54" t="s">
        <v>22</v>
      </c>
      <c r="BF58" s="6">
        <v>25</v>
      </c>
      <c r="BG58" s="6">
        <v>27</v>
      </c>
      <c r="BH58" s="1">
        <v>1</v>
      </c>
      <c r="BI58" s="6" t="s">
        <v>22</v>
      </c>
      <c r="BJ58" s="1" t="s">
        <v>22</v>
      </c>
      <c r="BK58" s="1" t="s">
        <v>22</v>
      </c>
      <c r="BL58" s="1" t="s">
        <v>22</v>
      </c>
      <c r="BM58" s="1" t="s">
        <v>22</v>
      </c>
      <c r="BN58" t="s">
        <v>24</v>
      </c>
      <c r="BO58">
        <v>2030</v>
      </c>
    </row>
    <row r="59" spans="1:67" x14ac:dyDescent="0.3">
      <c r="A59" s="4">
        <f>INT(Tabela1[[#This Row],[Data e Hora]])</f>
        <v>46239</v>
      </c>
      <c r="B59" s="4" t="str">
        <f>UPPER(TEXT(Tabela1[[#This Row],[Data Corrigida]],"MMM"))</f>
        <v>AGO</v>
      </c>
      <c r="C59" t="s">
        <v>207</v>
      </c>
      <c r="D59" t="s">
        <v>208</v>
      </c>
      <c r="E59" t="s">
        <v>209</v>
      </c>
      <c r="F59" t="s">
        <v>19</v>
      </c>
      <c r="G59" s="5" t="s">
        <v>149</v>
      </c>
      <c r="H59" t="s">
        <v>20</v>
      </c>
      <c r="I59" t="s">
        <v>33</v>
      </c>
      <c r="J59" s="1">
        <v>146</v>
      </c>
      <c r="K59" s="1">
        <v>3313</v>
      </c>
      <c r="L59" t="s">
        <v>34</v>
      </c>
      <c r="M59" s="1">
        <v>18</v>
      </c>
      <c r="N59" s="48">
        <f>Tabela1[[#This Row],[Pena após Depenadeira]]/Tabela1[[#This Row],[Velocidade (FPM)]]*100</f>
        <v>12.328767123287671</v>
      </c>
      <c r="O59" s="1">
        <v>5</v>
      </c>
      <c r="P59" s="48">
        <f>Tabela1[[#This Row],[Pena após Repasse]]/Tabela1[[#This Row],[Velocidade (FPM)]]*100</f>
        <v>3.4246575342465753</v>
      </c>
      <c r="Q59" s="1">
        <v>3</v>
      </c>
      <c r="R59" s="1">
        <v>30</v>
      </c>
      <c r="S59" s="1">
        <v>2</v>
      </c>
      <c r="T59" s="1">
        <v>2</v>
      </c>
      <c r="U59" s="1">
        <v>0</v>
      </c>
      <c r="V59" s="1">
        <v>0</v>
      </c>
      <c r="W59" s="1">
        <v>2</v>
      </c>
      <c r="X59" s="1">
        <v>10</v>
      </c>
      <c r="Y59" s="1">
        <v>5</v>
      </c>
      <c r="Z59" s="3">
        <v>1.7123287671232876</v>
      </c>
      <c r="AA59" s="1">
        <v>12</v>
      </c>
      <c r="AB59" s="3">
        <v>8.2191780821917799</v>
      </c>
      <c r="AC59" s="1">
        <v>0</v>
      </c>
      <c r="AD59" s="3">
        <v>0</v>
      </c>
      <c r="AE59" s="1">
        <v>0</v>
      </c>
      <c r="AF59" s="3">
        <v>0</v>
      </c>
      <c r="AG59" s="1">
        <v>4</v>
      </c>
      <c r="AH59" s="3">
        <v>2.7397260273972601</v>
      </c>
      <c r="AI59" s="1" t="s">
        <v>22</v>
      </c>
      <c r="AJ59" s="1">
        <v>3</v>
      </c>
      <c r="AK59" s="3">
        <v>2.054794520547945</v>
      </c>
      <c r="AL59" s="1">
        <v>0</v>
      </c>
      <c r="AM59" s="3">
        <v>0</v>
      </c>
      <c r="AN59" s="1" t="s">
        <v>22</v>
      </c>
      <c r="AO59" s="1">
        <v>3</v>
      </c>
      <c r="AP59" s="3">
        <v>2.054794520547945</v>
      </c>
      <c r="AQ59" s="3"/>
      <c r="AR59" s="3"/>
      <c r="AS59" s="1">
        <v>3</v>
      </c>
      <c r="AT59" s="3">
        <v>2.054794520547945</v>
      </c>
      <c r="AU59" s="1">
        <v>2</v>
      </c>
      <c r="AV59" s="3">
        <v>1.3698630136986301</v>
      </c>
      <c r="AW59" s="1" t="s">
        <v>22</v>
      </c>
      <c r="AX59" s="1">
        <v>8</v>
      </c>
      <c r="AY59" s="1">
        <v>0</v>
      </c>
      <c r="AZ59" s="1">
        <v>0</v>
      </c>
      <c r="BA59" s="1">
        <v>16</v>
      </c>
      <c r="BB59" s="1">
        <v>0</v>
      </c>
      <c r="BC59" s="1">
        <v>0</v>
      </c>
      <c r="BD59" s="1" t="s">
        <v>22</v>
      </c>
      <c r="BE59" s="54" t="s">
        <v>22</v>
      </c>
      <c r="BF59" s="6">
        <v>9</v>
      </c>
      <c r="BG59" s="6">
        <v>4</v>
      </c>
      <c r="BH59" s="1">
        <v>0</v>
      </c>
      <c r="BI59" s="6" t="s">
        <v>22</v>
      </c>
      <c r="BJ59" s="1" t="s">
        <v>22</v>
      </c>
      <c r="BK59" s="6">
        <v>3</v>
      </c>
      <c r="BL59" s="6">
        <v>0</v>
      </c>
      <c r="BM59" s="1">
        <v>0</v>
      </c>
      <c r="BN59" t="s">
        <v>24</v>
      </c>
      <c r="BO59">
        <v>6570</v>
      </c>
    </row>
    <row r="60" spans="1:67" x14ac:dyDescent="0.3">
      <c r="A60" s="4">
        <f>INT(Tabela1[[#This Row],[Data e Hora]])</f>
        <v>46239</v>
      </c>
      <c r="B60" s="4" t="str">
        <f>UPPER(TEXT(Tabela1[[#This Row],[Data Corrigida]],"MMM"))</f>
        <v>AGO</v>
      </c>
      <c r="C60" t="s">
        <v>210</v>
      </c>
      <c r="D60" t="s">
        <v>211</v>
      </c>
      <c r="E60" t="s">
        <v>212</v>
      </c>
      <c r="F60" t="s">
        <v>19</v>
      </c>
      <c r="G60" s="5" t="s">
        <v>149</v>
      </c>
      <c r="H60" t="s">
        <v>20</v>
      </c>
      <c r="I60" t="s">
        <v>33</v>
      </c>
      <c r="J60" s="1">
        <v>146</v>
      </c>
      <c r="K60" s="1">
        <v>4634</v>
      </c>
      <c r="L60" t="s">
        <v>34</v>
      </c>
      <c r="M60" s="1">
        <v>16</v>
      </c>
      <c r="N60" s="48">
        <f>Tabela1[[#This Row],[Pena após Depenadeira]]/Tabela1[[#This Row],[Velocidade (FPM)]]*100</f>
        <v>10.95890410958904</v>
      </c>
      <c r="O60" s="1">
        <v>10</v>
      </c>
      <c r="P60" s="48">
        <f>Tabela1[[#This Row],[Pena após Repasse]]/Tabela1[[#This Row],[Velocidade (FPM)]]*100</f>
        <v>6.8493150684931505</v>
      </c>
      <c r="Q60" s="1">
        <v>2</v>
      </c>
      <c r="R60" s="1">
        <v>20</v>
      </c>
      <c r="S60" s="1">
        <v>0</v>
      </c>
      <c r="T60" s="1">
        <v>0</v>
      </c>
      <c r="U60" s="1">
        <v>0</v>
      </c>
      <c r="V60" s="1">
        <v>0</v>
      </c>
      <c r="W60" s="1">
        <v>3</v>
      </c>
      <c r="X60" s="1">
        <v>15</v>
      </c>
      <c r="Y60" s="1">
        <v>3</v>
      </c>
      <c r="Z60" s="3">
        <v>1.0273972602739725</v>
      </c>
      <c r="AA60" s="1">
        <v>6</v>
      </c>
      <c r="AB60" s="3">
        <v>4.10958904109589</v>
      </c>
      <c r="AC60" s="1">
        <v>0</v>
      </c>
      <c r="AD60" s="3">
        <v>0</v>
      </c>
      <c r="AE60" s="1">
        <v>2</v>
      </c>
      <c r="AF60" s="3">
        <v>1.3698630136986301</v>
      </c>
      <c r="AG60" s="1">
        <v>4</v>
      </c>
      <c r="AH60" s="3">
        <v>2.7397260273972601</v>
      </c>
      <c r="AI60" s="1" t="s">
        <v>22</v>
      </c>
      <c r="AJ60" s="1">
        <v>0</v>
      </c>
      <c r="AK60" s="3">
        <v>0</v>
      </c>
      <c r="AL60" s="1">
        <v>0</v>
      </c>
      <c r="AM60" s="3">
        <v>0</v>
      </c>
      <c r="AN60" s="1" t="s">
        <v>22</v>
      </c>
      <c r="AO60" s="1">
        <v>3</v>
      </c>
      <c r="AP60" s="3">
        <v>2.054794520547945</v>
      </c>
      <c r="AQ60" s="3"/>
      <c r="AR60" s="3"/>
      <c r="AS60" s="1">
        <v>2</v>
      </c>
      <c r="AT60" s="3">
        <v>1.3698630136986301</v>
      </c>
      <c r="AU60" s="1">
        <v>0</v>
      </c>
      <c r="AV60" s="3">
        <v>0</v>
      </c>
      <c r="AW60" s="1" t="s">
        <v>22</v>
      </c>
      <c r="AX60" s="1">
        <v>8</v>
      </c>
      <c r="AY60" s="1">
        <v>1</v>
      </c>
      <c r="AZ60" s="1">
        <v>1</v>
      </c>
      <c r="BA60" s="1">
        <v>16</v>
      </c>
      <c r="BB60" s="1">
        <v>2</v>
      </c>
      <c r="BC60" s="1">
        <v>2</v>
      </c>
      <c r="BD60" s="1" t="s">
        <v>22</v>
      </c>
      <c r="BE60" s="54" t="s">
        <v>22</v>
      </c>
      <c r="BF60" s="6">
        <v>3</v>
      </c>
      <c r="BG60" s="6">
        <v>4</v>
      </c>
      <c r="BH60" s="1">
        <v>0</v>
      </c>
      <c r="BI60" s="6" t="s">
        <v>22</v>
      </c>
      <c r="BJ60" s="1" t="s">
        <v>22</v>
      </c>
      <c r="BK60" s="6">
        <v>2</v>
      </c>
      <c r="BL60" s="6">
        <v>0</v>
      </c>
      <c r="BM60" s="1">
        <v>0</v>
      </c>
      <c r="BN60" t="s">
        <v>24</v>
      </c>
      <c r="BO60">
        <v>11872</v>
      </c>
    </row>
    <row r="61" spans="1:67" x14ac:dyDescent="0.3">
      <c r="A61" s="4">
        <f>INT(Tabela1[[#This Row],[Data e Hora]])</f>
        <v>46239</v>
      </c>
      <c r="B61" s="4" t="str">
        <f>UPPER(TEXT(Tabela1[[#This Row],[Data Corrigida]],"MMM"))</f>
        <v>AGO</v>
      </c>
      <c r="C61" t="s">
        <v>213</v>
      </c>
      <c r="D61" t="s">
        <v>214</v>
      </c>
      <c r="E61" t="s">
        <v>212</v>
      </c>
      <c r="F61" t="s">
        <v>19</v>
      </c>
      <c r="G61" s="5" t="s">
        <v>149</v>
      </c>
      <c r="H61" t="s">
        <v>20</v>
      </c>
      <c r="I61" t="s">
        <v>33</v>
      </c>
      <c r="J61" s="1">
        <v>109</v>
      </c>
      <c r="K61" s="1">
        <v>3095</v>
      </c>
      <c r="L61" t="s">
        <v>34</v>
      </c>
      <c r="M61" s="1">
        <v>12</v>
      </c>
      <c r="N61" s="48">
        <f>Tabela1[[#This Row],[Pena após Depenadeira]]/Tabela1[[#This Row],[Velocidade (FPM)]]*100</f>
        <v>11.009174311926607</v>
      </c>
      <c r="O61" s="1">
        <v>6</v>
      </c>
      <c r="P61" s="48">
        <f>Tabela1[[#This Row],[Pena após Repasse]]/Tabela1[[#This Row],[Velocidade (FPM)]]*100</f>
        <v>5.5045871559633035</v>
      </c>
      <c r="Q61" s="1">
        <v>3</v>
      </c>
      <c r="R61" s="1">
        <v>30</v>
      </c>
      <c r="S61" s="1">
        <v>2</v>
      </c>
      <c r="T61" s="1">
        <v>2</v>
      </c>
      <c r="U61" s="1">
        <v>0</v>
      </c>
      <c r="V61" s="1">
        <v>0</v>
      </c>
      <c r="W61" s="1">
        <v>0</v>
      </c>
      <c r="X61" s="1">
        <v>0</v>
      </c>
      <c r="Y61" s="1">
        <v>2</v>
      </c>
      <c r="Z61" s="3">
        <v>0.91743119266055051</v>
      </c>
      <c r="AA61" s="1">
        <v>5</v>
      </c>
      <c r="AB61" s="3">
        <v>4.5871559633027523</v>
      </c>
      <c r="AC61" s="1">
        <v>0</v>
      </c>
      <c r="AD61" s="3">
        <v>0</v>
      </c>
      <c r="AE61" s="1">
        <v>0</v>
      </c>
      <c r="AF61" s="3">
        <v>0</v>
      </c>
      <c r="AG61" s="1">
        <v>0</v>
      </c>
      <c r="AH61" s="3">
        <v>0</v>
      </c>
      <c r="AI61" s="1" t="s">
        <v>22</v>
      </c>
      <c r="AJ61" s="1">
        <v>0</v>
      </c>
      <c r="AK61" s="3">
        <v>0</v>
      </c>
      <c r="AL61" s="1">
        <v>0</v>
      </c>
      <c r="AM61" s="3">
        <v>0</v>
      </c>
      <c r="AN61" s="1" t="s">
        <v>22</v>
      </c>
      <c r="AO61" s="1">
        <v>5</v>
      </c>
      <c r="AP61" s="3">
        <v>4.5871559633027523</v>
      </c>
      <c r="AQ61" s="3"/>
      <c r="AR61" s="3"/>
      <c r="AS61" s="1">
        <v>4</v>
      </c>
      <c r="AT61" s="3">
        <v>3.669724770642202</v>
      </c>
      <c r="AU61" s="1">
        <v>0</v>
      </c>
      <c r="AV61" s="3">
        <v>0</v>
      </c>
      <c r="AW61" s="1" t="s">
        <v>22</v>
      </c>
      <c r="AX61" s="1">
        <v>7</v>
      </c>
      <c r="AY61" s="1">
        <v>0</v>
      </c>
      <c r="AZ61" s="1">
        <v>2</v>
      </c>
      <c r="BA61" s="1">
        <v>14</v>
      </c>
      <c r="BB61" s="1">
        <v>0</v>
      </c>
      <c r="BC61" s="1">
        <v>4</v>
      </c>
      <c r="BD61" s="1" t="s">
        <v>22</v>
      </c>
      <c r="BE61" s="54" t="s">
        <v>22</v>
      </c>
      <c r="BF61" s="6">
        <v>9</v>
      </c>
      <c r="BG61" s="6">
        <v>4</v>
      </c>
      <c r="BH61" s="1">
        <v>0</v>
      </c>
      <c r="BI61" s="6" t="s">
        <v>22</v>
      </c>
      <c r="BJ61" s="1" t="s">
        <v>22</v>
      </c>
      <c r="BK61" s="6">
        <v>4</v>
      </c>
      <c r="BL61" s="6">
        <v>0</v>
      </c>
      <c r="BM61" s="1">
        <v>0</v>
      </c>
      <c r="BN61" t="s">
        <v>24</v>
      </c>
      <c r="BO61">
        <v>10667</v>
      </c>
    </row>
    <row r="62" spans="1:67" x14ac:dyDescent="0.3">
      <c r="A62" s="4">
        <f>INT(Tabela1[[#This Row],[Data e Hora]])</f>
        <v>46239</v>
      </c>
      <c r="B62" s="4" t="str">
        <f>UPPER(TEXT(Tabela1[[#This Row],[Data Corrigida]],"MMM"))</f>
        <v>AGO</v>
      </c>
      <c r="C62" t="s">
        <v>146</v>
      </c>
      <c r="D62" t="s">
        <v>147</v>
      </c>
      <c r="E62" t="s">
        <v>148</v>
      </c>
      <c r="F62" t="s">
        <v>19</v>
      </c>
      <c r="G62" s="5" t="s">
        <v>149</v>
      </c>
      <c r="H62" t="s">
        <v>20</v>
      </c>
      <c r="I62" t="s">
        <v>21</v>
      </c>
      <c r="J62" s="1">
        <v>156</v>
      </c>
      <c r="K62" s="1">
        <v>3153</v>
      </c>
      <c r="L62" t="s">
        <v>23</v>
      </c>
      <c r="M62" s="1">
        <v>27</v>
      </c>
      <c r="N62" s="48">
        <f>Tabela1[[#This Row],[Pena após Depenadeira]]/Tabela1[[#This Row],[Velocidade (FPM)]]*100</f>
        <v>17.307692307692307</v>
      </c>
      <c r="O62" s="1">
        <v>12</v>
      </c>
      <c r="P62" s="48">
        <f>Tabela1[[#This Row],[Pena após Repasse]]/Tabela1[[#This Row],[Velocidade (FPM)]]*100</f>
        <v>7.6923076923076925</v>
      </c>
      <c r="Q62" s="1">
        <v>0</v>
      </c>
      <c r="R62" s="1" t="s">
        <v>22</v>
      </c>
      <c r="S62" s="1">
        <v>2</v>
      </c>
      <c r="T62" s="1" t="s">
        <v>22</v>
      </c>
      <c r="U62" s="1">
        <v>0</v>
      </c>
      <c r="V62" s="1" t="s">
        <v>22</v>
      </c>
      <c r="W62" s="1">
        <v>0</v>
      </c>
      <c r="X62" s="1" t="s">
        <v>22</v>
      </c>
      <c r="Y62" s="1">
        <v>3</v>
      </c>
      <c r="Z62" s="3" t="s">
        <v>22</v>
      </c>
      <c r="AA62" s="1">
        <v>11</v>
      </c>
      <c r="AB62" s="3">
        <v>7.0512820512820511</v>
      </c>
      <c r="AC62" s="1">
        <v>1</v>
      </c>
      <c r="AD62" s="3">
        <v>0.64102564102564097</v>
      </c>
      <c r="AE62" s="1">
        <v>1</v>
      </c>
      <c r="AF62" s="3">
        <v>0.64102564102564097</v>
      </c>
      <c r="AG62" s="1">
        <v>7</v>
      </c>
      <c r="AH62" s="3">
        <v>4.4871794871794872</v>
      </c>
      <c r="AI62" s="1" t="s">
        <v>22</v>
      </c>
      <c r="AJ62" s="1">
        <v>3</v>
      </c>
      <c r="AK62" s="3">
        <v>1.9230769230769231</v>
      </c>
      <c r="AL62" s="1">
        <v>2</v>
      </c>
      <c r="AM62" s="3">
        <v>1.2820512820512819</v>
      </c>
      <c r="AN62" s="1" t="s">
        <v>22</v>
      </c>
      <c r="AO62" s="1">
        <v>15</v>
      </c>
      <c r="AP62" s="3">
        <v>9.6153846153846168</v>
      </c>
      <c r="AQ62" s="3"/>
      <c r="AR62" s="3"/>
      <c r="AS62" s="1">
        <v>5</v>
      </c>
      <c r="AT62" s="3">
        <v>3.2051282051282048</v>
      </c>
      <c r="AU62" s="1">
        <v>1</v>
      </c>
      <c r="AV62" s="3">
        <v>0.64102564102564097</v>
      </c>
      <c r="AW62" s="1" t="s">
        <v>22</v>
      </c>
      <c r="AX62" s="1">
        <v>18</v>
      </c>
      <c r="AY62" s="1">
        <v>0</v>
      </c>
      <c r="AZ62" s="1">
        <v>0</v>
      </c>
      <c r="BA62" s="1">
        <v>36</v>
      </c>
      <c r="BB62" s="1">
        <v>0</v>
      </c>
      <c r="BC62" s="1">
        <v>0</v>
      </c>
      <c r="BD62" s="1" t="s">
        <v>22</v>
      </c>
      <c r="BE62" s="54" t="s">
        <v>22</v>
      </c>
      <c r="BF62" s="6">
        <v>25</v>
      </c>
      <c r="BG62" s="6">
        <v>37</v>
      </c>
      <c r="BH62" s="1">
        <v>2</v>
      </c>
      <c r="BI62" s="6" t="s">
        <v>22</v>
      </c>
      <c r="BJ62" s="1" t="s">
        <v>22</v>
      </c>
      <c r="BK62" s="1" t="s">
        <v>22</v>
      </c>
      <c r="BL62" s="1" t="s">
        <v>22</v>
      </c>
      <c r="BM62" s="1" t="s">
        <v>22</v>
      </c>
      <c r="BN62" t="s">
        <v>24</v>
      </c>
      <c r="BO62">
        <v>2496</v>
      </c>
    </row>
    <row r="63" spans="1:67" x14ac:dyDescent="0.3">
      <c r="A63" s="4">
        <f>INT(Tabela1[[#This Row],[Data e Hora]])</f>
        <v>46239</v>
      </c>
      <c r="B63" s="4" t="str">
        <f>UPPER(TEXT(Tabela1[[#This Row],[Data Corrigida]],"MMM"))</f>
        <v>AGO</v>
      </c>
      <c r="C63" t="s">
        <v>150</v>
      </c>
      <c r="D63" t="s">
        <v>151</v>
      </c>
      <c r="E63" t="s">
        <v>148</v>
      </c>
      <c r="F63" t="s">
        <v>19</v>
      </c>
      <c r="G63" s="5" t="s">
        <v>149</v>
      </c>
      <c r="H63" t="s">
        <v>20</v>
      </c>
      <c r="I63" t="s">
        <v>21</v>
      </c>
      <c r="J63" s="1">
        <v>161</v>
      </c>
      <c r="K63" s="1">
        <v>3083</v>
      </c>
      <c r="L63" t="s">
        <v>23</v>
      </c>
      <c r="M63" s="1">
        <v>30</v>
      </c>
      <c r="N63" s="48">
        <f>Tabela1[[#This Row],[Pena após Depenadeira]]/Tabela1[[#This Row],[Velocidade (FPM)]]*100</f>
        <v>18.633540372670808</v>
      </c>
      <c r="O63" s="1">
        <v>17</v>
      </c>
      <c r="P63" s="48">
        <f>Tabela1[[#This Row],[Pena após Repasse]]/Tabela1[[#This Row],[Velocidade (FPM)]]*100</f>
        <v>10.559006211180124</v>
      </c>
      <c r="Q63" s="1">
        <v>0</v>
      </c>
      <c r="R63" s="1" t="s">
        <v>22</v>
      </c>
      <c r="S63" s="1">
        <v>1</v>
      </c>
      <c r="T63" s="1" t="s">
        <v>22</v>
      </c>
      <c r="U63" s="1">
        <v>1</v>
      </c>
      <c r="V63" s="1" t="s">
        <v>22</v>
      </c>
      <c r="W63" s="1">
        <v>0</v>
      </c>
      <c r="X63" s="1" t="s">
        <v>22</v>
      </c>
      <c r="Y63" s="1">
        <v>2</v>
      </c>
      <c r="Z63" s="3" t="s">
        <v>22</v>
      </c>
      <c r="AA63" s="1">
        <v>12</v>
      </c>
      <c r="AB63" s="3">
        <v>7.4534161490683228</v>
      </c>
      <c r="AC63" s="1">
        <v>0</v>
      </c>
      <c r="AD63" s="3">
        <v>0</v>
      </c>
      <c r="AE63" s="1">
        <v>1</v>
      </c>
      <c r="AF63" s="3">
        <v>0.6211180124223602</v>
      </c>
      <c r="AG63" s="1">
        <v>8</v>
      </c>
      <c r="AH63" s="3">
        <v>4.9689440993788816</v>
      </c>
      <c r="AI63" s="1" t="s">
        <v>22</v>
      </c>
      <c r="AJ63" s="1">
        <v>1</v>
      </c>
      <c r="AK63" s="3">
        <v>0.6211180124223602</v>
      </c>
      <c r="AL63" s="1">
        <v>2</v>
      </c>
      <c r="AM63" s="3">
        <v>1.2422360248447204</v>
      </c>
      <c r="AN63" s="1" t="s">
        <v>22</v>
      </c>
      <c r="AO63" s="1">
        <v>9</v>
      </c>
      <c r="AP63" s="3">
        <v>5.5900621118012426</v>
      </c>
      <c r="AQ63" s="3"/>
      <c r="AR63" s="3"/>
      <c r="AS63" s="1">
        <v>6</v>
      </c>
      <c r="AT63" s="3">
        <v>3.7267080745341614</v>
      </c>
      <c r="AU63" s="1">
        <v>1</v>
      </c>
      <c r="AV63" s="3">
        <v>0.6211180124223602</v>
      </c>
      <c r="AW63" s="1" t="s">
        <v>22</v>
      </c>
      <c r="AX63" s="1">
        <v>18</v>
      </c>
      <c r="AY63" s="1">
        <v>0</v>
      </c>
      <c r="AZ63" s="1">
        <v>0</v>
      </c>
      <c r="BA63" s="1">
        <v>36</v>
      </c>
      <c r="BB63" s="1">
        <v>0</v>
      </c>
      <c r="BC63" s="1">
        <v>0</v>
      </c>
      <c r="BD63" s="1" t="s">
        <v>22</v>
      </c>
      <c r="BE63" s="54" t="s">
        <v>22</v>
      </c>
      <c r="BF63" s="6">
        <v>27</v>
      </c>
      <c r="BG63" s="6">
        <v>33</v>
      </c>
      <c r="BH63" s="1">
        <v>1</v>
      </c>
      <c r="BI63" s="6" t="s">
        <v>22</v>
      </c>
      <c r="BJ63" s="1" t="s">
        <v>22</v>
      </c>
      <c r="BK63" s="6">
        <v>0</v>
      </c>
      <c r="BL63" s="6">
        <v>0</v>
      </c>
      <c r="BM63" s="1">
        <v>3</v>
      </c>
      <c r="BN63" t="s">
        <v>24</v>
      </c>
      <c r="BO63">
        <v>3225</v>
      </c>
    </row>
    <row r="64" spans="1:67" x14ac:dyDescent="0.3">
      <c r="A64" s="4">
        <f>INT(Tabela1[[#This Row],[Data e Hora]])</f>
        <v>46239</v>
      </c>
      <c r="B64" s="4" t="str">
        <f>UPPER(TEXT(Tabela1[[#This Row],[Data Corrigida]],"MMM"))</f>
        <v>AGO</v>
      </c>
      <c r="C64" t="s">
        <v>152</v>
      </c>
      <c r="D64" t="s">
        <v>153</v>
      </c>
      <c r="E64" t="s">
        <v>154</v>
      </c>
      <c r="F64" t="s">
        <v>19</v>
      </c>
      <c r="G64" s="5" t="s">
        <v>149</v>
      </c>
      <c r="H64" t="s">
        <v>20</v>
      </c>
      <c r="I64" t="s">
        <v>21</v>
      </c>
      <c r="J64" s="1">
        <v>150</v>
      </c>
      <c r="K64" s="1">
        <v>3001</v>
      </c>
      <c r="L64" t="s">
        <v>23</v>
      </c>
      <c r="M64" s="1">
        <v>27</v>
      </c>
      <c r="N64" s="48">
        <f>Tabela1[[#This Row],[Pena após Depenadeira]]/Tabela1[[#This Row],[Velocidade (FPM)]]*100</f>
        <v>18</v>
      </c>
      <c r="O64" s="1">
        <v>7</v>
      </c>
      <c r="P64" s="48">
        <f>Tabela1[[#This Row],[Pena após Repasse]]/Tabela1[[#This Row],[Velocidade (FPM)]]*100</f>
        <v>4.666666666666667</v>
      </c>
      <c r="Q64" s="1">
        <v>0</v>
      </c>
      <c r="R64" s="1" t="s">
        <v>22</v>
      </c>
      <c r="S64" s="1">
        <v>3</v>
      </c>
      <c r="T64" s="1" t="s">
        <v>22</v>
      </c>
      <c r="U64" s="1">
        <v>1</v>
      </c>
      <c r="V64" s="1" t="s">
        <v>22</v>
      </c>
      <c r="W64" s="1">
        <v>0</v>
      </c>
      <c r="X64" s="1" t="s">
        <v>22</v>
      </c>
      <c r="Y64" s="1">
        <v>3</v>
      </c>
      <c r="Z64" s="3" t="s">
        <v>22</v>
      </c>
      <c r="AA64" s="1">
        <v>3</v>
      </c>
      <c r="AB64" s="3">
        <v>2</v>
      </c>
      <c r="AC64" s="1">
        <v>0</v>
      </c>
      <c r="AD64" s="3">
        <v>0</v>
      </c>
      <c r="AE64" s="1">
        <v>3</v>
      </c>
      <c r="AF64" s="3">
        <v>2</v>
      </c>
      <c r="AG64" s="1">
        <v>9</v>
      </c>
      <c r="AH64" s="3">
        <v>6</v>
      </c>
      <c r="AI64" s="1" t="s">
        <v>22</v>
      </c>
      <c r="AJ64" s="1">
        <v>2</v>
      </c>
      <c r="AK64" s="3">
        <v>1.3333333333333335</v>
      </c>
      <c r="AL64" s="1">
        <v>1</v>
      </c>
      <c r="AM64" s="3">
        <v>0.66666666666666674</v>
      </c>
      <c r="AN64" s="1" t="s">
        <v>22</v>
      </c>
      <c r="AO64" s="1">
        <v>8</v>
      </c>
      <c r="AP64" s="3">
        <v>5.3333333333333339</v>
      </c>
      <c r="AQ64" s="3"/>
      <c r="AR64" s="3"/>
      <c r="AS64" s="1">
        <v>6</v>
      </c>
      <c r="AT64" s="3">
        <v>4</v>
      </c>
      <c r="AU64" s="1">
        <v>1</v>
      </c>
      <c r="AV64" s="3">
        <v>0.66666666666666674</v>
      </c>
      <c r="AW64" s="1" t="s">
        <v>22</v>
      </c>
      <c r="AX64" s="1">
        <v>16</v>
      </c>
      <c r="AY64" s="1">
        <v>0</v>
      </c>
      <c r="AZ64" s="1">
        <v>0</v>
      </c>
      <c r="BA64" s="1">
        <v>32</v>
      </c>
      <c r="BB64" s="1">
        <v>0</v>
      </c>
      <c r="BC64" s="1">
        <v>0</v>
      </c>
      <c r="BD64" s="1" t="s">
        <v>22</v>
      </c>
      <c r="BE64" s="54" t="s">
        <v>22</v>
      </c>
      <c r="BF64" s="6">
        <v>19</v>
      </c>
      <c r="BG64" s="6">
        <v>31</v>
      </c>
      <c r="BH64" s="1">
        <v>2</v>
      </c>
      <c r="BI64" s="6" t="s">
        <v>22</v>
      </c>
      <c r="BJ64" s="1" t="s">
        <v>22</v>
      </c>
      <c r="BK64" s="1" t="s">
        <v>22</v>
      </c>
      <c r="BL64" s="1" t="s">
        <v>22</v>
      </c>
      <c r="BM64" s="1" t="s">
        <v>22</v>
      </c>
      <c r="BN64" t="s">
        <v>24</v>
      </c>
      <c r="BO64">
        <v>2840</v>
      </c>
    </row>
    <row r="65" spans="1:67" x14ac:dyDescent="0.3">
      <c r="A65" s="4">
        <f>INT(Tabela1[[#This Row],[Data e Hora]])</f>
        <v>46241</v>
      </c>
      <c r="B65" s="4" t="str">
        <f>UPPER(TEXT(Tabela1[[#This Row],[Data Corrigida]],"MMM"))</f>
        <v>AGO</v>
      </c>
      <c r="C65" t="s">
        <v>243</v>
      </c>
      <c r="D65" t="s">
        <v>244</v>
      </c>
      <c r="E65" t="s">
        <v>245</v>
      </c>
      <c r="F65" t="s">
        <v>19</v>
      </c>
      <c r="G65" s="5" t="s">
        <v>246</v>
      </c>
      <c r="H65" t="s">
        <v>20</v>
      </c>
      <c r="I65" t="s">
        <v>33</v>
      </c>
      <c r="J65" s="1">
        <v>154</v>
      </c>
      <c r="K65" s="1">
        <v>2570</v>
      </c>
      <c r="L65" t="s">
        <v>34</v>
      </c>
      <c r="M65" s="1">
        <v>35</v>
      </c>
      <c r="N65" s="48">
        <v>35</v>
      </c>
      <c r="O65" s="1">
        <v>14</v>
      </c>
      <c r="P65" s="48">
        <v>14.000000000000002</v>
      </c>
      <c r="Q65" s="1">
        <v>0</v>
      </c>
      <c r="R65" s="1">
        <v>0</v>
      </c>
      <c r="S65" s="1">
        <v>1</v>
      </c>
      <c r="T65" s="1">
        <v>1</v>
      </c>
      <c r="U65" s="1">
        <v>0</v>
      </c>
      <c r="V65" s="1">
        <v>0</v>
      </c>
      <c r="W65" s="1">
        <v>0</v>
      </c>
      <c r="X65" s="1">
        <v>0</v>
      </c>
      <c r="Y65" s="1">
        <v>2</v>
      </c>
      <c r="Z65" s="3">
        <v>0.64935064935064934</v>
      </c>
      <c r="AA65" s="1">
        <v>11</v>
      </c>
      <c r="AB65" s="3">
        <v>7.1428571428571423</v>
      </c>
      <c r="AC65" s="1">
        <v>0</v>
      </c>
      <c r="AD65" s="3">
        <v>0</v>
      </c>
      <c r="AE65" s="1">
        <v>0</v>
      </c>
      <c r="AF65" s="3">
        <v>0</v>
      </c>
      <c r="AG65" s="1">
        <v>2</v>
      </c>
      <c r="AH65" s="3">
        <v>1.2987012987012987</v>
      </c>
      <c r="AI65" s="1" t="s">
        <v>22</v>
      </c>
      <c r="AJ65" s="1">
        <v>0</v>
      </c>
      <c r="AK65" s="3">
        <v>0</v>
      </c>
      <c r="AL65" s="1">
        <v>0</v>
      </c>
      <c r="AM65" s="3">
        <v>0</v>
      </c>
      <c r="AN65" s="1" t="s">
        <v>22</v>
      </c>
      <c r="AO65" s="1">
        <v>4</v>
      </c>
      <c r="AP65" s="3">
        <v>2.5974025974025974</v>
      </c>
      <c r="AQ65" s="3"/>
      <c r="AR65" s="3"/>
      <c r="AS65" s="1">
        <v>3</v>
      </c>
      <c r="AT65" s="3">
        <v>1.948051948051948</v>
      </c>
      <c r="AU65" s="1">
        <v>4</v>
      </c>
      <c r="AV65" s="3">
        <v>2.5974025974025974</v>
      </c>
      <c r="AW65" s="1" t="s">
        <v>22</v>
      </c>
      <c r="AX65" s="1">
        <v>20</v>
      </c>
      <c r="AY65" s="1">
        <v>1</v>
      </c>
      <c r="AZ65" s="1">
        <v>1</v>
      </c>
      <c r="BA65" s="1">
        <v>40</v>
      </c>
      <c r="BB65" s="1">
        <v>2</v>
      </c>
      <c r="BC65" s="1">
        <v>2</v>
      </c>
      <c r="BD65" s="1">
        <v>2</v>
      </c>
      <c r="BE65" s="54">
        <v>1.2987012987012987</v>
      </c>
      <c r="BF65" s="6">
        <v>16</v>
      </c>
      <c r="BG65" s="6">
        <v>7</v>
      </c>
      <c r="BH65" s="1">
        <v>0</v>
      </c>
      <c r="BI65" s="6">
        <v>0</v>
      </c>
      <c r="BJ65" s="1" t="s">
        <v>22</v>
      </c>
      <c r="BK65" s="6">
        <v>1</v>
      </c>
      <c r="BL65" s="6">
        <v>0</v>
      </c>
      <c r="BM65" s="1">
        <v>0</v>
      </c>
      <c r="BN65" t="s">
        <v>24</v>
      </c>
      <c r="BO65">
        <v>9195</v>
      </c>
    </row>
    <row r="66" spans="1:67" x14ac:dyDescent="0.3">
      <c r="A66" s="4">
        <f>INT(Tabela1[[#This Row],[Data e Hora]])</f>
        <v>46241</v>
      </c>
      <c r="B66" s="4" t="str">
        <f>UPPER(TEXT(Tabela1[[#This Row],[Data Corrigida]],"MMM"))</f>
        <v>AGO</v>
      </c>
      <c r="C66" t="s">
        <v>247</v>
      </c>
      <c r="D66" t="s">
        <v>248</v>
      </c>
      <c r="E66" t="s">
        <v>249</v>
      </c>
      <c r="F66" t="s">
        <v>19</v>
      </c>
      <c r="G66" s="5" t="s">
        <v>246</v>
      </c>
      <c r="H66" t="s">
        <v>20</v>
      </c>
      <c r="I66" t="s">
        <v>33</v>
      </c>
      <c r="J66" s="1">
        <v>128</v>
      </c>
      <c r="K66" s="1">
        <v>2608</v>
      </c>
      <c r="L66" t="s">
        <v>34</v>
      </c>
      <c r="M66" s="1">
        <v>14</v>
      </c>
      <c r="N66" s="48">
        <v>14.000000000000002</v>
      </c>
      <c r="O66" s="1">
        <v>16</v>
      </c>
      <c r="P66" s="48">
        <v>16</v>
      </c>
      <c r="Q66" s="1">
        <v>0</v>
      </c>
      <c r="R66" s="1">
        <v>0</v>
      </c>
      <c r="S66" s="1">
        <v>1</v>
      </c>
      <c r="T66" s="1">
        <v>1</v>
      </c>
      <c r="U66" s="1">
        <v>0</v>
      </c>
      <c r="V66" s="1">
        <v>0</v>
      </c>
      <c r="W66" s="1">
        <v>1</v>
      </c>
      <c r="X66" s="1">
        <v>5</v>
      </c>
      <c r="Y66" s="1">
        <v>2</v>
      </c>
      <c r="Z66" s="3">
        <v>0.78125</v>
      </c>
      <c r="AA66" s="1">
        <v>14</v>
      </c>
      <c r="AB66" s="3">
        <v>10.9375</v>
      </c>
      <c r="AC66" s="1">
        <v>0</v>
      </c>
      <c r="AD66" s="3">
        <v>0</v>
      </c>
      <c r="AE66" s="1">
        <v>1</v>
      </c>
      <c r="AF66" s="3">
        <v>0.78125</v>
      </c>
      <c r="AG66" s="1">
        <v>3</v>
      </c>
      <c r="AH66" s="3">
        <v>2.34375</v>
      </c>
      <c r="AI66" s="1" t="s">
        <v>22</v>
      </c>
      <c r="AJ66" s="1">
        <v>4</v>
      </c>
      <c r="AK66" s="3">
        <v>3.125</v>
      </c>
      <c r="AL66" s="1">
        <v>0</v>
      </c>
      <c r="AM66" s="3">
        <v>0</v>
      </c>
      <c r="AN66" s="1" t="s">
        <v>22</v>
      </c>
      <c r="AO66" s="1">
        <v>5</v>
      </c>
      <c r="AP66" s="3">
        <v>3.90625</v>
      </c>
      <c r="AQ66" s="3"/>
      <c r="AR66" s="3"/>
      <c r="AS66" s="1">
        <v>3</v>
      </c>
      <c r="AT66" s="3">
        <v>2.34375</v>
      </c>
      <c r="AU66" s="1">
        <v>0</v>
      </c>
      <c r="AV66" s="3">
        <v>0</v>
      </c>
      <c r="AW66" s="1" t="s">
        <v>22</v>
      </c>
      <c r="AX66" s="1">
        <v>10</v>
      </c>
      <c r="AY66" s="1">
        <v>0</v>
      </c>
      <c r="AZ66" s="1">
        <v>0</v>
      </c>
      <c r="BA66" s="1">
        <v>20</v>
      </c>
      <c r="BB66" s="1">
        <v>0</v>
      </c>
      <c r="BC66" s="1">
        <v>0</v>
      </c>
      <c r="BD66" s="1">
        <v>1</v>
      </c>
      <c r="BE66" s="54">
        <v>0.78125</v>
      </c>
      <c r="BF66" s="6">
        <v>8</v>
      </c>
      <c r="BG66" s="6">
        <v>4</v>
      </c>
      <c r="BH66" s="1">
        <v>0</v>
      </c>
      <c r="BI66" s="6">
        <v>0</v>
      </c>
      <c r="BJ66" s="1" t="s">
        <v>22</v>
      </c>
      <c r="BK66" s="6">
        <v>1</v>
      </c>
      <c r="BL66" s="6">
        <v>0</v>
      </c>
      <c r="BM66" s="1">
        <v>0</v>
      </c>
      <c r="BN66" t="s">
        <v>24</v>
      </c>
      <c r="BO66">
        <v>19021</v>
      </c>
    </row>
    <row r="67" spans="1:67" x14ac:dyDescent="0.3">
      <c r="A67" s="4">
        <f>INT(Tabela1[[#This Row],[Data e Hora]])</f>
        <v>46241</v>
      </c>
      <c r="B67" s="4" t="str">
        <f>UPPER(TEXT(Tabela1[[#This Row],[Data Corrigida]],"MMM"))</f>
        <v>AGO</v>
      </c>
      <c r="C67" t="s">
        <v>250</v>
      </c>
      <c r="D67" t="s">
        <v>251</v>
      </c>
      <c r="E67" t="s">
        <v>249</v>
      </c>
      <c r="F67" t="s">
        <v>19</v>
      </c>
      <c r="G67" s="5" t="s">
        <v>246</v>
      </c>
      <c r="H67" t="s">
        <v>20</v>
      </c>
      <c r="I67" t="s">
        <v>33</v>
      </c>
      <c r="J67" s="1">
        <v>99</v>
      </c>
      <c r="K67" s="1">
        <v>2744</v>
      </c>
      <c r="L67" t="s">
        <v>34</v>
      </c>
      <c r="M67" s="1">
        <v>30</v>
      </c>
      <c r="N67" s="48">
        <v>30</v>
      </c>
      <c r="O67" s="1">
        <v>9</v>
      </c>
      <c r="P67" s="48">
        <v>9</v>
      </c>
      <c r="Q67" s="1">
        <v>1</v>
      </c>
      <c r="R67" s="1">
        <v>10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4</v>
      </c>
      <c r="Z67" s="3">
        <v>2.0202020202020203</v>
      </c>
      <c r="AA67" s="1">
        <v>1</v>
      </c>
      <c r="AB67" s="3">
        <v>1.0101010101010102</v>
      </c>
      <c r="AC67" s="1">
        <v>0</v>
      </c>
      <c r="AD67" s="3">
        <v>0</v>
      </c>
      <c r="AE67" s="1">
        <v>0</v>
      </c>
      <c r="AF67" s="3">
        <v>0</v>
      </c>
      <c r="AG67" s="1">
        <v>3</v>
      </c>
      <c r="AH67" s="3">
        <v>3.0303030303030303</v>
      </c>
      <c r="AI67" s="1" t="s">
        <v>22</v>
      </c>
      <c r="AJ67" s="1">
        <v>1</v>
      </c>
      <c r="AK67" s="3">
        <v>1.0101010101010102</v>
      </c>
      <c r="AL67" s="1">
        <v>0</v>
      </c>
      <c r="AM67" s="3">
        <v>0</v>
      </c>
      <c r="AN67" s="1" t="s">
        <v>22</v>
      </c>
      <c r="AO67" s="1">
        <v>1</v>
      </c>
      <c r="AP67" s="3">
        <v>1.0101010101010102</v>
      </c>
      <c r="AQ67" s="3"/>
      <c r="AR67" s="3"/>
      <c r="AS67" s="1">
        <v>2</v>
      </c>
      <c r="AT67" s="3">
        <v>2.0202020202020203</v>
      </c>
      <c r="AU67" s="1">
        <v>0</v>
      </c>
      <c r="AV67" s="3">
        <v>0</v>
      </c>
      <c r="AW67" s="1" t="s">
        <v>22</v>
      </c>
      <c r="AX67" s="1">
        <v>10</v>
      </c>
      <c r="AY67" s="1">
        <v>0</v>
      </c>
      <c r="AZ67" s="1">
        <v>1</v>
      </c>
      <c r="BA67" s="1">
        <v>20</v>
      </c>
      <c r="BB67" s="1">
        <v>0</v>
      </c>
      <c r="BC67" s="1">
        <v>2</v>
      </c>
      <c r="BD67" s="1">
        <v>2</v>
      </c>
      <c r="BE67" s="54">
        <v>2.0202020202020203</v>
      </c>
      <c r="BF67" s="6">
        <v>9</v>
      </c>
      <c r="BG67" s="6">
        <v>3</v>
      </c>
      <c r="BH67" s="1">
        <v>0</v>
      </c>
      <c r="BI67" s="6">
        <v>0</v>
      </c>
      <c r="BJ67" s="1" t="s">
        <v>22</v>
      </c>
      <c r="BK67" s="6">
        <v>1</v>
      </c>
      <c r="BL67" s="6">
        <v>0</v>
      </c>
      <c r="BM67" s="1">
        <v>0</v>
      </c>
      <c r="BN67" t="s">
        <v>24</v>
      </c>
      <c r="BO67">
        <v>7019</v>
      </c>
    </row>
    <row r="68" spans="1:67" x14ac:dyDescent="0.3">
      <c r="A68" s="4">
        <f>INT(Tabela1[[#This Row],[Data e Hora]])</f>
        <v>46241</v>
      </c>
      <c r="B68" s="4" t="str">
        <f>UPPER(TEXT(Tabela1[[#This Row],[Data Corrigida]],"MMM"))</f>
        <v>AGO</v>
      </c>
      <c r="C68" t="s">
        <v>252</v>
      </c>
      <c r="D68" t="s">
        <v>253</v>
      </c>
      <c r="E68" t="s">
        <v>254</v>
      </c>
      <c r="F68" t="s">
        <v>19</v>
      </c>
      <c r="G68" s="5" t="s">
        <v>246</v>
      </c>
      <c r="H68" t="s">
        <v>20</v>
      </c>
      <c r="I68" t="s">
        <v>21</v>
      </c>
      <c r="J68" s="1">
        <v>151</v>
      </c>
      <c r="K68" s="1">
        <v>2773</v>
      </c>
      <c r="L68" t="s">
        <v>23</v>
      </c>
      <c r="M68" s="1">
        <v>38</v>
      </c>
      <c r="N68" s="48">
        <v>38</v>
      </c>
      <c r="O68" s="1">
        <v>23</v>
      </c>
      <c r="P68" s="48">
        <v>38</v>
      </c>
      <c r="Q68" s="1">
        <v>0</v>
      </c>
      <c r="R68" s="1">
        <v>0</v>
      </c>
      <c r="S68" s="1">
        <v>1</v>
      </c>
      <c r="T68" s="1">
        <v>1</v>
      </c>
      <c r="U68" s="1">
        <v>1</v>
      </c>
      <c r="V68" s="1">
        <v>1</v>
      </c>
      <c r="W68" s="1">
        <v>0</v>
      </c>
      <c r="X68" s="1">
        <v>0</v>
      </c>
      <c r="Y68" s="1">
        <v>2</v>
      </c>
      <c r="Z68" s="3">
        <v>0.66225165562913912</v>
      </c>
      <c r="AA68" s="1">
        <v>3</v>
      </c>
      <c r="AB68" s="3">
        <v>1.9867549668874174</v>
      </c>
      <c r="AC68" s="1">
        <v>0</v>
      </c>
      <c r="AD68" s="3">
        <v>0</v>
      </c>
      <c r="AE68" s="1">
        <v>3</v>
      </c>
      <c r="AF68" s="3">
        <v>1.9867549668874174</v>
      </c>
      <c r="AG68" s="1">
        <v>4</v>
      </c>
      <c r="AH68" s="3">
        <v>2.6490066225165565</v>
      </c>
      <c r="AI68" s="1" t="s">
        <v>22</v>
      </c>
      <c r="AJ68" s="1">
        <v>2</v>
      </c>
      <c r="AK68" s="3">
        <v>1.3245033112582782</v>
      </c>
      <c r="AL68" s="1">
        <v>1</v>
      </c>
      <c r="AM68" s="3">
        <v>0.66225165562913912</v>
      </c>
      <c r="AN68" s="1" t="s">
        <v>22</v>
      </c>
      <c r="AO68" s="1">
        <v>4</v>
      </c>
      <c r="AP68" s="3">
        <v>2.6490066225165565</v>
      </c>
      <c r="AQ68" s="3"/>
      <c r="AR68" s="3"/>
      <c r="AS68" s="1">
        <v>6</v>
      </c>
      <c r="AT68" s="3">
        <v>3.9735099337748347</v>
      </c>
      <c r="AU68" s="1">
        <v>1</v>
      </c>
      <c r="AV68" s="3">
        <v>0.66225165562913912</v>
      </c>
      <c r="AW68" s="1" t="s">
        <v>22</v>
      </c>
      <c r="AX68" s="1">
        <v>20</v>
      </c>
      <c r="AY68" s="1">
        <v>0</v>
      </c>
      <c r="AZ68" s="1">
        <v>0</v>
      </c>
      <c r="BA68" s="1">
        <v>40</v>
      </c>
      <c r="BB68" s="1">
        <v>0</v>
      </c>
      <c r="BC68" s="1">
        <v>0</v>
      </c>
      <c r="BD68" s="1" t="s">
        <v>22</v>
      </c>
      <c r="BE68" s="54" t="s">
        <v>22</v>
      </c>
      <c r="BF68" s="6">
        <v>23</v>
      </c>
      <c r="BG68" s="6">
        <v>27</v>
      </c>
      <c r="BH68" s="1">
        <v>1</v>
      </c>
      <c r="BI68" s="6">
        <v>10</v>
      </c>
      <c r="BJ68" s="1" t="s">
        <v>22</v>
      </c>
      <c r="BK68" s="6">
        <v>0</v>
      </c>
      <c r="BL68" s="6">
        <v>0</v>
      </c>
      <c r="BM68" s="1">
        <v>1</v>
      </c>
      <c r="BN68" t="s">
        <v>24</v>
      </c>
      <c r="BO68">
        <v>4250</v>
      </c>
    </row>
    <row r="69" spans="1:67" x14ac:dyDescent="0.3">
      <c r="A69" s="4">
        <f>INT(Tabela1[[#This Row],[Data e Hora]])</f>
        <v>46241</v>
      </c>
      <c r="B69" s="4" t="str">
        <f>UPPER(TEXT(Tabela1[[#This Row],[Data Corrigida]],"MMM"))</f>
        <v>AGO</v>
      </c>
      <c r="C69" t="s">
        <v>255</v>
      </c>
      <c r="D69" t="s">
        <v>256</v>
      </c>
      <c r="E69" t="s">
        <v>254</v>
      </c>
      <c r="F69" t="s">
        <v>19</v>
      </c>
      <c r="G69" s="5" t="s">
        <v>246</v>
      </c>
      <c r="H69" t="s">
        <v>20</v>
      </c>
      <c r="I69" t="s">
        <v>21</v>
      </c>
      <c r="J69" s="1">
        <v>151</v>
      </c>
      <c r="K69" s="1">
        <v>2753</v>
      </c>
      <c r="L69" t="s">
        <v>23</v>
      </c>
      <c r="M69" s="1">
        <v>42</v>
      </c>
      <c r="N69" s="48">
        <v>42</v>
      </c>
      <c r="O69" s="1">
        <v>22</v>
      </c>
      <c r="P69" s="48">
        <v>42</v>
      </c>
      <c r="Q69" s="1">
        <v>0</v>
      </c>
      <c r="R69" s="1">
        <v>0</v>
      </c>
      <c r="S69" s="1">
        <v>2</v>
      </c>
      <c r="T69" s="1">
        <v>2</v>
      </c>
      <c r="U69" s="1">
        <v>1</v>
      </c>
      <c r="V69" s="1">
        <v>1</v>
      </c>
      <c r="W69" s="1">
        <v>0</v>
      </c>
      <c r="X69" s="1">
        <v>0</v>
      </c>
      <c r="Y69" s="1">
        <v>1</v>
      </c>
      <c r="Z69" s="3">
        <v>0.33112582781456956</v>
      </c>
      <c r="AA69" s="1">
        <v>3</v>
      </c>
      <c r="AB69" s="3">
        <v>1.9867549668874174</v>
      </c>
      <c r="AC69" s="1">
        <v>1</v>
      </c>
      <c r="AD69" s="3">
        <v>0.66225165562913912</v>
      </c>
      <c r="AE69" s="1">
        <v>4</v>
      </c>
      <c r="AF69" s="3">
        <v>2.6490066225165565</v>
      </c>
      <c r="AG69" s="1">
        <v>8</v>
      </c>
      <c r="AH69" s="3">
        <v>5.298013245033113</v>
      </c>
      <c r="AI69" s="1" t="s">
        <v>22</v>
      </c>
      <c r="AJ69" s="1">
        <v>3</v>
      </c>
      <c r="AK69" s="3">
        <v>1.9867549668874174</v>
      </c>
      <c r="AL69" s="1">
        <v>2</v>
      </c>
      <c r="AM69" s="3">
        <v>1.3245033112582782</v>
      </c>
      <c r="AN69" s="1" t="s">
        <v>22</v>
      </c>
      <c r="AO69" s="1">
        <v>4</v>
      </c>
      <c r="AP69" s="3">
        <v>2.6490066225165565</v>
      </c>
      <c r="AQ69" s="3"/>
      <c r="AR69" s="3"/>
      <c r="AS69" s="1">
        <v>8</v>
      </c>
      <c r="AT69" s="3">
        <v>5.298013245033113</v>
      </c>
      <c r="AU69" s="1">
        <v>1</v>
      </c>
      <c r="AV69" s="3">
        <v>0.66225165562913912</v>
      </c>
      <c r="AW69" s="1" t="s">
        <v>22</v>
      </c>
      <c r="AX69" s="1">
        <v>16</v>
      </c>
      <c r="AY69" s="1">
        <v>0</v>
      </c>
      <c r="AZ69" s="1">
        <v>0</v>
      </c>
      <c r="BA69" s="1">
        <v>32</v>
      </c>
      <c r="BB69" s="1">
        <v>0</v>
      </c>
      <c r="BC69" s="1">
        <v>0</v>
      </c>
      <c r="BD69" s="1" t="s">
        <v>22</v>
      </c>
      <c r="BE69" s="54" t="s">
        <v>22</v>
      </c>
      <c r="BF69" s="6">
        <v>24</v>
      </c>
      <c r="BG69" s="6">
        <v>22</v>
      </c>
      <c r="BH69" s="1">
        <v>1</v>
      </c>
      <c r="BI69" s="6">
        <v>10</v>
      </c>
      <c r="BJ69" s="1" t="s">
        <v>22</v>
      </c>
      <c r="BK69" s="6">
        <v>0</v>
      </c>
      <c r="BL69" s="6">
        <v>0</v>
      </c>
      <c r="BM69" s="1">
        <v>2</v>
      </c>
      <c r="BN69" t="s">
        <v>24</v>
      </c>
      <c r="BO69">
        <v>7356</v>
      </c>
    </row>
    <row r="70" spans="1:67" x14ac:dyDescent="0.3">
      <c r="A70" s="4">
        <f>INT(Tabela1[[#This Row],[Data e Hora]])</f>
        <v>46241</v>
      </c>
      <c r="B70" s="4" t="str">
        <f>UPPER(TEXT(Tabela1[[#This Row],[Data Corrigida]],"MMM"))</f>
        <v>AGO</v>
      </c>
      <c r="C70" t="s">
        <v>257</v>
      </c>
      <c r="D70" t="s">
        <v>258</v>
      </c>
      <c r="E70" t="s">
        <v>259</v>
      </c>
      <c r="F70" t="s">
        <v>19</v>
      </c>
      <c r="G70" s="5" t="s">
        <v>246</v>
      </c>
      <c r="H70" t="s">
        <v>20</v>
      </c>
      <c r="I70" t="s">
        <v>21</v>
      </c>
      <c r="J70" s="1">
        <v>146</v>
      </c>
      <c r="K70" s="1">
        <v>2870</v>
      </c>
      <c r="L70" t="s">
        <v>23</v>
      </c>
      <c r="M70" s="1">
        <v>31</v>
      </c>
      <c r="N70" s="48">
        <v>31</v>
      </c>
      <c r="O70" s="1">
        <v>23</v>
      </c>
      <c r="P70" s="48">
        <v>31</v>
      </c>
      <c r="Q70" s="1" t="s">
        <v>22</v>
      </c>
      <c r="R70" s="1" t="s">
        <v>22</v>
      </c>
      <c r="S70" s="1">
        <v>1</v>
      </c>
      <c r="T70" s="1">
        <v>1</v>
      </c>
      <c r="U70" s="1">
        <v>0</v>
      </c>
      <c r="V70" s="1">
        <v>0</v>
      </c>
      <c r="W70" s="1">
        <v>0</v>
      </c>
      <c r="X70" s="1">
        <v>0</v>
      </c>
      <c r="Y70" s="1">
        <v>1</v>
      </c>
      <c r="Z70" s="3">
        <v>0.34246575342465752</v>
      </c>
      <c r="AA70" s="1">
        <v>1</v>
      </c>
      <c r="AB70" s="3">
        <v>0.68493150684931503</v>
      </c>
      <c r="AC70" s="1">
        <v>0</v>
      </c>
      <c r="AD70" s="3">
        <v>0</v>
      </c>
      <c r="AE70" s="1">
        <v>0</v>
      </c>
      <c r="AF70" s="3">
        <v>0</v>
      </c>
      <c r="AG70" s="1">
        <v>3</v>
      </c>
      <c r="AH70" s="3">
        <v>2.054794520547945</v>
      </c>
      <c r="AI70" s="1" t="s">
        <v>22</v>
      </c>
      <c r="AJ70" s="1">
        <v>1</v>
      </c>
      <c r="AK70" s="3">
        <v>0.68493150684931503</v>
      </c>
      <c r="AL70" s="1">
        <v>1</v>
      </c>
      <c r="AM70" s="3">
        <v>0.68493150684931503</v>
      </c>
      <c r="AN70" s="1" t="s">
        <v>22</v>
      </c>
      <c r="AO70" s="1">
        <v>4</v>
      </c>
      <c r="AP70" s="3">
        <v>2.7397260273972601</v>
      </c>
      <c r="AQ70" s="3"/>
      <c r="AR70" s="3"/>
      <c r="AS70" s="1">
        <v>6</v>
      </c>
      <c r="AT70" s="3">
        <v>4.10958904109589</v>
      </c>
      <c r="AU70" s="1">
        <v>1</v>
      </c>
      <c r="AV70" s="3">
        <v>0.68493150684931503</v>
      </c>
      <c r="AW70" s="1" t="s">
        <v>22</v>
      </c>
      <c r="AX70" s="1">
        <v>19</v>
      </c>
      <c r="AY70" s="1">
        <v>0</v>
      </c>
      <c r="AZ70" s="1">
        <v>0</v>
      </c>
      <c r="BA70" s="1">
        <v>38</v>
      </c>
      <c r="BB70" s="1">
        <v>0</v>
      </c>
      <c r="BC70" s="1">
        <v>0</v>
      </c>
      <c r="BD70" s="1" t="s">
        <v>22</v>
      </c>
      <c r="BE70" s="54" t="s">
        <v>22</v>
      </c>
      <c r="BF70" s="6">
        <v>25</v>
      </c>
      <c r="BG70" s="6">
        <v>29</v>
      </c>
      <c r="BH70" s="1">
        <v>3</v>
      </c>
      <c r="BI70" s="6">
        <v>30</v>
      </c>
      <c r="BJ70" s="1" t="s">
        <v>22</v>
      </c>
      <c r="BK70" s="1" t="s">
        <v>22</v>
      </c>
      <c r="BL70" s="1" t="s">
        <v>22</v>
      </c>
      <c r="BM70" s="1" t="s">
        <v>22</v>
      </c>
      <c r="BN70" t="s">
        <v>24</v>
      </c>
      <c r="BO70">
        <v>12711</v>
      </c>
    </row>
    <row r="71" spans="1:67" x14ac:dyDescent="0.3">
      <c r="A71" s="4">
        <f>INT(Tabela1[[#This Row],[Data e Hora]])</f>
        <v>46244</v>
      </c>
      <c r="B71" s="4" t="str">
        <f>UPPER(TEXT(Tabela1[[#This Row],[Data Corrigida]],"MMM"))</f>
        <v>AGO</v>
      </c>
      <c r="C71" t="s">
        <v>263</v>
      </c>
      <c r="D71" t="s">
        <v>264</v>
      </c>
      <c r="E71" t="s">
        <v>265</v>
      </c>
      <c r="F71" t="s">
        <v>19</v>
      </c>
      <c r="G71" s="5" t="s">
        <v>266</v>
      </c>
      <c r="H71" t="s">
        <v>20</v>
      </c>
      <c r="I71" t="s">
        <v>33</v>
      </c>
      <c r="J71" s="1">
        <v>135</v>
      </c>
      <c r="K71" s="1">
        <v>2893</v>
      </c>
      <c r="L71" t="s">
        <v>34</v>
      </c>
      <c r="M71" s="1">
        <v>19</v>
      </c>
      <c r="N71" s="48">
        <f>Tabela1[[#This Row],[Pena após Depenadeira]]/Tabela1[[#This Row],[Velocidade (FPM)]]*100</f>
        <v>14.074074074074074</v>
      </c>
      <c r="O71" s="1">
        <v>5</v>
      </c>
      <c r="P71" s="48">
        <f>Tabela1[[#This Row],[Pena após Repasse]]/Tabela1[[#This Row],[Velocidade (FPM)]]*100</f>
        <v>3.7037037037037033</v>
      </c>
      <c r="Q71" s="1">
        <v>1</v>
      </c>
      <c r="R71" s="1">
        <v>10</v>
      </c>
      <c r="S71" s="1">
        <v>0</v>
      </c>
      <c r="T71" s="1">
        <v>0</v>
      </c>
      <c r="U71" s="1">
        <v>1</v>
      </c>
      <c r="V71" s="1">
        <v>1</v>
      </c>
      <c r="W71" s="1">
        <v>0</v>
      </c>
      <c r="X71" s="1">
        <v>0</v>
      </c>
      <c r="Y71" s="1">
        <v>3</v>
      </c>
      <c r="Z71" s="3">
        <f>IFERROR(Tabela1[[#This Row],[Retorno Pés]]/Tabela1[[#This Row],[Velocidade (FPM)]]*100,"")</f>
        <v>2.2222222222222223</v>
      </c>
      <c r="AA71" s="1">
        <v>3</v>
      </c>
      <c r="AB71" s="3">
        <v>2.2222222222222223</v>
      </c>
      <c r="AC71" s="1">
        <v>0</v>
      </c>
      <c r="AD71" s="3">
        <v>0</v>
      </c>
      <c r="AE71" s="1">
        <v>0</v>
      </c>
      <c r="AF71" s="3">
        <v>0</v>
      </c>
      <c r="AG71" s="1">
        <v>1</v>
      </c>
      <c r="AH71" s="3">
        <v>0.74074074074074081</v>
      </c>
      <c r="AI71" s="1" t="s">
        <v>22</v>
      </c>
      <c r="AJ71" s="1">
        <v>1</v>
      </c>
      <c r="AK71" s="3">
        <v>0.74074074074074081</v>
      </c>
      <c r="AL71" s="1">
        <v>0</v>
      </c>
      <c r="AM71" s="3">
        <v>0</v>
      </c>
      <c r="AN71" s="1" t="s">
        <v>22</v>
      </c>
      <c r="AO71" s="1">
        <v>1</v>
      </c>
      <c r="AP71" s="3">
        <v>0.74074074074074081</v>
      </c>
      <c r="AQ71" s="3"/>
      <c r="AR71" s="3"/>
      <c r="AS71" s="1">
        <v>1</v>
      </c>
      <c r="AT71" s="3">
        <v>0.74074074074074081</v>
      </c>
      <c r="AU71" s="1">
        <v>0</v>
      </c>
      <c r="AV71" s="3">
        <v>0</v>
      </c>
      <c r="AW71" s="1" t="s">
        <v>22</v>
      </c>
      <c r="AX71" s="1">
        <v>15</v>
      </c>
      <c r="AY71" s="1">
        <v>0</v>
      </c>
      <c r="AZ71" s="1">
        <v>0</v>
      </c>
      <c r="BA71" s="1">
        <v>30</v>
      </c>
      <c r="BB71" s="1">
        <v>0</v>
      </c>
      <c r="BC71" s="1">
        <v>0</v>
      </c>
      <c r="BD71" s="1">
        <v>0</v>
      </c>
      <c r="BE71" s="54">
        <v>0</v>
      </c>
      <c r="BF71" s="6">
        <v>7</v>
      </c>
      <c r="BG71" s="6">
        <v>3</v>
      </c>
      <c r="BH71" s="1">
        <v>0</v>
      </c>
      <c r="BI71" s="6">
        <v>0</v>
      </c>
      <c r="BJ71" s="1" t="s">
        <v>22</v>
      </c>
      <c r="BK71" s="6">
        <v>0</v>
      </c>
      <c r="BL71" s="6">
        <v>0</v>
      </c>
      <c r="BM71" s="1">
        <v>0</v>
      </c>
      <c r="BN71" t="s">
        <v>24</v>
      </c>
      <c r="BO71">
        <v>3696</v>
      </c>
    </row>
    <row r="72" spans="1:67" x14ac:dyDescent="0.3">
      <c r="A72" s="4">
        <f>INT(Tabela1[[#This Row],[Data e Hora]])</f>
        <v>46244</v>
      </c>
      <c r="B72" s="4" t="str">
        <f>UPPER(TEXT(Tabela1[[#This Row],[Data Corrigida]],"MMM"))</f>
        <v>AGO</v>
      </c>
      <c r="C72" t="s">
        <v>267</v>
      </c>
      <c r="D72" t="s">
        <v>268</v>
      </c>
      <c r="E72" t="s">
        <v>265</v>
      </c>
      <c r="F72" t="s">
        <v>19</v>
      </c>
      <c r="G72" s="5" t="s">
        <v>266</v>
      </c>
      <c r="H72" t="s">
        <v>20</v>
      </c>
      <c r="I72" t="s">
        <v>33</v>
      </c>
      <c r="J72" s="1">
        <v>145</v>
      </c>
      <c r="K72" s="1">
        <v>2932</v>
      </c>
      <c r="L72" t="s">
        <v>34</v>
      </c>
      <c r="M72" s="1">
        <v>15</v>
      </c>
      <c r="N72" s="48">
        <f>Tabela1[[#This Row],[Pena após Depenadeira]]/Tabela1[[#This Row],[Velocidade (FPM)]]*100</f>
        <v>10.344827586206897</v>
      </c>
      <c r="O72" s="1">
        <v>17</v>
      </c>
      <c r="P72" s="48">
        <f>Tabela1[[#This Row],[Pena após Repasse]]/Tabela1[[#This Row],[Velocidade (FPM)]]*100</f>
        <v>11.724137931034482</v>
      </c>
      <c r="Q72" s="1">
        <v>3</v>
      </c>
      <c r="R72" s="1">
        <v>30</v>
      </c>
      <c r="S72" s="1">
        <v>1</v>
      </c>
      <c r="T72" s="1">
        <v>1</v>
      </c>
      <c r="U72" s="1">
        <v>0</v>
      </c>
      <c r="V72" s="1">
        <v>0</v>
      </c>
      <c r="W72" s="1">
        <v>0</v>
      </c>
      <c r="X72" s="1">
        <v>0</v>
      </c>
      <c r="Y72" s="1">
        <v>4</v>
      </c>
      <c r="Z72" s="3">
        <f>IFERROR(Tabela1[[#This Row],[Retorno Pés]]/Tabela1[[#This Row],[Velocidade (FPM)]]*100,"")</f>
        <v>2.7586206896551726</v>
      </c>
      <c r="AA72" s="1">
        <v>4</v>
      </c>
      <c r="AB72" s="3">
        <v>2.7586206896551726</v>
      </c>
      <c r="AC72" s="1">
        <v>0</v>
      </c>
      <c r="AD72" s="3">
        <v>0</v>
      </c>
      <c r="AE72" s="1">
        <v>1</v>
      </c>
      <c r="AF72" s="3">
        <v>0.68965517241379315</v>
      </c>
      <c r="AG72" s="1">
        <v>4</v>
      </c>
      <c r="AH72" s="3">
        <v>2.7586206896551726</v>
      </c>
      <c r="AI72" s="1" t="s">
        <v>22</v>
      </c>
      <c r="AJ72" s="1">
        <v>0</v>
      </c>
      <c r="AK72" s="3">
        <v>0</v>
      </c>
      <c r="AL72" s="1">
        <v>0</v>
      </c>
      <c r="AM72" s="3">
        <v>0</v>
      </c>
      <c r="AN72" s="1" t="s">
        <v>22</v>
      </c>
      <c r="AO72" s="1">
        <v>3</v>
      </c>
      <c r="AP72" s="3">
        <v>2.0689655172413794</v>
      </c>
      <c r="AQ72" s="3"/>
      <c r="AR72" s="3"/>
      <c r="AS72" s="1">
        <v>6</v>
      </c>
      <c r="AT72" s="3">
        <v>4.1379310344827589</v>
      </c>
      <c r="AU72" s="1">
        <v>0</v>
      </c>
      <c r="AV72" s="3">
        <v>0</v>
      </c>
      <c r="AW72" s="1" t="s">
        <v>22</v>
      </c>
      <c r="AX72" s="1">
        <v>5</v>
      </c>
      <c r="AY72" s="1">
        <v>0</v>
      </c>
      <c r="AZ72" s="1">
        <v>0</v>
      </c>
      <c r="BA72" s="1">
        <v>10</v>
      </c>
      <c r="BB72" s="1">
        <v>0</v>
      </c>
      <c r="BC72" s="1">
        <v>0</v>
      </c>
      <c r="BD72" s="1">
        <v>1</v>
      </c>
      <c r="BE72" s="54">
        <v>0.68965517241379315</v>
      </c>
      <c r="BF72" s="6">
        <v>6</v>
      </c>
      <c r="BG72" s="6">
        <v>1</v>
      </c>
      <c r="BH72" s="1">
        <v>0</v>
      </c>
      <c r="BI72" s="6">
        <v>0</v>
      </c>
      <c r="BJ72" s="1" t="s">
        <v>22</v>
      </c>
      <c r="BK72" s="6">
        <v>4</v>
      </c>
      <c r="BL72" s="6">
        <v>0</v>
      </c>
      <c r="BM72" s="1">
        <v>0</v>
      </c>
      <c r="BN72" t="s">
        <v>24</v>
      </c>
      <c r="BO72">
        <v>12799</v>
      </c>
    </row>
    <row r="73" spans="1:67" x14ac:dyDescent="0.3">
      <c r="A73" s="4">
        <f>INT(Tabela1[[#This Row],[Data e Hora]])</f>
        <v>46244</v>
      </c>
      <c r="B73" s="4" t="str">
        <f>UPPER(TEXT(Tabela1[[#This Row],[Data Corrigida]],"MMM"))</f>
        <v>AGO</v>
      </c>
      <c r="C73" t="s">
        <v>269</v>
      </c>
      <c r="D73" t="s">
        <v>270</v>
      </c>
      <c r="E73" t="s">
        <v>265</v>
      </c>
      <c r="F73" t="s">
        <v>19</v>
      </c>
      <c r="G73" s="5" t="s">
        <v>266</v>
      </c>
      <c r="H73" t="s">
        <v>20</v>
      </c>
      <c r="I73" t="s">
        <v>33</v>
      </c>
      <c r="J73" s="1">
        <v>100</v>
      </c>
      <c r="K73" s="1">
        <v>2982</v>
      </c>
      <c r="L73" t="s">
        <v>34</v>
      </c>
      <c r="M73" s="1">
        <v>16</v>
      </c>
      <c r="N73" s="48">
        <f>Tabela1[[#This Row],[Pena após Depenadeira]]/Tabela1[[#This Row],[Velocidade (FPM)]]*100</f>
        <v>16</v>
      </c>
      <c r="O73" s="1">
        <v>4</v>
      </c>
      <c r="P73" s="48">
        <f>Tabela1[[#This Row],[Pena após Repasse]]/Tabela1[[#This Row],[Velocidade (FPM)]]*100</f>
        <v>4</v>
      </c>
      <c r="Q73" s="1">
        <v>2</v>
      </c>
      <c r="R73" s="1">
        <v>20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3">
        <f>IFERROR(Tabela1[[#This Row],[Retorno Pés]]/Tabela1[[#This Row],[Velocidade (FPM)]]*100,"")</f>
        <v>0</v>
      </c>
      <c r="AA73" s="1">
        <v>4</v>
      </c>
      <c r="AB73" s="3">
        <v>4</v>
      </c>
      <c r="AC73" s="1">
        <v>0</v>
      </c>
      <c r="AD73" s="3">
        <v>0</v>
      </c>
      <c r="AE73" s="1">
        <v>0</v>
      </c>
      <c r="AF73" s="3">
        <v>0</v>
      </c>
      <c r="AG73" s="1">
        <v>3</v>
      </c>
      <c r="AH73" s="3">
        <v>3</v>
      </c>
      <c r="AI73" s="1" t="s">
        <v>22</v>
      </c>
      <c r="AJ73" s="1">
        <v>0</v>
      </c>
      <c r="AK73" s="3">
        <v>0</v>
      </c>
      <c r="AL73" s="1">
        <v>1</v>
      </c>
      <c r="AM73" s="3">
        <v>1</v>
      </c>
      <c r="AN73" s="1" t="s">
        <v>22</v>
      </c>
      <c r="AO73" s="1">
        <v>4</v>
      </c>
      <c r="AP73" s="3">
        <v>4</v>
      </c>
      <c r="AQ73" s="3"/>
      <c r="AR73" s="3"/>
      <c r="AS73" s="1">
        <v>3</v>
      </c>
      <c r="AT73" s="3">
        <v>3</v>
      </c>
      <c r="AU73" s="1">
        <v>0</v>
      </c>
      <c r="AV73" s="3">
        <v>0</v>
      </c>
      <c r="AW73" s="1" t="s">
        <v>22</v>
      </c>
      <c r="AX73" s="1">
        <v>15</v>
      </c>
      <c r="AY73" s="1">
        <v>1</v>
      </c>
      <c r="AZ73" s="1">
        <v>1</v>
      </c>
      <c r="BA73" s="1">
        <v>30</v>
      </c>
      <c r="BB73" s="1">
        <v>2</v>
      </c>
      <c r="BC73" s="1">
        <v>2</v>
      </c>
      <c r="BD73" s="1">
        <v>0</v>
      </c>
      <c r="BE73" s="54">
        <v>0</v>
      </c>
      <c r="BF73" s="6">
        <v>10</v>
      </c>
      <c r="BG73" s="6">
        <v>4</v>
      </c>
      <c r="BH73" s="1">
        <v>0</v>
      </c>
      <c r="BI73" s="6">
        <v>0</v>
      </c>
      <c r="BJ73" s="1" t="s">
        <v>22</v>
      </c>
      <c r="BK73" s="6">
        <v>0</v>
      </c>
      <c r="BL73" s="6">
        <v>0</v>
      </c>
      <c r="BM73" s="1">
        <v>0</v>
      </c>
      <c r="BN73" t="s">
        <v>24</v>
      </c>
      <c r="BO73">
        <v>8690</v>
      </c>
    </row>
    <row r="74" spans="1:67" x14ac:dyDescent="0.3">
      <c r="A74" s="4">
        <f>INT(Tabela1[[#This Row],[Data e Hora]])</f>
        <v>46244</v>
      </c>
      <c r="B74" s="4" t="str">
        <f>UPPER(TEXT(Tabela1[[#This Row],[Data Corrigida]],"MMM"))</f>
        <v>AGO</v>
      </c>
      <c r="C74" t="s">
        <v>271</v>
      </c>
      <c r="D74" t="s">
        <v>272</v>
      </c>
      <c r="E74" t="s">
        <v>273</v>
      </c>
      <c r="F74" t="s">
        <v>19</v>
      </c>
      <c r="G74" s="5" t="s">
        <v>266</v>
      </c>
      <c r="H74" t="s">
        <v>20</v>
      </c>
      <c r="I74" t="s">
        <v>21</v>
      </c>
      <c r="J74" s="1">
        <v>145</v>
      </c>
      <c r="K74" s="1">
        <v>2989</v>
      </c>
      <c r="L74" t="s">
        <v>23</v>
      </c>
      <c r="M74" s="1">
        <v>42</v>
      </c>
      <c r="N74" s="48">
        <f>Tabela1[[#This Row],[Pena após Depenadeira]]/Tabela1[[#This Row],[Velocidade (FPM)]]*100</f>
        <v>28.965517241379313</v>
      </c>
      <c r="O74" s="1">
        <v>27</v>
      </c>
      <c r="P74" s="48">
        <f>Tabela1[[#This Row],[Pena após Repasse]]/Tabela1[[#This Row],[Velocidade (FPM)]]*100</f>
        <v>18.620689655172416</v>
      </c>
      <c r="Q74" s="1">
        <v>0</v>
      </c>
      <c r="R74" s="1">
        <v>0</v>
      </c>
      <c r="S74" s="1">
        <v>3</v>
      </c>
      <c r="T74" s="1">
        <v>3</v>
      </c>
      <c r="U74" s="1">
        <v>1</v>
      </c>
      <c r="V74" s="1">
        <v>1</v>
      </c>
      <c r="W74" s="1">
        <v>0</v>
      </c>
      <c r="X74" s="1">
        <v>0</v>
      </c>
      <c r="Y74" s="1">
        <v>3</v>
      </c>
      <c r="Z74" s="3">
        <f>IFERROR(Tabela1[[#This Row],[Retorno Pés]]/Tabela1[[#This Row],[Velocidade (FPM)]]*100,"")</f>
        <v>2.0689655172413794</v>
      </c>
      <c r="AA74" s="1">
        <v>3</v>
      </c>
      <c r="AB74" s="3">
        <v>2.0689655172413794</v>
      </c>
      <c r="AC74" s="1">
        <v>0</v>
      </c>
      <c r="AD74" s="3">
        <v>0</v>
      </c>
      <c r="AE74" s="1">
        <v>0</v>
      </c>
      <c r="AF74" s="3">
        <v>0</v>
      </c>
      <c r="AG74" s="1">
        <v>3</v>
      </c>
      <c r="AH74" s="3">
        <v>2.0689655172413794</v>
      </c>
      <c r="AI74" s="1" t="s">
        <v>22</v>
      </c>
      <c r="AJ74" s="1">
        <v>1</v>
      </c>
      <c r="AK74" s="3">
        <v>0.68965517241379315</v>
      </c>
      <c r="AL74" s="1">
        <v>1</v>
      </c>
      <c r="AM74" s="3">
        <v>0.68965517241379315</v>
      </c>
      <c r="AN74" s="1" t="s">
        <v>22</v>
      </c>
      <c r="AO74" s="1">
        <v>4</v>
      </c>
      <c r="AP74" s="3">
        <v>2.7586206896551726</v>
      </c>
      <c r="AQ74" s="3"/>
      <c r="AR74" s="3"/>
      <c r="AS74" s="1">
        <v>5</v>
      </c>
      <c r="AT74" s="3">
        <v>3.4482758620689653</v>
      </c>
      <c r="AU74" s="1">
        <v>1</v>
      </c>
      <c r="AV74" s="3">
        <v>0.68965517241379315</v>
      </c>
      <c r="AW74" s="1" t="s">
        <v>22</v>
      </c>
      <c r="AX74" s="1">
        <v>19</v>
      </c>
      <c r="AY74" s="1">
        <v>2</v>
      </c>
      <c r="AZ74" s="1">
        <v>2</v>
      </c>
      <c r="BA74" s="1">
        <v>38</v>
      </c>
      <c r="BB74" s="1">
        <v>4</v>
      </c>
      <c r="BC74" s="1">
        <v>4</v>
      </c>
      <c r="BD74" s="1">
        <v>1</v>
      </c>
      <c r="BE74" s="54">
        <v>0.68965517241379315</v>
      </c>
      <c r="BF74" s="6">
        <v>22</v>
      </c>
      <c r="BG74" s="6">
        <v>20</v>
      </c>
      <c r="BH74" s="1" t="s">
        <v>22</v>
      </c>
      <c r="BI74" s="6" t="s">
        <v>22</v>
      </c>
      <c r="BJ74" s="1" t="s">
        <v>22</v>
      </c>
      <c r="BK74" s="6">
        <v>0</v>
      </c>
      <c r="BL74" s="6">
        <v>0</v>
      </c>
      <c r="BM74" s="1">
        <v>1</v>
      </c>
      <c r="BN74" t="s">
        <v>24</v>
      </c>
      <c r="BO74">
        <v>5342</v>
      </c>
    </row>
    <row r="75" spans="1:67" x14ac:dyDescent="0.3">
      <c r="A75" s="4">
        <f>INT(Tabela1[[#This Row],[Data e Hora]])</f>
        <v>46244</v>
      </c>
      <c r="B75" s="4" t="str">
        <f>UPPER(TEXT(Tabela1[[#This Row],[Data Corrigida]],"MMM"))</f>
        <v>AGO</v>
      </c>
      <c r="C75" t="s">
        <v>274</v>
      </c>
      <c r="D75" t="s">
        <v>275</v>
      </c>
      <c r="E75" t="s">
        <v>276</v>
      </c>
      <c r="F75" t="s">
        <v>19</v>
      </c>
      <c r="G75" s="5" t="s">
        <v>266</v>
      </c>
      <c r="H75" t="s">
        <v>20</v>
      </c>
      <c r="I75" t="s">
        <v>21</v>
      </c>
      <c r="J75" s="1">
        <v>135</v>
      </c>
      <c r="K75" s="1">
        <v>2933</v>
      </c>
      <c r="L75" t="s">
        <v>23</v>
      </c>
      <c r="M75" s="1">
        <v>45</v>
      </c>
      <c r="N75" s="48">
        <f>Tabela1[[#This Row],[Pena após Depenadeira]]/Tabela1[[#This Row],[Velocidade (FPM)]]*100</f>
        <v>33.333333333333329</v>
      </c>
      <c r="O75" s="1">
        <v>29</v>
      </c>
      <c r="P75" s="48">
        <f>Tabela1[[#This Row],[Pena após Repasse]]/Tabela1[[#This Row],[Velocidade (FPM)]]*100</f>
        <v>21.481481481481481</v>
      </c>
      <c r="Q75" s="1">
        <v>0</v>
      </c>
      <c r="R75" s="1">
        <v>0</v>
      </c>
      <c r="S75" s="1">
        <v>1</v>
      </c>
      <c r="T75" s="1">
        <v>1</v>
      </c>
      <c r="U75" s="1">
        <v>1</v>
      </c>
      <c r="V75" s="1">
        <v>1</v>
      </c>
      <c r="W75" s="1">
        <v>0</v>
      </c>
      <c r="X75" s="1">
        <v>0</v>
      </c>
      <c r="Y75" s="1">
        <v>3</v>
      </c>
      <c r="Z75" s="3">
        <f>IFERROR(Tabela1[[#This Row],[Retorno Pés]]/Tabela1[[#This Row],[Velocidade (FPM)]]*100,"")</f>
        <v>2.2222222222222223</v>
      </c>
      <c r="AA75" s="1">
        <v>2</v>
      </c>
      <c r="AB75" s="3">
        <v>1.4814814814814816</v>
      </c>
      <c r="AC75" s="1">
        <v>0</v>
      </c>
      <c r="AD75" s="3">
        <v>0</v>
      </c>
      <c r="AE75" s="1">
        <v>1</v>
      </c>
      <c r="AF75" s="3">
        <v>0.74074074074074081</v>
      </c>
      <c r="AG75" s="1">
        <v>4</v>
      </c>
      <c r="AH75" s="3">
        <v>2.9629629629629632</v>
      </c>
      <c r="AI75" s="1" t="s">
        <v>22</v>
      </c>
      <c r="AJ75" s="1">
        <v>1</v>
      </c>
      <c r="AK75" s="3">
        <v>0.74074074074074081</v>
      </c>
      <c r="AL75" s="1">
        <v>2</v>
      </c>
      <c r="AM75" s="3">
        <v>1.4814814814814816</v>
      </c>
      <c r="AN75" s="1" t="s">
        <v>22</v>
      </c>
      <c r="AO75" s="1">
        <v>4</v>
      </c>
      <c r="AP75" s="3">
        <v>2.9629629629629632</v>
      </c>
      <c r="AQ75" s="3"/>
      <c r="AR75" s="3"/>
      <c r="AS75" s="1">
        <v>5</v>
      </c>
      <c r="AT75" s="3">
        <v>3.7037037037037033</v>
      </c>
      <c r="AU75" s="1">
        <v>1</v>
      </c>
      <c r="AV75" s="3">
        <v>0.74074074074074081</v>
      </c>
      <c r="AW75" s="1" t="s">
        <v>22</v>
      </c>
      <c r="AX75" s="1">
        <v>17</v>
      </c>
      <c r="AY75" s="1">
        <v>0</v>
      </c>
      <c r="AZ75" s="1">
        <v>0</v>
      </c>
      <c r="BA75" s="1">
        <v>34</v>
      </c>
      <c r="BB75" s="1">
        <v>0</v>
      </c>
      <c r="BC75" s="1">
        <v>0</v>
      </c>
      <c r="BD75" s="1">
        <v>1</v>
      </c>
      <c r="BE75" s="54">
        <v>0.74074074074074081</v>
      </c>
      <c r="BF75" s="6">
        <v>26</v>
      </c>
      <c r="BG75" s="6">
        <v>23</v>
      </c>
      <c r="BH75" s="1">
        <v>1</v>
      </c>
      <c r="BI75" s="6">
        <v>10</v>
      </c>
      <c r="BJ75" s="1" t="s">
        <v>22</v>
      </c>
      <c r="BK75" s="6">
        <v>0</v>
      </c>
      <c r="BL75" s="6">
        <v>0</v>
      </c>
      <c r="BM75" s="1">
        <v>1</v>
      </c>
      <c r="BN75" t="s">
        <v>22</v>
      </c>
      <c r="BO75">
        <v>111</v>
      </c>
    </row>
    <row r="76" spans="1:67" x14ac:dyDescent="0.3">
      <c r="A76" s="4">
        <f>INT(Tabela1[[#This Row],[Data e Hora]])</f>
        <v>46244</v>
      </c>
      <c r="B76" s="4" t="str">
        <f>UPPER(TEXT(Tabela1[[#This Row],[Data Corrigida]],"MMM"))</f>
        <v>AGO</v>
      </c>
      <c r="C76" t="s">
        <v>277</v>
      </c>
      <c r="D76" t="s">
        <v>278</v>
      </c>
      <c r="E76" t="s">
        <v>276</v>
      </c>
      <c r="F76" t="s">
        <v>19</v>
      </c>
      <c r="G76" s="5" t="s">
        <v>266</v>
      </c>
      <c r="H76" t="s">
        <v>20</v>
      </c>
      <c r="I76" t="s">
        <v>21</v>
      </c>
      <c r="J76" s="1">
        <v>140</v>
      </c>
      <c r="K76" s="1">
        <v>3060</v>
      </c>
      <c r="L76" t="s">
        <v>23</v>
      </c>
      <c r="M76" s="1">
        <v>27</v>
      </c>
      <c r="N76" s="48">
        <f>Tabela1[[#This Row],[Pena após Depenadeira]]/Tabela1[[#This Row],[Velocidade (FPM)]]*100</f>
        <v>19.285714285714288</v>
      </c>
      <c r="O76" s="1">
        <v>20</v>
      </c>
      <c r="P76" s="48">
        <f>Tabela1[[#This Row],[Pena após Repasse]]/Tabela1[[#This Row],[Velocidade (FPM)]]*100</f>
        <v>14.285714285714285</v>
      </c>
      <c r="Q76" s="1">
        <v>0</v>
      </c>
      <c r="R76" s="1">
        <v>0</v>
      </c>
      <c r="S76" s="1">
        <v>1</v>
      </c>
      <c r="T76" s="1">
        <v>1</v>
      </c>
      <c r="U76" s="1">
        <v>0</v>
      </c>
      <c r="V76" s="1">
        <v>0</v>
      </c>
      <c r="W76" s="1">
        <v>0</v>
      </c>
      <c r="X76" s="1">
        <v>0</v>
      </c>
      <c r="Y76" s="1">
        <v>4</v>
      </c>
      <c r="Z76" s="3">
        <f>IFERROR(Tabela1[[#This Row],[Retorno Pés]]/Tabela1[[#This Row],[Velocidade (FPM)]]*100,"")</f>
        <v>2.8571428571428572</v>
      </c>
      <c r="AA76" s="1">
        <v>1</v>
      </c>
      <c r="AB76" s="3">
        <v>0.7142857142857143</v>
      </c>
      <c r="AC76" s="1">
        <v>0</v>
      </c>
      <c r="AD76" s="3">
        <v>0</v>
      </c>
      <c r="AE76" s="1">
        <v>3</v>
      </c>
      <c r="AF76" s="3">
        <v>2.1428571428571428</v>
      </c>
      <c r="AG76" s="1">
        <v>8</v>
      </c>
      <c r="AH76" s="3">
        <v>5.7142857142857144</v>
      </c>
      <c r="AI76" s="1" t="s">
        <v>22</v>
      </c>
      <c r="AJ76" s="1">
        <v>2</v>
      </c>
      <c r="AK76" s="3">
        <v>1.4285714285714286</v>
      </c>
      <c r="AL76" s="1">
        <v>2</v>
      </c>
      <c r="AM76" s="3">
        <v>1.4285714285714286</v>
      </c>
      <c r="AN76" s="1" t="s">
        <v>22</v>
      </c>
      <c r="AO76" s="1">
        <v>2</v>
      </c>
      <c r="AP76" s="3">
        <v>1.4285714285714286</v>
      </c>
      <c r="AQ76" s="3"/>
      <c r="AR76" s="3"/>
      <c r="AS76" s="1">
        <v>4</v>
      </c>
      <c r="AT76" s="3">
        <v>2.8571428571428572</v>
      </c>
      <c r="AU76" s="1">
        <v>1</v>
      </c>
      <c r="AV76" s="3">
        <v>0.7142857142857143</v>
      </c>
      <c r="AW76" s="1" t="s">
        <v>22</v>
      </c>
      <c r="AX76" s="1">
        <v>19</v>
      </c>
      <c r="AY76" s="1">
        <v>0</v>
      </c>
      <c r="AZ76" s="1">
        <v>0</v>
      </c>
      <c r="BA76" s="1">
        <v>38</v>
      </c>
      <c r="BB76" s="1">
        <v>0</v>
      </c>
      <c r="BC76" s="1">
        <v>0</v>
      </c>
      <c r="BD76" s="1">
        <v>2</v>
      </c>
      <c r="BE76" s="54">
        <v>1.4285714285714286</v>
      </c>
      <c r="BF76" s="6">
        <v>24</v>
      </c>
      <c r="BG76" s="6">
        <v>19</v>
      </c>
      <c r="BH76" s="1">
        <v>1</v>
      </c>
      <c r="BI76" s="6">
        <v>10</v>
      </c>
      <c r="BJ76" s="1" t="s">
        <v>22</v>
      </c>
      <c r="BK76" s="1" t="s">
        <v>22</v>
      </c>
      <c r="BL76" s="1" t="s">
        <v>22</v>
      </c>
      <c r="BM76" s="1" t="s">
        <v>22</v>
      </c>
      <c r="BN76" t="s">
        <v>24</v>
      </c>
      <c r="BO76">
        <v>7655</v>
      </c>
    </row>
    <row r="77" spans="1:67" x14ac:dyDescent="0.3">
      <c r="A77" s="4">
        <f>INT(Tabela1[[#This Row],[Data e Hora]])</f>
        <v>46248</v>
      </c>
      <c r="B77" s="4" t="str">
        <f>UPPER(TEXT(Tabela1[[#This Row],[Data Corrigida]],"MMM"))</f>
        <v>AGO</v>
      </c>
      <c r="C77" t="s">
        <v>279</v>
      </c>
      <c r="D77" t="s">
        <v>280</v>
      </c>
      <c r="E77" t="s">
        <v>281</v>
      </c>
      <c r="F77" t="s">
        <v>19</v>
      </c>
      <c r="G77" s="5" t="s">
        <v>282</v>
      </c>
      <c r="H77" t="s">
        <v>20</v>
      </c>
      <c r="I77" t="s">
        <v>33</v>
      </c>
      <c r="J77" s="1">
        <v>157</v>
      </c>
      <c r="K77" s="1">
        <v>2993</v>
      </c>
      <c r="L77" t="s">
        <v>34</v>
      </c>
      <c r="M77" s="1">
        <v>21</v>
      </c>
      <c r="N77" s="48">
        <v>21</v>
      </c>
      <c r="O77" s="1">
        <v>10</v>
      </c>
      <c r="P77" s="48">
        <v>10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1</v>
      </c>
      <c r="Z77" s="3">
        <v>0.31847133757961787</v>
      </c>
      <c r="AA77" s="1">
        <v>6</v>
      </c>
      <c r="AB77" s="3">
        <v>3.8216560509554141</v>
      </c>
      <c r="AC77" s="1">
        <v>0</v>
      </c>
      <c r="AD77" s="3">
        <v>0</v>
      </c>
      <c r="AE77" s="1">
        <v>0</v>
      </c>
      <c r="AF77" s="3">
        <v>0</v>
      </c>
      <c r="AG77" s="1">
        <v>4</v>
      </c>
      <c r="AH77" s="3">
        <v>2.547770700636943</v>
      </c>
      <c r="AI77" s="1" t="s">
        <v>22</v>
      </c>
      <c r="AJ77" s="1">
        <v>0</v>
      </c>
      <c r="AK77" s="3">
        <v>0</v>
      </c>
      <c r="AL77" s="1">
        <v>0</v>
      </c>
      <c r="AM77" s="3">
        <v>0</v>
      </c>
      <c r="AN77" s="1" t="s">
        <v>22</v>
      </c>
      <c r="AO77" s="1">
        <v>6</v>
      </c>
      <c r="AP77" s="3">
        <v>3.8216560509554141</v>
      </c>
      <c r="AQ77" s="3"/>
      <c r="AR77" s="3"/>
      <c r="AS77" s="1">
        <v>4</v>
      </c>
      <c r="AT77" s="3">
        <v>2.547770700636943</v>
      </c>
      <c r="AU77" s="1">
        <v>0</v>
      </c>
      <c r="AV77" s="3">
        <v>0</v>
      </c>
      <c r="AW77" s="1" t="s">
        <v>22</v>
      </c>
      <c r="AX77" s="1">
        <v>5</v>
      </c>
      <c r="AY77" s="1">
        <v>0</v>
      </c>
      <c r="AZ77" s="1">
        <v>1</v>
      </c>
      <c r="BA77" s="1">
        <v>10</v>
      </c>
      <c r="BB77" s="1">
        <v>0</v>
      </c>
      <c r="BC77" s="1">
        <v>2</v>
      </c>
      <c r="BD77" s="1">
        <v>0</v>
      </c>
      <c r="BE77" s="54">
        <v>0</v>
      </c>
      <c r="BF77" s="6">
        <v>10</v>
      </c>
      <c r="BG77" s="6">
        <v>7</v>
      </c>
      <c r="BH77" s="1">
        <v>0</v>
      </c>
      <c r="BI77" s="6">
        <v>0</v>
      </c>
      <c r="BJ77" s="1" t="s">
        <v>22</v>
      </c>
      <c r="BK77" s="1" t="s">
        <v>22</v>
      </c>
      <c r="BL77" s="1" t="s">
        <v>22</v>
      </c>
      <c r="BM77" s="1" t="s">
        <v>22</v>
      </c>
      <c r="BN77" t="s">
        <v>22</v>
      </c>
      <c r="BO77">
        <v>3451</v>
      </c>
    </row>
    <row r="78" spans="1:67" x14ac:dyDescent="0.3">
      <c r="A78" s="4">
        <f>INT(Tabela1[[#This Row],[Data e Hora]])</f>
        <v>46248</v>
      </c>
      <c r="B78" s="4" t="str">
        <f>UPPER(TEXT(Tabela1[[#This Row],[Data Corrigida]],"MMM"))</f>
        <v>AGO</v>
      </c>
      <c r="C78" t="s">
        <v>283</v>
      </c>
      <c r="D78" t="s">
        <v>284</v>
      </c>
      <c r="E78" t="s">
        <v>285</v>
      </c>
      <c r="F78" t="s">
        <v>19</v>
      </c>
      <c r="G78" s="5" t="s">
        <v>282</v>
      </c>
      <c r="H78" t="s">
        <v>20</v>
      </c>
      <c r="I78" t="s">
        <v>33</v>
      </c>
      <c r="J78" s="1">
        <v>149</v>
      </c>
      <c r="K78" s="1">
        <v>2996</v>
      </c>
      <c r="L78" t="s">
        <v>34</v>
      </c>
      <c r="M78" s="1">
        <v>17</v>
      </c>
      <c r="N78" s="48">
        <v>17</v>
      </c>
      <c r="O78" s="1">
        <v>7</v>
      </c>
      <c r="P78" s="48">
        <v>7.0000000000000009</v>
      </c>
      <c r="Q78" s="1">
        <v>1</v>
      </c>
      <c r="R78" s="1">
        <v>10</v>
      </c>
      <c r="S78" s="1">
        <v>1</v>
      </c>
      <c r="T78" s="1">
        <v>1</v>
      </c>
      <c r="U78" s="1">
        <v>0</v>
      </c>
      <c r="V78" s="1">
        <v>0</v>
      </c>
      <c r="W78" s="1">
        <v>0</v>
      </c>
      <c r="X78" s="1">
        <v>0</v>
      </c>
      <c r="Y78" s="1">
        <v>3</v>
      </c>
      <c r="Z78" s="3">
        <v>1.006711409395973</v>
      </c>
      <c r="AA78" s="1">
        <v>16</v>
      </c>
      <c r="AB78" s="3">
        <v>10.738255033557047</v>
      </c>
      <c r="AC78" s="1">
        <v>0</v>
      </c>
      <c r="AD78" s="3">
        <v>0</v>
      </c>
      <c r="AE78" s="1">
        <v>0</v>
      </c>
      <c r="AF78" s="3">
        <v>0</v>
      </c>
      <c r="AG78" s="1">
        <v>5</v>
      </c>
      <c r="AH78" s="3">
        <v>3.3557046979865772</v>
      </c>
      <c r="AI78" s="1" t="s">
        <v>22</v>
      </c>
      <c r="AJ78" s="1">
        <v>0</v>
      </c>
      <c r="AK78" s="3">
        <v>0</v>
      </c>
      <c r="AL78" s="1">
        <v>0</v>
      </c>
      <c r="AM78" s="3">
        <v>0</v>
      </c>
      <c r="AN78" s="1" t="s">
        <v>22</v>
      </c>
      <c r="AO78" s="1">
        <v>9</v>
      </c>
      <c r="AP78" s="3">
        <v>6.0402684563758395</v>
      </c>
      <c r="AQ78" s="3"/>
      <c r="AR78" s="3"/>
      <c r="AS78" s="1">
        <v>6</v>
      </c>
      <c r="AT78" s="3">
        <v>4.0268456375838921</v>
      </c>
      <c r="AU78" s="1">
        <v>2</v>
      </c>
      <c r="AV78" s="3">
        <v>1.3422818791946309</v>
      </c>
      <c r="AW78" s="1" t="s">
        <v>22</v>
      </c>
      <c r="AX78" s="1">
        <v>18</v>
      </c>
      <c r="AY78" s="1">
        <v>0</v>
      </c>
      <c r="AZ78" s="1">
        <v>1</v>
      </c>
      <c r="BA78" s="1">
        <v>36</v>
      </c>
      <c r="BB78" s="1">
        <v>0</v>
      </c>
      <c r="BC78" s="1">
        <v>2</v>
      </c>
      <c r="BD78" s="1">
        <v>0</v>
      </c>
      <c r="BE78" s="54">
        <v>0</v>
      </c>
      <c r="BF78" s="6">
        <v>10</v>
      </c>
      <c r="BG78" s="6">
        <v>5</v>
      </c>
      <c r="BH78" s="1">
        <v>0</v>
      </c>
      <c r="BI78" s="6">
        <v>0</v>
      </c>
      <c r="BJ78" s="1" t="s">
        <v>22</v>
      </c>
      <c r="BK78" s="6">
        <v>7</v>
      </c>
      <c r="BL78" s="6">
        <v>0</v>
      </c>
      <c r="BM78" s="1">
        <v>0</v>
      </c>
      <c r="BN78" t="s">
        <v>24</v>
      </c>
      <c r="BO78">
        <v>8483</v>
      </c>
    </row>
    <row r="79" spans="1:67" x14ac:dyDescent="0.3">
      <c r="A79" s="4">
        <f>INT(Tabela1[[#This Row],[Data e Hora]])</f>
        <v>46248</v>
      </c>
      <c r="B79" s="4" t="str">
        <f>UPPER(TEXT(Tabela1[[#This Row],[Data Corrigida]],"MMM"))</f>
        <v>AGO</v>
      </c>
      <c r="C79" t="s">
        <v>286</v>
      </c>
      <c r="D79" t="s">
        <v>287</v>
      </c>
      <c r="E79" t="s">
        <v>285</v>
      </c>
      <c r="F79" t="s">
        <v>19</v>
      </c>
      <c r="G79" s="5" t="s">
        <v>282</v>
      </c>
      <c r="H79" t="s">
        <v>20</v>
      </c>
      <c r="I79" t="s">
        <v>33</v>
      </c>
      <c r="J79" s="1">
        <v>130</v>
      </c>
      <c r="K79" s="1">
        <v>2614</v>
      </c>
      <c r="L79" t="s">
        <v>34</v>
      </c>
      <c r="M79" s="1">
        <v>21</v>
      </c>
      <c r="N79" s="48">
        <v>21</v>
      </c>
      <c r="O79" s="1">
        <v>12</v>
      </c>
      <c r="P79" s="48">
        <v>12</v>
      </c>
      <c r="Q79" s="1">
        <v>1</v>
      </c>
      <c r="R79" s="1">
        <v>10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2</v>
      </c>
      <c r="Z79" s="3">
        <v>0.76923076923076927</v>
      </c>
      <c r="AA79" s="1">
        <v>8</v>
      </c>
      <c r="AB79" s="3">
        <v>6.1538461538461542</v>
      </c>
      <c r="AC79" s="1">
        <v>0</v>
      </c>
      <c r="AD79" s="3">
        <v>0</v>
      </c>
      <c r="AE79" s="1">
        <v>0</v>
      </c>
      <c r="AF79" s="3">
        <v>0</v>
      </c>
      <c r="AG79" s="1">
        <v>3</v>
      </c>
      <c r="AH79" s="3">
        <v>2.3076923076923079</v>
      </c>
      <c r="AI79" s="1" t="s">
        <v>22</v>
      </c>
      <c r="AJ79" s="1" t="s">
        <v>22</v>
      </c>
      <c r="AK79" s="3" t="s">
        <v>22</v>
      </c>
      <c r="AL79" s="1">
        <v>0</v>
      </c>
      <c r="AM79" s="3">
        <v>0</v>
      </c>
      <c r="AN79" s="1" t="s">
        <v>22</v>
      </c>
      <c r="AO79" s="1">
        <v>4</v>
      </c>
      <c r="AP79" s="3">
        <v>3.0769230769230771</v>
      </c>
      <c r="AQ79" s="3"/>
      <c r="AR79" s="3"/>
      <c r="AS79" s="1">
        <v>4</v>
      </c>
      <c r="AT79" s="3">
        <v>3.0769230769230771</v>
      </c>
      <c r="AU79" s="1">
        <v>0</v>
      </c>
      <c r="AV79" s="3">
        <v>0</v>
      </c>
      <c r="AW79" s="1" t="s">
        <v>22</v>
      </c>
      <c r="AX79" s="1">
        <v>10</v>
      </c>
      <c r="AY79" s="1">
        <v>0</v>
      </c>
      <c r="AZ79" s="1">
        <v>0</v>
      </c>
      <c r="BA79" s="1">
        <v>20</v>
      </c>
      <c r="BB79" s="1">
        <v>0</v>
      </c>
      <c r="BC79" s="1">
        <v>0</v>
      </c>
      <c r="BD79" s="1">
        <v>0</v>
      </c>
      <c r="BE79" s="54">
        <v>0</v>
      </c>
      <c r="BF79" s="6">
        <v>6</v>
      </c>
      <c r="BG79" s="6">
        <v>4</v>
      </c>
      <c r="BH79" s="1">
        <v>0</v>
      </c>
      <c r="BI79" s="6">
        <v>0</v>
      </c>
      <c r="BJ79" s="1" t="s">
        <v>22</v>
      </c>
      <c r="BK79" s="1" t="s">
        <v>22</v>
      </c>
      <c r="BL79" s="1" t="s">
        <v>22</v>
      </c>
      <c r="BM79" s="1" t="s">
        <v>22</v>
      </c>
      <c r="BN79" t="s">
        <v>24</v>
      </c>
      <c r="BO79">
        <v>12095</v>
      </c>
    </row>
    <row r="80" spans="1:67" x14ac:dyDescent="0.3">
      <c r="A80" s="4">
        <f>INT(Tabela1[[#This Row],[Data e Hora]])</f>
        <v>46248</v>
      </c>
      <c r="B80" s="4" t="str">
        <f>UPPER(TEXT(Tabela1[[#This Row],[Data Corrigida]],"MMM"))</f>
        <v>AGO</v>
      </c>
      <c r="C80" t="s">
        <v>288</v>
      </c>
      <c r="D80" t="s">
        <v>289</v>
      </c>
      <c r="E80" t="s">
        <v>290</v>
      </c>
      <c r="F80" t="s">
        <v>19</v>
      </c>
      <c r="G80" s="5" t="s">
        <v>282</v>
      </c>
      <c r="H80" t="s">
        <v>20</v>
      </c>
      <c r="I80" t="s">
        <v>21</v>
      </c>
      <c r="J80" s="1">
        <v>150</v>
      </c>
      <c r="K80" s="1">
        <v>2601</v>
      </c>
      <c r="L80" t="s">
        <v>23</v>
      </c>
      <c r="M80" s="1">
        <v>30</v>
      </c>
      <c r="N80" s="48">
        <v>30</v>
      </c>
      <c r="O80" s="1">
        <v>17</v>
      </c>
      <c r="P80" s="48">
        <v>17</v>
      </c>
      <c r="Q80" s="1">
        <v>0</v>
      </c>
      <c r="R80" s="1">
        <v>0</v>
      </c>
      <c r="S80" s="1">
        <v>1</v>
      </c>
      <c r="T80" s="1">
        <v>1</v>
      </c>
      <c r="U80" s="1">
        <v>1</v>
      </c>
      <c r="V80" s="1">
        <v>1</v>
      </c>
      <c r="W80" s="1">
        <v>0</v>
      </c>
      <c r="X80" s="1">
        <v>0</v>
      </c>
      <c r="Y80" s="1">
        <v>2</v>
      </c>
      <c r="Z80" s="3">
        <v>0.66666666666666674</v>
      </c>
      <c r="AA80" s="1">
        <v>4</v>
      </c>
      <c r="AB80" s="3">
        <v>2.666666666666667</v>
      </c>
      <c r="AC80" s="1">
        <v>0</v>
      </c>
      <c r="AD80" s="3">
        <v>0</v>
      </c>
      <c r="AE80" s="1">
        <v>0</v>
      </c>
      <c r="AF80" s="3">
        <v>0</v>
      </c>
      <c r="AG80" s="1">
        <v>6</v>
      </c>
      <c r="AH80" s="3">
        <v>4</v>
      </c>
      <c r="AI80" s="1" t="s">
        <v>22</v>
      </c>
      <c r="AJ80" s="1">
        <v>3</v>
      </c>
      <c r="AK80" s="3">
        <v>2</v>
      </c>
      <c r="AL80" s="1">
        <v>2</v>
      </c>
      <c r="AM80" s="3">
        <v>1.3333333333333335</v>
      </c>
      <c r="AN80" s="1" t="s">
        <v>22</v>
      </c>
      <c r="AO80" s="1">
        <v>4</v>
      </c>
      <c r="AP80" s="3">
        <v>2.666666666666667</v>
      </c>
      <c r="AQ80" s="3"/>
      <c r="AR80" s="3"/>
      <c r="AS80" s="1">
        <v>5</v>
      </c>
      <c r="AT80" s="3">
        <v>3.3333333333333335</v>
      </c>
      <c r="AU80" s="1">
        <v>1</v>
      </c>
      <c r="AV80" s="3">
        <v>0.66666666666666674</v>
      </c>
      <c r="AW80" s="1" t="s">
        <v>22</v>
      </c>
      <c r="AX80" s="1">
        <v>19</v>
      </c>
      <c r="AY80" s="1">
        <v>0</v>
      </c>
      <c r="AZ80" s="1">
        <v>0</v>
      </c>
      <c r="BA80" s="1">
        <v>38</v>
      </c>
      <c r="BB80" s="1">
        <v>0</v>
      </c>
      <c r="BC80" s="1">
        <v>0</v>
      </c>
      <c r="BD80" s="1">
        <v>1</v>
      </c>
      <c r="BE80" s="54">
        <v>0.66666666666666674</v>
      </c>
      <c r="BF80" s="6">
        <v>25</v>
      </c>
      <c r="BG80" s="6">
        <v>20</v>
      </c>
      <c r="BH80" s="1">
        <v>1</v>
      </c>
      <c r="BI80" s="6">
        <v>10</v>
      </c>
      <c r="BJ80" s="1" t="s">
        <v>22</v>
      </c>
      <c r="BK80" s="1" t="s">
        <v>22</v>
      </c>
      <c r="BL80" s="1" t="s">
        <v>22</v>
      </c>
      <c r="BM80" s="1" t="s">
        <v>22</v>
      </c>
      <c r="BN80" t="s">
        <v>22</v>
      </c>
      <c r="BO80">
        <v>3512</v>
      </c>
    </row>
    <row r="81" spans="1:67" x14ac:dyDescent="0.3">
      <c r="A81" s="4">
        <f>INT(Tabela1[[#This Row],[Data e Hora]])</f>
        <v>46248</v>
      </c>
      <c r="B81" s="4" t="str">
        <f>UPPER(TEXT(Tabela1[[#This Row],[Data Corrigida]],"MMM"))</f>
        <v>AGO</v>
      </c>
      <c r="C81" t="s">
        <v>291</v>
      </c>
      <c r="D81" t="s">
        <v>292</v>
      </c>
      <c r="E81" t="s">
        <v>290</v>
      </c>
      <c r="F81" t="s">
        <v>19</v>
      </c>
      <c r="G81" s="5" t="s">
        <v>282</v>
      </c>
      <c r="H81" t="s">
        <v>20</v>
      </c>
      <c r="I81" t="s">
        <v>21</v>
      </c>
      <c r="J81" s="1">
        <v>161</v>
      </c>
      <c r="K81" s="1">
        <v>2766</v>
      </c>
      <c r="L81" t="s">
        <v>23</v>
      </c>
      <c r="M81" s="1">
        <v>29</v>
      </c>
      <c r="N81" s="48">
        <v>28.999999999999996</v>
      </c>
      <c r="O81" s="1">
        <v>16</v>
      </c>
      <c r="P81" s="48">
        <v>16</v>
      </c>
      <c r="Q81" s="1">
        <v>0</v>
      </c>
      <c r="R81" s="1">
        <v>0</v>
      </c>
      <c r="S81" s="1">
        <v>4</v>
      </c>
      <c r="T81" s="1">
        <v>4</v>
      </c>
      <c r="U81" s="1">
        <v>1</v>
      </c>
      <c r="V81" s="1">
        <v>1</v>
      </c>
      <c r="W81" s="1">
        <v>0</v>
      </c>
      <c r="X81" s="1">
        <v>0</v>
      </c>
      <c r="Y81" s="1">
        <v>2</v>
      </c>
      <c r="Z81" s="3">
        <v>0.6211180124223602</v>
      </c>
      <c r="AA81" s="1">
        <v>5</v>
      </c>
      <c r="AB81" s="3">
        <v>3.1055900621118013</v>
      </c>
      <c r="AC81" s="1">
        <v>0</v>
      </c>
      <c r="AD81" s="3">
        <v>0</v>
      </c>
      <c r="AE81" s="1">
        <v>1</v>
      </c>
      <c r="AF81" s="3">
        <v>0.6211180124223602</v>
      </c>
      <c r="AG81" s="1">
        <v>5</v>
      </c>
      <c r="AH81" s="3">
        <v>3.1055900621118013</v>
      </c>
      <c r="AI81" s="1" t="s">
        <v>22</v>
      </c>
      <c r="AJ81" s="1">
        <v>3</v>
      </c>
      <c r="AK81" s="3">
        <v>1.8633540372670807</v>
      </c>
      <c r="AL81" s="1">
        <v>2</v>
      </c>
      <c r="AM81" s="3">
        <v>1.2422360248447204</v>
      </c>
      <c r="AN81" s="1" t="s">
        <v>22</v>
      </c>
      <c r="AO81" s="1">
        <v>6</v>
      </c>
      <c r="AP81" s="3">
        <v>3.7267080745341614</v>
      </c>
      <c r="AQ81" s="3"/>
      <c r="AR81" s="3"/>
      <c r="AS81" s="1">
        <v>5</v>
      </c>
      <c r="AT81" s="3">
        <v>3.1055900621118013</v>
      </c>
      <c r="AU81" s="1">
        <v>1</v>
      </c>
      <c r="AV81" s="3">
        <v>0.6211180124223602</v>
      </c>
      <c r="AW81" s="1" t="s">
        <v>22</v>
      </c>
      <c r="AX81" s="1">
        <v>21</v>
      </c>
      <c r="AY81" s="1">
        <v>2</v>
      </c>
      <c r="AZ81" s="1">
        <v>2</v>
      </c>
      <c r="BA81" s="1">
        <v>42</v>
      </c>
      <c r="BB81" s="1">
        <v>4</v>
      </c>
      <c r="BC81" s="1">
        <v>4</v>
      </c>
      <c r="BD81" s="1">
        <v>2</v>
      </c>
      <c r="BE81" s="54">
        <v>1.2422360248447204</v>
      </c>
      <c r="BF81" s="6">
        <v>26</v>
      </c>
      <c r="BG81" s="6">
        <v>20</v>
      </c>
      <c r="BH81" s="1">
        <v>0</v>
      </c>
      <c r="BI81" s="6">
        <v>0</v>
      </c>
      <c r="BJ81" s="1" t="s">
        <v>22</v>
      </c>
      <c r="BK81" s="6">
        <v>1</v>
      </c>
      <c r="BL81" s="6">
        <v>0</v>
      </c>
      <c r="BM81" s="1">
        <v>1</v>
      </c>
      <c r="BN81" t="s">
        <v>24</v>
      </c>
      <c r="BO81">
        <v>3294</v>
      </c>
    </row>
    <row r="82" spans="1:67" x14ac:dyDescent="0.3">
      <c r="A82" s="4">
        <f>INT(Tabela1[[#This Row],[Data e Hora]])</f>
        <v>46248</v>
      </c>
      <c r="B82" s="4" t="str">
        <f>UPPER(TEXT(Tabela1[[#This Row],[Data Corrigida]],"MMM"))</f>
        <v>AGO</v>
      </c>
      <c r="C82" t="s">
        <v>293</v>
      </c>
      <c r="D82" t="s">
        <v>294</v>
      </c>
      <c r="E82" t="s">
        <v>295</v>
      </c>
      <c r="F82" t="s">
        <v>19</v>
      </c>
      <c r="G82" s="5" t="s">
        <v>282</v>
      </c>
      <c r="H82" t="s">
        <v>20</v>
      </c>
      <c r="I82" t="s">
        <v>21</v>
      </c>
      <c r="J82" s="1">
        <v>156</v>
      </c>
      <c r="K82" s="1">
        <v>2600</v>
      </c>
      <c r="L82" t="s">
        <v>23</v>
      </c>
      <c r="M82" s="1">
        <v>33</v>
      </c>
      <c r="N82" s="48">
        <v>33</v>
      </c>
      <c r="O82" s="1">
        <v>15</v>
      </c>
      <c r="P82" s="48">
        <v>15</v>
      </c>
      <c r="Q82" s="1">
        <v>0</v>
      </c>
      <c r="R82" s="1">
        <v>0</v>
      </c>
      <c r="S82" s="1">
        <v>1</v>
      </c>
      <c r="T82" s="1">
        <v>1</v>
      </c>
      <c r="U82" s="1">
        <v>0</v>
      </c>
      <c r="V82" s="1">
        <v>0</v>
      </c>
      <c r="W82" s="1">
        <v>0</v>
      </c>
      <c r="X82" s="1">
        <v>0</v>
      </c>
      <c r="Y82" s="1">
        <v>2</v>
      </c>
      <c r="Z82" s="3">
        <v>0.64102564102564097</v>
      </c>
      <c r="AA82" s="1">
        <v>4</v>
      </c>
      <c r="AB82" s="3">
        <v>2.5641025641025639</v>
      </c>
      <c r="AC82" s="1">
        <v>0</v>
      </c>
      <c r="AD82" s="3">
        <v>0</v>
      </c>
      <c r="AE82" s="1">
        <v>2</v>
      </c>
      <c r="AF82" s="3">
        <v>1.2820512820512819</v>
      </c>
      <c r="AG82" s="1">
        <v>6</v>
      </c>
      <c r="AH82" s="3">
        <v>3.8461538461538463</v>
      </c>
      <c r="AI82" s="1" t="s">
        <v>22</v>
      </c>
      <c r="AJ82" s="1">
        <v>2</v>
      </c>
      <c r="AK82" s="3">
        <v>1.2820512820512819</v>
      </c>
      <c r="AL82" s="1">
        <v>1</v>
      </c>
      <c r="AM82" s="3">
        <v>0.64102564102564097</v>
      </c>
      <c r="AN82" s="1" t="s">
        <v>22</v>
      </c>
      <c r="AO82" s="1">
        <v>4</v>
      </c>
      <c r="AP82" s="3">
        <v>2.5641025641025639</v>
      </c>
      <c r="AQ82" s="3"/>
      <c r="AR82" s="3"/>
      <c r="AS82" s="1">
        <v>5</v>
      </c>
      <c r="AT82" s="3">
        <v>3.2051282051282048</v>
      </c>
      <c r="AU82" s="1">
        <v>1</v>
      </c>
      <c r="AV82" s="3">
        <v>0.64102564102564097</v>
      </c>
      <c r="AW82" s="1" t="s">
        <v>22</v>
      </c>
      <c r="AX82" s="1">
        <v>19</v>
      </c>
      <c r="AY82" s="1">
        <v>2</v>
      </c>
      <c r="AZ82" s="1">
        <v>2</v>
      </c>
      <c r="BA82" s="1">
        <v>38</v>
      </c>
      <c r="BB82" s="1">
        <v>4</v>
      </c>
      <c r="BC82" s="1">
        <v>4</v>
      </c>
      <c r="BD82" s="1">
        <v>2</v>
      </c>
      <c r="BE82" s="54">
        <v>1.2820512820512819</v>
      </c>
      <c r="BF82" s="6">
        <v>27</v>
      </c>
      <c r="BG82" s="6">
        <v>19</v>
      </c>
      <c r="BH82" s="1">
        <v>0</v>
      </c>
      <c r="BI82" s="6">
        <v>0</v>
      </c>
      <c r="BJ82" s="1" t="s">
        <v>22</v>
      </c>
      <c r="BK82" s="1" t="s">
        <v>22</v>
      </c>
      <c r="BL82" s="1" t="s">
        <v>22</v>
      </c>
      <c r="BM82" s="1" t="s">
        <v>22</v>
      </c>
      <c r="BN82" t="s">
        <v>24</v>
      </c>
      <c r="BO82">
        <v>1679</v>
      </c>
    </row>
    <row r="83" spans="1:67" x14ac:dyDescent="0.3">
      <c r="A83" s="4">
        <f>INT(Tabela1[[#This Row],[Data e Hora]])</f>
        <v>46247</v>
      </c>
      <c r="B83" s="4" t="str">
        <f>UPPER(TEXT(Tabela1[[#This Row],[Data Corrigida]],"MMM"))</f>
        <v>AGO</v>
      </c>
      <c r="C83" t="s">
        <v>296</v>
      </c>
      <c r="D83" t="s">
        <v>297</v>
      </c>
      <c r="E83" t="s">
        <v>298</v>
      </c>
      <c r="F83" t="s">
        <v>19</v>
      </c>
      <c r="G83" s="5" t="s">
        <v>299</v>
      </c>
      <c r="H83" t="s">
        <v>20</v>
      </c>
      <c r="I83" t="s">
        <v>33</v>
      </c>
      <c r="J83" s="1">
        <v>139</v>
      </c>
      <c r="K83" s="1">
        <v>2815</v>
      </c>
      <c r="L83" t="s">
        <v>34</v>
      </c>
      <c r="M83" s="1">
        <v>15</v>
      </c>
      <c r="N83" s="48">
        <v>15</v>
      </c>
      <c r="O83" s="1">
        <v>3</v>
      </c>
      <c r="P83" s="48">
        <v>3</v>
      </c>
      <c r="Q83" s="1">
        <v>1</v>
      </c>
      <c r="R83" s="1">
        <v>10</v>
      </c>
      <c r="S83" s="1">
        <v>0</v>
      </c>
      <c r="T83" s="1">
        <v>0</v>
      </c>
      <c r="U83" s="1">
        <v>0</v>
      </c>
      <c r="V83" s="1">
        <v>0</v>
      </c>
      <c r="W83" s="1">
        <v>1</v>
      </c>
      <c r="X83" s="1">
        <v>5</v>
      </c>
      <c r="Y83" s="1">
        <v>3</v>
      </c>
      <c r="Z83" s="3">
        <v>1.079136690647482</v>
      </c>
      <c r="AA83" s="1">
        <v>5</v>
      </c>
      <c r="AB83" s="3">
        <v>3.5971223021582732</v>
      </c>
      <c r="AC83" s="1">
        <v>0</v>
      </c>
      <c r="AD83" s="3">
        <v>0</v>
      </c>
      <c r="AE83" s="1">
        <v>0</v>
      </c>
      <c r="AF83" s="3">
        <v>0</v>
      </c>
      <c r="AG83" s="1">
        <v>4</v>
      </c>
      <c r="AH83" s="3">
        <v>2.877697841726619</v>
      </c>
      <c r="AI83" s="1" t="s">
        <v>22</v>
      </c>
      <c r="AJ83" s="1">
        <v>0</v>
      </c>
      <c r="AK83" s="3">
        <v>0</v>
      </c>
      <c r="AL83" s="1">
        <v>0</v>
      </c>
      <c r="AM83" s="3">
        <v>0</v>
      </c>
      <c r="AN83" s="1" t="s">
        <v>22</v>
      </c>
      <c r="AO83" s="1">
        <v>4</v>
      </c>
      <c r="AP83" s="3">
        <v>2.877697841726619</v>
      </c>
      <c r="AQ83" s="3"/>
      <c r="AR83" s="3"/>
      <c r="AS83" s="1">
        <v>1</v>
      </c>
      <c r="AT83" s="3">
        <v>0.71942446043165476</v>
      </c>
      <c r="AU83" s="1">
        <v>0</v>
      </c>
      <c r="AV83" s="3">
        <v>0</v>
      </c>
      <c r="AW83" s="1" t="s">
        <v>22</v>
      </c>
      <c r="AX83" s="1">
        <v>10</v>
      </c>
      <c r="AY83" s="1">
        <v>0</v>
      </c>
      <c r="AZ83" s="1">
        <v>0</v>
      </c>
      <c r="BA83" s="1">
        <v>20</v>
      </c>
      <c r="BB83" s="1">
        <v>0</v>
      </c>
      <c r="BC83" s="1">
        <v>0</v>
      </c>
      <c r="BD83" s="1">
        <v>0</v>
      </c>
      <c r="BE83" s="54">
        <v>0</v>
      </c>
      <c r="BF83" s="6">
        <v>5</v>
      </c>
      <c r="BG83" s="6">
        <v>2</v>
      </c>
      <c r="BH83" s="1">
        <v>0</v>
      </c>
      <c r="BI83" s="6">
        <v>0</v>
      </c>
      <c r="BJ83" s="1" t="s">
        <v>22</v>
      </c>
      <c r="BK83" s="6">
        <v>4</v>
      </c>
      <c r="BL83" s="6">
        <v>0</v>
      </c>
      <c r="BM83" s="1">
        <v>0</v>
      </c>
      <c r="BN83" t="s">
        <v>24</v>
      </c>
      <c r="BO83">
        <v>11268</v>
      </c>
    </row>
    <row r="84" spans="1:67" x14ac:dyDescent="0.3">
      <c r="A84" s="4">
        <f>INT(Tabela1[[#This Row],[Data e Hora]])</f>
        <v>46247</v>
      </c>
      <c r="B84" s="4" t="str">
        <f>UPPER(TEXT(Tabela1[[#This Row],[Data Corrigida]],"MMM"))</f>
        <v>AGO</v>
      </c>
      <c r="C84" t="s">
        <v>300</v>
      </c>
      <c r="D84" t="s">
        <v>301</v>
      </c>
      <c r="E84" t="s">
        <v>298</v>
      </c>
      <c r="F84" t="s">
        <v>19</v>
      </c>
      <c r="G84" s="5" t="s">
        <v>299</v>
      </c>
      <c r="H84" t="s">
        <v>20</v>
      </c>
      <c r="I84" t="s">
        <v>33</v>
      </c>
      <c r="J84" s="1">
        <v>140</v>
      </c>
      <c r="K84" s="1">
        <v>2852</v>
      </c>
      <c r="L84" t="s">
        <v>34</v>
      </c>
      <c r="M84" s="1">
        <v>21</v>
      </c>
      <c r="N84" s="48">
        <v>21</v>
      </c>
      <c r="O84" s="1">
        <v>16</v>
      </c>
      <c r="P84" s="48">
        <v>16</v>
      </c>
      <c r="Q84" s="1">
        <v>1</v>
      </c>
      <c r="R84" s="1">
        <v>10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5</v>
      </c>
      <c r="Z84" s="3">
        <v>1.7857142857142856</v>
      </c>
      <c r="AA84" s="1">
        <v>7</v>
      </c>
      <c r="AB84" s="3">
        <v>5</v>
      </c>
      <c r="AC84" s="1">
        <v>0</v>
      </c>
      <c r="AD84" s="3">
        <v>0</v>
      </c>
      <c r="AE84" s="1">
        <v>1</v>
      </c>
      <c r="AF84" s="3">
        <v>0.7142857142857143</v>
      </c>
      <c r="AG84" s="1">
        <v>3</v>
      </c>
      <c r="AH84" s="3">
        <v>2.1428571428571428</v>
      </c>
      <c r="AI84" s="1" t="s">
        <v>22</v>
      </c>
      <c r="AJ84" s="1">
        <v>0</v>
      </c>
      <c r="AK84" s="3">
        <v>0</v>
      </c>
      <c r="AL84" s="1">
        <v>0</v>
      </c>
      <c r="AM84" s="3">
        <v>0</v>
      </c>
      <c r="AN84" s="1" t="s">
        <v>22</v>
      </c>
      <c r="AO84" s="1">
        <v>3</v>
      </c>
      <c r="AP84" s="3">
        <v>2.1428571428571428</v>
      </c>
      <c r="AQ84" s="3"/>
      <c r="AR84" s="3"/>
      <c r="AS84" s="1">
        <v>3</v>
      </c>
      <c r="AT84" s="3">
        <v>2.1428571428571428</v>
      </c>
      <c r="AU84" s="1">
        <v>0</v>
      </c>
      <c r="AV84" s="3">
        <v>0</v>
      </c>
      <c r="AW84" s="1" t="s">
        <v>22</v>
      </c>
      <c r="AX84" s="1">
        <v>14</v>
      </c>
      <c r="AY84" s="1">
        <v>0</v>
      </c>
      <c r="AZ84" s="1">
        <v>0</v>
      </c>
      <c r="BA84" s="1">
        <v>28</v>
      </c>
      <c r="BB84" s="1">
        <v>0</v>
      </c>
      <c r="BC84" s="1">
        <v>0</v>
      </c>
      <c r="BD84" s="1">
        <v>0</v>
      </c>
      <c r="BE84" s="54">
        <v>0</v>
      </c>
      <c r="BF84" s="6">
        <v>6</v>
      </c>
      <c r="BG84" s="6">
        <v>4</v>
      </c>
      <c r="BH84" s="1">
        <v>0</v>
      </c>
      <c r="BI84" s="6">
        <v>0</v>
      </c>
      <c r="BJ84" s="1" t="s">
        <v>22</v>
      </c>
      <c r="BK84" s="6">
        <v>4</v>
      </c>
      <c r="BL84" s="6">
        <v>0</v>
      </c>
      <c r="BM84" s="1">
        <v>0</v>
      </c>
      <c r="BN84" t="s">
        <v>24</v>
      </c>
      <c r="BO84">
        <v>9964</v>
      </c>
    </row>
    <row r="85" spans="1:67" x14ac:dyDescent="0.3">
      <c r="A85" s="4">
        <f>INT(Tabela1[[#This Row],[Data e Hora]])</f>
        <v>46247</v>
      </c>
      <c r="B85" s="4" t="str">
        <f>UPPER(TEXT(Tabela1[[#This Row],[Data Corrigida]],"MMM"))</f>
        <v>AGO</v>
      </c>
      <c r="C85" t="s">
        <v>302</v>
      </c>
      <c r="D85" t="s">
        <v>303</v>
      </c>
      <c r="E85" t="s">
        <v>304</v>
      </c>
      <c r="F85" t="s">
        <v>19</v>
      </c>
      <c r="G85" s="5" t="s">
        <v>299</v>
      </c>
      <c r="H85" t="s">
        <v>20</v>
      </c>
      <c r="I85" t="s">
        <v>21</v>
      </c>
      <c r="J85" s="1">
        <v>160</v>
      </c>
      <c r="K85" s="1">
        <v>2890</v>
      </c>
      <c r="L85" t="s">
        <v>23</v>
      </c>
      <c r="M85" s="1">
        <v>25</v>
      </c>
      <c r="N85" s="48">
        <v>25</v>
      </c>
      <c r="O85" s="1">
        <v>13</v>
      </c>
      <c r="P85" s="48">
        <v>13</v>
      </c>
      <c r="Q85" s="1">
        <v>0</v>
      </c>
      <c r="R85" s="1">
        <v>0</v>
      </c>
      <c r="S85" s="1">
        <v>4</v>
      </c>
      <c r="T85" s="1">
        <v>4</v>
      </c>
      <c r="U85" s="1">
        <v>1</v>
      </c>
      <c r="V85" s="1">
        <v>1</v>
      </c>
      <c r="W85" s="1">
        <v>0</v>
      </c>
      <c r="X85" s="1">
        <v>0</v>
      </c>
      <c r="Y85" s="1">
        <v>2</v>
      </c>
      <c r="Z85" s="3">
        <v>0.625</v>
      </c>
      <c r="AA85" s="1">
        <v>4</v>
      </c>
      <c r="AB85" s="3">
        <v>2.5</v>
      </c>
      <c r="AC85" s="1">
        <v>0</v>
      </c>
      <c r="AD85" s="3">
        <v>0</v>
      </c>
      <c r="AE85" s="1">
        <v>1</v>
      </c>
      <c r="AF85" s="3">
        <v>0.625</v>
      </c>
      <c r="AG85" s="1">
        <v>5</v>
      </c>
      <c r="AH85" s="3">
        <v>3.125</v>
      </c>
      <c r="AI85" s="1" t="s">
        <v>22</v>
      </c>
      <c r="AJ85" s="1">
        <v>1</v>
      </c>
      <c r="AK85" s="3">
        <v>0.625</v>
      </c>
      <c r="AL85" s="1">
        <v>1</v>
      </c>
      <c r="AM85" s="3">
        <v>0.625</v>
      </c>
      <c r="AN85" s="1" t="s">
        <v>22</v>
      </c>
      <c r="AO85" s="1">
        <v>5</v>
      </c>
      <c r="AP85" s="3">
        <v>3.125</v>
      </c>
      <c r="AQ85" s="3"/>
      <c r="AR85" s="3"/>
      <c r="AS85" s="1">
        <v>5</v>
      </c>
      <c r="AT85" s="3">
        <v>3.125</v>
      </c>
      <c r="AU85" s="1">
        <v>1</v>
      </c>
      <c r="AV85" s="3">
        <v>0.625</v>
      </c>
      <c r="AW85" s="1" t="s">
        <v>22</v>
      </c>
      <c r="AX85" s="1">
        <v>19</v>
      </c>
      <c r="AY85" s="1">
        <v>0</v>
      </c>
      <c r="AZ85" s="1">
        <v>0</v>
      </c>
      <c r="BA85" s="1">
        <v>38</v>
      </c>
      <c r="BB85" s="1">
        <v>0</v>
      </c>
      <c r="BC85" s="1">
        <v>0</v>
      </c>
      <c r="BD85" s="1">
        <v>0</v>
      </c>
      <c r="BE85" s="54">
        <v>0</v>
      </c>
      <c r="BF85" s="6">
        <v>28</v>
      </c>
      <c r="BG85" s="6">
        <v>20</v>
      </c>
      <c r="BH85" s="1">
        <v>1</v>
      </c>
      <c r="BI85" s="6">
        <v>10</v>
      </c>
      <c r="BJ85" s="1" t="s">
        <v>22</v>
      </c>
      <c r="BK85" s="6">
        <v>0</v>
      </c>
      <c r="BL85" s="6">
        <v>0</v>
      </c>
      <c r="BM85" s="1">
        <v>1</v>
      </c>
      <c r="BN85" t="s">
        <v>24</v>
      </c>
      <c r="BO85">
        <v>2074</v>
      </c>
    </row>
    <row r="86" spans="1:67" x14ac:dyDescent="0.3">
      <c r="A86" s="4">
        <f>INT(Tabela1[[#This Row],[Data e Hora]])</f>
        <v>46247</v>
      </c>
      <c r="B86" s="4" t="str">
        <f>UPPER(TEXT(Tabela1[[#This Row],[Data Corrigida]],"MMM"))</f>
        <v>AGO</v>
      </c>
      <c r="C86" t="s">
        <v>305</v>
      </c>
      <c r="D86" t="s">
        <v>306</v>
      </c>
      <c r="E86" t="s">
        <v>307</v>
      </c>
      <c r="F86" t="s">
        <v>19</v>
      </c>
      <c r="G86" s="5" t="s">
        <v>299</v>
      </c>
      <c r="H86" t="s">
        <v>20</v>
      </c>
      <c r="I86" t="s">
        <v>21</v>
      </c>
      <c r="J86" s="1">
        <v>151</v>
      </c>
      <c r="K86" s="1">
        <v>2931</v>
      </c>
      <c r="L86" t="s">
        <v>23</v>
      </c>
      <c r="M86" s="1">
        <v>39</v>
      </c>
      <c r="N86" s="48">
        <v>39</v>
      </c>
      <c r="O86" s="1">
        <v>17</v>
      </c>
      <c r="P86" s="48">
        <v>17</v>
      </c>
      <c r="Q86" s="1">
        <v>0</v>
      </c>
      <c r="R86" s="1">
        <v>0</v>
      </c>
      <c r="S86" s="1">
        <v>2</v>
      </c>
      <c r="T86" s="1">
        <v>2</v>
      </c>
      <c r="U86" s="1">
        <v>1</v>
      </c>
      <c r="V86" s="1">
        <v>1</v>
      </c>
      <c r="W86" s="1">
        <v>0</v>
      </c>
      <c r="X86" s="1">
        <v>0</v>
      </c>
      <c r="Y86" s="1">
        <v>2</v>
      </c>
      <c r="Z86" s="3">
        <v>0.66225165562913912</v>
      </c>
      <c r="AA86" s="1">
        <v>3</v>
      </c>
      <c r="AB86" s="3">
        <v>1.9867549668874174</v>
      </c>
      <c r="AC86" s="1">
        <v>0</v>
      </c>
      <c r="AD86" s="3">
        <v>0</v>
      </c>
      <c r="AE86" s="1">
        <v>2</v>
      </c>
      <c r="AF86" s="3">
        <v>1.3245033112582782</v>
      </c>
      <c r="AG86" s="1">
        <v>5</v>
      </c>
      <c r="AH86" s="3">
        <v>3.3112582781456954</v>
      </c>
      <c r="AI86" s="1" t="s">
        <v>22</v>
      </c>
      <c r="AJ86" s="1">
        <v>1</v>
      </c>
      <c r="AK86" s="3">
        <v>0.66225165562913912</v>
      </c>
      <c r="AL86" s="1">
        <v>2</v>
      </c>
      <c r="AM86" s="3">
        <v>1.3245033112582782</v>
      </c>
      <c r="AN86" s="1" t="s">
        <v>22</v>
      </c>
      <c r="AO86" s="1">
        <v>5</v>
      </c>
      <c r="AP86" s="3">
        <v>3.3112582781456954</v>
      </c>
      <c r="AQ86" s="3"/>
      <c r="AR86" s="3"/>
      <c r="AS86" s="1">
        <v>6</v>
      </c>
      <c r="AT86" s="3">
        <v>3.9735099337748347</v>
      </c>
      <c r="AU86" s="1">
        <v>1</v>
      </c>
      <c r="AV86" s="3">
        <v>0.66225165562913912</v>
      </c>
      <c r="AW86" s="1" t="s">
        <v>22</v>
      </c>
      <c r="AX86" s="1">
        <v>19</v>
      </c>
      <c r="AY86" s="1">
        <v>2</v>
      </c>
      <c r="AZ86" s="1">
        <v>2</v>
      </c>
      <c r="BA86" s="1">
        <v>38</v>
      </c>
      <c r="BB86" s="1">
        <v>4</v>
      </c>
      <c r="BC86" s="1">
        <v>4</v>
      </c>
      <c r="BD86" s="1">
        <v>1</v>
      </c>
      <c r="BE86" s="54">
        <v>0.66225165562913912</v>
      </c>
      <c r="BF86" s="6">
        <v>28</v>
      </c>
      <c r="BG86" s="6">
        <v>22</v>
      </c>
      <c r="BH86" s="1">
        <v>1</v>
      </c>
      <c r="BI86" s="6">
        <v>10</v>
      </c>
      <c r="BJ86" s="1" t="s">
        <v>22</v>
      </c>
      <c r="BK86" s="6">
        <v>0</v>
      </c>
      <c r="BL86" s="6">
        <v>0</v>
      </c>
      <c r="BM86" s="1">
        <v>2</v>
      </c>
      <c r="BN86" t="s">
        <v>24</v>
      </c>
      <c r="BO86">
        <v>14672</v>
      </c>
    </row>
    <row r="87" spans="1:67" x14ac:dyDescent="0.3">
      <c r="A87" s="4">
        <f>INT(Tabela1[[#This Row],[Data e Hora]])</f>
        <v>46247</v>
      </c>
      <c r="B87" s="4" t="str">
        <f>UPPER(TEXT(Tabela1[[#This Row],[Data Corrigida]],"MMM"))</f>
        <v>AGO</v>
      </c>
      <c r="C87" t="s">
        <v>308</v>
      </c>
      <c r="D87" t="s">
        <v>309</v>
      </c>
      <c r="E87" t="s">
        <v>307</v>
      </c>
      <c r="F87" t="s">
        <v>19</v>
      </c>
      <c r="G87" s="5" t="s">
        <v>299</v>
      </c>
      <c r="H87" t="s">
        <v>20</v>
      </c>
      <c r="I87" t="s">
        <v>21</v>
      </c>
      <c r="J87" s="1">
        <v>150</v>
      </c>
      <c r="K87" s="1">
        <v>2900</v>
      </c>
      <c r="L87" t="s">
        <v>23</v>
      </c>
      <c r="M87" s="1">
        <v>11</v>
      </c>
      <c r="N87" s="48">
        <v>11</v>
      </c>
      <c r="O87" s="1">
        <v>3</v>
      </c>
      <c r="P87" s="48">
        <v>3</v>
      </c>
      <c r="Q87" s="1">
        <v>0</v>
      </c>
      <c r="R87" s="1">
        <v>0</v>
      </c>
      <c r="S87" s="1">
        <v>1</v>
      </c>
      <c r="T87" s="1">
        <v>1</v>
      </c>
      <c r="U87" s="1">
        <v>0</v>
      </c>
      <c r="V87" s="1">
        <v>0</v>
      </c>
      <c r="W87" s="1">
        <v>0</v>
      </c>
      <c r="X87" s="1">
        <v>0</v>
      </c>
      <c r="Y87" s="1">
        <v>2</v>
      </c>
      <c r="Z87" s="3">
        <v>0.66666666666666674</v>
      </c>
      <c r="AA87" s="1">
        <v>4</v>
      </c>
      <c r="AB87" s="3">
        <v>2.666666666666667</v>
      </c>
      <c r="AC87" s="1">
        <v>0</v>
      </c>
      <c r="AD87" s="3">
        <v>0</v>
      </c>
      <c r="AE87" s="1">
        <v>2</v>
      </c>
      <c r="AF87" s="3">
        <v>1.3333333333333335</v>
      </c>
      <c r="AG87" s="1">
        <v>5</v>
      </c>
      <c r="AH87" s="3">
        <v>3.3333333333333335</v>
      </c>
      <c r="AI87" s="1" t="s">
        <v>22</v>
      </c>
      <c r="AJ87" s="1">
        <v>3</v>
      </c>
      <c r="AK87" s="3">
        <v>2</v>
      </c>
      <c r="AL87" s="1">
        <v>1</v>
      </c>
      <c r="AM87" s="3">
        <v>0.66666666666666674</v>
      </c>
      <c r="AN87" s="1" t="s">
        <v>22</v>
      </c>
      <c r="AO87" s="1">
        <v>4</v>
      </c>
      <c r="AP87" s="3">
        <v>2.666666666666667</v>
      </c>
      <c r="AQ87" s="3"/>
      <c r="AR87" s="3"/>
      <c r="AS87" s="1">
        <v>5</v>
      </c>
      <c r="AT87" s="3">
        <v>3.3333333333333335</v>
      </c>
      <c r="AU87" s="1">
        <v>1</v>
      </c>
      <c r="AV87" s="3">
        <v>0.66666666666666674</v>
      </c>
      <c r="AW87" s="1" t="s">
        <v>22</v>
      </c>
      <c r="AX87" s="1">
        <v>16</v>
      </c>
      <c r="AY87" s="1">
        <v>0</v>
      </c>
      <c r="AZ87" s="1">
        <v>0</v>
      </c>
      <c r="BA87" s="1">
        <v>32</v>
      </c>
      <c r="BB87" s="1">
        <v>0</v>
      </c>
      <c r="BC87" s="1">
        <v>0</v>
      </c>
      <c r="BD87" s="1">
        <v>2</v>
      </c>
      <c r="BE87" s="54">
        <v>1.3333333333333335</v>
      </c>
      <c r="BF87" s="6">
        <v>27</v>
      </c>
      <c r="BG87" s="6">
        <v>19</v>
      </c>
      <c r="BH87" s="1">
        <v>1</v>
      </c>
      <c r="BI87" s="6">
        <v>10</v>
      </c>
      <c r="BJ87" s="1" t="s">
        <v>22</v>
      </c>
      <c r="BK87" s="1" t="s">
        <v>22</v>
      </c>
      <c r="BL87" s="1" t="s">
        <v>22</v>
      </c>
      <c r="BM87" s="1" t="s">
        <v>22</v>
      </c>
      <c r="BN87" t="s">
        <v>24</v>
      </c>
      <c r="BO87">
        <v>1737</v>
      </c>
    </row>
    <row r="88" spans="1:67" x14ac:dyDescent="0.3">
      <c r="A88" s="4">
        <f>INT(Tabela1[[#This Row],[Data e Hora]])</f>
        <v>46246</v>
      </c>
      <c r="B88" s="4" t="str">
        <f>UPPER(TEXT(Tabela1[[#This Row],[Data Corrigida]],"MMM"))</f>
        <v>AGO</v>
      </c>
      <c r="C88" t="s">
        <v>310</v>
      </c>
      <c r="D88" t="s">
        <v>311</v>
      </c>
      <c r="E88" t="s">
        <v>312</v>
      </c>
      <c r="F88" t="s">
        <v>19</v>
      </c>
      <c r="G88" s="5" t="s">
        <v>313</v>
      </c>
      <c r="H88" t="s">
        <v>20</v>
      </c>
      <c r="I88" t="s">
        <v>33</v>
      </c>
      <c r="J88" s="1">
        <v>139</v>
      </c>
      <c r="K88" s="1">
        <v>3088</v>
      </c>
      <c r="L88" t="s">
        <v>34</v>
      </c>
      <c r="M88" s="1">
        <v>20</v>
      </c>
      <c r="N88" s="48">
        <v>20</v>
      </c>
      <c r="O88" s="1">
        <v>15</v>
      </c>
      <c r="P88" s="48">
        <v>15</v>
      </c>
      <c r="Q88" s="1">
        <v>1</v>
      </c>
      <c r="R88" s="1">
        <v>10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2</v>
      </c>
      <c r="Z88" s="3">
        <v>0.71942446043165476</v>
      </c>
      <c r="AA88" s="1">
        <v>4</v>
      </c>
      <c r="AB88" s="3">
        <v>2.877697841726619</v>
      </c>
      <c r="AC88" s="1">
        <v>0</v>
      </c>
      <c r="AD88" s="3">
        <v>0</v>
      </c>
      <c r="AE88" s="1">
        <v>0</v>
      </c>
      <c r="AF88" s="3">
        <v>0</v>
      </c>
      <c r="AG88" s="1">
        <v>4</v>
      </c>
      <c r="AH88" s="3">
        <v>2.877697841726619</v>
      </c>
      <c r="AI88" s="1" t="s">
        <v>22</v>
      </c>
      <c r="AJ88" s="1">
        <v>1</v>
      </c>
      <c r="AK88" s="3">
        <v>0.71942446043165476</v>
      </c>
      <c r="AL88" s="1">
        <v>0</v>
      </c>
      <c r="AM88" s="3">
        <v>0</v>
      </c>
      <c r="AN88" s="1" t="s">
        <v>22</v>
      </c>
      <c r="AO88" s="1">
        <v>4</v>
      </c>
      <c r="AP88" s="3">
        <v>2.877697841726619</v>
      </c>
      <c r="AQ88" s="3"/>
      <c r="AR88" s="3"/>
      <c r="AS88" s="1">
        <v>6</v>
      </c>
      <c r="AT88" s="3">
        <v>4.3165467625899279</v>
      </c>
      <c r="AU88" s="1">
        <v>0</v>
      </c>
      <c r="AV88" s="3">
        <v>0</v>
      </c>
      <c r="AW88" s="1" t="s">
        <v>22</v>
      </c>
      <c r="AX88" s="1">
        <v>16</v>
      </c>
      <c r="AY88" s="1">
        <v>0</v>
      </c>
      <c r="AZ88" s="1">
        <v>0</v>
      </c>
      <c r="BA88" s="1">
        <v>32</v>
      </c>
      <c r="BB88" s="1">
        <v>0</v>
      </c>
      <c r="BC88" s="1">
        <v>0</v>
      </c>
      <c r="BD88" s="1">
        <v>0</v>
      </c>
      <c r="BE88" s="54">
        <v>0</v>
      </c>
      <c r="BF88" s="6">
        <v>5</v>
      </c>
      <c r="BG88" s="6">
        <v>4</v>
      </c>
      <c r="BH88" s="1">
        <v>0</v>
      </c>
      <c r="BI88" s="6">
        <v>0</v>
      </c>
      <c r="BJ88" s="1" t="s">
        <v>22</v>
      </c>
      <c r="BK88" s="6">
        <v>1</v>
      </c>
      <c r="BL88" s="6">
        <v>0</v>
      </c>
      <c r="BM88" s="1">
        <v>0</v>
      </c>
      <c r="BN88" t="s">
        <v>24</v>
      </c>
      <c r="BO88">
        <v>183</v>
      </c>
    </row>
    <row r="89" spans="1:67" x14ac:dyDescent="0.3">
      <c r="A89" s="4">
        <f>INT(Tabela1[[#This Row],[Data e Hora]])</f>
        <v>46246</v>
      </c>
      <c r="B89" s="4" t="str">
        <f>UPPER(TEXT(Tabela1[[#This Row],[Data Corrigida]],"MMM"))</f>
        <v>AGO</v>
      </c>
      <c r="C89" t="s">
        <v>314</v>
      </c>
      <c r="D89" t="s">
        <v>315</v>
      </c>
      <c r="E89" t="s">
        <v>316</v>
      </c>
      <c r="F89" t="s">
        <v>19</v>
      </c>
      <c r="G89" s="5" t="s">
        <v>313</v>
      </c>
      <c r="H89" t="s">
        <v>20</v>
      </c>
      <c r="I89" t="s">
        <v>33</v>
      </c>
      <c r="J89" s="1">
        <v>140</v>
      </c>
      <c r="K89" s="1">
        <v>3136</v>
      </c>
      <c r="L89" t="s">
        <v>34</v>
      </c>
      <c r="M89" s="1">
        <v>15</v>
      </c>
      <c r="N89" s="48">
        <v>15</v>
      </c>
      <c r="O89" s="1">
        <v>8</v>
      </c>
      <c r="P89" s="48">
        <v>8</v>
      </c>
      <c r="Q89" s="1">
        <v>2</v>
      </c>
      <c r="R89" s="1">
        <v>20</v>
      </c>
      <c r="S89" s="1">
        <v>0</v>
      </c>
      <c r="T89" s="1">
        <v>0</v>
      </c>
      <c r="U89" s="1">
        <v>0</v>
      </c>
      <c r="V89" s="1">
        <v>0</v>
      </c>
      <c r="W89" s="1">
        <v>1</v>
      </c>
      <c r="X89" s="1">
        <v>5</v>
      </c>
      <c r="Y89" s="1">
        <v>2</v>
      </c>
      <c r="Z89" s="3">
        <v>0.7142857142857143</v>
      </c>
      <c r="AA89" s="1">
        <v>4</v>
      </c>
      <c r="AB89" s="3">
        <v>2.8571428571428572</v>
      </c>
      <c r="AC89" s="1">
        <v>0</v>
      </c>
      <c r="AD89" s="3">
        <v>0</v>
      </c>
      <c r="AE89" s="1">
        <v>2</v>
      </c>
      <c r="AF89" s="3">
        <v>1.4285714285714286</v>
      </c>
      <c r="AG89" s="1">
        <v>4</v>
      </c>
      <c r="AH89" s="3">
        <v>2.8571428571428572</v>
      </c>
      <c r="AI89" s="1" t="s">
        <v>22</v>
      </c>
      <c r="AJ89" s="1">
        <v>2</v>
      </c>
      <c r="AK89" s="3">
        <v>1.4285714285714286</v>
      </c>
      <c r="AL89" s="1">
        <v>0</v>
      </c>
      <c r="AM89" s="3">
        <v>0</v>
      </c>
      <c r="AN89" s="1" t="s">
        <v>22</v>
      </c>
      <c r="AO89" s="1">
        <v>2</v>
      </c>
      <c r="AP89" s="3">
        <v>1.4285714285714286</v>
      </c>
      <c r="AQ89" s="3"/>
      <c r="AR89" s="3"/>
      <c r="AS89" s="1">
        <v>5</v>
      </c>
      <c r="AT89" s="3">
        <v>3.5714285714285712</v>
      </c>
      <c r="AU89" s="1">
        <v>1</v>
      </c>
      <c r="AV89" s="3">
        <v>0.7142857142857143</v>
      </c>
      <c r="AW89" s="1" t="s">
        <v>22</v>
      </c>
      <c r="AX89" s="1">
        <v>9</v>
      </c>
      <c r="AY89" s="1">
        <v>0</v>
      </c>
      <c r="AZ89" s="1">
        <v>0</v>
      </c>
      <c r="BA89" s="1">
        <v>18</v>
      </c>
      <c r="BB89" s="1">
        <v>0</v>
      </c>
      <c r="BC89" s="1">
        <v>0</v>
      </c>
      <c r="BD89" s="1">
        <v>2</v>
      </c>
      <c r="BE89" s="54">
        <v>1.4285714285714286</v>
      </c>
      <c r="BF89" s="6">
        <v>3</v>
      </c>
      <c r="BG89" s="6">
        <v>4</v>
      </c>
      <c r="BH89" s="1">
        <v>0</v>
      </c>
      <c r="BI89" s="6">
        <v>0</v>
      </c>
      <c r="BJ89" s="1" t="s">
        <v>22</v>
      </c>
      <c r="BK89" s="6">
        <v>4</v>
      </c>
      <c r="BL89" s="6">
        <v>0</v>
      </c>
      <c r="BM89" s="1">
        <v>0</v>
      </c>
      <c r="BN89" t="s">
        <v>24</v>
      </c>
      <c r="BO89">
        <v>7136</v>
      </c>
    </row>
    <row r="90" spans="1:67" x14ac:dyDescent="0.3">
      <c r="A90" s="4">
        <f>INT(Tabela1[[#This Row],[Data e Hora]])</f>
        <v>46246</v>
      </c>
      <c r="B90" s="4" t="str">
        <f>UPPER(TEXT(Tabela1[[#This Row],[Data Corrigida]],"MMM"))</f>
        <v>AGO</v>
      </c>
      <c r="C90" t="s">
        <v>317</v>
      </c>
      <c r="D90" t="s">
        <v>318</v>
      </c>
      <c r="E90" t="s">
        <v>319</v>
      </c>
      <c r="F90" t="s">
        <v>19</v>
      </c>
      <c r="G90" s="5" t="s">
        <v>313</v>
      </c>
      <c r="H90" t="s">
        <v>20</v>
      </c>
      <c r="I90" t="s">
        <v>33</v>
      </c>
      <c r="J90" s="1">
        <v>145</v>
      </c>
      <c r="K90" s="1">
        <v>2878</v>
      </c>
      <c r="L90" t="s">
        <v>34</v>
      </c>
      <c r="M90" s="1">
        <v>22</v>
      </c>
      <c r="N90" s="48">
        <v>22</v>
      </c>
      <c r="O90" s="1">
        <v>16</v>
      </c>
      <c r="P90" s="48">
        <v>16</v>
      </c>
      <c r="Q90" s="1">
        <v>0</v>
      </c>
      <c r="R90" s="1">
        <v>0</v>
      </c>
      <c r="S90" s="1">
        <v>2</v>
      </c>
      <c r="T90" s="1">
        <v>2</v>
      </c>
      <c r="U90" s="1">
        <v>0</v>
      </c>
      <c r="V90" s="1">
        <v>0</v>
      </c>
      <c r="W90" s="1">
        <v>0</v>
      </c>
      <c r="X90" s="1">
        <v>0</v>
      </c>
      <c r="Y90" s="1">
        <v>3</v>
      </c>
      <c r="Z90" s="3">
        <v>1.0344827586206897</v>
      </c>
      <c r="AA90" s="1">
        <v>3</v>
      </c>
      <c r="AB90" s="3">
        <v>2.0689655172413794</v>
      </c>
      <c r="AC90" s="1">
        <v>0</v>
      </c>
      <c r="AD90" s="3">
        <v>0</v>
      </c>
      <c r="AE90" s="1">
        <v>2</v>
      </c>
      <c r="AF90" s="3">
        <v>1.3793103448275863</v>
      </c>
      <c r="AG90" s="1">
        <v>3</v>
      </c>
      <c r="AH90" s="3">
        <v>2.0689655172413794</v>
      </c>
      <c r="AI90" s="1" t="s">
        <v>22</v>
      </c>
      <c r="AJ90" s="1">
        <v>1</v>
      </c>
      <c r="AK90" s="3">
        <v>0.68965517241379315</v>
      </c>
      <c r="AL90" s="1" t="s">
        <v>22</v>
      </c>
      <c r="AM90" s="3" t="s">
        <v>22</v>
      </c>
      <c r="AN90" s="1" t="s">
        <v>22</v>
      </c>
      <c r="AO90" s="1">
        <v>3</v>
      </c>
      <c r="AP90" s="3">
        <v>2.0689655172413794</v>
      </c>
      <c r="AQ90" s="3"/>
      <c r="AR90" s="3"/>
      <c r="AS90" s="1">
        <v>4</v>
      </c>
      <c r="AT90" s="3">
        <v>2.7586206896551726</v>
      </c>
      <c r="AU90" s="1">
        <v>0</v>
      </c>
      <c r="AV90" s="3">
        <v>0</v>
      </c>
      <c r="AW90" s="1" t="s">
        <v>22</v>
      </c>
      <c r="AX90" s="1">
        <v>6</v>
      </c>
      <c r="AY90" s="1">
        <v>0</v>
      </c>
      <c r="AZ90" s="1">
        <v>0</v>
      </c>
      <c r="BA90" s="1">
        <v>12</v>
      </c>
      <c r="BB90" s="1">
        <v>0</v>
      </c>
      <c r="BC90" s="1">
        <v>0</v>
      </c>
      <c r="BD90" s="1">
        <v>0</v>
      </c>
      <c r="BE90" s="54">
        <v>0</v>
      </c>
      <c r="BF90" s="6">
        <v>6</v>
      </c>
      <c r="BG90" s="6">
        <v>2</v>
      </c>
      <c r="BH90" s="1">
        <v>0</v>
      </c>
      <c r="BI90" s="6">
        <v>0</v>
      </c>
      <c r="BJ90" s="1" t="s">
        <v>22</v>
      </c>
      <c r="BK90" s="6">
        <v>0</v>
      </c>
      <c r="BL90" s="6">
        <v>0</v>
      </c>
      <c r="BM90" s="1">
        <v>0</v>
      </c>
      <c r="BN90" t="s">
        <v>24</v>
      </c>
      <c r="BO90">
        <v>9757</v>
      </c>
    </row>
    <row r="91" spans="1:67" x14ac:dyDescent="0.3">
      <c r="A91" s="4">
        <f>INT(Tabela1[[#This Row],[Data e Hora]])</f>
        <v>46246</v>
      </c>
      <c r="B91" s="4" t="str">
        <f>UPPER(TEXT(Tabela1[[#This Row],[Data Corrigida]],"MMM"))</f>
        <v>AGO</v>
      </c>
      <c r="C91" t="s">
        <v>320</v>
      </c>
      <c r="D91" t="s">
        <v>321</v>
      </c>
      <c r="E91" t="s">
        <v>322</v>
      </c>
      <c r="F91" t="s">
        <v>19</v>
      </c>
      <c r="G91" s="5" t="s">
        <v>313</v>
      </c>
      <c r="H91" t="s">
        <v>20</v>
      </c>
      <c r="I91" t="s">
        <v>21</v>
      </c>
      <c r="J91" s="1">
        <v>161</v>
      </c>
      <c r="K91" s="1">
        <v>2792</v>
      </c>
      <c r="L91" t="s">
        <v>23</v>
      </c>
      <c r="M91" s="1">
        <v>27</v>
      </c>
      <c r="N91" s="48">
        <v>27</v>
      </c>
      <c r="O91" s="1">
        <v>7</v>
      </c>
      <c r="P91" s="48">
        <v>7.0000000000000009</v>
      </c>
      <c r="Q91" s="1">
        <v>0</v>
      </c>
      <c r="R91" s="1">
        <v>0</v>
      </c>
      <c r="S91" s="1">
        <v>2</v>
      </c>
      <c r="T91" s="1">
        <v>2</v>
      </c>
      <c r="U91" s="1">
        <v>1</v>
      </c>
      <c r="V91" s="1">
        <v>1</v>
      </c>
      <c r="W91" s="1">
        <v>0</v>
      </c>
      <c r="X91" s="1">
        <v>0</v>
      </c>
      <c r="Y91" s="1">
        <v>1</v>
      </c>
      <c r="Z91" s="3">
        <v>0.3105590062111801</v>
      </c>
      <c r="AA91" s="1">
        <v>4</v>
      </c>
      <c r="AB91" s="3">
        <v>2.4844720496894408</v>
      </c>
      <c r="AC91" s="1">
        <v>0</v>
      </c>
      <c r="AD91" s="3">
        <v>0</v>
      </c>
      <c r="AE91" s="1">
        <v>0</v>
      </c>
      <c r="AF91" s="3">
        <v>0</v>
      </c>
      <c r="AG91" s="1">
        <v>7</v>
      </c>
      <c r="AH91" s="3">
        <v>4.3478260869565215</v>
      </c>
      <c r="AI91" s="1" t="s">
        <v>22</v>
      </c>
      <c r="AJ91" s="1">
        <v>2</v>
      </c>
      <c r="AK91" s="3">
        <v>1.2422360248447204</v>
      </c>
      <c r="AL91" s="1">
        <v>1</v>
      </c>
      <c r="AM91" s="3">
        <v>0.6211180124223602</v>
      </c>
      <c r="AN91" s="1" t="s">
        <v>22</v>
      </c>
      <c r="AO91" s="1">
        <v>3</v>
      </c>
      <c r="AP91" s="3">
        <v>1.8633540372670807</v>
      </c>
      <c r="AQ91" s="3"/>
      <c r="AR91" s="3"/>
      <c r="AS91" s="1">
        <v>4</v>
      </c>
      <c r="AT91" s="3">
        <v>2.4844720496894408</v>
      </c>
      <c r="AU91" s="1">
        <v>0</v>
      </c>
      <c r="AV91" s="3">
        <v>0</v>
      </c>
      <c r="AW91" s="1" t="s">
        <v>22</v>
      </c>
      <c r="AX91" s="1">
        <v>18</v>
      </c>
      <c r="AY91" s="1">
        <v>0</v>
      </c>
      <c r="AZ91" s="1">
        <v>0</v>
      </c>
      <c r="BA91" s="1">
        <v>36</v>
      </c>
      <c r="BB91" s="1">
        <v>0</v>
      </c>
      <c r="BC91" s="1">
        <v>0</v>
      </c>
      <c r="BD91" s="1">
        <v>1</v>
      </c>
      <c r="BE91" s="54">
        <v>0.6211180124223602</v>
      </c>
      <c r="BF91" s="6">
        <v>29</v>
      </c>
      <c r="BG91" s="6">
        <v>17</v>
      </c>
      <c r="BH91" s="1">
        <v>1</v>
      </c>
      <c r="BI91" s="6">
        <v>10</v>
      </c>
      <c r="BJ91" s="1" t="s">
        <v>22</v>
      </c>
      <c r="BK91" s="1" t="s">
        <v>22</v>
      </c>
      <c r="BL91" s="1" t="s">
        <v>22</v>
      </c>
      <c r="BM91" s="1" t="s">
        <v>22</v>
      </c>
      <c r="BN91" t="s">
        <v>24</v>
      </c>
      <c r="BO91">
        <v>3554</v>
      </c>
    </row>
    <row r="92" spans="1:67" x14ac:dyDescent="0.3">
      <c r="A92" s="4">
        <f>INT(Tabela1[[#This Row],[Data e Hora]])</f>
        <v>46246</v>
      </c>
      <c r="B92" s="4" t="str">
        <f>UPPER(TEXT(Tabela1[[#This Row],[Data Corrigida]],"MMM"))</f>
        <v>AGO</v>
      </c>
      <c r="C92" t="s">
        <v>323</v>
      </c>
      <c r="D92" t="s">
        <v>324</v>
      </c>
      <c r="E92" t="s">
        <v>322</v>
      </c>
      <c r="F92" t="s">
        <v>19</v>
      </c>
      <c r="G92" s="5" t="s">
        <v>313</v>
      </c>
      <c r="H92" t="s">
        <v>20</v>
      </c>
      <c r="I92" t="s">
        <v>21</v>
      </c>
      <c r="J92" s="1">
        <v>150</v>
      </c>
      <c r="K92" s="1">
        <v>2871</v>
      </c>
      <c r="L92" t="s">
        <v>23</v>
      </c>
      <c r="M92" s="1">
        <v>38</v>
      </c>
      <c r="N92" s="48">
        <v>38</v>
      </c>
      <c r="O92" s="1">
        <v>20</v>
      </c>
      <c r="P92" s="48">
        <v>20</v>
      </c>
      <c r="Q92" s="1">
        <v>0</v>
      </c>
      <c r="R92" s="1">
        <v>0</v>
      </c>
      <c r="S92" s="1">
        <v>3</v>
      </c>
      <c r="T92" s="1">
        <v>3</v>
      </c>
      <c r="U92" s="1">
        <v>1</v>
      </c>
      <c r="V92" s="1">
        <v>1</v>
      </c>
      <c r="W92" s="1">
        <v>0</v>
      </c>
      <c r="X92" s="1">
        <v>0</v>
      </c>
      <c r="Y92" s="1">
        <v>3</v>
      </c>
      <c r="Z92" s="3">
        <v>1</v>
      </c>
      <c r="AA92" s="1">
        <v>4</v>
      </c>
      <c r="AB92" s="3">
        <v>2.666666666666667</v>
      </c>
      <c r="AC92" s="1">
        <v>0</v>
      </c>
      <c r="AD92" s="3">
        <v>0</v>
      </c>
      <c r="AE92" s="1">
        <v>1</v>
      </c>
      <c r="AF92" s="3">
        <v>0.66666666666666674</v>
      </c>
      <c r="AG92" s="1">
        <v>6</v>
      </c>
      <c r="AH92" s="3">
        <v>4</v>
      </c>
      <c r="AI92" s="1" t="s">
        <v>22</v>
      </c>
      <c r="AJ92" s="1">
        <v>2</v>
      </c>
      <c r="AK92" s="3">
        <v>1.3333333333333335</v>
      </c>
      <c r="AL92" s="1">
        <v>2</v>
      </c>
      <c r="AM92" s="3">
        <v>1.3333333333333335</v>
      </c>
      <c r="AN92" s="1" t="s">
        <v>22</v>
      </c>
      <c r="AO92" s="1">
        <v>5</v>
      </c>
      <c r="AP92" s="3">
        <v>3.3333333333333335</v>
      </c>
      <c r="AQ92" s="3"/>
      <c r="AR92" s="3"/>
      <c r="AS92" s="1">
        <v>6</v>
      </c>
      <c r="AT92" s="3">
        <v>4</v>
      </c>
      <c r="AU92" s="1">
        <v>1</v>
      </c>
      <c r="AV92" s="3">
        <v>0.66666666666666674</v>
      </c>
      <c r="AW92" s="1" t="s">
        <v>22</v>
      </c>
      <c r="AX92" s="1">
        <v>15</v>
      </c>
      <c r="AY92" s="1" t="s">
        <v>22</v>
      </c>
      <c r="AZ92" s="1">
        <v>0</v>
      </c>
      <c r="BA92" s="1">
        <v>30</v>
      </c>
      <c r="BB92" s="1" t="s">
        <v>22</v>
      </c>
      <c r="BC92" s="1">
        <v>0</v>
      </c>
      <c r="BD92" s="1">
        <v>1</v>
      </c>
      <c r="BE92" s="54">
        <v>0.66666666666666674</v>
      </c>
      <c r="BF92" s="6">
        <v>29</v>
      </c>
      <c r="BG92" s="6">
        <v>20</v>
      </c>
      <c r="BH92" s="1">
        <v>1</v>
      </c>
      <c r="BI92" s="6">
        <v>10</v>
      </c>
      <c r="BJ92" s="1" t="s">
        <v>22</v>
      </c>
      <c r="BK92" s="6">
        <v>0</v>
      </c>
      <c r="BL92" s="6">
        <v>0</v>
      </c>
      <c r="BM92" s="1">
        <v>1</v>
      </c>
      <c r="BN92" t="s">
        <v>24</v>
      </c>
      <c r="BO92">
        <v>3566</v>
      </c>
    </row>
    <row r="93" spans="1:67" x14ac:dyDescent="0.3">
      <c r="A93" s="4">
        <f>INT(Tabela1[[#This Row],[Data e Hora]])</f>
        <v>46246</v>
      </c>
      <c r="B93" s="4" t="str">
        <f>UPPER(TEXT(Tabela1[[#This Row],[Data Corrigida]],"MMM"))</f>
        <v>AGO</v>
      </c>
      <c r="C93" t="s">
        <v>325</v>
      </c>
      <c r="D93" t="s">
        <v>326</v>
      </c>
      <c r="E93" t="s">
        <v>322</v>
      </c>
      <c r="F93" t="s">
        <v>19</v>
      </c>
      <c r="G93" s="5" t="s">
        <v>313</v>
      </c>
      <c r="H93" t="s">
        <v>20</v>
      </c>
      <c r="I93" t="s">
        <v>21</v>
      </c>
      <c r="J93" s="1">
        <v>161</v>
      </c>
      <c r="K93" s="1">
        <v>2860</v>
      </c>
      <c r="L93" t="s">
        <v>23</v>
      </c>
      <c r="M93" s="1">
        <v>40</v>
      </c>
      <c r="N93" s="48">
        <v>40</v>
      </c>
      <c r="O93" s="1">
        <v>25</v>
      </c>
      <c r="P93" s="48">
        <v>25</v>
      </c>
      <c r="Q93" s="1">
        <v>0</v>
      </c>
      <c r="R93" s="1">
        <v>0</v>
      </c>
      <c r="S93" s="1">
        <v>1</v>
      </c>
      <c r="T93" s="1">
        <v>1</v>
      </c>
      <c r="U93" s="1">
        <v>1</v>
      </c>
      <c r="V93" s="1">
        <v>1</v>
      </c>
      <c r="W93" s="1">
        <v>0</v>
      </c>
      <c r="X93" s="1">
        <v>0</v>
      </c>
      <c r="Y93" s="1">
        <v>2</v>
      </c>
      <c r="Z93" s="3">
        <v>0.6211180124223602</v>
      </c>
      <c r="AA93" s="1">
        <v>4</v>
      </c>
      <c r="AB93" s="3">
        <v>2.4844720496894408</v>
      </c>
      <c r="AC93" s="1">
        <v>0</v>
      </c>
      <c r="AD93" s="3">
        <v>0</v>
      </c>
      <c r="AE93" s="1">
        <v>2</v>
      </c>
      <c r="AF93" s="3">
        <v>1.2422360248447204</v>
      </c>
      <c r="AG93" s="1">
        <v>6</v>
      </c>
      <c r="AH93" s="3">
        <v>3.7267080745341614</v>
      </c>
      <c r="AI93" s="1" t="s">
        <v>22</v>
      </c>
      <c r="AJ93" s="1">
        <v>1</v>
      </c>
      <c r="AK93" s="3">
        <v>0.6211180124223602</v>
      </c>
      <c r="AL93" s="1">
        <v>2</v>
      </c>
      <c r="AM93" s="3">
        <v>1.2422360248447204</v>
      </c>
      <c r="AN93" s="1" t="s">
        <v>22</v>
      </c>
      <c r="AO93" s="1">
        <v>4</v>
      </c>
      <c r="AP93" s="3">
        <v>2.4844720496894408</v>
      </c>
      <c r="AQ93" s="3"/>
      <c r="AR93" s="3"/>
      <c r="AS93" s="1">
        <v>5</v>
      </c>
      <c r="AT93" s="3">
        <v>3.1055900621118013</v>
      </c>
      <c r="AU93" s="1">
        <v>1</v>
      </c>
      <c r="AV93" s="3">
        <v>0.6211180124223602</v>
      </c>
      <c r="AW93" s="1" t="s">
        <v>22</v>
      </c>
      <c r="AX93" s="1">
        <v>18</v>
      </c>
      <c r="AY93" s="1">
        <v>0</v>
      </c>
      <c r="AZ93" s="1">
        <v>0</v>
      </c>
      <c r="BA93" s="1">
        <v>36</v>
      </c>
      <c r="BB93" s="1">
        <v>0</v>
      </c>
      <c r="BC93" s="1">
        <v>0</v>
      </c>
      <c r="BD93" s="1">
        <v>3</v>
      </c>
      <c r="BE93" s="54">
        <v>1.8633540372670807</v>
      </c>
      <c r="BF93" s="6">
        <v>25</v>
      </c>
      <c r="BG93" s="6">
        <v>14</v>
      </c>
      <c r="BH93" s="1">
        <v>0</v>
      </c>
      <c r="BI93" s="6">
        <v>0</v>
      </c>
      <c r="BJ93" s="1" t="s">
        <v>22</v>
      </c>
      <c r="BK93" s="1" t="s">
        <v>22</v>
      </c>
      <c r="BL93" s="1" t="s">
        <v>22</v>
      </c>
      <c r="BM93" s="1" t="s">
        <v>22</v>
      </c>
      <c r="BN93" t="s">
        <v>24</v>
      </c>
      <c r="BO93">
        <v>1832</v>
      </c>
    </row>
    <row r="94" spans="1:67" x14ac:dyDescent="0.3">
      <c r="A94" s="4">
        <f>INT(Tabela1[[#This Row],[Data e Hora]])</f>
        <v>46245</v>
      </c>
      <c r="B94" s="4" t="str">
        <f>UPPER(TEXT(Tabela1[[#This Row],[Data Corrigida]],"MMM"))</f>
        <v>AGO</v>
      </c>
      <c r="C94" t="s">
        <v>327</v>
      </c>
      <c r="D94" t="s">
        <v>328</v>
      </c>
      <c r="E94" t="s">
        <v>329</v>
      </c>
      <c r="F94" t="s">
        <v>19</v>
      </c>
      <c r="G94" s="5" t="s">
        <v>330</v>
      </c>
      <c r="H94" t="s">
        <v>20</v>
      </c>
      <c r="I94" t="s">
        <v>33</v>
      </c>
      <c r="J94" s="1">
        <v>151</v>
      </c>
      <c r="K94" s="1">
        <v>2812</v>
      </c>
      <c r="L94" t="s">
        <v>34</v>
      </c>
      <c r="M94" s="1">
        <v>20</v>
      </c>
      <c r="N94" s="48">
        <v>20</v>
      </c>
      <c r="O94" s="1">
        <v>15</v>
      </c>
      <c r="P94" s="48">
        <v>15</v>
      </c>
      <c r="Q94" s="1">
        <v>3</v>
      </c>
      <c r="R94" s="1">
        <v>30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4</v>
      </c>
      <c r="Z94" s="3">
        <v>1.3245033112582782</v>
      </c>
      <c r="AA94" s="1">
        <v>3</v>
      </c>
      <c r="AB94" s="3">
        <v>1.9867549668874174</v>
      </c>
      <c r="AC94" s="1">
        <v>0</v>
      </c>
      <c r="AD94" s="3">
        <v>0</v>
      </c>
      <c r="AE94" s="1">
        <v>0</v>
      </c>
      <c r="AF94" s="3">
        <v>0</v>
      </c>
      <c r="AG94" s="1">
        <v>6</v>
      </c>
      <c r="AH94" s="3">
        <v>3.9735099337748347</v>
      </c>
      <c r="AI94" s="1" t="s">
        <v>22</v>
      </c>
      <c r="AJ94" s="1">
        <v>1</v>
      </c>
      <c r="AK94" s="3">
        <v>0.66225165562913912</v>
      </c>
      <c r="AL94" s="1">
        <v>0</v>
      </c>
      <c r="AM94" s="3">
        <v>0</v>
      </c>
      <c r="AN94" s="1" t="s">
        <v>22</v>
      </c>
      <c r="AO94" s="1">
        <v>7</v>
      </c>
      <c r="AP94" s="3">
        <v>4.6357615894039732</v>
      </c>
      <c r="AQ94" s="3"/>
      <c r="AR94" s="3"/>
      <c r="AS94" s="1">
        <v>4</v>
      </c>
      <c r="AT94" s="3">
        <v>2.6490066225165565</v>
      </c>
      <c r="AU94" s="1">
        <v>0</v>
      </c>
      <c r="AV94" s="3">
        <v>0</v>
      </c>
      <c r="AW94" s="1" t="s">
        <v>22</v>
      </c>
      <c r="AX94" s="1">
        <v>12</v>
      </c>
      <c r="AY94" s="1">
        <v>0</v>
      </c>
      <c r="AZ94" s="1">
        <v>0</v>
      </c>
      <c r="BA94" s="1">
        <v>24</v>
      </c>
      <c r="BB94" s="1">
        <v>0</v>
      </c>
      <c r="BC94" s="1">
        <v>0</v>
      </c>
      <c r="BD94" s="1">
        <v>0</v>
      </c>
      <c r="BE94" s="54">
        <v>0</v>
      </c>
      <c r="BF94" s="6">
        <v>7</v>
      </c>
      <c r="BG94" s="6">
        <v>3</v>
      </c>
      <c r="BH94" s="1">
        <v>0</v>
      </c>
      <c r="BI94" s="6">
        <v>0</v>
      </c>
      <c r="BJ94" s="1" t="s">
        <v>22</v>
      </c>
      <c r="BK94" s="6">
        <v>3</v>
      </c>
      <c r="BL94" s="6">
        <v>0</v>
      </c>
      <c r="BM94" s="1">
        <v>0</v>
      </c>
      <c r="BN94" t="s">
        <v>24</v>
      </c>
      <c r="BO94">
        <v>4618</v>
      </c>
    </row>
    <row r="95" spans="1:67" x14ac:dyDescent="0.3">
      <c r="A95" s="4">
        <f>INT(Tabela1[[#This Row],[Data e Hora]])</f>
        <v>46245</v>
      </c>
      <c r="B95" s="4" t="str">
        <f>UPPER(TEXT(Tabela1[[#This Row],[Data Corrigida]],"MMM"))</f>
        <v>AGO</v>
      </c>
      <c r="C95" t="s">
        <v>331</v>
      </c>
      <c r="D95" t="s">
        <v>332</v>
      </c>
      <c r="E95" t="s">
        <v>329</v>
      </c>
      <c r="F95" t="s">
        <v>19</v>
      </c>
      <c r="G95" s="5" t="s">
        <v>330</v>
      </c>
      <c r="H95" t="s">
        <v>20</v>
      </c>
      <c r="I95" t="s">
        <v>33</v>
      </c>
      <c r="J95" s="1">
        <v>78</v>
      </c>
      <c r="K95" s="1">
        <v>2978</v>
      </c>
      <c r="L95" t="s">
        <v>34</v>
      </c>
      <c r="M95" s="1">
        <v>16</v>
      </c>
      <c r="N95" s="48">
        <v>16</v>
      </c>
      <c r="O95" s="1">
        <v>8</v>
      </c>
      <c r="P95" s="48">
        <v>8</v>
      </c>
      <c r="Q95" s="1">
        <v>2</v>
      </c>
      <c r="R95" s="1">
        <v>20</v>
      </c>
      <c r="S95" s="1">
        <v>4</v>
      </c>
      <c r="T95" s="1">
        <v>4</v>
      </c>
      <c r="U95" s="1">
        <v>0</v>
      </c>
      <c r="V95" s="1">
        <v>0</v>
      </c>
      <c r="W95" s="1">
        <v>2</v>
      </c>
      <c r="X95" s="1">
        <v>10</v>
      </c>
      <c r="Y95" s="1">
        <v>4</v>
      </c>
      <c r="Z95" s="3">
        <v>2.5641025641025639</v>
      </c>
      <c r="AA95" s="1">
        <v>2</v>
      </c>
      <c r="AB95" s="3">
        <v>2.5641025641025639</v>
      </c>
      <c r="AC95" s="1">
        <v>0</v>
      </c>
      <c r="AD95" s="3">
        <v>0</v>
      </c>
      <c r="AE95" s="1">
        <v>1</v>
      </c>
      <c r="AF95" s="3">
        <v>1.2820512820512819</v>
      </c>
      <c r="AG95" s="1">
        <v>3</v>
      </c>
      <c r="AH95" s="3">
        <v>3.8461538461538463</v>
      </c>
      <c r="AI95" s="1" t="s">
        <v>22</v>
      </c>
      <c r="AJ95" s="1">
        <v>4</v>
      </c>
      <c r="AK95" s="3">
        <v>5.1282051282051277</v>
      </c>
      <c r="AL95" s="1">
        <v>0</v>
      </c>
      <c r="AM95" s="3">
        <v>0</v>
      </c>
      <c r="AN95" s="1" t="s">
        <v>22</v>
      </c>
      <c r="AO95" s="1">
        <v>5</v>
      </c>
      <c r="AP95" s="3">
        <v>6.4102564102564097</v>
      </c>
      <c r="AQ95" s="3"/>
      <c r="AR95" s="3"/>
      <c r="AS95" s="1">
        <v>7</v>
      </c>
      <c r="AT95" s="3">
        <v>8.9743589743589745</v>
      </c>
      <c r="AU95" s="1">
        <v>0</v>
      </c>
      <c r="AV95" s="3">
        <v>0</v>
      </c>
      <c r="AW95" s="1" t="s">
        <v>22</v>
      </c>
      <c r="AX95" s="1">
        <v>17</v>
      </c>
      <c r="AY95" s="1">
        <v>0</v>
      </c>
      <c r="AZ95" s="1">
        <v>1</v>
      </c>
      <c r="BA95" s="1">
        <v>34</v>
      </c>
      <c r="BB95" s="1">
        <v>0</v>
      </c>
      <c r="BC95" s="1">
        <v>2</v>
      </c>
      <c r="BD95" s="1">
        <v>1</v>
      </c>
      <c r="BE95" s="54">
        <v>1.2820512820512819</v>
      </c>
      <c r="BF95" s="6">
        <v>12</v>
      </c>
      <c r="BG95" s="6">
        <v>4</v>
      </c>
      <c r="BH95" s="1">
        <v>0</v>
      </c>
      <c r="BI95" s="6">
        <v>0</v>
      </c>
      <c r="BJ95" s="1" t="s">
        <v>22</v>
      </c>
      <c r="BK95" s="6">
        <v>3</v>
      </c>
      <c r="BL95" s="6">
        <v>0</v>
      </c>
      <c r="BM95" s="1">
        <v>0</v>
      </c>
      <c r="BN95" t="s">
        <v>24</v>
      </c>
      <c r="BO95">
        <v>8351</v>
      </c>
    </row>
    <row r="96" spans="1:67" x14ac:dyDescent="0.3">
      <c r="A96" s="4">
        <f>INT(Tabela1[[#This Row],[Data e Hora]])</f>
        <v>46245</v>
      </c>
      <c r="B96" s="4" t="str">
        <f>UPPER(TEXT(Tabela1[[#This Row],[Data Corrigida]],"MMM"))</f>
        <v>AGO</v>
      </c>
      <c r="C96" t="s">
        <v>333</v>
      </c>
      <c r="D96" t="s">
        <v>334</v>
      </c>
      <c r="E96" t="s">
        <v>335</v>
      </c>
      <c r="F96" t="s">
        <v>19</v>
      </c>
      <c r="G96" s="5" t="s">
        <v>330</v>
      </c>
      <c r="H96" t="s">
        <v>20</v>
      </c>
      <c r="I96" t="s">
        <v>33</v>
      </c>
      <c r="J96" s="1">
        <v>130</v>
      </c>
      <c r="K96" s="1">
        <v>2946</v>
      </c>
      <c r="L96" t="s">
        <v>34</v>
      </c>
      <c r="M96" s="1">
        <v>37</v>
      </c>
      <c r="N96" s="48">
        <v>37</v>
      </c>
      <c r="O96" s="1">
        <v>23</v>
      </c>
      <c r="P96" s="48">
        <v>23</v>
      </c>
      <c r="Q96" s="1">
        <v>0</v>
      </c>
      <c r="R96" s="1">
        <v>0</v>
      </c>
      <c r="S96" s="1">
        <v>1</v>
      </c>
      <c r="T96" s="1">
        <v>1</v>
      </c>
      <c r="U96" s="1">
        <v>0</v>
      </c>
      <c r="V96" s="1">
        <v>0</v>
      </c>
      <c r="W96" s="1">
        <v>1</v>
      </c>
      <c r="X96" s="1">
        <v>5</v>
      </c>
      <c r="Y96" s="1">
        <v>4</v>
      </c>
      <c r="Z96" s="3">
        <v>1.5384615384615385</v>
      </c>
      <c r="AA96" s="1">
        <v>12</v>
      </c>
      <c r="AB96" s="3">
        <v>9.2307692307692317</v>
      </c>
      <c r="AC96" s="1">
        <v>0</v>
      </c>
      <c r="AD96" s="3">
        <v>0</v>
      </c>
      <c r="AE96" s="1">
        <v>1</v>
      </c>
      <c r="AF96" s="3">
        <v>0.76923076923076927</v>
      </c>
      <c r="AG96" s="1">
        <v>4</v>
      </c>
      <c r="AH96" s="3">
        <v>3.0769230769230771</v>
      </c>
      <c r="AI96" s="1" t="s">
        <v>22</v>
      </c>
      <c r="AJ96" s="1">
        <v>6</v>
      </c>
      <c r="AK96" s="3">
        <v>4.6153846153846159</v>
      </c>
      <c r="AL96" s="1">
        <v>0</v>
      </c>
      <c r="AM96" s="3">
        <v>0</v>
      </c>
      <c r="AN96" s="1" t="s">
        <v>22</v>
      </c>
      <c r="AO96" s="1">
        <v>13</v>
      </c>
      <c r="AP96" s="3">
        <v>10</v>
      </c>
      <c r="AQ96" s="3"/>
      <c r="AR96" s="3"/>
      <c r="AS96" s="1">
        <v>3</v>
      </c>
      <c r="AT96" s="3">
        <v>2.3076923076923079</v>
      </c>
      <c r="AU96" s="1">
        <v>0</v>
      </c>
      <c r="AV96" s="3">
        <v>0</v>
      </c>
      <c r="AW96" s="1" t="s">
        <v>22</v>
      </c>
      <c r="AX96" s="1">
        <v>10</v>
      </c>
      <c r="AY96" s="1">
        <v>0</v>
      </c>
      <c r="AZ96" s="1">
        <v>0</v>
      </c>
      <c r="BA96" s="1">
        <v>20</v>
      </c>
      <c r="BB96" s="1">
        <v>0</v>
      </c>
      <c r="BC96" s="1">
        <v>0</v>
      </c>
      <c r="BD96" s="1">
        <v>1</v>
      </c>
      <c r="BE96" s="54">
        <v>0.76923076923076927</v>
      </c>
      <c r="BF96" s="6">
        <v>15</v>
      </c>
      <c r="BG96" s="6">
        <v>9</v>
      </c>
      <c r="BH96" s="1">
        <v>1</v>
      </c>
      <c r="BI96" s="6">
        <v>10</v>
      </c>
      <c r="BJ96" s="1" t="s">
        <v>22</v>
      </c>
      <c r="BK96" s="6">
        <v>3</v>
      </c>
      <c r="BL96" s="6">
        <v>0</v>
      </c>
      <c r="BM96" s="1">
        <v>0</v>
      </c>
      <c r="BN96" t="s">
        <v>22</v>
      </c>
      <c r="BO96">
        <v>9209</v>
      </c>
    </row>
    <row r="97" spans="1:67" x14ac:dyDescent="0.3">
      <c r="A97" s="4">
        <f>INT(Tabela1[[#This Row],[Data e Hora]])</f>
        <v>46245</v>
      </c>
      <c r="B97" s="4" t="str">
        <f>UPPER(TEXT(Tabela1[[#This Row],[Data Corrigida]],"MMM"))</f>
        <v>AGO</v>
      </c>
      <c r="C97" t="s">
        <v>336</v>
      </c>
      <c r="D97" t="s">
        <v>337</v>
      </c>
      <c r="E97" t="s">
        <v>338</v>
      </c>
      <c r="F97" t="s">
        <v>19</v>
      </c>
      <c r="G97" s="5" t="s">
        <v>330</v>
      </c>
      <c r="H97" t="s">
        <v>20</v>
      </c>
      <c r="I97" t="s">
        <v>21</v>
      </c>
      <c r="J97" s="1">
        <v>146</v>
      </c>
      <c r="K97" s="1">
        <v>2931</v>
      </c>
      <c r="L97" t="s">
        <v>23</v>
      </c>
      <c r="M97" s="1">
        <v>40</v>
      </c>
      <c r="N97" s="48">
        <v>40</v>
      </c>
      <c r="O97" s="1">
        <v>25</v>
      </c>
      <c r="P97" s="48">
        <v>25</v>
      </c>
      <c r="Q97" s="1">
        <v>0</v>
      </c>
      <c r="R97" s="1">
        <v>0</v>
      </c>
      <c r="S97" s="1">
        <v>3</v>
      </c>
      <c r="T97" s="1">
        <v>3</v>
      </c>
      <c r="U97" s="1">
        <v>0</v>
      </c>
      <c r="V97" s="1">
        <v>0</v>
      </c>
      <c r="W97" s="1">
        <v>0</v>
      </c>
      <c r="X97" s="1">
        <v>0</v>
      </c>
      <c r="Y97" s="1">
        <v>2</v>
      </c>
      <c r="Z97" s="3">
        <v>0.68493150684931503</v>
      </c>
      <c r="AA97" s="1">
        <v>4</v>
      </c>
      <c r="AB97" s="3">
        <v>2.7397260273972601</v>
      </c>
      <c r="AC97" s="1">
        <v>0</v>
      </c>
      <c r="AD97" s="3">
        <v>0</v>
      </c>
      <c r="AE97" s="1">
        <v>4</v>
      </c>
      <c r="AF97" s="3">
        <v>2.7397260273972601</v>
      </c>
      <c r="AG97" s="1">
        <v>10</v>
      </c>
      <c r="AH97" s="3">
        <v>6.8493150684931505</v>
      </c>
      <c r="AI97" s="1" t="s">
        <v>22</v>
      </c>
      <c r="AJ97" s="1">
        <v>8</v>
      </c>
      <c r="AK97" s="3">
        <v>5.4794520547945202</v>
      </c>
      <c r="AL97" s="1">
        <v>2</v>
      </c>
      <c r="AM97" s="3">
        <v>1.3698630136986301</v>
      </c>
      <c r="AN97" s="1" t="s">
        <v>22</v>
      </c>
      <c r="AO97" s="1">
        <v>10</v>
      </c>
      <c r="AP97" s="3">
        <v>6.8493150684931505</v>
      </c>
      <c r="AQ97" s="3"/>
      <c r="AR97" s="3"/>
      <c r="AS97" s="1">
        <v>6</v>
      </c>
      <c r="AT97" s="3">
        <v>4.10958904109589</v>
      </c>
      <c r="AU97" s="1">
        <v>1</v>
      </c>
      <c r="AV97" s="3">
        <v>0.68493150684931503</v>
      </c>
      <c r="AW97" s="1" t="s">
        <v>22</v>
      </c>
      <c r="AX97" s="1">
        <v>19</v>
      </c>
      <c r="AY97" s="1">
        <v>2</v>
      </c>
      <c r="AZ97" s="1">
        <v>2</v>
      </c>
      <c r="BA97" s="1">
        <v>38</v>
      </c>
      <c r="BB97" s="1">
        <v>4</v>
      </c>
      <c r="BC97" s="1">
        <v>4</v>
      </c>
      <c r="BD97" s="1">
        <v>1</v>
      </c>
      <c r="BE97" s="54">
        <v>0.68493150684931503</v>
      </c>
      <c r="BF97" s="6">
        <v>27</v>
      </c>
      <c r="BG97" s="6">
        <v>22</v>
      </c>
      <c r="BH97" s="1">
        <v>1</v>
      </c>
      <c r="BI97" s="6">
        <v>10</v>
      </c>
      <c r="BJ97" s="1" t="s">
        <v>22</v>
      </c>
      <c r="BK97" s="6">
        <v>0</v>
      </c>
      <c r="BL97" s="6">
        <v>0</v>
      </c>
      <c r="BM97" s="1">
        <v>1</v>
      </c>
      <c r="BN97" t="s">
        <v>24</v>
      </c>
      <c r="BO97">
        <v>1020</v>
      </c>
    </row>
    <row r="98" spans="1:67" x14ac:dyDescent="0.3">
      <c r="A98" s="4">
        <f>INT(Tabela1[[#This Row],[Data e Hora]])</f>
        <v>46245</v>
      </c>
      <c r="B98" s="4" t="str">
        <f>UPPER(TEXT(Tabela1[[#This Row],[Data Corrigida]],"MMM"))</f>
        <v>AGO</v>
      </c>
      <c r="C98" t="s">
        <v>339</v>
      </c>
      <c r="D98" t="s">
        <v>340</v>
      </c>
      <c r="E98" t="s">
        <v>338</v>
      </c>
      <c r="F98" t="s">
        <v>19</v>
      </c>
      <c r="G98" s="5" t="s">
        <v>330</v>
      </c>
      <c r="H98" t="s">
        <v>20</v>
      </c>
      <c r="I98" t="s">
        <v>21</v>
      </c>
      <c r="J98" s="1">
        <v>150</v>
      </c>
      <c r="K98" s="1">
        <v>2792</v>
      </c>
      <c r="L98" t="s">
        <v>23</v>
      </c>
      <c r="M98" s="1">
        <v>27</v>
      </c>
      <c r="N98" s="48">
        <v>27</v>
      </c>
      <c r="O98" s="1">
        <v>10</v>
      </c>
      <c r="P98" s="48">
        <v>10</v>
      </c>
      <c r="Q98" s="1">
        <v>0</v>
      </c>
      <c r="R98" s="1">
        <v>0</v>
      </c>
      <c r="S98" s="1">
        <v>2</v>
      </c>
      <c r="T98" s="1">
        <v>2</v>
      </c>
      <c r="U98" s="1">
        <v>1</v>
      </c>
      <c r="V98" s="1">
        <v>1</v>
      </c>
      <c r="W98" s="1">
        <v>0</v>
      </c>
      <c r="X98" s="1">
        <v>0</v>
      </c>
      <c r="Y98" s="1">
        <v>3</v>
      </c>
      <c r="Z98" s="3">
        <v>1</v>
      </c>
      <c r="AA98" s="1">
        <v>4</v>
      </c>
      <c r="AB98" s="3">
        <v>2.666666666666667</v>
      </c>
      <c r="AC98" s="1">
        <v>0</v>
      </c>
      <c r="AD98" s="3">
        <v>0</v>
      </c>
      <c r="AE98" s="1">
        <v>3</v>
      </c>
      <c r="AF98" s="3">
        <v>2</v>
      </c>
      <c r="AG98" s="1">
        <v>9</v>
      </c>
      <c r="AH98" s="3">
        <v>6</v>
      </c>
      <c r="AI98" s="1" t="s">
        <v>22</v>
      </c>
      <c r="AJ98" s="1">
        <v>2</v>
      </c>
      <c r="AK98" s="3">
        <v>1.3333333333333335</v>
      </c>
      <c r="AL98" s="1">
        <v>2</v>
      </c>
      <c r="AM98" s="3">
        <v>1.3333333333333335</v>
      </c>
      <c r="AN98" s="1" t="s">
        <v>22</v>
      </c>
      <c r="AO98" s="1">
        <v>4</v>
      </c>
      <c r="AP98" s="3">
        <v>2.666666666666667</v>
      </c>
      <c r="AQ98" s="3"/>
      <c r="AR98" s="3"/>
      <c r="AS98" s="1">
        <v>5</v>
      </c>
      <c r="AT98" s="3">
        <v>3.3333333333333335</v>
      </c>
      <c r="AU98" s="1">
        <v>1</v>
      </c>
      <c r="AV98" s="3">
        <v>0.66666666666666674</v>
      </c>
      <c r="AW98" s="1" t="s">
        <v>22</v>
      </c>
      <c r="AX98" s="1">
        <v>19</v>
      </c>
      <c r="AY98" s="1">
        <v>0</v>
      </c>
      <c r="AZ98" s="1">
        <v>0</v>
      </c>
      <c r="BA98" s="1">
        <v>38</v>
      </c>
      <c r="BB98" s="1">
        <v>0</v>
      </c>
      <c r="BC98" s="1">
        <v>0</v>
      </c>
      <c r="BD98" s="1">
        <v>3</v>
      </c>
      <c r="BE98" s="54">
        <v>2</v>
      </c>
      <c r="BF98" s="1" t="s">
        <v>22</v>
      </c>
      <c r="BG98" s="6">
        <v>26</v>
      </c>
      <c r="BH98" s="1">
        <v>1</v>
      </c>
      <c r="BI98" s="6">
        <v>10</v>
      </c>
      <c r="BJ98" s="1" t="s">
        <v>22</v>
      </c>
      <c r="BK98" s="6">
        <v>0</v>
      </c>
      <c r="BL98" s="6">
        <v>0</v>
      </c>
      <c r="BM98" s="1">
        <v>1</v>
      </c>
      <c r="BN98" t="s">
        <v>24</v>
      </c>
      <c r="BO98">
        <v>7065</v>
      </c>
    </row>
    <row r="99" spans="1:67" x14ac:dyDescent="0.3">
      <c r="A99" s="4">
        <f>INT(Tabela1[[#This Row],[Data e Hora]])</f>
        <v>46245</v>
      </c>
      <c r="B99" s="4" t="str">
        <f>UPPER(TEXT(Tabela1[[#This Row],[Data Corrigida]],"MMM"))</f>
        <v>AGO</v>
      </c>
      <c r="C99" t="s">
        <v>341</v>
      </c>
      <c r="D99" t="s">
        <v>342</v>
      </c>
      <c r="E99" t="s">
        <v>343</v>
      </c>
      <c r="F99" t="s">
        <v>19</v>
      </c>
      <c r="G99" s="5" t="s">
        <v>330</v>
      </c>
      <c r="H99" t="s">
        <v>20</v>
      </c>
      <c r="I99" t="s">
        <v>21</v>
      </c>
      <c r="J99" s="1">
        <v>150</v>
      </c>
      <c r="K99" s="1">
        <v>2910</v>
      </c>
      <c r="L99" t="s">
        <v>23</v>
      </c>
      <c r="M99" s="1">
        <v>29</v>
      </c>
      <c r="N99" s="48">
        <v>28.999999999999996</v>
      </c>
      <c r="O99" s="1">
        <v>11</v>
      </c>
      <c r="P99" s="48">
        <v>11</v>
      </c>
      <c r="Q99" s="1">
        <v>0</v>
      </c>
      <c r="R99" s="1">
        <v>0</v>
      </c>
      <c r="S99" s="1">
        <v>3</v>
      </c>
      <c r="T99" s="1">
        <v>3</v>
      </c>
      <c r="U99" s="1">
        <v>1</v>
      </c>
      <c r="V99" s="1">
        <v>1</v>
      </c>
      <c r="W99" s="1">
        <v>0</v>
      </c>
      <c r="X99" s="1">
        <v>0</v>
      </c>
      <c r="Y99" s="1">
        <v>2</v>
      </c>
      <c r="Z99" s="3">
        <v>0.66666666666666674</v>
      </c>
      <c r="AA99" s="1">
        <v>3</v>
      </c>
      <c r="AB99" s="3">
        <v>2</v>
      </c>
      <c r="AC99" s="1">
        <v>0</v>
      </c>
      <c r="AD99" s="3">
        <v>0</v>
      </c>
      <c r="AE99" s="1">
        <v>3</v>
      </c>
      <c r="AF99" s="3">
        <v>2</v>
      </c>
      <c r="AG99" s="1">
        <v>7</v>
      </c>
      <c r="AH99" s="3">
        <v>4.666666666666667</v>
      </c>
      <c r="AI99" s="1" t="s">
        <v>22</v>
      </c>
      <c r="AJ99" s="1">
        <v>2</v>
      </c>
      <c r="AK99" s="3">
        <v>1.3333333333333335</v>
      </c>
      <c r="AL99" s="1">
        <v>1</v>
      </c>
      <c r="AM99" s="3">
        <v>0.66666666666666674</v>
      </c>
      <c r="AN99" s="1" t="s">
        <v>22</v>
      </c>
      <c r="AO99" s="1">
        <v>4</v>
      </c>
      <c r="AP99" s="3">
        <v>2.666666666666667</v>
      </c>
      <c r="AQ99" s="3"/>
      <c r="AR99" s="3"/>
      <c r="AS99" s="1">
        <v>8</v>
      </c>
      <c r="AT99" s="3">
        <v>5.3333333333333339</v>
      </c>
      <c r="AU99" s="1">
        <v>1</v>
      </c>
      <c r="AV99" s="3">
        <v>0.66666666666666674</v>
      </c>
      <c r="AW99" s="1" t="s">
        <v>22</v>
      </c>
      <c r="AX99" s="1">
        <v>16</v>
      </c>
      <c r="AY99" s="1">
        <v>0</v>
      </c>
      <c r="AZ99" s="1">
        <v>0</v>
      </c>
      <c r="BA99" s="1">
        <v>32</v>
      </c>
      <c r="BB99" s="1">
        <v>0</v>
      </c>
      <c r="BC99" s="1">
        <v>0</v>
      </c>
      <c r="BD99" s="1">
        <v>2</v>
      </c>
      <c r="BE99" s="54">
        <v>1.3333333333333335</v>
      </c>
      <c r="BF99" s="6">
        <v>23</v>
      </c>
      <c r="BG99" s="6">
        <v>21</v>
      </c>
      <c r="BH99" s="1">
        <v>0</v>
      </c>
      <c r="BI99" s="6">
        <v>0</v>
      </c>
      <c r="BJ99" s="1" t="s">
        <v>22</v>
      </c>
      <c r="BK99" s="1" t="s">
        <v>22</v>
      </c>
      <c r="BL99" s="1" t="s">
        <v>22</v>
      </c>
      <c r="BM99" s="1" t="s">
        <v>22</v>
      </c>
      <c r="BN99" t="s">
        <v>24</v>
      </c>
      <c r="BO99">
        <v>1818</v>
      </c>
    </row>
    <row r="100" spans="1:67" x14ac:dyDescent="0.3">
      <c r="A100" s="4">
        <f>INT(Tabela1[[#This Row],[Data e Hora]])</f>
        <v>46251</v>
      </c>
      <c r="B100" s="4" t="str">
        <f>UPPER(TEXT(Tabela1[[#This Row],[Data Corrigida]],"MMM"))</f>
        <v>AGO</v>
      </c>
      <c r="C100" t="s">
        <v>344</v>
      </c>
      <c r="D100" t="s">
        <v>345</v>
      </c>
      <c r="E100" t="s">
        <v>346</v>
      </c>
      <c r="F100" t="s">
        <v>19</v>
      </c>
      <c r="G100" s="5" t="s">
        <v>347</v>
      </c>
      <c r="H100" t="s">
        <v>20</v>
      </c>
      <c r="I100" t="s">
        <v>33</v>
      </c>
      <c r="J100" s="1">
        <v>159</v>
      </c>
      <c r="K100" s="1">
        <v>2931</v>
      </c>
      <c r="L100" t="s">
        <v>34</v>
      </c>
      <c r="M100" s="1">
        <v>20</v>
      </c>
      <c r="N100" s="48">
        <v>20</v>
      </c>
      <c r="O100" s="1">
        <v>14</v>
      </c>
      <c r="P100" s="48">
        <v>14.000000000000002</v>
      </c>
      <c r="Q100" s="1">
        <v>1</v>
      </c>
      <c r="R100" s="1">
        <v>10</v>
      </c>
      <c r="S100" s="1">
        <v>0</v>
      </c>
      <c r="T100" s="1">
        <v>0</v>
      </c>
      <c r="U100" s="1">
        <v>0</v>
      </c>
      <c r="V100" s="1">
        <v>0</v>
      </c>
      <c r="W100" s="1">
        <v>1</v>
      </c>
      <c r="X100" s="1">
        <v>5</v>
      </c>
      <c r="Y100" s="1">
        <v>1</v>
      </c>
      <c r="Z100" s="3">
        <v>0.31446540880503149</v>
      </c>
      <c r="AA100" s="1">
        <v>22</v>
      </c>
      <c r="AB100" s="3">
        <v>13.836477987421384</v>
      </c>
      <c r="AC100" s="1">
        <v>0</v>
      </c>
      <c r="AD100" s="3">
        <v>0</v>
      </c>
      <c r="AE100" s="1">
        <v>0</v>
      </c>
      <c r="AF100" s="3">
        <v>0</v>
      </c>
      <c r="AG100" s="1">
        <v>2</v>
      </c>
      <c r="AH100" s="3">
        <v>1.257861635220126</v>
      </c>
      <c r="AI100" s="1" t="s">
        <v>22</v>
      </c>
      <c r="AJ100" s="1">
        <v>3</v>
      </c>
      <c r="AK100" s="3">
        <v>1.8867924528301887</v>
      </c>
      <c r="AL100" s="1">
        <v>0</v>
      </c>
      <c r="AM100" s="3">
        <v>0</v>
      </c>
      <c r="AN100" s="1" t="s">
        <v>22</v>
      </c>
      <c r="AO100" s="1">
        <v>6</v>
      </c>
      <c r="AP100" s="3">
        <v>3.7735849056603774</v>
      </c>
      <c r="AQ100" s="3"/>
      <c r="AR100" s="3"/>
      <c r="AS100" s="1">
        <v>4</v>
      </c>
      <c r="AT100" s="3">
        <v>2.5157232704402519</v>
      </c>
      <c r="AU100" s="1">
        <v>0</v>
      </c>
      <c r="AV100" s="3">
        <v>0</v>
      </c>
      <c r="AW100" s="1" t="s">
        <v>22</v>
      </c>
      <c r="AX100" s="1">
        <v>15</v>
      </c>
      <c r="AY100" s="1">
        <v>0</v>
      </c>
      <c r="AZ100" s="1">
        <v>0</v>
      </c>
      <c r="BA100" s="1">
        <v>30</v>
      </c>
      <c r="BB100" s="1">
        <v>0</v>
      </c>
      <c r="BC100" s="1">
        <v>0</v>
      </c>
      <c r="BD100" s="1">
        <v>0</v>
      </c>
      <c r="BE100" s="54">
        <v>0</v>
      </c>
      <c r="BF100" s="6">
        <v>11</v>
      </c>
      <c r="BG100" s="6">
        <v>6</v>
      </c>
      <c r="BH100" s="1">
        <v>0</v>
      </c>
      <c r="BI100" s="6">
        <v>0</v>
      </c>
      <c r="BJ100" s="1" t="s">
        <v>22</v>
      </c>
      <c r="BK100" s="1" t="s">
        <v>22</v>
      </c>
      <c r="BL100" s="1" t="s">
        <v>22</v>
      </c>
      <c r="BM100" s="1" t="s">
        <v>22</v>
      </c>
      <c r="BN100" t="s">
        <v>22</v>
      </c>
      <c r="BO100">
        <v>1520</v>
      </c>
    </row>
    <row r="101" spans="1:67" x14ac:dyDescent="0.3">
      <c r="A101" s="4">
        <f>INT(Tabela1[[#This Row],[Data e Hora]])</f>
        <v>46251</v>
      </c>
      <c r="B101" s="4" t="str">
        <f>UPPER(TEXT(Tabela1[[#This Row],[Data Corrigida]],"MMM"))</f>
        <v>AGO</v>
      </c>
      <c r="C101" t="s">
        <v>348</v>
      </c>
      <c r="D101" t="s">
        <v>349</v>
      </c>
      <c r="E101" t="s">
        <v>350</v>
      </c>
      <c r="F101" t="s">
        <v>19</v>
      </c>
      <c r="G101" s="5" t="s">
        <v>347</v>
      </c>
      <c r="H101" t="s">
        <v>20</v>
      </c>
      <c r="I101" t="s">
        <v>33</v>
      </c>
      <c r="J101" s="1">
        <v>162</v>
      </c>
      <c r="K101" s="1">
        <v>2862</v>
      </c>
      <c r="L101" t="s">
        <v>34</v>
      </c>
      <c r="M101" s="1">
        <v>29</v>
      </c>
      <c r="N101" s="48">
        <v>28.999999999999996</v>
      </c>
      <c r="O101" s="1">
        <v>21</v>
      </c>
      <c r="P101" s="48">
        <v>21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3</v>
      </c>
      <c r="Z101" s="3">
        <v>0.92592592592592582</v>
      </c>
      <c r="AA101" s="1">
        <v>22</v>
      </c>
      <c r="AB101" s="3">
        <v>13.580246913580247</v>
      </c>
      <c r="AC101" s="1">
        <v>0</v>
      </c>
      <c r="AD101" s="3">
        <v>0</v>
      </c>
      <c r="AE101" s="1">
        <v>1</v>
      </c>
      <c r="AF101" s="3">
        <v>0.61728395061728392</v>
      </c>
      <c r="AG101" s="1">
        <v>4</v>
      </c>
      <c r="AH101" s="3">
        <v>2.4691358024691357</v>
      </c>
      <c r="AI101" s="1" t="s">
        <v>22</v>
      </c>
      <c r="AJ101" s="1" t="s">
        <v>22</v>
      </c>
      <c r="AK101" s="3" t="s">
        <v>22</v>
      </c>
      <c r="AL101" s="1" t="s">
        <v>22</v>
      </c>
      <c r="AM101" s="3" t="s">
        <v>22</v>
      </c>
      <c r="AN101" s="1" t="s">
        <v>22</v>
      </c>
      <c r="AO101" s="1">
        <v>8</v>
      </c>
      <c r="AP101" s="3">
        <v>4.9382716049382713</v>
      </c>
      <c r="AQ101" s="3"/>
      <c r="AR101" s="3"/>
      <c r="AS101" s="1">
        <v>5</v>
      </c>
      <c r="AT101" s="3">
        <v>3.0864197530864197</v>
      </c>
      <c r="AU101" s="1">
        <v>0</v>
      </c>
      <c r="AV101" s="3">
        <v>0</v>
      </c>
      <c r="AW101" s="1" t="s">
        <v>22</v>
      </c>
      <c r="AX101" s="1">
        <v>20</v>
      </c>
      <c r="AY101" s="1">
        <v>1</v>
      </c>
      <c r="AZ101" s="1">
        <v>1</v>
      </c>
      <c r="BA101" s="1">
        <v>40</v>
      </c>
      <c r="BB101" s="1">
        <v>2</v>
      </c>
      <c r="BC101" s="1">
        <v>2</v>
      </c>
      <c r="BD101" s="1">
        <v>0</v>
      </c>
      <c r="BE101" s="54">
        <v>0</v>
      </c>
      <c r="BF101" s="6">
        <v>12</v>
      </c>
      <c r="BG101" s="6">
        <v>3</v>
      </c>
      <c r="BH101" s="1">
        <v>0</v>
      </c>
      <c r="BI101" s="6">
        <v>0</v>
      </c>
      <c r="BJ101" s="1" t="s">
        <v>22</v>
      </c>
      <c r="BK101" s="6">
        <v>22</v>
      </c>
      <c r="BL101" s="6">
        <v>0</v>
      </c>
      <c r="BM101" s="1">
        <v>0</v>
      </c>
      <c r="BN101" t="s">
        <v>24</v>
      </c>
      <c r="BO101">
        <v>7140</v>
      </c>
    </row>
    <row r="102" spans="1:67" x14ac:dyDescent="0.3">
      <c r="A102" s="4">
        <f>INT(Tabela1[[#This Row],[Data e Hora]])</f>
        <v>46251</v>
      </c>
      <c r="B102" s="4" t="str">
        <f>UPPER(TEXT(Tabela1[[#This Row],[Data Corrigida]],"MMM"))</f>
        <v>AGO</v>
      </c>
      <c r="C102" t="s">
        <v>351</v>
      </c>
      <c r="D102" t="s">
        <v>352</v>
      </c>
      <c r="E102" t="s">
        <v>350</v>
      </c>
      <c r="F102" t="s">
        <v>19</v>
      </c>
      <c r="G102" s="5" t="s">
        <v>347</v>
      </c>
      <c r="H102" t="s">
        <v>20</v>
      </c>
      <c r="I102" t="s">
        <v>33</v>
      </c>
      <c r="J102" s="1">
        <v>158</v>
      </c>
      <c r="K102" s="1">
        <v>2840</v>
      </c>
      <c r="L102" t="s">
        <v>34</v>
      </c>
      <c r="M102" s="1">
        <v>26</v>
      </c>
      <c r="N102" s="48">
        <v>26</v>
      </c>
      <c r="O102" s="1">
        <v>14</v>
      </c>
      <c r="P102" s="48">
        <v>14.000000000000002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1</v>
      </c>
      <c r="X102" s="1">
        <v>5</v>
      </c>
      <c r="Y102" s="1">
        <v>3</v>
      </c>
      <c r="Z102" s="3">
        <v>0.949367088607595</v>
      </c>
      <c r="AA102" s="1">
        <v>20</v>
      </c>
      <c r="AB102" s="3">
        <v>12.658227848101266</v>
      </c>
      <c r="AC102" s="1">
        <v>1</v>
      </c>
      <c r="AD102" s="3">
        <v>0.63291139240506333</v>
      </c>
      <c r="AE102" s="1">
        <v>0</v>
      </c>
      <c r="AF102" s="3">
        <v>0</v>
      </c>
      <c r="AG102" s="1">
        <v>1</v>
      </c>
      <c r="AH102" s="3">
        <v>0.63291139240506333</v>
      </c>
      <c r="AI102" s="1" t="s">
        <v>22</v>
      </c>
      <c r="AJ102" s="1">
        <v>1</v>
      </c>
      <c r="AK102" s="3">
        <v>0.63291139240506333</v>
      </c>
      <c r="AL102" s="1">
        <v>0</v>
      </c>
      <c r="AM102" s="3">
        <v>0</v>
      </c>
      <c r="AN102" s="1" t="s">
        <v>22</v>
      </c>
      <c r="AO102" s="1">
        <v>5</v>
      </c>
      <c r="AP102" s="3">
        <v>3.1645569620253164</v>
      </c>
      <c r="AQ102" s="3"/>
      <c r="AR102" s="3"/>
      <c r="AS102" s="1">
        <v>4</v>
      </c>
      <c r="AT102" s="3">
        <v>2.5316455696202533</v>
      </c>
      <c r="AU102" s="1">
        <v>0</v>
      </c>
      <c r="AV102" s="3">
        <v>0</v>
      </c>
      <c r="AW102" s="1" t="s">
        <v>22</v>
      </c>
      <c r="AX102" s="1">
        <v>15</v>
      </c>
      <c r="AY102" s="1">
        <v>2</v>
      </c>
      <c r="AZ102" s="1">
        <v>2</v>
      </c>
      <c r="BA102" s="1">
        <v>30</v>
      </c>
      <c r="BB102" s="1">
        <v>4</v>
      </c>
      <c r="BC102" s="1">
        <v>4</v>
      </c>
      <c r="BD102" s="1">
        <v>0</v>
      </c>
      <c r="BE102" s="54">
        <v>0</v>
      </c>
      <c r="BF102" s="6">
        <v>5</v>
      </c>
      <c r="BG102" s="6">
        <v>3</v>
      </c>
      <c r="BH102" s="1">
        <v>0</v>
      </c>
      <c r="BI102" s="6">
        <v>0</v>
      </c>
      <c r="BJ102" s="1" t="s">
        <v>22</v>
      </c>
      <c r="BK102" s="6">
        <v>10</v>
      </c>
      <c r="BL102" s="6">
        <v>0</v>
      </c>
      <c r="BM102" s="1">
        <v>0</v>
      </c>
      <c r="BN102" t="s">
        <v>24</v>
      </c>
      <c r="BO102">
        <v>9137</v>
      </c>
    </row>
    <row r="103" spans="1:67" x14ac:dyDescent="0.3">
      <c r="A103" s="4">
        <f>INT(Tabela1[[#This Row],[Data e Hora]])</f>
        <v>46251</v>
      </c>
      <c r="B103" s="4" t="str">
        <f>UPPER(TEXT(Tabela1[[#This Row],[Data Corrigida]],"MMM"))</f>
        <v>AGO</v>
      </c>
      <c r="C103" t="s">
        <v>353</v>
      </c>
      <c r="D103" t="s">
        <v>354</v>
      </c>
      <c r="E103" t="s">
        <v>355</v>
      </c>
      <c r="F103" t="s">
        <v>19</v>
      </c>
      <c r="G103" s="5" t="s">
        <v>347</v>
      </c>
      <c r="H103" t="s">
        <v>20</v>
      </c>
      <c r="I103" t="s">
        <v>21</v>
      </c>
      <c r="J103" s="1">
        <v>150</v>
      </c>
      <c r="K103" s="1">
        <v>2985</v>
      </c>
      <c r="L103" t="s">
        <v>23</v>
      </c>
      <c r="M103" s="1">
        <v>19</v>
      </c>
      <c r="N103" s="48">
        <v>19</v>
      </c>
      <c r="O103" s="1">
        <v>6</v>
      </c>
      <c r="P103" s="48">
        <v>6</v>
      </c>
      <c r="Q103" s="1">
        <v>0</v>
      </c>
      <c r="R103" s="1">
        <v>0</v>
      </c>
      <c r="S103" s="1">
        <v>2</v>
      </c>
      <c r="T103" s="1">
        <v>2</v>
      </c>
      <c r="U103" s="1">
        <v>1</v>
      </c>
      <c r="V103" s="1">
        <v>1</v>
      </c>
      <c r="W103" s="1">
        <v>0</v>
      </c>
      <c r="X103" s="1">
        <v>0</v>
      </c>
      <c r="Y103" s="1">
        <v>0</v>
      </c>
      <c r="Z103" s="3">
        <v>0</v>
      </c>
      <c r="AA103" s="1">
        <v>30</v>
      </c>
      <c r="AB103" s="3">
        <v>20</v>
      </c>
      <c r="AC103" s="1">
        <v>1</v>
      </c>
      <c r="AD103" s="3">
        <v>0.66666666666666674</v>
      </c>
      <c r="AE103" s="1">
        <v>3</v>
      </c>
      <c r="AF103" s="3">
        <v>2</v>
      </c>
      <c r="AG103" s="1">
        <v>7</v>
      </c>
      <c r="AH103" s="3">
        <v>4.666666666666667</v>
      </c>
      <c r="AI103" s="1" t="s">
        <v>22</v>
      </c>
      <c r="AJ103" s="1">
        <v>5</v>
      </c>
      <c r="AK103" s="3">
        <v>3.3333333333333335</v>
      </c>
      <c r="AL103" s="1">
        <v>2</v>
      </c>
      <c r="AM103" s="3">
        <v>1.3333333333333335</v>
      </c>
      <c r="AN103" s="1" t="s">
        <v>22</v>
      </c>
      <c r="AO103" s="1">
        <v>7</v>
      </c>
      <c r="AP103" s="3">
        <v>4.666666666666667</v>
      </c>
      <c r="AQ103" s="3"/>
      <c r="AR103" s="3"/>
      <c r="AS103" s="1">
        <v>5</v>
      </c>
      <c r="AT103" s="3">
        <v>3.3333333333333335</v>
      </c>
      <c r="AU103" s="1">
        <v>1</v>
      </c>
      <c r="AV103" s="3">
        <v>0.66666666666666674</v>
      </c>
      <c r="AW103" s="1" t="s">
        <v>22</v>
      </c>
      <c r="AX103" s="1">
        <v>18</v>
      </c>
      <c r="AY103" s="1">
        <v>0</v>
      </c>
      <c r="AZ103" s="1">
        <v>0</v>
      </c>
      <c r="BA103" s="1">
        <v>36</v>
      </c>
      <c r="BB103" s="1">
        <v>0</v>
      </c>
      <c r="BC103" s="1">
        <v>0</v>
      </c>
      <c r="BD103" s="1">
        <v>1</v>
      </c>
      <c r="BE103" s="54">
        <v>0.66666666666666674</v>
      </c>
      <c r="BF103" s="6">
        <v>24</v>
      </c>
      <c r="BG103" s="6">
        <v>15</v>
      </c>
      <c r="BH103" s="1">
        <v>1</v>
      </c>
      <c r="BI103" s="6">
        <v>10</v>
      </c>
      <c r="BJ103" s="1" t="s">
        <v>22</v>
      </c>
      <c r="BK103" s="1" t="s">
        <v>22</v>
      </c>
      <c r="BL103" s="1" t="s">
        <v>22</v>
      </c>
      <c r="BM103" s="1" t="s">
        <v>22</v>
      </c>
      <c r="BN103" t="s">
        <v>24</v>
      </c>
      <c r="BO103">
        <v>1888</v>
      </c>
    </row>
    <row r="104" spans="1:67" x14ac:dyDescent="0.3">
      <c r="A104" s="4">
        <f>INT(Tabela1[[#This Row],[Data e Hora]])</f>
        <v>46251</v>
      </c>
      <c r="B104" s="4" t="str">
        <f>UPPER(TEXT(Tabela1[[#This Row],[Data Corrigida]],"MMM"))</f>
        <v>AGO</v>
      </c>
      <c r="C104" t="s">
        <v>356</v>
      </c>
      <c r="D104" t="s">
        <v>357</v>
      </c>
      <c r="E104" t="s">
        <v>358</v>
      </c>
      <c r="F104" t="s">
        <v>19</v>
      </c>
      <c r="G104" s="5" t="s">
        <v>347</v>
      </c>
      <c r="H104" t="s">
        <v>20</v>
      </c>
      <c r="I104" t="s">
        <v>21</v>
      </c>
      <c r="J104" s="1">
        <v>161</v>
      </c>
      <c r="K104" s="1">
        <v>2953</v>
      </c>
      <c r="L104" t="s">
        <v>23</v>
      </c>
      <c r="M104" s="1">
        <v>27</v>
      </c>
      <c r="N104" s="48">
        <v>27</v>
      </c>
      <c r="O104" s="1">
        <v>17</v>
      </c>
      <c r="P104" s="48">
        <v>17</v>
      </c>
      <c r="Q104" s="1">
        <v>0</v>
      </c>
      <c r="R104" s="1">
        <v>0</v>
      </c>
      <c r="S104" s="1">
        <v>2</v>
      </c>
      <c r="T104" s="1">
        <v>2</v>
      </c>
      <c r="U104" s="1">
        <v>1</v>
      </c>
      <c r="V104" s="1">
        <v>1</v>
      </c>
      <c r="W104" s="1">
        <v>0</v>
      </c>
      <c r="X104" s="1">
        <v>0</v>
      </c>
      <c r="Y104" s="1">
        <v>1</v>
      </c>
      <c r="Z104" s="3">
        <v>0.3105590062111801</v>
      </c>
      <c r="AA104" s="1">
        <v>18</v>
      </c>
      <c r="AB104" s="3">
        <v>11.180124223602485</v>
      </c>
      <c r="AC104" s="1">
        <v>0</v>
      </c>
      <c r="AD104" s="3">
        <v>0</v>
      </c>
      <c r="AE104" s="1">
        <v>1</v>
      </c>
      <c r="AF104" s="3">
        <v>0.6211180124223602</v>
      </c>
      <c r="AG104" s="1">
        <v>6</v>
      </c>
      <c r="AH104" s="3">
        <v>3.7267080745341614</v>
      </c>
      <c r="AI104" s="1" t="s">
        <v>22</v>
      </c>
      <c r="AJ104" s="1">
        <v>3</v>
      </c>
      <c r="AK104" s="3">
        <v>1.8633540372670807</v>
      </c>
      <c r="AL104" s="1">
        <v>1</v>
      </c>
      <c r="AM104" s="3">
        <v>0.6211180124223602</v>
      </c>
      <c r="AN104" s="1" t="s">
        <v>22</v>
      </c>
      <c r="AO104" s="1">
        <v>10</v>
      </c>
      <c r="AP104" s="3">
        <v>6.2111801242236027</v>
      </c>
      <c r="AQ104" s="3"/>
      <c r="AR104" s="3"/>
      <c r="AS104" s="1">
        <v>5</v>
      </c>
      <c r="AT104" s="3">
        <v>3.1055900621118013</v>
      </c>
      <c r="AU104" s="1">
        <v>1</v>
      </c>
      <c r="AV104" s="3">
        <v>0.6211180124223602</v>
      </c>
      <c r="AW104" s="1" t="s">
        <v>22</v>
      </c>
      <c r="AX104" s="1">
        <v>20</v>
      </c>
      <c r="AY104" s="1">
        <v>2</v>
      </c>
      <c r="AZ104" s="1">
        <v>2</v>
      </c>
      <c r="BA104" s="1">
        <v>40</v>
      </c>
      <c r="BB104" s="1">
        <v>4</v>
      </c>
      <c r="BC104" s="1">
        <v>4</v>
      </c>
      <c r="BD104" s="1">
        <v>1</v>
      </c>
      <c r="BE104" s="54">
        <v>0.6211180124223602</v>
      </c>
      <c r="BF104" s="6">
        <v>21</v>
      </c>
      <c r="BG104" s="6">
        <v>12</v>
      </c>
      <c r="BH104" s="1">
        <v>0</v>
      </c>
      <c r="BI104" s="6">
        <v>0</v>
      </c>
      <c r="BJ104" s="1" t="s">
        <v>22</v>
      </c>
      <c r="BK104" s="6">
        <v>0</v>
      </c>
      <c r="BL104" s="6">
        <v>0</v>
      </c>
      <c r="BM104" s="1">
        <v>1</v>
      </c>
      <c r="BN104" t="s">
        <v>24</v>
      </c>
      <c r="BO104">
        <v>1733</v>
      </c>
    </row>
    <row r="105" spans="1:67" x14ac:dyDescent="0.3">
      <c r="A105" s="4">
        <f>INT(Tabela1[[#This Row],[Data e Hora]])</f>
        <v>46251</v>
      </c>
      <c r="B105" s="4" t="str">
        <f>UPPER(TEXT(Tabela1[[#This Row],[Data Corrigida]],"MMM"))</f>
        <v>AGO</v>
      </c>
      <c r="C105" t="s">
        <v>359</v>
      </c>
      <c r="D105" t="s">
        <v>360</v>
      </c>
      <c r="E105" t="s">
        <v>358</v>
      </c>
      <c r="F105" t="s">
        <v>19</v>
      </c>
      <c r="G105" s="5" t="s">
        <v>347</v>
      </c>
      <c r="H105" t="s">
        <v>20</v>
      </c>
      <c r="I105" t="s">
        <v>21</v>
      </c>
      <c r="J105" s="1">
        <v>150</v>
      </c>
      <c r="K105" s="1">
        <v>2907</v>
      </c>
      <c r="L105" t="s">
        <v>23</v>
      </c>
      <c r="M105" s="1">
        <v>37</v>
      </c>
      <c r="N105" s="48">
        <v>37</v>
      </c>
      <c r="O105" s="1">
        <v>16</v>
      </c>
      <c r="P105" s="48">
        <v>16</v>
      </c>
      <c r="Q105" s="1">
        <v>0</v>
      </c>
      <c r="R105" s="1">
        <v>0</v>
      </c>
      <c r="S105" s="1">
        <v>2</v>
      </c>
      <c r="T105" s="1">
        <v>2</v>
      </c>
      <c r="U105" s="1">
        <v>1</v>
      </c>
      <c r="V105" s="1">
        <v>1</v>
      </c>
      <c r="W105" s="1">
        <v>0</v>
      </c>
      <c r="X105" s="1">
        <v>0</v>
      </c>
      <c r="Y105" s="1">
        <v>3</v>
      </c>
      <c r="Z105" s="3">
        <v>1</v>
      </c>
      <c r="AA105" s="1">
        <v>15</v>
      </c>
      <c r="AB105" s="3">
        <v>10</v>
      </c>
      <c r="AC105" s="1">
        <v>0</v>
      </c>
      <c r="AD105" s="3">
        <v>0</v>
      </c>
      <c r="AE105" s="1">
        <v>3</v>
      </c>
      <c r="AF105" s="3">
        <v>2</v>
      </c>
      <c r="AG105" s="1">
        <v>4</v>
      </c>
      <c r="AH105" s="3">
        <v>2.666666666666667</v>
      </c>
      <c r="AI105" s="1" t="s">
        <v>22</v>
      </c>
      <c r="AJ105" s="1">
        <v>5</v>
      </c>
      <c r="AK105" s="3">
        <v>3.3333333333333335</v>
      </c>
      <c r="AL105" s="1">
        <v>3</v>
      </c>
      <c r="AM105" s="3">
        <v>2</v>
      </c>
      <c r="AN105" s="1" t="s">
        <v>22</v>
      </c>
      <c r="AO105" s="1">
        <v>10</v>
      </c>
      <c r="AP105" s="3">
        <v>6.666666666666667</v>
      </c>
      <c r="AQ105" s="3"/>
      <c r="AR105" s="3"/>
      <c r="AS105" s="1">
        <v>5</v>
      </c>
      <c r="AT105" s="3">
        <v>3.3333333333333335</v>
      </c>
      <c r="AU105" s="1">
        <v>1</v>
      </c>
      <c r="AV105" s="3">
        <v>0.66666666666666674</v>
      </c>
      <c r="AW105" s="1" t="s">
        <v>22</v>
      </c>
      <c r="AX105" s="1">
        <v>20</v>
      </c>
      <c r="AY105" s="1">
        <v>8</v>
      </c>
      <c r="AZ105" s="1">
        <v>0</v>
      </c>
      <c r="BA105" s="1">
        <v>40</v>
      </c>
      <c r="BB105" s="1">
        <v>16</v>
      </c>
      <c r="BC105" s="1">
        <v>0</v>
      </c>
      <c r="BD105" s="1">
        <v>1</v>
      </c>
      <c r="BE105" s="54">
        <v>0.66666666666666674</v>
      </c>
      <c r="BF105" s="6">
        <v>19</v>
      </c>
      <c r="BG105" s="6">
        <v>13</v>
      </c>
      <c r="BH105" s="1">
        <v>1</v>
      </c>
      <c r="BI105" s="6">
        <v>10</v>
      </c>
      <c r="BJ105" s="1" t="s">
        <v>22</v>
      </c>
      <c r="BK105" s="6">
        <v>2</v>
      </c>
      <c r="BL105" s="6">
        <v>0</v>
      </c>
      <c r="BM105" s="1">
        <v>1</v>
      </c>
      <c r="BN105" t="s">
        <v>22</v>
      </c>
      <c r="BO105">
        <v>1817</v>
      </c>
    </row>
    <row r="106" spans="1:67" x14ac:dyDescent="0.3">
      <c r="A106" s="4">
        <f>INT(Tabela1[[#This Row],[Data e Hora]])</f>
        <v>46251</v>
      </c>
      <c r="B106" s="4" t="str">
        <f>UPPER(TEXT(Tabela1[[#This Row],[Data Corrigida]],"MMM"))</f>
        <v>AGO</v>
      </c>
      <c r="C106" t="s">
        <v>361</v>
      </c>
      <c r="D106" t="s">
        <v>362</v>
      </c>
      <c r="E106" t="s">
        <v>358</v>
      </c>
      <c r="F106" t="s">
        <v>19</v>
      </c>
      <c r="G106" s="5" t="s">
        <v>347</v>
      </c>
      <c r="H106" t="s">
        <v>20</v>
      </c>
      <c r="I106" t="s">
        <v>21</v>
      </c>
      <c r="J106" s="1">
        <v>151</v>
      </c>
      <c r="K106" s="1">
        <v>3143</v>
      </c>
      <c r="L106" t="s">
        <v>23</v>
      </c>
      <c r="M106" s="1">
        <v>37</v>
      </c>
      <c r="N106" s="48">
        <v>37</v>
      </c>
      <c r="O106" s="1">
        <v>17</v>
      </c>
      <c r="P106" s="48">
        <v>17</v>
      </c>
      <c r="Q106" s="1">
        <v>0</v>
      </c>
      <c r="R106" s="1">
        <v>0</v>
      </c>
      <c r="S106" s="1">
        <v>4</v>
      </c>
      <c r="T106" s="1">
        <v>4</v>
      </c>
      <c r="U106" s="1">
        <v>1</v>
      </c>
      <c r="V106" s="1">
        <v>1</v>
      </c>
      <c r="W106" s="1">
        <v>0</v>
      </c>
      <c r="X106" s="1">
        <v>0</v>
      </c>
      <c r="Y106" s="1">
        <v>2</v>
      </c>
      <c r="Z106" s="3">
        <v>0.66225165562913912</v>
      </c>
      <c r="AA106" s="1">
        <v>15</v>
      </c>
      <c r="AB106" s="3">
        <v>9.9337748344370862</v>
      </c>
      <c r="AC106" s="1">
        <v>0</v>
      </c>
      <c r="AD106" s="3">
        <v>0</v>
      </c>
      <c r="AE106" s="1">
        <v>2</v>
      </c>
      <c r="AF106" s="3">
        <v>1.3245033112582782</v>
      </c>
      <c r="AG106" s="1">
        <v>3</v>
      </c>
      <c r="AH106" s="3">
        <v>1.9867549668874174</v>
      </c>
      <c r="AI106" s="1" t="s">
        <v>22</v>
      </c>
      <c r="AJ106" s="1">
        <v>8</v>
      </c>
      <c r="AK106" s="3">
        <v>5.298013245033113</v>
      </c>
      <c r="AL106" s="1">
        <v>1</v>
      </c>
      <c r="AM106" s="3">
        <v>0.66225165562913912</v>
      </c>
      <c r="AN106" s="1" t="s">
        <v>22</v>
      </c>
      <c r="AO106" s="1">
        <v>10</v>
      </c>
      <c r="AP106" s="3">
        <v>6.6225165562913908</v>
      </c>
      <c r="AQ106" s="3"/>
      <c r="AR106" s="3"/>
      <c r="AS106" s="1">
        <v>6</v>
      </c>
      <c r="AT106" s="3">
        <v>3.9735099337748347</v>
      </c>
      <c r="AU106" s="1">
        <v>1</v>
      </c>
      <c r="AV106" s="3">
        <v>0.66225165562913912</v>
      </c>
      <c r="AW106" s="1" t="s">
        <v>22</v>
      </c>
      <c r="AX106" s="1">
        <v>17</v>
      </c>
      <c r="AY106" s="1">
        <v>0</v>
      </c>
      <c r="AZ106" s="1">
        <v>0</v>
      </c>
      <c r="BA106" s="1">
        <v>34</v>
      </c>
      <c r="BB106" s="1">
        <v>0</v>
      </c>
      <c r="BC106" s="1">
        <v>0</v>
      </c>
      <c r="BD106" s="1">
        <v>2</v>
      </c>
      <c r="BE106" s="54">
        <v>1.3245033112582782</v>
      </c>
      <c r="BF106" s="6">
        <v>23</v>
      </c>
      <c r="BG106" s="6">
        <v>14</v>
      </c>
      <c r="BH106" s="1">
        <v>1</v>
      </c>
      <c r="BI106" s="6">
        <v>10</v>
      </c>
      <c r="BJ106" s="1" t="s">
        <v>22</v>
      </c>
      <c r="BK106" s="1" t="s">
        <v>22</v>
      </c>
      <c r="BL106" s="1" t="s">
        <v>22</v>
      </c>
      <c r="BM106" s="1" t="s">
        <v>22</v>
      </c>
      <c r="BN106" t="s">
        <v>24</v>
      </c>
      <c r="BO106">
        <v>1669</v>
      </c>
    </row>
    <row r="107" spans="1:67" x14ac:dyDescent="0.3">
      <c r="A107" s="4">
        <f>INT(Tabela1[[#This Row],[Data e Hora]])</f>
        <v>46252</v>
      </c>
      <c r="B107" s="4" t="str">
        <f>UPPER(TEXT(Tabela1[[#This Row],[Data Corrigida]],"MMM"))</f>
        <v>AGO</v>
      </c>
      <c r="C107" t="s">
        <v>363</v>
      </c>
      <c r="D107" t="s">
        <v>364</v>
      </c>
      <c r="E107" t="s">
        <v>365</v>
      </c>
      <c r="F107" t="s">
        <v>19</v>
      </c>
      <c r="G107" s="5" t="s">
        <v>366</v>
      </c>
      <c r="H107" t="s">
        <v>20</v>
      </c>
      <c r="I107" t="s">
        <v>33</v>
      </c>
      <c r="J107" s="1">
        <v>161</v>
      </c>
      <c r="K107" s="1">
        <v>2822</v>
      </c>
      <c r="L107" t="s">
        <v>34</v>
      </c>
      <c r="M107" s="1">
        <v>20</v>
      </c>
      <c r="N107" s="48">
        <v>20</v>
      </c>
      <c r="O107" s="1">
        <v>15</v>
      </c>
      <c r="P107" s="48">
        <v>15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4</v>
      </c>
      <c r="Z107" s="3">
        <v>7.087172218284904E-2</v>
      </c>
      <c r="AA107" s="1">
        <v>10</v>
      </c>
      <c r="AB107" s="3">
        <v>0.3543586109142452</v>
      </c>
      <c r="AC107" s="1">
        <v>0</v>
      </c>
      <c r="AD107" s="3">
        <v>0</v>
      </c>
      <c r="AE107" s="1">
        <v>0</v>
      </c>
      <c r="AF107" s="3">
        <v>0</v>
      </c>
      <c r="AG107" s="1">
        <v>4</v>
      </c>
      <c r="AH107" s="3">
        <v>0.14174344436569808</v>
      </c>
      <c r="AI107" s="1" t="s">
        <v>22</v>
      </c>
      <c r="AJ107" s="1">
        <v>1</v>
      </c>
      <c r="AK107" s="3">
        <v>3.543586109142452E-2</v>
      </c>
      <c r="AL107" s="1">
        <v>0</v>
      </c>
      <c r="AM107" s="3">
        <v>0</v>
      </c>
      <c r="AN107" s="1" t="s">
        <v>22</v>
      </c>
      <c r="AO107" s="1">
        <v>9</v>
      </c>
      <c r="AP107" s="3">
        <v>0.31892274982282065</v>
      </c>
      <c r="AQ107" s="3"/>
      <c r="AR107" s="3"/>
      <c r="AS107" s="1">
        <v>4</v>
      </c>
      <c r="AT107" s="3">
        <v>0.14174344436569808</v>
      </c>
      <c r="AU107" s="1">
        <v>0</v>
      </c>
      <c r="AV107" s="3">
        <v>0</v>
      </c>
      <c r="AW107" s="1" t="s">
        <v>22</v>
      </c>
      <c r="AX107" s="1">
        <v>12</v>
      </c>
      <c r="AY107" s="1">
        <v>3</v>
      </c>
      <c r="AZ107" s="1">
        <v>4</v>
      </c>
      <c r="BA107" s="1">
        <v>24</v>
      </c>
      <c r="BB107" s="1">
        <v>6</v>
      </c>
      <c r="BC107" s="1">
        <v>8</v>
      </c>
      <c r="BD107" s="1">
        <v>0</v>
      </c>
      <c r="BE107" s="54">
        <v>0</v>
      </c>
      <c r="BF107" s="6">
        <v>13</v>
      </c>
      <c r="BG107" s="6">
        <v>7</v>
      </c>
      <c r="BH107" s="1">
        <v>0</v>
      </c>
      <c r="BI107" s="6">
        <v>0</v>
      </c>
      <c r="BJ107" s="1" t="s">
        <v>22</v>
      </c>
      <c r="BK107" s="6">
        <v>4</v>
      </c>
      <c r="BL107" s="6">
        <v>0</v>
      </c>
      <c r="BM107" s="1">
        <v>0</v>
      </c>
      <c r="BN107" t="s">
        <v>22</v>
      </c>
      <c r="BO107">
        <v>175</v>
      </c>
    </row>
    <row r="108" spans="1:67" x14ac:dyDescent="0.3">
      <c r="A108" s="4">
        <f>INT(Tabela1[[#This Row],[Data e Hora]])</f>
        <v>46252</v>
      </c>
      <c r="B108" s="4" t="str">
        <f>UPPER(TEXT(Tabela1[[#This Row],[Data Corrigida]],"MMM"))</f>
        <v>AGO</v>
      </c>
      <c r="C108" t="s">
        <v>367</v>
      </c>
      <c r="D108" t="s">
        <v>368</v>
      </c>
      <c r="E108" t="s">
        <v>365</v>
      </c>
      <c r="F108" t="s">
        <v>19</v>
      </c>
      <c r="G108" s="5" t="s">
        <v>366</v>
      </c>
      <c r="H108" t="s">
        <v>20</v>
      </c>
      <c r="I108" t="s">
        <v>33</v>
      </c>
      <c r="J108" s="1">
        <v>149</v>
      </c>
      <c r="K108" s="1">
        <v>2825</v>
      </c>
      <c r="L108" t="s">
        <v>34</v>
      </c>
      <c r="M108" s="1">
        <v>30</v>
      </c>
      <c r="N108" s="48">
        <v>30</v>
      </c>
      <c r="O108" s="1">
        <v>15</v>
      </c>
      <c r="P108" s="48">
        <v>15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2</v>
      </c>
      <c r="Z108" s="3">
        <v>0.67114093959731547</v>
      </c>
      <c r="AA108" s="1">
        <v>11</v>
      </c>
      <c r="AB108" s="3">
        <v>7.3825503355704702</v>
      </c>
      <c r="AC108" s="1">
        <v>1</v>
      </c>
      <c r="AD108" s="3">
        <v>0.67114093959731547</v>
      </c>
      <c r="AE108" s="1">
        <v>1</v>
      </c>
      <c r="AF108" s="3">
        <v>0.67114093959731547</v>
      </c>
      <c r="AG108" s="1">
        <v>5</v>
      </c>
      <c r="AH108" s="3">
        <v>3.3557046979865772</v>
      </c>
      <c r="AI108" s="1" t="s">
        <v>22</v>
      </c>
      <c r="AJ108" s="1">
        <v>1</v>
      </c>
      <c r="AK108" s="3">
        <v>0.67114093959731547</v>
      </c>
      <c r="AL108" s="1">
        <v>0</v>
      </c>
      <c r="AM108" s="3">
        <v>0</v>
      </c>
      <c r="AN108" s="1" t="s">
        <v>22</v>
      </c>
      <c r="AO108" s="1">
        <v>6</v>
      </c>
      <c r="AP108" s="3">
        <v>4.0268456375838921</v>
      </c>
      <c r="AQ108" s="3"/>
      <c r="AR108" s="3"/>
      <c r="AS108" s="1">
        <v>5</v>
      </c>
      <c r="AT108" s="3">
        <v>3.3557046979865772</v>
      </c>
      <c r="AU108" s="1">
        <v>0</v>
      </c>
      <c r="AV108" s="3">
        <v>0</v>
      </c>
      <c r="AW108" s="1" t="s">
        <v>22</v>
      </c>
      <c r="AX108" s="1">
        <v>14</v>
      </c>
      <c r="AY108" s="1">
        <v>0</v>
      </c>
      <c r="AZ108" s="1">
        <v>0</v>
      </c>
      <c r="BA108" s="1">
        <v>28</v>
      </c>
      <c r="BB108" s="1">
        <v>0</v>
      </c>
      <c r="BC108" s="1">
        <v>0</v>
      </c>
      <c r="BD108" s="1">
        <v>1</v>
      </c>
      <c r="BE108" s="54">
        <v>0.67114093959731547</v>
      </c>
      <c r="BF108" s="6">
        <v>8</v>
      </c>
      <c r="BG108" s="6">
        <v>4</v>
      </c>
      <c r="BH108" s="1">
        <v>0</v>
      </c>
      <c r="BI108" s="6">
        <v>0</v>
      </c>
      <c r="BJ108" s="1" t="s">
        <v>22</v>
      </c>
      <c r="BK108" s="6">
        <v>8</v>
      </c>
      <c r="BL108" s="6">
        <v>0</v>
      </c>
      <c r="BM108" s="1">
        <v>0</v>
      </c>
      <c r="BN108" t="s">
        <v>24</v>
      </c>
      <c r="BO108">
        <v>7421</v>
      </c>
    </row>
    <row r="109" spans="1:67" x14ac:dyDescent="0.3">
      <c r="A109" s="4">
        <f>INT(Tabela1[[#This Row],[Data e Hora]])</f>
        <v>46252</v>
      </c>
      <c r="B109" s="4" t="str">
        <f>UPPER(TEXT(Tabela1[[#This Row],[Data Corrigida]],"MMM"))</f>
        <v>AGO</v>
      </c>
      <c r="C109" t="s">
        <v>369</v>
      </c>
      <c r="D109" t="s">
        <v>370</v>
      </c>
      <c r="E109" t="s">
        <v>371</v>
      </c>
      <c r="F109" t="s">
        <v>19</v>
      </c>
      <c r="G109" s="5" t="s">
        <v>366</v>
      </c>
      <c r="H109" t="s">
        <v>20</v>
      </c>
      <c r="I109" t="s">
        <v>33</v>
      </c>
      <c r="J109" s="1">
        <v>149</v>
      </c>
      <c r="K109" s="1">
        <v>2857</v>
      </c>
      <c r="L109" t="s">
        <v>34</v>
      </c>
      <c r="M109" s="1">
        <v>28</v>
      </c>
      <c r="N109" s="48">
        <v>28.000000000000004</v>
      </c>
      <c r="O109" s="1">
        <v>15</v>
      </c>
      <c r="P109" s="48">
        <v>15</v>
      </c>
      <c r="Q109" s="1">
        <v>1</v>
      </c>
      <c r="R109" s="1">
        <v>10</v>
      </c>
      <c r="S109" s="1">
        <v>0</v>
      </c>
      <c r="T109" s="1">
        <v>0</v>
      </c>
      <c r="U109" s="1">
        <v>0</v>
      </c>
      <c r="V109" s="1">
        <v>0</v>
      </c>
      <c r="W109" s="1">
        <v>1</v>
      </c>
      <c r="X109" s="1">
        <v>5</v>
      </c>
      <c r="Y109" s="1">
        <v>3</v>
      </c>
      <c r="Z109" s="3">
        <v>1.006711409395973</v>
      </c>
      <c r="AA109" s="1">
        <v>16</v>
      </c>
      <c r="AB109" s="3">
        <v>10.738255033557047</v>
      </c>
      <c r="AC109" s="1">
        <v>0</v>
      </c>
      <c r="AD109" s="3">
        <v>0</v>
      </c>
      <c r="AE109" s="1">
        <v>1</v>
      </c>
      <c r="AF109" s="3">
        <v>0.67114093959731547</v>
      </c>
      <c r="AG109" s="1">
        <v>4</v>
      </c>
      <c r="AH109" s="3">
        <v>2.6845637583892619</v>
      </c>
      <c r="AI109" s="1" t="s">
        <v>22</v>
      </c>
      <c r="AJ109" s="1">
        <v>4</v>
      </c>
      <c r="AK109" s="3">
        <v>2.6845637583892619</v>
      </c>
      <c r="AL109" s="1">
        <v>0</v>
      </c>
      <c r="AM109" s="3">
        <v>0</v>
      </c>
      <c r="AN109" s="1" t="s">
        <v>22</v>
      </c>
      <c r="AO109" s="1">
        <v>3</v>
      </c>
      <c r="AP109" s="3">
        <v>2.0134228187919461</v>
      </c>
      <c r="AQ109" s="3"/>
      <c r="AR109" s="3"/>
      <c r="AS109" s="1">
        <v>4</v>
      </c>
      <c r="AT109" s="3">
        <v>2.6845637583892619</v>
      </c>
      <c r="AU109" s="1">
        <v>0</v>
      </c>
      <c r="AV109" s="3">
        <v>0</v>
      </c>
      <c r="AW109" s="1" t="s">
        <v>22</v>
      </c>
      <c r="AX109" s="1">
        <v>16</v>
      </c>
      <c r="AY109" s="1">
        <v>1</v>
      </c>
      <c r="AZ109" s="1">
        <v>1</v>
      </c>
      <c r="BA109" s="1">
        <v>32</v>
      </c>
      <c r="BB109" s="1">
        <v>2</v>
      </c>
      <c r="BC109" s="1">
        <v>2</v>
      </c>
      <c r="BD109" s="1">
        <v>5</v>
      </c>
      <c r="BE109" s="54">
        <v>3.3557046979865772</v>
      </c>
      <c r="BF109" s="6">
        <v>10</v>
      </c>
      <c r="BG109" s="6">
        <v>6</v>
      </c>
      <c r="BH109" s="1">
        <v>0</v>
      </c>
      <c r="BI109" s="6">
        <v>0</v>
      </c>
      <c r="BJ109" s="1" t="s">
        <v>22</v>
      </c>
      <c r="BK109" s="6">
        <v>7</v>
      </c>
      <c r="BL109" s="6">
        <v>0</v>
      </c>
      <c r="BM109" s="1">
        <v>0</v>
      </c>
      <c r="BN109" t="s">
        <v>24</v>
      </c>
      <c r="BO109">
        <v>6958</v>
      </c>
    </row>
    <row r="110" spans="1:67" x14ac:dyDescent="0.3">
      <c r="A110" s="4">
        <f>INT(Tabela1[[#This Row],[Data e Hora]])</f>
        <v>46252</v>
      </c>
      <c r="B110" s="4" t="str">
        <f>UPPER(TEXT(Tabela1[[#This Row],[Data Corrigida]],"MMM"))</f>
        <v>AGO</v>
      </c>
      <c r="C110" t="s">
        <v>372</v>
      </c>
      <c r="D110" t="s">
        <v>373</v>
      </c>
      <c r="E110" t="s">
        <v>371</v>
      </c>
      <c r="F110" t="s">
        <v>19</v>
      </c>
      <c r="G110" s="5" t="s">
        <v>366</v>
      </c>
      <c r="H110" t="s">
        <v>20</v>
      </c>
      <c r="I110" t="s">
        <v>21</v>
      </c>
      <c r="J110" s="1">
        <v>160</v>
      </c>
      <c r="K110" s="1">
        <v>3165</v>
      </c>
      <c r="L110" t="s">
        <v>23</v>
      </c>
      <c r="M110" s="1">
        <v>19</v>
      </c>
      <c r="N110" s="48">
        <v>19</v>
      </c>
      <c r="O110" s="1">
        <v>6</v>
      </c>
      <c r="P110" s="48">
        <v>6</v>
      </c>
      <c r="Q110" s="1">
        <v>0</v>
      </c>
      <c r="R110" s="1">
        <v>0</v>
      </c>
      <c r="S110" s="1">
        <v>1</v>
      </c>
      <c r="T110" s="1">
        <v>1</v>
      </c>
      <c r="U110" s="1">
        <v>0</v>
      </c>
      <c r="V110" s="1">
        <v>0</v>
      </c>
      <c r="W110" s="1">
        <v>0</v>
      </c>
      <c r="X110" s="1">
        <v>0</v>
      </c>
      <c r="Y110" s="1">
        <v>1</v>
      </c>
      <c r="Z110" s="3">
        <v>0.3125</v>
      </c>
      <c r="AA110" s="1">
        <v>10</v>
      </c>
      <c r="AB110" s="3">
        <v>6.25</v>
      </c>
      <c r="AC110" s="1">
        <v>0</v>
      </c>
      <c r="AD110" s="3">
        <v>0</v>
      </c>
      <c r="AE110" s="1">
        <v>2</v>
      </c>
      <c r="AF110" s="3">
        <v>1.25</v>
      </c>
      <c r="AG110" s="1">
        <v>7</v>
      </c>
      <c r="AH110" s="3">
        <v>4.375</v>
      </c>
      <c r="AI110" s="1" t="s">
        <v>22</v>
      </c>
      <c r="AJ110" s="1">
        <v>3</v>
      </c>
      <c r="AK110" s="3">
        <v>1.875</v>
      </c>
      <c r="AL110" s="1">
        <v>2</v>
      </c>
      <c r="AM110" s="3">
        <v>1.25</v>
      </c>
      <c r="AN110" s="1" t="s">
        <v>22</v>
      </c>
      <c r="AO110" s="1">
        <v>5</v>
      </c>
      <c r="AP110" s="3">
        <v>3.125</v>
      </c>
      <c r="AQ110" s="3"/>
      <c r="AR110" s="3"/>
      <c r="AS110" s="1">
        <v>6</v>
      </c>
      <c r="AT110" s="3">
        <v>3.75</v>
      </c>
      <c r="AU110" s="1">
        <v>1</v>
      </c>
      <c r="AV110" s="3">
        <v>0.625</v>
      </c>
      <c r="AW110" s="1" t="s">
        <v>22</v>
      </c>
      <c r="AX110" s="1">
        <v>17</v>
      </c>
      <c r="AY110" s="1">
        <v>0</v>
      </c>
      <c r="AZ110" s="1">
        <v>0</v>
      </c>
      <c r="BA110" s="1">
        <v>34</v>
      </c>
      <c r="BB110" s="1">
        <v>0</v>
      </c>
      <c r="BC110" s="1">
        <v>0</v>
      </c>
      <c r="BD110" s="1">
        <v>1</v>
      </c>
      <c r="BE110" s="54">
        <v>0.625</v>
      </c>
      <c r="BF110" s="6">
        <v>19</v>
      </c>
      <c r="BG110" s="6">
        <v>21</v>
      </c>
      <c r="BH110" s="1">
        <v>1</v>
      </c>
      <c r="BI110" s="6">
        <v>10</v>
      </c>
      <c r="BJ110" s="1" t="s">
        <v>22</v>
      </c>
      <c r="BK110" s="6">
        <v>0</v>
      </c>
      <c r="BL110" s="6">
        <v>0</v>
      </c>
      <c r="BM110" s="1">
        <v>0</v>
      </c>
      <c r="BN110" t="s">
        <v>22</v>
      </c>
      <c r="BO110">
        <v>3536</v>
      </c>
    </row>
    <row r="111" spans="1:67" x14ac:dyDescent="0.3">
      <c r="A111" s="4">
        <f>INT(Tabela1[[#This Row],[Data e Hora]])</f>
        <v>46252</v>
      </c>
      <c r="B111" s="4" t="str">
        <f>UPPER(TEXT(Tabela1[[#This Row],[Data Corrigida]],"MMM"))</f>
        <v>AGO</v>
      </c>
      <c r="C111" t="s">
        <v>374</v>
      </c>
      <c r="D111" t="s">
        <v>375</v>
      </c>
      <c r="E111" t="s">
        <v>371</v>
      </c>
      <c r="F111" t="s">
        <v>19</v>
      </c>
      <c r="G111" s="5" t="s">
        <v>366</v>
      </c>
      <c r="H111" t="s">
        <v>20</v>
      </c>
      <c r="I111" t="s">
        <v>21</v>
      </c>
      <c r="J111" s="1">
        <v>161</v>
      </c>
      <c r="K111" s="1">
        <v>2719</v>
      </c>
      <c r="L111" t="s">
        <v>23</v>
      </c>
      <c r="M111" s="1">
        <v>22</v>
      </c>
      <c r="N111" s="48">
        <v>22</v>
      </c>
      <c r="O111" s="1">
        <v>7</v>
      </c>
      <c r="P111" s="48">
        <v>7.0000000000000009</v>
      </c>
      <c r="Q111" s="1">
        <v>0</v>
      </c>
      <c r="R111" s="1">
        <v>0</v>
      </c>
      <c r="S111" s="1">
        <v>2</v>
      </c>
      <c r="T111" s="1">
        <v>2</v>
      </c>
      <c r="U111" s="1">
        <v>1</v>
      </c>
      <c r="V111" s="1">
        <v>1</v>
      </c>
      <c r="W111" s="1">
        <v>0</v>
      </c>
      <c r="X111" s="1">
        <v>0</v>
      </c>
      <c r="Y111" s="1">
        <v>2</v>
      </c>
      <c r="Z111" s="3">
        <v>0.6211180124223602</v>
      </c>
      <c r="AA111" s="1">
        <v>11</v>
      </c>
      <c r="AB111" s="3">
        <v>6.8322981366459627</v>
      </c>
      <c r="AC111" s="1">
        <v>0</v>
      </c>
      <c r="AD111" s="3">
        <v>0</v>
      </c>
      <c r="AE111" s="1">
        <v>1</v>
      </c>
      <c r="AF111" s="3">
        <v>0.6211180124223602</v>
      </c>
      <c r="AG111" s="1">
        <v>6</v>
      </c>
      <c r="AH111" s="3">
        <v>3.7267080745341614</v>
      </c>
      <c r="AI111" s="1" t="s">
        <v>22</v>
      </c>
      <c r="AJ111" s="1">
        <v>2</v>
      </c>
      <c r="AK111" s="3">
        <v>1.2422360248447204</v>
      </c>
      <c r="AL111" s="1">
        <v>2</v>
      </c>
      <c r="AM111" s="3">
        <v>1.2422360248447204</v>
      </c>
      <c r="AN111" s="1" t="s">
        <v>22</v>
      </c>
      <c r="AO111" s="1">
        <v>5</v>
      </c>
      <c r="AP111" s="3">
        <v>3.1055900621118013</v>
      </c>
      <c r="AQ111" s="3"/>
      <c r="AR111" s="3"/>
      <c r="AS111" s="1">
        <v>5</v>
      </c>
      <c r="AT111" s="3">
        <v>3.1055900621118013</v>
      </c>
      <c r="AU111" s="1">
        <v>1</v>
      </c>
      <c r="AV111" s="3">
        <v>0.6211180124223602</v>
      </c>
      <c r="AW111" s="1" t="s">
        <v>22</v>
      </c>
      <c r="AX111" s="1">
        <v>19</v>
      </c>
      <c r="AY111" s="1">
        <v>0</v>
      </c>
      <c r="AZ111" s="1">
        <v>0</v>
      </c>
      <c r="BA111" s="1">
        <v>38</v>
      </c>
      <c r="BB111" s="1">
        <v>0</v>
      </c>
      <c r="BC111" s="1">
        <v>0</v>
      </c>
      <c r="BD111" s="1">
        <v>3</v>
      </c>
      <c r="BE111" s="54">
        <v>1.8633540372670807</v>
      </c>
      <c r="BF111" s="6">
        <v>17</v>
      </c>
      <c r="BG111" s="6">
        <v>23</v>
      </c>
      <c r="BH111" s="1">
        <v>1</v>
      </c>
      <c r="BI111" s="6">
        <v>10</v>
      </c>
      <c r="BJ111" s="1" t="s">
        <v>22</v>
      </c>
      <c r="BK111" s="6">
        <v>0</v>
      </c>
      <c r="BL111" s="6">
        <v>0</v>
      </c>
      <c r="BM111" s="1">
        <v>1</v>
      </c>
      <c r="BN111" t="s">
        <v>24</v>
      </c>
      <c r="BO111">
        <v>1840</v>
      </c>
    </row>
    <row r="112" spans="1:67" x14ac:dyDescent="0.3">
      <c r="A112" s="4">
        <f>INT(Tabela1[[#This Row],[Data e Hora]])</f>
        <v>46252</v>
      </c>
      <c r="B112" s="4" t="str">
        <f>UPPER(TEXT(Tabela1[[#This Row],[Data Corrigida]],"MMM"))</f>
        <v>AGO</v>
      </c>
      <c r="C112" t="s">
        <v>376</v>
      </c>
      <c r="D112" t="s">
        <v>377</v>
      </c>
      <c r="E112" t="s">
        <v>378</v>
      </c>
      <c r="F112" t="s">
        <v>19</v>
      </c>
      <c r="G112" s="5" t="s">
        <v>366</v>
      </c>
      <c r="H112" t="s">
        <v>20</v>
      </c>
      <c r="I112" t="s">
        <v>21</v>
      </c>
      <c r="J112" s="1">
        <v>161</v>
      </c>
      <c r="K112" s="1">
        <v>2881</v>
      </c>
      <c r="L112" t="s">
        <v>23</v>
      </c>
      <c r="M112" s="1">
        <v>25</v>
      </c>
      <c r="N112" s="48">
        <v>25</v>
      </c>
      <c r="O112" s="1">
        <v>13</v>
      </c>
      <c r="P112" s="48">
        <v>13</v>
      </c>
      <c r="Q112" s="1">
        <v>0</v>
      </c>
      <c r="R112" s="1">
        <v>0</v>
      </c>
      <c r="S112" s="1">
        <v>1</v>
      </c>
      <c r="T112" s="1">
        <v>1</v>
      </c>
      <c r="U112" s="1">
        <v>1</v>
      </c>
      <c r="V112" s="1">
        <v>1</v>
      </c>
      <c r="W112" s="1">
        <v>0</v>
      </c>
      <c r="X112" s="1">
        <v>0</v>
      </c>
      <c r="Y112" s="1">
        <v>2</v>
      </c>
      <c r="Z112" s="3">
        <v>0.6211180124223602</v>
      </c>
      <c r="AA112" s="1">
        <v>11</v>
      </c>
      <c r="AB112" s="3">
        <v>6.8322981366459627</v>
      </c>
      <c r="AC112" s="1">
        <v>0</v>
      </c>
      <c r="AD112" s="3">
        <v>0</v>
      </c>
      <c r="AE112" s="1">
        <v>3</v>
      </c>
      <c r="AF112" s="3">
        <v>1.8633540372670807</v>
      </c>
      <c r="AG112" s="1">
        <v>10</v>
      </c>
      <c r="AH112" s="3">
        <v>6.2111801242236027</v>
      </c>
      <c r="AI112" s="1" t="s">
        <v>22</v>
      </c>
      <c r="AJ112" s="1">
        <v>6</v>
      </c>
      <c r="AK112" s="3">
        <v>3.7267080745341614</v>
      </c>
      <c r="AL112" s="1">
        <v>2</v>
      </c>
      <c r="AM112" s="3">
        <v>1.2422360248447204</v>
      </c>
      <c r="AN112" s="1" t="s">
        <v>22</v>
      </c>
      <c r="AO112" s="1">
        <v>9</v>
      </c>
      <c r="AP112" s="3">
        <v>5.5900621118012426</v>
      </c>
      <c r="AQ112" s="3"/>
      <c r="AR112" s="3"/>
      <c r="AS112" s="1">
        <v>6</v>
      </c>
      <c r="AT112" s="3">
        <v>3.7267080745341614</v>
      </c>
      <c r="AU112" s="1">
        <v>1</v>
      </c>
      <c r="AV112" s="3">
        <v>0.6211180124223602</v>
      </c>
      <c r="AW112" s="1" t="s">
        <v>22</v>
      </c>
      <c r="AX112" s="1">
        <v>19</v>
      </c>
      <c r="AY112" s="1">
        <v>0</v>
      </c>
      <c r="AZ112" s="1">
        <v>0</v>
      </c>
      <c r="BA112" s="1">
        <v>38</v>
      </c>
      <c r="BB112" s="1">
        <v>0</v>
      </c>
      <c r="BC112" s="1">
        <v>0</v>
      </c>
      <c r="BD112" s="1">
        <v>0</v>
      </c>
      <c r="BE112" s="54">
        <v>0</v>
      </c>
      <c r="BF112" s="6">
        <v>16</v>
      </c>
      <c r="BG112" s="6">
        <v>14</v>
      </c>
      <c r="BH112" s="1">
        <v>0</v>
      </c>
      <c r="BI112" s="6">
        <v>0</v>
      </c>
      <c r="BJ112" s="1" t="s">
        <v>22</v>
      </c>
      <c r="BK112" s="1" t="s">
        <v>22</v>
      </c>
      <c r="BL112" s="1" t="s">
        <v>22</v>
      </c>
      <c r="BM112" s="1" t="s">
        <v>22</v>
      </c>
      <c r="BN112" t="s">
        <v>24</v>
      </c>
      <c r="BO112">
        <v>1727</v>
      </c>
    </row>
    <row r="113" spans="1:67" x14ac:dyDescent="0.3">
      <c r="A113" s="4">
        <f>INT(Tabela1[[#This Row],[Data e Hora]])</f>
        <v>46252</v>
      </c>
      <c r="B113" s="4" t="str">
        <f>UPPER(TEXT(Tabela1[[#This Row],[Data Corrigida]],"MMM"))</f>
        <v>AGO</v>
      </c>
      <c r="C113" t="s">
        <v>379</v>
      </c>
      <c r="D113" t="s">
        <v>380</v>
      </c>
      <c r="E113" t="s">
        <v>378</v>
      </c>
      <c r="F113" t="s">
        <v>19</v>
      </c>
      <c r="G113" s="5" t="s">
        <v>366</v>
      </c>
      <c r="H113" t="s">
        <v>20</v>
      </c>
      <c r="I113" t="s">
        <v>21</v>
      </c>
      <c r="J113" s="1">
        <v>160</v>
      </c>
      <c r="K113" s="1">
        <v>2917</v>
      </c>
      <c r="L113" t="s">
        <v>23</v>
      </c>
      <c r="M113" s="1">
        <v>25</v>
      </c>
      <c r="N113" s="48">
        <v>25</v>
      </c>
      <c r="O113" s="1">
        <v>9</v>
      </c>
      <c r="P113" s="48">
        <v>9</v>
      </c>
      <c r="Q113" s="1">
        <v>0</v>
      </c>
      <c r="R113" s="1">
        <v>0</v>
      </c>
      <c r="S113" s="1">
        <v>2</v>
      </c>
      <c r="T113" s="1">
        <v>2</v>
      </c>
      <c r="U113" s="1">
        <v>1</v>
      </c>
      <c r="V113" s="1">
        <v>1</v>
      </c>
      <c r="W113" s="1">
        <v>0</v>
      </c>
      <c r="X113" s="1">
        <v>0</v>
      </c>
      <c r="Y113" s="1">
        <v>0</v>
      </c>
      <c r="Z113" s="3">
        <v>0</v>
      </c>
      <c r="AA113" s="1">
        <v>11</v>
      </c>
      <c r="AB113" s="3">
        <v>6.8750000000000009</v>
      </c>
      <c r="AC113" s="1">
        <v>0</v>
      </c>
      <c r="AD113" s="3">
        <v>0</v>
      </c>
      <c r="AE113" s="1">
        <v>1</v>
      </c>
      <c r="AF113" s="3">
        <v>0.625</v>
      </c>
      <c r="AG113" s="1">
        <v>4</v>
      </c>
      <c r="AH113" s="3">
        <v>2.5</v>
      </c>
      <c r="AI113" s="1" t="s">
        <v>22</v>
      </c>
      <c r="AJ113" s="1">
        <v>2</v>
      </c>
      <c r="AK113" s="3">
        <v>1.25</v>
      </c>
      <c r="AL113" s="1">
        <v>1</v>
      </c>
      <c r="AM113" s="3">
        <v>0.625</v>
      </c>
      <c r="AN113" s="1" t="s">
        <v>22</v>
      </c>
      <c r="AO113" s="1">
        <v>10</v>
      </c>
      <c r="AP113" s="3">
        <v>6.25</v>
      </c>
      <c r="AQ113" s="3"/>
      <c r="AR113" s="3"/>
      <c r="AS113" s="1">
        <v>5</v>
      </c>
      <c r="AT113" s="3">
        <v>3.125</v>
      </c>
      <c r="AU113" s="1">
        <v>0</v>
      </c>
      <c r="AV113" s="3">
        <v>0</v>
      </c>
      <c r="AW113" s="1" t="s">
        <v>22</v>
      </c>
      <c r="AX113" s="1">
        <v>16</v>
      </c>
      <c r="AY113" s="1">
        <v>0</v>
      </c>
      <c r="AZ113" s="1">
        <v>0</v>
      </c>
      <c r="BA113" s="1">
        <v>32</v>
      </c>
      <c r="BB113" s="1">
        <v>0</v>
      </c>
      <c r="BC113" s="1">
        <v>0</v>
      </c>
      <c r="BD113" s="1">
        <v>0</v>
      </c>
      <c r="BE113" s="54">
        <v>0</v>
      </c>
      <c r="BF113" s="6">
        <v>19</v>
      </c>
      <c r="BG113" s="6">
        <v>14</v>
      </c>
      <c r="BH113" s="1">
        <v>0</v>
      </c>
      <c r="BI113" s="6">
        <v>0</v>
      </c>
      <c r="BJ113" s="1" t="s">
        <v>22</v>
      </c>
      <c r="BK113" s="1" t="s">
        <v>22</v>
      </c>
      <c r="BL113" s="1" t="s">
        <v>22</v>
      </c>
      <c r="BM113" s="1" t="s">
        <v>22</v>
      </c>
      <c r="BN113" t="s">
        <v>22</v>
      </c>
      <c r="BO113">
        <v>1802</v>
      </c>
    </row>
    <row r="114" spans="1:67" x14ac:dyDescent="0.3">
      <c r="A114" s="4">
        <f>INT(Tabela1[[#This Row],[Data e Hora]])</f>
        <v>46253</v>
      </c>
      <c r="B114" s="4" t="str">
        <f>UPPER(TEXT(Tabela1[[#This Row],[Data Corrigida]],"MMM"))</f>
        <v>AGO</v>
      </c>
      <c r="C114" t="s">
        <v>379</v>
      </c>
      <c r="D114" t="s">
        <v>381</v>
      </c>
      <c r="E114" t="s">
        <v>382</v>
      </c>
      <c r="F114" t="s">
        <v>19</v>
      </c>
      <c r="G114" s="5" t="s">
        <v>383</v>
      </c>
      <c r="H114" t="s">
        <v>20</v>
      </c>
      <c r="I114" t="s">
        <v>33</v>
      </c>
      <c r="J114" s="1">
        <v>161</v>
      </c>
      <c r="K114" s="1">
        <v>2996</v>
      </c>
      <c r="L114" t="s">
        <v>34</v>
      </c>
      <c r="M114" s="1">
        <v>20</v>
      </c>
      <c r="N114" s="48">
        <v>20</v>
      </c>
      <c r="O114" s="1">
        <v>15</v>
      </c>
      <c r="P114" s="48">
        <v>15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7</v>
      </c>
      <c r="Z114" s="3">
        <v>2.1739130434782608</v>
      </c>
      <c r="AA114" s="1">
        <v>2</v>
      </c>
      <c r="AB114" s="3">
        <v>1.2422360248447204</v>
      </c>
      <c r="AC114" s="1">
        <v>0</v>
      </c>
      <c r="AD114" s="3">
        <v>0</v>
      </c>
      <c r="AE114" s="1">
        <v>0</v>
      </c>
      <c r="AF114" s="3">
        <v>0</v>
      </c>
      <c r="AG114" s="1">
        <v>3</v>
      </c>
      <c r="AH114" s="3">
        <v>1.8633540372670807</v>
      </c>
      <c r="AI114" s="1" t="s">
        <v>22</v>
      </c>
      <c r="AJ114" s="1">
        <v>0</v>
      </c>
      <c r="AK114" s="3">
        <v>0</v>
      </c>
      <c r="AL114" s="1">
        <v>0</v>
      </c>
      <c r="AM114" s="3">
        <v>0</v>
      </c>
      <c r="AN114" s="1" t="s">
        <v>22</v>
      </c>
      <c r="AO114" s="1">
        <v>6</v>
      </c>
      <c r="AP114" s="3">
        <v>3.7267080745341614</v>
      </c>
      <c r="AQ114" s="3"/>
      <c r="AR114" s="3"/>
      <c r="AS114" s="1">
        <v>4</v>
      </c>
      <c r="AT114" s="3">
        <v>2.4844720496894408</v>
      </c>
      <c r="AU114" s="1">
        <v>0</v>
      </c>
      <c r="AV114" s="3">
        <v>0</v>
      </c>
      <c r="AW114" s="1" t="s">
        <v>22</v>
      </c>
      <c r="AX114" s="1">
        <v>16</v>
      </c>
      <c r="AY114" s="1">
        <v>0</v>
      </c>
      <c r="AZ114" s="1">
        <v>0</v>
      </c>
      <c r="BA114" s="1">
        <v>32</v>
      </c>
      <c r="BB114" s="1">
        <v>0</v>
      </c>
      <c r="BC114" s="1">
        <v>0</v>
      </c>
      <c r="BD114" s="1">
        <v>1</v>
      </c>
      <c r="BE114" s="54">
        <v>0.6211180124223602</v>
      </c>
      <c r="BF114" s="6">
        <v>9</v>
      </c>
      <c r="BG114" s="6">
        <v>5</v>
      </c>
      <c r="BH114" s="1">
        <v>0</v>
      </c>
      <c r="BI114" s="6">
        <v>0</v>
      </c>
      <c r="BJ114" s="1" t="s">
        <v>22</v>
      </c>
      <c r="BK114" s="1" t="s">
        <v>22</v>
      </c>
      <c r="BL114" s="1" t="s">
        <v>22</v>
      </c>
      <c r="BM114" s="1" t="s">
        <v>22</v>
      </c>
      <c r="BN114" t="s">
        <v>24</v>
      </c>
      <c r="BO114">
        <v>1282</v>
      </c>
    </row>
    <row r="115" spans="1:67" x14ac:dyDescent="0.3">
      <c r="A115" s="4">
        <f>INT(Tabela1[[#This Row],[Data e Hora]])</f>
        <v>46253</v>
      </c>
      <c r="B115" s="4" t="str">
        <f>UPPER(TEXT(Tabela1[[#This Row],[Data Corrigida]],"MMM"))</f>
        <v>AGO</v>
      </c>
      <c r="C115" t="s">
        <v>384</v>
      </c>
      <c r="D115" t="s">
        <v>385</v>
      </c>
      <c r="E115" t="s">
        <v>382</v>
      </c>
      <c r="F115" t="s">
        <v>19</v>
      </c>
      <c r="G115" s="5" t="s">
        <v>383</v>
      </c>
      <c r="H115" t="s">
        <v>20</v>
      </c>
      <c r="I115" t="s">
        <v>33</v>
      </c>
      <c r="J115" s="1">
        <v>161</v>
      </c>
      <c r="K115" s="1">
        <v>2988</v>
      </c>
      <c r="L115" t="s">
        <v>34</v>
      </c>
      <c r="M115" s="1">
        <v>42</v>
      </c>
      <c r="N115" s="48">
        <v>42</v>
      </c>
      <c r="O115" s="1">
        <v>25</v>
      </c>
      <c r="P115" s="48">
        <v>25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6</v>
      </c>
      <c r="Z115" s="3">
        <v>1.8633540372670807</v>
      </c>
      <c r="AA115" s="1">
        <v>2</v>
      </c>
      <c r="AB115" s="3">
        <v>1.2422360248447204</v>
      </c>
      <c r="AC115" s="1">
        <v>0</v>
      </c>
      <c r="AD115" s="3">
        <v>0</v>
      </c>
      <c r="AE115" s="1">
        <v>0</v>
      </c>
      <c r="AF115" s="3">
        <v>0</v>
      </c>
      <c r="AG115" s="1">
        <v>2</v>
      </c>
      <c r="AH115" s="3">
        <v>1.2422360248447204</v>
      </c>
      <c r="AI115" s="1" t="s">
        <v>22</v>
      </c>
      <c r="AJ115" s="1">
        <v>2</v>
      </c>
      <c r="AK115" s="3">
        <v>1.2422360248447204</v>
      </c>
      <c r="AL115" s="1">
        <v>0</v>
      </c>
      <c r="AM115" s="3">
        <v>0</v>
      </c>
      <c r="AN115" s="1" t="s">
        <v>22</v>
      </c>
      <c r="AO115" s="1">
        <v>10</v>
      </c>
      <c r="AP115" s="3">
        <v>6.2111801242236027</v>
      </c>
      <c r="AQ115" s="3"/>
      <c r="AR115" s="3"/>
      <c r="AS115" s="1">
        <v>4</v>
      </c>
      <c r="AT115" s="3">
        <v>2.4844720496894408</v>
      </c>
      <c r="AU115" s="1">
        <v>0</v>
      </c>
      <c r="AV115" s="3">
        <v>0</v>
      </c>
      <c r="AW115" s="1" t="s">
        <v>22</v>
      </c>
      <c r="AX115" s="1">
        <v>10</v>
      </c>
      <c r="AY115" s="1">
        <v>0</v>
      </c>
      <c r="AZ115" s="1">
        <v>1</v>
      </c>
      <c r="BA115" s="1">
        <v>20</v>
      </c>
      <c r="BB115" s="1">
        <v>0</v>
      </c>
      <c r="BC115" s="1">
        <v>2</v>
      </c>
      <c r="BD115" s="1">
        <v>3</v>
      </c>
      <c r="BE115" s="54">
        <v>1.8633540372670807</v>
      </c>
      <c r="BF115" s="6">
        <v>6</v>
      </c>
      <c r="BG115" s="6">
        <v>3</v>
      </c>
      <c r="BH115" s="1">
        <v>0</v>
      </c>
      <c r="BI115" s="6">
        <v>0</v>
      </c>
      <c r="BJ115" s="1" t="s">
        <v>22</v>
      </c>
      <c r="BK115" s="1" t="s">
        <v>22</v>
      </c>
      <c r="BL115" s="1" t="s">
        <v>22</v>
      </c>
      <c r="BM115" s="1" t="s">
        <v>22</v>
      </c>
      <c r="BN115" t="s">
        <v>24</v>
      </c>
      <c r="BO115">
        <v>8346</v>
      </c>
    </row>
    <row r="116" spans="1:67" x14ac:dyDescent="0.3">
      <c r="A116" s="4">
        <f>INT(Tabela1[[#This Row],[Data e Hora]])</f>
        <v>46253</v>
      </c>
      <c r="B116" s="4" t="str">
        <f>UPPER(TEXT(Tabela1[[#This Row],[Data Corrigida]],"MMM"))</f>
        <v>AGO</v>
      </c>
      <c r="C116" t="s">
        <v>386</v>
      </c>
      <c r="D116" t="s">
        <v>387</v>
      </c>
      <c r="E116" t="s">
        <v>388</v>
      </c>
      <c r="F116" t="s">
        <v>19</v>
      </c>
      <c r="G116" s="5" t="s">
        <v>383</v>
      </c>
      <c r="H116" t="s">
        <v>20</v>
      </c>
      <c r="I116" t="s">
        <v>33</v>
      </c>
      <c r="J116" s="1">
        <v>152</v>
      </c>
      <c r="K116" s="1">
        <v>2946</v>
      </c>
      <c r="L116" t="s">
        <v>34</v>
      </c>
      <c r="M116" s="1">
        <v>23</v>
      </c>
      <c r="N116" s="48">
        <v>23</v>
      </c>
      <c r="O116" s="1">
        <v>10</v>
      </c>
      <c r="P116" s="48">
        <v>10</v>
      </c>
      <c r="Q116" s="1">
        <v>1</v>
      </c>
      <c r="R116" s="1">
        <v>10</v>
      </c>
      <c r="S116" s="1">
        <v>0</v>
      </c>
      <c r="T116" s="1">
        <v>0</v>
      </c>
      <c r="U116" s="1">
        <v>0</v>
      </c>
      <c r="V116" s="1">
        <v>0</v>
      </c>
      <c r="W116" s="1">
        <v>1</v>
      </c>
      <c r="X116" s="1">
        <v>5</v>
      </c>
      <c r="Y116" s="1">
        <v>3</v>
      </c>
      <c r="Z116" s="3">
        <v>0.98684210526315785</v>
      </c>
      <c r="AA116" s="1">
        <v>7</v>
      </c>
      <c r="AB116" s="3">
        <v>4.6052631578947363</v>
      </c>
      <c r="AC116" s="1">
        <v>0</v>
      </c>
      <c r="AD116" s="3">
        <v>0</v>
      </c>
      <c r="AE116" s="1">
        <v>0</v>
      </c>
      <c r="AF116" s="3">
        <v>0</v>
      </c>
      <c r="AG116" s="1">
        <v>1</v>
      </c>
      <c r="AH116" s="3">
        <v>0.6578947368421052</v>
      </c>
      <c r="AI116" s="1" t="s">
        <v>22</v>
      </c>
      <c r="AJ116" s="1">
        <v>0</v>
      </c>
      <c r="AK116" s="3">
        <v>0</v>
      </c>
      <c r="AL116" s="1">
        <v>0</v>
      </c>
      <c r="AM116" s="3">
        <v>0</v>
      </c>
      <c r="AN116" s="1" t="s">
        <v>22</v>
      </c>
      <c r="AO116" s="1">
        <v>7</v>
      </c>
      <c r="AP116" s="3">
        <v>4.6052631578947363</v>
      </c>
      <c r="AQ116" s="3"/>
      <c r="AR116" s="3"/>
      <c r="AS116" s="1">
        <v>3</v>
      </c>
      <c r="AT116" s="3">
        <v>1.9736842105263157</v>
      </c>
      <c r="AU116" s="1">
        <v>0</v>
      </c>
      <c r="AV116" s="3">
        <v>0</v>
      </c>
      <c r="AW116" s="1" t="s">
        <v>22</v>
      </c>
      <c r="AX116" s="1">
        <v>14</v>
      </c>
      <c r="AY116" s="1">
        <v>0</v>
      </c>
      <c r="AZ116" s="1">
        <v>1</v>
      </c>
      <c r="BA116" s="1">
        <v>28</v>
      </c>
      <c r="BB116" s="1">
        <v>0</v>
      </c>
      <c r="BC116" s="1">
        <v>2</v>
      </c>
      <c r="BD116" s="1">
        <v>0</v>
      </c>
      <c r="BE116" s="54">
        <v>0</v>
      </c>
      <c r="BF116" s="6">
        <v>9</v>
      </c>
      <c r="BG116" s="6">
        <v>5</v>
      </c>
      <c r="BH116" s="1">
        <v>0</v>
      </c>
      <c r="BI116" s="6">
        <v>0</v>
      </c>
      <c r="BJ116" s="1" t="s">
        <v>22</v>
      </c>
      <c r="BK116" s="1" t="s">
        <v>22</v>
      </c>
      <c r="BL116" s="1" t="s">
        <v>22</v>
      </c>
      <c r="BM116" s="1" t="s">
        <v>22</v>
      </c>
      <c r="BN116" t="s">
        <v>24</v>
      </c>
      <c r="BO116">
        <v>7098</v>
      </c>
    </row>
    <row r="117" spans="1:67" x14ac:dyDescent="0.3">
      <c r="A117" s="4">
        <f>INT(Tabela1[[#This Row],[Data e Hora]])</f>
        <v>46253</v>
      </c>
      <c r="B117" s="4" t="str">
        <f>UPPER(TEXT(Tabela1[[#This Row],[Data Corrigida]],"MMM"))</f>
        <v>AGO</v>
      </c>
      <c r="C117" t="s">
        <v>389</v>
      </c>
      <c r="D117" t="s">
        <v>390</v>
      </c>
      <c r="E117" t="s">
        <v>391</v>
      </c>
      <c r="F117" t="s">
        <v>19</v>
      </c>
      <c r="G117" s="5" t="s">
        <v>383</v>
      </c>
      <c r="H117" t="s">
        <v>20</v>
      </c>
      <c r="I117" t="s">
        <v>21</v>
      </c>
      <c r="J117" s="1">
        <v>146</v>
      </c>
      <c r="K117" s="1">
        <v>2850</v>
      </c>
      <c r="L117" t="s">
        <v>23</v>
      </c>
      <c r="M117" s="1">
        <v>21</v>
      </c>
      <c r="N117" s="48">
        <v>21</v>
      </c>
      <c r="O117" s="1">
        <v>10</v>
      </c>
      <c r="P117" s="48">
        <v>10</v>
      </c>
      <c r="Q117" s="1">
        <v>0</v>
      </c>
      <c r="R117" s="1">
        <v>0</v>
      </c>
      <c r="S117" s="1">
        <v>1</v>
      </c>
      <c r="T117" s="1">
        <v>1</v>
      </c>
      <c r="U117" s="1">
        <v>1</v>
      </c>
      <c r="V117" s="1">
        <v>1</v>
      </c>
      <c r="W117" s="1">
        <v>0</v>
      </c>
      <c r="X117" s="1">
        <v>0</v>
      </c>
      <c r="Y117" s="1">
        <v>1</v>
      </c>
      <c r="Z117" s="3">
        <v>0.34246575342465752</v>
      </c>
      <c r="AA117" s="1">
        <v>4</v>
      </c>
      <c r="AB117" s="3">
        <v>2.7397260273972601</v>
      </c>
      <c r="AC117" s="1">
        <v>1</v>
      </c>
      <c r="AD117" s="3">
        <v>0.68493150684931503</v>
      </c>
      <c r="AE117" s="1">
        <v>1</v>
      </c>
      <c r="AF117" s="3">
        <v>0.68493150684931503</v>
      </c>
      <c r="AG117" s="1">
        <v>6</v>
      </c>
      <c r="AH117" s="3">
        <v>4.10958904109589</v>
      </c>
      <c r="AI117" s="1" t="s">
        <v>22</v>
      </c>
      <c r="AJ117" s="1">
        <v>1</v>
      </c>
      <c r="AK117" s="3">
        <v>0.68493150684931503</v>
      </c>
      <c r="AL117" s="1">
        <v>1</v>
      </c>
      <c r="AM117" s="3">
        <v>0.68493150684931503</v>
      </c>
      <c r="AN117" s="1" t="s">
        <v>22</v>
      </c>
      <c r="AO117" s="1">
        <v>5</v>
      </c>
      <c r="AP117" s="3">
        <v>3.4246575342465753</v>
      </c>
      <c r="AQ117" s="3"/>
      <c r="AR117" s="3"/>
      <c r="AS117" s="1">
        <v>5</v>
      </c>
      <c r="AT117" s="3">
        <v>3.4246575342465753</v>
      </c>
      <c r="AU117" s="1">
        <v>2</v>
      </c>
      <c r="AV117" s="3">
        <v>1.3698630136986301</v>
      </c>
      <c r="AW117" s="1" t="s">
        <v>22</v>
      </c>
      <c r="AX117" s="1">
        <v>16</v>
      </c>
      <c r="AY117" s="1">
        <v>2</v>
      </c>
      <c r="AZ117" s="1">
        <v>2</v>
      </c>
      <c r="BA117" s="1">
        <v>32</v>
      </c>
      <c r="BB117" s="1">
        <v>4</v>
      </c>
      <c r="BC117" s="1">
        <v>4</v>
      </c>
      <c r="BD117" s="1">
        <v>1</v>
      </c>
      <c r="BE117" s="54">
        <v>0.68493150684931503</v>
      </c>
      <c r="BF117" s="6">
        <v>25</v>
      </c>
      <c r="BG117" s="6">
        <v>13</v>
      </c>
      <c r="BH117" s="1">
        <v>0</v>
      </c>
      <c r="BI117" s="6">
        <v>0</v>
      </c>
      <c r="BJ117" s="1" t="s">
        <v>22</v>
      </c>
      <c r="BK117" s="1" t="s">
        <v>22</v>
      </c>
      <c r="BL117" s="1" t="s">
        <v>22</v>
      </c>
      <c r="BM117" s="1" t="s">
        <v>22</v>
      </c>
      <c r="BN117" t="s">
        <v>24</v>
      </c>
      <c r="BO117">
        <v>1978</v>
      </c>
    </row>
    <row r="118" spans="1:67" x14ac:dyDescent="0.3">
      <c r="A118" s="4">
        <f>INT(Tabela1[[#This Row],[Data e Hora]])</f>
        <v>46253</v>
      </c>
      <c r="B118" s="4" t="str">
        <f>UPPER(TEXT(Tabela1[[#This Row],[Data Corrigida]],"MMM"))</f>
        <v>AGO</v>
      </c>
      <c r="C118" t="s">
        <v>392</v>
      </c>
      <c r="D118" t="s">
        <v>393</v>
      </c>
      <c r="E118" t="s">
        <v>391</v>
      </c>
      <c r="F118" t="s">
        <v>19</v>
      </c>
      <c r="G118" s="5" t="s">
        <v>383</v>
      </c>
      <c r="H118" t="s">
        <v>20</v>
      </c>
      <c r="I118" t="s">
        <v>21</v>
      </c>
      <c r="J118" s="1">
        <v>144</v>
      </c>
      <c r="K118" s="1">
        <v>2850</v>
      </c>
      <c r="L118" t="s">
        <v>23</v>
      </c>
      <c r="M118" s="1">
        <v>19</v>
      </c>
      <c r="N118" s="48">
        <v>19</v>
      </c>
      <c r="O118" s="1">
        <v>7</v>
      </c>
      <c r="P118" s="48">
        <v>7.0000000000000009</v>
      </c>
      <c r="Q118" s="1">
        <v>0</v>
      </c>
      <c r="R118" s="1">
        <v>0</v>
      </c>
      <c r="S118" s="1">
        <v>2</v>
      </c>
      <c r="T118" s="1">
        <v>2</v>
      </c>
      <c r="U118" s="1">
        <v>1</v>
      </c>
      <c r="V118" s="1">
        <v>1</v>
      </c>
      <c r="W118" s="1">
        <v>0</v>
      </c>
      <c r="X118" s="1">
        <v>0</v>
      </c>
      <c r="Y118" s="1">
        <v>1</v>
      </c>
      <c r="Z118" s="3">
        <v>0.34722222222222221</v>
      </c>
      <c r="AA118" s="1">
        <v>4</v>
      </c>
      <c r="AB118" s="3">
        <v>2.7777777777777777</v>
      </c>
      <c r="AC118" s="1">
        <v>0</v>
      </c>
      <c r="AD118" s="3">
        <v>0</v>
      </c>
      <c r="AE118" s="1">
        <v>1</v>
      </c>
      <c r="AF118" s="3">
        <v>0.69444444444444442</v>
      </c>
      <c r="AG118" s="1">
        <v>5</v>
      </c>
      <c r="AH118" s="3">
        <v>3.4722222222222223</v>
      </c>
      <c r="AI118" s="1" t="s">
        <v>22</v>
      </c>
      <c r="AJ118" s="1">
        <v>1</v>
      </c>
      <c r="AK118" s="3">
        <v>0.69444444444444442</v>
      </c>
      <c r="AL118" s="1">
        <v>2</v>
      </c>
      <c r="AM118" s="3">
        <v>1.3888888888888888</v>
      </c>
      <c r="AN118" s="1" t="s">
        <v>22</v>
      </c>
      <c r="AO118" s="1">
        <v>5</v>
      </c>
      <c r="AP118" s="3">
        <v>3.4722222222222223</v>
      </c>
      <c r="AQ118" s="3"/>
      <c r="AR118" s="3"/>
      <c r="AS118" s="1">
        <v>6</v>
      </c>
      <c r="AT118" s="3">
        <v>4.1666666666666661</v>
      </c>
      <c r="AU118" s="1">
        <v>1</v>
      </c>
      <c r="AV118" s="3">
        <v>0.69444444444444442</v>
      </c>
      <c r="AW118" s="1" t="s">
        <v>22</v>
      </c>
      <c r="AX118" s="1">
        <v>17</v>
      </c>
      <c r="AY118" s="1">
        <v>0</v>
      </c>
      <c r="AZ118" s="1">
        <v>0</v>
      </c>
      <c r="BA118" s="1">
        <v>34</v>
      </c>
      <c r="BB118" s="1">
        <v>0</v>
      </c>
      <c r="BC118" s="1">
        <v>0</v>
      </c>
      <c r="BD118" s="1">
        <v>1</v>
      </c>
      <c r="BE118" s="54">
        <v>0.69444444444444442</v>
      </c>
      <c r="BF118" s="6">
        <v>22</v>
      </c>
      <c r="BG118" s="6">
        <v>14</v>
      </c>
      <c r="BH118" s="1">
        <v>0</v>
      </c>
      <c r="BI118" s="6">
        <v>0</v>
      </c>
      <c r="BJ118" s="1" t="s">
        <v>22</v>
      </c>
      <c r="BK118" s="6">
        <v>0</v>
      </c>
      <c r="BL118" s="6">
        <v>0</v>
      </c>
      <c r="BM118" s="1">
        <v>1</v>
      </c>
      <c r="BN118" t="s">
        <v>22</v>
      </c>
      <c r="BO118">
        <v>3052</v>
      </c>
    </row>
    <row r="119" spans="1:67" x14ac:dyDescent="0.3">
      <c r="A119" s="4">
        <f>INT(Tabela1[[#This Row],[Data e Hora]])</f>
        <v>46253</v>
      </c>
      <c r="B119" s="4" t="str">
        <f>UPPER(TEXT(Tabela1[[#This Row],[Data Corrigida]],"MMM"))</f>
        <v>AGO</v>
      </c>
      <c r="C119" t="s">
        <v>394</v>
      </c>
      <c r="D119" t="s">
        <v>395</v>
      </c>
      <c r="E119" t="s">
        <v>396</v>
      </c>
      <c r="F119" t="s">
        <v>19</v>
      </c>
      <c r="G119" s="5" t="s">
        <v>383</v>
      </c>
      <c r="H119" t="s">
        <v>20</v>
      </c>
      <c r="I119" t="s">
        <v>21</v>
      </c>
      <c r="J119" s="1">
        <v>160</v>
      </c>
      <c r="K119" s="1">
        <v>100</v>
      </c>
      <c r="L119" t="s">
        <v>23</v>
      </c>
      <c r="M119" s="1">
        <v>45</v>
      </c>
      <c r="N119" s="48">
        <v>45</v>
      </c>
      <c r="O119" s="1">
        <v>12</v>
      </c>
      <c r="P119" s="48">
        <v>12</v>
      </c>
      <c r="Q119" s="1">
        <v>0</v>
      </c>
      <c r="R119" s="1">
        <v>0</v>
      </c>
      <c r="S119" s="1">
        <v>2</v>
      </c>
      <c r="T119" s="1">
        <v>2</v>
      </c>
      <c r="U119" s="1">
        <v>1</v>
      </c>
      <c r="V119" s="1">
        <v>1</v>
      </c>
      <c r="W119" s="1">
        <v>0</v>
      </c>
      <c r="X119" s="1">
        <v>0</v>
      </c>
      <c r="Y119" s="1">
        <v>0</v>
      </c>
      <c r="Z119" s="3">
        <v>0</v>
      </c>
      <c r="AA119" s="1">
        <v>11</v>
      </c>
      <c r="AB119" s="3">
        <v>6.8750000000000009</v>
      </c>
      <c r="AC119" s="1">
        <v>1</v>
      </c>
      <c r="AD119" s="3">
        <v>0.625</v>
      </c>
      <c r="AE119" s="1">
        <v>2</v>
      </c>
      <c r="AF119" s="3">
        <v>1.25</v>
      </c>
      <c r="AG119" s="1">
        <v>8</v>
      </c>
      <c r="AH119" s="3">
        <v>5</v>
      </c>
      <c r="AI119" s="1" t="s">
        <v>22</v>
      </c>
      <c r="AJ119" s="1">
        <v>1</v>
      </c>
      <c r="AK119" s="3">
        <v>0.625</v>
      </c>
      <c r="AL119" s="1">
        <v>2</v>
      </c>
      <c r="AM119" s="3">
        <v>1.25</v>
      </c>
      <c r="AN119" s="1" t="s">
        <v>22</v>
      </c>
      <c r="AO119" s="1">
        <v>4</v>
      </c>
      <c r="AP119" s="3">
        <v>2.5</v>
      </c>
      <c r="AQ119" s="3"/>
      <c r="AR119" s="3"/>
      <c r="AS119" s="1">
        <v>5</v>
      </c>
      <c r="AT119" s="3">
        <v>3.125</v>
      </c>
      <c r="AU119" s="1">
        <v>1</v>
      </c>
      <c r="AV119" s="3">
        <v>0.625</v>
      </c>
      <c r="AW119" s="1" t="s">
        <v>22</v>
      </c>
      <c r="AX119" s="1">
        <v>19</v>
      </c>
      <c r="AY119" s="1">
        <v>0</v>
      </c>
      <c r="AZ119" s="1">
        <v>0</v>
      </c>
      <c r="BA119" s="1">
        <v>38</v>
      </c>
      <c r="BB119" s="1">
        <v>0</v>
      </c>
      <c r="BC119" s="1">
        <v>0</v>
      </c>
      <c r="BD119" s="1">
        <v>1</v>
      </c>
      <c r="BE119" s="54">
        <v>0.625</v>
      </c>
      <c r="BF119" s="6">
        <v>23</v>
      </c>
      <c r="BG119" s="6">
        <v>15</v>
      </c>
      <c r="BH119" s="1">
        <v>1</v>
      </c>
      <c r="BI119" s="6">
        <v>10</v>
      </c>
      <c r="BJ119" s="1" t="s">
        <v>22</v>
      </c>
      <c r="BK119" s="1" t="s">
        <v>22</v>
      </c>
      <c r="BL119" s="1" t="s">
        <v>22</v>
      </c>
      <c r="BM119" s="1" t="s">
        <v>22</v>
      </c>
      <c r="BN119" t="s">
        <v>24</v>
      </c>
      <c r="BO119">
        <v>9049</v>
      </c>
    </row>
    <row r="120" spans="1:67" x14ac:dyDescent="0.3">
      <c r="A120" s="4">
        <f>INT(Tabela1[[#This Row],[Data e Hora]])</f>
        <v>46253</v>
      </c>
      <c r="B120" s="4" t="str">
        <f>UPPER(TEXT(Tabela1[[#This Row],[Data Corrigida]],"MMM"))</f>
        <v>AGO</v>
      </c>
      <c r="C120" t="s">
        <v>397</v>
      </c>
      <c r="D120" t="s">
        <v>398</v>
      </c>
      <c r="E120" t="s">
        <v>396</v>
      </c>
      <c r="F120" t="s">
        <v>19</v>
      </c>
      <c r="G120" s="5" t="s">
        <v>383</v>
      </c>
      <c r="H120" t="s">
        <v>20</v>
      </c>
      <c r="I120" t="s">
        <v>21</v>
      </c>
      <c r="J120" s="1">
        <v>154</v>
      </c>
      <c r="K120" s="1">
        <v>2890</v>
      </c>
      <c r="L120" t="s">
        <v>23</v>
      </c>
      <c r="M120" s="1">
        <v>27</v>
      </c>
      <c r="N120" s="48">
        <v>27</v>
      </c>
      <c r="O120" s="1">
        <v>11</v>
      </c>
      <c r="P120" s="48">
        <v>11</v>
      </c>
      <c r="Q120" s="1">
        <v>0</v>
      </c>
      <c r="R120" s="1">
        <v>0</v>
      </c>
      <c r="S120" s="1">
        <v>3</v>
      </c>
      <c r="T120" s="1">
        <v>3</v>
      </c>
      <c r="U120" s="1">
        <v>1</v>
      </c>
      <c r="V120" s="1">
        <v>1</v>
      </c>
      <c r="W120" s="1">
        <v>0</v>
      </c>
      <c r="X120" s="1">
        <v>0</v>
      </c>
      <c r="Y120" s="1">
        <v>1</v>
      </c>
      <c r="Z120" s="3">
        <v>0.32467532467532467</v>
      </c>
      <c r="AA120" s="1">
        <v>7</v>
      </c>
      <c r="AB120" s="3">
        <v>4.5454545454545459</v>
      </c>
      <c r="AC120" s="1">
        <v>1</v>
      </c>
      <c r="AD120" s="3">
        <v>0.64935064935064934</v>
      </c>
      <c r="AE120" s="1">
        <v>4</v>
      </c>
      <c r="AF120" s="3">
        <v>2.5974025974025974</v>
      </c>
      <c r="AG120" s="1">
        <v>11</v>
      </c>
      <c r="AH120" s="3">
        <v>7.1428571428571423</v>
      </c>
      <c r="AI120" s="1" t="s">
        <v>22</v>
      </c>
      <c r="AJ120" s="1">
        <v>2</v>
      </c>
      <c r="AK120" s="3">
        <v>1.2987012987012987</v>
      </c>
      <c r="AL120" s="1">
        <v>1</v>
      </c>
      <c r="AM120" s="3">
        <v>0.64935064935064934</v>
      </c>
      <c r="AN120" s="1" t="s">
        <v>22</v>
      </c>
      <c r="AO120" s="1">
        <v>5</v>
      </c>
      <c r="AP120" s="3">
        <v>3.2467532467532463</v>
      </c>
      <c r="AQ120" s="3"/>
      <c r="AR120" s="3"/>
      <c r="AS120" s="1">
        <v>6</v>
      </c>
      <c r="AT120" s="3">
        <v>3.8961038961038961</v>
      </c>
      <c r="AU120" s="1">
        <v>1</v>
      </c>
      <c r="AV120" s="3">
        <v>0.64935064935064934</v>
      </c>
      <c r="AW120" s="1" t="s">
        <v>22</v>
      </c>
      <c r="AX120" s="1">
        <v>19</v>
      </c>
      <c r="AY120" s="1">
        <v>2</v>
      </c>
      <c r="AZ120" s="1">
        <v>2</v>
      </c>
      <c r="BA120" s="1">
        <v>38</v>
      </c>
      <c r="BB120" s="1">
        <v>4</v>
      </c>
      <c r="BC120" s="1">
        <v>4</v>
      </c>
      <c r="BD120" s="1">
        <v>1</v>
      </c>
      <c r="BE120" s="54">
        <v>0.64935064935064934</v>
      </c>
      <c r="BF120" s="6">
        <v>28</v>
      </c>
      <c r="BG120" s="6">
        <v>18</v>
      </c>
      <c r="BH120" s="1">
        <v>1</v>
      </c>
      <c r="BI120" s="6">
        <v>10</v>
      </c>
      <c r="BJ120" s="1" t="s">
        <v>22</v>
      </c>
      <c r="BK120" s="1" t="s">
        <v>22</v>
      </c>
      <c r="BL120" s="1" t="s">
        <v>22</v>
      </c>
      <c r="BM120" s="1" t="s">
        <v>22</v>
      </c>
      <c r="BN120" t="s">
        <v>24</v>
      </c>
      <c r="BO120">
        <v>3350</v>
      </c>
    </row>
    <row r="121" spans="1:67" x14ac:dyDescent="0.3">
      <c r="A121" s="4">
        <f>INT(Tabela1[[#This Row],[Data e Hora]])</f>
        <v>46254</v>
      </c>
      <c r="B121" s="4" t="str">
        <f>UPPER(TEXT(Tabela1[[#This Row],[Data Corrigida]],"MMM"))</f>
        <v>AGO</v>
      </c>
      <c r="C121" t="s">
        <v>399</v>
      </c>
      <c r="D121" t="s">
        <v>400</v>
      </c>
      <c r="E121" t="s">
        <v>401</v>
      </c>
      <c r="F121" t="s">
        <v>19</v>
      </c>
      <c r="G121" s="5" t="s">
        <v>402</v>
      </c>
      <c r="H121" t="s">
        <v>20</v>
      </c>
      <c r="I121" t="s">
        <v>33</v>
      </c>
      <c r="J121" s="1">
        <v>99</v>
      </c>
      <c r="K121" s="1">
        <v>3047</v>
      </c>
      <c r="L121" t="s">
        <v>34</v>
      </c>
      <c r="M121" s="1">
        <v>20</v>
      </c>
      <c r="N121" s="48">
        <v>20</v>
      </c>
      <c r="O121" s="1">
        <v>14</v>
      </c>
      <c r="P121" s="48">
        <v>14.000000000000002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4</v>
      </c>
      <c r="Z121" s="3">
        <v>2.0202020202020203</v>
      </c>
      <c r="AA121" s="1">
        <v>3</v>
      </c>
      <c r="AB121" s="3">
        <v>3.0303030303030303</v>
      </c>
      <c r="AC121" s="1">
        <v>0</v>
      </c>
      <c r="AD121" s="3">
        <v>0</v>
      </c>
      <c r="AE121" s="1">
        <v>0</v>
      </c>
      <c r="AF121" s="3">
        <v>0</v>
      </c>
      <c r="AG121" s="1">
        <v>3</v>
      </c>
      <c r="AH121" s="3">
        <v>3.0303030303030303</v>
      </c>
      <c r="AI121" s="1" t="s">
        <v>22</v>
      </c>
      <c r="AJ121" s="1">
        <v>1</v>
      </c>
      <c r="AK121" s="3">
        <v>1.0101010101010102</v>
      </c>
      <c r="AL121" s="1">
        <v>0</v>
      </c>
      <c r="AM121" s="3">
        <v>0</v>
      </c>
      <c r="AN121" s="1" t="s">
        <v>22</v>
      </c>
      <c r="AO121" s="1">
        <v>6</v>
      </c>
      <c r="AP121" s="3">
        <v>6.0606060606060606</v>
      </c>
      <c r="AQ121" s="3"/>
      <c r="AR121" s="3"/>
      <c r="AS121" s="1">
        <v>4</v>
      </c>
      <c r="AT121" s="3">
        <v>4.0404040404040407</v>
      </c>
      <c r="AU121" s="1">
        <v>0</v>
      </c>
      <c r="AV121" s="3">
        <v>0</v>
      </c>
      <c r="AW121" s="1" t="s">
        <v>22</v>
      </c>
      <c r="AX121" s="1">
        <v>15</v>
      </c>
      <c r="AY121" s="1">
        <v>0</v>
      </c>
      <c r="AZ121" s="1">
        <v>0</v>
      </c>
      <c r="BA121" s="1">
        <v>30</v>
      </c>
      <c r="BB121" s="1">
        <v>0</v>
      </c>
      <c r="BC121" s="1">
        <v>0</v>
      </c>
      <c r="BD121" s="1">
        <v>0</v>
      </c>
      <c r="BE121" s="54">
        <v>0</v>
      </c>
      <c r="BF121" s="6">
        <v>5</v>
      </c>
      <c r="BG121" s="6">
        <v>3</v>
      </c>
      <c r="BH121" s="1">
        <v>0</v>
      </c>
      <c r="BI121" s="6">
        <v>0</v>
      </c>
      <c r="BJ121" s="1" t="s">
        <v>22</v>
      </c>
      <c r="BK121" s="6">
        <v>4</v>
      </c>
      <c r="BL121" s="6">
        <v>0</v>
      </c>
      <c r="BM121" s="1">
        <v>0</v>
      </c>
      <c r="BN121" t="s">
        <v>24</v>
      </c>
      <c r="BO121">
        <v>550</v>
      </c>
    </row>
    <row r="122" spans="1:67" x14ac:dyDescent="0.3">
      <c r="A122" s="4">
        <f>INT(Tabela1[[#This Row],[Data e Hora]])</f>
        <v>46254</v>
      </c>
      <c r="B122" s="4" t="str">
        <f>UPPER(TEXT(Tabela1[[#This Row],[Data Corrigida]],"MMM"))</f>
        <v>AGO</v>
      </c>
      <c r="C122" t="s">
        <v>403</v>
      </c>
      <c r="D122" t="s">
        <v>404</v>
      </c>
      <c r="E122" t="s">
        <v>405</v>
      </c>
      <c r="F122" t="s">
        <v>19</v>
      </c>
      <c r="G122" s="5" t="s">
        <v>402</v>
      </c>
      <c r="H122" t="s">
        <v>20</v>
      </c>
      <c r="I122" t="s">
        <v>33</v>
      </c>
      <c r="J122" s="1">
        <v>150</v>
      </c>
      <c r="K122" s="1">
        <v>2945</v>
      </c>
      <c r="L122" t="s">
        <v>34</v>
      </c>
      <c r="M122" s="1">
        <v>20</v>
      </c>
      <c r="N122" s="48">
        <v>20</v>
      </c>
      <c r="O122" s="1">
        <v>14</v>
      </c>
      <c r="P122" s="48">
        <v>14.000000000000002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2</v>
      </c>
      <c r="Z122" s="3">
        <v>0.66666666666666674</v>
      </c>
      <c r="AA122" s="1">
        <v>15</v>
      </c>
      <c r="AB122" s="3">
        <v>10</v>
      </c>
      <c r="AC122" s="1">
        <v>0</v>
      </c>
      <c r="AD122" s="3">
        <v>0</v>
      </c>
      <c r="AE122" s="1">
        <v>0</v>
      </c>
      <c r="AF122" s="3">
        <v>0</v>
      </c>
      <c r="AG122" s="1">
        <v>3</v>
      </c>
      <c r="AH122" s="3">
        <v>2</v>
      </c>
      <c r="AI122" s="1" t="s">
        <v>22</v>
      </c>
      <c r="AJ122" s="1">
        <v>0</v>
      </c>
      <c r="AK122" s="3">
        <v>0</v>
      </c>
      <c r="AL122" s="1">
        <v>0</v>
      </c>
      <c r="AM122" s="3">
        <v>0</v>
      </c>
      <c r="AN122" s="1" t="s">
        <v>22</v>
      </c>
      <c r="AO122" s="1">
        <v>7</v>
      </c>
      <c r="AP122" s="3">
        <v>4.666666666666667</v>
      </c>
      <c r="AQ122" s="3"/>
      <c r="AR122" s="3"/>
      <c r="AS122" s="1">
        <v>4</v>
      </c>
      <c r="AT122" s="3">
        <v>2.666666666666667</v>
      </c>
      <c r="AU122" s="1">
        <v>0</v>
      </c>
      <c r="AV122" s="3">
        <v>0</v>
      </c>
      <c r="AW122" s="1" t="s">
        <v>22</v>
      </c>
      <c r="AX122" s="1">
        <v>6</v>
      </c>
      <c r="AY122" s="1">
        <v>1</v>
      </c>
      <c r="AZ122" s="1">
        <v>0</v>
      </c>
      <c r="BA122" s="1">
        <v>12</v>
      </c>
      <c r="BB122" s="1">
        <v>2</v>
      </c>
      <c r="BC122" s="1">
        <v>0</v>
      </c>
      <c r="BD122" s="1">
        <v>0</v>
      </c>
      <c r="BE122" s="54">
        <v>0</v>
      </c>
      <c r="BF122" s="6">
        <v>5</v>
      </c>
      <c r="BG122" s="6">
        <v>3</v>
      </c>
      <c r="BH122" s="1">
        <v>0</v>
      </c>
      <c r="BI122" s="6">
        <v>0</v>
      </c>
      <c r="BJ122" s="1" t="s">
        <v>22</v>
      </c>
      <c r="BK122" s="6">
        <v>1</v>
      </c>
      <c r="BL122" s="6">
        <v>0</v>
      </c>
      <c r="BM122" s="1">
        <v>0</v>
      </c>
      <c r="BN122" t="s">
        <v>24</v>
      </c>
      <c r="BO122">
        <v>7440</v>
      </c>
    </row>
    <row r="123" spans="1:67" x14ac:dyDescent="0.3">
      <c r="A123" s="4">
        <f>INT(Tabela1[[#This Row],[Data e Hora]])</f>
        <v>46254</v>
      </c>
      <c r="B123" s="4" t="str">
        <f>UPPER(TEXT(Tabela1[[#This Row],[Data Corrigida]],"MMM"))</f>
        <v>AGO</v>
      </c>
      <c r="C123" t="s">
        <v>406</v>
      </c>
      <c r="D123" t="s">
        <v>407</v>
      </c>
      <c r="E123" t="s">
        <v>405</v>
      </c>
      <c r="F123" t="s">
        <v>19</v>
      </c>
      <c r="G123" s="5" t="s">
        <v>402</v>
      </c>
      <c r="H123" t="s">
        <v>20</v>
      </c>
      <c r="I123" t="s">
        <v>33</v>
      </c>
      <c r="J123" s="1">
        <v>128</v>
      </c>
      <c r="K123" s="1">
        <v>5852</v>
      </c>
      <c r="L123" t="s">
        <v>34</v>
      </c>
      <c r="M123" s="1">
        <v>23</v>
      </c>
      <c r="N123" s="48">
        <v>23</v>
      </c>
      <c r="O123" s="1">
        <v>13</v>
      </c>
      <c r="P123" s="48">
        <v>13</v>
      </c>
      <c r="Q123" s="1">
        <v>0</v>
      </c>
      <c r="R123" s="1">
        <v>0</v>
      </c>
      <c r="S123" s="1">
        <v>1</v>
      </c>
      <c r="T123" s="1">
        <v>1</v>
      </c>
      <c r="U123" s="1">
        <v>0</v>
      </c>
      <c r="V123" s="1">
        <v>0</v>
      </c>
      <c r="W123" s="1">
        <v>0</v>
      </c>
      <c r="X123" s="1">
        <v>0</v>
      </c>
      <c r="Y123" s="1">
        <v>3</v>
      </c>
      <c r="Z123" s="3">
        <v>1.171875</v>
      </c>
      <c r="AA123" s="1">
        <v>3</v>
      </c>
      <c r="AB123" s="3">
        <v>2.34375</v>
      </c>
      <c r="AC123" s="1">
        <v>0</v>
      </c>
      <c r="AD123" s="3">
        <v>0</v>
      </c>
      <c r="AE123" s="1">
        <v>0</v>
      </c>
      <c r="AF123" s="3">
        <v>0</v>
      </c>
      <c r="AG123" s="1">
        <v>1</v>
      </c>
      <c r="AH123" s="3">
        <v>0.78125</v>
      </c>
      <c r="AI123" s="1" t="s">
        <v>22</v>
      </c>
      <c r="AJ123" s="1">
        <v>3</v>
      </c>
      <c r="AK123" s="3">
        <v>2.34375</v>
      </c>
      <c r="AL123" s="1">
        <v>0</v>
      </c>
      <c r="AM123" s="3">
        <v>0</v>
      </c>
      <c r="AN123" s="1" t="s">
        <v>22</v>
      </c>
      <c r="AO123" s="1">
        <v>6</v>
      </c>
      <c r="AP123" s="3">
        <v>4.6875</v>
      </c>
      <c r="AQ123" s="3"/>
      <c r="AR123" s="3"/>
      <c r="AS123" s="1">
        <v>1</v>
      </c>
      <c r="AT123" s="3">
        <v>0.78125</v>
      </c>
      <c r="AU123" s="1">
        <v>0</v>
      </c>
      <c r="AV123" s="3">
        <v>0</v>
      </c>
      <c r="AW123" s="1" t="s">
        <v>22</v>
      </c>
      <c r="AX123" s="1">
        <v>10</v>
      </c>
      <c r="AY123" s="1">
        <v>0</v>
      </c>
      <c r="AZ123" s="1">
        <v>0</v>
      </c>
      <c r="BA123" s="1">
        <v>20</v>
      </c>
      <c r="BB123" s="1">
        <v>0</v>
      </c>
      <c r="BC123" s="1">
        <v>0</v>
      </c>
      <c r="BD123" s="1">
        <v>0</v>
      </c>
      <c r="BE123" s="54">
        <v>0</v>
      </c>
      <c r="BF123" s="6">
        <v>3</v>
      </c>
      <c r="BG123" s="6">
        <v>1</v>
      </c>
      <c r="BH123" s="1">
        <v>0</v>
      </c>
      <c r="BI123" s="6">
        <v>0</v>
      </c>
      <c r="BJ123" s="1" t="s">
        <v>22</v>
      </c>
      <c r="BK123" s="6">
        <v>1</v>
      </c>
      <c r="BL123" s="6">
        <v>0</v>
      </c>
      <c r="BM123" s="1">
        <v>0</v>
      </c>
      <c r="BN123" t="s">
        <v>24</v>
      </c>
      <c r="BO123">
        <v>7827</v>
      </c>
    </row>
    <row r="124" spans="1:67" x14ac:dyDescent="0.3">
      <c r="A124" s="4">
        <f>INT(Tabela1[[#This Row],[Data e Hora]])</f>
        <v>46254</v>
      </c>
      <c r="B124" s="4" t="str">
        <f>UPPER(TEXT(Tabela1[[#This Row],[Data Corrigida]],"MMM"))</f>
        <v>AGO</v>
      </c>
      <c r="C124" t="s">
        <v>408</v>
      </c>
      <c r="D124" t="s">
        <v>409</v>
      </c>
      <c r="E124" t="s">
        <v>410</v>
      </c>
      <c r="F124" t="s">
        <v>19</v>
      </c>
      <c r="G124" s="5" t="s">
        <v>402</v>
      </c>
      <c r="H124" t="s">
        <v>20</v>
      </c>
      <c r="I124" t="s">
        <v>21</v>
      </c>
      <c r="J124" s="1">
        <v>160</v>
      </c>
      <c r="K124" s="1">
        <v>3018</v>
      </c>
      <c r="L124" t="s">
        <v>23</v>
      </c>
      <c r="M124" s="1">
        <v>38</v>
      </c>
      <c r="N124" s="48">
        <v>38</v>
      </c>
      <c r="O124" s="1">
        <v>22</v>
      </c>
      <c r="P124" s="48">
        <v>22</v>
      </c>
      <c r="Q124" s="1">
        <v>0</v>
      </c>
      <c r="R124" s="1">
        <v>0</v>
      </c>
      <c r="S124" s="1">
        <v>1</v>
      </c>
      <c r="T124" s="1">
        <v>1</v>
      </c>
      <c r="U124" s="1">
        <v>1</v>
      </c>
      <c r="V124" s="1">
        <v>1</v>
      </c>
      <c r="W124" s="1">
        <v>0</v>
      </c>
      <c r="X124" s="1">
        <v>0</v>
      </c>
      <c r="Y124" s="1">
        <v>2</v>
      </c>
      <c r="Z124" s="3">
        <v>0.625</v>
      </c>
      <c r="AA124" s="1">
        <v>4</v>
      </c>
      <c r="AB124" s="3">
        <v>2.5</v>
      </c>
      <c r="AC124" s="1">
        <v>0</v>
      </c>
      <c r="AD124" s="3">
        <v>0</v>
      </c>
      <c r="AE124" s="1">
        <v>2</v>
      </c>
      <c r="AF124" s="3">
        <v>1.25</v>
      </c>
      <c r="AG124" s="1">
        <v>4</v>
      </c>
      <c r="AH124" s="3">
        <v>2.5</v>
      </c>
      <c r="AI124" s="1" t="s">
        <v>22</v>
      </c>
      <c r="AJ124" s="1">
        <v>2</v>
      </c>
      <c r="AK124" s="3">
        <v>1.25</v>
      </c>
      <c r="AL124" s="1">
        <v>2</v>
      </c>
      <c r="AM124" s="3">
        <v>1.25</v>
      </c>
      <c r="AN124" s="1" t="s">
        <v>22</v>
      </c>
      <c r="AO124" s="1">
        <v>6</v>
      </c>
      <c r="AP124" s="3">
        <v>3.75</v>
      </c>
      <c r="AQ124" s="3"/>
      <c r="AR124" s="3"/>
      <c r="AS124" s="1">
        <v>5</v>
      </c>
      <c r="AT124" s="3">
        <v>3.125</v>
      </c>
      <c r="AU124" s="1">
        <v>1</v>
      </c>
      <c r="AV124" s="3">
        <v>0.625</v>
      </c>
      <c r="AW124" s="1" t="s">
        <v>22</v>
      </c>
      <c r="AX124" s="1">
        <v>18</v>
      </c>
      <c r="AY124" s="1">
        <v>0</v>
      </c>
      <c r="AZ124" s="1">
        <v>0</v>
      </c>
      <c r="BA124" s="1">
        <v>36</v>
      </c>
      <c r="BB124" s="1">
        <v>0</v>
      </c>
      <c r="BC124" s="1">
        <v>0</v>
      </c>
      <c r="BD124" s="1">
        <v>1</v>
      </c>
      <c r="BE124" s="54">
        <v>0.625</v>
      </c>
      <c r="BF124" s="6">
        <v>20</v>
      </c>
      <c r="BG124" s="6">
        <v>19</v>
      </c>
      <c r="BH124" s="1">
        <v>1</v>
      </c>
      <c r="BI124" s="6">
        <v>10</v>
      </c>
      <c r="BJ124" s="1" t="s">
        <v>22</v>
      </c>
      <c r="BK124" s="1" t="s">
        <v>22</v>
      </c>
      <c r="BL124" s="1" t="s">
        <v>22</v>
      </c>
      <c r="BM124" s="1" t="s">
        <v>22</v>
      </c>
      <c r="BN124" t="s">
        <v>24</v>
      </c>
      <c r="BO124">
        <v>1432</v>
      </c>
    </row>
    <row r="125" spans="1:67" x14ac:dyDescent="0.3">
      <c r="A125" s="4">
        <f>INT(Tabela1[[#This Row],[Data e Hora]])</f>
        <v>46254</v>
      </c>
      <c r="B125" s="4" t="str">
        <f>UPPER(TEXT(Tabela1[[#This Row],[Data Corrigida]],"MMM"))</f>
        <v>AGO</v>
      </c>
      <c r="C125" t="s">
        <v>411</v>
      </c>
      <c r="D125" t="s">
        <v>412</v>
      </c>
      <c r="E125" t="s">
        <v>410</v>
      </c>
      <c r="F125" t="s">
        <v>19</v>
      </c>
      <c r="G125" s="5" t="s">
        <v>402</v>
      </c>
      <c r="H125" t="s">
        <v>20</v>
      </c>
      <c r="I125" t="s">
        <v>21</v>
      </c>
      <c r="J125" s="1">
        <v>160</v>
      </c>
      <c r="K125" s="1">
        <v>2987</v>
      </c>
      <c r="L125" t="s">
        <v>23</v>
      </c>
      <c r="M125" s="1">
        <v>43</v>
      </c>
      <c r="N125" s="48">
        <v>43</v>
      </c>
      <c r="O125" s="1">
        <v>23</v>
      </c>
      <c r="P125" s="48">
        <v>23</v>
      </c>
      <c r="Q125" s="1">
        <v>0</v>
      </c>
      <c r="R125" s="1">
        <v>0</v>
      </c>
      <c r="S125" s="1">
        <v>1</v>
      </c>
      <c r="T125" s="1">
        <v>1</v>
      </c>
      <c r="U125" s="1">
        <v>1</v>
      </c>
      <c r="V125" s="1">
        <v>1</v>
      </c>
      <c r="W125" s="1">
        <v>0</v>
      </c>
      <c r="X125" s="1">
        <v>0</v>
      </c>
      <c r="Y125" s="1">
        <v>2</v>
      </c>
      <c r="Z125" s="3">
        <v>0.625</v>
      </c>
      <c r="AA125" s="1">
        <v>4</v>
      </c>
      <c r="AB125" s="3">
        <v>2.5</v>
      </c>
      <c r="AC125" s="1">
        <v>0</v>
      </c>
      <c r="AD125" s="3">
        <v>0</v>
      </c>
      <c r="AE125" s="1">
        <v>3</v>
      </c>
      <c r="AF125" s="3">
        <v>1.875</v>
      </c>
      <c r="AG125" s="1">
        <v>4</v>
      </c>
      <c r="AH125" s="3">
        <v>2.5</v>
      </c>
      <c r="AI125" s="1" t="s">
        <v>22</v>
      </c>
      <c r="AJ125" s="1">
        <v>2</v>
      </c>
      <c r="AK125" s="3">
        <v>1.25</v>
      </c>
      <c r="AL125" s="1">
        <v>1</v>
      </c>
      <c r="AM125" s="3">
        <v>0.625</v>
      </c>
      <c r="AN125" s="1" t="s">
        <v>22</v>
      </c>
      <c r="AO125" s="1">
        <v>4</v>
      </c>
      <c r="AP125" s="3">
        <v>2.5</v>
      </c>
      <c r="AQ125" s="3"/>
      <c r="AR125" s="3"/>
      <c r="AS125" s="1">
        <v>6</v>
      </c>
      <c r="AT125" s="3">
        <v>3.75</v>
      </c>
      <c r="AU125" s="1">
        <v>1</v>
      </c>
      <c r="AV125" s="3">
        <v>0.625</v>
      </c>
      <c r="AW125" s="1" t="s">
        <v>22</v>
      </c>
      <c r="AX125" s="1">
        <v>16</v>
      </c>
      <c r="AY125" s="1">
        <v>0</v>
      </c>
      <c r="AZ125" s="1">
        <v>0</v>
      </c>
      <c r="BA125" s="1">
        <v>32</v>
      </c>
      <c r="BB125" s="1">
        <v>0</v>
      </c>
      <c r="BC125" s="1">
        <v>0</v>
      </c>
      <c r="BD125" s="1">
        <v>1</v>
      </c>
      <c r="BE125" s="54">
        <v>0.625</v>
      </c>
      <c r="BF125" s="6">
        <v>23</v>
      </c>
      <c r="BG125" s="6">
        <v>12</v>
      </c>
      <c r="BH125" s="1">
        <v>0</v>
      </c>
      <c r="BI125" s="6">
        <v>0</v>
      </c>
      <c r="BJ125" s="1" t="s">
        <v>22</v>
      </c>
      <c r="BK125" s="1" t="s">
        <v>22</v>
      </c>
      <c r="BL125" s="1" t="s">
        <v>22</v>
      </c>
      <c r="BM125" s="1" t="s">
        <v>22</v>
      </c>
      <c r="BN125" t="s">
        <v>24</v>
      </c>
      <c r="BO125">
        <v>1443</v>
      </c>
    </row>
    <row r="126" spans="1:67" x14ac:dyDescent="0.3">
      <c r="A126" s="4">
        <f>INT(Tabela1[[#This Row],[Data e Hora]])</f>
        <v>46254</v>
      </c>
      <c r="B126" s="4" t="str">
        <f>UPPER(TEXT(Tabela1[[#This Row],[Data Corrigida]],"MMM"))</f>
        <v>AGO</v>
      </c>
      <c r="C126" t="s">
        <v>413</v>
      </c>
      <c r="D126" t="s">
        <v>414</v>
      </c>
      <c r="E126" t="s">
        <v>415</v>
      </c>
      <c r="F126" t="s">
        <v>19</v>
      </c>
      <c r="G126" s="5" t="s">
        <v>402</v>
      </c>
      <c r="H126" t="s">
        <v>20</v>
      </c>
      <c r="I126" t="s">
        <v>21</v>
      </c>
      <c r="J126" s="1">
        <v>156</v>
      </c>
      <c r="K126" s="1">
        <v>2842</v>
      </c>
      <c r="L126" t="s">
        <v>23</v>
      </c>
      <c r="M126" s="1">
        <v>40</v>
      </c>
      <c r="N126" s="48">
        <v>40</v>
      </c>
      <c r="O126" s="1">
        <v>21</v>
      </c>
      <c r="P126" s="48">
        <v>21</v>
      </c>
      <c r="Q126" s="1">
        <v>0</v>
      </c>
      <c r="R126" s="1">
        <v>0</v>
      </c>
      <c r="S126" s="1">
        <v>1</v>
      </c>
      <c r="T126" s="1">
        <v>1</v>
      </c>
      <c r="U126" s="1">
        <v>0</v>
      </c>
      <c r="V126" s="1">
        <v>0</v>
      </c>
      <c r="W126" s="1">
        <v>0</v>
      </c>
      <c r="X126" s="1">
        <v>0</v>
      </c>
      <c r="Y126" s="1">
        <v>1</v>
      </c>
      <c r="Z126" s="3">
        <v>0.32051282051282048</v>
      </c>
      <c r="AA126" s="1">
        <v>3</v>
      </c>
      <c r="AB126" s="3">
        <v>1.9230769230769231</v>
      </c>
      <c r="AC126" s="1">
        <v>0</v>
      </c>
      <c r="AD126" s="3">
        <v>0</v>
      </c>
      <c r="AE126" s="1">
        <v>0</v>
      </c>
      <c r="AF126" s="3">
        <v>0</v>
      </c>
      <c r="AG126" s="1">
        <v>5</v>
      </c>
      <c r="AH126" s="3">
        <v>3.2051282051282048</v>
      </c>
      <c r="AI126" s="1" t="s">
        <v>22</v>
      </c>
      <c r="AJ126" s="1">
        <v>1</v>
      </c>
      <c r="AK126" s="3">
        <v>0.64102564102564097</v>
      </c>
      <c r="AL126" s="1">
        <v>2</v>
      </c>
      <c r="AM126" s="3">
        <v>1.2820512820512819</v>
      </c>
      <c r="AN126" s="1" t="s">
        <v>22</v>
      </c>
      <c r="AO126" s="1">
        <v>4</v>
      </c>
      <c r="AP126" s="3">
        <v>2.5641025641025639</v>
      </c>
      <c r="AQ126" s="3"/>
      <c r="AR126" s="3"/>
      <c r="AS126" s="1">
        <v>5</v>
      </c>
      <c r="AT126" s="3">
        <v>3.2051282051282048</v>
      </c>
      <c r="AU126" s="1">
        <v>1</v>
      </c>
      <c r="AV126" s="3">
        <v>0.64102564102564097</v>
      </c>
      <c r="AW126" s="1" t="s">
        <v>22</v>
      </c>
      <c r="AX126" s="1">
        <v>19</v>
      </c>
      <c r="AY126" s="1">
        <v>0</v>
      </c>
      <c r="AZ126" s="1" t="s">
        <v>22</v>
      </c>
      <c r="BA126" s="1">
        <v>38</v>
      </c>
      <c r="BB126" s="1">
        <v>0</v>
      </c>
      <c r="BC126" s="1" t="s">
        <v>22</v>
      </c>
      <c r="BD126" s="1">
        <v>2</v>
      </c>
      <c r="BE126" s="54">
        <v>1.2820512820512819</v>
      </c>
      <c r="BF126" s="6">
        <v>22</v>
      </c>
      <c r="BG126" s="6">
        <v>14</v>
      </c>
      <c r="BH126" s="1">
        <v>1</v>
      </c>
      <c r="BI126" s="6">
        <v>10</v>
      </c>
      <c r="BJ126" s="1" t="s">
        <v>22</v>
      </c>
      <c r="BK126" s="6">
        <v>1</v>
      </c>
      <c r="BL126" s="6">
        <v>0</v>
      </c>
      <c r="BM126" s="1">
        <v>1</v>
      </c>
      <c r="BN126" t="s">
        <v>22</v>
      </c>
      <c r="BO126">
        <v>1830</v>
      </c>
    </row>
    <row r="127" spans="1:67" x14ac:dyDescent="0.3">
      <c r="A127" s="4">
        <f>INT(Tabela1[[#This Row],[Data e Hora]])</f>
        <v>46254</v>
      </c>
      <c r="B127" s="4" t="str">
        <f>UPPER(TEXT(Tabela1[[#This Row],[Data Corrigida]],"MMM"))</f>
        <v>AGO</v>
      </c>
      <c r="C127" t="s">
        <v>416</v>
      </c>
      <c r="D127" t="s">
        <v>417</v>
      </c>
      <c r="E127" t="s">
        <v>415</v>
      </c>
      <c r="F127" t="s">
        <v>19</v>
      </c>
      <c r="G127" s="5" t="s">
        <v>402</v>
      </c>
      <c r="H127" t="s">
        <v>20</v>
      </c>
      <c r="I127" t="s">
        <v>21</v>
      </c>
      <c r="J127" s="1">
        <v>140</v>
      </c>
      <c r="K127" s="1">
        <v>3066</v>
      </c>
      <c r="L127" t="s">
        <v>23</v>
      </c>
      <c r="M127" s="1">
        <v>35</v>
      </c>
      <c r="N127" s="48">
        <v>35</v>
      </c>
      <c r="O127" s="1">
        <v>16</v>
      </c>
      <c r="P127" s="48">
        <v>16</v>
      </c>
      <c r="Q127" s="1">
        <v>0</v>
      </c>
      <c r="R127" s="1">
        <v>0</v>
      </c>
      <c r="S127" s="1">
        <v>1</v>
      </c>
      <c r="T127" s="1">
        <v>1</v>
      </c>
      <c r="U127" s="1">
        <v>1</v>
      </c>
      <c r="V127" s="1">
        <v>1</v>
      </c>
      <c r="W127" s="1">
        <v>0</v>
      </c>
      <c r="X127" s="1">
        <v>0</v>
      </c>
      <c r="Y127" s="1">
        <v>5</v>
      </c>
      <c r="Z127" s="3">
        <v>1.7857142857142856</v>
      </c>
      <c r="AA127" s="1">
        <v>3</v>
      </c>
      <c r="AB127" s="3">
        <v>2.1428571428571428</v>
      </c>
      <c r="AC127" s="1">
        <v>0</v>
      </c>
      <c r="AD127" s="3">
        <v>0</v>
      </c>
      <c r="AE127" s="1">
        <v>0</v>
      </c>
      <c r="AF127" s="3">
        <v>0</v>
      </c>
      <c r="AG127" s="1">
        <v>5</v>
      </c>
      <c r="AH127" s="3">
        <v>3.5714285714285712</v>
      </c>
      <c r="AI127" s="1" t="s">
        <v>22</v>
      </c>
      <c r="AJ127" s="1">
        <v>2</v>
      </c>
      <c r="AK127" s="3">
        <v>1.4285714285714286</v>
      </c>
      <c r="AL127" s="1">
        <v>2</v>
      </c>
      <c r="AM127" s="3">
        <v>1.4285714285714286</v>
      </c>
      <c r="AN127" s="1" t="s">
        <v>22</v>
      </c>
      <c r="AO127" s="1">
        <v>5</v>
      </c>
      <c r="AP127" s="3">
        <v>3.5714285714285712</v>
      </c>
      <c r="AQ127" s="3"/>
      <c r="AR127" s="3"/>
      <c r="AS127" s="1">
        <v>6</v>
      </c>
      <c r="AT127" s="3">
        <v>4.2857142857142856</v>
      </c>
      <c r="AU127" s="1">
        <v>1</v>
      </c>
      <c r="AV127" s="3">
        <v>0.7142857142857143</v>
      </c>
      <c r="AW127" s="1" t="s">
        <v>22</v>
      </c>
      <c r="AX127" s="1">
        <v>17</v>
      </c>
      <c r="AY127" s="1">
        <v>0</v>
      </c>
      <c r="AZ127" s="1">
        <v>0</v>
      </c>
      <c r="BA127" s="1">
        <v>34</v>
      </c>
      <c r="BB127" s="1">
        <v>0</v>
      </c>
      <c r="BC127" s="1">
        <v>0</v>
      </c>
      <c r="BD127" s="1">
        <v>2</v>
      </c>
      <c r="BE127" s="54">
        <v>1.4285714285714286</v>
      </c>
      <c r="BF127" s="6">
        <v>21</v>
      </c>
      <c r="BG127" s="6">
        <v>12</v>
      </c>
      <c r="BH127" s="1">
        <v>1</v>
      </c>
      <c r="BI127" s="6">
        <v>10</v>
      </c>
      <c r="BJ127" s="1" t="s">
        <v>22</v>
      </c>
      <c r="BK127" s="1" t="s">
        <v>22</v>
      </c>
      <c r="BL127" s="1" t="s">
        <v>22</v>
      </c>
      <c r="BM127" s="1" t="s">
        <v>22</v>
      </c>
      <c r="BN127" t="s">
        <v>24</v>
      </c>
      <c r="BO127">
        <v>1614</v>
      </c>
    </row>
    <row r="128" spans="1:67" x14ac:dyDescent="0.3">
      <c r="A128" s="4">
        <f>INT(Tabela1[[#This Row],[Data e Hora]])</f>
        <v>46255</v>
      </c>
      <c r="B128" s="4" t="str">
        <f>UPPER(TEXT(Tabela1[[#This Row],[Data Corrigida]],"MMM"))</f>
        <v>AGO</v>
      </c>
      <c r="C128" t="s">
        <v>418</v>
      </c>
      <c r="D128" t="s">
        <v>419</v>
      </c>
      <c r="E128" t="s">
        <v>420</v>
      </c>
      <c r="F128" t="s">
        <v>19</v>
      </c>
      <c r="G128" s="5" t="s">
        <v>421</v>
      </c>
      <c r="H128" t="s">
        <v>20</v>
      </c>
      <c r="I128" t="s">
        <v>33</v>
      </c>
      <c r="J128" s="1">
        <v>157</v>
      </c>
      <c r="K128" s="1">
        <v>2783</v>
      </c>
      <c r="L128" t="s">
        <v>34</v>
      </c>
      <c r="M128" s="1">
        <v>20</v>
      </c>
      <c r="N128" s="48">
        <v>20</v>
      </c>
      <c r="O128" s="1">
        <v>14</v>
      </c>
      <c r="P128" s="48">
        <v>14.000000000000002</v>
      </c>
      <c r="Q128" s="1">
        <v>3</v>
      </c>
      <c r="R128" s="1">
        <v>30</v>
      </c>
      <c r="S128" s="1">
        <v>0</v>
      </c>
      <c r="T128" s="1">
        <v>0</v>
      </c>
      <c r="U128" s="1">
        <v>0</v>
      </c>
      <c r="V128" s="1">
        <v>0</v>
      </c>
      <c r="W128" s="1">
        <v>3</v>
      </c>
      <c r="X128" s="1">
        <v>15</v>
      </c>
      <c r="Y128" s="1">
        <v>4</v>
      </c>
      <c r="Z128" s="3">
        <v>1.2738853503184715</v>
      </c>
      <c r="AA128" s="1">
        <v>10</v>
      </c>
      <c r="AB128" s="3">
        <v>6.369426751592357</v>
      </c>
      <c r="AC128" s="1">
        <v>0</v>
      </c>
      <c r="AD128" s="3">
        <v>0</v>
      </c>
      <c r="AE128" s="1">
        <v>2</v>
      </c>
      <c r="AF128" s="3">
        <v>1.2738853503184715</v>
      </c>
      <c r="AG128" s="1">
        <v>4</v>
      </c>
      <c r="AH128" s="3">
        <v>2.547770700636943</v>
      </c>
      <c r="AI128" s="1" t="s">
        <v>22</v>
      </c>
      <c r="AJ128" s="1">
        <v>1</v>
      </c>
      <c r="AK128" s="3">
        <v>0.63694267515923575</v>
      </c>
      <c r="AL128" s="1">
        <v>0</v>
      </c>
      <c r="AM128" s="3">
        <v>0</v>
      </c>
      <c r="AN128" s="1" t="s">
        <v>22</v>
      </c>
      <c r="AO128" s="1">
        <v>6</v>
      </c>
      <c r="AP128" s="3">
        <v>3.8216560509554141</v>
      </c>
      <c r="AQ128" s="3"/>
      <c r="AR128" s="3"/>
      <c r="AS128" s="1">
        <v>5</v>
      </c>
      <c r="AT128" s="3">
        <v>3.1847133757961785</v>
      </c>
      <c r="AU128" s="1">
        <v>0</v>
      </c>
      <c r="AV128" s="3">
        <v>0</v>
      </c>
      <c r="AW128" s="1" t="s">
        <v>22</v>
      </c>
      <c r="AX128" s="1">
        <v>13</v>
      </c>
      <c r="AY128" s="1">
        <v>0</v>
      </c>
      <c r="AZ128" s="1">
        <v>0</v>
      </c>
      <c r="BA128" s="1">
        <v>26</v>
      </c>
      <c r="BB128" s="1">
        <v>0</v>
      </c>
      <c r="BC128" s="1">
        <v>0</v>
      </c>
      <c r="BD128" s="1">
        <v>0</v>
      </c>
      <c r="BE128" s="54">
        <v>0</v>
      </c>
      <c r="BF128" s="6">
        <v>7</v>
      </c>
      <c r="BG128" s="6">
        <v>4</v>
      </c>
      <c r="BH128" s="1">
        <v>0</v>
      </c>
      <c r="BI128" s="6">
        <v>0</v>
      </c>
      <c r="BJ128" s="1" t="s">
        <v>22</v>
      </c>
      <c r="BK128" s="1" t="s">
        <v>22</v>
      </c>
      <c r="BL128" s="1" t="s">
        <v>22</v>
      </c>
      <c r="BM128" s="1" t="s">
        <v>22</v>
      </c>
      <c r="BN128" t="s">
        <v>24</v>
      </c>
      <c r="BO128">
        <v>125</v>
      </c>
    </row>
    <row r="129" spans="1:67" x14ac:dyDescent="0.3">
      <c r="A129" s="4">
        <f>INT(Tabela1[[#This Row],[Data e Hora]])</f>
        <v>46255</v>
      </c>
      <c r="B129" s="4" t="str">
        <f>UPPER(TEXT(Tabela1[[#This Row],[Data Corrigida]],"MMM"))</f>
        <v>AGO</v>
      </c>
      <c r="C129" t="s">
        <v>422</v>
      </c>
      <c r="D129" t="s">
        <v>423</v>
      </c>
      <c r="E129" t="s">
        <v>420</v>
      </c>
      <c r="F129" t="s">
        <v>19</v>
      </c>
      <c r="G129" s="5" t="s">
        <v>421</v>
      </c>
      <c r="H129" t="s">
        <v>20</v>
      </c>
      <c r="I129" t="s">
        <v>33</v>
      </c>
      <c r="J129" s="1">
        <v>160</v>
      </c>
      <c r="K129" s="1">
        <v>2833</v>
      </c>
      <c r="L129" t="s">
        <v>34</v>
      </c>
      <c r="M129" s="1">
        <v>22</v>
      </c>
      <c r="N129" s="48">
        <v>22</v>
      </c>
      <c r="O129" s="1">
        <v>6</v>
      </c>
      <c r="P129" s="48">
        <v>6</v>
      </c>
      <c r="Q129" s="1">
        <v>1</v>
      </c>
      <c r="R129" s="1">
        <v>10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3</v>
      </c>
      <c r="Z129" s="3">
        <v>0.9375</v>
      </c>
      <c r="AA129" s="1">
        <v>13</v>
      </c>
      <c r="AB129" s="3">
        <v>8.125</v>
      </c>
      <c r="AC129" s="1">
        <v>0</v>
      </c>
      <c r="AD129" s="3">
        <v>0</v>
      </c>
      <c r="AE129" s="1">
        <v>2</v>
      </c>
      <c r="AF129" s="3">
        <v>1.25</v>
      </c>
      <c r="AG129" s="1">
        <v>2</v>
      </c>
      <c r="AH129" s="3">
        <v>1.25</v>
      </c>
      <c r="AI129" s="1" t="s">
        <v>22</v>
      </c>
      <c r="AJ129" s="1">
        <v>1</v>
      </c>
      <c r="AK129" s="3">
        <v>0.625</v>
      </c>
      <c r="AL129" s="1">
        <v>0</v>
      </c>
      <c r="AM129" s="3">
        <v>0</v>
      </c>
      <c r="AN129" s="1" t="s">
        <v>22</v>
      </c>
      <c r="AO129" s="1">
        <v>11</v>
      </c>
      <c r="AP129" s="3">
        <v>6.8750000000000009</v>
      </c>
      <c r="AQ129" s="3"/>
      <c r="AR129" s="3"/>
      <c r="AS129" s="1">
        <v>5</v>
      </c>
      <c r="AT129" s="3">
        <v>3.125</v>
      </c>
      <c r="AU129" s="1">
        <v>0</v>
      </c>
      <c r="AV129" s="3">
        <v>0</v>
      </c>
      <c r="AW129" s="1" t="s">
        <v>22</v>
      </c>
      <c r="AX129" s="1">
        <v>12</v>
      </c>
      <c r="AY129" s="1">
        <v>0</v>
      </c>
      <c r="AZ129" s="1">
        <v>0</v>
      </c>
      <c r="BA129" s="1">
        <v>24</v>
      </c>
      <c r="BB129" s="1">
        <v>0</v>
      </c>
      <c r="BC129" s="1">
        <v>0</v>
      </c>
      <c r="BD129" s="1">
        <v>3</v>
      </c>
      <c r="BE129" s="54">
        <v>1.875</v>
      </c>
      <c r="BF129" s="6">
        <v>8</v>
      </c>
      <c r="BG129" s="6">
        <v>3</v>
      </c>
      <c r="BH129" s="1">
        <v>0</v>
      </c>
      <c r="BI129" s="6">
        <v>0</v>
      </c>
      <c r="BJ129" s="1" t="s">
        <v>22</v>
      </c>
      <c r="BK129" s="1" t="s">
        <v>22</v>
      </c>
      <c r="BL129" s="1" t="s">
        <v>22</v>
      </c>
      <c r="BM129" s="1" t="s">
        <v>22</v>
      </c>
      <c r="BN129" t="s">
        <v>24</v>
      </c>
      <c r="BO129">
        <v>9681</v>
      </c>
    </row>
    <row r="130" spans="1:67" x14ac:dyDescent="0.3">
      <c r="A130" s="4">
        <f>INT(Tabela1[[#This Row],[Data e Hora]])</f>
        <v>46255</v>
      </c>
      <c r="B130" s="4" t="str">
        <f>UPPER(TEXT(Tabela1[[#This Row],[Data Corrigida]],"MMM"))</f>
        <v>AGO</v>
      </c>
      <c r="C130" t="s">
        <v>424</v>
      </c>
      <c r="D130" t="s">
        <v>425</v>
      </c>
      <c r="E130" t="s">
        <v>420</v>
      </c>
      <c r="F130" t="s">
        <v>19</v>
      </c>
      <c r="G130" s="5" t="s">
        <v>421</v>
      </c>
      <c r="H130" t="s">
        <v>20</v>
      </c>
      <c r="I130" t="s">
        <v>33</v>
      </c>
      <c r="J130" s="1">
        <v>141</v>
      </c>
      <c r="K130" s="1">
        <v>2796</v>
      </c>
      <c r="L130" t="s">
        <v>34</v>
      </c>
      <c r="M130" s="1">
        <v>25</v>
      </c>
      <c r="N130" s="48">
        <v>25</v>
      </c>
      <c r="O130" s="1">
        <v>7</v>
      </c>
      <c r="P130" s="48">
        <v>7.0000000000000009</v>
      </c>
      <c r="Q130" s="1">
        <v>3</v>
      </c>
      <c r="R130" s="1">
        <v>30</v>
      </c>
      <c r="S130" s="1">
        <v>1</v>
      </c>
      <c r="T130" s="1">
        <v>1</v>
      </c>
      <c r="U130" s="1">
        <v>8</v>
      </c>
      <c r="V130" s="1">
        <v>8</v>
      </c>
      <c r="W130" s="1">
        <v>2</v>
      </c>
      <c r="X130" s="1">
        <v>10</v>
      </c>
      <c r="Y130" s="1">
        <v>2</v>
      </c>
      <c r="Z130" s="3">
        <v>0.70921985815602839</v>
      </c>
      <c r="AA130" s="1">
        <v>5</v>
      </c>
      <c r="AB130" s="3">
        <v>3.5460992907801421</v>
      </c>
      <c r="AC130" s="1">
        <v>0</v>
      </c>
      <c r="AD130" s="3">
        <v>0</v>
      </c>
      <c r="AE130" s="1">
        <v>0</v>
      </c>
      <c r="AF130" s="3">
        <v>0</v>
      </c>
      <c r="AG130" s="1">
        <v>4</v>
      </c>
      <c r="AH130" s="3">
        <v>2.8368794326241136</v>
      </c>
      <c r="AI130" s="1" t="s">
        <v>22</v>
      </c>
      <c r="AJ130" s="1">
        <v>0</v>
      </c>
      <c r="AK130" s="3">
        <v>0</v>
      </c>
      <c r="AL130" s="1">
        <v>0</v>
      </c>
      <c r="AM130" s="3">
        <v>0</v>
      </c>
      <c r="AN130" s="1" t="s">
        <v>22</v>
      </c>
      <c r="AO130" s="1">
        <v>8</v>
      </c>
      <c r="AP130" s="3">
        <v>5.6737588652482271</v>
      </c>
      <c r="AQ130" s="3"/>
      <c r="AR130" s="3"/>
      <c r="AS130" s="1">
        <v>5</v>
      </c>
      <c r="AT130" s="3">
        <v>3.5460992907801421</v>
      </c>
      <c r="AU130" s="1">
        <v>0</v>
      </c>
      <c r="AV130" s="3">
        <v>0</v>
      </c>
      <c r="AW130" s="1" t="s">
        <v>22</v>
      </c>
      <c r="AX130" s="1">
        <v>10</v>
      </c>
      <c r="AY130" s="1">
        <v>0</v>
      </c>
      <c r="AZ130" s="1">
        <v>0</v>
      </c>
      <c r="BA130" s="1">
        <v>20</v>
      </c>
      <c r="BB130" s="1">
        <v>0</v>
      </c>
      <c r="BC130" s="1">
        <v>0</v>
      </c>
      <c r="BD130" s="1">
        <v>0</v>
      </c>
      <c r="BE130" s="54">
        <v>0</v>
      </c>
      <c r="BF130" s="6">
        <v>5</v>
      </c>
      <c r="BG130" s="6">
        <v>3</v>
      </c>
      <c r="BH130" s="1">
        <v>1</v>
      </c>
      <c r="BI130" s="6">
        <v>10</v>
      </c>
      <c r="BJ130" s="1" t="s">
        <v>22</v>
      </c>
      <c r="BK130" s="6">
        <v>2</v>
      </c>
      <c r="BL130" s="6">
        <v>0</v>
      </c>
      <c r="BM130" s="1">
        <v>0</v>
      </c>
      <c r="BN130" t="s">
        <v>24</v>
      </c>
      <c r="BO130">
        <v>7052</v>
      </c>
    </row>
    <row r="131" spans="1:67" x14ac:dyDescent="0.3">
      <c r="A131" s="4">
        <f>INT(Tabela1[[#This Row],[Data e Hora]])</f>
        <v>46255</v>
      </c>
      <c r="B131" s="4" t="str">
        <f>UPPER(TEXT(Tabela1[[#This Row],[Data Corrigida]],"MMM"))</f>
        <v>AGO</v>
      </c>
      <c r="C131" t="s">
        <v>426</v>
      </c>
      <c r="D131" t="s">
        <v>427</v>
      </c>
      <c r="E131" t="s">
        <v>428</v>
      </c>
      <c r="F131" t="s">
        <v>19</v>
      </c>
      <c r="G131" s="5" t="s">
        <v>421</v>
      </c>
      <c r="H131" t="s">
        <v>20</v>
      </c>
      <c r="I131" t="s">
        <v>21</v>
      </c>
      <c r="J131" s="1">
        <v>150</v>
      </c>
      <c r="K131" s="1">
        <v>2753</v>
      </c>
      <c r="L131" t="s">
        <v>23</v>
      </c>
      <c r="M131" s="1">
        <v>40</v>
      </c>
      <c r="N131" s="48">
        <v>40</v>
      </c>
      <c r="O131" s="1">
        <v>21</v>
      </c>
      <c r="P131" s="48">
        <v>21</v>
      </c>
      <c r="Q131" s="1">
        <v>0</v>
      </c>
      <c r="R131" s="1">
        <v>0</v>
      </c>
      <c r="S131" s="1">
        <v>1</v>
      </c>
      <c r="T131" s="1">
        <v>1</v>
      </c>
      <c r="U131" s="1">
        <v>1</v>
      </c>
      <c r="V131" s="1">
        <v>1</v>
      </c>
      <c r="W131" s="1">
        <v>0</v>
      </c>
      <c r="X131" s="1">
        <v>0</v>
      </c>
      <c r="Y131" s="1">
        <v>0</v>
      </c>
      <c r="Z131" s="3">
        <v>0</v>
      </c>
      <c r="AA131" s="1">
        <v>3</v>
      </c>
      <c r="AB131" s="3">
        <v>2</v>
      </c>
      <c r="AC131" s="1">
        <v>0</v>
      </c>
      <c r="AD131" s="3">
        <v>0</v>
      </c>
      <c r="AE131" s="1">
        <v>1</v>
      </c>
      <c r="AF131" s="3">
        <v>0.66666666666666674</v>
      </c>
      <c r="AG131" s="1">
        <v>4</v>
      </c>
      <c r="AH131" s="3">
        <v>2.666666666666667</v>
      </c>
      <c r="AI131" s="1" t="s">
        <v>22</v>
      </c>
      <c r="AJ131" s="1">
        <v>1</v>
      </c>
      <c r="AK131" s="3">
        <v>0.66666666666666674</v>
      </c>
      <c r="AL131" s="1">
        <v>2</v>
      </c>
      <c r="AM131" s="3">
        <v>1.3333333333333335</v>
      </c>
      <c r="AN131" s="1" t="s">
        <v>22</v>
      </c>
      <c r="AO131" s="1">
        <v>6</v>
      </c>
      <c r="AP131" s="3">
        <v>4</v>
      </c>
      <c r="AQ131" s="3"/>
      <c r="AR131" s="3"/>
      <c r="AS131" s="1">
        <v>5</v>
      </c>
      <c r="AT131" s="3">
        <v>3.3333333333333335</v>
      </c>
      <c r="AU131" s="1">
        <v>1</v>
      </c>
      <c r="AV131" s="3">
        <v>0.66666666666666674</v>
      </c>
      <c r="AW131" s="1" t="s">
        <v>22</v>
      </c>
      <c r="AX131" s="1">
        <v>19</v>
      </c>
      <c r="AY131" s="1">
        <v>0</v>
      </c>
      <c r="AZ131" s="1">
        <v>0</v>
      </c>
      <c r="BA131" s="1">
        <v>38</v>
      </c>
      <c r="BB131" s="1">
        <v>0</v>
      </c>
      <c r="BC131" s="1">
        <v>0</v>
      </c>
      <c r="BD131" s="1">
        <v>1</v>
      </c>
      <c r="BE131" s="54">
        <v>0.66666666666666674</v>
      </c>
      <c r="BF131" s="6">
        <v>15</v>
      </c>
      <c r="BG131" s="6">
        <v>11</v>
      </c>
      <c r="BH131" s="1">
        <v>1</v>
      </c>
      <c r="BI131" s="6">
        <v>10</v>
      </c>
      <c r="BJ131" s="1" t="s">
        <v>22</v>
      </c>
      <c r="BK131" s="1" t="s">
        <v>22</v>
      </c>
      <c r="BL131" s="1" t="s">
        <v>22</v>
      </c>
      <c r="BM131" s="1" t="s">
        <v>22</v>
      </c>
      <c r="BN131" t="s">
        <v>22</v>
      </c>
      <c r="BO131">
        <v>1734</v>
      </c>
    </row>
    <row r="132" spans="1:67" x14ac:dyDescent="0.3">
      <c r="A132" s="4">
        <f>INT(Tabela1[[#This Row],[Data e Hora]])</f>
        <v>46255</v>
      </c>
      <c r="B132" s="4" t="str">
        <f>UPPER(TEXT(Tabela1[[#This Row],[Data Corrigida]],"MMM"))</f>
        <v>AGO</v>
      </c>
      <c r="C132" t="s">
        <v>429</v>
      </c>
      <c r="D132" t="s">
        <v>430</v>
      </c>
      <c r="E132" t="s">
        <v>428</v>
      </c>
      <c r="F132" t="s">
        <v>19</v>
      </c>
      <c r="G132" s="5" t="s">
        <v>421</v>
      </c>
      <c r="H132" t="s">
        <v>20</v>
      </c>
      <c r="I132" t="s">
        <v>21</v>
      </c>
      <c r="J132" s="1">
        <v>160</v>
      </c>
      <c r="K132" s="1">
        <v>2852</v>
      </c>
      <c r="L132" t="s">
        <v>23</v>
      </c>
      <c r="M132" s="1">
        <v>44</v>
      </c>
      <c r="N132" s="48">
        <v>44</v>
      </c>
      <c r="O132" s="1">
        <v>25</v>
      </c>
      <c r="P132" s="48">
        <v>25</v>
      </c>
      <c r="Q132" s="1">
        <v>0</v>
      </c>
      <c r="R132" s="1">
        <v>0</v>
      </c>
      <c r="S132" s="1">
        <v>1</v>
      </c>
      <c r="T132" s="1">
        <v>1</v>
      </c>
      <c r="U132" s="1">
        <v>1</v>
      </c>
      <c r="V132" s="1">
        <v>1</v>
      </c>
      <c r="W132" s="1">
        <v>0</v>
      </c>
      <c r="X132" s="1">
        <v>0</v>
      </c>
      <c r="Y132" s="1">
        <v>0</v>
      </c>
      <c r="Z132" s="3">
        <v>0</v>
      </c>
      <c r="AA132" s="1">
        <v>4</v>
      </c>
      <c r="AB132" s="3">
        <v>2.5</v>
      </c>
      <c r="AC132" s="1">
        <v>0</v>
      </c>
      <c r="AD132" s="3">
        <v>0</v>
      </c>
      <c r="AE132" s="1">
        <v>0</v>
      </c>
      <c r="AF132" s="3">
        <v>0</v>
      </c>
      <c r="AG132" s="1">
        <v>4</v>
      </c>
      <c r="AH132" s="3">
        <v>2.5</v>
      </c>
      <c r="AI132" s="1" t="s">
        <v>22</v>
      </c>
      <c r="AJ132" s="1">
        <v>3</v>
      </c>
      <c r="AK132" s="3">
        <v>1.875</v>
      </c>
      <c r="AL132" s="1">
        <v>2</v>
      </c>
      <c r="AM132" s="3">
        <v>1.25</v>
      </c>
      <c r="AN132" s="1" t="s">
        <v>22</v>
      </c>
      <c r="AO132" s="1">
        <v>6</v>
      </c>
      <c r="AP132" s="3">
        <v>3.75</v>
      </c>
      <c r="AQ132" s="3"/>
      <c r="AR132" s="3"/>
      <c r="AS132" s="1">
        <v>4</v>
      </c>
      <c r="AT132" s="3">
        <v>2.5</v>
      </c>
      <c r="AU132" s="1">
        <v>1</v>
      </c>
      <c r="AV132" s="3">
        <v>0.625</v>
      </c>
      <c r="AW132" s="1" t="s">
        <v>22</v>
      </c>
      <c r="AX132" s="1">
        <v>17</v>
      </c>
      <c r="AY132" s="1">
        <v>0</v>
      </c>
      <c r="AZ132" s="1">
        <v>0</v>
      </c>
      <c r="BA132" s="1">
        <v>34</v>
      </c>
      <c r="BB132" s="1">
        <v>0</v>
      </c>
      <c r="BC132" s="1">
        <v>0</v>
      </c>
      <c r="BD132" s="1">
        <v>1</v>
      </c>
      <c r="BE132" s="54">
        <v>0.625</v>
      </c>
      <c r="BF132" s="6">
        <v>16</v>
      </c>
      <c r="BG132" s="6">
        <v>13</v>
      </c>
      <c r="BH132" s="1">
        <v>1</v>
      </c>
      <c r="BI132" s="6">
        <v>10</v>
      </c>
      <c r="BJ132" s="1" t="s">
        <v>22</v>
      </c>
      <c r="BK132" s="6">
        <v>0</v>
      </c>
      <c r="BL132" s="6">
        <v>0</v>
      </c>
      <c r="BM132" s="1">
        <v>1</v>
      </c>
      <c r="BN132" t="s">
        <v>22</v>
      </c>
      <c r="BO132">
        <v>1749</v>
      </c>
    </row>
    <row r="133" spans="1:67" x14ac:dyDescent="0.3">
      <c r="A133" s="4">
        <f>INT(Tabela1[[#This Row],[Data e Hora]])</f>
        <v>46255</v>
      </c>
      <c r="B133" s="4" t="str">
        <f>UPPER(TEXT(Tabela1[[#This Row],[Data Corrigida]],"MMM"))</f>
        <v>AGO</v>
      </c>
      <c r="C133" t="s">
        <v>431</v>
      </c>
      <c r="D133" t="s">
        <v>432</v>
      </c>
      <c r="E133" t="s">
        <v>428</v>
      </c>
      <c r="F133" t="s">
        <v>19</v>
      </c>
      <c r="G133" s="5" t="s">
        <v>421</v>
      </c>
      <c r="H133" t="s">
        <v>20</v>
      </c>
      <c r="I133" t="s">
        <v>21</v>
      </c>
      <c r="J133" s="1">
        <v>160</v>
      </c>
      <c r="K133" s="1">
        <v>2768</v>
      </c>
      <c r="L133" t="s">
        <v>23</v>
      </c>
      <c r="M133" s="1">
        <v>37</v>
      </c>
      <c r="N133" s="48">
        <v>37</v>
      </c>
      <c r="O133" s="1">
        <v>19</v>
      </c>
      <c r="P133" s="48">
        <v>19</v>
      </c>
      <c r="Q133" s="1">
        <v>0</v>
      </c>
      <c r="R133" s="1">
        <v>0</v>
      </c>
      <c r="S133" s="1">
        <v>1</v>
      </c>
      <c r="T133" s="1">
        <v>1</v>
      </c>
      <c r="U133" s="1">
        <v>0</v>
      </c>
      <c r="V133" s="1">
        <v>0</v>
      </c>
      <c r="W133" s="1">
        <v>0</v>
      </c>
      <c r="X133" s="1">
        <v>0</v>
      </c>
      <c r="Y133" s="1">
        <v>1</v>
      </c>
      <c r="Z133" s="3">
        <v>0.3125</v>
      </c>
      <c r="AA133" s="1">
        <v>3</v>
      </c>
      <c r="AB133" s="3">
        <v>1.875</v>
      </c>
      <c r="AC133" s="1">
        <v>0</v>
      </c>
      <c r="AD133" s="3">
        <v>0</v>
      </c>
      <c r="AE133" s="1">
        <v>4</v>
      </c>
      <c r="AF133" s="3">
        <v>2.5</v>
      </c>
      <c r="AG133" s="1">
        <v>9</v>
      </c>
      <c r="AH133" s="3">
        <v>5.625</v>
      </c>
      <c r="AI133" s="1" t="s">
        <v>22</v>
      </c>
      <c r="AJ133" s="1">
        <v>1</v>
      </c>
      <c r="AK133" s="3">
        <v>0.625</v>
      </c>
      <c r="AL133" s="1">
        <v>2</v>
      </c>
      <c r="AM133" s="3">
        <v>1.25</v>
      </c>
      <c r="AN133" s="1" t="s">
        <v>22</v>
      </c>
      <c r="AO133" s="1">
        <v>6</v>
      </c>
      <c r="AP133" s="3">
        <v>3.75</v>
      </c>
      <c r="AQ133" s="3"/>
      <c r="AR133" s="3"/>
      <c r="AS133" s="1">
        <v>7</v>
      </c>
      <c r="AT133" s="3">
        <v>4.375</v>
      </c>
      <c r="AU133" s="1">
        <v>1</v>
      </c>
      <c r="AV133" s="3">
        <v>0.625</v>
      </c>
      <c r="AW133" s="1" t="s">
        <v>22</v>
      </c>
      <c r="AX133" s="1">
        <v>19</v>
      </c>
      <c r="AY133" s="1">
        <v>2</v>
      </c>
      <c r="AZ133" s="1">
        <v>2</v>
      </c>
      <c r="BA133" s="1">
        <v>38</v>
      </c>
      <c r="BB133" s="1">
        <v>4</v>
      </c>
      <c r="BC133" s="1">
        <v>4</v>
      </c>
      <c r="BD133" s="1">
        <v>1</v>
      </c>
      <c r="BE133" s="54">
        <v>0.625</v>
      </c>
      <c r="BF133" s="6">
        <v>17</v>
      </c>
      <c r="BG133" s="6">
        <v>10</v>
      </c>
      <c r="BH133" s="1">
        <v>1</v>
      </c>
      <c r="BI133" s="6">
        <v>10</v>
      </c>
      <c r="BJ133" s="1" t="s">
        <v>22</v>
      </c>
      <c r="BK133" s="1" t="s">
        <v>22</v>
      </c>
      <c r="BL133" s="1" t="s">
        <v>22</v>
      </c>
      <c r="BM133" s="1" t="s">
        <v>22</v>
      </c>
      <c r="BN133" t="s">
        <v>24</v>
      </c>
      <c r="BO133">
        <v>2295</v>
      </c>
    </row>
    <row r="134" spans="1:67" x14ac:dyDescent="0.3">
      <c r="A134" s="4">
        <f>INT(Tabela1[[#This Row],[Data e Hora]])</f>
        <v>46255</v>
      </c>
      <c r="B134" s="4" t="str">
        <f>UPPER(TEXT(Tabela1[[#This Row],[Data Corrigida]],"MMM"))</f>
        <v>AGO</v>
      </c>
      <c r="C134" t="s">
        <v>433</v>
      </c>
      <c r="D134" t="s">
        <v>434</v>
      </c>
      <c r="E134" t="s">
        <v>428</v>
      </c>
      <c r="F134" t="s">
        <v>19</v>
      </c>
      <c r="G134" s="5" t="s">
        <v>421</v>
      </c>
      <c r="H134" t="s">
        <v>20</v>
      </c>
      <c r="I134" t="s">
        <v>21</v>
      </c>
      <c r="J134" s="1">
        <v>150</v>
      </c>
      <c r="K134" s="1">
        <v>2768</v>
      </c>
      <c r="L134" t="s">
        <v>23</v>
      </c>
      <c r="M134" s="1">
        <v>27</v>
      </c>
      <c r="N134" s="48">
        <v>27</v>
      </c>
      <c r="O134" s="1">
        <v>7</v>
      </c>
      <c r="P134" s="48">
        <v>7.0000000000000009</v>
      </c>
      <c r="Q134" s="1">
        <v>0</v>
      </c>
      <c r="R134" s="1">
        <v>0</v>
      </c>
      <c r="S134" s="1">
        <v>1</v>
      </c>
      <c r="T134" s="1">
        <v>1</v>
      </c>
      <c r="U134" s="1">
        <v>0</v>
      </c>
      <c r="V134" s="1">
        <v>0</v>
      </c>
      <c r="W134" s="1">
        <v>0</v>
      </c>
      <c r="X134" s="1">
        <v>0</v>
      </c>
      <c r="Y134" s="1">
        <v>2</v>
      </c>
      <c r="Z134" s="3">
        <v>0.66666666666666674</v>
      </c>
      <c r="AA134" s="1">
        <v>3</v>
      </c>
      <c r="AB134" s="3">
        <v>2</v>
      </c>
      <c r="AC134" s="1">
        <v>0</v>
      </c>
      <c r="AD134" s="3">
        <v>0</v>
      </c>
      <c r="AE134" s="1">
        <v>0</v>
      </c>
      <c r="AF134" s="3">
        <v>0</v>
      </c>
      <c r="AG134" s="1">
        <v>5</v>
      </c>
      <c r="AH134" s="3">
        <v>3.3333333333333335</v>
      </c>
      <c r="AI134" s="1" t="s">
        <v>22</v>
      </c>
      <c r="AJ134" s="1">
        <v>1</v>
      </c>
      <c r="AK134" s="3">
        <v>0.66666666666666674</v>
      </c>
      <c r="AL134" s="1">
        <v>1</v>
      </c>
      <c r="AM134" s="3">
        <v>0.66666666666666674</v>
      </c>
      <c r="AN134" s="1" t="s">
        <v>22</v>
      </c>
      <c r="AO134" s="1">
        <v>5</v>
      </c>
      <c r="AP134" s="3">
        <v>3.3333333333333335</v>
      </c>
      <c r="AQ134" s="3"/>
      <c r="AR134" s="3"/>
      <c r="AS134" s="1">
        <v>4</v>
      </c>
      <c r="AT134" s="3">
        <v>2.666666666666667</v>
      </c>
      <c r="AU134" s="1">
        <v>1</v>
      </c>
      <c r="AV134" s="3">
        <v>0.66666666666666674</v>
      </c>
      <c r="AW134" s="1" t="s">
        <v>22</v>
      </c>
      <c r="AX134" s="1">
        <v>20</v>
      </c>
      <c r="AY134" s="1">
        <v>0</v>
      </c>
      <c r="AZ134" s="1">
        <v>0</v>
      </c>
      <c r="BA134" s="1">
        <v>40</v>
      </c>
      <c r="BB134" s="1">
        <v>0</v>
      </c>
      <c r="BC134" s="1">
        <v>0</v>
      </c>
      <c r="BD134" s="1">
        <v>2</v>
      </c>
      <c r="BE134" s="54">
        <v>1.3333333333333335</v>
      </c>
      <c r="BF134" s="6">
        <v>17</v>
      </c>
      <c r="BG134" s="6">
        <v>11</v>
      </c>
      <c r="BH134" s="1">
        <v>0</v>
      </c>
      <c r="BI134" s="6">
        <v>0</v>
      </c>
      <c r="BJ134" s="1" t="s">
        <v>22</v>
      </c>
      <c r="BK134" s="1" t="s">
        <v>22</v>
      </c>
      <c r="BL134" s="1" t="s">
        <v>22</v>
      </c>
      <c r="BM134" s="1" t="s">
        <v>22</v>
      </c>
      <c r="BN134" t="s">
        <v>24</v>
      </c>
      <c r="BO134">
        <v>1686</v>
      </c>
    </row>
    <row r="135" spans="1:67" x14ac:dyDescent="0.3">
      <c r="A135" s="4">
        <f>INT(Tabela1[[#This Row],[Data e Hora]])</f>
        <v>46258</v>
      </c>
      <c r="B135" s="4" t="str">
        <f>UPPER(TEXT(Tabela1[[#This Row],[Data Corrigida]],"MMM"))</f>
        <v>AGO</v>
      </c>
      <c r="C135" t="s">
        <v>435</v>
      </c>
      <c r="D135" t="s">
        <v>436</v>
      </c>
      <c r="E135" t="s">
        <v>437</v>
      </c>
      <c r="F135" t="s">
        <v>19</v>
      </c>
      <c r="G135" s="5" t="s">
        <v>438</v>
      </c>
      <c r="H135" t="s">
        <v>20</v>
      </c>
      <c r="I135" t="s">
        <v>33</v>
      </c>
      <c r="J135" s="1">
        <v>161</v>
      </c>
      <c r="K135" s="1">
        <v>2994</v>
      </c>
      <c r="L135" t="s">
        <v>34</v>
      </c>
      <c r="M135" s="1">
        <v>20</v>
      </c>
      <c r="N135" s="48">
        <v>20</v>
      </c>
      <c r="O135" s="1">
        <v>15</v>
      </c>
      <c r="P135" s="48">
        <v>15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6</v>
      </c>
      <c r="Z135" s="3">
        <v>1.8633540372670807</v>
      </c>
      <c r="AA135" s="1">
        <v>10</v>
      </c>
      <c r="AB135" s="3">
        <v>6.2111801242236027</v>
      </c>
      <c r="AC135" s="1">
        <v>0</v>
      </c>
      <c r="AD135" s="3">
        <v>0</v>
      </c>
      <c r="AE135" s="1">
        <v>2</v>
      </c>
      <c r="AF135" s="3">
        <v>1.2422360248447204</v>
      </c>
      <c r="AG135" s="1">
        <v>3</v>
      </c>
      <c r="AH135" s="3">
        <v>1.8633540372670807</v>
      </c>
      <c r="AI135" s="1" t="s">
        <v>22</v>
      </c>
      <c r="AJ135" s="1">
        <v>0</v>
      </c>
      <c r="AK135" s="3">
        <v>0</v>
      </c>
      <c r="AL135" s="1">
        <v>0</v>
      </c>
      <c r="AM135" s="3">
        <v>0</v>
      </c>
      <c r="AN135" s="1" t="s">
        <v>22</v>
      </c>
      <c r="AO135" s="1">
        <v>6</v>
      </c>
      <c r="AP135" s="3">
        <v>3.7267080745341614</v>
      </c>
      <c r="AQ135" s="3"/>
      <c r="AR135" s="3"/>
      <c r="AS135" s="1">
        <v>4</v>
      </c>
      <c r="AT135" s="3">
        <v>2.4844720496894408</v>
      </c>
      <c r="AU135" s="1">
        <v>0</v>
      </c>
      <c r="AV135" s="3">
        <v>0</v>
      </c>
      <c r="AW135" s="1" t="s">
        <v>22</v>
      </c>
      <c r="AX135" s="1">
        <v>9</v>
      </c>
      <c r="AY135" s="1">
        <v>0</v>
      </c>
      <c r="AZ135" s="1">
        <v>0</v>
      </c>
      <c r="BA135" s="1">
        <v>18</v>
      </c>
      <c r="BB135" s="1">
        <v>0</v>
      </c>
      <c r="BC135" s="1">
        <v>0</v>
      </c>
      <c r="BD135" s="1">
        <v>0</v>
      </c>
      <c r="BE135" s="54">
        <v>0</v>
      </c>
      <c r="BF135" s="6">
        <v>6</v>
      </c>
      <c r="BG135" s="6">
        <v>3</v>
      </c>
      <c r="BH135" s="1">
        <v>0</v>
      </c>
      <c r="BI135" s="6">
        <v>0</v>
      </c>
      <c r="BJ135" s="1" t="s">
        <v>22</v>
      </c>
      <c r="BK135" s="6">
        <v>6</v>
      </c>
      <c r="BL135" s="6">
        <v>0</v>
      </c>
      <c r="BM135" s="1">
        <v>0</v>
      </c>
      <c r="BN135" t="s">
        <v>24</v>
      </c>
      <c r="BO135">
        <v>5467</v>
      </c>
    </row>
    <row r="136" spans="1:67" x14ac:dyDescent="0.3">
      <c r="A136" s="4">
        <f>INT(Tabela1[[#This Row],[Data e Hora]])</f>
        <v>46258</v>
      </c>
      <c r="B136" s="4" t="str">
        <f>UPPER(TEXT(Tabela1[[#This Row],[Data Corrigida]],"MMM"))</f>
        <v>AGO</v>
      </c>
      <c r="C136" t="s">
        <v>439</v>
      </c>
      <c r="D136" t="s">
        <v>440</v>
      </c>
      <c r="E136" t="s">
        <v>437</v>
      </c>
      <c r="F136" t="s">
        <v>19</v>
      </c>
      <c r="G136" s="5" t="s">
        <v>438</v>
      </c>
      <c r="H136" t="s">
        <v>20</v>
      </c>
      <c r="I136" t="s">
        <v>33</v>
      </c>
      <c r="J136" s="1">
        <v>151</v>
      </c>
      <c r="K136" s="1">
        <v>2970</v>
      </c>
      <c r="L136" t="s">
        <v>34</v>
      </c>
      <c r="M136" s="1">
        <v>20</v>
      </c>
      <c r="N136" s="48">
        <v>20</v>
      </c>
      <c r="O136" s="1">
        <v>23</v>
      </c>
      <c r="P136" s="48">
        <v>23</v>
      </c>
      <c r="Q136" s="1">
        <v>1</v>
      </c>
      <c r="R136" s="1">
        <v>10</v>
      </c>
      <c r="S136" s="1">
        <v>0</v>
      </c>
      <c r="T136" s="1">
        <v>0</v>
      </c>
      <c r="U136" s="1">
        <v>0</v>
      </c>
      <c r="V136" s="1">
        <v>0</v>
      </c>
      <c r="W136" s="1">
        <v>1</v>
      </c>
      <c r="X136" s="1">
        <v>5</v>
      </c>
      <c r="Y136" s="1">
        <v>6</v>
      </c>
      <c r="Z136" s="3">
        <v>1.9867549668874174</v>
      </c>
      <c r="AA136" s="1">
        <v>13</v>
      </c>
      <c r="AB136" s="3">
        <v>8.6092715231788084</v>
      </c>
      <c r="AC136" s="1">
        <v>0</v>
      </c>
      <c r="AD136" s="3">
        <v>0</v>
      </c>
      <c r="AE136" s="1">
        <v>1</v>
      </c>
      <c r="AF136" s="3">
        <v>0.66225165562913912</v>
      </c>
      <c r="AG136" s="1">
        <v>1</v>
      </c>
      <c r="AH136" s="3">
        <v>0.66225165562913912</v>
      </c>
      <c r="AI136" s="1" t="s">
        <v>22</v>
      </c>
      <c r="AJ136" s="1">
        <v>1</v>
      </c>
      <c r="AK136" s="3">
        <v>0.66225165562913912</v>
      </c>
      <c r="AL136" s="1">
        <v>0</v>
      </c>
      <c r="AM136" s="3">
        <v>0</v>
      </c>
      <c r="AN136" s="1" t="s">
        <v>22</v>
      </c>
      <c r="AO136" s="1">
        <v>3</v>
      </c>
      <c r="AP136" s="3">
        <v>1.9867549668874174</v>
      </c>
      <c r="AQ136" s="3"/>
      <c r="AR136" s="3"/>
      <c r="AS136" s="1">
        <v>4</v>
      </c>
      <c r="AT136" s="3">
        <v>2.6490066225165565</v>
      </c>
      <c r="AU136" s="1">
        <v>0</v>
      </c>
      <c r="AV136" s="3">
        <v>0</v>
      </c>
      <c r="AW136" s="1" t="s">
        <v>22</v>
      </c>
      <c r="AX136" s="1">
        <v>10</v>
      </c>
      <c r="AY136" s="1">
        <v>0</v>
      </c>
      <c r="AZ136" s="1">
        <v>0</v>
      </c>
      <c r="BA136" s="1">
        <v>20</v>
      </c>
      <c r="BB136" s="1">
        <v>0</v>
      </c>
      <c r="BC136" s="1">
        <v>0</v>
      </c>
      <c r="BD136" s="1">
        <v>1</v>
      </c>
      <c r="BE136" s="54">
        <v>0.66225165562913912</v>
      </c>
      <c r="BF136" s="6">
        <v>17</v>
      </c>
      <c r="BG136" s="6">
        <v>6</v>
      </c>
      <c r="BH136" s="1">
        <v>0</v>
      </c>
      <c r="BI136" s="6">
        <v>0</v>
      </c>
      <c r="BJ136" s="1" t="s">
        <v>22</v>
      </c>
      <c r="BK136" s="6">
        <v>3</v>
      </c>
      <c r="BL136" s="6">
        <v>0</v>
      </c>
      <c r="BM136" s="1">
        <v>0</v>
      </c>
      <c r="BN136" t="s">
        <v>24</v>
      </c>
      <c r="BO136">
        <v>3924</v>
      </c>
    </row>
    <row r="137" spans="1:67" x14ac:dyDescent="0.3">
      <c r="A137" s="4">
        <f>INT(Tabela1[[#This Row],[Data e Hora]])</f>
        <v>46258</v>
      </c>
      <c r="B137" s="4" t="str">
        <f>UPPER(TEXT(Tabela1[[#This Row],[Data Corrigida]],"MMM"))</f>
        <v>AGO</v>
      </c>
      <c r="C137" t="s">
        <v>441</v>
      </c>
      <c r="D137" t="s">
        <v>442</v>
      </c>
      <c r="E137" t="s">
        <v>443</v>
      </c>
      <c r="F137" t="s">
        <v>19</v>
      </c>
      <c r="G137" s="5" t="s">
        <v>438</v>
      </c>
      <c r="H137" t="s">
        <v>20</v>
      </c>
      <c r="I137" t="s">
        <v>33</v>
      </c>
      <c r="J137" s="1">
        <v>130</v>
      </c>
      <c r="K137" s="1">
        <v>3115</v>
      </c>
      <c r="L137" t="s">
        <v>34</v>
      </c>
      <c r="M137" s="1">
        <v>24</v>
      </c>
      <c r="N137" s="48">
        <v>24</v>
      </c>
      <c r="O137" s="1">
        <v>23</v>
      </c>
      <c r="P137" s="48">
        <v>23</v>
      </c>
      <c r="Q137" s="1">
        <v>0</v>
      </c>
      <c r="R137" s="1">
        <v>0</v>
      </c>
      <c r="S137" s="1">
        <v>1</v>
      </c>
      <c r="T137" s="1">
        <v>1</v>
      </c>
      <c r="U137" s="1">
        <v>0</v>
      </c>
      <c r="V137" s="1">
        <v>0</v>
      </c>
      <c r="W137" s="1">
        <v>2</v>
      </c>
      <c r="X137" s="1">
        <v>10</v>
      </c>
      <c r="Y137" s="1">
        <v>3</v>
      </c>
      <c r="Z137" s="3">
        <v>1.153846153846154</v>
      </c>
      <c r="AA137" s="1">
        <v>12</v>
      </c>
      <c r="AB137" s="3">
        <v>9.2307692307692317</v>
      </c>
      <c r="AC137" s="1">
        <v>0</v>
      </c>
      <c r="AD137" s="3">
        <v>0</v>
      </c>
      <c r="AE137" s="1">
        <v>0</v>
      </c>
      <c r="AF137" s="3">
        <v>0</v>
      </c>
      <c r="AG137" s="1">
        <v>3</v>
      </c>
      <c r="AH137" s="3">
        <v>2.3076923076923079</v>
      </c>
      <c r="AI137" s="1" t="s">
        <v>22</v>
      </c>
      <c r="AJ137" s="1">
        <v>0</v>
      </c>
      <c r="AK137" s="3">
        <v>0</v>
      </c>
      <c r="AL137" s="1">
        <v>0</v>
      </c>
      <c r="AM137" s="3">
        <v>0</v>
      </c>
      <c r="AN137" s="1" t="s">
        <v>22</v>
      </c>
      <c r="AO137" s="1">
        <v>5</v>
      </c>
      <c r="AP137" s="3">
        <v>3.8461538461538463</v>
      </c>
      <c r="AQ137" s="3"/>
      <c r="AR137" s="3"/>
      <c r="AS137" s="1">
        <v>4</v>
      </c>
      <c r="AT137" s="3">
        <v>3.0769230769230771</v>
      </c>
      <c r="AU137" s="1">
        <v>0</v>
      </c>
      <c r="AV137" s="3">
        <v>0</v>
      </c>
      <c r="AW137" s="1" t="s">
        <v>22</v>
      </c>
      <c r="AX137" s="1">
        <v>10</v>
      </c>
      <c r="AY137" s="1">
        <v>0</v>
      </c>
      <c r="AZ137" s="1">
        <v>0</v>
      </c>
      <c r="BA137" s="1">
        <v>20</v>
      </c>
      <c r="BB137" s="1">
        <v>0</v>
      </c>
      <c r="BC137" s="1">
        <v>0</v>
      </c>
      <c r="BD137" s="1">
        <v>4</v>
      </c>
      <c r="BE137" s="54">
        <v>3.0769230769230771</v>
      </c>
      <c r="BF137" s="6">
        <v>12</v>
      </c>
      <c r="BG137" s="6">
        <v>6</v>
      </c>
      <c r="BH137" s="1">
        <v>1</v>
      </c>
      <c r="BI137" s="6">
        <v>10</v>
      </c>
      <c r="BJ137" s="1" t="s">
        <v>22</v>
      </c>
      <c r="BK137" s="6">
        <v>0</v>
      </c>
      <c r="BL137" s="6">
        <v>0</v>
      </c>
      <c r="BM137" s="1">
        <v>0</v>
      </c>
      <c r="BN137" t="s">
        <v>24</v>
      </c>
      <c r="BO137">
        <v>16627</v>
      </c>
    </row>
    <row r="138" spans="1:67" x14ac:dyDescent="0.3">
      <c r="A138" s="4">
        <f>INT(Tabela1[[#This Row],[Data e Hora]])</f>
        <v>46258</v>
      </c>
      <c r="B138" s="4" t="str">
        <f>UPPER(TEXT(Tabela1[[#This Row],[Data Corrigida]],"MMM"))</f>
        <v>AGO</v>
      </c>
      <c r="C138" t="s">
        <v>444</v>
      </c>
      <c r="D138" t="s">
        <v>445</v>
      </c>
      <c r="E138" t="s">
        <v>446</v>
      </c>
      <c r="F138" t="s">
        <v>19</v>
      </c>
      <c r="G138" s="5" t="s">
        <v>438</v>
      </c>
      <c r="H138" t="s">
        <v>20</v>
      </c>
      <c r="I138" t="s">
        <v>21</v>
      </c>
      <c r="J138" s="1">
        <v>160</v>
      </c>
      <c r="K138" s="1">
        <v>2913</v>
      </c>
      <c r="L138" t="s">
        <v>23</v>
      </c>
      <c r="M138" s="1">
        <v>27</v>
      </c>
      <c r="N138" s="48">
        <v>27</v>
      </c>
      <c r="O138" s="1">
        <v>12</v>
      </c>
      <c r="P138" s="48">
        <v>12</v>
      </c>
      <c r="Q138" s="1">
        <v>0</v>
      </c>
      <c r="R138" s="1">
        <v>0</v>
      </c>
      <c r="S138" s="1">
        <v>1</v>
      </c>
      <c r="T138" s="1">
        <v>1</v>
      </c>
      <c r="U138" s="1">
        <v>1</v>
      </c>
      <c r="V138" s="1">
        <v>1</v>
      </c>
      <c r="W138" s="1">
        <v>0</v>
      </c>
      <c r="X138" s="1">
        <v>0</v>
      </c>
      <c r="Y138" s="1">
        <v>14</v>
      </c>
      <c r="Z138" s="3">
        <v>4.375</v>
      </c>
      <c r="AA138" s="1">
        <v>11</v>
      </c>
      <c r="AB138" s="3">
        <v>6.8750000000000009</v>
      </c>
      <c r="AC138" s="1">
        <v>0</v>
      </c>
      <c r="AD138" s="3">
        <v>0</v>
      </c>
      <c r="AE138" s="1">
        <v>3</v>
      </c>
      <c r="AF138" s="3">
        <v>1.875</v>
      </c>
      <c r="AG138" s="1">
        <v>6</v>
      </c>
      <c r="AH138" s="3">
        <v>3.75</v>
      </c>
      <c r="AI138" s="1" t="s">
        <v>22</v>
      </c>
      <c r="AJ138" s="1">
        <v>2</v>
      </c>
      <c r="AK138" s="3">
        <v>1.25</v>
      </c>
      <c r="AL138" s="1">
        <v>1</v>
      </c>
      <c r="AM138" s="3">
        <v>0.625</v>
      </c>
      <c r="AN138" s="1" t="s">
        <v>22</v>
      </c>
      <c r="AO138" s="1">
        <v>5</v>
      </c>
      <c r="AP138" s="3">
        <v>3.125</v>
      </c>
      <c r="AQ138" s="3"/>
      <c r="AR138" s="3"/>
      <c r="AS138" s="1">
        <v>6</v>
      </c>
      <c r="AT138" s="3">
        <v>3.75</v>
      </c>
      <c r="AU138" s="1">
        <v>1</v>
      </c>
      <c r="AV138" s="3">
        <v>0.625</v>
      </c>
      <c r="AW138" s="1" t="s">
        <v>22</v>
      </c>
      <c r="AX138" s="1" t="s">
        <v>22</v>
      </c>
      <c r="AY138" s="1" t="s">
        <v>22</v>
      </c>
      <c r="AZ138" s="1" t="s">
        <v>22</v>
      </c>
      <c r="BA138" s="1" t="s">
        <v>22</v>
      </c>
      <c r="BB138" s="1" t="s">
        <v>22</v>
      </c>
      <c r="BC138" s="1" t="s">
        <v>22</v>
      </c>
      <c r="BD138" s="1" t="s">
        <v>22</v>
      </c>
      <c r="BE138" s="54" t="s">
        <v>22</v>
      </c>
      <c r="BF138" s="1" t="s">
        <v>22</v>
      </c>
      <c r="BG138" s="1" t="s">
        <v>22</v>
      </c>
      <c r="BH138" s="1" t="s">
        <v>22</v>
      </c>
      <c r="BI138" s="6" t="s">
        <v>22</v>
      </c>
      <c r="BJ138" s="1" t="s">
        <v>22</v>
      </c>
      <c r="BK138" s="1" t="s">
        <v>22</v>
      </c>
      <c r="BL138" s="1" t="s">
        <v>22</v>
      </c>
      <c r="BM138" s="1" t="s">
        <v>22</v>
      </c>
      <c r="BN138" t="s">
        <v>24</v>
      </c>
      <c r="BO138">
        <v>2242</v>
      </c>
    </row>
    <row r="139" spans="1:67" x14ac:dyDescent="0.3">
      <c r="A139" s="4">
        <f>INT(Tabela1[[#This Row],[Data e Hora]])</f>
        <v>46258</v>
      </c>
      <c r="B139" s="4" t="str">
        <f>UPPER(TEXT(Tabela1[[#This Row],[Data Corrigida]],"MMM"))</f>
        <v>AGO</v>
      </c>
      <c r="C139" t="s">
        <v>447</v>
      </c>
      <c r="D139" t="s">
        <v>448</v>
      </c>
      <c r="E139" t="s">
        <v>446</v>
      </c>
      <c r="F139" t="s">
        <v>19</v>
      </c>
      <c r="G139" s="5" t="s">
        <v>438</v>
      </c>
      <c r="H139" t="s">
        <v>20</v>
      </c>
      <c r="I139" t="s">
        <v>21</v>
      </c>
      <c r="J139" s="1">
        <v>156</v>
      </c>
      <c r="K139" s="1">
        <v>2946</v>
      </c>
      <c r="L139" t="s">
        <v>23</v>
      </c>
      <c r="M139" s="1">
        <v>28</v>
      </c>
      <c r="N139" s="48">
        <v>28.000000000000004</v>
      </c>
      <c r="O139" s="1">
        <v>11</v>
      </c>
      <c r="P139" s="48">
        <v>11</v>
      </c>
      <c r="Q139" s="1">
        <v>0</v>
      </c>
      <c r="R139" s="1">
        <v>0</v>
      </c>
      <c r="S139" s="1">
        <v>1</v>
      </c>
      <c r="T139" s="1">
        <v>1</v>
      </c>
      <c r="U139" s="1">
        <v>1</v>
      </c>
      <c r="V139" s="1">
        <v>1</v>
      </c>
      <c r="W139" s="1">
        <v>0</v>
      </c>
      <c r="X139" s="1">
        <v>0</v>
      </c>
      <c r="Y139" s="1">
        <v>2</v>
      </c>
      <c r="Z139" s="3">
        <v>0.64102564102564097</v>
      </c>
      <c r="AA139" s="1">
        <v>19</v>
      </c>
      <c r="AB139" s="3">
        <v>12.179487179487179</v>
      </c>
      <c r="AC139" s="1">
        <v>0</v>
      </c>
      <c r="AD139" s="3">
        <v>0</v>
      </c>
      <c r="AE139" s="1">
        <v>2</v>
      </c>
      <c r="AF139" s="3">
        <v>1.2820512820512819</v>
      </c>
      <c r="AG139" s="1">
        <v>6</v>
      </c>
      <c r="AH139" s="3">
        <v>3.8461538461538463</v>
      </c>
      <c r="AI139" s="1" t="s">
        <v>22</v>
      </c>
      <c r="AJ139" s="1">
        <v>1</v>
      </c>
      <c r="AK139" s="3">
        <v>0.64102564102564097</v>
      </c>
      <c r="AL139" s="1">
        <v>1</v>
      </c>
      <c r="AM139" s="3">
        <v>0.64102564102564097</v>
      </c>
      <c r="AN139" s="1" t="s">
        <v>22</v>
      </c>
      <c r="AO139" s="1">
        <v>6</v>
      </c>
      <c r="AP139" s="3">
        <v>3.8461538461538463</v>
      </c>
      <c r="AQ139" s="3"/>
      <c r="AR139" s="3"/>
      <c r="AS139" s="1">
        <v>5</v>
      </c>
      <c r="AT139" s="3">
        <v>3.2051282051282048</v>
      </c>
      <c r="AU139" s="1">
        <v>0</v>
      </c>
      <c r="AV139" s="3">
        <v>0</v>
      </c>
      <c r="AW139" s="1" t="s">
        <v>22</v>
      </c>
      <c r="AX139" s="1">
        <v>17</v>
      </c>
      <c r="AY139" s="1">
        <v>0</v>
      </c>
      <c r="AZ139" s="1">
        <v>0</v>
      </c>
      <c r="BA139" s="1">
        <v>34</v>
      </c>
      <c r="BB139" s="1">
        <v>0</v>
      </c>
      <c r="BC139" s="1">
        <v>0</v>
      </c>
      <c r="BD139" s="1">
        <v>0</v>
      </c>
      <c r="BE139" s="54">
        <v>0</v>
      </c>
      <c r="BF139" s="6">
        <v>22</v>
      </c>
      <c r="BG139" s="6">
        <v>10</v>
      </c>
      <c r="BH139" s="1">
        <v>1</v>
      </c>
      <c r="BI139" s="6">
        <v>10</v>
      </c>
      <c r="BJ139" s="1" t="s">
        <v>22</v>
      </c>
      <c r="BK139" s="6">
        <v>0</v>
      </c>
      <c r="BL139" s="6">
        <v>0</v>
      </c>
      <c r="BM139" s="1">
        <v>1</v>
      </c>
      <c r="BN139" t="s">
        <v>24</v>
      </c>
      <c r="BO139">
        <v>1677</v>
      </c>
    </row>
    <row r="140" spans="1:67" x14ac:dyDescent="0.3">
      <c r="A140" s="4">
        <f>INT(Tabela1[[#This Row],[Data e Hora]])</f>
        <v>46258</v>
      </c>
      <c r="B140" s="4" t="str">
        <f>UPPER(TEXT(Tabela1[[#This Row],[Data Corrigida]],"MMM"))</f>
        <v>AGO</v>
      </c>
      <c r="C140" t="s">
        <v>449</v>
      </c>
      <c r="D140" t="s">
        <v>450</v>
      </c>
      <c r="E140" t="s">
        <v>451</v>
      </c>
      <c r="F140" t="s">
        <v>19</v>
      </c>
      <c r="G140" s="5" t="s">
        <v>438</v>
      </c>
      <c r="H140" t="s">
        <v>20</v>
      </c>
      <c r="I140" t="s">
        <v>21</v>
      </c>
      <c r="J140" s="1">
        <v>140</v>
      </c>
      <c r="K140" s="1">
        <v>2939</v>
      </c>
      <c r="L140" t="s">
        <v>23</v>
      </c>
      <c r="M140" s="1">
        <v>14</v>
      </c>
      <c r="N140" s="48">
        <v>14.000000000000002</v>
      </c>
      <c r="O140" s="1">
        <v>5</v>
      </c>
      <c r="P140" s="48">
        <v>5</v>
      </c>
      <c r="Q140" s="1">
        <v>0</v>
      </c>
      <c r="R140" s="1">
        <v>0</v>
      </c>
      <c r="S140" s="1">
        <v>4</v>
      </c>
      <c r="T140" s="1">
        <v>4</v>
      </c>
      <c r="U140" s="1">
        <v>1</v>
      </c>
      <c r="V140" s="1">
        <v>1</v>
      </c>
      <c r="W140" s="1">
        <v>0</v>
      </c>
      <c r="X140" s="1">
        <v>0</v>
      </c>
      <c r="Y140" s="1">
        <v>1</v>
      </c>
      <c r="Z140" s="3">
        <v>0.35714285714285715</v>
      </c>
      <c r="AA140" s="1">
        <v>22</v>
      </c>
      <c r="AB140" s="3">
        <v>15.714285714285714</v>
      </c>
      <c r="AC140" s="1">
        <v>0</v>
      </c>
      <c r="AD140" s="3">
        <v>0</v>
      </c>
      <c r="AE140" s="1">
        <v>3</v>
      </c>
      <c r="AF140" s="3">
        <v>2.1428571428571428</v>
      </c>
      <c r="AG140" s="1">
        <v>6</v>
      </c>
      <c r="AH140" s="3">
        <v>4.2857142857142856</v>
      </c>
      <c r="AI140" s="1" t="s">
        <v>22</v>
      </c>
      <c r="AJ140" s="1">
        <v>1</v>
      </c>
      <c r="AK140" s="3">
        <v>0.7142857142857143</v>
      </c>
      <c r="AL140" s="1">
        <v>1</v>
      </c>
      <c r="AM140" s="3">
        <v>0.7142857142857143</v>
      </c>
      <c r="AN140" s="1" t="s">
        <v>22</v>
      </c>
      <c r="AO140" s="1">
        <v>5</v>
      </c>
      <c r="AP140" s="3">
        <v>3.5714285714285712</v>
      </c>
      <c r="AQ140" s="3"/>
      <c r="AR140" s="3"/>
      <c r="AS140" s="1">
        <v>5</v>
      </c>
      <c r="AT140" s="3">
        <v>3.5714285714285712</v>
      </c>
      <c r="AU140" s="1">
        <v>1</v>
      </c>
      <c r="AV140" s="3">
        <v>0.7142857142857143</v>
      </c>
      <c r="AW140" s="1" t="s">
        <v>22</v>
      </c>
      <c r="AX140" s="1">
        <v>17</v>
      </c>
      <c r="AY140" s="1">
        <v>0</v>
      </c>
      <c r="AZ140" s="1">
        <v>0</v>
      </c>
      <c r="BA140" s="1">
        <v>34</v>
      </c>
      <c r="BB140" s="1">
        <v>0</v>
      </c>
      <c r="BC140" s="1">
        <v>0</v>
      </c>
      <c r="BD140" s="1">
        <v>0</v>
      </c>
      <c r="BE140" s="54">
        <v>0</v>
      </c>
      <c r="BF140" s="6">
        <v>23</v>
      </c>
      <c r="BG140" s="6">
        <v>12</v>
      </c>
      <c r="BH140" s="1">
        <v>0</v>
      </c>
      <c r="BI140" s="6">
        <v>0</v>
      </c>
      <c r="BJ140" s="1" t="s">
        <v>22</v>
      </c>
      <c r="BK140" s="1" t="s">
        <v>22</v>
      </c>
      <c r="BL140" s="1" t="s">
        <v>22</v>
      </c>
      <c r="BM140" s="1" t="s">
        <v>22</v>
      </c>
      <c r="BN140" t="s">
        <v>24</v>
      </c>
      <c r="BO140">
        <v>1689</v>
      </c>
    </row>
    <row r="141" spans="1:67" x14ac:dyDescent="0.3">
      <c r="A141" s="4">
        <f>INT(Tabela1[[#This Row],[Data e Hora]])</f>
        <v>46258</v>
      </c>
      <c r="B141" s="4" t="str">
        <f>UPPER(TEXT(Tabela1[[#This Row],[Data Corrigida]],"MMM"))</f>
        <v>AGO</v>
      </c>
      <c r="C141" t="s">
        <v>452</v>
      </c>
      <c r="D141" t="s">
        <v>453</v>
      </c>
      <c r="E141" t="s">
        <v>451</v>
      </c>
      <c r="F141" t="s">
        <v>19</v>
      </c>
      <c r="G141" s="5" t="s">
        <v>438</v>
      </c>
      <c r="H141" t="s">
        <v>20</v>
      </c>
      <c r="I141" t="s">
        <v>21</v>
      </c>
      <c r="J141" s="1">
        <v>140</v>
      </c>
      <c r="K141" s="1">
        <v>3083</v>
      </c>
      <c r="L141" t="s">
        <v>23</v>
      </c>
      <c r="M141" s="1">
        <v>13</v>
      </c>
      <c r="N141" s="48">
        <v>13</v>
      </c>
      <c r="O141" s="1">
        <v>3</v>
      </c>
      <c r="P141" s="48">
        <v>3</v>
      </c>
      <c r="Q141" s="1">
        <v>0</v>
      </c>
      <c r="R141" s="1">
        <v>0</v>
      </c>
      <c r="S141" s="1">
        <v>1</v>
      </c>
      <c r="T141" s="1">
        <v>1</v>
      </c>
      <c r="U141" s="1">
        <v>2</v>
      </c>
      <c r="V141" s="1">
        <v>2</v>
      </c>
      <c r="W141" s="1">
        <v>0</v>
      </c>
      <c r="X141" s="1">
        <v>0</v>
      </c>
      <c r="Y141" s="1">
        <v>1</v>
      </c>
      <c r="Z141" s="3">
        <v>0.35714285714285715</v>
      </c>
      <c r="AA141" s="1">
        <v>11</v>
      </c>
      <c r="AB141" s="3">
        <v>7.8571428571428568</v>
      </c>
      <c r="AC141" s="1">
        <v>0</v>
      </c>
      <c r="AD141" s="3">
        <v>0</v>
      </c>
      <c r="AE141" s="1">
        <v>2</v>
      </c>
      <c r="AF141" s="3">
        <v>1.4285714285714286</v>
      </c>
      <c r="AG141" s="1">
        <v>7</v>
      </c>
      <c r="AH141" s="3">
        <v>5</v>
      </c>
      <c r="AI141" s="1" t="s">
        <v>22</v>
      </c>
      <c r="AJ141" s="1">
        <v>1</v>
      </c>
      <c r="AK141" s="3">
        <v>0.7142857142857143</v>
      </c>
      <c r="AL141" s="1">
        <v>2</v>
      </c>
      <c r="AM141" s="3">
        <v>1.4285714285714286</v>
      </c>
      <c r="AN141" s="1" t="s">
        <v>22</v>
      </c>
      <c r="AO141" s="1">
        <v>5</v>
      </c>
      <c r="AP141" s="3">
        <v>3.5714285714285712</v>
      </c>
      <c r="AQ141" s="3"/>
      <c r="AR141" s="3"/>
      <c r="AS141" s="1">
        <v>4</v>
      </c>
      <c r="AT141" s="3">
        <v>2.8571428571428572</v>
      </c>
      <c r="AU141" s="1">
        <v>1</v>
      </c>
      <c r="AV141" s="3">
        <v>0.7142857142857143</v>
      </c>
      <c r="AW141" s="1" t="s">
        <v>22</v>
      </c>
      <c r="AX141" s="1">
        <v>15</v>
      </c>
      <c r="AY141" s="1">
        <v>0</v>
      </c>
      <c r="AZ141" s="1">
        <v>0</v>
      </c>
      <c r="BA141" s="1">
        <v>30</v>
      </c>
      <c r="BB141" s="1">
        <v>0</v>
      </c>
      <c r="BC141" s="1">
        <v>0</v>
      </c>
      <c r="BD141" s="1">
        <v>2</v>
      </c>
      <c r="BE141" s="54">
        <v>1.4285714285714286</v>
      </c>
      <c r="BF141" s="6">
        <v>17</v>
      </c>
      <c r="BG141" s="6">
        <v>11</v>
      </c>
      <c r="BH141" s="1">
        <v>1</v>
      </c>
      <c r="BI141" s="6">
        <v>10</v>
      </c>
      <c r="BJ141" s="1" t="s">
        <v>22</v>
      </c>
      <c r="BK141" s="1" t="s">
        <v>22</v>
      </c>
      <c r="BL141" s="1" t="s">
        <v>22</v>
      </c>
      <c r="BM141" s="1" t="s">
        <v>22</v>
      </c>
      <c r="BN141" t="s">
        <v>24</v>
      </c>
      <c r="BO141">
        <v>3446</v>
      </c>
    </row>
    <row r="142" spans="1:67" x14ac:dyDescent="0.3">
      <c r="A142" s="4">
        <f>INT(Tabela1[[#This Row],[Data e Hora]])</f>
        <v>46259</v>
      </c>
      <c r="B142" s="4" t="str">
        <f>UPPER(TEXT(Tabela1[[#This Row],[Data Corrigida]],"MMM"))</f>
        <v>AGO</v>
      </c>
      <c r="C142" t="s">
        <v>454</v>
      </c>
      <c r="D142" t="s">
        <v>455</v>
      </c>
      <c r="E142" t="s">
        <v>456</v>
      </c>
      <c r="F142" t="s">
        <v>19</v>
      </c>
      <c r="G142" s="5" t="s">
        <v>457</v>
      </c>
      <c r="H142" t="s">
        <v>20</v>
      </c>
      <c r="I142" t="s">
        <v>33</v>
      </c>
      <c r="J142" s="1">
        <v>151</v>
      </c>
      <c r="K142" s="1">
        <v>2898</v>
      </c>
      <c r="L142" t="s">
        <v>34</v>
      </c>
      <c r="M142" s="1">
        <v>20</v>
      </c>
      <c r="N142" s="48">
        <v>20</v>
      </c>
      <c r="O142" s="1">
        <v>15</v>
      </c>
      <c r="P142" s="48">
        <v>15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3</v>
      </c>
      <c r="Z142" s="3">
        <v>0.99337748344370869</v>
      </c>
      <c r="AA142" s="1">
        <v>6</v>
      </c>
      <c r="AB142" s="3">
        <v>3.9735099337748347</v>
      </c>
      <c r="AC142" s="1">
        <v>0</v>
      </c>
      <c r="AD142" s="3">
        <v>0</v>
      </c>
      <c r="AE142" s="1">
        <v>0</v>
      </c>
      <c r="AF142" s="3">
        <v>0</v>
      </c>
      <c r="AG142" s="1">
        <v>2</v>
      </c>
      <c r="AH142" s="3">
        <v>1.3245033112582782</v>
      </c>
      <c r="AI142" s="1" t="s">
        <v>22</v>
      </c>
      <c r="AJ142" s="1">
        <v>1</v>
      </c>
      <c r="AK142" s="3">
        <v>0.66225165562913912</v>
      </c>
      <c r="AL142" s="1">
        <v>0</v>
      </c>
      <c r="AM142" s="3">
        <v>0</v>
      </c>
      <c r="AN142" s="1" t="s">
        <v>22</v>
      </c>
      <c r="AO142" s="1">
        <v>5</v>
      </c>
      <c r="AP142" s="3">
        <v>3.3112582781456954</v>
      </c>
      <c r="AQ142" s="3"/>
      <c r="AR142" s="3"/>
      <c r="AS142" s="1">
        <v>4</v>
      </c>
      <c r="AT142" s="3">
        <v>2.6490066225165565</v>
      </c>
      <c r="AU142" s="1">
        <v>0</v>
      </c>
      <c r="AV142" s="3">
        <v>0</v>
      </c>
      <c r="AW142" s="1" t="s">
        <v>22</v>
      </c>
      <c r="AX142" s="1">
        <v>12</v>
      </c>
      <c r="AY142" s="1">
        <v>0</v>
      </c>
      <c r="AZ142" s="1">
        <v>0</v>
      </c>
      <c r="BA142" s="1">
        <v>24</v>
      </c>
      <c r="BB142" s="1">
        <v>0</v>
      </c>
      <c r="BC142" s="1">
        <v>0</v>
      </c>
      <c r="BD142" s="1">
        <v>0</v>
      </c>
      <c r="BE142" s="54">
        <v>0</v>
      </c>
      <c r="BF142" s="6">
        <v>8</v>
      </c>
      <c r="BG142" s="6">
        <v>4</v>
      </c>
      <c r="BH142" s="1">
        <v>0</v>
      </c>
      <c r="BI142" s="6">
        <v>0</v>
      </c>
      <c r="BJ142" s="1" t="s">
        <v>22</v>
      </c>
      <c r="BK142" s="6">
        <v>7</v>
      </c>
      <c r="BL142" s="6">
        <v>0</v>
      </c>
      <c r="BM142" s="1">
        <v>0</v>
      </c>
      <c r="BN142" t="s">
        <v>24</v>
      </c>
      <c r="BO142">
        <v>186</v>
      </c>
    </row>
    <row r="143" spans="1:67" x14ac:dyDescent="0.3">
      <c r="A143" s="4">
        <f>INT(Tabela1[[#This Row],[Data e Hora]])</f>
        <v>46259</v>
      </c>
      <c r="B143" s="4" t="str">
        <f>UPPER(TEXT(Tabela1[[#This Row],[Data Corrigida]],"MMM"))</f>
        <v>AGO</v>
      </c>
      <c r="C143" t="s">
        <v>458</v>
      </c>
      <c r="D143" t="s">
        <v>459</v>
      </c>
      <c r="E143" t="s">
        <v>460</v>
      </c>
      <c r="F143" t="s">
        <v>19</v>
      </c>
      <c r="G143" s="5" t="s">
        <v>457</v>
      </c>
      <c r="H143" t="s">
        <v>20</v>
      </c>
      <c r="I143" t="s">
        <v>33</v>
      </c>
      <c r="J143" s="1">
        <v>160</v>
      </c>
      <c r="K143" s="1">
        <v>3102</v>
      </c>
      <c r="L143" t="s">
        <v>34</v>
      </c>
      <c r="M143" s="1">
        <v>19</v>
      </c>
      <c r="N143" s="48">
        <v>19</v>
      </c>
      <c r="O143" s="1">
        <v>3</v>
      </c>
      <c r="P143" s="48">
        <v>3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1</v>
      </c>
      <c r="X143" s="1">
        <v>5</v>
      </c>
      <c r="Y143" s="1">
        <v>3</v>
      </c>
      <c r="Z143" s="3">
        <v>0.9375</v>
      </c>
      <c r="AA143" s="1">
        <v>21</v>
      </c>
      <c r="AB143" s="3">
        <v>13.125</v>
      </c>
      <c r="AC143" s="1">
        <v>0</v>
      </c>
      <c r="AD143" s="3">
        <v>0</v>
      </c>
      <c r="AE143" s="1">
        <v>0</v>
      </c>
      <c r="AF143" s="3">
        <v>0</v>
      </c>
      <c r="AG143" s="1">
        <v>4</v>
      </c>
      <c r="AH143" s="3">
        <v>2.5</v>
      </c>
      <c r="AI143" s="1" t="s">
        <v>22</v>
      </c>
      <c r="AJ143" s="1">
        <v>3</v>
      </c>
      <c r="AK143" s="3">
        <v>1.875</v>
      </c>
      <c r="AL143" s="1">
        <v>0</v>
      </c>
      <c r="AM143" s="3">
        <v>0</v>
      </c>
      <c r="AN143" s="1" t="s">
        <v>22</v>
      </c>
      <c r="AO143" s="1">
        <v>2</v>
      </c>
      <c r="AP143" s="3">
        <v>1.25</v>
      </c>
      <c r="AQ143" s="3"/>
      <c r="AR143" s="3"/>
      <c r="AS143" s="1">
        <v>2</v>
      </c>
      <c r="AT143" s="3">
        <v>1.25</v>
      </c>
      <c r="AU143" s="1">
        <v>0</v>
      </c>
      <c r="AV143" s="3">
        <v>0</v>
      </c>
      <c r="AW143" s="1" t="s">
        <v>22</v>
      </c>
      <c r="AX143" s="1">
        <v>11</v>
      </c>
      <c r="AY143" s="1">
        <v>0</v>
      </c>
      <c r="AZ143" s="1">
        <v>0</v>
      </c>
      <c r="BA143" s="1">
        <v>22</v>
      </c>
      <c r="BB143" s="1">
        <v>0</v>
      </c>
      <c r="BC143" s="1">
        <v>0</v>
      </c>
      <c r="BD143" s="1">
        <v>0</v>
      </c>
      <c r="BE143" s="54">
        <v>0</v>
      </c>
      <c r="BF143" s="6">
        <v>5</v>
      </c>
      <c r="BG143" s="6">
        <v>2</v>
      </c>
      <c r="BH143" s="1">
        <v>0</v>
      </c>
      <c r="BI143" s="6">
        <v>0</v>
      </c>
      <c r="BJ143" s="1" t="s">
        <v>22</v>
      </c>
      <c r="BK143" s="6">
        <v>5</v>
      </c>
      <c r="BL143" s="6">
        <v>0</v>
      </c>
      <c r="BM143" s="1">
        <v>0</v>
      </c>
      <c r="BN143" t="s">
        <v>24</v>
      </c>
      <c r="BO143">
        <v>7309</v>
      </c>
    </row>
    <row r="144" spans="1:67" x14ac:dyDescent="0.3">
      <c r="A144" s="4">
        <f>INT(Tabela1[[#This Row],[Data e Hora]])</f>
        <v>46259</v>
      </c>
      <c r="B144" s="4" t="str">
        <f>UPPER(TEXT(Tabela1[[#This Row],[Data Corrigida]],"MMM"))</f>
        <v>AGO</v>
      </c>
      <c r="C144" t="s">
        <v>461</v>
      </c>
      <c r="D144" t="s">
        <v>462</v>
      </c>
      <c r="E144" t="s">
        <v>460</v>
      </c>
      <c r="F144" t="s">
        <v>19</v>
      </c>
      <c r="G144" s="5" t="s">
        <v>457</v>
      </c>
      <c r="H144" t="s">
        <v>20</v>
      </c>
      <c r="I144" t="s">
        <v>33</v>
      </c>
      <c r="J144" s="1">
        <v>127</v>
      </c>
      <c r="K144" s="1">
        <v>2953</v>
      </c>
      <c r="L144" t="s">
        <v>34</v>
      </c>
      <c r="M144" s="1">
        <v>17</v>
      </c>
      <c r="N144" s="48">
        <v>17</v>
      </c>
      <c r="O144" s="1">
        <v>5</v>
      </c>
      <c r="P144" s="48">
        <v>5</v>
      </c>
      <c r="Q144" s="1">
        <v>0</v>
      </c>
      <c r="R144" s="1">
        <v>0</v>
      </c>
      <c r="S144" s="1">
        <v>6</v>
      </c>
      <c r="T144" s="1">
        <v>6</v>
      </c>
      <c r="U144" s="1">
        <v>3</v>
      </c>
      <c r="V144" s="1">
        <v>3</v>
      </c>
      <c r="W144" s="1">
        <v>2</v>
      </c>
      <c r="X144" s="1">
        <v>10</v>
      </c>
      <c r="Y144" s="1">
        <v>1</v>
      </c>
      <c r="Z144" s="3">
        <v>0.39370078740157477</v>
      </c>
      <c r="AA144" s="1">
        <v>8</v>
      </c>
      <c r="AB144" s="3">
        <v>6.2992125984251963</v>
      </c>
      <c r="AC144" s="1">
        <v>0</v>
      </c>
      <c r="AD144" s="3">
        <v>0</v>
      </c>
      <c r="AE144" s="1">
        <v>0</v>
      </c>
      <c r="AF144" s="3">
        <v>0</v>
      </c>
      <c r="AG144" s="1">
        <v>4</v>
      </c>
      <c r="AH144" s="3">
        <v>3.1496062992125982</v>
      </c>
      <c r="AI144" s="1" t="s">
        <v>22</v>
      </c>
      <c r="AJ144" s="1">
        <v>1</v>
      </c>
      <c r="AK144" s="3">
        <v>0.78740157480314954</v>
      </c>
      <c r="AL144" s="1">
        <v>0</v>
      </c>
      <c r="AM144" s="3">
        <v>0</v>
      </c>
      <c r="AN144" s="1" t="s">
        <v>22</v>
      </c>
      <c r="AO144" s="1">
        <v>4</v>
      </c>
      <c r="AP144" s="3">
        <v>3.1496062992125982</v>
      </c>
      <c r="AQ144" s="3"/>
      <c r="AR144" s="3"/>
      <c r="AS144" s="1">
        <v>3</v>
      </c>
      <c r="AT144" s="3">
        <v>2.3622047244094486</v>
      </c>
      <c r="AU144" s="1">
        <v>0</v>
      </c>
      <c r="AV144" s="3">
        <v>0</v>
      </c>
      <c r="AW144" s="1" t="s">
        <v>22</v>
      </c>
      <c r="AX144" s="1">
        <v>9</v>
      </c>
      <c r="AY144" s="1">
        <v>1</v>
      </c>
      <c r="AZ144" s="1">
        <v>1</v>
      </c>
      <c r="BA144" s="1">
        <v>18</v>
      </c>
      <c r="BB144" s="1">
        <v>2</v>
      </c>
      <c r="BC144" s="1">
        <v>2</v>
      </c>
      <c r="BD144" s="1">
        <v>0</v>
      </c>
      <c r="BE144" s="54">
        <v>0</v>
      </c>
      <c r="BF144" s="6">
        <v>10</v>
      </c>
      <c r="BG144" s="6">
        <v>5</v>
      </c>
      <c r="BH144" s="1">
        <v>0</v>
      </c>
      <c r="BI144" s="6">
        <v>0</v>
      </c>
      <c r="BJ144" s="1" t="s">
        <v>22</v>
      </c>
      <c r="BK144" s="6">
        <v>0</v>
      </c>
      <c r="BL144" s="6">
        <v>0</v>
      </c>
      <c r="BM144" s="1">
        <v>0</v>
      </c>
      <c r="BN144" t="s">
        <v>24</v>
      </c>
      <c r="BO144">
        <v>9491</v>
      </c>
    </row>
    <row r="145" spans="1:67" x14ac:dyDescent="0.3">
      <c r="A145" s="4">
        <f>INT(Tabela1[[#This Row],[Data e Hora]])</f>
        <v>46259</v>
      </c>
      <c r="B145" s="4" t="str">
        <f>UPPER(TEXT(Tabela1[[#This Row],[Data Corrigida]],"MMM"))</f>
        <v>AGO</v>
      </c>
      <c r="C145" t="s">
        <v>463</v>
      </c>
      <c r="D145" t="s">
        <v>464</v>
      </c>
      <c r="E145" t="s">
        <v>465</v>
      </c>
      <c r="F145" t="s">
        <v>19</v>
      </c>
      <c r="G145" s="5" t="s">
        <v>457</v>
      </c>
      <c r="H145" t="s">
        <v>20</v>
      </c>
      <c r="I145" t="s">
        <v>21</v>
      </c>
      <c r="J145" s="1">
        <v>160</v>
      </c>
      <c r="K145" s="1">
        <v>2934</v>
      </c>
      <c r="L145" t="s">
        <v>23</v>
      </c>
      <c r="M145" s="1">
        <v>35</v>
      </c>
      <c r="N145" s="48">
        <v>35</v>
      </c>
      <c r="O145" s="1">
        <v>21</v>
      </c>
      <c r="P145" s="48">
        <v>21</v>
      </c>
      <c r="Q145" s="1">
        <v>0</v>
      </c>
      <c r="R145" s="1">
        <v>0</v>
      </c>
      <c r="S145" s="1">
        <v>1</v>
      </c>
      <c r="T145" s="1">
        <v>1</v>
      </c>
      <c r="U145" s="1">
        <v>1</v>
      </c>
      <c r="V145" s="1">
        <v>1</v>
      </c>
      <c r="W145" s="1">
        <v>0</v>
      </c>
      <c r="X145" s="1">
        <v>0</v>
      </c>
      <c r="Y145" s="1">
        <v>6</v>
      </c>
      <c r="Z145" s="3">
        <v>1.875</v>
      </c>
      <c r="AA145" s="1">
        <v>12</v>
      </c>
      <c r="AB145" s="3">
        <v>7.5</v>
      </c>
      <c r="AC145" s="1">
        <v>0</v>
      </c>
      <c r="AD145" s="3">
        <v>0</v>
      </c>
      <c r="AE145" s="1">
        <v>1</v>
      </c>
      <c r="AF145" s="3">
        <v>0.625</v>
      </c>
      <c r="AG145" s="1">
        <v>5</v>
      </c>
      <c r="AH145" s="3">
        <v>3.125</v>
      </c>
      <c r="AI145" s="1" t="s">
        <v>22</v>
      </c>
      <c r="AJ145" s="1">
        <v>2</v>
      </c>
      <c r="AK145" s="3">
        <v>1.25</v>
      </c>
      <c r="AL145" s="1">
        <v>2</v>
      </c>
      <c r="AM145" s="3">
        <v>1.25</v>
      </c>
      <c r="AN145" s="1" t="s">
        <v>22</v>
      </c>
      <c r="AO145" s="1">
        <v>5</v>
      </c>
      <c r="AP145" s="3">
        <v>3.125</v>
      </c>
      <c r="AQ145" s="3"/>
      <c r="AR145" s="3"/>
      <c r="AS145" s="1">
        <v>6</v>
      </c>
      <c r="AT145" s="3">
        <v>3.75</v>
      </c>
      <c r="AU145" s="1">
        <v>1</v>
      </c>
      <c r="AV145" s="3">
        <v>0.625</v>
      </c>
      <c r="AW145" s="1" t="s">
        <v>22</v>
      </c>
      <c r="AX145" s="1">
        <v>15</v>
      </c>
      <c r="AY145" s="1">
        <v>0</v>
      </c>
      <c r="AZ145" s="1">
        <v>0</v>
      </c>
      <c r="BA145" s="1">
        <v>30</v>
      </c>
      <c r="BB145" s="1">
        <v>0</v>
      </c>
      <c r="BC145" s="1">
        <v>0</v>
      </c>
      <c r="BD145" s="1">
        <v>1</v>
      </c>
      <c r="BE145" s="54">
        <v>0.625</v>
      </c>
      <c r="BF145" s="6">
        <v>13</v>
      </c>
      <c r="BG145" s="6">
        <v>12</v>
      </c>
      <c r="BH145" s="1">
        <v>1</v>
      </c>
      <c r="BI145" s="6">
        <v>10</v>
      </c>
      <c r="BJ145" s="1" t="s">
        <v>22</v>
      </c>
      <c r="BK145" s="1" t="s">
        <v>22</v>
      </c>
      <c r="BL145" s="1" t="s">
        <v>22</v>
      </c>
      <c r="BM145" s="1" t="s">
        <v>22</v>
      </c>
      <c r="BN145" t="s">
        <v>24</v>
      </c>
      <c r="BO145">
        <v>2007</v>
      </c>
    </row>
    <row r="146" spans="1:67" x14ac:dyDescent="0.3">
      <c r="A146" s="4">
        <f>INT(Tabela1[[#This Row],[Data e Hora]])</f>
        <v>46259</v>
      </c>
      <c r="B146" s="4" t="str">
        <f>UPPER(TEXT(Tabela1[[#This Row],[Data Corrigida]],"MMM"))</f>
        <v>AGO</v>
      </c>
      <c r="C146" t="s">
        <v>466</v>
      </c>
      <c r="D146" t="s">
        <v>467</v>
      </c>
      <c r="E146" t="s">
        <v>465</v>
      </c>
      <c r="F146" t="s">
        <v>19</v>
      </c>
      <c r="G146" s="5" t="s">
        <v>457</v>
      </c>
      <c r="H146" t="s">
        <v>20</v>
      </c>
      <c r="I146" t="s">
        <v>21</v>
      </c>
      <c r="J146" s="1">
        <v>156</v>
      </c>
      <c r="K146" s="1">
        <v>2854</v>
      </c>
      <c r="L146" t="s">
        <v>23</v>
      </c>
      <c r="M146" s="1">
        <v>41</v>
      </c>
      <c r="N146" s="48">
        <v>41</v>
      </c>
      <c r="O146" s="1">
        <v>23</v>
      </c>
      <c r="P146" s="48">
        <v>23</v>
      </c>
      <c r="Q146" s="1">
        <v>0</v>
      </c>
      <c r="R146" s="1">
        <v>0</v>
      </c>
      <c r="S146" s="1">
        <v>1</v>
      </c>
      <c r="T146" s="1">
        <v>1</v>
      </c>
      <c r="U146" s="1">
        <v>1</v>
      </c>
      <c r="V146" s="1">
        <v>1</v>
      </c>
      <c r="W146" s="1">
        <v>0</v>
      </c>
      <c r="X146" s="1">
        <v>0</v>
      </c>
      <c r="Y146" s="1">
        <v>4</v>
      </c>
      <c r="Z146" s="3">
        <v>1.2820512820512819</v>
      </c>
      <c r="AA146" s="1">
        <v>20</v>
      </c>
      <c r="AB146" s="3">
        <v>12.820512820512819</v>
      </c>
      <c r="AC146" s="1">
        <v>0</v>
      </c>
      <c r="AD146" s="3">
        <v>0</v>
      </c>
      <c r="AE146" s="1">
        <v>2</v>
      </c>
      <c r="AF146" s="3">
        <v>1.2820512820512819</v>
      </c>
      <c r="AG146" s="1">
        <v>7</v>
      </c>
      <c r="AH146" s="3">
        <v>4.4871794871794872</v>
      </c>
      <c r="AI146" s="1" t="s">
        <v>22</v>
      </c>
      <c r="AJ146" s="1">
        <v>2</v>
      </c>
      <c r="AK146" s="3">
        <v>1.2820512820512819</v>
      </c>
      <c r="AL146" s="1">
        <v>2</v>
      </c>
      <c r="AM146" s="3">
        <v>1.2820512820512819</v>
      </c>
      <c r="AN146" s="1" t="s">
        <v>22</v>
      </c>
      <c r="AO146" s="1">
        <v>5</v>
      </c>
      <c r="AP146" s="3">
        <v>3.2051282051282048</v>
      </c>
      <c r="AQ146" s="3"/>
      <c r="AR146" s="3"/>
      <c r="AS146" s="1">
        <v>6</v>
      </c>
      <c r="AT146" s="3">
        <v>3.8461538461538463</v>
      </c>
      <c r="AU146" s="1">
        <v>1</v>
      </c>
      <c r="AV146" s="3">
        <v>0.64102564102564097</v>
      </c>
      <c r="AW146" s="1" t="s">
        <v>22</v>
      </c>
      <c r="AX146" s="1">
        <v>17</v>
      </c>
      <c r="AY146" s="1">
        <v>0</v>
      </c>
      <c r="AZ146" s="1">
        <v>0</v>
      </c>
      <c r="BA146" s="1">
        <v>34</v>
      </c>
      <c r="BB146" s="1">
        <v>0</v>
      </c>
      <c r="BC146" s="1">
        <v>0</v>
      </c>
      <c r="BD146" s="1">
        <v>1</v>
      </c>
      <c r="BE146" s="54">
        <v>0.64102564102564097</v>
      </c>
      <c r="BF146" s="6">
        <v>19</v>
      </c>
      <c r="BG146" s="6">
        <v>12</v>
      </c>
      <c r="BH146" s="1">
        <v>1</v>
      </c>
      <c r="BI146" s="6">
        <v>10</v>
      </c>
      <c r="BJ146" s="1" t="s">
        <v>22</v>
      </c>
      <c r="BK146" s="6">
        <v>2</v>
      </c>
      <c r="BL146" s="6">
        <v>0</v>
      </c>
      <c r="BM146" s="1">
        <v>3</v>
      </c>
      <c r="BN146" t="s">
        <v>24</v>
      </c>
      <c r="BO146">
        <v>1819</v>
      </c>
    </row>
    <row r="147" spans="1:67" x14ac:dyDescent="0.3">
      <c r="A147" s="4">
        <f>INT(Tabela1[[#This Row],[Data e Hora]])</f>
        <v>46259</v>
      </c>
      <c r="B147" s="4" t="str">
        <f>UPPER(TEXT(Tabela1[[#This Row],[Data Corrigida]],"MMM"))</f>
        <v>AGO</v>
      </c>
      <c r="C147" t="s">
        <v>468</v>
      </c>
      <c r="D147" t="s">
        <v>469</v>
      </c>
      <c r="E147" t="s">
        <v>470</v>
      </c>
      <c r="F147" t="s">
        <v>19</v>
      </c>
      <c r="G147" s="5" t="s">
        <v>457</v>
      </c>
      <c r="H147" t="s">
        <v>20</v>
      </c>
      <c r="I147" t="s">
        <v>21</v>
      </c>
      <c r="J147" s="1">
        <v>156</v>
      </c>
      <c r="K147" s="1">
        <v>2771</v>
      </c>
      <c r="L147" t="s">
        <v>23</v>
      </c>
      <c r="M147" s="1">
        <v>25</v>
      </c>
      <c r="N147" s="48">
        <v>25</v>
      </c>
      <c r="O147" s="1">
        <v>8</v>
      </c>
      <c r="P147" s="48">
        <v>8</v>
      </c>
      <c r="Q147" s="1">
        <v>0</v>
      </c>
      <c r="R147" s="1">
        <v>0</v>
      </c>
      <c r="S147" s="1">
        <v>1</v>
      </c>
      <c r="T147" s="1">
        <v>1</v>
      </c>
      <c r="U147" s="1">
        <v>0</v>
      </c>
      <c r="V147" s="1">
        <v>0</v>
      </c>
      <c r="W147" s="1">
        <v>0</v>
      </c>
      <c r="X147" s="1">
        <v>0</v>
      </c>
      <c r="Y147" s="1">
        <v>2</v>
      </c>
      <c r="Z147" s="3">
        <v>0.64102564102564097</v>
      </c>
      <c r="AA147" s="1">
        <v>22</v>
      </c>
      <c r="AB147" s="3">
        <v>14.102564102564102</v>
      </c>
      <c r="AC147" s="1">
        <v>1</v>
      </c>
      <c r="AD147" s="3">
        <v>0.64102564102564097</v>
      </c>
      <c r="AE147" s="1">
        <v>2</v>
      </c>
      <c r="AF147" s="3">
        <v>1.2820512820512819</v>
      </c>
      <c r="AG147" s="1">
        <v>7</v>
      </c>
      <c r="AH147" s="3">
        <v>4.4871794871794872</v>
      </c>
      <c r="AI147" s="1" t="s">
        <v>22</v>
      </c>
      <c r="AJ147" s="1">
        <v>2</v>
      </c>
      <c r="AK147" s="3">
        <v>1.2820512820512819</v>
      </c>
      <c r="AL147" s="1">
        <v>1</v>
      </c>
      <c r="AM147" s="3">
        <v>0.64102564102564097</v>
      </c>
      <c r="AN147" s="1" t="s">
        <v>22</v>
      </c>
      <c r="AO147" s="1">
        <v>6</v>
      </c>
      <c r="AP147" s="3">
        <v>3.8461538461538463</v>
      </c>
      <c r="AQ147" s="3"/>
      <c r="AR147" s="3"/>
      <c r="AS147" s="1">
        <v>6</v>
      </c>
      <c r="AT147" s="3">
        <v>3.8461538461538463</v>
      </c>
      <c r="AU147" s="1">
        <v>1</v>
      </c>
      <c r="AV147" s="3">
        <v>0.64102564102564097</v>
      </c>
      <c r="AW147" s="1" t="s">
        <v>22</v>
      </c>
      <c r="AX147" s="1">
        <v>20</v>
      </c>
      <c r="AY147" s="1">
        <v>0</v>
      </c>
      <c r="AZ147" s="1">
        <v>0</v>
      </c>
      <c r="BA147" s="1">
        <v>40</v>
      </c>
      <c r="BB147" s="1">
        <v>0</v>
      </c>
      <c r="BC147" s="1">
        <v>0</v>
      </c>
      <c r="BD147" s="1">
        <v>1</v>
      </c>
      <c r="BE147" s="54">
        <v>0.64102564102564097</v>
      </c>
      <c r="BF147" s="6">
        <v>23</v>
      </c>
      <c r="BG147" s="6">
        <v>11</v>
      </c>
      <c r="BH147" s="1">
        <v>0</v>
      </c>
      <c r="BI147" s="6">
        <v>0</v>
      </c>
      <c r="BJ147" s="1" t="s">
        <v>22</v>
      </c>
      <c r="BK147" s="6">
        <v>1</v>
      </c>
      <c r="BL147" s="6">
        <v>0</v>
      </c>
      <c r="BM147" s="1">
        <v>1</v>
      </c>
      <c r="BN147" t="s">
        <v>24</v>
      </c>
      <c r="BO147">
        <v>1591</v>
      </c>
    </row>
    <row r="148" spans="1:67" x14ac:dyDescent="0.3">
      <c r="A148" s="4">
        <f>INT(Tabela1[[#This Row],[Data e Hora]])</f>
        <v>46259</v>
      </c>
      <c r="B148" s="4" t="str">
        <f>UPPER(TEXT(Tabela1[[#This Row],[Data Corrigida]],"MMM"))</f>
        <v>AGO</v>
      </c>
      <c r="C148" t="s">
        <v>471</v>
      </c>
      <c r="D148" t="s">
        <v>472</v>
      </c>
      <c r="E148" t="s">
        <v>470</v>
      </c>
      <c r="F148" t="s">
        <v>19</v>
      </c>
      <c r="G148" s="5" t="s">
        <v>457</v>
      </c>
      <c r="H148" t="s">
        <v>20</v>
      </c>
      <c r="I148" t="s">
        <v>21</v>
      </c>
      <c r="J148" s="1">
        <v>150</v>
      </c>
      <c r="K148" s="1">
        <v>2815</v>
      </c>
      <c r="L148" t="s">
        <v>23</v>
      </c>
      <c r="M148" s="1">
        <v>23</v>
      </c>
      <c r="N148" s="48">
        <v>23</v>
      </c>
      <c r="O148" s="1">
        <v>5</v>
      </c>
      <c r="P148" s="48">
        <v>5</v>
      </c>
      <c r="Q148" s="1">
        <v>0</v>
      </c>
      <c r="R148" s="1">
        <v>0</v>
      </c>
      <c r="S148" s="1">
        <v>2</v>
      </c>
      <c r="T148" s="1">
        <v>2</v>
      </c>
      <c r="U148" s="1">
        <v>1</v>
      </c>
      <c r="V148" s="1">
        <v>1</v>
      </c>
      <c r="W148" s="1">
        <v>0</v>
      </c>
      <c r="X148" s="1">
        <v>0</v>
      </c>
      <c r="Y148" s="1">
        <v>2</v>
      </c>
      <c r="Z148" s="3">
        <v>0.66666666666666674</v>
      </c>
      <c r="AA148" s="1">
        <v>18</v>
      </c>
      <c r="AB148" s="3">
        <v>12</v>
      </c>
      <c r="AC148" s="1">
        <v>1</v>
      </c>
      <c r="AD148" s="3">
        <v>0.66666666666666674</v>
      </c>
      <c r="AE148" s="1">
        <v>2</v>
      </c>
      <c r="AF148" s="3">
        <v>1.3333333333333335</v>
      </c>
      <c r="AG148" s="1">
        <v>6</v>
      </c>
      <c r="AH148" s="3">
        <v>4</v>
      </c>
      <c r="AI148" s="1" t="s">
        <v>22</v>
      </c>
      <c r="AJ148" s="1">
        <v>1</v>
      </c>
      <c r="AK148" s="3">
        <v>0.66666666666666674</v>
      </c>
      <c r="AL148" s="1">
        <v>1</v>
      </c>
      <c r="AM148" s="3">
        <v>0.66666666666666674</v>
      </c>
      <c r="AN148" s="1" t="s">
        <v>22</v>
      </c>
      <c r="AO148" s="1">
        <v>5</v>
      </c>
      <c r="AP148" s="3">
        <v>3.3333333333333335</v>
      </c>
      <c r="AQ148" s="3"/>
      <c r="AR148" s="3"/>
      <c r="AS148" s="1">
        <v>6</v>
      </c>
      <c r="AT148" s="3">
        <v>4</v>
      </c>
      <c r="AU148" s="1">
        <v>1</v>
      </c>
      <c r="AV148" s="3">
        <v>0.66666666666666674</v>
      </c>
      <c r="AW148" s="1" t="s">
        <v>22</v>
      </c>
      <c r="AX148" s="1">
        <v>15</v>
      </c>
      <c r="AY148" s="1">
        <v>0</v>
      </c>
      <c r="AZ148" s="1">
        <v>0</v>
      </c>
      <c r="BA148" s="1">
        <v>30</v>
      </c>
      <c r="BB148" s="1">
        <v>0</v>
      </c>
      <c r="BC148" s="1">
        <v>0</v>
      </c>
      <c r="BD148" s="1">
        <v>0</v>
      </c>
      <c r="BE148" s="54">
        <v>0</v>
      </c>
      <c r="BF148" s="6">
        <v>26</v>
      </c>
      <c r="BG148" s="6">
        <v>10</v>
      </c>
      <c r="BH148" s="1">
        <v>0</v>
      </c>
      <c r="BI148" s="6">
        <v>0</v>
      </c>
      <c r="BJ148" s="1" t="s">
        <v>22</v>
      </c>
      <c r="BK148" s="1" t="s">
        <v>22</v>
      </c>
      <c r="BL148" s="1" t="s">
        <v>22</v>
      </c>
      <c r="BM148" s="1" t="s">
        <v>22</v>
      </c>
      <c r="BN148" t="s">
        <v>24</v>
      </c>
      <c r="BO148">
        <v>1882</v>
      </c>
    </row>
    <row r="149" spans="1:67" x14ac:dyDescent="0.3">
      <c r="A149" s="4">
        <f>INT(Tabela1[[#This Row],[Data e Hora]])</f>
        <v>46260</v>
      </c>
      <c r="B149" s="4" t="str">
        <f>UPPER(TEXT(Tabela1[[#This Row],[Data Corrigida]],"MMM"))</f>
        <v>AGO</v>
      </c>
      <c r="C149" t="s">
        <v>473</v>
      </c>
      <c r="D149" t="s">
        <v>474</v>
      </c>
      <c r="E149" t="s">
        <v>475</v>
      </c>
      <c r="F149" t="s">
        <v>19</v>
      </c>
      <c r="G149" s="5" t="s">
        <v>476</v>
      </c>
      <c r="H149" t="s">
        <v>20</v>
      </c>
      <c r="I149" t="s">
        <v>33</v>
      </c>
      <c r="J149" s="1">
        <v>159</v>
      </c>
      <c r="K149" s="1">
        <v>2937</v>
      </c>
      <c r="L149" t="s">
        <v>34</v>
      </c>
      <c r="M149" s="1">
        <v>20</v>
      </c>
      <c r="N149" s="48">
        <v>20</v>
      </c>
      <c r="O149" s="1">
        <v>14</v>
      </c>
      <c r="P149" s="48">
        <v>14.000000000000002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3</v>
      </c>
      <c r="Z149" s="3">
        <v>0.94339622641509435</v>
      </c>
      <c r="AA149" s="1">
        <v>4</v>
      </c>
      <c r="AB149" s="3">
        <v>2.5157232704402519</v>
      </c>
      <c r="AC149" s="1">
        <v>0</v>
      </c>
      <c r="AD149" s="3">
        <v>0</v>
      </c>
      <c r="AE149" s="1">
        <v>1</v>
      </c>
      <c r="AF149" s="3">
        <v>0.62893081761006298</v>
      </c>
      <c r="AG149" s="1">
        <v>5</v>
      </c>
      <c r="AH149" s="3">
        <v>3.1446540880503147</v>
      </c>
      <c r="AI149" s="1" t="s">
        <v>22</v>
      </c>
      <c r="AJ149" s="1">
        <v>0</v>
      </c>
      <c r="AK149" s="3">
        <v>0</v>
      </c>
      <c r="AL149" s="1">
        <v>0</v>
      </c>
      <c r="AM149" s="3">
        <v>0</v>
      </c>
      <c r="AN149" s="1" t="s">
        <v>22</v>
      </c>
      <c r="AO149" s="1">
        <v>7</v>
      </c>
      <c r="AP149" s="3">
        <v>4.4025157232704402</v>
      </c>
      <c r="AQ149" s="3"/>
      <c r="AR149" s="3"/>
      <c r="AS149" s="1">
        <v>5</v>
      </c>
      <c r="AT149" s="3">
        <v>3.1446540880503147</v>
      </c>
      <c r="AU149" s="1">
        <v>0</v>
      </c>
      <c r="AV149" s="3">
        <v>0</v>
      </c>
      <c r="AW149" s="1" t="s">
        <v>22</v>
      </c>
      <c r="AX149" s="1">
        <v>10</v>
      </c>
      <c r="AY149" s="1">
        <v>0</v>
      </c>
      <c r="AZ149" s="1">
        <v>0</v>
      </c>
      <c r="BA149" s="1">
        <v>20</v>
      </c>
      <c r="BB149" s="1">
        <v>0</v>
      </c>
      <c r="BC149" s="1">
        <v>0</v>
      </c>
      <c r="BD149" s="1">
        <v>0</v>
      </c>
      <c r="BE149" s="54">
        <v>0</v>
      </c>
      <c r="BF149" s="6">
        <v>6</v>
      </c>
      <c r="BG149" s="6">
        <v>3</v>
      </c>
      <c r="BH149" s="1">
        <v>0</v>
      </c>
      <c r="BI149" s="6">
        <v>0</v>
      </c>
      <c r="BJ149" s="1" t="s">
        <v>22</v>
      </c>
      <c r="BK149" s="6">
        <v>1</v>
      </c>
      <c r="BL149" s="6">
        <v>0</v>
      </c>
      <c r="BM149" s="1">
        <v>0</v>
      </c>
      <c r="BN149" t="s">
        <v>24</v>
      </c>
      <c r="BO149">
        <v>272</v>
      </c>
    </row>
    <row r="150" spans="1:67" x14ac:dyDescent="0.3">
      <c r="A150" s="4">
        <f>INT(Tabela1[[#This Row],[Data e Hora]])</f>
        <v>46260</v>
      </c>
      <c r="B150" s="4" t="str">
        <f>UPPER(TEXT(Tabela1[[#This Row],[Data Corrigida]],"MMM"))</f>
        <v>AGO</v>
      </c>
      <c r="C150" t="s">
        <v>477</v>
      </c>
      <c r="D150" t="s">
        <v>478</v>
      </c>
      <c r="E150" t="s">
        <v>475</v>
      </c>
      <c r="F150" t="s">
        <v>19</v>
      </c>
      <c r="G150" s="5" t="s">
        <v>476</v>
      </c>
      <c r="H150" t="s">
        <v>20</v>
      </c>
      <c r="I150" t="s">
        <v>33</v>
      </c>
      <c r="J150" s="1">
        <v>161</v>
      </c>
      <c r="K150" s="1">
        <v>3033</v>
      </c>
      <c r="L150" t="s">
        <v>34</v>
      </c>
      <c r="M150" s="1">
        <v>18</v>
      </c>
      <c r="N150" s="48">
        <v>18</v>
      </c>
      <c r="O150" s="1">
        <v>28</v>
      </c>
      <c r="P150" s="48">
        <v>28.000000000000004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1</v>
      </c>
      <c r="Z150" s="3">
        <v>0.3105590062111801</v>
      </c>
      <c r="AA150" s="1">
        <v>7</v>
      </c>
      <c r="AB150" s="3">
        <v>4.3478260869565215</v>
      </c>
      <c r="AC150" s="1">
        <v>0</v>
      </c>
      <c r="AD150" s="3">
        <v>0</v>
      </c>
      <c r="AE150" s="1">
        <v>0</v>
      </c>
      <c r="AF150" s="3">
        <v>0</v>
      </c>
      <c r="AG150" s="1">
        <v>3</v>
      </c>
      <c r="AH150" s="3">
        <v>1.8633540372670807</v>
      </c>
      <c r="AI150" s="1" t="s">
        <v>22</v>
      </c>
      <c r="AJ150" s="1">
        <v>1</v>
      </c>
      <c r="AK150" s="3">
        <v>0.6211180124223602</v>
      </c>
      <c r="AL150" s="1">
        <v>0</v>
      </c>
      <c r="AM150" s="3">
        <v>0</v>
      </c>
      <c r="AN150" s="1" t="s">
        <v>22</v>
      </c>
      <c r="AO150" s="1">
        <v>9</v>
      </c>
      <c r="AP150" s="3">
        <v>5.5900621118012426</v>
      </c>
      <c r="AQ150" s="3"/>
      <c r="AR150" s="3"/>
      <c r="AS150" s="1">
        <v>4</v>
      </c>
      <c r="AT150" s="3">
        <v>2.4844720496894408</v>
      </c>
      <c r="AU150" s="1">
        <v>2</v>
      </c>
      <c r="AV150" s="3">
        <v>1.2422360248447204</v>
      </c>
      <c r="AW150" s="1" t="s">
        <v>22</v>
      </c>
      <c r="AX150" s="1">
        <v>6</v>
      </c>
      <c r="AY150" s="1">
        <v>0</v>
      </c>
      <c r="AZ150" s="1">
        <v>0</v>
      </c>
      <c r="BA150" s="1">
        <v>12</v>
      </c>
      <c r="BB150" s="1">
        <v>0</v>
      </c>
      <c r="BC150" s="1">
        <v>0</v>
      </c>
      <c r="BD150" s="1">
        <v>0</v>
      </c>
      <c r="BE150" s="54">
        <v>0</v>
      </c>
      <c r="BF150" s="6">
        <v>3</v>
      </c>
      <c r="BG150" s="6">
        <v>2</v>
      </c>
      <c r="BH150" s="1">
        <v>0</v>
      </c>
      <c r="BI150" s="6">
        <v>0</v>
      </c>
      <c r="BJ150" s="1" t="s">
        <v>22</v>
      </c>
      <c r="BK150" s="6">
        <v>0</v>
      </c>
      <c r="BL150" s="6">
        <v>0</v>
      </c>
      <c r="BM150" s="1">
        <v>0</v>
      </c>
      <c r="BN150" t="s">
        <v>24</v>
      </c>
      <c r="BO150">
        <v>8905</v>
      </c>
    </row>
    <row r="151" spans="1:67" x14ac:dyDescent="0.3">
      <c r="A151" s="4">
        <f>INT(Tabela1[[#This Row],[Data e Hora]])</f>
        <v>46260</v>
      </c>
      <c r="B151" s="4" t="str">
        <f>UPPER(TEXT(Tabela1[[#This Row],[Data Corrigida]],"MMM"))</f>
        <v>AGO</v>
      </c>
      <c r="C151" t="s">
        <v>479</v>
      </c>
      <c r="D151" t="s">
        <v>480</v>
      </c>
      <c r="E151" t="s">
        <v>481</v>
      </c>
      <c r="F151" t="s">
        <v>19</v>
      </c>
      <c r="G151" s="5" t="s">
        <v>476</v>
      </c>
      <c r="H151" t="s">
        <v>20</v>
      </c>
      <c r="I151" t="s">
        <v>33</v>
      </c>
      <c r="J151" s="1">
        <v>130</v>
      </c>
      <c r="K151" s="1">
        <v>2840</v>
      </c>
      <c r="L151" t="s">
        <v>34</v>
      </c>
      <c r="M151" s="1">
        <v>5</v>
      </c>
      <c r="N151" s="48">
        <v>5</v>
      </c>
      <c r="O151" s="1">
        <v>7</v>
      </c>
      <c r="P151" s="48">
        <v>7.0000000000000009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1</v>
      </c>
      <c r="X151" s="1">
        <v>5</v>
      </c>
      <c r="Y151" s="1">
        <v>0</v>
      </c>
      <c r="Z151" s="3">
        <v>0</v>
      </c>
      <c r="AA151" s="1">
        <v>10</v>
      </c>
      <c r="AB151" s="3">
        <v>7.6923076923076925</v>
      </c>
      <c r="AC151" s="1">
        <v>0</v>
      </c>
      <c r="AD151" s="3">
        <v>0</v>
      </c>
      <c r="AE151" s="1">
        <v>0</v>
      </c>
      <c r="AF151" s="3">
        <v>0</v>
      </c>
      <c r="AG151" s="1">
        <v>1</v>
      </c>
      <c r="AH151" s="3">
        <v>0.76923076923076927</v>
      </c>
      <c r="AI151" s="1" t="s">
        <v>22</v>
      </c>
      <c r="AJ151" s="1">
        <v>0</v>
      </c>
      <c r="AK151" s="3">
        <v>0</v>
      </c>
      <c r="AL151" s="1">
        <v>0</v>
      </c>
      <c r="AM151" s="3">
        <v>0</v>
      </c>
      <c r="AN151" s="1" t="s">
        <v>22</v>
      </c>
      <c r="AO151" s="1">
        <v>5</v>
      </c>
      <c r="AP151" s="3">
        <v>3.8461538461538463</v>
      </c>
      <c r="AQ151" s="3"/>
      <c r="AR151" s="3"/>
      <c r="AS151" s="1">
        <v>2</v>
      </c>
      <c r="AT151" s="3">
        <v>1.5384615384615385</v>
      </c>
      <c r="AU151" s="1">
        <v>0</v>
      </c>
      <c r="AV151" s="3">
        <v>0</v>
      </c>
      <c r="AW151" s="1" t="s">
        <v>22</v>
      </c>
      <c r="AX151" s="1">
        <v>6</v>
      </c>
      <c r="AY151" s="1">
        <v>0</v>
      </c>
      <c r="AZ151" s="1">
        <v>0</v>
      </c>
      <c r="BA151" s="1">
        <v>12</v>
      </c>
      <c r="BB151" s="1">
        <v>0</v>
      </c>
      <c r="BC151" s="1">
        <v>0</v>
      </c>
      <c r="BD151" s="1">
        <v>0</v>
      </c>
      <c r="BE151" s="54">
        <v>0</v>
      </c>
      <c r="BF151" s="6">
        <v>4</v>
      </c>
      <c r="BG151" s="6">
        <v>3</v>
      </c>
      <c r="BH151" s="1">
        <v>0</v>
      </c>
      <c r="BI151" s="6">
        <v>0</v>
      </c>
      <c r="BJ151" s="1" t="s">
        <v>22</v>
      </c>
      <c r="BK151" s="6">
        <v>0</v>
      </c>
      <c r="BL151" s="6">
        <v>0</v>
      </c>
      <c r="BM151" s="1">
        <v>0</v>
      </c>
      <c r="BN151" t="s">
        <v>24</v>
      </c>
      <c r="BO151">
        <v>6186</v>
      </c>
    </row>
    <row r="152" spans="1:67" x14ac:dyDescent="0.3">
      <c r="A152" s="4">
        <f>INT(Tabela1[[#This Row],[Data e Hora]])</f>
        <v>46260</v>
      </c>
      <c r="B152" s="4" t="str">
        <f>UPPER(TEXT(Tabela1[[#This Row],[Data Corrigida]],"MMM"))</f>
        <v>AGO</v>
      </c>
      <c r="C152" t="s">
        <v>482</v>
      </c>
      <c r="D152" t="s">
        <v>483</v>
      </c>
      <c r="E152" t="s">
        <v>484</v>
      </c>
      <c r="F152" t="s">
        <v>19</v>
      </c>
      <c r="G152" s="5" t="s">
        <v>476</v>
      </c>
      <c r="H152" t="s">
        <v>20</v>
      </c>
      <c r="I152" t="s">
        <v>21</v>
      </c>
      <c r="J152" s="1">
        <v>150</v>
      </c>
      <c r="K152" s="1">
        <v>3120</v>
      </c>
      <c r="L152" t="s">
        <v>23</v>
      </c>
      <c r="M152" s="1">
        <v>21</v>
      </c>
      <c r="N152" s="48">
        <v>21</v>
      </c>
      <c r="O152" s="1">
        <v>9</v>
      </c>
      <c r="P152" s="48">
        <v>9</v>
      </c>
      <c r="Q152" s="1">
        <v>0</v>
      </c>
      <c r="R152" s="1">
        <v>0</v>
      </c>
      <c r="S152" s="1">
        <v>4</v>
      </c>
      <c r="T152" s="1">
        <v>4</v>
      </c>
      <c r="U152" s="1">
        <v>1</v>
      </c>
      <c r="V152" s="1">
        <v>1</v>
      </c>
      <c r="W152" s="1">
        <v>0</v>
      </c>
      <c r="X152" s="1">
        <v>0</v>
      </c>
      <c r="Y152" s="1">
        <v>1</v>
      </c>
      <c r="Z152" s="3">
        <v>0.33333333333333337</v>
      </c>
      <c r="AA152" s="1">
        <v>10</v>
      </c>
      <c r="AB152" s="3">
        <v>6.666666666666667</v>
      </c>
      <c r="AC152" s="1">
        <v>0</v>
      </c>
      <c r="AD152" s="3">
        <v>0</v>
      </c>
      <c r="AE152" s="1">
        <v>2</v>
      </c>
      <c r="AF152" s="3">
        <v>1.3333333333333335</v>
      </c>
      <c r="AG152" s="1">
        <v>8</v>
      </c>
      <c r="AH152" s="3">
        <v>5.3333333333333339</v>
      </c>
      <c r="AI152" s="1" t="s">
        <v>22</v>
      </c>
      <c r="AJ152" s="1">
        <v>3</v>
      </c>
      <c r="AK152" s="3">
        <v>2</v>
      </c>
      <c r="AL152" s="1">
        <v>2</v>
      </c>
      <c r="AM152" s="3">
        <v>1.3333333333333335</v>
      </c>
      <c r="AN152" s="1" t="s">
        <v>22</v>
      </c>
      <c r="AO152" s="1">
        <v>6</v>
      </c>
      <c r="AP152" s="3">
        <v>4</v>
      </c>
      <c r="AQ152" s="3"/>
      <c r="AR152" s="3"/>
      <c r="AS152" s="1">
        <v>6</v>
      </c>
      <c r="AT152" s="3">
        <v>4</v>
      </c>
      <c r="AU152" s="1">
        <v>1</v>
      </c>
      <c r="AV152" s="3">
        <v>0.66666666666666674</v>
      </c>
      <c r="AW152" s="1" t="s">
        <v>22</v>
      </c>
      <c r="AX152" s="1">
        <v>19</v>
      </c>
      <c r="AY152" s="1">
        <v>0</v>
      </c>
      <c r="AZ152" s="1">
        <v>0</v>
      </c>
      <c r="BA152" s="1">
        <v>38</v>
      </c>
      <c r="BB152" s="1">
        <v>0</v>
      </c>
      <c r="BC152" s="1">
        <v>0</v>
      </c>
      <c r="BD152" s="1">
        <v>1</v>
      </c>
      <c r="BE152" s="54">
        <v>0.66666666666666674</v>
      </c>
      <c r="BF152" s="6">
        <v>21</v>
      </c>
      <c r="BG152" s="6">
        <v>12</v>
      </c>
      <c r="BH152" s="1">
        <v>1</v>
      </c>
      <c r="BI152" s="6">
        <v>10</v>
      </c>
      <c r="BJ152" s="1" t="s">
        <v>22</v>
      </c>
      <c r="BK152" s="1" t="s">
        <v>22</v>
      </c>
      <c r="BL152" s="1" t="s">
        <v>22</v>
      </c>
      <c r="BM152" s="1" t="s">
        <v>22</v>
      </c>
      <c r="BN152" t="s">
        <v>24</v>
      </c>
      <c r="BO152">
        <v>1999</v>
      </c>
    </row>
    <row r="153" spans="1:67" x14ac:dyDescent="0.3">
      <c r="A153" s="4">
        <f>INT(Tabela1[[#This Row],[Data e Hora]])</f>
        <v>46260</v>
      </c>
      <c r="B153" s="4" t="str">
        <f>UPPER(TEXT(Tabela1[[#This Row],[Data Corrigida]],"MMM"))</f>
        <v>AGO</v>
      </c>
      <c r="C153" t="s">
        <v>485</v>
      </c>
      <c r="D153" t="s">
        <v>486</v>
      </c>
      <c r="E153" t="s">
        <v>484</v>
      </c>
      <c r="F153" t="s">
        <v>19</v>
      </c>
      <c r="G153" s="5" t="s">
        <v>476</v>
      </c>
      <c r="H153" t="s">
        <v>20</v>
      </c>
      <c r="I153" t="s">
        <v>21</v>
      </c>
      <c r="J153" s="1">
        <v>150</v>
      </c>
      <c r="K153" s="1">
        <v>3217</v>
      </c>
      <c r="L153" t="s">
        <v>23</v>
      </c>
      <c r="M153" s="1">
        <v>19</v>
      </c>
      <c r="N153" s="48">
        <v>19</v>
      </c>
      <c r="O153" s="1">
        <v>5</v>
      </c>
      <c r="P153" s="48">
        <v>5</v>
      </c>
      <c r="Q153" s="1">
        <v>0</v>
      </c>
      <c r="R153" s="1">
        <v>0</v>
      </c>
      <c r="S153" s="1">
        <v>4</v>
      </c>
      <c r="T153" s="1">
        <v>4</v>
      </c>
      <c r="U153" s="1">
        <v>1</v>
      </c>
      <c r="V153" s="1">
        <v>1</v>
      </c>
      <c r="W153" s="1">
        <v>0</v>
      </c>
      <c r="X153" s="1">
        <v>0</v>
      </c>
      <c r="Y153" s="1">
        <v>2</v>
      </c>
      <c r="Z153" s="3">
        <v>0.66666666666666674</v>
      </c>
      <c r="AA153" s="1">
        <v>8</v>
      </c>
      <c r="AB153" s="3">
        <v>5.3333333333333339</v>
      </c>
      <c r="AC153" s="1">
        <v>0</v>
      </c>
      <c r="AD153" s="3">
        <v>0</v>
      </c>
      <c r="AE153" s="1">
        <v>0</v>
      </c>
      <c r="AF153" s="3">
        <v>0</v>
      </c>
      <c r="AG153" s="1">
        <v>3</v>
      </c>
      <c r="AH153" s="3">
        <v>2</v>
      </c>
      <c r="AI153" s="1" t="s">
        <v>22</v>
      </c>
      <c r="AJ153" s="1">
        <v>1</v>
      </c>
      <c r="AK153" s="3">
        <v>0.66666666666666674</v>
      </c>
      <c r="AL153" s="1">
        <v>1</v>
      </c>
      <c r="AM153" s="3">
        <v>0.66666666666666674</v>
      </c>
      <c r="AN153" s="1" t="s">
        <v>22</v>
      </c>
      <c r="AO153" s="1">
        <v>5</v>
      </c>
      <c r="AP153" s="3">
        <v>3.3333333333333335</v>
      </c>
      <c r="AQ153" s="3"/>
      <c r="AR153" s="3"/>
      <c r="AS153" s="1">
        <v>4</v>
      </c>
      <c r="AT153" s="3">
        <v>2.666666666666667</v>
      </c>
      <c r="AU153" s="1">
        <v>1</v>
      </c>
      <c r="AV153" s="3">
        <v>0.66666666666666674</v>
      </c>
      <c r="AW153" s="1" t="s">
        <v>22</v>
      </c>
      <c r="AX153" s="1">
        <v>17</v>
      </c>
      <c r="AY153" s="1">
        <v>0</v>
      </c>
      <c r="AZ153" s="1">
        <v>0</v>
      </c>
      <c r="BA153" s="1">
        <v>34</v>
      </c>
      <c r="BB153" s="1">
        <v>0</v>
      </c>
      <c r="BC153" s="1">
        <v>0</v>
      </c>
      <c r="BD153" s="1">
        <v>1</v>
      </c>
      <c r="BE153" s="54">
        <v>0.66666666666666674</v>
      </c>
      <c r="BF153" s="6">
        <v>19</v>
      </c>
      <c r="BG153" s="6">
        <v>14</v>
      </c>
      <c r="BH153" s="1">
        <v>1</v>
      </c>
      <c r="BI153" s="6">
        <v>10</v>
      </c>
      <c r="BJ153" s="1" t="s">
        <v>22</v>
      </c>
      <c r="BK153" s="1" t="s">
        <v>22</v>
      </c>
      <c r="BL153" s="1" t="s">
        <v>22</v>
      </c>
      <c r="BM153" s="1" t="s">
        <v>22</v>
      </c>
      <c r="BN153" t="s">
        <v>24</v>
      </c>
      <c r="BO153">
        <v>1396</v>
      </c>
    </row>
    <row r="154" spans="1:67" x14ac:dyDescent="0.3">
      <c r="A154" s="4">
        <f>INT(Tabela1[[#This Row],[Data e Hora]])</f>
        <v>46260</v>
      </c>
      <c r="B154" s="4" t="str">
        <f>UPPER(TEXT(Tabela1[[#This Row],[Data Corrigida]],"MMM"))</f>
        <v>AGO</v>
      </c>
      <c r="C154" t="s">
        <v>487</v>
      </c>
      <c r="D154" t="s">
        <v>488</v>
      </c>
      <c r="E154" t="s">
        <v>484</v>
      </c>
      <c r="F154" t="s">
        <v>19</v>
      </c>
      <c r="G154" s="5" t="s">
        <v>476</v>
      </c>
      <c r="H154" t="s">
        <v>20</v>
      </c>
      <c r="I154" t="s">
        <v>21</v>
      </c>
      <c r="J154" s="1">
        <v>150</v>
      </c>
      <c r="K154" s="1">
        <v>2641</v>
      </c>
      <c r="L154" t="s">
        <v>23</v>
      </c>
      <c r="M154" s="1">
        <v>29</v>
      </c>
      <c r="N154" s="48">
        <v>28.999999999999996</v>
      </c>
      <c r="O154" s="1">
        <v>14</v>
      </c>
      <c r="P154" s="48">
        <v>14.000000000000002</v>
      </c>
      <c r="Q154" s="1">
        <v>0</v>
      </c>
      <c r="R154" s="1">
        <v>0</v>
      </c>
      <c r="S154" s="1">
        <v>1</v>
      </c>
      <c r="T154" s="1">
        <v>1</v>
      </c>
      <c r="U154" s="1">
        <v>0</v>
      </c>
      <c r="V154" s="1">
        <v>0</v>
      </c>
      <c r="W154" s="1">
        <v>0</v>
      </c>
      <c r="X154" s="1">
        <v>0</v>
      </c>
      <c r="Y154" s="1">
        <v>1</v>
      </c>
      <c r="Z154" s="3">
        <v>0.33333333333333337</v>
      </c>
      <c r="AA154" s="1">
        <v>31</v>
      </c>
      <c r="AB154" s="3">
        <v>20.666666666666668</v>
      </c>
      <c r="AC154" s="1">
        <v>0</v>
      </c>
      <c r="AD154" s="3">
        <v>0</v>
      </c>
      <c r="AE154" s="1">
        <v>4</v>
      </c>
      <c r="AF154" s="3">
        <v>2.666666666666667</v>
      </c>
      <c r="AG154" s="1">
        <v>8</v>
      </c>
      <c r="AH154" s="3">
        <v>5.3333333333333339</v>
      </c>
      <c r="AI154" s="1" t="s">
        <v>22</v>
      </c>
      <c r="AJ154" s="1">
        <v>1</v>
      </c>
      <c r="AK154" s="3">
        <v>0.66666666666666674</v>
      </c>
      <c r="AL154" s="1">
        <v>1</v>
      </c>
      <c r="AM154" s="3">
        <v>0.66666666666666674</v>
      </c>
      <c r="AN154" s="1" t="s">
        <v>22</v>
      </c>
      <c r="AO154" s="1">
        <v>7</v>
      </c>
      <c r="AP154" s="3">
        <v>4.666666666666667</v>
      </c>
      <c r="AQ154" s="3"/>
      <c r="AR154" s="3"/>
      <c r="AS154" s="1">
        <v>8</v>
      </c>
      <c r="AT154" s="3">
        <v>5.3333333333333339</v>
      </c>
      <c r="AU154" s="1">
        <v>1</v>
      </c>
      <c r="AV154" s="3">
        <v>0.66666666666666674</v>
      </c>
      <c r="AW154" s="1" t="s">
        <v>22</v>
      </c>
      <c r="AX154" s="1">
        <v>18</v>
      </c>
      <c r="AY154" s="1">
        <v>0</v>
      </c>
      <c r="AZ154" s="1">
        <v>0</v>
      </c>
      <c r="BA154" s="1">
        <v>36</v>
      </c>
      <c r="BB154" s="1">
        <v>0</v>
      </c>
      <c r="BC154" s="1">
        <v>0</v>
      </c>
      <c r="BD154" s="1">
        <v>1</v>
      </c>
      <c r="BE154" s="54">
        <v>0.66666666666666674</v>
      </c>
      <c r="BF154" s="6">
        <v>28</v>
      </c>
      <c r="BG154" s="6">
        <v>14</v>
      </c>
      <c r="BH154" s="1">
        <v>1</v>
      </c>
      <c r="BI154" s="6">
        <v>10</v>
      </c>
      <c r="BJ154" s="1" t="s">
        <v>22</v>
      </c>
      <c r="BK154" s="1" t="s">
        <v>22</v>
      </c>
      <c r="BL154" s="1" t="s">
        <v>22</v>
      </c>
      <c r="BM154" s="1" t="s">
        <v>22</v>
      </c>
      <c r="BN154" t="s">
        <v>24</v>
      </c>
      <c r="BO154">
        <v>1577</v>
      </c>
    </row>
    <row r="155" spans="1:67" x14ac:dyDescent="0.3">
      <c r="A155" s="4">
        <f>INT(Tabela1[[#This Row],[Data e Hora]])</f>
        <v>46260</v>
      </c>
      <c r="B155" s="4" t="str">
        <f>UPPER(TEXT(Tabela1[[#This Row],[Data Corrigida]],"MMM"))</f>
        <v>AGO</v>
      </c>
      <c r="C155" t="s">
        <v>489</v>
      </c>
      <c r="D155" t="s">
        <v>490</v>
      </c>
      <c r="E155" t="s">
        <v>491</v>
      </c>
      <c r="F155" t="s">
        <v>19</v>
      </c>
      <c r="G155" s="5" t="s">
        <v>476</v>
      </c>
      <c r="H155" t="s">
        <v>20</v>
      </c>
      <c r="I155" t="s">
        <v>21</v>
      </c>
      <c r="J155" s="1">
        <v>150</v>
      </c>
      <c r="K155" s="1">
        <v>2679</v>
      </c>
      <c r="L155" t="s">
        <v>23</v>
      </c>
      <c r="M155" s="1">
        <v>21</v>
      </c>
      <c r="N155" s="48">
        <v>21</v>
      </c>
      <c r="O155" s="1">
        <v>6</v>
      </c>
      <c r="P155" s="48">
        <v>6</v>
      </c>
      <c r="Q155" s="1">
        <v>0</v>
      </c>
      <c r="R155" s="1">
        <v>0</v>
      </c>
      <c r="S155" s="1">
        <v>1</v>
      </c>
      <c r="T155" s="1">
        <v>1</v>
      </c>
      <c r="U155" s="1">
        <v>1</v>
      </c>
      <c r="V155" s="1">
        <v>1</v>
      </c>
      <c r="W155" s="1">
        <v>0</v>
      </c>
      <c r="X155" s="1">
        <v>0</v>
      </c>
      <c r="Y155" s="1">
        <v>0</v>
      </c>
      <c r="Z155" s="3">
        <v>0</v>
      </c>
      <c r="AA155" s="1">
        <v>35</v>
      </c>
      <c r="AB155" s="3">
        <v>23.333333333333332</v>
      </c>
      <c r="AC155" s="1">
        <v>0</v>
      </c>
      <c r="AD155" s="3">
        <v>0</v>
      </c>
      <c r="AE155" s="1">
        <v>3</v>
      </c>
      <c r="AF155" s="3">
        <v>2</v>
      </c>
      <c r="AG155" s="1">
        <v>10</v>
      </c>
      <c r="AH155" s="3">
        <v>6.666666666666667</v>
      </c>
      <c r="AI155" s="1" t="s">
        <v>22</v>
      </c>
      <c r="AJ155" s="1">
        <v>1</v>
      </c>
      <c r="AK155" s="3">
        <v>0.66666666666666674</v>
      </c>
      <c r="AL155" s="1">
        <v>2</v>
      </c>
      <c r="AM155" s="3">
        <v>1.3333333333333335</v>
      </c>
      <c r="AN155" s="1" t="s">
        <v>22</v>
      </c>
      <c r="AO155" s="1">
        <v>9</v>
      </c>
      <c r="AP155" s="3">
        <v>6</v>
      </c>
      <c r="AQ155" s="3"/>
      <c r="AR155" s="3"/>
      <c r="AS155" s="1">
        <v>5</v>
      </c>
      <c r="AT155" s="3">
        <v>3.3333333333333335</v>
      </c>
      <c r="AU155" s="1">
        <v>1</v>
      </c>
      <c r="AV155" s="3">
        <v>0.66666666666666674</v>
      </c>
      <c r="AW155" s="1" t="s">
        <v>22</v>
      </c>
      <c r="AX155" s="1">
        <v>16</v>
      </c>
      <c r="AY155" s="1">
        <v>0</v>
      </c>
      <c r="AZ155" s="1">
        <v>0</v>
      </c>
      <c r="BA155" s="1">
        <v>32</v>
      </c>
      <c r="BB155" s="1">
        <v>0</v>
      </c>
      <c r="BC155" s="1">
        <v>0</v>
      </c>
      <c r="BD155" s="1">
        <v>1</v>
      </c>
      <c r="BE155" s="54">
        <v>0.66666666666666674</v>
      </c>
      <c r="BF155" s="6">
        <v>21</v>
      </c>
      <c r="BG155" s="6">
        <v>19</v>
      </c>
      <c r="BH155" s="1">
        <v>1</v>
      </c>
      <c r="BI155" s="6">
        <v>10</v>
      </c>
      <c r="BJ155" s="1" t="s">
        <v>22</v>
      </c>
      <c r="BK155" s="1" t="s">
        <v>22</v>
      </c>
      <c r="BL155" s="1" t="s">
        <v>22</v>
      </c>
      <c r="BM155" s="1" t="s">
        <v>22</v>
      </c>
      <c r="BN155" t="s">
        <v>24</v>
      </c>
      <c r="BO155">
        <v>2241</v>
      </c>
    </row>
    <row r="156" spans="1:67" x14ac:dyDescent="0.3">
      <c r="A156" s="4">
        <f>INT(Tabela1[[#This Row],[Data e Hora]])</f>
        <v>46261</v>
      </c>
      <c r="B156" s="4" t="str">
        <f>UPPER(TEXT(Tabela1[[#This Row],[Data Corrigida]],"MMM"))</f>
        <v>AGO</v>
      </c>
      <c r="C156" t="s">
        <v>492</v>
      </c>
      <c r="D156" t="s">
        <v>493</v>
      </c>
      <c r="E156" t="s">
        <v>494</v>
      </c>
      <c r="F156" t="s">
        <v>19</v>
      </c>
      <c r="G156" s="5" t="s">
        <v>495</v>
      </c>
      <c r="H156" t="s">
        <v>20</v>
      </c>
      <c r="I156" t="s">
        <v>33</v>
      </c>
      <c r="J156" s="1">
        <v>161</v>
      </c>
      <c r="K156" s="1">
        <v>2616</v>
      </c>
      <c r="L156" t="s">
        <v>34</v>
      </c>
      <c r="M156" s="1">
        <v>20</v>
      </c>
      <c r="N156" s="48">
        <v>20</v>
      </c>
      <c r="O156" s="1">
        <v>14</v>
      </c>
      <c r="P156" s="48">
        <v>14.000000000000002</v>
      </c>
      <c r="Q156" s="1">
        <v>0</v>
      </c>
      <c r="R156" s="1">
        <v>0</v>
      </c>
      <c r="S156" s="1">
        <v>1</v>
      </c>
      <c r="T156" s="1">
        <v>1</v>
      </c>
      <c r="U156" s="1">
        <v>0</v>
      </c>
      <c r="V156" s="1">
        <v>0</v>
      </c>
      <c r="W156" s="1">
        <v>0</v>
      </c>
      <c r="X156" s="1">
        <v>0</v>
      </c>
      <c r="Y156" s="1">
        <v>7</v>
      </c>
      <c r="Z156" s="3">
        <v>2.1739130434782608</v>
      </c>
      <c r="AA156" s="1">
        <v>5</v>
      </c>
      <c r="AB156" s="3">
        <v>3.1055900621118013</v>
      </c>
      <c r="AC156" s="1">
        <v>0</v>
      </c>
      <c r="AD156" s="3">
        <v>0</v>
      </c>
      <c r="AE156" s="1">
        <v>1</v>
      </c>
      <c r="AF156" s="3">
        <v>0.6211180124223602</v>
      </c>
      <c r="AG156" s="1">
        <v>2</v>
      </c>
      <c r="AH156" s="3">
        <v>1.2422360248447204</v>
      </c>
      <c r="AI156" s="1" t="s">
        <v>22</v>
      </c>
      <c r="AJ156" s="1">
        <v>0</v>
      </c>
      <c r="AK156" s="3">
        <v>0</v>
      </c>
      <c r="AL156" s="1">
        <v>0</v>
      </c>
      <c r="AM156" s="3">
        <v>0</v>
      </c>
      <c r="AN156" s="1" t="s">
        <v>22</v>
      </c>
      <c r="AO156" s="1">
        <v>5</v>
      </c>
      <c r="AP156" s="3">
        <v>3.1055900621118013</v>
      </c>
      <c r="AQ156" s="3"/>
      <c r="AR156" s="3"/>
      <c r="AS156" s="1">
        <v>4</v>
      </c>
      <c r="AT156" s="3">
        <v>2.4844720496894408</v>
      </c>
      <c r="AU156" s="1">
        <v>0</v>
      </c>
      <c r="AV156" s="3">
        <v>0</v>
      </c>
      <c r="AW156" s="1" t="s">
        <v>22</v>
      </c>
      <c r="AX156" s="1">
        <v>7</v>
      </c>
      <c r="AY156" s="1">
        <v>0</v>
      </c>
      <c r="AZ156" s="1">
        <v>0</v>
      </c>
      <c r="BA156" s="1">
        <v>14</v>
      </c>
      <c r="BB156" s="1">
        <v>0</v>
      </c>
      <c r="BC156" s="1">
        <v>0</v>
      </c>
      <c r="BD156" s="1">
        <v>0</v>
      </c>
      <c r="BE156" s="54">
        <v>0</v>
      </c>
      <c r="BF156" s="6">
        <v>4</v>
      </c>
      <c r="BG156" s="6">
        <v>2</v>
      </c>
      <c r="BH156" s="1">
        <v>0</v>
      </c>
      <c r="BI156" s="6">
        <v>0</v>
      </c>
      <c r="BJ156" s="1" t="s">
        <v>22</v>
      </c>
      <c r="BK156" s="6">
        <v>0</v>
      </c>
      <c r="BL156" s="6">
        <v>0</v>
      </c>
      <c r="BM156" s="1">
        <v>0</v>
      </c>
      <c r="BN156" t="s">
        <v>24</v>
      </c>
      <c r="BO156">
        <v>1193</v>
      </c>
    </row>
    <row r="157" spans="1:67" x14ac:dyDescent="0.3">
      <c r="A157" s="4">
        <f>INT(Tabela1[[#This Row],[Data e Hora]])</f>
        <v>46261</v>
      </c>
      <c r="B157" s="4" t="str">
        <f>UPPER(TEXT(Tabela1[[#This Row],[Data Corrigida]],"MMM"))</f>
        <v>AGO</v>
      </c>
      <c r="C157" t="s">
        <v>496</v>
      </c>
      <c r="D157" t="s">
        <v>497</v>
      </c>
      <c r="E157" t="s">
        <v>494</v>
      </c>
      <c r="F157" t="s">
        <v>19</v>
      </c>
      <c r="G157" s="5" t="s">
        <v>495</v>
      </c>
      <c r="H157" t="s">
        <v>20</v>
      </c>
      <c r="I157" t="s">
        <v>33</v>
      </c>
      <c r="J157" s="1">
        <v>148</v>
      </c>
      <c r="K157" s="1">
        <v>2697</v>
      </c>
      <c r="L157" t="s">
        <v>34</v>
      </c>
      <c r="M157" s="1">
        <v>29</v>
      </c>
      <c r="N157" s="48">
        <v>28.999999999999996</v>
      </c>
      <c r="O157" s="1">
        <v>6</v>
      </c>
      <c r="P157" s="48">
        <v>6</v>
      </c>
      <c r="Q157" s="1">
        <v>0</v>
      </c>
      <c r="R157" s="1">
        <v>0</v>
      </c>
      <c r="S157" s="1">
        <v>0</v>
      </c>
      <c r="T157" s="1">
        <v>0</v>
      </c>
      <c r="U157" s="1">
        <v>1</v>
      </c>
      <c r="V157" s="1">
        <v>1</v>
      </c>
      <c r="W157" s="1">
        <v>0</v>
      </c>
      <c r="X157" s="1">
        <v>0</v>
      </c>
      <c r="Y157" s="1">
        <v>5</v>
      </c>
      <c r="Z157" s="3">
        <v>1.6891891891891893</v>
      </c>
      <c r="AA157" s="1">
        <v>7</v>
      </c>
      <c r="AB157" s="3">
        <v>4.7297297297297298</v>
      </c>
      <c r="AC157" s="1">
        <v>0</v>
      </c>
      <c r="AD157" s="3">
        <v>0</v>
      </c>
      <c r="AE157" s="1">
        <v>5</v>
      </c>
      <c r="AF157" s="3">
        <v>3.3783783783783785</v>
      </c>
      <c r="AG157" s="1">
        <v>3</v>
      </c>
      <c r="AH157" s="3">
        <v>2.0270270270270272</v>
      </c>
      <c r="AI157" s="1" t="s">
        <v>22</v>
      </c>
      <c r="AJ157" s="1">
        <v>0</v>
      </c>
      <c r="AK157" s="3">
        <v>0</v>
      </c>
      <c r="AL157" s="1">
        <v>0</v>
      </c>
      <c r="AM157" s="3">
        <v>0</v>
      </c>
      <c r="AN157" s="1" t="s">
        <v>22</v>
      </c>
      <c r="AO157" s="1">
        <v>4</v>
      </c>
      <c r="AP157" s="3">
        <v>2.7027027027027026</v>
      </c>
      <c r="AQ157" s="3"/>
      <c r="AR157" s="3"/>
      <c r="AS157" s="1">
        <v>3</v>
      </c>
      <c r="AT157" s="3">
        <v>2.0270270270270272</v>
      </c>
      <c r="AU157" s="1">
        <v>2</v>
      </c>
      <c r="AV157" s="3">
        <v>1.3513513513513513</v>
      </c>
      <c r="AW157" s="1" t="s">
        <v>22</v>
      </c>
      <c r="AX157" s="1">
        <v>6</v>
      </c>
      <c r="AY157" s="1">
        <v>0</v>
      </c>
      <c r="AZ157" s="1">
        <v>0</v>
      </c>
      <c r="BA157" s="1">
        <v>12</v>
      </c>
      <c r="BB157" s="1">
        <v>0</v>
      </c>
      <c r="BC157" s="1">
        <v>0</v>
      </c>
      <c r="BD157" s="1">
        <v>0</v>
      </c>
      <c r="BE157" s="54">
        <v>0</v>
      </c>
      <c r="BF157" s="6">
        <v>3</v>
      </c>
      <c r="BG157" s="6">
        <v>1</v>
      </c>
      <c r="BH157" s="1">
        <v>0</v>
      </c>
      <c r="BI157" s="6">
        <v>0</v>
      </c>
      <c r="BJ157" s="1" t="s">
        <v>22</v>
      </c>
      <c r="BK157" s="6">
        <v>2</v>
      </c>
      <c r="BL157" s="6">
        <v>0</v>
      </c>
      <c r="BM157" s="1">
        <v>0</v>
      </c>
      <c r="BN157" t="s">
        <v>24</v>
      </c>
      <c r="BO157">
        <v>7198</v>
      </c>
    </row>
    <row r="158" spans="1:67" x14ac:dyDescent="0.3">
      <c r="A158" s="4">
        <f>INT(Tabela1[[#This Row],[Data e Hora]])</f>
        <v>46261</v>
      </c>
      <c r="B158" s="4" t="str">
        <f>UPPER(TEXT(Tabela1[[#This Row],[Data Corrigida]],"MMM"))</f>
        <v>AGO</v>
      </c>
      <c r="C158" t="s">
        <v>498</v>
      </c>
      <c r="D158" t="s">
        <v>499</v>
      </c>
      <c r="E158" t="s">
        <v>500</v>
      </c>
      <c r="F158" t="s">
        <v>19</v>
      </c>
      <c r="G158" s="5" t="s">
        <v>495</v>
      </c>
      <c r="H158" t="s">
        <v>20</v>
      </c>
      <c r="I158" t="s">
        <v>33</v>
      </c>
      <c r="J158" s="1">
        <v>138</v>
      </c>
      <c r="K158" s="1">
        <v>2734</v>
      </c>
      <c r="L158" t="s">
        <v>34</v>
      </c>
      <c r="M158" s="1">
        <v>26</v>
      </c>
      <c r="N158" s="48">
        <v>26</v>
      </c>
      <c r="O158" s="1">
        <v>7</v>
      </c>
      <c r="P158" s="48">
        <v>7.0000000000000009</v>
      </c>
      <c r="Q158" s="1">
        <v>0</v>
      </c>
      <c r="R158" s="1">
        <v>0</v>
      </c>
      <c r="S158" s="1">
        <v>1</v>
      </c>
      <c r="T158" s="1">
        <v>1</v>
      </c>
      <c r="U158" s="1">
        <v>3</v>
      </c>
      <c r="V158" s="1">
        <v>3</v>
      </c>
      <c r="W158" s="1">
        <v>1</v>
      </c>
      <c r="X158" s="1">
        <v>5</v>
      </c>
      <c r="Y158" s="1">
        <v>3</v>
      </c>
      <c r="Z158" s="3">
        <v>1.0869565217391304</v>
      </c>
      <c r="AA158" s="1">
        <v>8</v>
      </c>
      <c r="AB158" s="3">
        <v>5.7971014492753623</v>
      </c>
      <c r="AC158" s="1">
        <v>1</v>
      </c>
      <c r="AD158" s="3">
        <v>0.72463768115942029</v>
      </c>
      <c r="AE158" s="1">
        <v>0</v>
      </c>
      <c r="AF158" s="3">
        <v>0</v>
      </c>
      <c r="AG158" s="1">
        <v>2</v>
      </c>
      <c r="AH158" s="3">
        <v>1.4492753623188406</v>
      </c>
      <c r="AI158" s="1" t="s">
        <v>22</v>
      </c>
      <c r="AJ158" s="1">
        <v>0</v>
      </c>
      <c r="AK158" s="3">
        <v>0</v>
      </c>
      <c r="AL158" s="1">
        <v>0</v>
      </c>
      <c r="AM158" s="3">
        <v>0</v>
      </c>
      <c r="AN158" s="1" t="s">
        <v>22</v>
      </c>
      <c r="AO158" s="1">
        <v>5</v>
      </c>
      <c r="AP158" s="3">
        <v>3.6231884057971016</v>
      </c>
      <c r="AQ158" s="3"/>
      <c r="AR158" s="3"/>
      <c r="AS158" s="1">
        <v>3</v>
      </c>
      <c r="AT158" s="3">
        <v>2.1739130434782608</v>
      </c>
      <c r="AU158" s="1">
        <v>0</v>
      </c>
      <c r="AV158" s="3">
        <v>0</v>
      </c>
      <c r="AW158" s="1" t="s">
        <v>22</v>
      </c>
      <c r="AX158" s="1">
        <v>6</v>
      </c>
      <c r="AY158" s="1">
        <v>0</v>
      </c>
      <c r="AZ158" s="1">
        <v>0</v>
      </c>
      <c r="BA158" s="1">
        <v>12</v>
      </c>
      <c r="BB158" s="1">
        <v>0</v>
      </c>
      <c r="BC158" s="1">
        <v>0</v>
      </c>
      <c r="BD158" s="1">
        <v>1</v>
      </c>
      <c r="BE158" s="54">
        <v>0.72463768115942029</v>
      </c>
      <c r="BF158" s="6">
        <v>3</v>
      </c>
      <c r="BG158" s="6">
        <v>1</v>
      </c>
      <c r="BH158" s="1">
        <v>0</v>
      </c>
      <c r="BI158" s="6">
        <v>0</v>
      </c>
      <c r="BJ158" s="1" t="s">
        <v>22</v>
      </c>
      <c r="BK158" s="6">
        <v>4</v>
      </c>
      <c r="BL158" s="6">
        <v>0</v>
      </c>
      <c r="BM158" s="1">
        <v>0</v>
      </c>
      <c r="BN158" t="s">
        <v>24</v>
      </c>
      <c r="BO158">
        <v>10019</v>
      </c>
    </row>
    <row r="159" spans="1:67" x14ac:dyDescent="0.3">
      <c r="A159" s="4">
        <f>INT(Tabela1[[#This Row],[Data e Hora]])</f>
        <v>46261</v>
      </c>
      <c r="B159" s="4" t="str">
        <f>UPPER(TEXT(Tabela1[[#This Row],[Data Corrigida]],"MMM"))</f>
        <v>AGO</v>
      </c>
      <c r="C159" t="s">
        <v>501</v>
      </c>
      <c r="D159" t="s">
        <v>502</v>
      </c>
      <c r="E159" t="s">
        <v>503</v>
      </c>
      <c r="F159" t="s">
        <v>19</v>
      </c>
      <c r="G159" s="5" t="s">
        <v>495</v>
      </c>
      <c r="H159" t="s">
        <v>20</v>
      </c>
      <c r="I159" t="s">
        <v>21</v>
      </c>
      <c r="J159" s="1">
        <v>150</v>
      </c>
      <c r="K159" s="1">
        <v>3071</v>
      </c>
      <c r="L159" t="s">
        <v>23</v>
      </c>
      <c r="M159" s="1">
        <v>44</v>
      </c>
      <c r="N159" s="48">
        <v>44</v>
      </c>
      <c r="O159" s="1">
        <v>27</v>
      </c>
      <c r="P159" s="48">
        <v>27</v>
      </c>
      <c r="Q159" s="1">
        <v>0</v>
      </c>
      <c r="R159" s="1">
        <v>0</v>
      </c>
      <c r="S159" s="1">
        <v>2</v>
      </c>
      <c r="T159" s="1">
        <v>2</v>
      </c>
      <c r="U159" s="1">
        <v>1</v>
      </c>
      <c r="V159" s="1">
        <v>1</v>
      </c>
      <c r="W159" s="1">
        <v>0</v>
      </c>
      <c r="X159" s="1">
        <v>0</v>
      </c>
      <c r="Y159" s="1">
        <v>2</v>
      </c>
      <c r="Z159" s="3">
        <v>0.66666666666666674</v>
      </c>
      <c r="AA159" s="1">
        <v>9</v>
      </c>
      <c r="AB159" s="3">
        <v>6</v>
      </c>
      <c r="AC159" s="1">
        <v>0</v>
      </c>
      <c r="AD159" s="3">
        <v>0</v>
      </c>
      <c r="AE159" s="1">
        <v>1</v>
      </c>
      <c r="AF159" s="3">
        <v>0.66666666666666674</v>
      </c>
      <c r="AG159" s="1">
        <v>6</v>
      </c>
      <c r="AH159" s="3">
        <v>4</v>
      </c>
      <c r="AI159" s="1" t="s">
        <v>22</v>
      </c>
      <c r="AJ159" s="1">
        <v>2</v>
      </c>
      <c r="AK159" s="3">
        <v>1.3333333333333335</v>
      </c>
      <c r="AL159" s="1">
        <v>2</v>
      </c>
      <c r="AM159" s="3">
        <v>1.3333333333333335</v>
      </c>
      <c r="AN159" s="1" t="s">
        <v>22</v>
      </c>
      <c r="AO159" s="1">
        <v>5</v>
      </c>
      <c r="AP159" s="3">
        <v>3.3333333333333335</v>
      </c>
      <c r="AQ159" s="3"/>
      <c r="AR159" s="3"/>
      <c r="AS159" s="1">
        <v>5</v>
      </c>
      <c r="AT159" s="3">
        <v>3.3333333333333335</v>
      </c>
      <c r="AU159" s="1">
        <v>0</v>
      </c>
      <c r="AV159" s="3">
        <v>0</v>
      </c>
      <c r="AW159" s="1" t="s">
        <v>22</v>
      </c>
      <c r="AX159" s="1">
        <v>16</v>
      </c>
      <c r="AY159" s="1">
        <v>0</v>
      </c>
      <c r="AZ159" s="1">
        <v>0</v>
      </c>
      <c r="BA159" s="1">
        <v>32</v>
      </c>
      <c r="BB159" s="1">
        <v>0</v>
      </c>
      <c r="BC159" s="1">
        <v>0</v>
      </c>
      <c r="BD159" s="1">
        <v>1</v>
      </c>
      <c r="BE159" s="54">
        <v>0.66666666666666674</v>
      </c>
      <c r="BF159" s="6">
        <v>26</v>
      </c>
      <c r="BG159" s="6">
        <v>13</v>
      </c>
      <c r="BH159" s="1">
        <v>1</v>
      </c>
      <c r="BI159" s="6">
        <v>10</v>
      </c>
      <c r="BJ159" s="1" t="s">
        <v>22</v>
      </c>
      <c r="BK159" s="1" t="s">
        <v>22</v>
      </c>
      <c r="BL159" s="1" t="s">
        <v>22</v>
      </c>
      <c r="BM159" s="1" t="s">
        <v>22</v>
      </c>
      <c r="BN159" t="s">
        <v>24</v>
      </c>
      <c r="BO159">
        <v>1490</v>
      </c>
    </row>
    <row r="160" spans="1:67" x14ac:dyDescent="0.3">
      <c r="A160" s="4">
        <f>INT(Tabela1[[#This Row],[Data e Hora]])</f>
        <v>46261</v>
      </c>
      <c r="B160" s="4" t="str">
        <f>UPPER(TEXT(Tabela1[[#This Row],[Data Corrigida]],"MMM"))</f>
        <v>AGO</v>
      </c>
      <c r="C160" t="s">
        <v>504</v>
      </c>
      <c r="D160" t="s">
        <v>505</v>
      </c>
      <c r="E160" t="s">
        <v>503</v>
      </c>
      <c r="F160" t="s">
        <v>19</v>
      </c>
      <c r="G160" s="5" t="s">
        <v>495</v>
      </c>
      <c r="H160" t="s">
        <v>20</v>
      </c>
      <c r="I160" t="s">
        <v>21</v>
      </c>
      <c r="J160" s="1">
        <v>153</v>
      </c>
      <c r="K160" s="1">
        <v>3066</v>
      </c>
      <c r="L160" t="s">
        <v>23</v>
      </c>
      <c r="M160" s="1">
        <v>25</v>
      </c>
      <c r="N160" s="48">
        <v>25</v>
      </c>
      <c r="O160" s="1">
        <v>7</v>
      </c>
      <c r="P160" s="48">
        <v>7.0000000000000009</v>
      </c>
      <c r="Q160" s="1">
        <v>0</v>
      </c>
      <c r="R160" s="1">
        <v>0</v>
      </c>
      <c r="S160" s="1">
        <v>2</v>
      </c>
      <c r="T160" s="1">
        <v>2</v>
      </c>
      <c r="U160" s="1">
        <v>1</v>
      </c>
      <c r="V160" s="1">
        <v>1</v>
      </c>
      <c r="W160" s="1">
        <v>0</v>
      </c>
      <c r="X160" s="1">
        <v>0</v>
      </c>
      <c r="Y160" s="1">
        <v>4</v>
      </c>
      <c r="Z160" s="3">
        <v>1.3071895424836601</v>
      </c>
      <c r="AA160" s="1">
        <v>12</v>
      </c>
      <c r="AB160" s="3">
        <v>7.8431372549019605</v>
      </c>
      <c r="AC160" s="1">
        <v>0</v>
      </c>
      <c r="AD160" s="3">
        <v>0</v>
      </c>
      <c r="AE160" s="1">
        <v>1</v>
      </c>
      <c r="AF160" s="3">
        <v>0.65359477124183007</v>
      </c>
      <c r="AG160" s="1">
        <v>6</v>
      </c>
      <c r="AH160" s="3">
        <v>3.9215686274509802</v>
      </c>
      <c r="AI160" s="1" t="s">
        <v>22</v>
      </c>
      <c r="AJ160" s="1">
        <v>3</v>
      </c>
      <c r="AK160" s="3">
        <v>1.9607843137254901</v>
      </c>
      <c r="AL160" s="1">
        <v>2</v>
      </c>
      <c r="AM160" s="3">
        <v>1.3071895424836601</v>
      </c>
      <c r="AN160" s="1" t="s">
        <v>22</v>
      </c>
      <c r="AO160" s="1">
        <v>6</v>
      </c>
      <c r="AP160" s="3">
        <v>3.9215686274509802</v>
      </c>
      <c r="AQ160" s="3"/>
      <c r="AR160" s="3"/>
      <c r="AS160" s="1">
        <v>5</v>
      </c>
      <c r="AT160" s="3">
        <v>3.2679738562091507</v>
      </c>
      <c r="AU160" s="1">
        <v>1</v>
      </c>
      <c r="AV160" s="3">
        <v>0.65359477124183007</v>
      </c>
      <c r="AW160" s="1" t="s">
        <v>22</v>
      </c>
      <c r="AX160" s="1">
        <v>14</v>
      </c>
      <c r="AY160" s="1">
        <v>0</v>
      </c>
      <c r="AZ160" s="1">
        <v>0</v>
      </c>
      <c r="BA160" s="1">
        <v>28</v>
      </c>
      <c r="BB160" s="1">
        <v>0</v>
      </c>
      <c r="BC160" s="1">
        <v>0</v>
      </c>
      <c r="BD160" s="1">
        <v>0</v>
      </c>
      <c r="BE160" s="54">
        <v>0</v>
      </c>
      <c r="BF160" s="6">
        <v>21</v>
      </c>
      <c r="BG160" s="6">
        <v>11</v>
      </c>
      <c r="BH160" s="1">
        <v>0</v>
      </c>
      <c r="BI160" s="6">
        <v>0</v>
      </c>
      <c r="BJ160" s="1" t="s">
        <v>22</v>
      </c>
      <c r="BK160" s="1" t="s">
        <v>22</v>
      </c>
      <c r="BL160" s="1" t="s">
        <v>22</v>
      </c>
      <c r="BM160" s="1" t="s">
        <v>22</v>
      </c>
      <c r="BN160" t="s">
        <v>22</v>
      </c>
      <c r="BO160">
        <v>1623</v>
      </c>
    </row>
    <row r="161" spans="1:67" x14ac:dyDescent="0.3">
      <c r="A161" s="4">
        <f>INT(Tabela1[[#This Row],[Data e Hora]])</f>
        <v>46261</v>
      </c>
      <c r="B161" s="4" t="str">
        <f>UPPER(TEXT(Tabela1[[#This Row],[Data Corrigida]],"MMM"))</f>
        <v>AGO</v>
      </c>
      <c r="C161" t="s">
        <v>506</v>
      </c>
      <c r="D161" t="s">
        <v>507</v>
      </c>
      <c r="E161" t="s">
        <v>508</v>
      </c>
      <c r="F161" t="s">
        <v>19</v>
      </c>
      <c r="G161" s="5" t="s">
        <v>495</v>
      </c>
      <c r="H161" t="s">
        <v>20</v>
      </c>
      <c r="I161" t="s">
        <v>21</v>
      </c>
      <c r="J161" s="1">
        <v>155</v>
      </c>
      <c r="K161" s="1">
        <v>2959</v>
      </c>
      <c r="L161" t="s">
        <v>23</v>
      </c>
      <c r="M161" s="1">
        <v>35</v>
      </c>
      <c r="N161" s="48">
        <v>35</v>
      </c>
      <c r="O161" s="1">
        <v>17</v>
      </c>
      <c r="P161" s="48">
        <v>17</v>
      </c>
      <c r="Q161" s="1">
        <v>0</v>
      </c>
      <c r="R161" s="1">
        <v>0</v>
      </c>
      <c r="S161" s="1">
        <v>1</v>
      </c>
      <c r="T161" s="1">
        <v>1</v>
      </c>
      <c r="U161" s="1">
        <v>1</v>
      </c>
      <c r="V161" s="1">
        <v>1</v>
      </c>
      <c r="W161" s="1">
        <v>0</v>
      </c>
      <c r="X161" s="1">
        <v>0</v>
      </c>
      <c r="Y161" s="1">
        <v>3</v>
      </c>
      <c r="Z161" s="3">
        <v>0.967741935483871</v>
      </c>
      <c r="AA161" s="1">
        <v>12</v>
      </c>
      <c r="AB161" s="3">
        <v>7.741935483870968</v>
      </c>
      <c r="AC161" s="1">
        <v>0</v>
      </c>
      <c r="AD161" s="3">
        <v>0</v>
      </c>
      <c r="AE161" s="1">
        <v>3</v>
      </c>
      <c r="AF161" s="3">
        <v>1.935483870967742</v>
      </c>
      <c r="AG161" s="1">
        <v>9</v>
      </c>
      <c r="AH161" s="3">
        <v>5.806451612903226</v>
      </c>
      <c r="AI161" s="1" t="s">
        <v>22</v>
      </c>
      <c r="AJ161" s="1">
        <v>3</v>
      </c>
      <c r="AK161" s="3">
        <v>1.935483870967742</v>
      </c>
      <c r="AL161" s="1">
        <v>2</v>
      </c>
      <c r="AM161" s="3">
        <v>1.2903225806451613</v>
      </c>
      <c r="AN161" s="1" t="s">
        <v>22</v>
      </c>
      <c r="AO161" s="1">
        <v>6</v>
      </c>
      <c r="AP161" s="3">
        <v>3.870967741935484</v>
      </c>
      <c r="AQ161" s="3"/>
      <c r="AR161" s="3"/>
      <c r="AS161" s="1">
        <v>5</v>
      </c>
      <c r="AT161" s="3">
        <v>3.225806451612903</v>
      </c>
      <c r="AU161" s="1">
        <v>1</v>
      </c>
      <c r="AV161" s="3">
        <v>0.64516129032258063</v>
      </c>
      <c r="AW161" s="1" t="s">
        <v>22</v>
      </c>
      <c r="AX161" s="1">
        <v>17</v>
      </c>
      <c r="AY161" s="1">
        <v>0</v>
      </c>
      <c r="AZ161" s="1">
        <v>0</v>
      </c>
      <c r="BA161" s="1">
        <v>34</v>
      </c>
      <c r="BB161" s="1">
        <v>0</v>
      </c>
      <c r="BC161" s="1">
        <v>0</v>
      </c>
      <c r="BD161" s="1">
        <v>1</v>
      </c>
      <c r="BE161" s="54">
        <v>0.64516129032258063</v>
      </c>
      <c r="BF161" s="6">
        <v>23</v>
      </c>
      <c r="BG161" s="6">
        <v>13</v>
      </c>
      <c r="BH161" s="1">
        <v>1</v>
      </c>
      <c r="BI161" s="6">
        <v>10</v>
      </c>
      <c r="BJ161" s="1" t="s">
        <v>22</v>
      </c>
      <c r="BK161" s="6">
        <v>0</v>
      </c>
      <c r="BL161" s="6">
        <v>0</v>
      </c>
      <c r="BM161" s="1">
        <v>2</v>
      </c>
      <c r="BN161" t="s">
        <v>24</v>
      </c>
      <c r="BO161">
        <v>1762</v>
      </c>
    </row>
    <row r="162" spans="1:67" x14ac:dyDescent="0.3">
      <c r="A162" s="4">
        <f>INT(Tabela1[[#This Row],[Data e Hora]])</f>
        <v>46261</v>
      </c>
      <c r="B162" s="4" t="str">
        <f>UPPER(TEXT(Tabela1[[#This Row],[Data Corrigida]],"MMM"))</f>
        <v>AGO</v>
      </c>
      <c r="C162" t="s">
        <v>509</v>
      </c>
      <c r="D162" t="s">
        <v>510</v>
      </c>
      <c r="E162" t="s">
        <v>508</v>
      </c>
      <c r="F162" t="s">
        <v>19</v>
      </c>
      <c r="G162" s="5" t="s">
        <v>495</v>
      </c>
      <c r="H162" t="s">
        <v>20</v>
      </c>
      <c r="I162" t="s">
        <v>21</v>
      </c>
      <c r="J162" s="1">
        <v>150</v>
      </c>
      <c r="K162" s="1">
        <v>2757</v>
      </c>
      <c r="L162" t="s">
        <v>23</v>
      </c>
      <c r="M162" s="1">
        <v>35</v>
      </c>
      <c r="N162" s="48">
        <v>35</v>
      </c>
      <c r="O162" s="1">
        <v>15</v>
      </c>
      <c r="P162" s="48">
        <v>15</v>
      </c>
      <c r="Q162" s="1">
        <v>0</v>
      </c>
      <c r="R162" s="1">
        <v>0</v>
      </c>
      <c r="S162" s="1">
        <v>1</v>
      </c>
      <c r="T162" s="1">
        <v>1</v>
      </c>
      <c r="U162" s="1">
        <v>0</v>
      </c>
      <c r="V162" s="1">
        <v>0</v>
      </c>
      <c r="W162" s="1">
        <v>0</v>
      </c>
      <c r="X162" s="1">
        <v>0</v>
      </c>
      <c r="Y162" s="1">
        <v>1</v>
      </c>
      <c r="Z162" s="3">
        <v>0.33333333333333337</v>
      </c>
      <c r="AA162" s="1">
        <v>9</v>
      </c>
      <c r="AB162" s="3">
        <v>6</v>
      </c>
      <c r="AC162" s="1">
        <v>0</v>
      </c>
      <c r="AD162" s="3">
        <v>0</v>
      </c>
      <c r="AE162" s="1">
        <v>2</v>
      </c>
      <c r="AF162" s="3">
        <v>1.3333333333333335</v>
      </c>
      <c r="AG162" s="1">
        <v>8</v>
      </c>
      <c r="AH162" s="3">
        <v>5.3333333333333339</v>
      </c>
      <c r="AI162" s="1" t="s">
        <v>22</v>
      </c>
      <c r="AJ162" s="1">
        <v>1</v>
      </c>
      <c r="AK162" s="3">
        <v>0.66666666666666674</v>
      </c>
      <c r="AL162" s="1">
        <v>1</v>
      </c>
      <c r="AM162" s="3">
        <v>0.66666666666666674</v>
      </c>
      <c r="AN162" s="1" t="s">
        <v>22</v>
      </c>
      <c r="AO162" s="1">
        <v>4</v>
      </c>
      <c r="AP162" s="3">
        <v>2.666666666666667</v>
      </c>
      <c r="AQ162" s="3"/>
      <c r="AR162" s="3"/>
      <c r="AS162" s="1">
        <v>6</v>
      </c>
      <c r="AT162" s="3">
        <v>4</v>
      </c>
      <c r="AU162" s="1">
        <v>1</v>
      </c>
      <c r="AV162" s="3">
        <v>0.66666666666666674</v>
      </c>
      <c r="AW162" s="1" t="s">
        <v>22</v>
      </c>
      <c r="AX162" s="1">
        <v>15</v>
      </c>
      <c r="AY162" s="1">
        <v>0</v>
      </c>
      <c r="AZ162" s="1">
        <v>0</v>
      </c>
      <c r="BA162" s="1">
        <v>30</v>
      </c>
      <c r="BB162" s="1">
        <v>0</v>
      </c>
      <c r="BC162" s="1">
        <v>0</v>
      </c>
      <c r="BD162" s="1">
        <v>0</v>
      </c>
      <c r="BE162" s="54">
        <v>0</v>
      </c>
      <c r="BF162" s="6">
        <v>25</v>
      </c>
      <c r="BG162" s="6">
        <v>10</v>
      </c>
      <c r="BH162" s="1">
        <v>1</v>
      </c>
      <c r="BI162" s="6">
        <v>10</v>
      </c>
      <c r="BJ162" s="1" t="s">
        <v>22</v>
      </c>
      <c r="BK162" s="1" t="s">
        <v>22</v>
      </c>
      <c r="BL162" s="1" t="s">
        <v>22</v>
      </c>
      <c r="BM162" s="1" t="s">
        <v>22</v>
      </c>
      <c r="BN162" t="s">
        <v>22</v>
      </c>
      <c r="BO162">
        <v>1687</v>
      </c>
    </row>
    <row r="163" spans="1:67" x14ac:dyDescent="0.3">
      <c r="A163" s="4">
        <f>INT(Tabela1[[#This Row],[Data e Hora]])</f>
        <v>46262</v>
      </c>
      <c r="B163" s="4" t="str">
        <f>UPPER(TEXT(Tabela1[[#This Row],[Data Corrigida]],"MMM"))</f>
        <v>AGO</v>
      </c>
      <c r="C163" t="s">
        <v>511</v>
      </c>
      <c r="D163" t="s">
        <v>512</v>
      </c>
      <c r="E163" t="s">
        <v>513</v>
      </c>
      <c r="F163" t="s">
        <v>19</v>
      </c>
      <c r="G163" s="5" t="s">
        <v>514</v>
      </c>
      <c r="H163" t="s">
        <v>20</v>
      </c>
      <c r="I163" t="s">
        <v>33</v>
      </c>
      <c r="J163" s="1">
        <v>161</v>
      </c>
      <c r="K163" s="1">
        <v>2761</v>
      </c>
      <c r="L163" t="s">
        <v>34</v>
      </c>
      <c r="M163" s="1">
        <v>20</v>
      </c>
      <c r="N163" s="48">
        <v>20</v>
      </c>
      <c r="O163" s="1">
        <v>15</v>
      </c>
      <c r="P163" s="48">
        <v>15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3</v>
      </c>
      <c r="Z163" s="3">
        <v>0.93167701863354035</v>
      </c>
      <c r="AA163" s="1">
        <v>3</v>
      </c>
      <c r="AB163" s="3">
        <v>1.8633540372670807</v>
      </c>
      <c r="AC163" s="1">
        <v>0</v>
      </c>
      <c r="AD163" s="3">
        <v>0</v>
      </c>
      <c r="AE163" s="1">
        <v>2</v>
      </c>
      <c r="AF163" s="3">
        <v>1.2422360248447204</v>
      </c>
      <c r="AG163" s="1">
        <v>3</v>
      </c>
      <c r="AH163" s="3">
        <v>1.8633540372670807</v>
      </c>
      <c r="AI163" s="1" t="s">
        <v>22</v>
      </c>
      <c r="AJ163" s="1">
        <v>0</v>
      </c>
      <c r="AK163" s="3">
        <v>0</v>
      </c>
      <c r="AL163" s="1">
        <v>0</v>
      </c>
      <c r="AM163" s="3">
        <v>0</v>
      </c>
      <c r="AN163" s="1" t="s">
        <v>22</v>
      </c>
      <c r="AO163" s="1">
        <v>5</v>
      </c>
      <c r="AP163" s="3">
        <v>3.1055900621118013</v>
      </c>
      <c r="AQ163" s="3"/>
      <c r="AR163" s="3"/>
      <c r="AS163" s="1">
        <v>4</v>
      </c>
      <c r="AT163" s="3">
        <v>2.4844720496894408</v>
      </c>
      <c r="AU163" s="1">
        <v>0</v>
      </c>
      <c r="AV163" s="3">
        <v>0</v>
      </c>
      <c r="AW163" s="1" t="s">
        <v>22</v>
      </c>
      <c r="AX163" s="1">
        <v>6</v>
      </c>
      <c r="AY163" s="1">
        <v>0</v>
      </c>
      <c r="AZ163" s="1">
        <v>0</v>
      </c>
      <c r="BA163" s="1">
        <v>12</v>
      </c>
      <c r="BB163" s="1">
        <v>0</v>
      </c>
      <c r="BC163" s="1">
        <v>0</v>
      </c>
      <c r="BD163" s="1">
        <v>0</v>
      </c>
      <c r="BE163" s="54">
        <v>0</v>
      </c>
      <c r="BF163" s="6">
        <v>4</v>
      </c>
      <c r="BG163" s="6">
        <v>3</v>
      </c>
      <c r="BH163" s="1">
        <v>0</v>
      </c>
      <c r="BI163" s="6">
        <v>0</v>
      </c>
      <c r="BJ163" s="1" t="s">
        <v>22</v>
      </c>
      <c r="BK163" s="6">
        <v>1</v>
      </c>
      <c r="BL163" s="6">
        <v>0</v>
      </c>
      <c r="BM163" s="1">
        <v>0</v>
      </c>
      <c r="BN163" t="s">
        <v>24</v>
      </c>
      <c r="BO163">
        <v>1002</v>
      </c>
    </row>
    <row r="164" spans="1:67" x14ac:dyDescent="0.3">
      <c r="A164" s="4">
        <f>INT(Tabela1[[#This Row],[Data e Hora]])</f>
        <v>46262</v>
      </c>
      <c r="B164" s="4" t="str">
        <f>UPPER(TEXT(Tabela1[[#This Row],[Data Corrigida]],"MMM"))</f>
        <v>AGO</v>
      </c>
      <c r="C164" t="s">
        <v>515</v>
      </c>
      <c r="D164" t="s">
        <v>516</v>
      </c>
      <c r="E164" t="s">
        <v>513</v>
      </c>
      <c r="F164" t="s">
        <v>19</v>
      </c>
      <c r="G164" s="5" t="s">
        <v>514</v>
      </c>
      <c r="H164" t="s">
        <v>20</v>
      </c>
      <c r="I164" t="s">
        <v>33</v>
      </c>
      <c r="J164" s="1">
        <v>131</v>
      </c>
      <c r="K164" s="1">
        <v>6926</v>
      </c>
      <c r="L164" t="s">
        <v>34</v>
      </c>
      <c r="M164" s="1">
        <v>22</v>
      </c>
      <c r="N164" s="48">
        <v>22</v>
      </c>
      <c r="O164" s="1">
        <v>20</v>
      </c>
      <c r="P164" s="48">
        <v>20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1</v>
      </c>
      <c r="X164" s="1">
        <v>5</v>
      </c>
      <c r="Y164" s="1">
        <v>6</v>
      </c>
      <c r="Z164" s="3">
        <v>2.2900763358778624</v>
      </c>
      <c r="AA164" s="1">
        <v>3</v>
      </c>
      <c r="AB164" s="3">
        <v>2.2900763358778624</v>
      </c>
      <c r="AC164" s="1">
        <v>0</v>
      </c>
      <c r="AD164" s="3">
        <v>0</v>
      </c>
      <c r="AE164" s="1">
        <v>1</v>
      </c>
      <c r="AF164" s="3">
        <v>0.76335877862595414</v>
      </c>
      <c r="AG164" s="1">
        <v>2</v>
      </c>
      <c r="AH164" s="3">
        <v>1.5267175572519083</v>
      </c>
      <c r="AI164" s="1" t="s">
        <v>22</v>
      </c>
      <c r="AJ164" s="1">
        <v>0</v>
      </c>
      <c r="AK164" s="3">
        <v>0</v>
      </c>
      <c r="AL164" s="1">
        <v>0</v>
      </c>
      <c r="AM164" s="3">
        <v>0</v>
      </c>
      <c r="AN164" s="1" t="s">
        <v>22</v>
      </c>
      <c r="AO164" s="1">
        <v>3</v>
      </c>
      <c r="AP164" s="3">
        <v>2.2900763358778624</v>
      </c>
      <c r="AQ164" s="3"/>
      <c r="AR164" s="3"/>
      <c r="AS164" s="1">
        <v>3</v>
      </c>
      <c r="AT164" s="3">
        <v>2.2900763358778624</v>
      </c>
      <c r="AU164" s="1">
        <v>1</v>
      </c>
      <c r="AV164" s="3">
        <v>0.76335877862595414</v>
      </c>
      <c r="AW164" s="1" t="s">
        <v>22</v>
      </c>
      <c r="AX164" s="1">
        <v>5</v>
      </c>
      <c r="AY164" s="1">
        <v>1</v>
      </c>
      <c r="AZ164" s="1">
        <v>0</v>
      </c>
      <c r="BA164" s="1">
        <v>10</v>
      </c>
      <c r="BB164" s="1">
        <v>2</v>
      </c>
      <c r="BC164" s="1">
        <v>0</v>
      </c>
      <c r="BD164" s="1">
        <v>0</v>
      </c>
      <c r="BE164" s="54">
        <v>0</v>
      </c>
      <c r="BF164" s="6">
        <v>4</v>
      </c>
      <c r="BG164" s="6">
        <v>3</v>
      </c>
      <c r="BH164" s="1">
        <v>0</v>
      </c>
      <c r="BI164" s="6">
        <v>0</v>
      </c>
      <c r="BJ164" s="1" t="s">
        <v>22</v>
      </c>
      <c r="BK164" s="6">
        <v>6</v>
      </c>
      <c r="BL164" s="6">
        <v>0</v>
      </c>
      <c r="BM164" s="1">
        <v>0</v>
      </c>
      <c r="BN164" t="s">
        <v>24</v>
      </c>
      <c r="BO164">
        <v>10542</v>
      </c>
    </row>
    <row r="165" spans="1:67" x14ac:dyDescent="0.3">
      <c r="A165" s="4">
        <f>INT(Tabela1[[#This Row],[Data e Hora]])</f>
        <v>46262</v>
      </c>
      <c r="B165" s="4" t="str">
        <f>UPPER(TEXT(Tabela1[[#This Row],[Data Corrigida]],"MMM"))</f>
        <v>AGO</v>
      </c>
      <c r="C165" t="s">
        <v>517</v>
      </c>
      <c r="D165" t="s">
        <v>518</v>
      </c>
      <c r="E165" t="s">
        <v>519</v>
      </c>
      <c r="F165" t="s">
        <v>19</v>
      </c>
      <c r="G165" s="5" t="s">
        <v>514</v>
      </c>
      <c r="H165" t="s">
        <v>20</v>
      </c>
      <c r="I165" t="s">
        <v>33</v>
      </c>
      <c r="J165" s="1">
        <v>130</v>
      </c>
      <c r="K165" s="1">
        <v>2701</v>
      </c>
      <c r="L165" t="s">
        <v>34</v>
      </c>
      <c r="M165" s="1">
        <v>24</v>
      </c>
      <c r="N165" s="48">
        <v>24</v>
      </c>
      <c r="O165" s="1">
        <v>18</v>
      </c>
      <c r="P165" s="48">
        <v>18</v>
      </c>
      <c r="Q165" s="1">
        <v>0</v>
      </c>
      <c r="R165" s="1">
        <v>0</v>
      </c>
      <c r="S165" s="1">
        <v>1</v>
      </c>
      <c r="T165" s="1">
        <v>1</v>
      </c>
      <c r="U165" s="1">
        <v>0</v>
      </c>
      <c r="V165" s="1">
        <v>0</v>
      </c>
      <c r="W165" s="1">
        <v>0</v>
      </c>
      <c r="X165" s="1">
        <v>0</v>
      </c>
      <c r="Y165" s="1">
        <v>5</v>
      </c>
      <c r="Z165" s="3">
        <v>1.9230769230769231</v>
      </c>
      <c r="AA165" s="1">
        <v>4</v>
      </c>
      <c r="AB165" s="3">
        <v>3.0769230769230771</v>
      </c>
      <c r="AC165" s="1">
        <v>0</v>
      </c>
      <c r="AD165" s="3">
        <v>0</v>
      </c>
      <c r="AE165" s="1">
        <v>0</v>
      </c>
      <c r="AF165" s="3">
        <v>0</v>
      </c>
      <c r="AG165" s="1">
        <v>2</v>
      </c>
      <c r="AH165" s="3">
        <v>1.5384615384615385</v>
      </c>
      <c r="AI165" s="1" t="s">
        <v>22</v>
      </c>
      <c r="AJ165" s="1">
        <v>0</v>
      </c>
      <c r="AK165" s="3">
        <v>0</v>
      </c>
      <c r="AL165" s="1">
        <v>0</v>
      </c>
      <c r="AM165" s="3">
        <v>0</v>
      </c>
      <c r="AN165" s="1" t="s">
        <v>22</v>
      </c>
      <c r="AO165" s="1">
        <v>2</v>
      </c>
      <c r="AP165" s="3">
        <v>1.5384615384615385</v>
      </c>
      <c r="AQ165" s="3"/>
      <c r="AR165" s="3"/>
      <c r="AS165" s="1">
        <v>4</v>
      </c>
      <c r="AT165" s="3">
        <v>3.0769230769230771</v>
      </c>
      <c r="AU165" s="1">
        <v>0</v>
      </c>
      <c r="AV165" s="3">
        <v>0</v>
      </c>
      <c r="AW165" s="1" t="s">
        <v>22</v>
      </c>
      <c r="AX165" s="1">
        <v>6</v>
      </c>
      <c r="AY165" s="1">
        <v>0</v>
      </c>
      <c r="AZ165" s="1">
        <v>0</v>
      </c>
      <c r="BA165" s="1">
        <v>12</v>
      </c>
      <c r="BB165" s="1">
        <v>0</v>
      </c>
      <c r="BC165" s="1">
        <v>0</v>
      </c>
      <c r="BD165" s="1">
        <v>0</v>
      </c>
      <c r="BE165" s="54">
        <v>0</v>
      </c>
      <c r="BF165" s="6">
        <v>4</v>
      </c>
      <c r="BG165" s="6">
        <v>2</v>
      </c>
      <c r="BH165" s="1">
        <v>0</v>
      </c>
      <c r="BI165" s="6">
        <v>0</v>
      </c>
      <c r="BJ165" s="1" t="s">
        <v>22</v>
      </c>
      <c r="BK165" s="6">
        <v>3</v>
      </c>
      <c r="BL165" s="6">
        <v>0</v>
      </c>
      <c r="BM165" s="1">
        <v>0</v>
      </c>
      <c r="BN165" t="s">
        <v>24</v>
      </c>
      <c r="BO165">
        <v>8118</v>
      </c>
    </row>
    <row r="166" spans="1:67" x14ac:dyDescent="0.3">
      <c r="A166" s="4">
        <f>INT(Tabela1[[#This Row],[Data e Hora]])</f>
        <v>46262</v>
      </c>
      <c r="B166" s="4" t="str">
        <f>UPPER(TEXT(Tabela1[[#This Row],[Data Corrigida]],"MMM"))</f>
        <v>AGO</v>
      </c>
      <c r="C166" t="s">
        <v>520</v>
      </c>
      <c r="D166" t="s">
        <v>521</v>
      </c>
      <c r="E166" t="s">
        <v>522</v>
      </c>
      <c r="F166" t="s">
        <v>19</v>
      </c>
      <c r="G166" s="5" t="s">
        <v>514</v>
      </c>
      <c r="H166" t="s">
        <v>20</v>
      </c>
      <c r="I166" t="s">
        <v>21</v>
      </c>
      <c r="J166" s="1">
        <v>160</v>
      </c>
      <c r="K166" s="1">
        <v>2688</v>
      </c>
      <c r="L166" t="s">
        <v>23</v>
      </c>
      <c r="M166" s="1">
        <v>25</v>
      </c>
      <c r="N166" s="48">
        <v>25</v>
      </c>
      <c r="O166" s="1">
        <v>16</v>
      </c>
      <c r="P166" s="48">
        <v>16</v>
      </c>
      <c r="Q166" s="1">
        <v>0</v>
      </c>
      <c r="R166" s="1">
        <v>0</v>
      </c>
      <c r="S166" s="1">
        <v>1</v>
      </c>
      <c r="T166" s="1">
        <v>1</v>
      </c>
      <c r="U166" s="1">
        <v>1</v>
      </c>
      <c r="V166" s="1">
        <v>1</v>
      </c>
      <c r="W166" s="1">
        <v>0</v>
      </c>
      <c r="X166" s="1">
        <v>0</v>
      </c>
      <c r="Y166" s="1">
        <v>2</v>
      </c>
      <c r="Z166" s="3">
        <v>0.625</v>
      </c>
      <c r="AA166" s="1">
        <v>4</v>
      </c>
      <c r="AB166" s="3">
        <v>2.5</v>
      </c>
      <c r="AC166" s="1">
        <v>0</v>
      </c>
      <c r="AD166" s="3">
        <v>0</v>
      </c>
      <c r="AE166" s="1">
        <v>1</v>
      </c>
      <c r="AF166" s="3">
        <v>0.625</v>
      </c>
      <c r="AG166" s="1">
        <v>6</v>
      </c>
      <c r="AH166" s="3">
        <v>3.75</v>
      </c>
      <c r="AI166" s="1" t="s">
        <v>22</v>
      </c>
      <c r="AJ166" s="1">
        <v>1</v>
      </c>
      <c r="AK166" s="3">
        <v>0.625</v>
      </c>
      <c r="AL166" s="1">
        <v>1</v>
      </c>
      <c r="AM166" s="3">
        <v>0.625</v>
      </c>
      <c r="AN166" s="1" t="s">
        <v>22</v>
      </c>
      <c r="AO166" s="1">
        <v>5</v>
      </c>
      <c r="AP166" s="3">
        <v>3.125</v>
      </c>
      <c r="AQ166" s="3"/>
      <c r="AR166" s="3"/>
      <c r="AS166" s="1">
        <v>4</v>
      </c>
      <c r="AT166" s="3">
        <v>2.5</v>
      </c>
      <c r="AU166" s="1">
        <v>0</v>
      </c>
      <c r="AV166" s="3">
        <v>0</v>
      </c>
      <c r="AW166" s="1" t="s">
        <v>22</v>
      </c>
      <c r="AX166" s="1">
        <v>19</v>
      </c>
      <c r="AY166" s="1">
        <v>0</v>
      </c>
      <c r="AZ166" s="1">
        <v>0</v>
      </c>
      <c r="BA166" s="1">
        <v>38</v>
      </c>
      <c r="BB166" s="1">
        <v>0</v>
      </c>
      <c r="BC166" s="1">
        <v>0</v>
      </c>
      <c r="BD166" s="1">
        <v>1</v>
      </c>
      <c r="BE166" s="54">
        <v>0.625</v>
      </c>
      <c r="BF166" s="6">
        <v>24</v>
      </c>
      <c r="BG166" s="6">
        <v>18</v>
      </c>
      <c r="BH166" s="1">
        <v>1</v>
      </c>
      <c r="BI166" s="6">
        <v>10</v>
      </c>
      <c r="BJ166" s="1" t="s">
        <v>22</v>
      </c>
      <c r="BK166" s="1" t="s">
        <v>22</v>
      </c>
      <c r="BL166" s="1" t="s">
        <v>22</v>
      </c>
      <c r="BM166" s="1" t="s">
        <v>22</v>
      </c>
      <c r="BN166" t="s">
        <v>24</v>
      </c>
      <c r="BO166">
        <v>1366</v>
      </c>
    </row>
    <row r="167" spans="1:67" x14ac:dyDescent="0.3">
      <c r="A167" s="4">
        <f>INT(Tabela1[[#This Row],[Data e Hora]])</f>
        <v>46262</v>
      </c>
      <c r="B167" s="4" t="str">
        <f>UPPER(TEXT(Tabela1[[#This Row],[Data Corrigida]],"MMM"))</f>
        <v>AGO</v>
      </c>
      <c r="C167" t="s">
        <v>523</v>
      </c>
      <c r="D167" t="s">
        <v>524</v>
      </c>
      <c r="E167" t="s">
        <v>522</v>
      </c>
      <c r="F167" t="s">
        <v>19</v>
      </c>
      <c r="G167" s="5" t="s">
        <v>514</v>
      </c>
      <c r="H167" t="s">
        <v>20</v>
      </c>
      <c r="I167" t="s">
        <v>21</v>
      </c>
      <c r="J167" s="1">
        <v>160</v>
      </c>
      <c r="K167" s="1">
        <v>2759</v>
      </c>
      <c r="L167" t="s">
        <v>23</v>
      </c>
      <c r="M167" s="1">
        <v>27</v>
      </c>
      <c r="N167" s="48">
        <v>27</v>
      </c>
      <c r="O167" s="1">
        <v>8</v>
      </c>
      <c r="P167" s="48">
        <v>8</v>
      </c>
      <c r="Q167" s="1">
        <v>0</v>
      </c>
      <c r="R167" s="1">
        <v>0</v>
      </c>
      <c r="S167" s="1">
        <v>2</v>
      </c>
      <c r="T167" s="1">
        <v>2</v>
      </c>
      <c r="U167" s="1">
        <v>1</v>
      </c>
      <c r="V167" s="1">
        <v>1</v>
      </c>
      <c r="W167" s="1">
        <v>0</v>
      </c>
      <c r="X167" s="1">
        <v>0</v>
      </c>
      <c r="Y167" s="1">
        <v>1</v>
      </c>
      <c r="Z167" s="3">
        <v>0.3125</v>
      </c>
      <c r="AA167" s="1">
        <v>6</v>
      </c>
      <c r="AB167" s="3">
        <v>3.75</v>
      </c>
      <c r="AC167" s="1">
        <v>1</v>
      </c>
      <c r="AD167" s="3">
        <v>0.625</v>
      </c>
      <c r="AE167" s="1">
        <v>3</v>
      </c>
      <c r="AF167" s="3">
        <v>1.875</v>
      </c>
      <c r="AG167" s="1">
        <v>11</v>
      </c>
      <c r="AH167" s="3">
        <v>6.8750000000000009</v>
      </c>
      <c r="AI167" s="1" t="s">
        <v>22</v>
      </c>
      <c r="AJ167" s="1">
        <v>1</v>
      </c>
      <c r="AK167" s="3">
        <v>0.625</v>
      </c>
      <c r="AL167" s="1">
        <v>2</v>
      </c>
      <c r="AM167" s="3">
        <v>1.25</v>
      </c>
      <c r="AN167" s="1" t="s">
        <v>22</v>
      </c>
      <c r="AO167" s="1">
        <v>5</v>
      </c>
      <c r="AP167" s="3">
        <v>3.125</v>
      </c>
      <c r="AQ167" s="3"/>
      <c r="AR167" s="3"/>
      <c r="AS167" s="1">
        <v>7</v>
      </c>
      <c r="AT167" s="3">
        <v>4.375</v>
      </c>
      <c r="AU167" s="1">
        <v>1</v>
      </c>
      <c r="AV167" s="3">
        <v>0.625</v>
      </c>
      <c r="AW167" s="1" t="s">
        <v>22</v>
      </c>
      <c r="AX167" s="1">
        <v>19</v>
      </c>
      <c r="AY167" s="1">
        <v>0</v>
      </c>
      <c r="AZ167" s="1">
        <v>0</v>
      </c>
      <c r="BA167" s="1">
        <v>38</v>
      </c>
      <c r="BB167" s="1">
        <v>0</v>
      </c>
      <c r="BC167" s="1">
        <v>0</v>
      </c>
      <c r="BD167" s="1">
        <v>1</v>
      </c>
      <c r="BE167" s="54">
        <v>0.625</v>
      </c>
      <c r="BF167" s="6">
        <v>23</v>
      </c>
      <c r="BG167" s="6">
        <v>20</v>
      </c>
      <c r="BH167" s="1">
        <v>0</v>
      </c>
      <c r="BI167" s="6">
        <v>0</v>
      </c>
      <c r="BJ167" s="1" t="s">
        <v>22</v>
      </c>
      <c r="BK167" s="6">
        <v>0</v>
      </c>
      <c r="BL167" s="6">
        <v>0</v>
      </c>
      <c r="BM167" s="1">
        <v>2</v>
      </c>
      <c r="BN167" t="s">
        <v>22</v>
      </c>
      <c r="BO167">
        <v>1506</v>
      </c>
    </row>
    <row r="168" spans="1:67" x14ac:dyDescent="0.3">
      <c r="A168" s="4">
        <f>INT(Tabela1[[#This Row],[Data e Hora]])</f>
        <v>46262</v>
      </c>
      <c r="B168" s="4" t="str">
        <f>UPPER(TEXT(Tabela1[[#This Row],[Data Corrigida]],"MMM"))</f>
        <v>AGO</v>
      </c>
      <c r="C168" t="s">
        <v>525</v>
      </c>
      <c r="D168" t="s">
        <v>526</v>
      </c>
      <c r="E168" t="s">
        <v>522</v>
      </c>
      <c r="F168" t="s">
        <v>19</v>
      </c>
      <c r="G168" s="5" t="s">
        <v>514</v>
      </c>
      <c r="H168" t="s">
        <v>20</v>
      </c>
      <c r="I168" t="s">
        <v>21</v>
      </c>
      <c r="J168" s="1">
        <v>156</v>
      </c>
      <c r="K168" s="1">
        <v>2676</v>
      </c>
      <c r="L168" t="s">
        <v>23</v>
      </c>
      <c r="M168" s="1">
        <v>28</v>
      </c>
      <c r="N168" s="48">
        <v>28.000000000000004</v>
      </c>
      <c r="O168" s="1">
        <v>10</v>
      </c>
      <c r="P168" s="48">
        <v>10</v>
      </c>
      <c r="Q168" s="1">
        <v>0</v>
      </c>
      <c r="R168" s="1">
        <v>0</v>
      </c>
      <c r="S168" s="1">
        <v>1</v>
      </c>
      <c r="T168" s="1">
        <v>1</v>
      </c>
      <c r="U168" s="1">
        <v>1</v>
      </c>
      <c r="V168" s="1">
        <v>1</v>
      </c>
      <c r="W168" s="1">
        <v>0</v>
      </c>
      <c r="X168" s="1">
        <v>0</v>
      </c>
      <c r="Y168" s="1">
        <v>2</v>
      </c>
      <c r="Z168" s="3">
        <v>0.64102564102564097</v>
      </c>
      <c r="AA168" s="1">
        <v>5</v>
      </c>
      <c r="AB168" s="3">
        <v>3.2051282051282048</v>
      </c>
      <c r="AC168" s="1">
        <v>0</v>
      </c>
      <c r="AD168" s="3">
        <v>0</v>
      </c>
      <c r="AE168" s="1">
        <v>1</v>
      </c>
      <c r="AF168" s="3">
        <v>0.64102564102564097</v>
      </c>
      <c r="AG168" s="1">
        <v>7</v>
      </c>
      <c r="AH168" s="3">
        <v>4.4871794871794872</v>
      </c>
      <c r="AI168" s="1" t="s">
        <v>22</v>
      </c>
      <c r="AJ168" s="1">
        <v>1</v>
      </c>
      <c r="AK168" s="3">
        <v>0.64102564102564097</v>
      </c>
      <c r="AL168" s="1">
        <v>2</v>
      </c>
      <c r="AM168" s="3">
        <v>1.2820512820512819</v>
      </c>
      <c r="AN168" s="1" t="s">
        <v>22</v>
      </c>
      <c r="AO168" s="1">
        <v>4</v>
      </c>
      <c r="AP168" s="3">
        <v>2.5641025641025639</v>
      </c>
      <c r="AQ168" s="3"/>
      <c r="AR168" s="3"/>
      <c r="AS168" s="1">
        <v>5</v>
      </c>
      <c r="AT168" s="3">
        <v>3.2051282051282048</v>
      </c>
      <c r="AU168" s="1">
        <v>1</v>
      </c>
      <c r="AV168" s="3">
        <v>0.64102564102564097</v>
      </c>
      <c r="AW168" s="1" t="s">
        <v>22</v>
      </c>
      <c r="AX168" s="1">
        <v>18</v>
      </c>
      <c r="AY168" s="1">
        <v>0</v>
      </c>
      <c r="AZ168" s="1">
        <v>0</v>
      </c>
      <c r="BA168" s="1">
        <v>36</v>
      </c>
      <c r="BB168" s="1">
        <v>0</v>
      </c>
      <c r="BC168" s="1">
        <v>0</v>
      </c>
      <c r="BD168" s="1">
        <v>1</v>
      </c>
      <c r="BE168" s="54">
        <v>0.64102564102564097</v>
      </c>
      <c r="BF168" s="6">
        <v>23</v>
      </c>
      <c r="BG168" s="6">
        <v>19</v>
      </c>
      <c r="BH168" s="1">
        <v>1</v>
      </c>
      <c r="BI168" s="6">
        <v>10</v>
      </c>
      <c r="BJ168" s="1" t="s">
        <v>22</v>
      </c>
      <c r="BK168" s="6">
        <v>1</v>
      </c>
      <c r="BL168" s="6">
        <v>0</v>
      </c>
      <c r="BM168" s="1">
        <v>1</v>
      </c>
      <c r="BN168" t="s">
        <v>24</v>
      </c>
      <c r="BO168">
        <v>2203</v>
      </c>
    </row>
    <row r="169" spans="1:67" x14ac:dyDescent="0.3">
      <c r="A169" s="4">
        <f>INT(Tabela1[[#This Row],[Data e Hora]])</f>
        <v>46262</v>
      </c>
      <c r="B169" s="4" t="str">
        <f>UPPER(TEXT(Tabela1[[#This Row],[Data Corrigida]],"MMM"))</f>
        <v>AGO</v>
      </c>
      <c r="C169" t="s">
        <v>527</v>
      </c>
      <c r="D169" t="s">
        <v>528</v>
      </c>
      <c r="E169" t="s">
        <v>529</v>
      </c>
      <c r="F169" t="s">
        <v>19</v>
      </c>
      <c r="G169" s="5" t="s">
        <v>514</v>
      </c>
      <c r="H169" t="s">
        <v>20</v>
      </c>
      <c r="I169" t="s">
        <v>21</v>
      </c>
      <c r="J169" s="1">
        <v>160</v>
      </c>
      <c r="K169" s="1">
        <v>2768</v>
      </c>
      <c r="L169" t="s">
        <v>23</v>
      </c>
      <c r="M169" s="1">
        <v>21</v>
      </c>
      <c r="N169" s="48">
        <v>21</v>
      </c>
      <c r="O169" s="1">
        <v>5</v>
      </c>
      <c r="P169" s="48">
        <v>5</v>
      </c>
      <c r="Q169" s="1">
        <v>0</v>
      </c>
      <c r="R169" s="1">
        <v>0</v>
      </c>
      <c r="S169" s="1">
        <v>0</v>
      </c>
      <c r="T169" s="1">
        <v>0</v>
      </c>
      <c r="U169" s="1">
        <v>1</v>
      </c>
      <c r="V169" s="1">
        <v>1</v>
      </c>
      <c r="W169" s="1">
        <v>0</v>
      </c>
      <c r="X169" s="1">
        <v>0</v>
      </c>
      <c r="Y169" s="1">
        <v>1</v>
      </c>
      <c r="Z169" s="3">
        <v>0.3125</v>
      </c>
      <c r="AA169" s="1">
        <v>3</v>
      </c>
      <c r="AB169" s="3">
        <v>1.875</v>
      </c>
      <c r="AC169" s="1">
        <v>0</v>
      </c>
      <c r="AD169" s="3">
        <v>0</v>
      </c>
      <c r="AE169" s="1">
        <v>1</v>
      </c>
      <c r="AF169" s="3">
        <v>0.625</v>
      </c>
      <c r="AG169" s="1">
        <v>6</v>
      </c>
      <c r="AH169" s="3">
        <v>3.75</v>
      </c>
      <c r="AI169" s="1" t="s">
        <v>22</v>
      </c>
      <c r="AJ169" s="1">
        <v>1</v>
      </c>
      <c r="AK169" s="3">
        <v>0.625</v>
      </c>
      <c r="AL169" s="1">
        <v>1</v>
      </c>
      <c r="AM169" s="3">
        <v>0.625</v>
      </c>
      <c r="AN169" s="1" t="s">
        <v>22</v>
      </c>
      <c r="AO169" s="1">
        <v>5</v>
      </c>
      <c r="AP169" s="3">
        <v>3.125</v>
      </c>
      <c r="AQ169" s="3"/>
      <c r="AR169" s="3"/>
      <c r="AS169" s="1">
        <v>5</v>
      </c>
      <c r="AT169" s="3">
        <v>3.125</v>
      </c>
      <c r="AU169" s="1">
        <v>1</v>
      </c>
      <c r="AV169" s="3">
        <v>0.625</v>
      </c>
      <c r="AW169" s="1" t="s">
        <v>22</v>
      </c>
      <c r="AX169" s="1">
        <v>15</v>
      </c>
      <c r="AY169" s="1">
        <v>0</v>
      </c>
      <c r="AZ169" s="1">
        <v>0</v>
      </c>
      <c r="BA169" s="1">
        <v>30</v>
      </c>
      <c r="BB169" s="1">
        <v>0</v>
      </c>
      <c r="BC169" s="1">
        <v>0</v>
      </c>
      <c r="BD169" s="1">
        <v>0</v>
      </c>
      <c r="BE169" s="54">
        <v>0</v>
      </c>
      <c r="BF169" s="6">
        <v>19</v>
      </c>
      <c r="BG169" s="6">
        <v>18</v>
      </c>
      <c r="BH169" s="1">
        <v>1</v>
      </c>
      <c r="BI169" s="6">
        <v>10</v>
      </c>
      <c r="BJ169" s="1" t="s">
        <v>22</v>
      </c>
      <c r="BK169" s="1" t="s">
        <v>22</v>
      </c>
      <c r="BL169" s="1" t="s">
        <v>22</v>
      </c>
      <c r="BM169" s="1" t="s">
        <v>22</v>
      </c>
      <c r="BN169" t="s">
        <v>24</v>
      </c>
      <c r="BO169">
        <v>1563</v>
      </c>
    </row>
    <row r="170" spans="1:67" x14ac:dyDescent="0.3">
      <c r="A170" s="4">
        <f>INT(Tabela1[[#This Row],[Data e Hora]])</f>
        <v>46266</v>
      </c>
      <c r="B170" s="4" t="str">
        <f>UPPER(TEXT(Tabela1[[#This Row],[Data Corrigida]],"MMM"))</f>
        <v>SET</v>
      </c>
      <c r="C170" t="s">
        <v>530</v>
      </c>
      <c r="D170" t="s">
        <v>531</v>
      </c>
      <c r="E170" t="s">
        <v>532</v>
      </c>
      <c r="F170" t="s">
        <v>19</v>
      </c>
      <c r="G170" s="5" t="s">
        <v>533</v>
      </c>
      <c r="H170" t="s">
        <v>20</v>
      </c>
      <c r="I170" t="s">
        <v>21</v>
      </c>
      <c r="J170" s="1">
        <v>160</v>
      </c>
      <c r="K170" s="1">
        <v>2868</v>
      </c>
      <c r="L170" t="s">
        <v>23</v>
      </c>
      <c r="M170" s="1">
        <v>27</v>
      </c>
      <c r="N170" s="48">
        <v>27</v>
      </c>
      <c r="O170" s="1">
        <v>13</v>
      </c>
      <c r="P170" s="48">
        <v>13</v>
      </c>
      <c r="Q170" s="1">
        <v>0</v>
      </c>
      <c r="R170" s="1">
        <v>0</v>
      </c>
      <c r="S170" s="1">
        <v>2</v>
      </c>
      <c r="T170" s="1">
        <v>2</v>
      </c>
      <c r="U170" s="1">
        <v>1</v>
      </c>
      <c r="V170" s="1">
        <v>1</v>
      </c>
      <c r="W170" s="1">
        <v>0</v>
      </c>
      <c r="X170" s="1">
        <v>0</v>
      </c>
      <c r="Y170" s="1">
        <v>2</v>
      </c>
      <c r="Z170" s="3">
        <v>0.625</v>
      </c>
      <c r="AA170" s="1">
        <v>4</v>
      </c>
      <c r="AB170" s="3">
        <v>2.5</v>
      </c>
      <c r="AC170" s="1">
        <v>1</v>
      </c>
      <c r="AD170" s="3">
        <v>0.625</v>
      </c>
      <c r="AE170" s="1">
        <v>2</v>
      </c>
      <c r="AF170" s="3">
        <v>1.25</v>
      </c>
      <c r="AG170" s="1">
        <v>7</v>
      </c>
      <c r="AH170" s="3">
        <v>4.375</v>
      </c>
      <c r="AI170" s="1" t="s">
        <v>22</v>
      </c>
      <c r="AJ170" s="1">
        <v>2</v>
      </c>
      <c r="AK170" s="3">
        <v>1.25</v>
      </c>
      <c r="AL170" s="1">
        <v>2</v>
      </c>
      <c r="AM170" s="3">
        <v>1.25</v>
      </c>
      <c r="AN170" s="1" t="s">
        <v>22</v>
      </c>
      <c r="AO170" s="1">
        <v>7</v>
      </c>
      <c r="AP170" s="3">
        <v>4.375</v>
      </c>
      <c r="AQ170" s="3"/>
      <c r="AR170" s="3"/>
      <c r="AS170" s="1">
        <v>5</v>
      </c>
      <c r="AT170" s="3">
        <v>3.125</v>
      </c>
      <c r="AU170" s="1">
        <v>1</v>
      </c>
      <c r="AV170" s="3">
        <v>0.625</v>
      </c>
      <c r="AW170" s="1" t="s">
        <v>22</v>
      </c>
      <c r="AX170" s="1">
        <v>18</v>
      </c>
      <c r="AY170" s="1" t="s">
        <v>22</v>
      </c>
      <c r="AZ170" s="1">
        <v>0</v>
      </c>
      <c r="BA170" s="1">
        <v>36</v>
      </c>
      <c r="BB170" s="1" t="s">
        <v>22</v>
      </c>
      <c r="BC170" s="1">
        <v>0</v>
      </c>
      <c r="BD170" s="1">
        <v>1</v>
      </c>
      <c r="BE170" s="54">
        <v>0.625</v>
      </c>
      <c r="BF170" s="6">
        <v>19</v>
      </c>
      <c r="BG170" s="6">
        <v>11</v>
      </c>
      <c r="BH170" s="1">
        <v>1</v>
      </c>
      <c r="BI170" s="6">
        <v>10</v>
      </c>
      <c r="BJ170" s="1" t="s">
        <v>22</v>
      </c>
      <c r="BK170" s="1" t="s">
        <v>22</v>
      </c>
      <c r="BL170" s="1" t="s">
        <v>22</v>
      </c>
      <c r="BM170" s="1" t="s">
        <v>22</v>
      </c>
      <c r="BN170" t="s">
        <v>24</v>
      </c>
      <c r="BO170">
        <v>3206</v>
      </c>
    </row>
    <row r="171" spans="1:67" x14ac:dyDescent="0.3">
      <c r="A171" s="4">
        <f>INT(Tabela1[[#This Row],[Data e Hora]])</f>
        <v>46266</v>
      </c>
      <c r="B171" s="4" t="str">
        <f>UPPER(TEXT(Tabela1[[#This Row],[Data Corrigida]],"MMM"))</f>
        <v>SET</v>
      </c>
      <c r="C171" t="s">
        <v>534</v>
      </c>
      <c r="D171" t="s">
        <v>535</v>
      </c>
      <c r="E171" t="s">
        <v>536</v>
      </c>
      <c r="F171" t="s">
        <v>19</v>
      </c>
      <c r="G171" s="5" t="s">
        <v>533</v>
      </c>
      <c r="H171" t="s">
        <v>20</v>
      </c>
      <c r="I171" t="s">
        <v>21</v>
      </c>
      <c r="J171" s="1">
        <v>146</v>
      </c>
      <c r="K171" s="1">
        <v>2883</v>
      </c>
      <c r="L171" t="s">
        <v>23</v>
      </c>
      <c r="M171" s="1">
        <v>34</v>
      </c>
      <c r="N171" s="48">
        <v>34</v>
      </c>
      <c r="O171" s="1">
        <v>15</v>
      </c>
      <c r="P171" s="48">
        <v>15</v>
      </c>
      <c r="Q171" s="1">
        <v>0</v>
      </c>
      <c r="R171" s="1">
        <v>0</v>
      </c>
      <c r="S171" s="1">
        <v>2</v>
      </c>
      <c r="T171" s="1">
        <v>2</v>
      </c>
      <c r="U171" s="1">
        <v>1</v>
      </c>
      <c r="V171" s="1">
        <v>1</v>
      </c>
      <c r="W171" s="1">
        <v>0</v>
      </c>
      <c r="X171" s="1">
        <v>0</v>
      </c>
      <c r="Y171" s="1">
        <v>3</v>
      </c>
      <c r="Z171" s="3">
        <v>1.0273972602739725</v>
      </c>
      <c r="AA171" s="1">
        <v>12</v>
      </c>
      <c r="AB171" s="3">
        <v>8.2191780821917799</v>
      </c>
      <c r="AC171" s="1">
        <v>0</v>
      </c>
      <c r="AD171" s="3">
        <v>0</v>
      </c>
      <c r="AE171" s="1">
        <v>3</v>
      </c>
      <c r="AF171" s="3">
        <v>2.054794520547945</v>
      </c>
      <c r="AG171" s="1">
        <v>7</v>
      </c>
      <c r="AH171" s="3">
        <v>4.7945205479452051</v>
      </c>
      <c r="AI171" s="1" t="s">
        <v>22</v>
      </c>
      <c r="AJ171" s="1">
        <v>2</v>
      </c>
      <c r="AK171" s="3">
        <v>1.3698630136986301</v>
      </c>
      <c r="AL171" s="1">
        <v>2</v>
      </c>
      <c r="AM171" s="3">
        <v>1.3698630136986301</v>
      </c>
      <c r="AN171" s="1" t="s">
        <v>22</v>
      </c>
      <c r="AO171" s="1">
        <v>6</v>
      </c>
      <c r="AP171" s="3">
        <v>4.10958904109589</v>
      </c>
      <c r="AQ171" s="3"/>
      <c r="AR171" s="3"/>
      <c r="AS171" s="1">
        <v>6</v>
      </c>
      <c r="AT171" s="3">
        <v>4.10958904109589</v>
      </c>
      <c r="AU171" s="1">
        <v>1</v>
      </c>
      <c r="AV171" s="3">
        <v>0.68493150684931503</v>
      </c>
      <c r="AW171" s="1" t="s">
        <v>22</v>
      </c>
      <c r="AX171" s="1">
        <v>18</v>
      </c>
      <c r="AY171" s="1">
        <v>0</v>
      </c>
      <c r="AZ171" s="1">
        <v>0</v>
      </c>
      <c r="BA171" s="1">
        <v>36</v>
      </c>
      <c r="BB171" s="1">
        <v>0</v>
      </c>
      <c r="BC171" s="1">
        <v>0</v>
      </c>
      <c r="BD171" s="1">
        <v>1</v>
      </c>
      <c r="BE171" s="54">
        <v>0.68493150684931503</v>
      </c>
      <c r="BF171" s="6">
        <v>19</v>
      </c>
      <c r="BG171" s="6">
        <v>1</v>
      </c>
      <c r="BH171" s="1">
        <v>1</v>
      </c>
      <c r="BI171" s="6">
        <v>10</v>
      </c>
      <c r="BJ171" s="1" t="s">
        <v>22</v>
      </c>
      <c r="BK171" s="1" t="s">
        <v>22</v>
      </c>
      <c r="BL171" s="1" t="s">
        <v>22</v>
      </c>
      <c r="BM171" s="1" t="s">
        <v>22</v>
      </c>
      <c r="BN171" t="s">
        <v>24</v>
      </c>
      <c r="BO171">
        <v>1519</v>
      </c>
    </row>
    <row r="172" spans="1:67" x14ac:dyDescent="0.3">
      <c r="A172" s="4">
        <f>INT(Tabela1[[#This Row],[Data e Hora]])</f>
        <v>46266</v>
      </c>
      <c r="B172" s="4" t="str">
        <f>UPPER(TEXT(Tabela1[[#This Row],[Data Corrigida]],"MMM"))</f>
        <v>SET</v>
      </c>
      <c r="C172" t="s">
        <v>537</v>
      </c>
      <c r="D172" t="s">
        <v>538</v>
      </c>
      <c r="E172" t="s">
        <v>536</v>
      </c>
      <c r="F172" t="s">
        <v>19</v>
      </c>
      <c r="G172" s="5" t="s">
        <v>533</v>
      </c>
      <c r="H172" t="s">
        <v>20</v>
      </c>
      <c r="I172" t="s">
        <v>21</v>
      </c>
      <c r="J172" s="1">
        <v>146</v>
      </c>
      <c r="K172" s="1">
        <v>2785</v>
      </c>
      <c r="L172" t="s">
        <v>23</v>
      </c>
      <c r="M172" s="1">
        <v>17</v>
      </c>
      <c r="N172" s="48">
        <v>17</v>
      </c>
      <c r="O172" s="1">
        <v>5</v>
      </c>
      <c r="P172" s="48">
        <v>5</v>
      </c>
      <c r="Q172" s="1">
        <v>0</v>
      </c>
      <c r="R172" s="1">
        <v>0</v>
      </c>
      <c r="S172" s="1">
        <v>1</v>
      </c>
      <c r="T172" s="1">
        <v>1</v>
      </c>
      <c r="U172" s="1">
        <v>0</v>
      </c>
      <c r="V172" s="1">
        <v>0</v>
      </c>
      <c r="W172" s="1">
        <v>0</v>
      </c>
      <c r="X172" s="1">
        <v>0</v>
      </c>
      <c r="Y172" s="1">
        <v>2</v>
      </c>
      <c r="Z172" s="3">
        <v>0.68493150684931503</v>
      </c>
      <c r="AA172" s="1">
        <v>4</v>
      </c>
      <c r="AB172" s="3">
        <v>2.7397260273972601</v>
      </c>
      <c r="AC172" s="1">
        <v>0</v>
      </c>
      <c r="AD172" s="3">
        <v>0</v>
      </c>
      <c r="AE172" s="1">
        <v>1</v>
      </c>
      <c r="AF172" s="3">
        <v>0.68493150684931503</v>
      </c>
      <c r="AG172" s="1">
        <v>6</v>
      </c>
      <c r="AH172" s="3">
        <v>4.10958904109589</v>
      </c>
      <c r="AI172" s="1" t="s">
        <v>22</v>
      </c>
      <c r="AJ172" s="1">
        <v>1</v>
      </c>
      <c r="AK172" s="3">
        <v>0.68493150684931503</v>
      </c>
      <c r="AL172" s="1">
        <v>1</v>
      </c>
      <c r="AM172" s="3">
        <v>0.68493150684931503</v>
      </c>
      <c r="AN172" s="1" t="s">
        <v>22</v>
      </c>
      <c r="AO172" s="1">
        <v>5</v>
      </c>
      <c r="AP172" s="3">
        <v>3.4246575342465753</v>
      </c>
      <c r="AQ172" s="3"/>
      <c r="AR172" s="3"/>
      <c r="AS172" s="1">
        <v>6</v>
      </c>
      <c r="AT172" s="3">
        <v>4.10958904109589</v>
      </c>
      <c r="AU172" s="1">
        <v>1</v>
      </c>
      <c r="AV172" s="3">
        <v>0.68493150684931503</v>
      </c>
      <c r="AW172" s="1" t="s">
        <v>22</v>
      </c>
      <c r="AX172" s="1">
        <v>19</v>
      </c>
      <c r="AY172" s="1">
        <v>0</v>
      </c>
      <c r="AZ172" s="1">
        <v>0</v>
      </c>
      <c r="BA172" s="1">
        <v>38</v>
      </c>
      <c r="BB172" s="1">
        <v>0</v>
      </c>
      <c r="BC172" s="1">
        <v>0</v>
      </c>
      <c r="BD172" s="1">
        <v>0</v>
      </c>
      <c r="BE172" s="54">
        <v>0</v>
      </c>
      <c r="BF172" s="6">
        <v>17</v>
      </c>
      <c r="BG172" s="6">
        <v>9</v>
      </c>
      <c r="BH172" s="1">
        <v>1</v>
      </c>
      <c r="BI172" s="6">
        <v>10</v>
      </c>
      <c r="BJ172" s="1" t="s">
        <v>22</v>
      </c>
      <c r="BK172" s="1" t="s">
        <v>22</v>
      </c>
      <c r="BL172" s="1" t="s">
        <v>22</v>
      </c>
      <c r="BM172" s="1" t="s">
        <v>22</v>
      </c>
      <c r="BN172" t="s">
        <v>24</v>
      </c>
      <c r="BO172">
        <v>1617</v>
      </c>
    </row>
    <row r="173" spans="1:67" x14ac:dyDescent="0.3">
      <c r="A173" s="4">
        <f>INT(Tabela1[[#This Row],[Data e Hora]])</f>
        <v>46266</v>
      </c>
      <c r="B173" s="4" t="str">
        <f>UPPER(TEXT(Tabela1[[#This Row],[Data Corrigida]],"MMM"))</f>
        <v>SET</v>
      </c>
      <c r="C173" t="s">
        <v>539</v>
      </c>
      <c r="D173" t="s">
        <v>540</v>
      </c>
      <c r="E173" t="s">
        <v>536</v>
      </c>
      <c r="F173" t="s">
        <v>19</v>
      </c>
      <c r="G173" s="5" t="s">
        <v>533</v>
      </c>
      <c r="H173" t="s">
        <v>20</v>
      </c>
      <c r="I173" t="s">
        <v>21</v>
      </c>
      <c r="J173" s="1">
        <v>156</v>
      </c>
      <c r="K173" s="1">
        <v>2972</v>
      </c>
      <c r="L173" t="s">
        <v>23</v>
      </c>
      <c r="M173" s="1">
        <v>35</v>
      </c>
      <c r="N173" s="48">
        <v>35</v>
      </c>
      <c r="O173" s="1">
        <v>15</v>
      </c>
      <c r="P173" s="48">
        <v>15</v>
      </c>
      <c r="Q173" s="1">
        <v>0</v>
      </c>
      <c r="R173" s="1">
        <v>0</v>
      </c>
      <c r="S173" s="1">
        <v>1</v>
      </c>
      <c r="T173" s="1">
        <v>1</v>
      </c>
      <c r="U173" s="1">
        <v>1</v>
      </c>
      <c r="V173" s="1">
        <v>1</v>
      </c>
      <c r="W173" s="1">
        <v>0</v>
      </c>
      <c r="X173" s="1">
        <v>0</v>
      </c>
      <c r="Y173" s="1">
        <v>3</v>
      </c>
      <c r="Z173" s="3">
        <v>0.96153846153846156</v>
      </c>
      <c r="AA173" s="1">
        <v>1</v>
      </c>
      <c r="AB173" s="3">
        <v>0.64102564102564097</v>
      </c>
      <c r="AC173" s="1">
        <v>0</v>
      </c>
      <c r="AD173" s="3">
        <v>0</v>
      </c>
      <c r="AE173" s="1">
        <v>3</v>
      </c>
      <c r="AF173" s="3">
        <v>1.9230769230769231</v>
      </c>
      <c r="AG173" s="1">
        <v>9</v>
      </c>
      <c r="AH173" s="3">
        <v>5.7692307692307692</v>
      </c>
      <c r="AI173" s="1" t="s">
        <v>22</v>
      </c>
      <c r="AJ173" s="1">
        <v>1</v>
      </c>
      <c r="AK173" s="3">
        <v>0.64102564102564097</v>
      </c>
      <c r="AL173" s="1">
        <v>1</v>
      </c>
      <c r="AM173" s="3">
        <v>0.64102564102564097</v>
      </c>
      <c r="AN173" s="1" t="s">
        <v>22</v>
      </c>
      <c r="AO173" s="1">
        <v>6</v>
      </c>
      <c r="AP173" s="3">
        <v>3.8461538461538463</v>
      </c>
      <c r="AQ173" s="3"/>
      <c r="AR173" s="3"/>
      <c r="AS173" s="1">
        <v>5</v>
      </c>
      <c r="AT173" s="3">
        <v>3.2051282051282048</v>
      </c>
      <c r="AU173" s="1">
        <v>1</v>
      </c>
      <c r="AV173" s="3">
        <v>0.64102564102564097</v>
      </c>
      <c r="AW173" s="1" t="s">
        <v>22</v>
      </c>
      <c r="AX173" s="1">
        <v>19</v>
      </c>
      <c r="AY173" s="1">
        <v>0</v>
      </c>
      <c r="AZ173" s="1">
        <v>0</v>
      </c>
      <c r="BA173" s="1">
        <v>38</v>
      </c>
      <c r="BB173" s="1">
        <v>0</v>
      </c>
      <c r="BC173" s="1">
        <v>0</v>
      </c>
      <c r="BD173" s="1">
        <v>3</v>
      </c>
      <c r="BE173" s="54">
        <v>1.9230769230769231</v>
      </c>
      <c r="BF173" s="6">
        <v>17</v>
      </c>
      <c r="BG173" s="6">
        <v>14</v>
      </c>
      <c r="BH173" s="1">
        <v>1</v>
      </c>
      <c r="BI173" s="6">
        <v>10</v>
      </c>
      <c r="BJ173" s="1" t="s">
        <v>22</v>
      </c>
      <c r="BK173" s="1" t="s">
        <v>22</v>
      </c>
      <c r="BL173" s="1" t="s">
        <v>22</v>
      </c>
      <c r="BM173" s="1" t="s">
        <v>22</v>
      </c>
      <c r="BN173" t="s">
        <v>24</v>
      </c>
      <c r="BO173">
        <v>2029</v>
      </c>
    </row>
    <row r="174" spans="1:67" x14ac:dyDescent="0.3">
      <c r="A174" s="4">
        <f>INT(Tabela1[[#This Row],[Data e Hora]])</f>
        <v>46265</v>
      </c>
      <c r="B174" s="4" t="str">
        <f>UPPER(TEXT(Tabela1[[#This Row],[Data Corrigida]],"MMM"))</f>
        <v>AGO</v>
      </c>
      <c r="C174" t="s">
        <v>541</v>
      </c>
      <c r="D174" t="s">
        <v>542</v>
      </c>
      <c r="E174" t="s">
        <v>543</v>
      </c>
      <c r="F174" t="s">
        <v>19</v>
      </c>
      <c r="G174" s="5" t="s">
        <v>544</v>
      </c>
      <c r="H174" t="s">
        <v>20</v>
      </c>
      <c r="I174" t="s">
        <v>33</v>
      </c>
      <c r="J174" s="1">
        <v>164</v>
      </c>
      <c r="K174" s="1">
        <v>3497</v>
      </c>
      <c r="L174" t="s">
        <v>34</v>
      </c>
      <c r="M174" s="1">
        <v>20</v>
      </c>
      <c r="N174" s="48">
        <v>20</v>
      </c>
      <c r="O174" s="1">
        <v>14</v>
      </c>
      <c r="P174" s="48">
        <v>14.000000000000002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4</v>
      </c>
      <c r="Z174" s="3">
        <v>1.2195121951219512</v>
      </c>
      <c r="AA174" s="1">
        <v>4</v>
      </c>
      <c r="AB174" s="3">
        <v>2.4390243902439024</v>
      </c>
      <c r="AC174" s="1">
        <v>0</v>
      </c>
      <c r="AD174" s="3">
        <v>0</v>
      </c>
      <c r="AE174" s="1">
        <v>0</v>
      </c>
      <c r="AF174" s="3">
        <v>0</v>
      </c>
      <c r="AG174" s="1">
        <v>3</v>
      </c>
      <c r="AH174" s="3">
        <v>1.8292682926829267</v>
      </c>
      <c r="AI174" s="1" t="s">
        <v>22</v>
      </c>
      <c r="AJ174" s="1">
        <v>0</v>
      </c>
      <c r="AK174" s="3">
        <v>0</v>
      </c>
      <c r="AL174" s="1">
        <v>0</v>
      </c>
      <c r="AM174" s="3">
        <v>0</v>
      </c>
      <c r="AN174" s="1" t="s">
        <v>22</v>
      </c>
      <c r="AO174" s="1">
        <v>5</v>
      </c>
      <c r="AP174" s="3">
        <v>3.0487804878048781</v>
      </c>
      <c r="AQ174" s="3"/>
      <c r="AR174" s="3"/>
      <c r="AS174" s="1">
        <v>4</v>
      </c>
      <c r="AT174" s="3">
        <v>2.4390243902439024</v>
      </c>
      <c r="AU174" s="1">
        <v>0</v>
      </c>
      <c r="AV174" s="3">
        <v>0</v>
      </c>
      <c r="AW174" s="1" t="s">
        <v>22</v>
      </c>
      <c r="AX174" s="1">
        <v>6</v>
      </c>
      <c r="AY174" s="1">
        <v>0</v>
      </c>
      <c r="AZ174" s="1">
        <v>0</v>
      </c>
      <c r="BA174" s="1">
        <v>12</v>
      </c>
      <c r="BB174" s="1">
        <v>0</v>
      </c>
      <c r="BC174" s="1">
        <v>0</v>
      </c>
      <c r="BD174" s="1">
        <v>3</v>
      </c>
      <c r="BE174" s="54">
        <v>1.8292682926829267</v>
      </c>
      <c r="BF174" s="6">
        <v>4</v>
      </c>
      <c r="BG174" s="6">
        <v>3</v>
      </c>
      <c r="BH174" s="1">
        <v>0</v>
      </c>
      <c r="BI174" s="6">
        <v>0</v>
      </c>
      <c r="BJ174" s="1" t="s">
        <v>22</v>
      </c>
      <c r="BK174" s="6">
        <v>1</v>
      </c>
      <c r="BL174" s="6">
        <v>0</v>
      </c>
      <c r="BM174" s="1">
        <v>0</v>
      </c>
      <c r="BN174" t="s">
        <v>24</v>
      </c>
      <c r="BO174">
        <v>244</v>
      </c>
    </row>
    <row r="175" spans="1:67" x14ac:dyDescent="0.3">
      <c r="A175" s="4">
        <f>INT(Tabela1[[#This Row],[Data e Hora]])</f>
        <v>46265</v>
      </c>
      <c r="B175" s="4" t="str">
        <f>UPPER(TEXT(Tabela1[[#This Row],[Data Corrigida]],"MMM"))</f>
        <v>AGO</v>
      </c>
      <c r="C175" t="s">
        <v>545</v>
      </c>
      <c r="D175" t="s">
        <v>546</v>
      </c>
      <c r="E175" t="s">
        <v>543</v>
      </c>
      <c r="F175" t="s">
        <v>19</v>
      </c>
      <c r="G175" s="5" t="s">
        <v>544</v>
      </c>
      <c r="H175" t="s">
        <v>20</v>
      </c>
      <c r="I175" t="s">
        <v>33</v>
      </c>
      <c r="J175" s="1">
        <v>161</v>
      </c>
      <c r="K175" s="1">
        <v>2901</v>
      </c>
      <c r="L175" t="s">
        <v>34</v>
      </c>
      <c r="M175" s="1">
        <v>21</v>
      </c>
      <c r="N175" s="48">
        <v>21</v>
      </c>
      <c r="O175" s="1">
        <v>15</v>
      </c>
      <c r="P175" s="48">
        <v>15</v>
      </c>
      <c r="Q175" s="1">
        <v>0</v>
      </c>
      <c r="R175" s="1">
        <v>0</v>
      </c>
      <c r="S175" s="1">
        <v>1</v>
      </c>
      <c r="T175" s="1">
        <v>1</v>
      </c>
      <c r="U175" s="1">
        <v>0</v>
      </c>
      <c r="V175" s="1">
        <v>0</v>
      </c>
      <c r="W175" s="1">
        <v>0</v>
      </c>
      <c r="X175" s="1">
        <v>0</v>
      </c>
      <c r="Y175" s="1">
        <v>5</v>
      </c>
      <c r="Z175" s="3">
        <v>1.5527950310559007</v>
      </c>
      <c r="AA175" s="1">
        <v>8</v>
      </c>
      <c r="AB175" s="3">
        <v>4.9689440993788816</v>
      </c>
      <c r="AC175" s="1">
        <v>0</v>
      </c>
      <c r="AD175" s="3">
        <v>0</v>
      </c>
      <c r="AE175" s="1">
        <v>1</v>
      </c>
      <c r="AF175" s="3">
        <v>0.6211180124223602</v>
      </c>
      <c r="AG175" s="1">
        <v>3</v>
      </c>
      <c r="AH175" s="3">
        <v>1.8633540372670807</v>
      </c>
      <c r="AI175" s="1" t="s">
        <v>22</v>
      </c>
      <c r="AJ175" s="1">
        <v>1</v>
      </c>
      <c r="AK175" s="3">
        <v>0.6211180124223602</v>
      </c>
      <c r="AL175" s="1">
        <v>0</v>
      </c>
      <c r="AM175" s="3">
        <v>0</v>
      </c>
      <c r="AN175" s="1" t="s">
        <v>22</v>
      </c>
      <c r="AO175" s="1">
        <v>6</v>
      </c>
      <c r="AP175" s="3">
        <v>3.7267080745341614</v>
      </c>
      <c r="AQ175" s="3"/>
      <c r="AR175" s="3"/>
      <c r="AS175" s="1">
        <v>4</v>
      </c>
      <c r="AT175" s="3">
        <v>2.4844720496894408</v>
      </c>
      <c r="AU175" s="1">
        <v>0</v>
      </c>
      <c r="AV175" s="3">
        <v>0</v>
      </c>
      <c r="AW175" s="1" t="s">
        <v>22</v>
      </c>
      <c r="AX175" s="1">
        <v>5</v>
      </c>
      <c r="AY175" s="1">
        <v>0</v>
      </c>
      <c r="AZ175" s="1">
        <v>0</v>
      </c>
      <c r="BA175" s="1">
        <v>10</v>
      </c>
      <c r="BB175" s="1">
        <v>0</v>
      </c>
      <c r="BC175" s="1">
        <v>0</v>
      </c>
      <c r="BD175" s="1">
        <v>0</v>
      </c>
      <c r="BE175" s="54">
        <v>0</v>
      </c>
      <c r="BF175" s="6">
        <v>4</v>
      </c>
      <c r="BG175" s="6">
        <v>2</v>
      </c>
      <c r="BH175" s="1">
        <v>0</v>
      </c>
      <c r="BI175" s="6">
        <v>0</v>
      </c>
      <c r="BJ175" s="1" t="s">
        <v>22</v>
      </c>
      <c r="BK175" s="6">
        <v>6</v>
      </c>
      <c r="BL175" s="6">
        <v>0</v>
      </c>
      <c r="BM175" s="1">
        <v>0</v>
      </c>
      <c r="BN175" t="s">
        <v>24</v>
      </c>
      <c r="BO175">
        <v>7585</v>
      </c>
    </row>
    <row r="176" spans="1:67" x14ac:dyDescent="0.3">
      <c r="A176" s="4">
        <f>INT(Tabela1[[#This Row],[Data e Hora]])</f>
        <v>46265</v>
      </c>
      <c r="B176" s="4" t="str">
        <f>UPPER(TEXT(Tabela1[[#This Row],[Data Corrigida]],"MMM"))</f>
        <v>AGO</v>
      </c>
      <c r="C176" t="s">
        <v>547</v>
      </c>
      <c r="D176" t="s">
        <v>548</v>
      </c>
      <c r="E176" t="s">
        <v>549</v>
      </c>
      <c r="F176" t="s">
        <v>19</v>
      </c>
      <c r="G176" s="5" t="s">
        <v>544</v>
      </c>
      <c r="H176" t="s">
        <v>20</v>
      </c>
      <c r="I176" t="s">
        <v>33</v>
      </c>
      <c r="J176" s="1">
        <v>140</v>
      </c>
      <c r="K176" s="1">
        <v>2888</v>
      </c>
      <c r="L176" t="s">
        <v>34</v>
      </c>
      <c r="M176" s="1">
        <v>37</v>
      </c>
      <c r="N176" s="48">
        <v>37</v>
      </c>
      <c r="O176" s="1">
        <v>18</v>
      </c>
      <c r="P176" s="48">
        <v>18</v>
      </c>
      <c r="Q176" s="1">
        <v>1</v>
      </c>
      <c r="R176" s="1">
        <v>10</v>
      </c>
      <c r="S176" s="1">
        <v>0</v>
      </c>
      <c r="T176" s="1">
        <v>0</v>
      </c>
      <c r="U176" s="1">
        <v>0</v>
      </c>
      <c r="V176" s="1">
        <v>0</v>
      </c>
      <c r="W176" s="1">
        <v>1</v>
      </c>
      <c r="X176" s="1">
        <v>5</v>
      </c>
      <c r="Y176" s="1">
        <v>4</v>
      </c>
      <c r="Z176" s="3">
        <v>1.4285714285714286</v>
      </c>
      <c r="AA176" s="1">
        <v>4</v>
      </c>
      <c r="AB176" s="3">
        <v>2.8571428571428572</v>
      </c>
      <c r="AC176" s="1">
        <v>0</v>
      </c>
      <c r="AD176" s="3">
        <v>0</v>
      </c>
      <c r="AE176" s="1">
        <v>0</v>
      </c>
      <c r="AF176" s="3">
        <v>0</v>
      </c>
      <c r="AG176" s="1">
        <v>2</v>
      </c>
      <c r="AH176" s="3">
        <v>1.4285714285714286</v>
      </c>
      <c r="AI176" s="1" t="s">
        <v>22</v>
      </c>
      <c r="AJ176" s="1">
        <v>0</v>
      </c>
      <c r="AK176" s="3">
        <v>0</v>
      </c>
      <c r="AL176" s="1">
        <v>0</v>
      </c>
      <c r="AM176" s="3">
        <v>0</v>
      </c>
      <c r="AN176" s="1" t="s">
        <v>22</v>
      </c>
      <c r="AO176" s="1">
        <v>2</v>
      </c>
      <c r="AP176" s="3">
        <v>1.4285714285714286</v>
      </c>
      <c r="AQ176" s="3"/>
      <c r="AR176" s="3"/>
      <c r="AS176" s="1">
        <v>4</v>
      </c>
      <c r="AT176" s="3">
        <v>2.8571428571428572</v>
      </c>
      <c r="AU176" s="1">
        <v>0</v>
      </c>
      <c r="AV176" s="3">
        <v>0</v>
      </c>
      <c r="AW176" s="1" t="s">
        <v>22</v>
      </c>
      <c r="AX176" s="1">
        <v>5</v>
      </c>
      <c r="AY176" s="1">
        <v>0</v>
      </c>
      <c r="AZ176" s="1">
        <v>0</v>
      </c>
      <c r="BA176" s="1">
        <v>10</v>
      </c>
      <c r="BB176" s="1">
        <v>0</v>
      </c>
      <c r="BC176" s="1">
        <v>0</v>
      </c>
      <c r="BD176" s="1">
        <v>0</v>
      </c>
      <c r="BE176" s="54">
        <v>0</v>
      </c>
      <c r="BF176" s="6">
        <v>3</v>
      </c>
      <c r="BG176" s="6">
        <v>1</v>
      </c>
      <c r="BH176" s="1">
        <v>0</v>
      </c>
      <c r="BI176" s="6">
        <v>0</v>
      </c>
      <c r="BJ176" s="1" t="s">
        <v>22</v>
      </c>
      <c r="BK176" s="6">
        <v>3</v>
      </c>
      <c r="BL176" s="6">
        <v>0</v>
      </c>
      <c r="BM176" s="1">
        <v>0</v>
      </c>
      <c r="BN176" t="s">
        <v>24</v>
      </c>
      <c r="BO176">
        <v>10585</v>
      </c>
    </row>
    <row r="177" spans="1:67" x14ac:dyDescent="0.3">
      <c r="A177" s="4">
        <f>INT(Tabela1[[#This Row],[Data e Hora]])</f>
        <v>46265</v>
      </c>
      <c r="B177" s="4" t="str">
        <f>UPPER(TEXT(Tabela1[[#This Row],[Data Corrigida]],"MMM"))</f>
        <v>AGO</v>
      </c>
      <c r="C177" t="s">
        <v>550</v>
      </c>
      <c r="D177" t="s">
        <v>551</v>
      </c>
      <c r="E177" t="s">
        <v>552</v>
      </c>
      <c r="F177" t="s">
        <v>19</v>
      </c>
      <c r="G177" s="5" t="s">
        <v>544</v>
      </c>
      <c r="H177" t="s">
        <v>20</v>
      </c>
      <c r="I177" t="s">
        <v>21</v>
      </c>
      <c r="J177" s="1">
        <v>140</v>
      </c>
      <c r="K177" s="1">
        <v>2924</v>
      </c>
      <c r="L177" t="s">
        <v>23</v>
      </c>
      <c r="M177" s="1">
        <v>21</v>
      </c>
      <c r="N177" s="48">
        <v>21</v>
      </c>
      <c r="O177" s="1">
        <v>10</v>
      </c>
      <c r="P177" s="48">
        <v>10</v>
      </c>
      <c r="Q177" s="1">
        <v>0</v>
      </c>
      <c r="R177" s="1">
        <v>0</v>
      </c>
      <c r="S177" s="1">
        <v>4</v>
      </c>
      <c r="T177" s="1">
        <v>4</v>
      </c>
      <c r="U177" s="1">
        <v>0</v>
      </c>
      <c r="V177" s="1">
        <v>0</v>
      </c>
      <c r="W177" s="1">
        <v>4</v>
      </c>
      <c r="X177" s="1">
        <v>20</v>
      </c>
      <c r="Y177" s="1">
        <v>2</v>
      </c>
      <c r="Z177" s="3">
        <v>0.7142857142857143</v>
      </c>
      <c r="AA177" s="1">
        <v>3</v>
      </c>
      <c r="AB177" s="3">
        <v>2.1428571428571428</v>
      </c>
      <c r="AC177" s="1">
        <v>0</v>
      </c>
      <c r="AD177" s="3">
        <v>0</v>
      </c>
      <c r="AE177" s="1">
        <v>1</v>
      </c>
      <c r="AF177" s="3">
        <v>0.7142857142857143</v>
      </c>
      <c r="AG177" s="1">
        <v>6</v>
      </c>
      <c r="AH177" s="3">
        <v>4.2857142857142856</v>
      </c>
      <c r="AI177" s="1" t="s">
        <v>22</v>
      </c>
      <c r="AJ177" s="1">
        <v>3</v>
      </c>
      <c r="AK177" s="3">
        <v>2.1428571428571428</v>
      </c>
      <c r="AL177" s="1">
        <v>2</v>
      </c>
      <c r="AM177" s="3">
        <v>1.4285714285714286</v>
      </c>
      <c r="AN177" s="1" t="s">
        <v>22</v>
      </c>
      <c r="AO177" s="1">
        <v>5</v>
      </c>
      <c r="AP177" s="3">
        <v>3.5714285714285712</v>
      </c>
      <c r="AQ177" s="3"/>
      <c r="AR177" s="3"/>
      <c r="AS177" s="1">
        <v>6</v>
      </c>
      <c r="AT177" s="3">
        <v>4.2857142857142856</v>
      </c>
      <c r="AU177" s="1">
        <v>1</v>
      </c>
      <c r="AV177" s="3">
        <v>0.7142857142857143</v>
      </c>
      <c r="AW177" s="1" t="s">
        <v>22</v>
      </c>
      <c r="AX177" s="1">
        <v>15</v>
      </c>
      <c r="AY177" s="1">
        <v>0</v>
      </c>
      <c r="AZ177" s="1">
        <v>0</v>
      </c>
      <c r="BA177" s="1">
        <v>30</v>
      </c>
      <c r="BB177" s="1">
        <v>0</v>
      </c>
      <c r="BC177" s="1">
        <v>0</v>
      </c>
      <c r="BD177" s="1">
        <v>0</v>
      </c>
      <c r="BE177" s="54">
        <v>0</v>
      </c>
      <c r="BF177" s="6">
        <v>21</v>
      </c>
      <c r="BG177" s="6">
        <v>14</v>
      </c>
      <c r="BH177" s="1" t="s">
        <v>22</v>
      </c>
      <c r="BI177" s="6" t="s">
        <v>22</v>
      </c>
      <c r="BJ177" s="1" t="s">
        <v>22</v>
      </c>
      <c r="BK177" s="1" t="s">
        <v>22</v>
      </c>
      <c r="BL177" s="1" t="s">
        <v>22</v>
      </c>
      <c r="BM177" s="1" t="s">
        <v>22</v>
      </c>
      <c r="BN177" t="s">
        <v>22</v>
      </c>
      <c r="BO177">
        <v>2259</v>
      </c>
    </row>
    <row r="178" spans="1:67" x14ac:dyDescent="0.3">
      <c r="A178" s="4">
        <f>INT(Tabela1[[#This Row],[Data e Hora]])</f>
        <v>46265</v>
      </c>
      <c r="B178" s="4" t="str">
        <f>UPPER(TEXT(Tabela1[[#This Row],[Data Corrigida]],"MMM"))</f>
        <v>AGO</v>
      </c>
      <c r="C178" t="s">
        <v>553</v>
      </c>
      <c r="D178" t="s">
        <v>554</v>
      </c>
      <c r="E178" t="s">
        <v>555</v>
      </c>
      <c r="F178" t="s">
        <v>19</v>
      </c>
      <c r="G178" s="5" t="s">
        <v>544</v>
      </c>
      <c r="H178" t="s">
        <v>20</v>
      </c>
      <c r="I178" t="s">
        <v>21</v>
      </c>
      <c r="J178" s="1">
        <v>151</v>
      </c>
      <c r="K178" s="1">
        <v>2949</v>
      </c>
      <c r="L178" t="s">
        <v>23</v>
      </c>
      <c r="M178" s="1">
        <v>25</v>
      </c>
      <c r="N178" s="48">
        <v>25</v>
      </c>
      <c r="O178" s="1">
        <v>5</v>
      </c>
      <c r="P178" s="48">
        <v>5</v>
      </c>
      <c r="Q178" s="1">
        <v>0</v>
      </c>
      <c r="R178" s="1">
        <v>0</v>
      </c>
      <c r="S178" s="1">
        <v>2</v>
      </c>
      <c r="T178" s="1">
        <v>2</v>
      </c>
      <c r="U178" s="1">
        <v>1</v>
      </c>
      <c r="V178" s="1">
        <v>1</v>
      </c>
      <c r="W178" s="1">
        <v>0</v>
      </c>
      <c r="X178" s="1">
        <v>0</v>
      </c>
      <c r="Y178" s="1">
        <v>2</v>
      </c>
      <c r="Z178" s="3">
        <v>0.66225165562913912</v>
      </c>
      <c r="AA178" s="1">
        <v>4</v>
      </c>
      <c r="AB178" s="3">
        <v>2.6490066225165565</v>
      </c>
      <c r="AC178" s="1">
        <v>0</v>
      </c>
      <c r="AD178" s="3">
        <v>0</v>
      </c>
      <c r="AE178" s="1">
        <v>0</v>
      </c>
      <c r="AF178" s="3">
        <v>0</v>
      </c>
      <c r="AG178" s="1">
        <v>8</v>
      </c>
      <c r="AH178" s="3">
        <v>5.298013245033113</v>
      </c>
      <c r="AI178" s="1" t="s">
        <v>22</v>
      </c>
      <c r="AJ178" s="1">
        <v>2</v>
      </c>
      <c r="AK178" s="3">
        <v>1.3245033112582782</v>
      </c>
      <c r="AL178" s="1">
        <v>2</v>
      </c>
      <c r="AM178" s="3">
        <v>1.3245033112582782</v>
      </c>
      <c r="AN178" s="1" t="s">
        <v>22</v>
      </c>
      <c r="AO178" s="1">
        <v>5</v>
      </c>
      <c r="AP178" s="3">
        <v>3.3112582781456954</v>
      </c>
      <c r="AQ178" s="3"/>
      <c r="AR178" s="3"/>
      <c r="AS178" s="1">
        <v>6</v>
      </c>
      <c r="AT178" s="3">
        <v>3.9735099337748347</v>
      </c>
      <c r="AU178" s="1">
        <v>1</v>
      </c>
      <c r="AV178" s="3">
        <v>0.66225165562913912</v>
      </c>
      <c r="AW178" s="1" t="s">
        <v>22</v>
      </c>
      <c r="AX178" s="1">
        <v>14</v>
      </c>
      <c r="AY178" s="1">
        <v>0</v>
      </c>
      <c r="AZ178" s="1">
        <v>0</v>
      </c>
      <c r="BA178" s="1">
        <v>28</v>
      </c>
      <c r="BB178" s="1">
        <v>0</v>
      </c>
      <c r="BC178" s="1">
        <v>0</v>
      </c>
      <c r="BD178" s="1">
        <v>1</v>
      </c>
      <c r="BE178" s="54">
        <v>0.66225165562913912</v>
      </c>
      <c r="BF178" s="6">
        <v>23</v>
      </c>
      <c r="BG178" s="6">
        <v>12</v>
      </c>
      <c r="BH178" s="1">
        <v>1</v>
      </c>
      <c r="BI178" s="6">
        <v>10</v>
      </c>
      <c r="BJ178" s="1" t="s">
        <v>22</v>
      </c>
      <c r="BK178" s="6">
        <v>1</v>
      </c>
      <c r="BL178" s="6">
        <v>0</v>
      </c>
      <c r="BM178" s="1">
        <v>1</v>
      </c>
      <c r="BN178" t="s">
        <v>24</v>
      </c>
      <c r="BO178">
        <v>1352</v>
      </c>
    </row>
    <row r="179" spans="1:67" x14ac:dyDescent="0.3">
      <c r="A179" s="4">
        <f>INT(Tabela1[[#This Row],[Data e Hora]])</f>
        <v>46265</v>
      </c>
      <c r="B179" s="4" t="str">
        <f>UPPER(TEXT(Tabela1[[#This Row],[Data Corrigida]],"MMM"))</f>
        <v>AGO</v>
      </c>
      <c r="C179" t="s">
        <v>556</v>
      </c>
      <c r="D179" t="s">
        <v>557</v>
      </c>
      <c r="E179" t="s">
        <v>555</v>
      </c>
      <c r="F179" t="s">
        <v>19</v>
      </c>
      <c r="G179" s="5" t="s">
        <v>544</v>
      </c>
      <c r="H179" t="s">
        <v>20</v>
      </c>
      <c r="I179" t="s">
        <v>21</v>
      </c>
      <c r="J179" s="1">
        <v>160</v>
      </c>
      <c r="K179" s="1">
        <v>2987</v>
      </c>
      <c r="L179" t="s">
        <v>23</v>
      </c>
      <c r="M179" s="1">
        <v>33</v>
      </c>
      <c r="N179" s="48">
        <v>33</v>
      </c>
      <c r="O179" s="1">
        <v>19</v>
      </c>
      <c r="P179" s="48">
        <v>19</v>
      </c>
      <c r="Q179" s="1">
        <v>0</v>
      </c>
      <c r="R179" s="1">
        <v>0</v>
      </c>
      <c r="S179" s="1">
        <v>2</v>
      </c>
      <c r="T179" s="1">
        <v>2</v>
      </c>
      <c r="U179" s="1">
        <v>1</v>
      </c>
      <c r="V179" s="1">
        <v>1</v>
      </c>
      <c r="W179" s="1">
        <v>0</v>
      </c>
      <c r="X179" s="1">
        <v>0</v>
      </c>
      <c r="Y179" s="1">
        <v>3</v>
      </c>
      <c r="Z179" s="3">
        <v>0.9375</v>
      </c>
      <c r="AA179" s="1">
        <v>4</v>
      </c>
      <c r="AB179" s="3">
        <v>2.5</v>
      </c>
      <c r="AC179" s="1">
        <v>0</v>
      </c>
      <c r="AD179" s="3">
        <v>0</v>
      </c>
      <c r="AE179" s="1">
        <v>0</v>
      </c>
      <c r="AF179" s="3">
        <v>0</v>
      </c>
      <c r="AG179" s="1">
        <v>7</v>
      </c>
      <c r="AH179" s="3">
        <v>4.375</v>
      </c>
      <c r="AI179" s="1" t="s">
        <v>22</v>
      </c>
      <c r="AJ179" s="1">
        <v>2</v>
      </c>
      <c r="AK179" s="3">
        <v>1.25</v>
      </c>
      <c r="AL179" s="1">
        <v>2</v>
      </c>
      <c r="AM179" s="3">
        <v>1.25</v>
      </c>
      <c r="AN179" s="1" t="s">
        <v>22</v>
      </c>
      <c r="AO179" s="1">
        <v>6</v>
      </c>
      <c r="AP179" s="3">
        <v>3.75</v>
      </c>
      <c r="AQ179" s="3"/>
      <c r="AR179" s="3"/>
      <c r="AS179" s="1">
        <v>6</v>
      </c>
      <c r="AT179" s="3">
        <v>3.75</v>
      </c>
      <c r="AU179" s="1">
        <v>1</v>
      </c>
      <c r="AV179" s="3">
        <v>0.625</v>
      </c>
      <c r="AW179" s="1" t="s">
        <v>22</v>
      </c>
      <c r="AX179" s="1">
        <v>15</v>
      </c>
      <c r="AY179" s="1">
        <v>0</v>
      </c>
      <c r="AZ179" s="1">
        <v>0</v>
      </c>
      <c r="BA179" s="1">
        <v>30</v>
      </c>
      <c r="BB179" s="1">
        <v>0</v>
      </c>
      <c r="BC179" s="1">
        <v>0</v>
      </c>
      <c r="BD179" s="1">
        <v>0</v>
      </c>
      <c r="BE179" s="54">
        <v>0</v>
      </c>
      <c r="BF179" s="6">
        <v>27</v>
      </c>
      <c r="BG179" s="6">
        <v>13</v>
      </c>
      <c r="BH179" s="1">
        <v>1</v>
      </c>
      <c r="BI179" s="6">
        <v>10</v>
      </c>
      <c r="BJ179" s="1" t="s">
        <v>22</v>
      </c>
      <c r="BK179" s="1" t="s">
        <v>22</v>
      </c>
      <c r="BL179" s="1" t="s">
        <v>22</v>
      </c>
      <c r="BM179" s="1" t="s">
        <v>22</v>
      </c>
      <c r="BN179" t="s">
        <v>24</v>
      </c>
      <c r="BO179">
        <v>1462</v>
      </c>
    </row>
    <row r="180" spans="1:67" x14ac:dyDescent="0.3">
      <c r="A180" s="4">
        <f>INT(Tabela1[[#This Row],[Data e Hora]])</f>
        <v>46265</v>
      </c>
      <c r="B180" s="4" t="str">
        <f>UPPER(TEXT(Tabela1[[#This Row],[Data Corrigida]],"MMM"))</f>
        <v>AGO</v>
      </c>
      <c r="C180" t="s">
        <v>558</v>
      </c>
      <c r="D180" t="s">
        <v>559</v>
      </c>
      <c r="E180" t="s">
        <v>555</v>
      </c>
      <c r="F180" t="s">
        <v>19</v>
      </c>
      <c r="G180" s="5" t="s">
        <v>544</v>
      </c>
      <c r="H180" t="s">
        <v>20</v>
      </c>
      <c r="I180" t="s">
        <v>21</v>
      </c>
      <c r="J180" s="1">
        <v>160</v>
      </c>
      <c r="K180" s="1">
        <v>2992</v>
      </c>
      <c r="L180" t="s">
        <v>23</v>
      </c>
      <c r="M180" s="1">
        <v>25</v>
      </c>
      <c r="N180" s="48">
        <v>25</v>
      </c>
      <c r="O180" s="1">
        <v>6</v>
      </c>
      <c r="P180" s="48">
        <v>6</v>
      </c>
      <c r="Q180" s="1">
        <v>0</v>
      </c>
      <c r="R180" s="1">
        <v>0</v>
      </c>
      <c r="S180" s="1">
        <v>1</v>
      </c>
      <c r="T180" s="1">
        <v>1</v>
      </c>
      <c r="U180" s="1">
        <v>0</v>
      </c>
      <c r="V180" s="1">
        <v>0</v>
      </c>
      <c r="W180" s="1">
        <v>0</v>
      </c>
      <c r="X180" s="1">
        <v>0</v>
      </c>
      <c r="Y180" s="1">
        <v>2</v>
      </c>
      <c r="Z180" s="3">
        <v>0.625</v>
      </c>
      <c r="AA180" s="1">
        <v>4</v>
      </c>
      <c r="AB180" s="3">
        <v>2.5</v>
      </c>
      <c r="AC180" s="1">
        <v>0</v>
      </c>
      <c r="AD180" s="3">
        <v>0</v>
      </c>
      <c r="AE180" s="1">
        <v>1</v>
      </c>
      <c r="AF180" s="3">
        <v>0.625</v>
      </c>
      <c r="AG180" s="1">
        <v>5</v>
      </c>
      <c r="AH180" s="3">
        <v>3.125</v>
      </c>
      <c r="AI180" s="1" t="s">
        <v>22</v>
      </c>
      <c r="AJ180" s="1">
        <v>3</v>
      </c>
      <c r="AK180" s="3">
        <v>1.875</v>
      </c>
      <c r="AL180" s="1">
        <v>2</v>
      </c>
      <c r="AM180" s="3">
        <v>1.25</v>
      </c>
      <c r="AN180" s="1" t="s">
        <v>22</v>
      </c>
      <c r="AO180" s="1">
        <v>6</v>
      </c>
      <c r="AP180" s="3">
        <v>3.75</v>
      </c>
      <c r="AQ180" s="3"/>
      <c r="AR180" s="3"/>
      <c r="AS180" s="1">
        <v>5</v>
      </c>
      <c r="AT180" s="3">
        <v>3.125</v>
      </c>
      <c r="AU180" s="1">
        <v>1</v>
      </c>
      <c r="AV180" s="3">
        <v>0.625</v>
      </c>
      <c r="AW180" s="1" t="s">
        <v>22</v>
      </c>
      <c r="AX180" s="1">
        <v>17</v>
      </c>
      <c r="AY180" s="1">
        <v>0</v>
      </c>
      <c r="AZ180" s="1">
        <v>0</v>
      </c>
      <c r="BA180" s="1">
        <v>34</v>
      </c>
      <c r="BB180" s="1">
        <v>0</v>
      </c>
      <c r="BC180" s="1">
        <v>0</v>
      </c>
      <c r="BD180" s="1">
        <v>1</v>
      </c>
      <c r="BE180" s="54">
        <v>0.625</v>
      </c>
      <c r="BF180" s="6">
        <v>19</v>
      </c>
      <c r="BG180" s="6">
        <v>12</v>
      </c>
      <c r="BH180" s="1">
        <v>1</v>
      </c>
      <c r="BI180" s="6">
        <v>10</v>
      </c>
      <c r="BJ180" s="1" t="s">
        <v>22</v>
      </c>
      <c r="BK180" s="1" t="s">
        <v>22</v>
      </c>
      <c r="BL180" s="1" t="s">
        <v>22</v>
      </c>
      <c r="BM180" s="1" t="s">
        <v>22</v>
      </c>
      <c r="BN180" t="s">
        <v>24</v>
      </c>
      <c r="BO180">
        <v>2934</v>
      </c>
    </row>
    <row r="181" spans="1:67" x14ac:dyDescent="0.3">
      <c r="A181" s="4">
        <f>INT(Tabela1[[#This Row],[Data e Hora]])</f>
        <v>46266</v>
      </c>
      <c r="B181" s="4" t="str">
        <f>UPPER(TEXT(Tabela1[[#This Row],[Data Corrigida]],"MMM"))</f>
        <v>SET</v>
      </c>
      <c r="C181" t="s">
        <v>560</v>
      </c>
      <c r="D181" t="s">
        <v>561</v>
      </c>
      <c r="E181" t="s">
        <v>562</v>
      </c>
      <c r="F181" t="s">
        <v>19</v>
      </c>
      <c r="G181" s="5" t="s">
        <v>533</v>
      </c>
      <c r="H181" t="s">
        <v>20</v>
      </c>
      <c r="I181" t="s">
        <v>33</v>
      </c>
      <c r="J181" s="1">
        <v>163</v>
      </c>
      <c r="K181" s="1">
        <v>3243</v>
      </c>
      <c r="L181" t="s">
        <v>34</v>
      </c>
      <c r="M181" s="1">
        <v>20</v>
      </c>
      <c r="N181" s="48">
        <v>20</v>
      </c>
      <c r="O181" s="1">
        <v>14</v>
      </c>
      <c r="P181" s="48">
        <v>14.000000000000002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5</v>
      </c>
      <c r="Z181" s="3">
        <v>1.5337423312883436</v>
      </c>
      <c r="AA181" s="1">
        <v>15</v>
      </c>
      <c r="AB181" s="3">
        <v>9.2024539877300615</v>
      </c>
      <c r="AC181" s="1">
        <v>0</v>
      </c>
      <c r="AD181" s="3">
        <v>0</v>
      </c>
      <c r="AE181" s="1">
        <v>2</v>
      </c>
      <c r="AF181" s="3">
        <v>1.2269938650306749</v>
      </c>
      <c r="AG181" s="1">
        <v>3</v>
      </c>
      <c r="AH181" s="3">
        <v>1.8404907975460123</v>
      </c>
      <c r="AI181" s="1" t="s">
        <v>22</v>
      </c>
      <c r="AJ181" s="1">
        <v>0</v>
      </c>
      <c r="AK181" s="3">
        <v>0</v>
      </c>
      <c r="AL181" s="1">
        <v>0</v>
      </c>
      <c r="AM181" s="3">
        <v>0</v>
      </c>
      <c r="AN181" s="1" t="s">
        <v>22</v>
      </c>
      <c r="AO181" s="1">
        <v>9</v>
      </c>
      <c r="AP181" s="3">
        <v>5.5214723926380369</v>
      </c>
      <c r="AQ181" s="3"/>
      <c r="AR181" s="3"/>
      <c r="AS181" s="1">
        <v>6</v>
      </c>
      <c r="AT181" s="3">
        <v>3.6809815950920246</v>
      </c>
      <c r="AU181" s="1">
        <v>0</v>
      </c>
      <c r="AV181" s="3">
        <v>0</v>
      </c>
      <c r="AW181" s="1" t="s">
        <v>22</v>
      </c>
      <c r="AX181" s="1">
        <v>10</v>
      </c>
      <c r="AY181" s="1">
        <v>0</v>
      </c>
      <c r="AZ181" s="1">
        <v>0</v>
      </c>
      <c r="BA181" s="1">
        <v>20</v>
      </c>
      <c r="BB181" s="1">
        <v>0</v>
      </c>
      <c r="BC181" s="1">
        <v>0</v>
      </c>
      <c r="BD181" s="1">
        <v>0</v>
      </c>
      <c r="BE181" s="54">
        <v>0</v>
      </c>
      <c r="BF181" s="6">
        <v>9</v>
      </c>
      <c r="BG181" s="6">
        <v>4</v>
      </c>
      <c r="BH181" s="1">
        <v>0</v>
      </c>
      <c r="BI181" s="6">
        <v>0</v>
      </c>
      <c r="BJ181" s="1" t="s">
        <v>22</v>
      </c>
      <c r="BK181" s="6">
        <v>7</v>
      </c>
      <c r="BL181" s="6">
        <v>0</v>
      </c>
      <c r="BM181" s="1">
        <v>0</v>
      </c>
      <c r="BN181" t="s">
        <v>24</v>
      </c>
      <c r="BO181">
        <v>3716</v>
      </c>
    </row>
    <row r="182" spans="1:67" x14ac:dyDescent="0.3">
      <c r="A182" s="4">
        <f>INT(Tabela1[[#This Row],[Data e Hora]])</f>
        <v>46266</v>
      </c>
      <c r="B182" s="4" t="str">
        <f>UPPER(TEXT(Tabela1[[#This Row],[Data Corrigida]],"MMM"))</f>
        <v>SET</v>
      </c>
      <c r="C182" t="s">
        <v>563</v>
      </c>
      <c r="D182" t="s">
        <v>564</v>
      </c>
      <c r="E182" t="s">
        <v>565</v>
      </c>
      <c r="F182" t="s">
        <v>19</v>
      </c>
      <c r="G182" s="5" t="s">
        <v>533</v>
      </c>
      <c r="H182" t="s">
        <v>20</v>
      </c>
      <c r="I182" t="s">
        <v>33</v>
      </c>
      <c r="J182" s="1">
        <v>162</v>
      </c>
      <c r="K182" s="1">
        <v>3272</v>
      </c>
      <c r="L182" t="s">
        <v>34</v>
      </c>
      <c r="M182" s="1">
        <v>22</v>
      </c>
      <c r="N182" s="48">
        <v>22</v>
      </c>
      <c r="O182" s="1">
        <v>8</v>
      </c>
      <c r="P182" s="48">
        <v>8</v>
      </c>
      <c r="Q182" s="1">
        <v>0</v>
      </c>
      <c r="R182" s="1">
        <v>0</v>
      </c>
      <c r="S182" s="1">
        <v>1</v>
      </c>
      <c r="T182" s="1">
        <v>1</v>
      </c>
      <c r="U182" s="1">
        <v>0</v>
      </c>
      <c r="V182" s="1">
        <v>0</v>
      </c>
      <c r="W182" s="1">
        <v>1</v>
      </c>
      <c r="X182" s="1">
        <v>5</v>
      </c>
      <c r="Y182" s="1">
        <v>8</v>
      </c>
      <c r="Z182" s="3">
        <v>2.4691358024691357</v>
      </c>
      <c r="AA182" s="1">
        <v>34</v>
      </c>
      <c r="AB182" s="3">
        <v>20.987654320987652</v>
      </c>
      <c r="AC182" s="1">
        <v>0</v>
      </c>
      <c r="AD182" s="3">
        <v>0</v>
      </c>
      <c r="AE182" s="1">
        <v>2</v>
      </c>
      <c r="AF182" s="3">
        <v>1.2345679012345678</v>
      </c>
      <c r="AG182" s="1">
        <v>4</v>
      </c>
      <c r="AH182" s="3">
        <v>2.4691358024691357</v>
      </c>
      <c r="AI182" s="1" t="s">
        <v>22</v>
      </c>
      <c r="AJ182" s="1">
        <v>0</v>
      </c>
      <c r="AK182" s="3">
        <v>0</v>
      </c>
      <c r="AL182" s="1">
        <v>0</v>
      </c>
      <c r="AM182" s="3">
        <v>0</v>
      </c>
      <c r="AN182" s="1" t="s">
        <v>22</v>
      </c>
      <c r="AO182" s="1">
        <v>27</v>
      </c>
      <c r="AP182" s="3">
        <v>16.666666666666664</v>
      </c>
      <c r="AQ182" s="3"/>
      <c r="AR182" s="3"/>
      <c r="AS182" s="1">
        <v>6</v>
      </c>
      <c r="AT182" s="3">
        <v>3.7037037037037033</v>
      </c>
      <c r="AU182" s="1">
        <v>0</v>
      </c>
      <c r="AV182" s="3">
        <v>0</v>
      </c>
      <c r="AW182" s="1" t="s">
        <v>22</v>
      </c>
      <c r="AX182" s="1">
        <v>14</v>
      </c>
      <c r="AY182" s="1">
        <v>1</v>
      </c>
      <c r="AZ182" s="1">
        <v>1</v>
      </c>
      <c r="BA182" s="1">
        <v>28</v>
      </c>
      <c r="BB182" s="1">
        <v>2</v>
      </c>
      <c r="BC182" s="1">
        <v>2</v>
      </c>
      <c r="BD182" s="1">
        <v>1</v>
      </c>
      <c r="BE182" s="54">
        <v>0.61728395061728392</v>
      </c>
      <c r="BF182" s="6">
        <v>10</v>
      </c>
      <c r="BG182" s="6">
        <v>4</v>
      </c>
      <c r="BH182" s="1">
        <v>0</v>
      </c>
      <c r="BI182" s="6">
        <v>0</v>
      </c>
      <c r="BJ182" s="1" t="s">
        <v>22</v>
      </c>
      <c r="BK182" s="6">
        <v>6</v>
      </c>
      <c r="BL182" s="6">
        <v>0</v>
      </c>
      <c r="BM182" s="1">
        <v>0</v>
      </c>
      <c r="BN182" t="s">
        <v>24</v>
      </c>
      <c r="BO182">
        <v>11371</v>
      </c>
    </row>
    <row r="183" spans="1:67" x14ac:dyDescent="0.3">
      <c r="A183" s="4">
        <f>INT(Tabela1[[#This Row],[Data e Hora]])</f>
        <v>46266</v>
      </c>
      <c r="B183" s="4" t="str">
        <f>UPPER(TEXT(Tabela1[[#This Row],[Data Corrigida]],"MMM"))</f>
        <v>SET</v>
      </c>
      <c r="C183" t="s">
        <v>566</v>
      </c>
      <c r="D183" t="s">
        <v>567</v>
      </c>
      <c r="E183" t="s">
        <v>565</v>
      </c>
      <c r="F183" t="s">
        <v>19</v>
      </c>
      <c r="G183" s="5" t="s">
        <v>533</v>
      </c>
      <c r="H183" t="s">
        <v>20</v>
      </c>
      <c r="I183" t="s">
        <v>33</v>
      </c>
      <c r="J183" s="1">
        <v>140</v>
      </c>
      <c r="K183" s="1">
        <v>3074</v>
      </c>
      <c r="L183" t="s">
        <v>34</v>
      </c>
      <c r="M183" s="1">
        <v>19</v>
      </c>
      <c r="N183" s="48">
        <v>19</v>
      </c>
      <c r="O183" s="1">
        <v>4</v>
      </c>
      <c r="P183" s="48">
        <v>4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5</v>
      </c>
      <c r="Z183" s="3">
        <v>1.7857142857142856</v>
      </c>
      <c r="AA183" s="1">
        <v>30</v>
      </c>
      <c r="AB183" s="3">
        <v>21.428571428571427</v>
      </c>
      <c r="AC183" s="1">
        <v>0</v>
      </c>
      <c r="AD183" s="3">
        <v>0</v>
      </c>
      <c r="AE183" s="1">
        <v>0</v>
      </c>
      <c r="AF183" s="3">
        <v>0</v>
      </c>
      <c r="AG183" s="1">
        <v>3</v>
      </c>
      <c r="AH183" s="3">
        <v>2.1428571428571428</v>
      </c>
      <c r="AI183" s="1" t="s">
        <v>22</v>
      </c>
      <c r="AJ183" s="1">
        <v>1</v>
      </c>
      <c r="AK183" s="3">
        <v>0.7142857142857143</v>
      </c>
      <c r="AL183" s="1">
        <v>0</v>
      </c>
      <c r="AM183" s="3">
        <v>0</v>
      </c>
      <c r="AN183" s="1" t="s">
        <v>22</v>
      </c>
      <c r="AO183" s="1">
        <v>4</v>
      </c>
      <c r="AP183" s="3">
        <v>2.8571428571428572</v>
      </c>
      <c r="AQ183" s="3"/>
      <c r="AR183" s="3"/>
      <c r="AS183" s="1">
        <v>4</v>
      </c>
      <c r="AT183" s="3">
        <v>2.8571428571428572</v>
      </c>
      <c r="AU183" s="1">
        <v>0</v>
      </c>
      <c r="AV183" s="3">
        <v>0</v>
      </c>
      <c r="AW183" s="1" t="s">
        <v>22</v>
      </c>
      <c r="AX183" s="1">
        <v>6</v>
      </c>
      <c r="AY183" s="1">
        <v>0</v>
      </c>
      <c r="AZ183" s="1">
        <v>0</v>
      </c>
      <c r="BA183" s="1">
        <v>12</v>
      </c>
      <c r="BB183" s="1">
        <v>0</v>
      </c>
      <c r="BC183" s="1">
        <v>0</v>
      </c>
      <c r="BD183" s="1">
        <v>0</v>
      </c>
      <c r="BE183" s="54">
        <v>0</v>
      </c>
      <c r="BF183" s="6">
        <v>10</v>
      </c>
      <c r="BG183" s="6">
        <v>3</v>
      </c>
      <c r="BH183" s="1">
        <v>0</v>
      </c>
      <c r="BI183" s="6">
        <v>0</v>
      </c>
      <c r="BJ183" s="1" t="s">
        <v>22</v>
      </c>
      <c r="BK183" s="6">
        <v>10</v>
      </c>
      <c r="BL183" s="6">
        <v>0</v>
      </c>
      <c r="BM183" s="1">
        <v>0</v>
      </c>
      <c r="BN183" t="s">
        <v>24</v>
      </c>
      <c r="BO183">
        <v>10075</v>
      </c>
    </row>
    <row r="184" spans="1:67" x14ac:dyDescent="0.3">
      <c r="A184" s="4">
        <f>INT(Tabela1[[#This Row],[Data e Hora]])</f>
        <v>46268</v>
      </c>
      <c r="B184" s="4" t="str">
        <f>UPPER(TEXT(Tabela1[[#This Row],[Data Corrigida]],"MMM"))</f>
        <v>SET</v>
      </c>
      <c r="C184" t="s">
        <v>568</v>
      </c>
      <c r="D184" t="s">
        <v>569</v>
      </c>
      <c r="E184" t="s">
        <v>570</v>
      </c>
      <c r="F184" t="s">
        <v>19</v>
      </c>
      <c r="G184" s="5" t="s">
        <v>571</v>
      </c>
      <c r="H184" t="s">
        <v>20</v>
      </c>
      <c r="I184" t="s">
        <v>33</v>
      </c>
      <c r="J184" s="1">
        <v>161</v>
      </c>
      <c r="K184" s="1">
        <v>2564</v>
      </c>
      <c r="L184" t="s">
        <v>34</v>
      </c>
      <c r="M184" s="1">
        <v>20</v>
      </c>
      <c r="N184" s="48">
        <v>20</v>
      </c>
      <c r="O184" s="1">
        <v>6</v>
      </c>
      <c r="P184" s="48">
        <v>6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6</v>
      </c>
      <c r="Z184" s="3">
        <v>1.8633540372670807</v>
      </c>
      <c r="AA184" s="1">
        <v>2</v>
      </c>
      <c r="AB184" s="3">
        <v>1.2422360248447204</v>
      </c>
      <c r="AC184" s="1">
        <v>0</v>
      </c>
      <c r="AD184" s="3">
        <v>0</v>
      </c>
      <c r="AE184" s="1">
        <v>1</v>
      </c>
      <c r="AF184" s="3">
        <v>0.6211180124223602</v>
      </c>
      <c r="AG184" s="1">
        <v>2</v>
      </c>
      <c r="AH184" s="3">
        <v>1.2422360248447204</v>
      </c>
      <c r="AI184" s="1" t="s">
        <v>22</v>
      </c>
      <c r="AJ184" s="1">
        <v>0</v>
      </c>
      <c r="AK184" s="3">
        <v>0</v>
      </c>
      <c r="AL184" s="1">
        <v>0</v>
      </c>
      <c r="AM184" s="3">
        <v>0</v>
      </c>
      <c r="AN184" s="1" t="s">
        <v>22</v>
      </c>
      <c r="AO184" s="1">
        <v>5</v>
      </c>
      <c r="AP184" s="3">
        <v>3.1055900621118013</v>
      </c>
      <c r="AQ184" s="3"/>
      <c r="AR184" s="3"/>
      <c r="AS184" s="1">
        <v>4</v>
      </c>
      <c r="AT184" s="3">
        <v>2.4844720496894408</v>
      </c>
      <c r="AU184" s="1">
        <v>0</v>
      </c>
      <c r="AV184" s="3">
        <v>0</v>
      </c>
      <c r="AW184" s="1" t="s">
        <v>22</v>
      </c>
      <c r="AX184" s="1">
        <v>6</v>
      </c>
      <c r="AY184" s="1">
        <v>0</v>
      </c>
      <c r="AZ184" s="1">
        <v>0</v>
      </c>
      <c r="BA184" s="1">
        <v>12</v>
      </c>
      <c r="BB184" s="1">
        <v>0</v>
      </c>
      <c r="BC184" s="1">
        <v>0</v>
      </c>
      <c r="BD184" s="1">
        <v>0</v>
      </c>
      <c r="BE184" s="54">
        <v>0</v>
      </c>
      <c r="BF184" s="6">
        <v>7</v>
      </c>
      <c r="BG184" s="6">
        <v>3</v>
      </c>
      <c r="BH184" s="1">
        <v>0</v>
      </c>
      <c r="BI184" s="6">
        <v>0</v>
      </c>
      <c r="BJ184" s="1" t="s">
        <v>22</v>
      </c>
      <c r="BK184" s="6">
        <v>0</v>
      </c>
      <c r="BL184" s="6">
        <v>0</v>
      </c>
      <c r="BM184" s="1" t="s">
        <v>22</v>
      </c>
      <c r="BN184" t="s">
        <v>24</v>
      </c>
      <c r="BO184">
        <v>291</v>
      </c>
    </row>
    <row r="185" spans="1:67" x14ac:dyDescent="0.3">
      <c r="A185" s="4">
        <f>INT(Tabela1[[#This Row],[Data e Hora]])</f>
        <v>46268</v>
      </c>
      <c r="B185" s="4" t="str">
        <f>UPPER(TEXT(Tabela1[[#This Row],[Data Corrigida]],"MMM"))</f>
        <v>SET</v>
      </c>
      <c r="C185" t="s">
        <v>572</v>
      </c>
      <c r="D185" t="s">
        <v>573</v>
      </c>
      <c r="E185" t="s">
        <v>570</v>
      </c>
      <c r="F185" t="s">
        <v>19</v>
      </c>
      <c r="G185" s="5" t="s">
        <v>571</v>
      </c>
      <c r="H185" t="s">
        <v>20</v>
      </c>
      <c r="I185" t="s">
        <v>33</v>
      </c>
      <c r="J185" s="1">
        <v>161</v>
      </c>
      <c r="K185" s="1">
        <v>2325</v>
      </c>
      <c r="L185" t="s">
        <v>34</v>
      </c>
      <c r="M185" s="1">
        <v>22</v>
      </c>
      <c r="N185" s="48">
        <v>22</v>
      </c>
      <c r="O185" s="1">
        <v>5</v>
      </c>
      <c r="P185" s="48">
        <v>5</v>
      </c>
      <c r="Q185" s="1">
        <v>1</v>
      </c>
      <c r="R185" s="1">
        <v>10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4</v>
      </c>
      <c r="Z185" s="3">
        <v>1.2422360248447204</v>
      </c>
      <c r="AA185" s="1">
        <v>2</v>
      </c>
      <c r="AB185" s="3">
        <v>1.2422360248447204</v>
      </c>
      <c r="AC185" s="1">
        <v>0</v>
      </c>
      <c r="AD185" s="3">
        <v>0</v>
      </c>
      <c r="AE185" s="1">
        <v>0</v>
      </c>
      <c r="AF185" s="3">
        <v>0</v>
      </c>
      <c r="AG185" s="1">
        <v>1</v>
      </c>
      <c r="AH185" s="3">
        <v>0.6211180124223602</v>
      </c>
      <c r="AI185" s="1" t="s">
        <v>22</v>
      </c>
      <c r="AJ185" s="1">
        <v>0</v>
      </c>
      <c r="AK185" s="3">
        <v>0</v>
      </c>
      <c r="AL185" s="1">
        <v>0</v>
      </c>
      <c r="AM185" s="3">
        <v>0</v>
      </c>
      <c r="AN185" s="1" t="s">
        <v>22</v>
      </c>
      <c r="AO185" s="1">
        <v>5</v>
      </c>
      <c r="AP185" s="3">
        <v>3.1055900621118013</v>
      </c>
      <c r="AQ185" s="3"/>
      <c r="AR185" s="3"/>
      <c r="AS185" s="1">
        <v>4</v>
      </c>
      <c r="AT185" s="3">
        <v>2.4844720496894408</v>
      </c>
      <c r="AU185" s="1">
        <v>0</v>
      </c>
      <c r="AV185" s="3">
        <v>0</v>
      </c>
      <c r="AW185" s="1" t="s">
        <v>22</v>
      </c>
      <c r="AX185" s="1">
        <v>6</v>
      </c>
      <c r="AY185" s="1">
        <v>2</v>
      </c>
      <c r="AZ185" s="1">
        <v>2</v>
      </c>
      <c r="BA185" s="1">
        <v>12</v>
      </c>
      <c r="BB185" s="1">
        <v>4</v>
      </c>
      <c r="BC185" s="1">
        <v>4</v>
      </c>
      <c r="BD185" s="1">
        <v>0</v>
      </c>
      <c r="BE185" s="54">
        <v>0</v>
      </c>
      <c r="BF185" s="6">
        <v>5</v>
      </c>
      <c r="BG185" s="6">
        <v>2</v>
      </c>
      <c r="BH185" s="1">
        <v>0</v>
      </c>
      <c r="BI185" s="6">
        <v>0</v>
      </c>
      <c r="BJ185" s="1" t="s">
        <v>22</v>
      </c>
      <c r="BK185" s="6">
        <v>3</v>
      </c>
      <c r="BL185" s="6">
        <v>0</v>
      </c>
      <c r="BM185" s="1">
        <v>0</v>
      </c>
      <c r="BN185" t="s">
        <v>24</v>
      </c>
      <c r="BO185">
        <v>6345</v>
      </c>
    </row>
    <row r="186" spans="1:67" x14ac:dyDescent="0.3">
      <c r="A186" s="4">
        <f>INT(Tabela1[[#This Row],[Data e Hora]])</f>
        <v>46268</v>
      </c>
      <c r="B186" s="4" t="str">
        <f>UPPER(TEXT(Tabela1[[#This Row],[Data Corrigida]],"MMM"))</f>
        <v>SET</v>
      </c>
      <c r="C186" t="s">
        <v>574</v>
      </c>
      <c r="D186" t="s">
        <v>575</v>
      </c>
      <c r="E186" t="s">
        <v>576</v>
      </c>
      <c r="F186" t="s">
        <v>19</v>
      </c>
      <c r="G186" s="5" t="s">
        <v>571</v>
      </c>
      <c r="H186" t="s">
        <v>20</v>
      </c>
      <c r="I186" t="s">
        <v>33</v>
      </c>
      <c r="J186" s="1">
        <v>140</v>
      </c>
      <c r="K186" s="1">
        <v>2961</v>
      </c>
      <c r="L186" t="s">
        <v>34</v>
      </c>
      <c r="M186" s="1">
        <v>24</v>
      </c>
      <c r="N186" s="48">
        <v>24</v>
      </c>
      <c r="O186" s="1">
        <v>6</v>
      </c>
      <c r="P186" s="48">
        <v>6</v>
      </c>
      <c r="Q186" s="1">
        <v>2</v>
      </c>
      <c r="R186" s="1">
        <v>20</v>
      </c>
      <c r="S186" s="1">
        <v>1</v>
      </c>
      <c r="T186" s="1">
        <v>1</v>
      </c>
      <c r="U186" s="1">
        <v>0</v>
      </c>
      <c r="V186" s="1">
        <v>0</v>
      </c>
      <c r="W186" s="1">
        <v>0</v>
      </c>
      <c r="X186" s="1">
        <v>0</v>
      </c>
      <c r="Y186" s="1">
        <v>4</v>
      </c>
      <c r="Z186" s="3">
        <v>1.4285714285714286</v>
      </c>
      <c r="AA186" s="1">
        <v>1</v>
      </c>
      <c r="AB186" s="3">
        <v>0.7142857142857143</v>
      </c>
      <c r="AC186" s="1">
        <v>0</v>
      </c>
      <c r="AD186" s="3">
        <v>0</v>
      </c>
      <c r="AE186" s="1">
        <v>0</v>
      </c>
      <c r="AF186" s="3">
        <v>0</v>
      </c>
      <c r="AG186" s="1">
        <v>2</v>
      </c>
      <c r="AH186" s="3">
        <v>1.4285714285714286</v>
      </c>
      <c r="AI186" s="1" t="s">
        <v>22</v>
      </c>
      <c r="AJ186" s="1">
        <v>0</v>
      </c>
      <c r="AK186" s="3">
        <v>0</v>
      </c>
      <c r="AL186" s="1">
        <v>0</v>
      </c>
      <c r="AM186" s="3">
        <v>0</v>
      </c>
      <c r="AN186" s="1" t="s">
        <v>22</v>
      </c>
      <c r="AO186" s="1">
        <v>3</v>
      </c>
      <c r="AP186" s="3">
        <v>2.1428571428571428</v>
      </c>
      <c r="AQ186" s="3"/>
      <c r="AR186" s="3"/>
      <c r="AS186" s="1">
        <v>4</v>
      </c>
      <c r="AT186" s="3">
        <v>2.8571428571428572</v>
      </c>
      <c r="AU186" s="1">
        <v>0</v>
      </c>
      <c r="AV186" s="3">
        <v>0</v>
      </c>
      <c r="AW186" s="1" t="s">
        <v>22</v>
      </c>
      <c r="AX186" s="1">
        <v>9</v>
      </c>
      <c r="AY186" s="1">
        <v>1</v>
      </c>
      <c r="AZ186" s="1">
        <v>1</v>
      </c>
      <c r="BA186" s="1">
        <v>18</v>
      </c>
      <c r="BB186" s="1">
        <v>2</v>
      </c>
      <c r="BC186" s="1">
        <v>2</v>
      </c>
      <c r="BD186" s="1">
        <v>1</v>
      </c>
      <c r="BE186" s="54">
        <v>0.7142857142857143</v>
      </c>
      <c r="BF186" s="6">
        <v>6</v>
      </c>
      <c r="BG186" s="6">
        <v>3</v>
      </c>
      <c r="BH186" s="1">
        <v>0</v>
      </c>
      <c r="BI186" s="6">
        <v>0</v>
      </c>
      <c r="BJ186" s="1" t="s">
        <v>22</v>
      </c>
      <c r="BK186" s="6">
        <v>7</v>
      </c>
      <c r="BL186" s="6">
        <v>0</v>
      </c>
      <c r="BM186" s="1">
        <v>0</v>
      </c>
      <c r="BN186" t="s">
        <v>24</v>
      </c>
      <c r="BO186">
        <v>9808</v>
      </c>
    </row>
    <row r="187" spans="1:67" x14ac:dyDescent="0.3">
      <c r="A187" s="4">
        <f>INT(Tabela1[[#This Row],[Data e Hora]])</f>
        <v>46268</v>
      </c>
      <c r="B187" s="4" t="str">
        <f>UPPER(TEXT(Tabela1[[#This Row],[Data Corrigida]],"MMM"))</f>
        <v>SET</v>
      </c>
      <c r="C187" t="s">
        <v>577</v>
      </c>
      <c r="D187" t="s">
        <v>578</v>
      </c>
      <c r="E187" t="s">
        <v>579</v>
      </c>
      <c r="F187" t="s">
        <v>19</v>
      </c>
      <c r="G187" s="5" t="s">
        <v>571</v>
      </c>
      <c r="H187" t="s">
        <v>20</v>
      </c>
      <c r="I187" t="s">
        <v>21</v>
      </c>
      <c r="J187" s="1">
        <v>160</v>
      </c>
      <c r="K187" s="1">
        <v>2415</v>
      </c>
      <c r="L187" t="s">
        <v>23</v>
      </c>
      <c r="M187" s="1">
        <v>35</v>
      </c>
      <c r="N187" s="48">
        <v>35</v>
      </c>
      <c r="O187" s="1">
        <v>20</v>
      </c>
      <c r="P187" s="48">
        <v>20</v>
      </c>
      <c r="Q187" s="1">
        <v>0</v>
      </c>
      <c r="R187" s="1">
        <v>0</v>
      </c>
      <c r="S187" s="1">
        <v>1</v>
      </c>
      <c r="T187" s="1">
        <v>1</v>
      </c>
      <c r="U187" s="1">
        <v>1</v>
      </c>
      <c r="V187" s="1">
        <v>1</v>
      </c>
      <c r="W187" s="1">
        <v>0</v>
      </c>
      <c r="X187" s="1">
        <v>0</v>
      </c>
      <c r="Y187" s="1">
        <v>2</v>
      </c>
      <c r="Z187" s="3">
        <v>0.625</v>
      </c>
      <c r="AA187" s="1">
        <v>4</v>
      </c>
      <c r="AB187" s="3">
        <v>2.5</v>
      </c>
      <c r="AC187" s="1">
        <v>0</v>
      </c>
      <c r="AD187" s="3">
        <v>0</v>
      </c>
      <c r="AE187" s="1">
        <v>0</v>
      </c>
      <c r="AF187" s="3">
        <v>0</v>
      </c>
      <c r="AG187" s="1">
        <v>5</v>
      </c>
      <c r="AH187" s="3">
        <v>3.125</v>
      </c>
      <c r="AI187" s="1" t="s">
        <v>22</v>
      </c>
      <c r="AJ187" s="1">
        <v>1</v>
      </c>
      <c r="AK187" s="3">
        <v>0.625</v>
      </c>
      <c r="AL187" s="1">
        <v>1</v>
      </c>
      <c r="AM187" s="3">
        <v>0.625</v>
      </c>
      <c r="AN187" s="1" t="s">
        <v>22</v>
      </c>
      <c r="AO187" s="1">
        <v>6</v>
      </c>
      <c r="AP187" s="3">
        <v>3.75</v>
      </c>
      <c r="AQ187" s="3"/>
      <c r="AR187" s="3"/>
      <c r="AS187" s="1">
        <v>4</v>
      </c>
      <c r="AT187" s="3">
        <v>2.5</v>
      </c>
      <c r="AU187" s="1">
        <v>1</v>
      </c>
      <c r="AV187" s="3">
        <v>0.625</v>
      </c>
      <c r="AW187" s="1" t="s">
        <v>22</v>
      </c>
      <c r="AX187" s="1">
        <v>16</v>
      </c>
      <c r="AY187" s="1">
        <v>0</v>
      </c>
      <c r="AZ187" s="1">
        <v>0</v>
      </c>
      <c r="BA187" s="1">
        <v>32</v>
      </c>
      <c r="BB187" s="1">
        <v>0</v>
      </c>
      <c r="BC187" s="1">
        <v>0</v>
      </c>
      <c r="BD187" s="1">
        <v>1</v>
      </c>
      <c r="BE187" s="54">
        <v>0.625</v>
      </c>
      <c r="BF187" s="6">
        <v>21</v>
      </c>
      <c r="BG187" s="6">
        <v>19</v>
      </c>
      <c r="BH187" s="1">
        <v>1</v>
      </c>
      <c r="BI187" s="6">
        <v>10</v>
      </c>
      <c r="BJ187" s="1" t="s">
        <v>22</v>
      </c>
      <c r="BK187" s="6">
        <v>0</v>
      </c>
      <c r="BL187" s="6">
        <v>0</v>
      </c>
      <c r="BM187" s="1">
        <v>3</v>
      </c>
      <c r="BN187" t="s">
        <v>24</v>
      </c>
      <c r="BO187">
        <v>1560</v>
      </c>
    </row>
    <row r="188" spans="1:67" x14ac:dyDescent="0.3">
      <c r="A188" s="4">
        <f>INT(Tabela1[[#This Row],[Data e Hora]])</f>
        <v>46268</v>
      </c>
      <c r="B188" s="4" t="str">
        <f>UPPER(TEXT(Tabela1[[#This Row],[Data Corrigida]],"MMM"))</f>
        <v>SET</v>
      </c>
      <c r="C188" t="s">
        <v>580</v>
      </c>
      <c r="D188" t="s">
        <v>581</v>
      </c>
      <c r="E188" t="s">
        <v>582</v>
      </c>
      <c r="F188" t="s">
        <v>19</v>
      </c>
      <c r="G188" s="5" t="s">
        <v>571</v>
      </c>
      <c r="H188" t="s">
        <v>20</v>
      </c>
      <c r="I188" t="s">
        <v>21</v>
      </c>
      <c r="J188" s="1">
        <v>150</v>
      </c>
      <c r="K188" s="1">
        <v>2800</v>
      </c>
      <c r="L188" t="s">
        <v>23</v>
      </c>
      <c r="M188" s="1">
        <v>28</v>
      </c>
      <c r="N188" s="48">
        <v>28.000000000000004</v>
      </c>
      <c r="O188" s="1">
        <v>12</v>
      </c>
      <c r="P188" s="48">
        <v>12</v>
      </c>
      <c r="Q188" s="1">
        <v>0</v>
      </c>
      <c r="R188" s="1">
        <v>0</v>
      </c>
      <c r="S188" s="1">
        <v>2</v>
      </c>
      <c r="T188" s="1">
        <v>2</v>
      </c>
      <c r="U188" s="1">
        <v>2</v>
      </c>
      <c r="V188" s="1">
        <v>2</v>
      </c>
      <c r="W188" s="1">
        <v>0</v>
      </c>
      <c r="X188" s="1">
        <v>0</v>
      </c>
      <c r="Y188" s="1">
        <v>1</v>
      </c>
      <c r="Z188" s="3">
        <v>0.33333333333333337</v>
      </c>
      <c r="AA188" s="1">
        <v>4</v>
      </c>
      <c r="AB188" s="3">
        <v>2.666666666666667</v>
      </c>
      <c r="AC188" s="1">
        <v>0</v>
      </c>
      <c r="AD188" s="3">
        <v>0</v>
      </c>
      <c r="AE188" s="1">
        <v>1</v>
      </c>
      <c r="AF188" s="3">
        <v>0.66666666666666674</v>
      </c>
      <c r="AG188" s="1">
        <v>5</v>
      </c>
      <c r="AH188" s="3">
        <v>3.3333333333333335</v>
      </c>
      <c r="AI188" s="1" t="s">
        <v>22</v>
      </c>
      <c r="AJ188" s="1">
        <v>3</v>
      </c>
      <c r="AK188" s="3">
        <v>2</v>
      </c>
      <c r="AL188" s="1">
        <v>2</v>
      </c>
      <c r="AM188" s="3">
        <v>1.3333333333333335</v>
      </c>
      <c r="AN188" s="1" t="s">
        <v>22</v>
      </c>
      <c r="AO188" s="1">
        <v>5</v>
      </c>
      <c r="AP188" s="3">
        <v>3.3333333333333335</v>
      </c>
      <c r="AQ188" s="3"/>
      <c r="AR188" s="3"/>
      <c r="AS188" s="1">
        <v>6</v>
      </c>
      <c r="AT188" s="3">
        <v>4</v>
      </c>
      <c r="AU188" s="1">
        <v>1</v>
      </c>
      <c r="AV188" s="3">
        <v>0.66666666666666674</v>
      </c>
      <c r="AW188" s="1" t="s">
        <v>22</v>
      </c>
      <c r="AX188" s="1">
        <v>16</v>
      </c>
      <c r="AY188" s="1">
        <v>0</v>
      </c>
      <c r="AZ188" s="1">
        <v>0</v>
      </c>
      <c r="BA188" s="1">
        <v>32</v>
      </c>
      <c r="BB188" s="1">
        <v>0</v>
      </c>
      <c r="BC188" s="1">
        <v>0</v>
      </c>
      <c r="BD188" s="1">
        <v>0</v>
      </c>
      <c r="BE188" s="54">
        <v>0</v>
      </c>
      <c r="BF188" s="6">
        <v>25</v>
      </c>
      <c r="BG188" s="6">
        <v>19</v>
      </c>
      <c r="BH188" s="1">
        <v>0</v>
      </c>
      <c r="BI188" s="6">
        <v>0</v>
      </c>
      <c r="BJ188" s="1" t="s">
        <v>22</v>
      </c>
      <c r="BK188" s="1" t="s">
        <v>22</v>
      </c>
      <c r="BL188" s="1" t="s">
        <v>22</v>
      </c>
      <c r="BM188" s="1" t="s">
        <v>22</v>
      </c>
      <c r="BN188" t="s">
        <v>24</v>
      </c>
      <c r="BO188">
        <v>1600</v>
      </c>
    </row>
    <row r="189" spans="1:67" x14ac:dyDescent="0.3">
      <c r="A189" s="4">
        <f>INT(Tabela1[[#This Row],[Data e Hora]])</f>
        <v>46268</v>
      </c>
      <c r="B189" s="4" t="str">
        <f>UPPER(TEXT(Tabela1[[#This Row],[Data Corrigida]],"MMM"))</f>
        <v>SET</v>
      </c>
      <c r="C189" t="s">
        <v>583</v>
      </c>
      <c r="D189" t="s">
        <v>584</v>
      </c>
      <c r="E189" t="s">
        <v>585</v>
      </c>
      <c r="F189" t="s">
        <v>19</v>
      </c>
      <c r="G189" s="5" t="s">
        <v>571</v>
      </c>
      <c r="H189" t="s">
        <v>20</v>
      </c>
      <c r="I189" t="s">
        <v>21</v>
      </c>
      <c r="J189" s="1">
        <v>160</v>
      </c>
      <c r="K189" s="1">
        <v>2519</v>
      </c>
      <c r="L189" t="s">
        <v>23</v>
      </c>
      <c r="M189" s="1">
        <v>39</v>
      </c>
      <c r="N189" s="48">
        <v>39</v>
      </c>
      <c r="O189" s="1">
        <v>15</v>
      </c>
      <c r="P189" s="48">
        <v>15</v>
      </c>
      <c r="Q189" s="1">
        <v>0</v>
      </c>
      <c r="R189" s="1">
        <v>0</v>
      </c>
      <c r="S189" s="1">
        <v>1</v>
      </c>
      <c r="T189" s="1">
        <v>1</v>
      </c>
      <c r="U189" s="1">
        <v>2</v>
      </c>
      <c r="V189" s="1">
        <v>2</v>
      </c>
      <c r="W189" s="1">
        <v>0</v>
      </c>
      <c r="X189" s="1">
        <v>0</v>
      </c>
      <c r="Y189" s="1">
        <v>1</v>
      </c>
      <c r="Z189" s="3">
        <v>0.3125</v>
      </c>
      <c r="AA189" s="1">
        <v>5</v>
      </c>
      <c r="AB189" s="3">
        <v>3.125</v>
      </c>
      <c r="AC189" s="1">
        <v>0</v>
      </c>
      <c r="AD189" s="3">
        <v>0</v>
      </c>
      <c r="AE189" s="1">
        <v>0</v>
      </c>
      <c r="AF189" s="3">
        <v>0</v>
      </c>
      <c r="AG189" s="1">
        <v>6</v>
      </c>
      <c r="AH189" s="3">
        <v>3.75</v>
      </c>
      <c r="AI189" s="1" t="s">
        <v>22</v>
      </c>
      <c r="AJ189" s="1">
        <v>3</v>
      </c>
      <c r="AK189" s="3">
        <v>1.875</v>
      </c>
      <c r="AL189" s="1">
        <v>2</v>
      </c>
      <c r="AM189" s="3">
        <v>1.25</v>
      </c>
      <c r="AN189" s="1" t="s">
        <v>22</v>
      </c>
      <c r="AO189" s="1">
        <v>7</v>
      </c>
      <c r="AP189" s="3">
        <v>4.375</v>
      </c>
      <c r="AQ189" s="3"/>
      <c r="AR189" s="3"/>
      <c r="AS189" s="1">
        <v>6</v>
      </c>
      <c r="AT189" s="3">
        <v>3.75</v>
      </c>
      <c r="AU189" s="1">
        <v>1</v>
      </c>
      <c r="AV189" s="3">
        <v>0.625</v>
      </c>
      <c r="AW189" s="1" t="s">
        <v>22</v>
      </c>
      <c r="AX189" s="1">
        <v>14</v>
      </c>
      <c r="AY189" s="1">
        <v>0</v>
      </c>
      <c r="AZ189" s="1">
        <v>0</v>
      </c>
      <c r="BA189" s="1">
        <v>28</v>
      </c>
      <c r="BB189" s="1">
        <v>0</v>
      </c>
      <c r="BC189" s="1">
        <v>0</v>
      </c>
      <c r="BD189" s="1">
        <v>1</v>
      </c>
      <c r="BE189" s="54">
        <v>0.625</v>
      </c>
      <c r="BF189" s="6">
        <v>27</v>
      </c>
      <c r="BG189" s="6">
        <v>20</v>
      </c>
      <c r="BH189" s="1">
        <v>1</v>
      </c>
      <c r="BI189" s="6">
        <v>10</v>
      </c>
      <c r="BJ189" s="1" t="s">
        <v>22</v>
      </c>
      <c r="BK189" s="1" t="s">
        <v>22</v>
      </c>
      <c r="BL189" s="1" t="s">
        <v>22</v>
      </c>
      <c r="BM189" s="1" t="s">
        <v>22</v>
      </c>
      <c r="BN189" t="s">
        <v>22</v>
      </c>
      <c r="BO189">
        <v>2560</v>
      </c>
    </row>
    <row r="190" spans="1:67" x14ac:dyDescent="0.3">
      <c r="A190" s="4">
        <f>INT(Tabela1[[#This Row],[Data e Hora]])</f>
        <v>46268</v>
      </c>
      <c r="B190" s="4" t="str">
        <f>UPPER(TEXT(Tabela1[[#This Row],[Data Corrigida]],"MMM"))</f>
        <v>SET</v>
      </c>
      <c r="C190" t="s">
        <v>586</v>
      </c>
      <c r="D190" t="s">
        <v>587</v>
      </c>
      <c r="E190" t="s">
        <v>585</v>
      </c>
      <c r="F190" t="s">
        <v>19</v>
      </c>
      <c r="G190" s="5" t="s">
        <v>571</v>
      </c>
      <c r="H190" t="s">
        <v>20</v>
      </c>
      <c r="I190" t="s">
        <v>21</v>
      </c>
      <c r="J190" s="1">
        <v>160</v>
      </c>
      <c r="K190" s="1">
        <v>2440</v>
      </c>
      <c r="L190" t="s">
        <v>23</v>
      </c>
      <c r="M190" s="1">
        <v>22</v>
      </c>
      <c r="N190" s="48">
        <v>22</v>
      </c>
      <c r="O190" s="1">
        <v>5</v>
      </c>
      <c r="P190" s="48">
        <v>5</v>
      </c>
      <c r="Q190" s="1">
        <v>1</v>
      </c>
      <c r="R190" s="1">
        <v>10</v>
      </c>
      <c r="S190" s="1">
        <v>1</v>
      </c>
      <c r="T190" s="1">
        <v>1</v>
      </c>
      <c r="U190" s="1">
        <v>0</v>
      </c>
      <c r="V190" s="1">
        <v>0</v>
      </c>
      <c r="W190" s="1">
        <v>0</v>
      </c>
      <c r="X190" s="1">
        <v>0</v>
      </c>
      <c r="Y190" s="1">
        <v>1</v>
      </c>
      <c r="Z190" s="3">
        <v>0.3125</v>
      </c>
      <c r="AA190" s="1">
        <v>4</v>
      </c>
      <c r="AB190" s="3">
        <v>2.5</v>
      </c>
      <c r="AC190" s="1">
        <v>0</v>
      </c>
      <c r="AD190" s="3">
        <v>0</v>
      </c>
      <c r="AE190" s="1">
        <v>0</v>
      </c>
      <c r="AF190" s="3">
        <v>0</v>
      </c>
      <c r="AG190" s="1">
        <v>5</v>
      </c>
      <c r="AH190" s="3">
        <v>3.125</v>
      </c>
      <c r="AI190" s="1" t="s">
        <v>22</v>
      </c>
      <c r="AJ190" s="1">
        <v>1</v>
      </c>
      <c r="AK190" s="3">
        <v>0.625</v>
      </c>
      <c r="AL190" s="1">
        <v>1</v>
      </c>
      <c r="AM190" s="3">
        <v>0.625</v>
      </c>
      <c r="AN190" s="1" t="s">
        <v>22</v>
      </c>
      <c r="AO190" s="1">
        <v>6</v>
      </c>
      <c r="AP190" s="3">
        <v>3.75</v>
      </c>
      <c r="AQ190" s="3"/>
      <c r="AR190" s="3"/>
      <c r="AS190" s="1">
        <v>4</v>
      </c>
      <c r="AT190" s="3">
        <v>2.5</v>
      </c>
      <c r="AU190" s="1">
        <v>1</v>
      </c>
      <c r="AV190" s="3">
        <v>0.625</v>
      </c>
      <c r="AW190" s="1" t="s">
        <v>22</v>
      </c>
      <c r="AX190" s="1">
        <v>15</v>
      </c>
      <c r="AY190" s="1">
        <v>0</v>
      </c>
      <c r="AZ190" s="1">
        <v>0</v>
      </c>
      <c r="BA190" s="1">
        <v>30</v>
      </c>
      <c r="BB190" s="1">
        <v>0</v>
      </c>
      <c r="BC190" s="1">
        <v>0</v>
      </c>
      <c r="BD190" s="1">
        <v>1</v>
      </c>
      <c r="BE190" s="54">
        <v>0.625</v>
      </c>
      <c r="BF190" s="6">
        <v>20</v>
      </c>
      <c r="BG190" s="6">
        <v>17</v>
      </c>
      <c r="BH190" s="1">
        <v>2</v>
      </c>
      <c r="BI190" s="6">
        <v>20</v>
      </c>
      <c r="BJ190" s="1" t="s">
        <v>22</v>
      </c>
      <c r="BK190" s="6">
        <v>0</v>
      </c>
      <c r="BL190" s="6">
        <v>0</v>
      </c>
      <c r="BM190" s="1">
        <v>2</v>
      </c>
      <c r="BN190" t="s">
        <v>22</v>
      </c>
      <c r="BO190">
        <v>1701</v>
      </c>
    </row>
    <row r="191" spans="1:67" x14ac:dyDescent="0.3">
      <c r="A191" s="4">
        <f>INT(Tabela1[[#This Row],[Data e Hora]])</f>
        <v>46267</v>
      </c>
      <c r="B191" s="4" t="str">
        <f>UPPER(TEXT(Tabela1[[#This Row],[Data Corrigida]],"MMM"))</f>
        <v>SET</v>
      </c>
      <c r="C191" t="s">
        <v>588</v>
      </c>
      <c r="D191" t="s">
        <v>589</v>
      </c>
      <c r="E191" t="s">
        <v>590</v>
      </c>
      <c r="F191" t="s">
        <v>19</v>
      </c>
      <c r="G191" s="5" t="s">
        <v>591</v>
      </c>
      <c r="H191" t="s">
        <v>20</v>
      </c>
      <c r="I191" t="s">
        <v>33</v>
      </c>
      <c r="J191" s="1">
        <v>161</v>
      </c>
      <c r="K191" s="1">
        <v>2732</v>
      </c>
      <c r="L191" t="s">
        <v>34</v>
      </c>
      <c r="M191" s="1">
        <v>20</v>
      </c>
      <c r="N191" s="48">
        <v>20</v>
      </c>
      <c r="O191" s="1">
        <v>14</v>
      </c>
      <c r="P191" s="48">
        <v>14.000000000000002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4</v>
      </c>
      <c r="Z191" s="3">
        <v>1.2422360248447204</v>
      </c>
      <c r="AA191" s="1">
        <v>4</v>
      </c>
      <c r="AB191" s="3">
        <v>2.4844720496894408</v>
      </c>
      <c r="AC191" s="1">
        <v>0</v>
      </c>
      <c r="AD191" s="3">
        <v>0</v>
      </c>
      <c r="AE191" s="1">
        <v>1</v>
      </c>
      <c r="AF191" s="3">
        <v>0.6211180124223602</v>
      </c>
      <c r="AG191" s="1">
        <v>0</v>
      </c>
      <c r="AH191" s="3">
        <v>0</v>
      </c>
      <c r="AI191" s="1" t="s">
        <v>22</v>
      </c>
      <c r="AJ191" s="1">
        <v>0</v>
      </c>
      <c r="AK191" s="3">
        <v>0</v>
      </c>
      <c r="AL191" s="1">
        <v>0</v>
      </c>
      <c r="AM191" s="3">
        <v>0</v>
      </c>
      <c r="AN191" s="1" t="s">
        <v>22</v>
      </c>
      <c r="AO191" s="1">
        <v>7</v>
      </c>
      <c r="AP191" s="3">
        <v>4.3478260869565215</v>
      </c>
      <c r="AQ191" s="3"/>
      <c r="AR191" s="3"/>
      <c r="AS191" s="1">
        <v>5</v>
      </c>
      <c r="AT191" s="3">
        <v>3.1055900621118013</v>
      </c>
      <c r="AU191" s="1">
        <v>0</v>
      </c>
      <c r="AV191" s="3">
        <v>0</v>
      </c>
      <c r="AW191" s="1" t="s">
        <v>22</v>
      </c>
      <c r="AX191" s="1">
        <v>9</v>
      </c>
      <c r="AY191" s="1">
        <v>0</v>
      </c>
      <c r="AZ191" s="1">
        <v>0</v>
      </c>
      <c r="BA191" s="1">
        <v>18</v>
      </c>
      <c r="BB191" s="1">
        <v>0</v>
      </c>
      <c r="BC191" s="1">
        <v>0</v>
      </c>
      <c r="BD191" s="1">
        <v>0</v>
      </c>
      <c r="BE191" s="54">
        <v>0</v>
      </c>
      <c r="BF191" s="6">
        <v>10</v>
      </c>
      <c r="BG191" s="6">
        <v>4</v>
      </c>
      <c r="BH191" s="1">
        <v>0</v>
      </c>
      <c r="BI191" s="6">
        <v>0</v>
      </c>
      <c r="BJ191" s="1" t="s">
        <v>22</v>
      </c>
      <c r="BK191" s="6">
        <v>0</v>
      </c>
      <c r="BL191" s="6">
        <v>0</v>
      </c>
      <c r="BM191" s="1">
        <v>0</v>
      </c>
      <c r="BN191" t="s">
        <v>24</v>
      </c>
      <c r="BO191">
        <v>3680</v>
      </c>
    </row>
    <row r="192" spans="1:67" x14ac:dyDescent="0.3">
      <c r="A192" s="4">
        <f>INT(Tabela1[[#This Row],[Data e Hora]])</f>
        <v>46267</v>
      </c>
      <c r="B192" s="4" t="str">
        <f>UPPER(TEXT(Tabela1[[#This Row],[Data Corrigida]],"MMM"))</f>
        <v>SET</v>
      </c>
      <c r="C192" t="s">
        <v>592</v>
      </c>
      <c r="D192" t="s">
        <v>593</v>
      </c>
      <c r="E192" t="s">
        <v>590</v>
      </c>
      <c r="F192" t="s">
        <v>19</v>
      </c>
      <c r="G192" s="5" t="s">
        <v>591</v>
      </c>
      <c r="H192" t="s">
        <v>20</v>
      </c>
      <c r="I192" t="s">
        <v>33</v>
      </c>
      <c r="J192" s="1">
        <v>150</v>
      </c>
      <c r="K192" s="1">
        <v>2825</v>
      </c>
      <c r="L192" t="s">
        <v>34</v>
      </c>
      <c r="M192" s="1">
        <v>25</v>
      </c>
      <c r="N192" s="48">
        <v>25</v>
      </c>
      <c r="O192" s="1">
        <v>5</v>
      </c>
      <c r="P192" s="48">
        <v>5</v>
      </c>
      <c r="Q192" s="1">
        <v>2</v>
      </c>
      <c r="R192" s="1">
        <v>20</v>
      </c>
      <c r="S192" s="1">
        <v>1</v>
      </c>
      <c r="T192" s="1">
        <v>1</v>
      </c>
      <c r="U192" s="1">
        <v>0</v>
      </c>
      <c r="V192" s="1">
        <v>0</v>
      </c>
      <c r="W192" s="1">
        <v>0</v>
      </c>
      <c r="X192" s="1">
        <v>0</v>
      </c>
      <c r="Y192" s="1">
        <v>6</v>
      </c>
      <c r="Z192" s="3">
        <v>2</v>
      </c>
      <c r="AA192" s="1">
        <v>3</v>
      </c>
      <c r="AB192" s="3">
        <v>2</v>
      </c>
      <c r="AC192" s="1">
        <v>0</v>
      </c>
      <c r="AD192" s="3">
        <v>0</v>
      </c>
      <c r="AE192" s="1">
        <v>0</v>
      </c>
      <c r="AF192" s="3">
        <v>0</v>
      </c>
      <c r="AG192" s="1">
        <v>1</v>
      </c>
      <c r="AH192" s="3">
        <v>0.66666666666666674</v>
      </c>
      <c r="AI192" s="1" t="s">
        <v>22</v>
      </c>
      <c r="AJ192" s="1">
        <v>1</v>
      </c>
      <c r="AK192" s="3">
        <v>0.66666666666666674</v>
      </c>
      <c r="AL192" s="1">
        <v>0</v>
      </c>
      <c r="AM192" s="3">
        <v>0</v>
      </c>
      <c r="AN192" s="1" t="s">
        <v>22</v>
      </c>
      <c r="AO192" s="1">
        <v>15</v>
      </c>
      <c r="AP192" s="3">
        <v>10</v>
      </c>
      <c r="AQ192" s="3"/>
      <c r="AR192" s="3"/>
      <c r="AS192" s="1">
        <v>5</v>
      </c>
      <c r="AT192" s="3">
        <v>3.3333333333333335</v>
      </c>
      <c r="AU192" s="1">
        <v>0</v>
      </c>
      <c r="AV192" s="3">
        <v>0</v>
      </c>
      <c r="AW192" s="1" t="s">
        <v>22</v>
      </c>
      <c r="AX192" s="1">
        <v>10</v>
      </c>
      <c r="AY192" s="1">
        <v>0</v>
      </c>
      <c r="AZ192" s="1">
        <v>0</v>
      </c>
      <c r="BA192" s="1">
        <v>20</v>
      </c>
      <c r="BB192" s="1">
        <v>0</v>
      </c>
      <c r="BC192" s="1">
        <v>0</v>
      </c>
      <c r="BD192" s="1">
        <v>0</v>
      </c>
      <c r="BE192" s="54">
        <v>0</v>
      </c>
      <c r="BF192" s="6">
        <v>8</v>
      </c>
      <c r="BG192" s="6">
        <v>5</v>
      </c>
      <c r="BH192" s="1">
        <v>0</v>
      </c>
      <c r="BI192" s="6">
        <v>0</v>
      </c>
      <c r="BJ192" s="1" t="s">
        <v>22</v>
      </c>
      <c r="BK192" s="6">
        <v>0</v>
      </c>
      <c r="BL192" s="6">
        <v>0</v>
      </c>
      <c r="BM192" s="1">
        <v>0</v>
      </c>
      <c r="BN192" t="s">
        <v>24</v>
      </c>
      <c r="BO192">
        <v>7307</v>
      </c>
    </row>
    <row r="193" spans="1:67" x14ac:dyDescent="0.3">
      <c r="A193" s="4">
        <f>INT(Tabela1[[#This Row],[Data e Hora]])</f>
        <v>46267</v>
      </c>
      <c r="B193" s="4" t="str">
        <f>UPPER(TEXT(Tabela1[[#This Row],[Data Corrigida]],"MMM"))</f>
        <v>SET</v>
      </c>
      <c r="C193" t="s">
        <v>594</v>
      </c>
      <c r="D193" t="s">
        <v>595</v>
      </c>
      <c r="E193" t="s">
        <v>590</v>
      </c>
      <c r="F193" t="s">
        <v>19</v>
      </c>
      <c r="G193" s="5" t="s">
        <v>591</v>
      </c>
      <c r="H193" t="s">
        <v>20</v>
      </c>
      <c r="I193" t="s">
        <v>33</v>
      </c>
      <c r="J193" s="1">
        <v>140</v>
      </c>
      <c r="K193" s="1">
        <v>2797</v>
      </c>
      <c r="L193" t="s">
        <v>34</v>
      </c>
      <c r="M193" s="1">
        <v>27</v>
      </c>
      <c r="N193" s="48">
        <v>27</v>
      </c>
      <c r="O193" s="1">
        <v>5</v>
      </c>
      <c r="P193" s="48">
        <v>5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3</v>
      </c>
      <c r="Z193" s="3">
        <v>1.0714285714285714</v>
      </c>
      <c r="AA193" s="1">
        <v>3</v>
      </c>
      <c r="AB193" s="3">
        <v>2.1428571428571428</v>
      </c>
      <c r="AC193" s="1">
        <v>0</v>
      </c>
      <c r="AD193" s="3">
        <v>0</v>
      </c>
      <c r="AE193" s="1">
        <v>2</v>
      </c>
      <c r="AF193" s="3">
        <v>1.4285714285714286</v>
      </c>
      <c r="AG193" s="1">
        <v>3</v>
      </c>
      <c r="AH193" s="3">
        <v>2.1428571428571428</v>
      </c>
      <c r="AI193" s="1" t="s">
        <v>22</v>
      </c>
      <c r="AJ193" s="1">
        <v>0</v>
      </c>
      <c r="AK193" s="3">
        <v>0</v>
      </c>
      <c r="AL193" s="1">
        <v>0</v>
      </c>
      <c r="AM193" s="3">
        <v>0</v>
      </c>
      <c r="AN193" s="1" t="s">
        <v>22</v>
      </c>
      <c r="AO193" s="1">
        <v>9</v>
      </c>
      <c r="AP193" s="3">
        <v>6.4285714285714279</v>
      </c>
      <c r="AQ193" s="3"/>
      <c r="AR193" s="3"/>
      <c r="AS193" s="1">
        <v>5</v>
      </c>
      <c r="AT193" s="3">
        <v>3.5714285714285712</v>
      </c>
      <c r="AU193" s="1">
        <v>0</v>
      </c>
      <c r="AV193" s="3">
        <v>0</v>
      </c>
      <c r="AW193" s="1" t="s">
        <v>22</v>
      </c>
      <c r="AX193" s="1">
        <v>6</v>
      </c>
      <c r="AY193" s="1">
        <v>0</v>
      </c>
      <c r="AZ193" s="1">
        <v>0</v>
      </c>
      <c r="BA193" s="1">
        <v>12</v>
      </c>
      <c r="BB193" s="1">
        <v>0</v>
      </c>
      <c r="BC193" s="1">
        <v>0</v>
      </c>
      <c r="BD193" s="1">
        <v>0</v>
      </c>
      <c r="BE193" s="54">
        <v>0</v>
      </c>
      <c r="BF193" s="6">
        <v>10</v>
      </c>
      <c r="BG193" s="6">
        <v>3</v>
      </c>
      <c r="BH193" s="1">
        <v>0</v>
      </c>
      <c r="BI193" s="6">
        <v>0</v>
      </c>
      <c r="BJ193" s="1" t="s">
        <v>22</v>
      </c>
      <c r="BK193" s="6">
        <v>0</v>
      </c>
      <c r="BL193" s="6">
        <v>0</v>
      </c>
      <c r="BM193" s="1">
        <v>0</v>
      </c>
      <c r="BN193" t="s">
        <v>24</v>
      </c>
      <c r="BO193">
        <v>21761</v>
      </c>
    </row>
    <row r="194" spans="1:67" x14ac:dyDescent="0.3">
      <c r="A194" s="4">
        <f>INT(Tabela1[[#This Row],[Data e Hora]])</f>
        <v>46267</v>
      </c>
      <c r="B194" s="4" t="str">
        <f>UPPER(TEXT(Tabela1[[#This Row],[Data Corrigida]],"MMM"))</f>
        <v>SET</v>
      </c>
      <c r="C194" t="s">
        <v>596</v>
      </c>
      <c r="D194" t="s">
        <v>597</v>
      </c>
      <c r="E194" t="s">
        <v>598</v>
      </c>
      <c r="F194" t="s">
        <v>19</v>
      </c>
      <c r="G194" s="5" t="s">
        <v>591</v>
      </c>
      <c r="H194" t="s">
        <v>20</v>
      </c>
      <c r="I194" t="s">
        <v>21</v>
      </c>
      <c r="J194" s="1">
        <v>160</v>
      </c>
      <c r="K194" s="1">
        <v>2835</v>
      </c>
      <c r="L194" t="s">
        <v>23</v>
      </c>
      <c r="M194" s="1">
        <v>37</v>
      </c>
      <c r="N194" s="48">
        <v>37</v>
      </c>
      <c r="O194" s="1">
        <v>11</v>
      </c>
      <c r="P194" s="48">
        <v>11</v>
      </c>
      <c r="Q194" s="1">
        <v>0</v>
      </c>
      <c r="R194" s="1">
        <v>0</v>
      </c>
      <c r="S194" s="1">
        <v>2</v>
      </c>
      <c r="T194" s="1">
        <v>2</v>
      </c>
      <c r="U194" s="1">
        <v>1</v>
      </c>
      <c r="V194" s="1">
        <v>1</v>
      </c>
      <c r="W194" s="1">
        <v>0</v>
      </c>
      <c r="X194" s="1">
        <v>0</v>
      </c>
      <c r="Y194" s="1">
        <v>2</v>
      </c>
      <c r="Z194" s="3">
        <v>0.625</v>
      </c>
      <c r="AA194" s="1">
        <v>4</v>
      </c>
      <c r="AB194" s="3">
        <v>2.5</v>
      </c>
      <c r="AC194" s="1">
        <v>0</v>
      </c>
      <c r="AD194" s="3">
        <v>0</v>
      </c>
      <c r="AE194" s="1">
        <v>0</v>
      </c>
      <c r="AF194" s="3">
        <v>0</v>
      </c>
      <c r="AG194" s="1">
        <v>7</v>
      </c>
      <c r="AH194" s="3">
        <v>4.375</v>
      </c>
      <c r="AI194" s="1" t="s">
        <v>22</v>
      </c>
      <c r="AJ194" s="1">
        <v>3</v>
      </c>
      <c r="AK194" s="3">
        <v>1.875</v>
      </c>
      <c r="AL194" s="1">
        <v>2</v>
      </c>
      <c r="AM194" s="3">
        <v>1.25</v>
      </c>
      <c r="AN194" s="1" t="s">
        <v>22</v>
      </c>
      <c r="AO194" s="1">
        <v>6</v>
      </c>
      <c r="AP194" s="3">
        <v>3.75</v>
      </c>
      <c r="AQ194" s="3"/>
      <c r="AR194" s="3"/>
      <c r="AS194" s="1">
        <v>6</v>
      </c>
      <c r="AT194" s="3">
        <v>3.75</v>
      </c>
      <c r="AU194" s="1">
        <v>1</v>
      </c>
      <c r="AV194" s="3">
        <v>0.625</v>
      </c>
      <c r="AW194" s="1" t="s">
        <v>22</v>
      </c>
      <c r="AX194" s="1">
        <v>15</v>
      </c>
      <c r="AY194" s="1">
        <v>0</v>
      </c>
      <c r="AZ194" s="1">
        <v>0</v>
      </c>
      <c r="BA194" s="1">
        <v>30</v>
      </c>
      <c r="BB194" s="1">
        <v>0</v>
      </c>
      <c r="BC194" s="1">
        <v>0</v>
      </c>
      <c r="BD194" s="1">
        <v>0</v>
      </c>
      <c r="BE194" s="54">
        <v>0</v>
      </c>
      <c r="BF194" s="6">
        <v>20</v>
      </c>
      <c r="BG194" s="6">
        <v>12</v>
      </c>
      <c r="BH194" s="1">
        <v>0</v>
      </c>
      <c r="BI194" s="6">
        <v>0</v>
      </c>
      <c r="BJ194" s="1" t="s">
        <v>22</v>
      </c>
      <c r="BK194" s="1" t="s">
        <v>22</v>
      </c>
      <c r="BL194" s="1" t="s">
        <v>22</v>
      </c>
      <c r="BM194" s="1" t="s">
        <v>22</v>
      </c>
      <c r="BN194" t="s">
        <v>24</v>
      </c>
      <c r="BO194">
        <v>2024</v>
      </c>
    </row>
    <row r="195" spans="1:67" x14ac:dyDescent="0.3">
      <c r="A195" s="4">
        <f>INT(Tabela1[[#This Row],[Data e Hora]])</f>
        <v>46267</v>
      </c>
      <c r="B195" s="4" t="str">
        <f>UPPER(TEXT(Tabela1[[#This Row],[Data Corrigida]],"MMM"))</f>
        <v>SET</v>
      </c>
      <c r="C195" t="s">
        <v>599</v>
      </c>
      <c r="D195" t="s">
        <v>600</v>
      </c>
      <c r="E195" t="s">
        <v>598</v>
      </c>
      <c r="F195" t="s">
        <v>19</v>
      </c>
      <c r="G195" s="5" t="s">
        <v>591</v>
      </c>
      <c r="H195" t="s">
        <v>20</v>
      </c>
      <c r="I195" t="s">
        <v>21</v>
      </c>
      <c r="J195" s="1">
        <v>160</v>
      </c>
      <c r="K195" s="1">
        <v>3110</v>
      </c>
      <c r="L195" t="s">
        <v>23</v>
      </c>
      <c r="M195" s="1">
        <v>14</v>
      </c>
      <c r="N195" s="48">
        <v>14.000000000000002</v>
      </c>
      <c r="O195" s="1">
        <v>3</v>
      </c>
      <c r="P195" s="48">
        <v>3</v>
      </c>
      <c r="Q195" s="1">
        <v>0</v>
      </c>
      <c r="R195" s="1">
        <v>0</v>
      </c>
      <c r="S195" s="1">
        <v>1</v>
      </c>
      <c r="T195" s="1">
        <v>1</v>
      </c>
      <c r="U195" s="1">
        <v>1</v>
      </c>
      <c r="V195" s="1">
        <v>1</v>
      </c>
      <c r="W195" s="1">
        <v>0</v>
      </c>
      <c r="X195" s="1">
        <v>0</v>
      </c>
      <c r="Y195" s="1">
        <v>6</v>
      </c>
      <c r="Z195" s="3">
        <v>1.875</v>
      </c>
      <c r="AA195" s="1">
        <v>4</v>
      </c>
      <c r="AB195" s="3">
        <v>2.5</v>
      </c>
      <c r="AC195" s="1">
        <v>0</v>
      </c>
      <c r="AD195" s="3">
        <v>0</v>
      </c>
      <c r="AE195" s="1">
        <v>1</v>
      </c>
      <c r="AF195" s="3">
        <v>0.625</v>
      </c>
      <c r="AG195" s="1">
        <v>6</v>
      </c>
      <c r="AH195" s="3">
        <v>3.75</v>
      </c>
      <c r="AI195" s="1" t="s">
        <v>22</v>
      </c>
      <c r="AJ195" s="1">
        <v>1</v>
      </c>
      <c r="AK195" s="3">
        <v>0.625</v>
      </c>
      <c r="AL195" s="1">
        <v>1</v>
      </c>
      <c r="AM195" s="3">
        <v>0.625</v>
      </c>
      <c r="AN195" s="1" t="s">
        <v>22</v>
      </c>
      <c r="AO195" s="1">
        <v>6</v>
      </c>
      <c r="AP195" s="3">
        <v>3.75</v>
      </c>
      <c r="AQ195" s="3"/>
      <c r="AR195" s="3"/>
      <c r="AS195" s="1">
        <v>5</v>
      </c>
      <c r="AT195" s="3">
        <v>3.125</v>
      </c>
      <c r="AU195" s="1">
        <v>1</v>
      </c>
      <c r="AV195" s="3">
        <v>0.625</v>
      </c>
      <c r="AW195" s="1" t="s">
        <v>22</v>
      </c>
      <c r="AX195" s="1">
        <v>14</v>
      </c>
      <c r="AY195" s="1">
        <v>0</v>
      </c>
      <c r="AZ195" s="1">
        <v>0</v>
      </c>
      <c r="BA195" s="1">
        <v>28</v>
      </c>
      <c r="BB195" s="1">
        <v>0</v>
      </c>
      <c r="BC195" s="1">
        <v>0</v>
      </c>
      <c r="BD195" s="1">
        <v>1</v>
      </c>
      <c r="BE195" s="54">
        <v>0.625</v>
      </c>
      <c r="BF195" s="6">
        <v>17</v>
      </c>
      <c r="BG195" s="6">
        <v>11</v>
      </c>
      <c r="BH195" s="1">
        <v>1</v>
      </c>
      <c r="BI195" s="6">
        <v>10</v>
      </c>
      <c r="BJ195" s="1" t="s">
        <v>22</v>
      </c>
      <c r="BK195" s="6">
        <v>0</v>
      </c>
      <c r="BL195" s="6">
        <v>0</v>
      </c>
      <c r="BM195" s="1">
        <v>1</v>
      </c>
      <c r="BN195" t="s">
        <v>24</v>
      </c>
      <c r="BO195">
        <v>2567</v>
      </c>
    </row>
    <row r="196" spans="1:67" x14ac:dyDescent="0.3">
      <c r="A196" s="4">
        <f>INT(Tabela1[[#This Row],[Data e Hora]])</f>
        <v>46267</v>
      </c>
      <c r="B196" s="4" t="str">
        <f>UPPER(TEXT(Tabela1[[#This Row],[Data Corrigida]],"MMM"))</f>
        <v>SET</v>
      </c>
      <c r="C196" t="s">
        <v>601</v>
      </c>
      <c r="D196" t="s">
        <v>602</v>
      </c>
      <c r="E196" t="s">
        <v>603</v>
      </c>
      <c r="F196" t="s">
        <v>19</v>
      </c>
      <c r="G196" s="5" t="s">
        <v>591</v>
      </c>
      <c r="H196" t="s">
        <v>20</v>
      </c>
      <c r="I196" t="s">
        <v>21</v>
      </c>
      <c r="J196" s="1">
        <v>150</v>
      </c>
      <c r="K196" s="1">
        <v>3001</v>
      </c>
      <c r="L196" t="s">
        <v>23</v>
      </c>
      <c r="M196" s="1">
        <v>31</v>
      </c>
      <c r="N196" s="48">
        <v>31</v>
      </c>
      <c r="O196" s="1">
        <v>13</v>
      </c>
      <c r="P196" s="48">
        <v>13</v>
      </c>
      <c r="Q196" s="1">
        <v>0</v>
      </c>
      <c r="R196" s="1">
        <v>0</v>
      </c>
      <c r="S196" s="1">
        <v>4</v>
      </c>
      <c r="T196" s="1">
        <v>4</v>
      </c>
      <c r="U196" s="1">
        <v>1</v>
      </c>
      <c r="V196" s="1">
        <v>1</v>
      </c>
      <c r="W196" s="1">
        <v>0</v>
      </c>
      <c r="X196" s="1">
        <v>0</v>
      </c>
      <c r="Y196" s="1">
        <v>1</v>
      </c>
      <c r="Z196" s="3">
        <v>0.33333333333333337</v>
      </c>
      <c r="AA196" s="1">
        <v>8</v>
      </c>
      <c r="AB196" s="3">
        <v>5.3333333333333339</v>
      </c>
      <c r="AC196" s="1">
        <v>0</v>
      </c>
      <c r="AD196" s="3">
        <v>0</v>
      </c>
      <c r="AE196" s="1">
        <v>2</v>
      </c>
      <c r="AF196" s="3">
        <v>1.3333333333333335</v>
      </c>
      <c r="AG196" s="1">
        <v>6</v>
      </c>
      <c r="AH196" s="3">
        <v>4</v>
      </c>
      <c r="AI196" s="1" t="s">
        <v>22</v>
      </c>
      <c r="AJ196" s="1">
        <v>1</v>
      </c>
      <c r="AK196" s="3">
        <v>0.66666666666666674</v>
      </c>
      <c r="AL196" s="1">
        <v>1</v>
      </c>
      <c r="AM196" s="3">
        <v>0.66666666666666674</v>
      </c>
      <c r="AN196" s="1" t="s">
        <v>22</v>
      </c>
      <c r="AO196" s="1">
        <v>4</v>
      </c>
      <c r="AP196" s="3">
        <v>2.666666666666667</v>
      </c>
      <c r="AQ196" s="3"/>
      <c r="AR196" s="3"/>
      <c r="AS196" s="1">
        <v>5</v>
      </c>
      <c r="AT196" s="3">
        <v>3.3333333333333335</v>
      </c>
      <c r="AU196" s="1">
        <v>1</v>
      </c>
      <c r="AV196" s="3">
        <v>0.66666666666666674</v>
      </c>
      <c r="AW196" s="1" t="s">
        <v>22</v>
      </c>
      <c r="AX196" s="1">
        <v>15</v>
      </c>
      <c r="AY196" s="1">
        <v>0</v>
      </c>
      <c r="AZ196" s="1">
        <v>0</v>
      </c>
      <c r="BA196" s="1">
        <v>30</v>
      </c>
      <c r="BB196" s="1">
        <v>0</v>
      </c>
      <c r="BC196" s="1">
        <v>0</v>
      </c>
      <c r="BD196" s="1">
        <v>1</v>
      </c>
      <c r="BE196" s="54">
        <v>0.66666666666666674</v>
      </c>
      <c r="BF196" s="6">
        <v>19</v>
      </c>
      <c r="BG196" s="6">
        <v>14</v>
      </c>
      <c r="BH196" s="1">
        <v>1</v>
      </c>
      <c r="BI196" s="6">
        <v>10</v>
      </c>
      <c r="BJ196" s="1" t="s">
        <v>22</v>
      </c>
      <c r="BK196" s="6">
        <v>0</v>
      </c>
      <c r="BL196" s="6">
        <v>0</v>
      </c>
      <c r="BM196" s="1">
        <v>2</v>
      </c>
      <c r="BN196" t="s">
        <v>24</v>
      </c>
      <c r="BO196">
        <v>3044</v>
      </c>
    </row>
    <row r="197" spans="1:67" x14ac:dyDescent="0.3">
      <c r="A197" s="4">
        <f>INT(Tabela1[[#This Row],[Data e Hora]])</f>
        <v>46267</v>
      </c>
      <c r="B197" s="4" t="str">
        <f>UPPER(TEXT(Tabela1[[#This Row],[Data Corrigida]],"MMM"))</f>
        <v>SET</v>
      </c>
      <c r="C197" t="s">
        <v>604</v>
      </c>
      <c r="D197" t="s">
        <v>605</v>
      </c>
      <c r="E197" t="s">
        <v>603</v>
      </c>
      <c r="F197" t="s">
        <v>19</v>
      </c>
      <c r="G197" s="5" t="s">
        <v>591</v>
      </c>
      <c r="H197" t="s">
        <v>20</v>
      </c>
      <c r="I197" t="s">
        <v>21</v>
      </c>
      <c r="J197" s="1">
        <v>150</v>
      </c>
      <c r="K197" s="1">
        <v>3025</v>
      </c>
      <c r="L197" t="s">
        <v>23</v>
      </c>
      <c r="M197" s="1">
        <v>23</v>
      </c>
      <c r="N197" s="48">
        <v>23</v>
      </c>
      <c r="O197" s="1">
        <v>6</v>
      </c>
      <c r="P197" s="48">
        <v>6</v>
      </c>
      <c r="Q197" s="1">
        <v>0</v>
      </c>
      <c r="R197" s="1">
        <v>0</v>
      </c>
      <c r="S197" s="1">
        <v>2</v>
      </c>
      <c r="T197" s="1">
        <v>2</v>
      </c>
      <c r="U197" s="1">
        <v>2</v>
      </c>
      <c r="V197" s="1">
        <v>2</v>
      </c>
      <c r="W197" s="1">
        <v>0</v>
      </c>
      <c r="X197" s="1">
        <v>0</v>
      </c>
      <c r="Y197" s="1">
        <v>1</v>
      </c>
      <c r="Z197" s="3">
        <v>0.33333333333333337</v>
      </c>
      <c r="AA197" s="1">
        <v>21</v>
      </c>
      <c r="AB197" s="3">
        <v>14.000000000000002</v>
      </c>
      <c r="AC197" s="1">
        <v>0</v>
      </c>
      <c r="AD197" s="3">
        <v>0</v>
      </c>
      <c r="AE197" s="1">
        <v>1</v>
      </c>
      <c r="AF197" s="3">
        <v>0.66666666666666674</v>
      </c>
      <c r="AG197" s="1">
        <v>5</v>
      </c>
      <c r="AH197" s="3">
        <v>3.3333333333333335</v>
      </c>
      <c r="AI197" s="1" t="s">
        <v>22</v>
      </c>
      <c r="AJ197" s="1">
        <v>1</v>
      </c>
      <c r="AK197" s="3">
        <v>0.66666666666666674</v>
      </c>
      <c r="AL197" s="1">
        <v>1</v>
      </c>
      <c r="AM197" s="3">
        <v>0.66666666666666674</v>
      </c>
      <c r="AN197" s="1" t="s">
        <v>22</v>
      </c>
      <c r="AO197" s="1">
        <v>9</v>
      </c>
      <c r="AP197" s="3">
        <v>6</v>
      </c>
      <c r="AQ197" s="3"/>
      <c r="AR197" s="3"/>
      <c r="AS197" s="1">
        <v>6</v>
      </c>
      <c r="AT197" s="3">
        <v>4</v>
      </c>
      <c r="AU197" s="1">
        <v>1</v>
      </c>
      <c r="AV197" s="3">
        <v>0.66666666666666674</v>
      </c>
      <c r="AW197" s="1" t="s">
        <v>22</v>
      </c>
      <c r="AX197" s="1">
        <v>18</v>
      </c>
      <c r="AY197" s="1">
        <v>0</v>
      </c>
      <c r="AZ197" s="1">
        <v>0</v>
      </c>
      <c r="BA197" s="1">
        <v>36</v>
      </c>
      <c r="BB197" s="1">
        <v>0</v>
      </c>
      <c r="BC197" s="1">
        <v>0</v>
      </c>
      <c r="BD197" s="1">
        <v>3</v>
      </c>
      <c r="BE197" s="54">
        <v>2</v>
      </c>
      <c r="BF197" s="6">
        <v>18</v>
      </c>
      <c r="BG197" s="6">
        <v>12</v>
      </c>
      <c r="BH197" s="1">
        <v>1</v>
      </c>
      <c r="BI197" s="6">
        <v>10</v>
      </c>
      <c r="BJ197" s="1" t="s">
        <v>22</v>
      </c>
      <c r="BK197" s="1" t="s">
        <v>22</v>
      </c>
      <c r="BL197" s="1" t="s">
        <v>22</v>
      </c>
      <c r="BM197" s="1" t="s">
        <v>22</v>
      </c>
      <c r="BN197" t="s">
        <v>24</v>
      </c>
      <c r="BO197">
        <v>1507</v>
      </c>
    </row>
    <row r="198" spans="1:67" x14ac:dyDescent="0.3">
      <c r="A198" s="4">
        <f>INT(Tabela1[[#This Row],[Data e Hora]])</f>
        <v>46273</v>
      </c>
      <c r="B198" s="4" t="str">
        <f>UPPER(TEXT(Tabela1[[#This Row],[Data Corrigida]],"MMM"))</f>
        <v>SET</v>
      </c>
      <c r="C198" s="57" t="s">
        <v>606</v>
      </c>
      <c r="D198" t="s">
        <v>607</v>
      </c>
      <c r="E198" t="s">
        <v>608</v>
      </c>
      <c r="F198" t="s">
        <v>19</v>
      </c>
      <c r="G198" s="5" t="s">
        <v>609</v>
      </c>
      <c r="H198" t="s">
        <v>20</v>
      </c>
      <c r="I198" t="s">
        <v>33</v>
      </c>
      <c r="J198" s="1">
        <v>151</v>
      </c>
      <c r="K198" s="1">
        <v>2777</v>
      </c>
      <c r="L198" t="s">
        <v>34</v>
      </c>
      <c r="M198" s="1">
        <v>14</v>
      </c>
      <c r="N198" s="48">
        <v>14.000000000000002</v>
      </c>
      <c r="O198" s="1">
        <v>6</v>
      </c>
      <c r="P198" s="48">
        <v>6</v>
      </c>
      <c r="Q198" s="1">
        <v>0</v>
      </c>
      <c r="R198" s="1">
        <v>0</v>
      </c>
      <c r="S198" s="1">
        <v>0</v>
      </c>
      <c r="T198" s="1">
        <v>0</v>
      </c>
      <c r="U198" s="1">
        <v>2</v>
      </c>
      <c r="V198" s="1">
        <v>2</v>
      </c>
      <c r="W198" s="1">
        <v>0</v>
      </c>
      <c r="X198" s="1">
        <v>0</v>
      </c>
      <c r="Y198" s="1">
        <v>5</v>
      </c>
      <c r="Z198" s="3">
        <v>1.6556291390728477</v>
      </c>
      <c r="AA198" s="1">
        <v>15</v>
      </c>
      <c r="AB198" s="3">
        <v>9.9337748344370862</v>
      </c>
      <c r="AC198" s="1">
        <v>0</v>
      </c>
      <c r="AD198" s="3">
        <v>0</v>
      </c>
      <c r="AE198" s="1">
        <v>1</v>
      </c>
      <c r="AF198" s="3">
        <v>0.66225165562913912</v>
      </c>
      <c r="AG198" s="1">
        <v>0</v>
      </c>
      <c r="AH198" s="3">
        <v>0</v>
      </c>
      <c r="AI198" s="1" t="s">
        <v>22</v>
      </c>
      <c r="AJ198" s="1">
        <v>0</v>
      </c>
      <c r="AK198" s="3">
        <v>0</v>
      </c>
      <c r="AL198" s="1">
        <v>0</v>
      </c>
      <c r="AM198" s="3">
        <v>0</v>
      </c>
      <c r="AN198" s="1" t="s">
        <v>22</v>
      </c>
      <c r="AO198" s="1">
        <v>16</v>
      </c>
      <c r="AP198" s="3">
        <v>10.596026490066226</v>
      </c>
      <c r="AQ198" s="3"/>
      <c r="AR198" s="3"/>
      <c r="AS198" s="1">
        <v>9</v>
      </c>
      <c r="AT198" s="3">
        <v>5.9602649006622519</v>
      </c>
      <c r="AU198" s="1">
        <v>0</v>
      </c>
      <c r="AV198" s="3">
        <v>0</v>
      </c>
      <c r="AW198" s="1" t="s">
        <v>22</v>
      </c>
      <c r="AX198" s="1">
        <v>6</v>
      </c>
      <c r="AY198" s="1">
        <v>0</v>
      </c>
      <c r="AZ198" s="1">
        <v>0</v>
      </c>
      <c r="BA198" s="1">
        <v>12</v>
      </c>
      <c r="BB198" s="1">
        <v>0</v>
      </c>
      <c r="BC198" s="1">
        <v>0</v>
      </c>
      <c r="BD198" s="1">
        <v>0</v>
      </c>
      <c r="BE198" s="54">
        <v>0</v>
      </c>
      <c r="BF198" s="6">
        <v>5</v>
      </c>
      <c r="BG198" s="6">
        <v>3</v>
      </c>
      <c r="BH198" s="1">
        <v>0</v>
      </c>
      <c r="BI198" s="6">
        <v>0</v>
      </c>
      <c r="BJ198" s="1" t="s">
        <v>22</v>
      </c>
      <c r="BK198" s="6">
        <v>10</v>
      </c>
      <c r="BL198" s="6">
        <v>0</v>
      </c>
      <c r="BM198" s="1">
        <v>0</v>
      </c>
      <c r="BN198" t="s">
        <v>24</v>
      </c>
      <c r="BO198">
        <v>1889</v>
      </c>
    </row>
    <row r="199" spans="1:67" x14ac:dyDescent="0.3">
      <c r="A199" s="4">
        <f>INT(Tabela1[[#This Row],[Data e Hora]])</f>
        <v>46273</v>
      </c>
      <c r="B199" s="4" t="str">
        <f>UPPER(TEXT(Tabela1[[#This Row],[Data Corrigida]],"MMM"))</f>
        <v>SET</v>
      </c>
      <c r="C199" t="s">
        <v>610</v>
      </c>
      <c r="D199" t="s">
        <v>611</v>
      </c>
      <c r="E199" t="s">
        <v>608</v>
      </c>
      <c r="F199" t="s">
        <v>19</v>
      </c>
      <c r="G199" s="5" t="s">
        <v>609</v>
      </c>
      <c r="H199" t="s">
        <v>20</v>
      </c>
      <c r="I199" t="s">
        <v>33</v>
      </c>
      <c r="J199" s="1">
        <v>151</v>
      </c>
      <c r="K199" s="1">
        <v>2830</v>
      </c>
      <c r="L199" t="s">
        <v>34</v>
      </c>
      <c r="M199" s="1">
        <v>11</v>
      </c>
      <c r="N199" s="48">
        <v>11</v>
      </c>
      <c r="O199" s="1">
        <v>5</v>
      </c>
      <c r="P199" s="48">
        <v>5</v>
      </c>
      <c r="Q199" s="1">
        <v>1</v>
      </c>
      <c r="R199" s="1">
        <v>10</v>
      </c>
      <c r="S199" s="1">
        <v>1</v>
      </c>
      <c r="T199" s="1">
        <v>1</v>
      </c>
      <c r="U199" s="1">
        <v>0</v>
      </c>
      <c r="V199" s="1">
        <v>0</v>
      </c>
      <c r="W199" s="1">
        <v>0</v>
      </c>
      <c r="X199" s="1">
        <v>0</v>
      </c>
      <c r="Y199" s="1">
        <v>5</v>
      </c>
      <c r="Z199" s="3">
        <v>1.6556291390728477</v>
      </c>
      <c r="AA199" s="1">
        <v>19</v>
      </c>
      <c r="AB199" s="3">
        <v>12.582781456953644</v>
      </c>
      <c r="AC199" s="1">
        <v>0</v>
      </c>
      <c r="AD199" s="3">
        <v>0</v>
      </c>
      <c r="AE199" s="1">
        <v>0</v>
      </c>
      <c r="AF199" s="3">
        <v>0</v>
      </c>
      <c r="AG199" s="1">
        <v>2</v>
      </c>
      <c r="AH199" s="3">
        <v>1.3245033112582782</v>
      </c>
      <c r="AI199" s="1" t="s">
        <v>22</v>
      </c>
      <c r="AJ199" s="1">
        <v>1</v>
      </c>
      <c r="AK199" s="3">
        <v>0.66225165562913912</v>
      </c>
      <c r="AL199" s="1">
        <v>0</v>
      </c>
      <c r="AM199" s="3">
        <v>0</v>
      </c>
      <c r="AN199" s="1" t="s">
        <v>22</v>
      </c>
      <c r="AO199" s="1">
        <v>13</v>
      </c>
      <c r="AP199" s="3">
        <v>8.6092715231788084</v>
      </c>
      <c r="AQ199" s="3"/>
      <c r="AR199" s="3"/>
      <c r="AS199" s="1">
        <v>8</v>
      </c>
      <c r="AT199" s="3">
        <v>5.298013245033113</v>
      </c>
      <c r="AU199" s="1">
        <v>1</v>
      </c>
      <c r="AV199" s="3">
        <v>0.66225165562913912</v>
      </c>
      <c r="AW199" s="1" t="s">
        <v>22</v>
      </c>
      <c r="AX199" s="1">
        <v>5</v>
      </c>
      <c r="AY199" s="1">
        <v>1</v>
      </c>
      <c r="AZ199" s="1">
        <v>0</v>
      </c>
      <c r="BA199" s="1">
        <v>10</v>
      </c>
      <c r="BB199" s="1">
        <v>2</v>
      </c>
      <c r="BC199" s="1">
        <v>0</v>
      </c>
      <c r="BD199" s="1">
        <v>0</v>
      </c>
      <c r="BE199" s="54">
        <v>0</v>
      </c>
      <c r="BF199" s="6">
        <v>4</v>
      </c>
      <c r="BG199" s="6">
        <v>2</v>
      </c>
      <c r="BH199" s="1">
        <v>0</v>
      </c>
      <c r="BI199" s="6">
        <v>0</v>
      </c>
      <c r="BJ199" s="1" t="s">
        <v>22</v>
      </c>
      <c r="BK199" s="6">
        <v>10</v>
      </c>
      <c r="BL199" s="6">
        <v>0</v>
      </c>
      <c r="BM199" s="1">
        <v>0</v>
      </c>
      <c r="BN199" t="s">
        <v>24</v>
      </c>
      <c r="BO199">
        <v>8386</v>
      </c>
    </row>
    <row r="200" spans="1:67" x14ac:dyDescent="0.3">
      <c r="A200" s="4">
        <f>INT(Tabela1[[#This Row],[Data e Hora]])</f>
        <v>46273</v>
      </c>
      <c r="B200" s="4" t="str">
        <f>UPPER(TEXT(Tabela1[[#This Row],[Data Corrigida]],"MMM"))</f>
        <v>SET</v>
      </c>
      <c r="C200" t="s">
        <v>612</v>
      </c>
      <c r="D200" t="s">
        <v>613</v>
      </c>
      <c r="E200" t="s">
        <v>614</v>
      </c>
      <c r="F200" t="s">
        <v>19</v>
      </c>
      <c r="G200" s="5" t="s">
        <v>609</v>
      </c>
      <c r="H200" t="s">
        <v>20</v>
      </c>
      <c r="I200" t="s">
        <v>33</v>
      </c>
      <c r="J200" s="1">
        <v>130</v>
      </c>
      <c r="K200" s="1">
        <v>2911</v>
      </c>
      <c r="L200" t="s">
        <v>34</v>
      </c>
      <c r="M200" s="1">
        <v>14</v>
      </c>
      <c r="N200" s="48">
        <v>14.000000000000002</v>
      </c>
      <c r="O200" s="1">
        <v>9</v>
      </c>
      <c r="P200" s="48">
        <v>9</v>
      </c>
      <c r="Q200" s="1">
        <v>1</v>
      </c>
      <c r="R200" s="1">
        <v>10</v>
      </c>
      <c r="S200" s="1">
        <v>1</v>
      </c>
      <c r="T200" s="1">
        <v>1</v>
      </c>
      <c r="U200" s="1">
        <v>0</v>
      </c>
      <c r="V200" s="1">
        <v>0</v>
      </c>
      <c r="W200" s="1">
        <v>1</v>
      </c>
      <c r="X200" s="1">
        <v>5</v>
      </c>
      <c r="Y200" s="1">
        <v>2</v>
      </c>
      <c r="Z200" s="3">
        <v>0.76923076923076927</v>
      </c>
      <c r="AA200" s="1">
        <v>24</v>
      </c>
      <c r="AB200" s="3">
        <v>18.461538461538463</v>
      </c>
      <c r="AC200" s="1">
        <v>0</v>
      </c>
      <c r="AD200" s="3">
        <v>0</v>
      </c>
      <c r="AE200" s="1">
        <v>2</v>
      </c>
      <c r="AF200" s="3">
        <v>1.5384615384615385</v>
      </c>
      <c r="AG200" s="1">
        <v>4</v>
      </c>
      <c r="AH200" s="3">
        <v>3.0769230769230771</v>
      </c>
      <c r="AI200" s="1" t="s">
        <v>22</v>
      </c>
      <c r="AJ200" s="1">
        <v>0</v>
      </c>
      <c r="AK200" s="3">
        <v>0</v>
      </c>
      <c r="AL200" s="1">
        <v>0</v>
      </c>
      <c r="AM200" s="3">
        <v>0</v>
      </c>
      <c r="AN200" s="1" t="s">
        <v>22</v>
      </c>
      <c r="AO200" s="1">
        <v>14</v>
      </c>
      <c r="AP200" s="3">
        <v>10.76923076923077</v>
      </c>
      <c r="AQ200" s="3"/>
      <c r="AR200" s="3"/>
      <c r="AS200" s="1">
        <v>9</v>
      </c>
      <c r="AT200" s="3">
        <v>6.9230769230769234</v>
      </c>
      <c r="AU200" s="1">
        <v>0</v>
      </c>
      <c r="AV200" s="3">
        <v>0</v>
      </c>
      <c r="AW200" s="1" t="s">
        <v>22</v>
      </c>
      <c r="AX200" s="1">
        <v>9</v>
      </c>
      <c r="AY200" s="1">
        <v>0</v>
      </c>
      <c r="AZ200" s="1">
        <v>0</v>
      </c>
      <c r="BA200" s="1">
        <v>18</v>
      </c>
      <c r="BB200" s="1">
        <v>0</v>
      </c>
      <c r="BC200" s="1">
        <v>0</v>
      </c>
      <c r="BD200" s="1">
        <v>0</v>
      </c>
      <c r="BE200" s="54">
        <v>0</v>
      </c>
      <c r="BF200" s="6">
        <v>5</v>
      </c>
      <c r="BG200" s="6">
        <v>3</v>
      </c>
      <c r="BH200" s="1">
        <v>0</v>
      </c>
      <c r="BI200" s="6">
        <v>0</v>
      </c>
      <c r="BJ200" s="1" t="s">
        <v>22</v>
      </c>
      <c r="BK200" s="6">
        <v>4</v>
      </c>
      <c r="BL200" s="6">
        <v>0</v>
      </c>
      <c r="BM200" s="1">
        <v>0</v>
      </c>
      <c r="BN200" t="s">
        <v>24</v>
      </c>
      <c r="BO200">
        <v>10270</v>
      </c>
    </row>
    <row r="201" spans="1:67" x14ac:dyDescent="0.3">
      <c r="A201" s="4">
        <f>INT(Tabela1[[#This Row],[Data e Hora]])</f>
        <v>46273</v>
      </c>
      <c r="B201" s="4" t="str">
        <f>UPPER(TEXT(Tabela1[[#This Row],[Data Corrigida]],"MMM"))</f>
        <v>SET</v>
      </c>
      <c r="C201" t="s">
        <v>615</v>
      </c>
      <c r="D201" t="s">
        <v>616</v>
      </c>
      <c r="E201" t="s">
        <v>617</v>
      </c>
      <c r="F201" t="s">
        <v>19</v>
      </c>
      <c r="G201" s="5" t="s">
        <v>609</v>
      </c>
      <c r="H201" t="s">
        <v>20</v>
      </c>
      <c r="I201" t="s">
        <v>21</v>
      </c>
      <c r="J201" s="1">
        <v>160</v>
      </c>
      <c r="K201" s="1">
        <v>2804</v>
      </c>
      <c r="L201" t="s">
        <v>23</v>
      </c>
      <c r="M201" s="1">
        <v>39</v>
      </c>
      <c r="N201" s="48">
        <v>39</v>
      </c>
      <c r="O201" s="1">
        <v>25</v>
      </c>
      <c r="P201" s="48">
        <v>25</v>
      </c>
      <c r="Q201" s="1">
        <v>0</v>
      </c>
      <c r="R201" s="1">
        <v>0</v>
      </c>
      <c r="S201" s="1">
        <v>3</v>
      </c>
      <c r="T201" s="1">
        <v>3</v>
      </c>
      <c r="U201" s="1">
        <v>1</v>
      </c>
      <c r="V201" s="1">
        <v>1</v>
      </c>
      <c r="W201" s="1">
        <v>0</v>
      </c>
      <c r="X201" s="1">
        <v>0</v>
      </c>
      <c r="Y201" s="1">
        <v>3</v>
      </c>
      <c r="Z201" s="3">
        <v>0.9375</v>
      </c>
      <c r="AA201" s="1">
        <v>3</v>
      </c>
      <c r="AB201" s="3">
        <v>1.875</v>
      </c>
      <c r="AC201" s="1">
        <v>0</v>
      </c>
      <c r="AD201" s="3">
        <v>0</v>
      </c>
      <c r="AE201" s="1">
        <v>1</v>
      </c>
      <c r="AF201" s="3">
        <v>0.625</v>
      </c>
      <c r="AG201" s="1">
        <v>4</v>
      </c>
      <c r="AH201" s="3">
        <v>2.5</v>
      </c>
      <c r="AI201" s="1" t="s">
        <v>22</v>
      </c>
      <c r="AJ201" s="1">
        <v>3</v>
      </c>
      <c r="AK201" s="3">
        <v>1.875</v>
      </c>
      <c r="AL201" s="1">
        <v>2</v>
      </c>
      <c r="AM201" s="3">
        <v>1.25</v>
      </c>
      <c r="AN201" s="1" t="s">
        <v>22</v>
      </c>
      <c r="AO201" s="1">
        <v>6</v>
      </c>
      <c r="AP201" s="3">
        <v>3.75</v>
      </c>
      <c r="AQ201" s="3"/>
      <c r="AR201" s="3"/>
      <c r="AS201" s="1">
        <v>5</v>
      </c>
      <c r="AT201" s="3">
        <v>3.125</v>
      </c>
      <c r="AU201" s="1">
        <v>1</v>
      </c>
      <c r="AV201" s="3">
        <v>0.625</v>
      </c>
      <c r="AW201" s="1" t="s">
        <v>22</v>
      </c>
      <c r="AX201" s="1">
        <v>17</v>
      </c>
      <c r="AY201" s="1">
        <v>0</v>
      </c>
      <c r="AZ201" s="1">
        <v>0</v>
      </c>
      <c r="BA201" s="1">
        <v>34</v>
      </c>
      <c r="BB201" s="1">
        <v>0</v>
      </c>
      <c r="BC201" s="1">
        <v>0</v>
      </c>
      <c r="BD201" s="1">
        <v>2</v>
      </c>
      <c r="BE201" s="54">
        <v>1.25</v>
      </c>
      <c r="BF201" s="6">
        <v>23</v>
      </c>
      <c r="BG201" s="6">
        <v>21</v>
      </c>
      <c r="BH201" s="1">
        <v>1</v>
      </c>
      <c r="BI201" s="6">
        <v>10</v>
      </c>
      <c r="BJ201" s="1" t="s">
        <v>22</v>
      </c>
      <c r="BK201" s="1" t="s">
        <v>22</v>
      </c>
      <c r="BL201" s="1" t="s">
        <v>22</v>
      </c>
      <c r="BM201" s="1" t="s">
        <v>22</v>
      </c>
      <c r="BN201" t="s">
        <v>22</v>
      </c>
      <c r="BO201">
        <v>2513</v>
      </c>
    </row>
    <row r="202" spans="1:67" x14ac:dyDescent="0.3">
      <c r="A202" s="4">
        <f>INT(Tabela1[[#This Row],[Data e Hora]])</f>
        <v>46273</v>
      </c>
      <c r="B202" s="4" t="str">
        <f>UPPER(TEXT(Tabela1[[#This Row],[Data Corrigida]],"MMM"))</f>
        <v>SET</v>
      </c>
      <c r="C202" t="s">
        <v>618</v>
      </c>
      <c r="D202" t="s">
        <v>619</v>
      </c>
      <c r="E202" t="s">
        <v>620</v>
      </c>
      <c r="F202" t="s">
        <v>19</v>
      </c>
      <c r="G202" s="5" t="s">
        <v>609</v>
      </c>
      <c r="H202" t="s">
        <v>20</v>
      </c>
      <c r="I202" t="s">
        <v>21</v>
      </c>
      <c r="J202" s="1">
        <v>150</v>
      </c>
      <c r="K202" s="1">
        <v>2737</v>
      </c>
      <c r="L202" t="s">
        <v>23</v>
      </c>
      <c r="M202" s="1">
        <v>19</v>
      </c>
      <c r="N202" s="48">
        <v>19</v>
      </c>
      <c r="O202" s="1">
        <v>7</v>
      </c>
      <c r="P202" s="48">
        <v>7.0000000000000009</v>
      </c>
      <c r="Q202" s="1">
        <v>1</v>
      </c>
      <c r="R202" s="1">
        <v>10</v>
      </c>
      <c r="S202" s="1">
        <v>3</v>
      </c>
      <c r="T202" s="1">
        <v>3</v>
      </c>
      <c r="U202" s="1">
        <v>1</v>
      </c>
      <c r="V202" s="1">
        <v>1</v>
      </c>
      <c r="W202" s="1">
        <v>0</v>
      </c>
      <c r="X202" s="1">
        <v>0</v>
      </c>
      <c r="Y202" s="1">
        <v>1</v>
      </c>
      <c r="Z202" s="3">
        <v>0.33333333333333337</v>
      </c>
      <c r="AA202" s="1">
        <v>1</v>
      </c>
      <c r="AB202" s="3">
        <v>0.66666666666666674</v>
      </c>
      <c r="AC202" s="1">
        <v>0</v>
      </c>
      <c r="AD202" s="3">
        <v>0</v>
      </c>
      <c r="AE202" s="1">
        <v>0</v>
      </c>
      <c r="AF202" s="3">
        <v>0</v>
      </c>
      <c r="AG202" s="1">
        <v>3</v>
      </c>
      <c r="AH202" s="3">
        <v>2</v>
      </c>
      <c r="AI202" s="1" t="s">
        <v>22</v>
      </c>
      <c r="AJ202" s="1">
        <v>1</v>
      </c>
      <c r="AK202" s="3">
        <v>0.66666666666666674</v>
      </c>
      <c r="AL202" s="1">
        <v>1</v>
      </c>
      <c r="AM202" s="3">
        <v>0.66666666666666674</v>
      </c>
      <c r="AN202" s="1" t="s">
        <v>22</v>
      </c>
      <c r="AO202" s="1">
        <v>5</v>
      </c>
      <c r="AP202" s="3">
        <v>3.3333333333333335</v>
      </c>
      <c r="AQ202" s="3"/>
      <c r="AR202" s="3"/>
      <c r="AS202" s="1">
        <v>5</v>
      </c>
      <c r="AT202" s="3">
        <v>3.3333333333333335</v>
      </c>
      <c r="AU202" s="1">
        <v>1</v>
      </c>
      <c r="AV202" s="3">
        <v>0.66666666666666674</v>
      </c>
      <c r="AW202" s="1" t="s">
        <v>22</v>
      </c>
      <c r="AX202" s="1">
        <v>15</v>
      </c>
      <c r="AY202" s="1">
        <v>0</v>
      </c>
      <c r="AZ202" s="1">
        <v>0</v>
      </c>
      <c r="BA202" s="1">
        <v>30</v>
      </c>
      <c r="BB202" s="1">
        <v>0</v>
      </c>
      <c r="BC202" s="1">
        <v>0</v>
      </c>
      <c r="BD202" s="1">
        <v>0</v>
      </c>
      <c r="BE202" s="54">
        <v>0</v>
      </c>
      <c r="BF202" s="6">
        <v>21</v>
      </c>
      <c r="BG202" s="6">
        <v>20</v>
      </c>
      <c r="BH202" s="1">
        <v>2</v>
      </c>
      <c r="BI202" s="6">
        <v>20</v>
      </c>
      <c r="BJ202" s="1" t="s">
        <v>22</v>
      </c>
      <c r="BK202" s="1" t="s">
        <v>22</v>
      </c>
      <c r="BL202" s="1" t="s">
        <v>22</v>
      </c>
      <c r="BM202" s="1" t="s">
        <v>22</v>
      </c>
      <c r="BN202" t="s">
        <v>22</v>
      </c>
      <c r="BO202">
        <v>2480</v>
      </c>
    </row>
    <row r="203" spans="1:67" x14ac:dyDescent="0.3">
      <c r="A203" s="4">
        <f>INT(Tabela1[[#This Row],[Data e Hora]])</f>
        <v>46273</v>
      </c>
      <c r="B203" s="4" t="str">
        <f>UPPER(TEXT(Tabela1[[#This Row],[Data Corrigida]],"MMM"))</f>
        <v>SET</v>
      </c>
      <c r="C203" t="s">
        <v>621</v>
      </c>
      <c r="D203" t="s">
        <v>622</v>
      </c>
      <c r="E203" t="s">
        <v>620</v>
      </c>
      <c r="F203" t="s">
        <v>19</v>
      </c>
      <c r="G203" s="5" t="s">
        <v>609</v>
      </c>
      <c r="H203" t="s">
        <v>20</v>
      </c>
      <c r="I203" t="s">
        <v>21</v>
      </c>
      <c r="J203" s="1">
        <v>156</v>
      </c>
      <c r="K203" s="1">
        <v>2804</v>
      </c>
      <c r="L203" t="s">
        <v>23</v>
      </c>
      <c r="M203" s="1">
        <v>23</v>
      </c>
      <c r="N203" s="48">
        <v>23</v>
      </c>
      <c r="O203" s="1">
        <v>5</v>
      </c>
      <c r="P203" s="48">
        <v>5</v>
      </c>
      <c r="Q203" s="1">
        <v>0</v>
      </c>
      <c r="R203" s="1">
        <v>0</v>
      </c>
      <c r="S203" s="1">
        <v>4</v>
      </c>
      <c r="T203" s="1">
        <v>4</v>
      </c>
      <c r="U203" s="1">
        <v>1</v>
      </c>
      <c r="V203" s="1">
        <v>1</v>
      </c>
      <c r="W203" s="1">
        <v>0</v>
      </c>
      <c r="X203" s="1">
        <v>0</v>
      </c>
      <c r="Y203" s="1">
        <v>1</v>
      </c>
      <c r="Z203" s="3">
        <v>0.32051282051282048</v>
      </c>
      <c r="AA203" s="1">
        <v>4</v>
      </c>
      <c r="AB203" s="3">
        <v>2.5641025641025639</v>
      </c>
      <c r="AC203" s="1">
        <v>1</v>
      </c>
      <c r="AD203" s="3">
        <v>0.64102564102564097</v>
      </c>
      <c r="AE203" s="1">
        <v>1</v>
      </c>
      <c r="AF203" s="3">
        <v>0.64102564102564097</v>
      </c>
      <c r="AG203" s="1">
        <v>3</v>
      </c>
      <c r="AH203" s="3">
        <v>1.9230769230769231</v>
      </c>
      <c r="AI203" s="1" t="s">
        <v>22</v>
      </c>
      <c r="AJ203" s="1">
        <v>3</v>
      </c>
      <c r="AK203" s="3">
        <v>1.9230769230769231</v>
      </c>
      <c r="AL203" s="1">
        <v>2</v>
      </c>
      <c r="AM203" s="3">
        <v>1.2820512820512819</v>
      </c>
      <c r="AN203" s="1" t="s">
        <v>22</v>
      </c>
      <c r="AO203" s="1">
        <v>6</v>
      </c>
      <c r="AP203" s="3">
        <v>3.8461538461538463</v>
      </c>
      <c r="AQ203" s="3"/>
      <c r="AR203" s="3"/>
      <c r="AS203" s="1">
        <v>4</v>
      </c>
      <c r="AT203" s="3">
        <v>2.5641025641025639</v>
      </c>
      <c r="AU203" s="1">
        <v>1</v>
      </c>
      <c r="AV203" s="3">
        <v>0.64102564102564097</v>
      </c>
      <c r="AW203" s="1" t="s">
        <v>22</v>
      </c>
      <c r="AX203" s="1">
        <v>13</v>
      </c>
      <c r="AY203" s="1">
        <v>0</v>
      </c>
      <c r="AZ203" s="1">
        <v>0</v>
      </c>
      <c r="BA203" s="1">
        <v>26</v>
      </c>
      <c r="BB203" s="1">
        <v>0</v>
      </c>
      <c r="BC203" s="1">
        <v>0</v>
      </c>
      <c r="BD203" s="1">
        <v>0</v>
      </c>
      <c r="BE203" s="54">
        <v>0</v>
      </c>
      <c r="BF203" s="6">
        <v>17</v>
      </c>
      <c r="BG203" s="6">
        <v>21</v>
      </c>
      <c r="BH203" s="1">
        <v>1</v>
      </c>
      <c r="BI203" s="6">
        <v>10</v>
      </c>
      <c r="BJ203" s="1" t="s">
        <v>22</v>
      </c>
      <c r="BK203" s="1" t="s">
        <v>22</v>
      </c>
      <c r="BL203" s="1" t="s">
        <v>22</v>
      </c>
      <c r="BM203" s="1" t="s">
        <v>22</v>
      </c>
      <c r="BN203" t="s">
        <v>24</v>
      </c>
      <c r="BO203">
        <v>3750</v>
      </c>
    </row>
    <row r="204" spans="1:67" x14ac:dyDescent="0.3">
      <c r="A204" s="4">
        <f>INT(Tabela1[[#This Row],[Data e Hora]])</f>
        <v>46273</v>
      </c>
      <c r="B204" s="4" t="str">
        <f>UPPER(TEXT(Tabela1[[#This Row],[Data Corrigida]],"MMM"))</f>
        <v>SET</v>
      </c>
      <c r="C204" t="s">
        <v>623</v>
      </c>
      <c r="D204" t="s">
        <v>624</v>
      </c>
      <c r="E204" t="s">
        <v>620</v>
      </c>
      <c r="F204" t="s">
        <v>19</v>
      </c>
      <c r="G204" s="5" t="s">
        <v>609</v>
      </c>
      <c r="H204" t="s">
        <v>20</v>
      </c>
      <c r="I204" t="s">
        <v>21</v>
      </c>
      <c r="J204" s="1">
        <v>150</v>
      </c>
      <c r="K204" s="1">
        <v>2857</v>
      </c>
      <c r="L204" t="s">
        <v>23</v>
      </c>
      <c r="M204" s="1">
        <v>12</v>
      </c>
      <c r="N204" s="48">
        <v>12</v>
      </c>
      <c r="O204" s="1">
        <v>4</v>
      </c>
      <c r="P204" s="48">
        <v>4</v>
      </c>
      <c r="Q204" s="1">
        <v>0</v>
      </c>
      <c r="R204" s="1">
        <v>0</v>
      </c>
      <c r="S204" s="1">
        <v>3</v>
      </c>
      <c r="T204" s="1">
        <v>3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3">
        <v>0</v>
      </c>
      <c r="AA204" s="1">
        <v>4</v>
      </c>
      <c r="AB204" s="3">
        <v>2.666666666666667</v>
      </c>
      <c r="AC204" s="1">
        <v>0</v>
      </c>
      <c r="AD204" s="3">
        <v>0</v>
      </c>
      <c r="AE204" s="1">
        <v>0</v>
      </c>
      <c r="AF204" s="3">
        <v>0</v>
      </c>
      <c r="AG204" s="1">
        <v>3</v>
      </c>
      <c r="AH204" s="3">
        <v>2</v>
      </c>
      <c r="AI204" s="1" t="s">
        <v>22</v>
      </c>
      <c r="AJ204" s="1">
        <v>1</v>
      </c>
      <c r="AK204" s="3">
        <v>0.66666666666666674</v>
      </c>
      <c r="AL204" s="1">
        <v>2</v>
      </c>
      <c r="AM204" s="3">
        <v>1.3333333333333335</v>
      </c>
      <c r="AN204" s="1" t="s">
        <v>22</v>
      </c>
      <c r="AO204" s="1">
        <v>5</v>
      </c>
      <c r="AP204" s="3">
        <v>3.3333333333333335</v>
      </c>
      <c r="AQ204" s="3"/>
      <c r="AR204" s="3"/>
      <c r="AS204" s="1">
        <v>4</v>
      </c>
      <c r="AT204" s="3">
        <v>2.666666666666667</v>
      </c>
      <c r="AU204" s="1">
        <v>0</v>
      </c>
      <c r="AV204" s="3">
        <v>0</v>
      </c>
      <c r="AW204" s="1" t="s">
        <v>22</v>
      </c>
      <c r="AX204" s="1">
        <v>14</v>
      </c>
      <c r="AY204" s="1">
        <v>0</v>
      </c>
      <c r="AZ204" s="1">
        <v>0</v>
      </c>
      <c r="BA204" s="1">
        <v>28</v>
      </c>
      <c r="BB204" s="1">
        <v>0</v>
      </c>
      <c r="BC204" s="1">
        <v>0</v>
      </c>
      <c r="BD204" s="1">
        <v>1</v>
      </c>
      <c r="BE204" s="54">
        <v>0.66666666666666674</v>
      </c>
      <c r="BF204" s="6">
        <v>19</v>
      </c>
      <c r="BG204" s="6">
        <v>18</v>
      </c>
      <c r="BH204" s="1">
        <v>1</v>
      </c>
      <c r="BI204" s="6">
        <v>10</v>
      </c>
      <c r="BJ204" s="1" t="s">
        <v>22</v>
      </c>
      <c r="BK204" s="1" t="s">
        <v>22</v>
      </c>
      <c r="BL204" s="1" t="s">
        <v>22</v>
      </c>
      <c r="BM204" s="1" t="s">
        <v>22</v>
      </c>
      <c r="BN204" t="s">
        <v>24</v>
      </c>
      <c r="BO204">
        <v>1772</v>
      </c>
    </row>
    <row r="205" spans="1:67" x14ac:dyDescent="0.3">
      <c r="A205" s="4">
        <f>INT(Tabela1[[#This Row],[Data e Hora]])</f>
        <v>46275</v>
      </c>
      <c r="B205" s="4" t="str">
        <f>UPPER(TEXT(Tabela1[[#This Row],[Data Corrigida]],"MMM"))</f>
        <v>SET</v>
      </c>
      <c r="C205" s="57" t="s">
        <v>625</v>
      </c>
      <c r="D205" t="s">
        <v>626</v>
      </c>
      <c r="E205" t="s">
        <v>627</v>
      </c>
      <c r="F205" t="s">
        <v>19</v>
      </c>
      <c r="G205" s="5" t="s">
        <v>628</v>
      </c>
      <c r="H205" t="s">
        <v>20</v>
      </c>
      <c r="I205" t="s">
        <v>33</v>
      </c>
      <c r="J205" s="1">
        <v>145</v>
      </c>
      <c r="K205" s="1">
        <v>2765</v>
      </c>
      <c r="L205" t="s">
        <v>34</v>
      </c>
      <c r="M205" s="1">
        <v>20</v>
      </c>
      <c r="N205" s="48">
        <v>20</v>
      </c>
      <c r="O205" s="1">
        <v>9</v>
      </c>
      <c r="P205" s="48">
        <v>9</v>
      </c>
      <c r="Q205" s="1">
        <v>3</v>
      </c>
      <c r="R205" s="1">
        <v>30</v>
      </c>
      <c r="S205" s="1">
        <v>2</v>
      </c>
      <c r="T205" s="1">
        <v>2</v>
      </c>
      <c r="U205" s="1">
        <v>1</v>
      </c>
      <c r="V205" s="1">
        <v>1</v>
      </c>
      <c r="W205" s="1">
        <v>0</v>
      </c>
      <c r="X205" s="1">
        <v>0</v>
      </c>
      <c r="Y205" s="1">
        <v>8</v>
      </c>
      <c r="Z205" s="3">
        <v>2.7586206896551726</v>
      </c>
      <c r="AA205" s="1">
        <v>2</v>
      </c>
      <c r="AB205" s="3">
        <v>1.3793103448275863</v>
      </c>
      <c r="AC205" s="1">
        <v>0</v>
      </c>
      <c r="AD205" s="3">
        <v>0</v>
      </c>
      <c r="AE205" s="1">
        <v>1</v>
      </c>
      <c r="AF205" s="3">
        <v>0.68965517241379315</v>
      </c>
      <c r="AG205" s="1">
        <v>3</v>
      </c>
      <c r="AH205" s="3">
        <v>2.0689655172413794</v>
      </c>
      <c r="AI205" s="1" t="s">
        <v>22</v>
      </c>
      <c r="AJ205" s="1">
        <v>0</v>
      </c>
      <c r="AK205" s="3">
        <v>0</v>
      </c>
      <c r="AL205" s="1">
        <v>0</v>
      </c>
      <c r="AM205" s="3">
        <v>0</v>
      </c>
      <c r="AN205" s="1" t="s">
        <v>22</v>
      </c>
      <c r="AO205" s="1">
        <v>8</v>
      </c>
      <c r="AP205" s="3">
        <v>5.5172413793103452</v>
      </c>
      <c r="AQ205" s="3"/>
      <c r="AR205" s="3"/>
      <c r="AS205" s="1">
        <v>6</v>
      </c>
      <c r="AT205" s="3">
        <v>4.1379310344827589</v>
      </c>
      <c r="AU205" s="1">
        <v>0</v>
      </c>
      <c r="AV205" s="3">
        <v>0</v>
      </c>
      <c r="AW205" s="1" t="s">
        <v>22</v>
      </c>
      <c r="AX205" s="1">
        <v>9</v>
      </c>
      <c r="AY205" s="1">
        <v>0</v>
      </c>
      <c r="AZ205" s="1">
        <v>0</v>
      </c>
      <c r="BA205" s="1">
        <v>18</v>
      </c>
      <c r="BB205" s="1">
        <v>0</v>
      </c>
      <c r="BC205" s="1">
        <v>0</v>
      </c>
      <c r="BD205" s="1">
        <v>0</v>
      </c>
      <c r="BE205" s="54">
        <v>0</v>
      </c>
      <c r="BF205" s="6">
        <v>8</v>
      </c>
      <c r="BG205" s="6">
        <v>4</v>
      </c>
      <c r="BH205" s="1">
        <v>0</v>
      </c>
      <c r="BI205" s="6">
        <v>0</v>
      </c>
      <c r="BJ205" s="1" t="s">
        <v>22</v>
      </c>
      <c r="BK205" s="6">
        <v>4</v>
      </c>
      <c r="BL205" s="6">
        <v>0</v>
      </c>
      <c r="BM205" s="1">
        <v>0</v>
      </c>
      <c r="BN205" t="s">
        <v>24</v>
      </c>
      <c r="BO205">
        <v>384</v>
      </c>
    </row>
    <row r="206" spans="1:67" x14ac:dyDescent="0.3">
      <c r="A206" s="4">
        <f>INT(Tabela1[[#This Row],[Data e Hora]])</f>
        <v>46275</v>
      </c>
      <c r="B206" s="4" t="str">
        <f>UPPER(TEXT(Tabela1[[#This Row],[Data Corrigida]],"MMM"))</f>
        <v>SET</v>
      </c>
      <c r="C206" t="s">
        <v>629</v>
      </c>
      <c r="D206" t="s">
        <v>630</v>
      </c>
      <c r="E206" t="s">
        <v>627</v>
      </c>
      <c r="F206" t="s">
        <v>19</v>
      </c>
      <c r="G206" s="5" t="s">
        <v>628</v>
      </c>
      <c r="H206" t="s">
        <v>20</v>
      </c>
      <c r="I206" t="s">
        <v>33</v>
      </c>
      <c r="J206" s="1">
        <v>151</v>
      </c>
      <c r="K206" s="1">
        <v>2604</v>
      </c>
      <c r="L206" t="s">
        <v>34</v>
      </c>
      <c r="M206" s="1">
        <v>22</v>
      </c>
      <c r="N206" s="48">
        <v>22</v>
      </c>
      <c r="O206" s="1">
        <v>14</v>
      </c>
      <c r="P206" s="48">
        <v>14.000000000000002</v>
      </c>
      <c r="Q206" s="1">
        <v>3</v>
      </c>
      <c r="R206" s="1">
        <v>30</v>
      </c>
      <c r="S206" s="1">
        <v>1</v>
      </c>
      <c r="T206" s="1">
        <v>1</v>
      </c>
      <c r="U206" s="1">
        <v>0</v>
      </c>
      <c r="V206" s="1">
        <v>0</v>
      </c>
      <c r="W206" s="1">
        <v>0</v>
      </c>
      <c r="X206" s="1">
        <v>0</v>
      </c>
      <c r="Y206" s="1">
        <v>4</v>
      </c>
      <c r="Z206" s="3">
        <v>1.3245033112582782</v>
      </c>
      <c r="AA206" s="1">
        <v>2</v>
      </c>
      <c r="AB206" s="3">
        <v>1.3245033112582782</v>
      </c>
      <c r="AC206" s="1">
        <v>1</v>
      </c>
      <c r="AD206" s="3">
        <v>0.66225165562913912</v>
      </c>
      <c r="AE206" s="1">
        <v>0</v>
      </c>
      <c r="AF206" s="3">
        <v>0</v>
      </c>
      <c r="AG206" s="1">
        <v>2</v>
      </c>
      <c r="AH206" s="3">
        <v>1.3245033112582782</v>
      </c>
      <c r="AI206" s="1" t="s">
        <v>22</v>
      </c>
      <c r="AJ206" s="1">
        <v>0</v>
      </c>
      <c r="AK206" s="3">
        <v>0</v>
      </c>
      <c r="AL206" s="1">
        <v>0</v>
      </c>
      <c r="AM206" s="3">
        <v>0</v>
      </c>
      <c r="AN206" s="1" t="s">
        <v>22</v>
      </c>
      <c r="AO206" s="1">
        <v>9</v>
      </c>
      <c r="AP206" s="3">
        <v>5.9602649006622519</v>
      </c>
      <c r="AQ206" s="3"/>
      <c r="AR206" s="3"/>
      <c r="AS206" s="1">
        <v>8</v>
      </c>
      <c r="AT206" s="3">
        <v>5.298013245033113</v>
      </c>
      <c r="AU206" s="1">
        <v>0</v>
      </c>
      <c r="AV206" s="3">
        <v>0</v>
      </c>
      <c r="AW206" s="1" t="s">
        <v>22</v>
      </c>
      <c r="AX206" s="1">
        <v>7</v>
      </c>
      <c r="AY206" s="1">
        <v>0</v>
      </c>
      <c r="AZ206" s="1">
        <v>1</v>
      </c>
      <c r="BA206" s="1">
        <v>14</v>
      </c>
      <c r="BB206" s="1">
        <v>0</v>
      </c>
      <c r="BC206" s="1">
        <v>2</v>
      </c>
      <c r="BD206" s="1">
        <v>0</v>
      </c>
      <c r="BE206" s="54">
        <v>0</v>
      </c>
      <c r="BF206" s="6">
        <v>5</v>
      </c>
      <c r="BG206" s="6">
        <v>3</v>
      </c>
      <c r="BH206" s="1">
        <v>0</v>
      </c>
      <c r="BI206" s="6">
        <v>0</v>
      </c>
      <c r="BJ206" s="1" t="s">
        <v>22</v>
      </c>
      <c r="BK206" s="6">
        <v>10</v>
      </c>
      <c r="BL206" s="6">
        <v>0</v>
      </c>
      <c r="BM206" s="1">
        <v>0</v>
      </c>
      <c r="BN206" t="s">
        <v>24</v>
      </c>
      <c r="BO206">
        <v>6673</v>
      </c>
    </row>
    <row r="207" spans="1:67" x14ac:dyDescent="0.3">
      <c r="A207" s="4">
        <f>INT(Tabela1[[#This Row],[Data e Hora]])</f>
        <v>46275</v>
      </c>
      <c r="B207" s="4" t="str">
        <f>UPPER(TEXT(Tabela1[[#This Row],[Data Corrigida]],"MMM"))</f>
        <v>SET</v>
      </c>
      <c r="C207" t="s">
        <v>631</v>
      </c>
      <c r="D207" t="s">
        <v>632</v>
      </c>
      <c r="E207" t="s">
        <v>633</v>
      </c>
      <c r="F207" t="s">
        <v>19</v>
      </c>
      <c r="G207" s="5" t="s">
        <v>628</v>
      </c>
      <c r="H207" t="s">
        <v>20</v>
      </c>
      <c r="I207" t="s">
        <v>33</v>
      </c>
      <c r="J207" s="1">
        <v>130</v>
      </c>
      <c r="K207" s="1">
        <v>2809</v>
      </c>
      <c r="L207" t="s">
        <v>34</v>
      </c>
      <c r="M207" s="1">
        <v>14</v>
      </c>
      <c r="N207" s="48">
        <v>14.000000000000002</v>
      </c>
      <c r="O207" s="1">
        <v>9</v>
      </c>
      <c r="P207" s="48">
        <v>9</v>
      </c>
      <c r="Q207" s="1">
        <v>2</v>
      </c>
      <c r="R207" s="1">
        <v>20</v>
      </c>
      <c r="S207" s="1">
        <v>1</v>
      </c>
      <c r="T207" s="1">
        <v>1</v>
      </c>
      <c r="U207" s="1">
        <v>0</v>
      </c>
      <c r="V207" s="1">
        <v>0</v>
      </c>
      <c r="W207" s="1">
        <v>0</v>
      </c>
      <c r="X207" s="1">
        <v>0</v>
      </c>
      <c r="Y207" s="1">
        <v>5</v>
      </c>
      <c r="Z207" s="3">
        <v>1.9230769230769231</v>
      </c>
      <c r="AA207" s="1">
        <v>4</v>
      </c>
      <c r="AB207" s="3">
        <v>3.0769230769230771</v>
      </c>
      <c r="AC207" s="1">
        <v>0</v>
      </c>
      <c r="AD207" s="3">
        <v>0</v>
      </c>
      <c r="AE207" s="1">
        <v>1</v>
      </c>
      <c r="AF207" s="3">
        <v>0.76923076923076927</v>
      </c>
      <c r="AG207" s="1">
        <v>2</v>
      </c>
      <c r="AH207" s="3">
        <v>1.5384615384615385</v>
      </c>
      <c r="AI207" s="1" t="s">
        <v>22</v>
      </c>
      <c r="AJ207" s="1">
        <v>0</v>
      </c>
      <c r="AK207" s="3">
        <v>0</v>
      </c>
      <c r="AL207" s="1">
        <v>0</v>
      </c>
      <c r="AM207" s="3">
        <v>0</v>
      </c>
      <c r="AN207" s="1" t="s">
        <v>22</v>
      </c>
      <c r="AO207" s="1">
        <v>6</v>
      </c>
      <c r="AP207" s="3">
        <v>4.6153846153846159</v>
      </c>
      <c r="AQ207" s="3"/>
      <c r="AR207" s="3"/>
      <c r="AS207" s="1">
        <v>3</v>
      </c>
      <c r="AT207" s="3">
        <v>2.3076923076923079</v>
      </c>
      <c r="AU207" s="1">
        <v>0</v>
      </c>
      <c r="AV207" s="3">
        <v>0</v>
      </c>
      <c r="AW207" s="1" t="s">
        <v>22</v>
      </c>
      <c r="AX207" s="1">
        <v>8</v>
      </c>
      <c r="AY207" s="1">
        <v>0</v>
      </c>
      <c r="AZ207" s="1">
        <v>0</v>
      </c>
      <c r="BA207" s="1">
        <v>16</v>
      </c>
      <c r="BB207" s="1">
        <v>0</v>
      </c>
      <c r="BC207" s="1">
        <v>0</v>
      </c>
      <c r="BD207" s="1">
        <v>0</v>
      </c>
      <c r="BE207" s="54">
        <v>0</v>
      </c>
      <c r="BF207" s="6">
        <v>5</v>
      </c>
      <c r="BG207" s="6">
        <v>3</v>
      </c>
      <c r="BH207" s="1">
        <v>0</v>
      </c>
      <c r="BI207" s="6">
        <v>0</v>
      </c>
      <c r="BJ207" s="1" t="s">
        <v>22</v>
      </c>
      <c r="BK207" s="6">
        <v>6</v>
      </c>
      <c r="BL207" s="6">
        <v>0</v>
      </c>
      <c r="BM207" s="1">
        <v>0</v>
      </c>
      <c r="BN207" t="s">
        <v>24</v>
      </c>
      <c r="BO207">
        <v>10512</v>
      </c>
    </row>
    <row r="208" spans="1:67" x14ac:dyDescent="0.3">
      <c r="A208" s="4">
        <f>INT(Tabela1[[#This Row],[Data e Hora]])</f>
        <v>46275</v>
      </c>
      <c r="B208" s="4" t="str">
        <f>UPPER(TEXT(Tabela1[[#This Row],[Data Corrigida]],"MMM"))</f>
        <v>SET</v>
      </c>
      <c r="C208" t="s">
        <v>634</v>
      </c>
      <c r="D208" t="s">
        <v>635</v>
      </c>
      <c r="E208" t="s">
        <v>636</v>
      </c>
      <c r="F208" t="s">
        <v>19</v>
      </c>
      <c r="G208" s="5" t="s">
        <v>628</v>
      </c>
      <c r="H208" t="s">
        <v>20</v>
      </c>
      <c r="I208" t="s">
        <v>21</v>
      </c>
      <c r="J208" s="1">
        <v>153</v>
      </c>
      <c r="K208" s="1">
        <v>2855</v>
      </c>
      <c r="L208" t="s">
        <v>23</v>
      </c>
      <c r="M208" s="1">
        <v>17</v>
      </c>
      <c r="N208" s="48">
        <v>17</v>
      </c>
      <c r="O208" s="1">
        <v>5</v>
      </c>
      <c r="P208" s="48">
        <v>5</v>
      </c>
      <c r="Q208" s="1">
        <v>0</v>
      </c>
      <c r="R208" s="1">
        <v>0</v>
      </c>
      <c r="S208" s="1">
        <v>4</v>
      </c>
      <c r="T208" s="1">
        <v>4</v>
      </c>
      <c r="U208" s="1">
        <v>1</v>
      </c>
      <c r="V208" s="1">
        <v>1</v>
      </c>
      <c r="W208" s="1">
        <v>0</v>
      </c>
      <c r="X208" s="1">
        <v>0</v>
      </c>
      <c r="Y208" s="1">
        <v>1</v>
      </c>
      <c r="Z208" s="3">
        <v>0.32679738562091504</v>
      </c>
      <c r="AA208" s="1">
        <v>4</v>
      </c>
      <c r="AB208" s="3">
        <v>2.6143790849673203</v>
      </c>
      <c r="AC208" s="1">
        <v>0</v>
      </c>
      <c r="AD208" s="3">
        <v>0</v>
      </c>
      <c r="AE208" s="1">
        <v>2</v>
      </c>
      <c r="AF208" s="3">
        <v>1.3071895424836601</v>
      </c>
      <c r="AG208" s="1">
        <v>6</v>
      </c>
      <c r="AH208" s="3">
        <v>3.9215686274509802</v>
      </c>
      <c r="AI208" s="1" t="s">
        <v>22</v>
      </c>
      <c r="AJ208" s="1">
        <v>3</v>
      </c>
      <c r="AK208" s="3">
        <v>1.9607843137254901</v>
      </c>
      <c r="AL208" s="1">
        <v>2</v>
      </c>
      <c r="AM208" s="3">
        <v>1.3071895424836601</v>
      </c>
      <c r="AN208" s="1" t="s">
        <v>22</v>
      </c>
      <c r="AO208" s="1">
        <v>9</v>
      </c>
      <c r="AP208" s="3">
        <v>5.8823529411764701</v>
      </c>
      <c r="AQ208" s="3"/>
      <c r="AR208" s="3"/>
      <c r="AS208" s="1">
        <v>6</v>
      </c>
      <c r="AT208" s="3">
        <v>3.9215686274509802</v>
      </c>
      <c r="AU208" s="1">
        <v>1</v>
      </c>
      <c r="AV208" s="3">
        <v>0.65359477124183007</v>
      </c>
      <c r="AW208" s="1" t="s">
        <v>22</v>
      </c>
      <c r="AX208" s="1">
        <v>18</v>
      </c>
      <c r="AY208" s="1">
        <v>0</v>
      </c>
      <c r="AZ208" s="1">
        <v>0</v>
      </c>
      <c r="BA208" s="1">
        <v>36</v>
      </c>
      <c r="BB208" s="1">
        <v>0</v>
      </c>
      <c r="BC208" s="1">
        <v>0</v>
      </c>
      <c r="BD208" s="1">
        <v>2</v>
      </c>
      <c r="BE208" s="54">
        <v>1.3071895424836601</v>
      </c>
      <c r="BF208" s="6">
        <v>18</v>
      </c>
      <c r="BG208" s="6">
        <v>17</v>
      </c>
      <c r="BH208" s="1">
        <v>1</v>
      </c>
      <c r="BI208" s="6">
        <v>10</v>
      </c>
      <c r="BJ208" s="1" t="s">
        <v>22</v>
      </c>
      <c r="BK208" s="1" t="s">
        <v>22</v>
      </c>
      <c r="BL208" s="1" t="s">
        <v>22</v>
      </c>
      <c r="BM208" s="1" t="s">
        <v>22</v>
      </c>
      <c r="BN208" t="s">
        <v>24</v>
      </c>
      <c r="BO208">
        <v>1317</v>
      </c>
    </row>
    <row r="209" spans="1:67" x14ac:dyDescent="0.3">
      <c r="A209" s="4">
        <f>INT(Tabela1[[#This Row],[Data e Hora]])</f>
        <v>46275</v>
      </c>
      <c r="B209" s="4" t="str">
        <f>UPPER(TEXT(Tabela1[[#This Row],[Data Corrigida]],"MMM"))</f>
        <v>SET</v>
      </c>
      <c r="C209" t="s">
        <v>637</v>
      </c>
      <c r="D209" t="s">
        <v>638</v>
      </c>
      <c r="E209" t="s">
        <v>636</v>
      </c>
      <c r="F209" t="s">
        <v>19</v>
      </c>
      <c r="G209" s="5" t="s">
        <v>628</v>
      </c>
      <c r="H209" t="s">
        <v>20</v>
      </c>
      <c r="I209" t="s">
        <v>21</v>
      </c>
      <c r="J209" s="1">
        <v>145</v>
      </c>
      <c r="K209" s="1">
        <v>2708</v>
      </c>
      <c r="L209" t="s">
        <v>23</v>
      </c>
      <c r="M209" s="1">
        <v>35</v>
      </c>
      <c r="N209" s="48">
        <v>35</v>
      </c>
      <c r="O209" s="1">
        <v>13</v>
      </c>
      <c r="P209" s="48">
        <v>13</v>
      </c>
      <c r="Q209" s="1">
        <v>0</v>
      </c>
      <c r="R209" s="1">
        <v>0</v>
      </c>
      <c r="S209" s="1">
        <v>4</v>
      </c>
      <c r="T209" s="1">
        <v>4</v>
      </c>
      <c r="U209" s="1">
        <v>2</v>
      </c>
      <c r="V209" s="1">
        <v>2</v>
      </c>
      <c r="W209" s="1">
        <v>0</v>
      </c>
      <c r="X209" s="1">
        <v>0</v>
      </c>
      <c r="Y209" s="1">
        <v>2</v>
      </c>
      <c r="Z209" s="3">
        <v>0.68965517241379315</v>
      </c>
      <c r="AA209" s="1">
        <v>3</v>
      </c>
      <c r="AB209" s="3">
        <v>2.0689655172413794</v>
      </c>
      <c r="AC209" s="1">
        <v>0</v>
      </c>
      <c r="AD209" s="3">
        <v>0</v>
      </c>
      <c r="AE209" s="1">
        <v>2</v>
      </c>
      <c r="AF209" s="3">
        <v>1.3793103448275863</v>
      </c>
      <c r="AG209" s="1">
        <v>6</v>
      </c>
      <c r="AH209" s="3">
        <v>4.1379310344827589</v>
      </c>
      <c r="AI209" s="1" t="s">
        <v>22</v>
      </c>
      <c r="AJ209" s="1">
        <v>2</v>
      </c>
      <c r="AK209" s="3">
        <v>1.3793103448275863</v>
      </c>
      <c r="AL209" s="1">
        <v>2</v>
      </c>
      <c r="AM209" s="3">
        <v>1.3793103448275863</v>
      </c>
      <c r="AN209" s="1" t="s">
        <v>22</v>
      </c>
      <c r="AO209" s="1">
        <v>10</v>
      </c>
      <c r="AP209" s="3">
        <v>6.8965517241379306</v>
      </c>
      <c r="AQ209" s="3"/>
      <c r="AR209" s="3"/>
      <c r="AS209" s="1">
        <v>8</v>
      </c>
      <c r="AT209" s="3">
        <v>5.5172413793103452</v>
      </c>
      <c r="AU209" s="1">
        <v>1</v>
      </c>
      <c r="AV209" s="3">
        <v>0.68965517241379315</v>
      </c>
      <c r="AW209" s="1" t="s">
        <v>22</v>
      </c>
      <c r="AX209" s="1">
        <v>19</v>
      </c>
      <c r="AY209" s="1">
        <v>0</v>
      </c>
      <c r="AZ209" s="1">
        <v>0</v>
      </c>
      <c r="BA209" s="1">
        <v>38</v>
      </c>
      <c r="BB209" s="1">
        <v>0</v>
      </c>
      <c r="BC209" s="1">
        <v>0</v>
      </c>
      <c r="BD209" s="1">
        <v>0</v>
      </c>
      <c r="BE209" s="54">
        <v>0</v>
      </c>
      <c r="BF209" s="6">
        <v>16</v>
      </c>
      <c r="BG209" s="6">
        <v>18</v>
      </c>
      <c r="BH209" s="1">
        <v>0</v>
      </c>
      <c r="BI209" s="6">
        <v>0</v>
      </c>
      <c r="BJ209" s="1" t="s">
        <v>22</v>
      </c>
      <c r="BK209" s="6">
        <v>2</v>
      </c>
      <c r="BL209" s="6">
        <v>0</v>
      </c>
      <c r="BM209" s="1">
        <v>1</v>
      </c>
      <c r="BN209" t="s">
        <v>24</v>
      </c>
      <c r="BO209">
        <v>3028</v>
      </c>
    </row>
    <row r="210" spans="1:67" x14ac:dyDescent="0.3">
      <c r="A210" s="4">
        <f>INT(Tabela1[[#This Row],[Data e Hora]])</f>
        <v>46275</v>
      </c>
      <c r="B210" s="4" t="str">
        <f>UPPER(TEXT(Tabela1[[#This Row],[Data Corrigida]],"MMM"))</f>
        <v>SET</v>
      </c>
      <c r="C210" t="s">
        <v>639</v>
      </c>
      <c r="D210" t="s">
        <v>640</v>
      </c>
      <c r="E210" t="s">
        <v>641</v>
      </c>
      <c r="F210" t="s">
        <v>19</v>
      </c>
      <c r="G210" s="5" t="s">
        <v>628</v>
      </c>
      <c r="H210" t="s">
        <v>20</v>
      </c>
      <c r="I210" t="s">
        <v>21</v>
      </c>
      <c r="J210" s="1">
        <v>145</v>
      </c>
      <c r="K210" s="1">
        <v>2762</v>
      </c>
      <c r="L210" t="s">
        <v>23</v>
      </c>
      <c r="M210" s="1">
        <v>19</v>
      </c>
      <c r="N210" s="48">
        <v>19</v>
      </c>
      <c r="O210" s="1">
        <v>8</v>
      </c>
      <c r="P210" s="48">
        <v>8</v>
      </c>
      <c r="Q210" s="1">
        <v>0</v>
      </c>
      <c r="R210" s="1">
        <v>0</v>
      </c>
      <c r="S210" s="1">
        <v>3</v>
      </c>
      <c r="T210" s="1">
        <v>3</v>
      </c>
      <c r="U210" s="1">
        <v>2</v>
      </c>
      <c r="V210" s="1">
        <v>2</v>
      </c>
      <c r="W210" s="1">
        <v>0</v>
      </c>
      <c r="X210" s="1">
        <v>0</v>
      </c>
      <c r="Y210" s="1">
        <v>1</v>
      </c>
      <c r="Z210" s="3">
        <v>0.34482758620689657</v>
      </c>
      <c r="AA210" s="1">
        <v>8</v>
      </c>
      <c r="AB210" s="3">
        <v>5.5172413793103452</v>
      </c>
      <c r="AC210" s="1">
        <v>0</v>
      </c>
      <c r="AD210" s="3">
        <v>0</v>
      </c>
      <c r="AE210" s="1">
        <v>0</v>
      </c>
      <c r="AF210" s="3">
        <v>0</v>
      </c>
      <c r="AG210" s="1">
        <v>3</v>
      </c>
      <c r="AH210" s="3">
        <v>2.0689655172413794</v>
      </c>
      <c r="AI210" s="1" t="s">
        <v>22</v>
      </c>
      <c r="AJ210" s="1">
        <v>3</v>
      </c>
      <c r="AK210" s="3">
        <v>2.0689655172413794</v>
      </c>
      <c r="AL210" s="1">
        <v>2</v>
      </c>
      <c r="AM210" s="3">
        <v>1.3793103448275863</v>
      </c>
      <c r="AN210" s="1" t="s">
        <v>22</v>
      </c>
      <c r="AO210" s="1">
        <v>9</v>
      </c>
      <c r="AP210" s="3">
        <v>6.2068965517241379</v>
      </c>
      <c r="AQ210" s="3"/>
      <c r="AR210" s="3"/>
      <c r="AS210" s="1">
        <v>7</v>
      </c>
      <c r="AT210" s="3">
        <v>4.8275862068965516</v>
      </c>
      <c r="AU210" s="1">
        <v>1</v>
      </c>
      <c r="AV210" s="3">
        <v>0.68965517241379315</v>
      </c>
      <c r="AW210" s="1" t="s">
        <v>22</v>
      </c>
      <c r="AX210" s="1">
        <v>18</v>
      </c>
      <c r="AY210" s="1">
        <v>0</v>
      </c>
      <c r="AZ210" s="1">
        <v>0</v>
      </c>
      <c r="BA210" s="1">
        <v>36</v>
      </c>
      <c r="BB210" s="1">
        <v>0</v>
      </c>
      <c r="BC210" s="1">
        <v>0</v>
      </c>
      <c r="BD210" s="1">
        <v>0</v>
      </c>
      <c r="BE210" s="54">
        <v>0</v>
      </c>
      <c r="BF210" s="6">
        <v>19</v>
      </c>
      <c r="BG210" s="6">
        <v>21</v>
      </c>
      <c r="BH210" s="1">
        <v>1</v>
      </c>
      <c r="BI210" s="6">
        <v>10</v>
      </c>
      <c r="BJ210" s="1" t="s">
        <v>22</v>
      </c>
      <c r="BK210" s="6">
        <v>0</v>
      </c>
      <c r="BL210" s="6">
        <v>0</v>
      </c>
      <c r="BM210" s="1">
        <v>2</v>
      </c>
      <c r="BN210" t="s">
        <v>24</v>
      </c>
      <c r="BO210">
        <v>2650</v>
      </c>
    </row>
    <row r="211" spans="1:67" x14ac:dyDescent="0.3">
      <c r="A211" s="4">
        <f>INT(Tabela1[[#This Row],[Data e Hora]])</f>
        <v>46275</v>
      </c>
      <c r="B211" s="4" t="str">
        <f>UPPER(TEXT(Tabela1[[#This Row],[Data Corrigida]],"MMM"))</f>
        <v>SET</v>
      </c>
      <c r="C211" t="s">
        <v>642</v>
      </c>
      <c r="D211" t="s">
        <v>643</v>
      </c>
      <c r="E211" t="s">
        <v>641</v>
      </c>
      <c r="F211" t="s">
        <v>19</v>
      </c>
      <c r="G211" s="5" t="s">
        <v>628</v>
      </c>
      <c r="H211" t="s">
        <v>20</v>
      </c>
      <c r="I211" t="s">
        <v>21</v>
      </c>
      <c r="J211" s="1">
        <v>160</v>
      </c>
      <c r="K211" s="1">
        <v>2757</v>
      </c>
      <c r="L211" t="s">
        <v>23</v>
      </c>
      <c r="M211" s="1">
        <v>14</v>
      </c>
      <c r="N211" s="48">
        <v>14.000000000000002</v>
      </c>
      <c r="O211" s="1">
        <v>4</v>
      </c>
      <c r="P211" s="48">
        <v>4</v>
      </c>
      <c r="Q211" s="1">
        <v>0</v>
      </c>
      <c r="R211" s="1">
        <v>0</v>
      </c>
      <c r="S211" s="1">
        <v>3</v>
      </c>
      <c r="T211" s="1">
        <v>3</v>
      </c>
      <c r="U211" s="1">
        <v>1</v>
      </c>
      <c r="V211" s="1">
        <v>1</v>
      </c>
      <c r="W211" s="1">
        <v>0</v>
      </c>
      <c r="X211" s="1">
        <v>0</v>
      </c>
      <c r="Y211" s="1">
        <v>1</v>
      </c>
      <c r="Z211" s="3">
        <v>0.3125</v>
      </c>
      <c r="AA211" s="1">
        <v>3</v>
      </c>
      <c r="AB211" s="3">
        <v>1.875</v>
      </c>
      <c r="AC211" s="1">
        <v>0</v>
      </c>
      <c r="AD211" s="3">
        <v>0</v>
      </c>
      <c r="AE211" s="1">
        <v>1</v>
      </c>
      <c r="AF211" s="3">
        <v>0.625</v>
      </c>
      <c r="AG211" s="1">
        <v>4</v>
      </c>
      <c r="AH211" s="3">
        <v>2.5</v>
      </c>
      <c r="AI211" s="1" t="s">
        <v>22</v>
      </c>
      <c r="AJ211" s="1">
        <v>3</v>
      </c>
      <c r="AK211" s="3">
        <v>1.875</v>
      </c>
      <c r="AL211" s="1">
        <v>2</v>
      </c>
      <c r="AM211" s="3">
        <v>1.25</v>
      </c>
      <c r="AN211" s="1" t="s">
        <v>22</v>
      </c>
      <c r="AO211" s="1">
        <v>6</v>
      </c>
      <c r="AP211" s="3">
        <v>3.75</v>
      </c>
      <c r="AQ211" s="3"/>
      <c r="AR211" s="3"/>
      <c r="AS211" s="1">
        <v>7</v>
      </c>
      <c r="AT211" s="3">
        <v>4.375</v>
      </c>
      <c r="AU211" s="1">
        <v>1</v>
      </c>
      <c r="AV211" s="3">
        <v>0.625</v>
      </c>
      <c r="AW211" s="1" t="s">
        <v>22</v>
      </c>
      <c r="AX211" s="1">
        <v>19</v>
      </c>
      <c r="AY211" s="1">
        <v>0</v>
      </c>
      <c r="AZ211" s="1">
        <v>0</v>
      </c>
      <c r="BA211" s="1">
        <v>38</v>
      </c>
      <c r="BB211" s="1">
        <v>0</v>
      </c>
      <c r="BC211" s="1">
        <v>0</v>
      </c>
      <c r="BD211" s="1">
        <v>2</v>
      </c>
      <c r="BE211" s="54">
        <v>1.25</v>
      </c>
      <c r="BF211" s="6">
        <v>15</v>
      </c>
      <c r="BG211" s="6">
        <v>18</v>
      </c>
      <c r="BH211" s="1">
        <v>1</v>
      </c>
      <c r="BI211" s="6">
        <v>10</v>
      </c>
      <c r="BJ211" s="1" t="s">
        <v>22</v>
      </c>
      <c r="BK211" s="1" t="s">
        <v>22</v>
      </c>
      <c r="BL211" s="1" t="s">
        <v>22</v>
      </c>
      <c r="BM211" s="1" t="s">
        <v>22</v>
      </c>
      <c r="BN211" t="s">
        <v>22</v>
      </c>
      <c r="BO211">
        <v>1407</v>
      </c>
    </row>
    <row r="212" spans="1:67" x14ac:dyDescent="0.3">
      <c r="A212" s="4">
        <f>INT(Tabela1[[#This Row],[Data e Hora]])</f>
        <v>46274</v>
      </c>
      <c r="B212" s="4" t="str">
        <f>UPPER(TEXT(Tabela1[[#This Row],[Data Corrigida]],"MMM"))</f>
        <v>SET</v>
      </c>
      <c r="C212" t="s">
        <v>644</v>
      </c>
      <c r="D212" t="s">
        <v>645</v>
      </c>
      <c r="E212" t="s">
        <v>646</v>
      </c>
      <c r="F212" t="s">
        <v>19</v>
      </c>
      <c r="G212" s="5" t="s">
        <v>647</v>
      </c>
      <c r="H212" t="s">
        <v>20</v>
      </c>
      <c r="I212" t="s">
        <v>33</v>
      </c>
      <c r="J212" s="1">
        <v>145</v>
      </c>
      <c r="K212" s="1">
        <v>2849</v>
      </c>
      <c r="L212" t="s">
        <v>34</v>
      </c>
      <c r="M212" s="1">
        <v>22</v>
      </c>
      <c r="N212" s="48">
        <v>22</v>
      </c>
      <c r="O212" s="1">
        <v>4</v>
      </c>
      <c r="P212" s="48">
        <v>4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9</v>
      </c>
      <c r="Z212" s="3">
        <v>3.103448275862069</v>
      </c>
      <c r="AA212" s="1">
        <v>3</v>
      </c>
      <c r="AB212" s="3">
        <v>2.0689655172413794</v>
      </c>
      <c r="AC212" s="1">
        <v>0</v>
      </c>
      <c r="AD212" s="3">
        <v>0</v>
      </c>
      <c r="AE212" s="1">
        <v>1</v>
      </c>
      <c r="AF212" s="3">
        <v>0.68965517241379315</v>
      </c>
      <c r="AG212" s="1">
        <v>0</v>
      </c>
      <c r="AH212" s="3">
        <v>0</v>
      </c>
      <c r="AI212" s="1" t="s">
        <v>22</v>
      </c>
      <c r="AJ212" s="1">
        <v>0</v>
      </c>
      <c r="AK212" s="3">
        <v>0</v>
      </c>
      <c r="AL212" s="1">
        <v>0</v>
      </c>
      <c r="AM212" s="3">
        <v>0</v>
      </c>
      <c r="AN212" s="1" t="s">
        <v>22</v>
      </c>
      <c r="AO212" s="1">
        <v>4</v>
      </c>
      <c r="AP212" s="3">
        <v>2.7586206896551726</v>
      </c>
      <c r="AQ212" s="3"/>
      <c r="AR212" s="3"/>
      <c r="AS212" s="1">
        <v>5</v>
      </c>
      <c r="AT212" s="3">
        <v>3.4482758620689653</v>
      </c>
      <c r="AU212" s="1">
        <v>0</v>
      </c>
      <c r="AV212" s="3">
        <v>0</v>
      </c>
      <c r="AW212" s="1" t="s">
        <v>22</v>
      </c>
      <c r="AX212" s="1">
        <v>9</v>
      </c>
      <c r="AY212" s="1">
        <v>0</v>
      </c>
      <c r="AZ212" s="1">
        <v>0</v>
      </c>
      <c r="BA212" s="1">
        <v>18</v>
      </c>
      <c r="BB212" s="1">
        <v>0</v>
      </c>
      <c r="BC212" s="1">
        <v>0</v>
      </c>
      <c r="BD212" s="1">
        <v>0</v>
      </c>
      <c r="BE212" s="54">
        <v>0</v>
      </c>
      <c r="BF212" s="6">
        <v>4</v>
      </c>
      <c r="BG212" s="6">
        <v>2</v>
      </c>
      <c r="BH212" s="1">
        <v>0</v>
      </c>
      <c r="BI212" s="6">
        <v>0</v>
      </c>
      <c r="BJ212" s="1" t="s">
        <v>22</v>
      </c>
      <c r="BK212" s="6">
        <v>0</v>
      </c>
      <c r="BL212" s="6">
        <v>0</v>
      </c>
      <c r="BM212" s="1">
        <v>0</v>
      </c>
      <c r="BN212" t="s">
        <v>24</v>
      </c>
      <c r="BO212">
        <v>1674</v>
      </c>
    </row>
    <row r="213" spans="1:67" x14ac:dyDescent="0.3">
      <c r="A213" s="4">
        <f>INT(Tabela1[[#This Row],[Data e Hora]])</f>
        <v>46274</v>
      </c>
      <c r="B213" s="4" t="str">
        <f>UPPER(TEXT(Tabela1[[#This Row],[Data Corrigida]],"MMM"))</f>
        <v>SET</v>
      </c>
      <c r="C213" t="s">
        <v>648</v>
      </c>
      <c r="D213" t="s">
        <v>649</v>
      </c>
      <c r="E213" t="s">
        <v>646</v>
      </c>
      <c r="F213" t="s">
        <v>19</v>
      </c>
      <c r="G213" s="5" t="s">
        <v>647</v>
      </c>
      <c r="H213" t="s">
        <v>20</v>
      </c>
      <c r="I213" t="s">
        <v>33</v>
      </c>
      <c r="J213" s="1">
        <v>161</v>
      </c>
      <c r="K213" s="1">
        <v>3069</v>
      </c>
      <c r="L213" t="s">
        <v>34</v>
      </c>
      <c r="M213" s="1">
        <v>20</v>
      </c>
      <c r="N213" s="48">
        <v>20</v>
      </c>
      <c r="O213" s="1">
        <v>6</v>
      </c>
      <c r="P213" s="48">
        <v>6</v>
      </c>
      <c r="Q213" s="1">
        <v>2</v>
      </c>
      <c r="R213" s="1">
        <v>20</v>
      </c>
      <c r="S213" s="1">
        <v>0</v>
      </c>
      <c r="T213" s="1">
        <v>0</v>
      </c>
      <c r="U213" s="1">
        <v>1</v>
      </c>
      <c r="V213" s="1">
        <v>1</v>
      </c>
      <c r="W213" s="1">
        <v>0</v>
      </c>
      <c r="X213" s="1">
        <v>0</v>
      </c>
      <c r="Y213" s="1">
        <v>6</v>
      </c>
      <c r="Z213" s="3">
        <v>1.8633540372670807</v>
      </c>
      <c r="AA213" s="1">
        <v>4</v>
      </c>
      <c r="AB213" s="3">
        <v>2.4844720496894408</v>
      </c>
      <c r="AC213" s="1">
        <v>0</v>
      </c>
      <c r="AD213" s="3">
        <v>0</v>
      </c>
      <c r="AE213" s="1">
        <v>1</v>
      </c>
      <c r="AF213" s="3">
        <v>0.6211180124223602</v>
      </c>
      <c r="AG213" s="1">
        <v>2</v>
      </c>
      <c r="AH213" s="3">
        <v>1.2422360248447204</v>
      </c>
      <c r="AI213" s="1" t="s">
        <v>22</v>
      </c>
      <c r="AJ213" s="1">
        <v>0</v>
      </c>
      <c r="AK213" s="3">
        <v>0</v>
      </c>
      <c r="AL213" s="1">
        <v>0</v>
      </c>
      <c r="AM213" s="3">
        <v>0</v>
      </c>
      <c r="AN213" s="1" t="s">
        <v>22</v>
      </c>
      <c r="AO213" s="1">
        <v>8</v>
      </c>
      <c r="AP213" s="3">
        <v>4.9689440993788816</v>
      </c>
      <c r="AQ213" s="3"/>
      <c r="AR213" s="3"/>
      <c r="AS213" s="1">
        <v>5</v>
      </c>
      <c r="AT213" s="3">
        <v>3.1055900621118013</v>
      </c>
      <c r="AU213" s="1">
        <v>0</v>
      </c>
      <c r="AV213" s="3">
        <v>0</v>
      </c>
      <c r="AW213" s="1" t="s">
        <v>22</v>
      </c>
      <c r="AX213" s="1">
        <v>5</v>
      </c>
      <c r="AY213" s="1">
        <v>1</v>
      </c>
      <c r="AZ213" s="1">
        <v>0</v>
      </c>
      <c r="BA213" s="1">
        <v>10</v>
      </c>
      <c r="BB213" s="1">
        <v>2</v>
      </c>
      <c r="BC213" s="1">
        <v>0</v>
      </c>
      <c r="BD213" s="1">
        <v>0</v>
      </c>
      <c r="BE213" s="54">
        <v>0</v>
      </c>
      <c r="BF213" s="6">
        <v>5</v>
      </c>
      <c r="BG213" s="6">
        <v>2</v>
      </c>
      <c r="BH213" s="1">
        <v>0</v>
      </c>
      <c r="BI213" s="6">
        <v>0</v>
      </c>
      <c r="BJ213" s="1" t="s">
        <v>22</v>
      </c>
      <c r="BK213" s="6">
        <v>1</v>
      </c>
      <c r="BL213" s="6">
        <v>0</v>
      </c>
      <c r="BM213" s="1">
        <v>0</v>
      </c>
      <c r="BN213" t="s">
        <v>24</v>
      </c>
      <c r="BO213">
        <v>6751</v>
      </c>
    </row>
    <row r="214" spans="1:67" x14ac:dyDescent="0.3">
      <c r="A214" s="4">
        <f>INT(Tabela1[[#This Row],[Data e Hora]])</f>
        <v>46274</v>
      </c>
      <c r="B214" s="4" t="str">
        <f>UPPER(TEXT(Tabela1[[#This Row],[Data Corrigida]],"MMM"))</f>
        <v>SET</v>
      </c>
      <c r="C214" t="s">
        <v>650</v>
      </c>
      <c r="D214" t="s">
        <v>651</v>
      </c>
      <c r="E214" t="s">
        <v>652</v>
      </c>
      <c r="F214" t="s">
        <v>19</v>
      </c>
      <c r="G214" s="5" t="s">
        <v>647</v>
      </c>
      <c r="H214" t="s">
        <v>20</v>
      </c>
      <c r="I214" t="s">
        <v>33</v>
      </c>
      <c r="J214" s="1">
        <v>130</v>
      </c>
      <c r="K214" s="1">
        <v>3143</v>
      </c>
      <c r="L214" t="s">
        <v>34</v>
      </c>
      <c r="M214" s="1">
        <v>32</v>
      </c>
      <c r="N214" s="48">
        <v>32</v>
      </c>
      <c r="O214" s="1">
        <v>10</v>
      </c>
      <c r="P214" s="48">
        <v>10</v>
      </c>
      <c r="Q214" s="1">
        <v>0</v>
      </c>
      <c r="R214" s="1">
        <v>0</v>
      </c>
      <c r="S214" s="1">
        <v>1</v>
      </c>
      <c r="T214" s="1">
        <v>1</v>
      </c>
      <c r="U214" s="1">
        <v>0</v>
      </c>
      <c r="V214" s="1">
        <v>0</v>
      </c>
      <c r="W214" s="1">
        <v>0</v>
      </c>
      <c r="X214" s="1">
        <v>0</v>
      </c>
      <c r="Y214" s="1">
        <v>4</v>
      </c>
      <c r="Z214" s="3">
        <v>1.5384615384615385</v>
      </c>
      <c r="AA214" s="1">
        <v>5</v>
      </c>
      <c r="AB214" s="3">
        <v>3.8461538461538463</v>
      </c>
      <c r="AC214" s="1">
        <v>0</v>
      </c>
      <c r="AD214" s="3">
        <v>0</v>
      </c>
      <c r="AE214" s="1">
        <v>0</v>
      </c>
      <c r="AF214" s="3">
        <v>0</v>
      </c>
      <c r="AG214" s="1">
        <v>2</v>
      </c>
      <c r="AH214" s="3">
        <v>1.5384615384615385</v>
      </c>
      <c r="AI214" s="1" t="s">
        <v>22</v>
      </c>
      <c r="AJ214" s="1">
        <v>0</v>
      </c>
      <c r="AK214" s="3">
        <v>0</v>
      </c>
      <c r="AL214" s="1">
        <v>0</v>
      </c>
      <c r="AM214" s="3">
        <v>0</v>
      </c>
      <c r="AN214" s="1" t="s">
        <v>22</v>
      </c>
      <c r="AO214" s="1">
        <v>9</v>
      </c>
      <c r="AP214" s="3">
        <v>6.9230769230769234</v>
      </c>
      <c r="AQ214" s="3"/>
      <c r="AR214" s="3"/>
      <c r="AS214" s="1">
        <v>7</v>
      </c>
      <c r="AT214" s="3">
        <v>5.384615384615385</v>
      </c>
      <c r="AU214" s="1">
        <v>1</v>
      </c>
      <c r="AV214" s="3">
        <v>0.76923076923076927</v>
      </c>
      <c r="AW214" s="1" t="s">
        <v>22</v>
      </c>
      <c r="AX214" s="1">
        <v>6</v>
      </c>
      <c r="AY214" s="1">
        <v>0</v>
      </c>
      <c r="AZ214" s="1">
        <v>0</v>
      </c>
      <c r="BA214" s="1">
        <v>12</v>
      </c>
      <c r="BB214" s="1">
        <v>0</v>
      </c>
      <c r="BC214" s="1">
        <v>0</v>
      </c>
      <c r="BD214" s="1">
        <v>1</v>
      </c>
      <c r="BE214" s="54">
        <v>0.76923076923076927</v>
      </c>
      <c r="BF214" s="6">
        <v>3</v>
      </c>
      <c r="BG214" s="6">
        <v>2</v>
      </c>
      <c r="BH214" s="1" t="s">
        <v>22</v>
      </c>
      <c r="BI214" s="6" t="s">
        <v>22</v>
      </c>
      <c r="BJ214" s="1" t="s">
        <v>22</v>
      </c>
      <c r="BK214" s="6">
        <v>1</v>
      </c>
      <c r="BL214" s="6">
        <v>0</v>
      </c>
      <c r="BM214" s="1">
        <v>0</v>
      </c>
      <c r="BN214" t="s">
        <v>24</v>
      </c>
      <c r="BO214">
        <v>8147</v>
      </c>
    </row>
    <row r="215" spans="1:67" x14ac:dyDescent="0.3">
      <c r="A215" s="4">
        <f>INT(Tabela1[[#This Row],[Data e Hora]])</f>
        <v>46274</v>
      </c>
      <c r="B215" s="4" t="str">
        <f>UPPER(TEXT(Tabela1[[#This Row],[Data Corrigida]],"MMM"))</f>
        <v>SET</v>
      </c>
      <c r="C215" t="s">
        <v>653</v>
      </c>
      <c r="D215" t="s">
        <v>654</v>
      </c>
      <c r="E215" t="s">
        <v>655</v>
      </c>
      <c r="F215" t="s">
        <v>19</v>
      </c>
      <c r="G215" s="5" t="s">
        <v>647</v>
      </c>
      <c r="H215" t="s">
        <v>20</v>
      </c>
      <c r="I215" t="s">
        <v>21</v>
      </c>
      <c r="J215" s="1">
        <v>145</v>
      </c>
      <c r="K215" s="1">
        <v>2889</v>
      </c>
      <c r="L215" t="s">
        <v>23</v>
      </c>
      <c r="M215" s="1">
        <v>32</v>
      </c>
      <c r="N215" s="48">
        <v>32</v>
      </c>
      <c r="O215" s="1">
        <v>4</v>
      </c>
      <c r="P215" s="48">
        <v>4</v>
      </c>
      <c r="Q215" s="1">
        <v>0</v>
      </c>
      <c r="R215" s="1">
        <v>0</v>
      </c>
      <c r="S215" s="1">
        <v>3</v>
      </c>
      <c r="T215" s="1">
        <v>3</v>
      </c>
      <c r="U215" s="1">
        <v>1</v>
      </c>
      <c r="V215" s="1">
        <v>1</v>
      </c>
      <c r="W215" s="1">
        <v>0</v>
      </c>
      <c r="X215" s="1">
        <v>0</v>
      </c>
      <c r="Y215" s="1">
        <v>2</v>
      </c>
      <c r="Z215" s="3">
        <v>0.68965517241379315</v>
      </c>
      <c r="AA215" s="1">
        <v>6</v>
      </c>
      <c r="AB215" s="3">
        <v>4.1379310344827589</v>
      </c>
      <c r="AC215" s="1">
        <v>2</v>
      </c>
      <c r="AD215" s="3">
        <v>1.3793103448275863</v>
      </c>
      <c r="AE215" s="1">
        <v>2</v>
      </c>
      <c r="AF215" s="3">
        <v>1.3793103448275863</v>
      </c>
      <c r="AG215" s="1">
        <v>3</v>
      </c>
      <c r="AH215" s="3">
        <v>2.0689655172413794</v>
      </c>
      <c r="AI215" s="1" t="s">
        <v>22</v>
      </c>
      <c r="AJ215" s="1">
        <v>3</v>
      </c>
      <c r="AK215" s="3">
        <v>2.0689655172413794</v>
      </c>
      <c r="AL215" s="1">
        <v>2</v>
      </c>
      <c r="AM215" s="3">
        <v>1.3793103448275863</v>
      </c>
      <c r="AN215" s="1" t="s">
        <v>22</v>
      </c>
      <c r="AO215" s="1">
        <v>6</v>
      </c>
      <c r="AP215" s="3">
        <v>4.1379310344827589</v>
      </c>
      <c r="AQ215" s="3"/>
      <c r="AR215" s="3"/>
      <c r="AS215" s="1">
        <v>7</v>
      </c>
      <c r="AT215" s="3">
        <v>4.8275862068965516</v>
      </c>
      <c r="AU215" s="1">
        <v>1</v>
      </c>
      <c r="AV215" s="3">
        <v>0.68965517241379315</v>
      </c>
      <c r="AW215" s="1" t="s">
        <v>22</v>
      </c>
      <c r="AX215" s="1">
        <v>14</v>
      </c>
      <c r="AY215" s="1">
        <v>0</v>
      </c>
      <c r="AZ215" s="1">
        <v>0</v>
      </c>
      <c r="BA215" s="1">
        <v>28</v>
      </c>
      <c r="BB215" s="1">
        <v>0</v>
      </c>
      <c r="BC215" s="1">
        <v>0</v>
      </c>
      <c r="BD215" s="1">
        <v>2</v>
      </c>
      <c r="BE215" s="54">
        <v>1.3793103448275863</v>
      </c>
      <c r="BF215" s="6">
        <v>16</v>
      </c>
      <c r="BG215" s="6">
        <v>13</v>
      </c>
      <c r="BH215" s="1">
        <v>1</v>
      </c>
      <c r="BI215" s="6">
        <v>10</v>
      </c>
      <c r="BJ215" s="1" t="s">
        <v>22</v>
      </c>
      <c r="BK215" s="6">
        <v>0</v>
      </c>
      <c r="BL215" s="6">
        <v>0</v>
      </c>
      <c r="BM215" s="1">
        <v>1</v>
      </c>
      <c r="BN215" t="s">
        <v>24</v>
      </c>
      <c r="BO215">
        <v>2330</v>
      </c>
    </row>
    <row r="216" spans="1:67" x14ac:dyDescent="0.3">
      <c r="A216" s="4">
        <f>INT(Tabela1[[#This Row],[Data e Hora]])</f>
        <v>46274</v>
      </c>
      <c r="B216" s="4" t="str">
        <f>UPPER(TEXT(Tabela1[[#This Row],[Data Corrigida]],"MMM"))</f>
        <v>SET</v>
      </c>
      <c r="C216" t="s">
        <v>656</v>
      </c>
      <c r="D216" t="s">
        <v>657</v>
      </c>
      <c r="E216" t="s">
        <v>655</v>
      </c>
      <c r="F216" t="s">
        <v>19</v>
      </c>
      <c r="G216" s="5" t="s">
        <v>647</v>
      </c>
      <c r="H216" t="s">
        <v>20</v>
      </c>
      <c r="I216" t="s">
        <v>21</v>
      </c>
      <c r="J216" s="1">
        <v>135</v>
      </c>
      <c r="K216" s="1">
        <v>2968</v>
      </c>
      <c r="L216" t="s">
        <v>23</v>
      </c>
      <c r="M216" s="1">
        <v>21</v>
      </c>
      <c r="N216" s="48">
        <v>21</v>
      </c>
      <c r="O216" s="1">
        <v>7</v>
      </c>
      <c r="P216" s="48">
        <v>7.0000000000000009</v>
      </c>
      <c r="Q216" s="1">
        <v>0</v>
      </c>
      <c r="R216" s="1">
        <v>0</v>
      </c>
      <c r="S216" s="1">
        <v>3</v>
      </c>
      <c r="T216" s="1">
        <v>3</v>
      </c>
      <c r="U216" s="1">
        <v>0</v>
      </c>
      <c r="V216" s="1">
        <v>0</v>
      </c>
      <c r="W216" s="1">
        <v>0</v>
      </c>
      <c r="X216" s="1">
        <v>0</v>
      </c>
      <c r="Y216" s="1">
        <v>1</v>
      </c>
      <c r="Z216" s="3">
        <v>0.37037037037037041</v>
      </c>
      <c r="AA216" s="1">
        <v>4</v>
      </c>
      <c r="AB216" s="3">
        <v>2.9629629629629632</v>
      </c>
      <c r="AC216" s="1">
        <v>0</v>
      </c>
      <c r="AD216" s="3">
        <v>0</v>
      </c>
      <c r="AE216" s="1">
        <v>2</v>
      </c>
      <c r="AF216" s="3">
        <v>1.4814814814814816</v>
      </c>
      <c r="AG216" s="1">
        <v>3</v>
      </c>
      <c r="AH216" s="3">
        <v>2.2222222222222223</v>
      </c>
      <c r="AI216" s="1" t="s">
        <v>22</v>
      </c>
      <c r="AJ216" s="1">
        <v>2</v>
      </c>
      <c r="AK216" s="3">
        <v>1.4814814814814816</v>
      </c>
      <c r="AL216" s="1">
        <v>2</v>
      </c>
      <c r="AM216" s="3">
        <v>1.4814814814814816</v>
      </c>
      <c r="AN216" s="1" t="s">
        <v>22</v>
      </c>
      <c r="AO216" s="1">
        <v>5</v>
      </c>
      <c r="AP216" s="3">
        <v>3.7037037037037033</v>
      </c>
      <c r="AQ216" s="3"/>
      <c r="AR216" s="3"/>
      <c r="AS216" s="1">
        <v>5</v>
      </c>
      <c r="AT216" s="3">
        <v>3.7037037037037033</v>
      </c>
      <c r="AU216" s="1">
        <v>1</v>
      </c>
      <c r="AV216" s="3">
        <v>0.74074074074074081</v>
      </c>
      <c r="AW216" s="1" t="s">
        <v>22</v>
      </c>
      <c r="AX216" s="1">
        <v>15</v>
      </c>
      <c r="AY216" s="1">
        <v>0</v>
      </c>
      <c r="AZ216" s="1">
        <v>0</v>
      </c>
      <c r="BA216" s="1">
        <v>30</v>
      </c>
      <c r="BB216" s="1">
        <v>0</v>
      </c>
      <c r="BC216" s="1">
        <v>0</v>
      </c>
      <c r="BD216" s="1">
        <v>0</v>
      </c>
      <c r="BE216" s="54">
        <v>0</v>
      </c>
      <c r="BF216" s="6">
        <v>21</v>
      </c>
      <c r="BG216" s="6">
        <v>19</v>
      </c>
      <c r="BH216" s="1">
        <v>1</v>
      </c>
      <c r="BI216" s="6">
        <v>10</v>
      </c>
      <c r="BJ216" s="1" t="s">
        <v>22</v>
      </c>
      <c r="BK216" s="6">
        <v>2</v>
      </c>
      <c r="BL216" s="6">
        <v>0</v>
      </c>
      <c r="BM216" s="1">
        <v>1</v>
      </c>
      <c r="BN216" t="s">
        <v>24</v>
      </c>
      <c r="BO216">
        <v>2132</v>
      </c>
    </row>
    <row r="217" spans="1:67" x14ac:dyDescent="0.3">
      <c r="A217" s="4">
        <f>INT(Tabela1[[#This Row],[Data e Hora]])</f>
        <v>46274</v>
      </c>
      <c r="B217" s="4" t="str">
        <f>UPPER(TEXT(Tabela1[[#This Row],[Data Corrigida]],"MMM"))</f>
        <v>SET</v>
      </c>
      <c r="C217" t="s">
        <v>658</v>
      </c>
      <c r="D217" t="s">
        <v>659</v>
      </c>
      <c r="E217" t="s">
        <v>655</v>
      </c>
      <c r="F217" t="s">
        <v>19</v>
      </c>
      <c r="G217" s="5" t="s">
        <v>647</v>
      </c>
      <c r="H217" t="s">
        <v>20</v>
      </c>
      <c r="I217" t="s">
        <v>21</v>
      </c>
      <c r="J217" s="1">
        <v>150</v>
      </c>
      <c r="K217" s="1">
        <v>2621</v>
      </c>
      <c r="L217" t="s">
        <v>23</v>
      </c>
      <c r="M217" s="1">
        <v>19</v>
      </c>
      <c r="N217" s="48">
        <v>19</v>
      </c>
      <c r="O217" s="1">
        <v>4</v>
      </c>
      <c r="P217" s="48">
        <v>4</v>
      </c>
      <c r="Q217" s="1">
        <v>0</v>
      </c>
      <c r="R217" s="1">
        <v>0</v>
      </c>
      <c r="S217" s="1">
        <v>5</v>
      </c>
      <c r="T217" s="1">
        <v>5</v>
      </c>
      <c r="U217" s="1">
        <v>1</v>
      </c>
      <c r="V217" s="1">
        <v>1</v>
      </c>
      <c r="W217" s="1">
        <v>0</v>
      </c>
      <c r="X217" s="1">
        <v>0</v>
      </c>
      <c r="Y217" s="1">
        <v>1</v>
      </c>
      <c r="Z217" s="3">
        <v>0.33333333333333337</v>
      </c>
      <c r="AA217" s="1">
        <v>4</v>
      </c>
      <c r="AB217" s="3">
        <v>2.666666666666667</v>
      </c>
      <c r="AC217" s="1">
        <v>0</v>
      </c>
      <c r="AD217" s="3">
        <v>0</v>
      </c>
      <c r="AE217" s="1">
        <v>0</v>
      </c>
      <c r="AF217" s="3">
        <v>0</v>
      </c>
      <c r="AG217" s="1">
        <v>3</v>
      </c>
      <c r="AH217" s="3">
        <v>2</v>
      </c>
      <c r="AI217" s="1" t="s">
        <v>22</v>
      </c>
      <c r="AJ217" s="1">
        <v>3</v>
      </c>
      <c r="AK217" s="3">
        <v>2</v>
      </c>
      <c r="AL217" s="1">
        <v>2</v>
      </c>
      <c r="AM217" s="3">
        <v>1.3333333333333335</v>
      </c>
      <c r="AN217" s="1" t="s">
        <v>22</v>
      </c>
      <c r="AO217" s="1">
        <v>6</v>
      </c>
      <c r="AP217" s="3">
        <v>4</v>
      </c>
      <c r="AQ217" s="3"/>
      <c r="AR217" s="3"/>
      <c r="AS217" s="1">
        <v>4</v>
      </c>
      <c r="AT217" s="3">
        <v>2.666666666666667</v>
      </c>
      <c r="AU217" s="1">
        <v>1</v>
      </c>
      <c r="AV217" s="3">
        <v>0.66666666666666674</v>
      </c>
      <c r="AW217" s="1" t="s">
        <v>22</v>
      </c>
      <c r="AX217" s="1">
        <v>15</v>
      </c>
      <c r="AY217" s="1">
        <v>0</v>
      </c>
      <c r="AZ217" s="1">
        <v>0</v>
      </c>
      <c r="BA217" s="1">
        <v>30</v>
      </c>
      <c r="BB217" s="1">
        <v>0</v>
      </c>
      <c r="BC217" s="1">
        <v>0</v>
      </c>
      <c r="BD217" s="1">
        <v>0</v>
      </c>
      <c r="BE217" s="54">
        <v>0</v>
      </c>
      <c r="BF217" s="6">
        <v>17</v>
      </c>
      <c r="BG217" s="6">
        <v>18</v>
      </c>
      <c r="BH217" s="1">
        <v>1</v>
      </c>
      <c r="BI217" s="6">
        <v>10</v>
      </c>
      <c r="BJ217" s="1" t="s">
        <v>22</v>
      </c>
      <c r="BK217" s="6">
        <v>1</v>
      </c>
      <c r="BL217" s="6">
        <v>0</v>
      </c>
      <c r="BM217" s="1">
        <v>1</v>
      </c>
      <c r="BN217" t="s">
        <v>24</v>
      </c>
      <c r="BO217">
        <v>3167</v>
      </c>
    </row>
    <row r="218" spans="1:67" x14ac:dyDescent="0.3">
      <c r="A218" s="4">
        <f>INT(Tabela1[[#This Row],[Data e Hora]])</f>
        <v>46274</v>
      </c>
      <c r="B218" s="4" t="str">
        <f>UPPER(TEXT(Tabela1[[#This Row],[Data Corrigida]],"MMM"))</f>
        <v>SET</v>
      </c>
      <c r="C218" t="s">
        <v>660</v>
      </c>
      <c r="D218" t="s">
        <v>661</v>
      </c>
      <c r="E218" t="s">
        <v>655</v>
      </c>
      <c r="F218" t="s">
        <v>19</v>
      </c>
      <c r="G218" s="5" t="s">
        <v>647</v>
      </c>
      <c r="H218" t="s">
        <v>20</v>
      </c>
      <c r="I218" t="s">
        <v>21</v>
      </c>
      <c r="J218" s="1">
        <v>150</v>
      </c>
      <c r="K218" s="1">
        <v>2800</v>
      </c>
      <c r="L218" t="s">
        <v>23</v>
      </c>
      <c r="M218" s="1">
        <v>20</v>
      </c>
      <c r="N218" s="48">
        <v>20</v>
      </c>
      <c r="O218" s="1">
        <v>5</v>
      </c>
      <c r="P218" s="48">
        <v>5</v>
      </c>
      <c r="Q218" s="1">
        <v>0</v>
      </c>
      <c r="R218" s="1">
        <v>0</v>
      </c>
      <c r="S218" s="1">
        <v>3</v>
      </c>
      <c r="T218" s="1">
        <v>3</v>
      </c>
      <c r="U218" s="1">
        <v>1</v>
      </c>
      <c r="V218" s="1">
        <v>1</v>
      </c>
      <c r="W218" s="1" t="s">
        <v>22</v>
      </c>
      <c r="X218" s="1" t="s">
        <v>22</v>
      </c>
      <c r="Y218" s="1">
        <v>2</v>
      </c>
      <c r="Z218" s="3">
        <v>0.66666666666666674</v>
      </c>
      <c r="AA218" s="1">
        <v>3</v>
      </c>
      <c r="AB218" s="3">
        <v>2</v>
      </c>
      <c r="AC218" s="1">
        <v>0</v>
      </c>
      <c r="AD218" s="3">
        <v>0</v>
      </c>
      <c r="AE218" s="1">
        <v>0</v>
      </c>
      <c r="AF218" s="3">
        <v>0</v>
      </c>
      <c r="AG218" s="1">
        <v>4</v>
      </c>
      <c r="AH218" s="3">
        <v>2.666666666666667</v>
      </c>
      <c r="AI218" s="1" t="s">
        <v>22</v>
      </c>
      <c r="AJ218" s="1">
        <v>1</v>
      </c>
      <c r="AK218" s="3">
        <v>0.66666666666666674</v>
      </c>
      <c r="AL218" s="1">
        <v>1</v>
      </c>
      <c r="AM218" s="3">
        <v>0.66666666666666674</v>
      </c>
      <c r="AN218" s="1" t="s">
        <v>22</v>
      </c>
      <c r="AO218" s="1">
        <v>6</v>
      </c>
      <c r="AP218" s="3">
        <v>4</v>
      </c>
      <c r="AQ218" s="3"/>
      <c r="AR218" s="3"/>
      <c r="AS218" s="1">
        <v>5</v>
      </c>
      <c r="AT218" s="3">
        <v>3.3333333333333335</v>
      </c>
      <c r="AU218" s="1">
        <v>0</v>
      </c>
      <c r="AV218" s="3">
        <v>0</v>
      </c>
      <c r="AW218" s="1" t="s">
        <v>22</v>
      </c>
      <c r="AX218" s="1">
        <v>13</v>
      </c>
      <c r="AY218" s="1">
        <v>0</v>
      </c>
      <c r="AZ218" s="1">
        <v>0</v>
      </c>
      <c r="BA218" s="1">
        <v>26</v>
      </c>
      <c r="BB218" s="1">
        <v>0</v>
      </c>
      <c r="BC218" s="1">
        <v>0</v>
      </c>
      <c r="BD218" s="1">
        <v>2</v>
      </c>
      <c r="BE218" s="54">
        <v>1.3333333333333335</v>
      </c>
      <c r="BF218" s="6">
        <v>23</v>
      </c>
      <c r="BG218" s="6">
        <v>19</v>
      </c>
      <c r="BH218" s="1">
        <v>1</v>
      </c>
      <c r="BI218" s="6">
        <v>10</v>
      </c>
      <c r="BJ218" s="1" t="s">
        <v>22</v>
      </c>
      <c r="BK218" s="1" t="s">
        <v>22</v>
      </c>
      <c r="BL218" s="1" t="s">
        <v>22</v>
      </c>
      <c r="BM218" s="1" t="s">
        <v>22</v>
      </c>
      <c r="BN218" t="s">
        <v>24</v>
      </c>
      <c r="BO218">
        <v>1878</v>
      </c>
    </row>
    <row r="219" spans="1:67" x14ac:dyDescent="0.3">
      <c r="A219" s="4">
        <f>INT(Tabela1[[#This Row],[Data e Hora]])</f>
        <v>46277</v>
      </c>
      <c r="B219" s="4" t="str">
        <f>UPPER(TEXT(Tabela1[[#This Row],[Data Corrigida]],"MMM"))</f>
        <v>SET</v>
      </c>
      <c r="C219" s="57" t="s">
        <v>662</v>
      </c>
      <c r="D219" t="s">
        <v>663</v>
      </c>
      <c r="E219" t="s">
        <v>664</v>
      </c>
      <c r="F219" t="s">
        <v>19</v>
      </c>
      <c r="G219" s="5" t="s">
        <v>665</v>
      </c>
      <c r="H219" t="s">
        <v>20</v>
      </c>
      <c r="I219" t="s">
        <v>33</v>
      </c>
      <c r="J219" s="1">
        <v>146</v>
      </c>
      <c r="K219" s="1">
        <v>2715</v>
      </c>
      <c r="L219" t="s">
        <v>34</v>
      </c>
      <c r="M219" s="1">
        <v>22</v>
      </c>
      <c r="N219" s="48">
        <v>22</v>
      </c>
      <c r="O219" s="1">
        <v>9</v>
      </c>
      <c r="P219" s="48">
        <v>9</v>
      </c>
      <c r="Q219" s="1">
        <v>0</v>
      </c>
      <c r="R219" s="1">
        <v>0</v>
      </c>
      <c r="S219" s="1">
        <v>2</v>
      </c>
      <c r="T219" s="1">
        <v>2</v>
      </c>
      <c r="U219" s="1">
        <v>0</v>
      </c>
      <c r="V219" s="1">
        <v>0</v>
      </c>
      <c r="W219" s="1">
        <v>0</v>
      </c>
      <c r="X219" s="1">
        <v>0</v>
      </c>
      <c r="Y219" s="1">
        <v>5</v>
      </c>
      <c r="Z219" s="3">
        <v>1.7123287671232876</v>
      </c>
      <c r="AA219" s="1">
        <v>6</v>
      </c>
      <c r="AB219" s="3">
        <v>4.10958904109589</v>
      </c>
      <c r="AC219" s="1">
        <v>0</v>
      </c>
      <c r="AD219" s="3">
        <v>0</v>
      </c>
      <c r="AE219" s="1">
        <v>1</v>
      </c>
      <c r="AF219" s="3">
        <v>0.68493150684931503</v>
      </c>
      <c r="AG219" s="1">
        <v>3</v>
      </c>
      <c r="AH219" s="3">
        <v>2.054794520547945</v>
      </c>
      <c r="AI219" s="1" t="s">
        <v>22</v>
      </c>
      <c r="AJ219" s="1">
        <v>0</v>
      </c>
      <c r="AK219" s="3">
        <v>0</v>
      </c>
      <c r="AL219" s="1">
        <v>0</v>
      </c>
      <c r="AM219" s="3">
        <v>0</v>
      </c>
      <c r="AN219" s="1" t="s">
        <v>22</v>
      </c>
      <c r="AO219" s="1">
        <v>6</v>
      </c>
      <c r="AP219" s="3">
        <v>4.10958904109589</v>
      </c>
      <c r="AQ219" s="3"/>
      <c r="AR219" s="3"/>
      <c r="AS219" s="1">
        <v>8</v>
      </c>
      <c r="AT219" s="3">
        <v>5.4794520547945202</v>
      </c>
      <c r="AU219" s="1">
        <v>0</v>
      </c>
      <c r="AV219" s="3">
        <v>0</v>
      </c>
      <c r="AW219" s="1" t="s">
        <v>22</v>
      </c>
      <c r="AX219" s="1">
        <v>6</v>
      </c>
      <c r="AY219" s="1">
        <v>0</v>
      </c>
      <c r="AZ219" s="1">
        <v>0</v>
      </c>
      <c r="BA219" s="1">
        <v>12</v>
      </c>
      <c r="BB219" s="1">
        <v>0</v>
      </c>
      <c r="BC219" s="1">
        <v>0</v>
      </c>
      <c r="BD219" s="1">
        <v>3</v>
      </c>
      <c r="BE219" s="54">
        <v>2.054794520547945</v>
      </c>
      <c r="BF219" s="6">
        <v>8</v>
      </c>
      <c r="BG219" s="6">
        <v>3</v>
      </c>
      <c r="BH219" s="1">
        <v>0</v>
      </c>
      <c r="BI219" s="6">
        <v>0</v>
      </c>
      <c r="BJ219" s="1" t="s">
        <v>22</v>
      </c>
      <c r="BK219" s="6">
        <v>0</v>
      </c>
      <c r="BL219" s="6">
        <v>0</v>
      </c>
      <c r="BM219" s="1">
        <v>0</v>
      </c>
      <c r="BN219" t="s">
        <v>24</v>
      </c>
      <c r="BO219">
        <v>2382</v>
      </c>
    </row>
    <row r="220" spans="1:67" x14ac:dyDescent="0.3">
      <c r="A220" s="4">
        <f>INT(Tabela1[[#This Row],[Data e Hora]])</f>
        <v>46277</v>
      </c>
      <c r="B220" s="4" t="str">
        <f>UPPER(TEXT(Tabela1[[#This Row],[Data Corrigida]],"MMM"))</f>
        <v>SET</v>
      </c>
      <c r="C220" t="s">
        <v>666</v>
      </c>
      <c r="D220" t="s">
        <v>667</v>
      </c>
      <c r="E220" t="s">
        <v>668</v>
      </c>
      <c r="F220" t="s">
        <v>19</v>
      </c>
      <c r="G220" s="5" t="s">
        <v>665</v>
      </c>
      <c r="H220" t="s">
        <v>20</v>
      </c>
      <c r="I220" t="s">
        <v>33</v>
      </c>
      <c r="J220" s="1">
        <v>142</v>
      </c>
      <c r="K220" s="1">
        <v>588</v>
      </c>
      <c r="L220" t="s">
        <v>34</v>
      </c>
      <c r="M220" s="1">
        <v>20</v>
      </c>
      <c r="N220" s="48">
        <v>20</v>
      </c>
      <c r="O220" s="1">
        <v>10</v>
      </c>
      <c r="P220" s="48">
        <v>10</v>
      </c>
      <c r="Q220" s="1">
        <v>1</v>
      </c>
      <c r="R220" s="1">
        <v>10</v>
      </c>
      <c r="S220" s="1">
        <v>2</v>
      </c>
      <c r="T220" s="1">
        <v>2</v>
      </c>
      <c r="U220" s="1">
        <v>3</v>
      </c>
      <c r="V220" s="1">
        <v>3</v>
      </c>
      <c r="W220" s="1">
        <v>0</v>
      </c>
      <c r="X220" s="1">
        <v>0</v>
      </c>
      <c r="Y220" s="1">
        <v>6</v>
      </c>
      <c r="Z220" s="3">
        <v>2.112676056338028</v>
      </c>
      <c r="AA220" s="1">
        <v>8</v>
      </c>
      <c r="AB220" s="3">
        <v>5.6338028169014089</v>
      </c>
      <c r="AC220" s="1">
        <v>0</v>
      </c>
      <c r="AD220" s="3">
        <v>0</v>
      </c>
      <c r="AE220" s="1">
        <v>3</v>
      </c>
      <c r="AF220" s="3">
        <v>2.112676056338028</v>
      </c>
      <c r="AG220" s="1">
        <v>4</v>
      </c>
      <c r="AH220" s="3">
        <v>2.8169014084507045</v>
      </c>
      <c r="AI220" s="1" t="s">
        <v>22</v>
      </c>
      <c r="AJ220" s="1">
        <v>0</v>
      </c>
      <c r="AK220" s="3">
        <v>0</v>
      </c>
      <c r="AL220" s="1">
        <v>0</v>
      </c>
      <c r="AM220" s="3">
        <v>0</v>
      </c>
      <c r="AN220" s="1" t="s">
        <v>22</v>
      </c>
      <c r="AO220" s="1">
        <v>7</v>
      </c>
      <c r="AP220" s="3">
        <v>4.929577464788732</v>
      </c>
      <c r="AQ220" s="3"/>
      <c r="AR220" s="3"/>
      <c r="AS220" s="1">
        <v>6</v>
      </c>
      <c r="AT220" s="3">
        <v>4.225352112676056</v>
      </c>
      <c r="AU220" s="1">
        <v>0</v>
      </c>
      <c r="AV220" s="3">
        <v>0</v>
      </c>
      <c r="AW220" s="1" t="s">
        <v>22</v>
      </c>
      <c r="AX220" s="1">
        <v>5</v>
      </c>
      <c r="AY220" s="1">
        <v>0</v>
      </c>
      <c r="AZ220" s="1">
        <v>0</v>
      </c>
      <c r="BA220" s="1">
        <v>10</v>
      </c>
      <c r="BB220" s="1">
        <v>0</v>
      </c>
      <c r="BC220" s="1">
        <v>0</v>
      </c>
      <c r="BD220" s="1">
        <v>0</v>
      </c>
      <c r="BE220" s="54">
        <v>0</v>
      </c>
      <c r="BF220" s="6">
        <v>7</v>
      </c>
      <c r="BG220" s="6">
        <v>3</v>
      </c>
      <c r="BH220" s="1">
        <v>0</v>
      </c>
      <c r="BI220" s="6">
        <v>0</v>
      </c>
      <c r="BJ220" s="1" t="s">
        <v>22</v>
      </c>
      <c r="BK220" s="6">
        <v>2</v>
      </c>
      <c r="BL220" s="6">
        <v>0</v>
      </c>
      <c r="BM220" s="1">
        <v>0</v>
      </c>
      <c r="BN220" t="s">
        <v>24</v>
      </c>
      <c r="BO220">
        <v>9526</v>
      </c>
    </row>
    <row r="221" spans="1:67" x14ac:dyDescent="0.3">
      <c r="A221" s="4">
        <f>INT(Tabela1[[#This Row],[Data e Hora]])</f>
        <v>46277</v>
      </c>
      <c r="B221" s="4" t="str">
        <f>UPPER(TEXT(Tabela1[[#This Row],[Data Corrigida]],"MMM"))</f>
        <v>SET</v>
      </c>
      <c r="C221" t="s">
        <v>669</v>
      </c>
      <c r="D221" t="s">
        <v>670</v>
      </c>
      <c r="E221" t="s">
        <v>668</v>
      </c>
      <c r="F221" t="s">
        <v>19</v>
      </c>
      <c r="G221" s="5" t="s">
        <v>665</v>
      </c>
      <c r="H221" t="s">
        <v>20</v>
      </c>
      <c r="I221" t="s">
        <v>33</v>
      </c>
      <c r="J221" s="1">
        <v>130</v>
      </c>
      <c r="K221" s="1">
        <v>2687</v>
      </c>
      <c r="L221" t="s">
        <v>34</v>
      </c>
      <c r="M221" s="1">
        <v>23</v>
      </c>
      <c r="N221" s="48">
        <v>23</v>
      </c>
      <c r="O221" s="1">
        <v>6</v>
      </c>
      <c r="P221" s="48">
        <v>6</v>
      </c>
      <c r="Q221" s="1">
        <v>3</v>
      </c>
      <c r="R221" s="1">
        <v>30</v>
      </c>
      <c r="S221" s="1">
        <v>1</v>
      </c>
      <c r="T221" s="1">
        <v>1</v>
      </c>
      <c r="U221" s="1">
        <v>0</v>
      </c>
      <c r="V221" s="1">
        <v>0</v>
      </c>
      <c r="W221" s="1">
        <v>0</v>
      </c>
      <c r="X221" s="1">
        <v>0</v>
      </c>
      <c r="Y221" s="1">
        <v>6</v>
      </c>
      <c r="Z221" s="3">
        <v>2.3076923076923079</v>
      </c>
      <c r="AA221" s="1">
        <v>3</v>
      </c>
      <c r="AB221" s="3">
        <v>2.3076923076923079</v>
      </c>
      <c r="AC221" s="1">
        <v>0</v>
      </c>
      <c r="AD221" s="3">
        <v>0</v>
      </c>
      <c r="AE221" s="1">
        <v>1</v>
      </c>
      <c r="AF221" s="3">
        <v>0.76923076923076927</v>
      </c>
      <c r="AG221" s="1">
        <v>2</v>
      </c>
      <c r="AH221" s="3">
        <v>1.5384615384615385</v>
      </c>
      <c r="AI221" s="1" t="s">
        <v>22</v>
      </c>
      <c r="AJ221" s="1">
        <v>0</v>
      </c>
      <c r="AK221" s="3">
        <v>0</v>
      </c>
      <c r="AL221" s="1">
        <v>0</v>
      </c>
      <c r="AM221" s="3">
        <v>0</v>
      </c>
      <c r="AN221" s="1" t="s">
        <v>22</v>
      </c>
      <c r="AO221" s="1">
        <v>8</v>
      </c>
      <c r="AP221" s="3">
        <v>6.1538461538461542</v>
      </c>
      <c r="AQ221" s="3"/>
      <c r="AR221" s="3"/>
      <c r="AS221" s="1">
        <v>6</v>
      </c>
      <c r="AT221" s="3">
        <v>4.6153846153846159</v>
      </c>
      <c r="AU221" s="1">
        <v>0</v>
      </c>
      <c r="AV221" s="3">
        <v>0</v>
      </c>
      <c r="AW221" s="1" t="s">
        <v>22</v>
      </c>
      <c r="AX221" s="1">
        <v>9</v>
      </c>
      <c r="AY221" s="1">
        <v>1</v>
      </c>
      <c r="AZ221" s="1">
        <v>1</v>
      </c>
      <c r="BA221" s="1">
        <v>18</v>
      </c>
      <c r="BB221" s="1">
        <v>2</v>
      </c>
      <c r="BC221" s="1">
        <v>2</v>
      </c>
      <c r="BD221" s="1">
        <v>0</v>
      </c>
      <c r="BE221" s="54">
        <v>0</v>
      </c>
      <c r="BF221" s="6">
        <v>7</v>
      </c>
      <c r="BG221" s="6">
        <v>3</v>
      </c>
      <c r="BH221" s="1">
        <v>0</v>
      </c>
      <c r="BI221" s="6">
        <v>0</v>
      </c>
      <c r="BJ221" s="1" t="s">
        <v>22</v>
      </c>
      <c r="BK221" s="6">
        <v>1</v>
      </c>
      <c r="BL221" s="6">
        <v>0</v>
      </c>
      <c r="BM221" s="1">
        <v>0</v>
      </c>
      <c r="BN221" t="s">
        <v>24</v>
      </c>
      <c r="BO221">
        <v>9342</v>
      </c>
    </row>
    <row r="222" spans="1:67" x14ac:dyDescent="0.3">
      <c r="A222" s="4">
        <f>INT(Tabela1[[#This Row],[Data e Hora]])</f>
        <v>46277</v>
      </c>
      <c r="B222" s="4" t="str">
        <f>UPPER(TEXT(Tabela1[[#This Row],[Data Corrigida]],"MMM"))</f>
        <v>SET</v>
      </c>
      <c r="C222" t="s">
        <v>671</v>
      </c>
      <c r="D222" t="s">
        <v>672</v>
      </c>
      <c r="E222" t="s">
        <v>673</v>
      </c>
      <c r="F222" t="s">
        <v>19</v>
      </c>
      <c r="G222" s="5" t="s">
        <v>665</v>
      </c>
      <c r="H222" t="s">
        <v>20</v>
      </c>
      <c r="I222" t="s">
        <v>21</v>
      </c>
      <c r="J222" s="1">
        <v>105</v>
      </c>
      <c r="K222" s="1">
        <v>2748</v>
      </c>
      <c r="L222" t="s">
        <v>23</v>
      </c>
      <c r="M222" s="1">
        <v>30</v>
      </c>
      <c r="N222" s="48">
        <v>30</v>
      </c>
      <c r="O222" s="1">
        <v>14</v>
      </c>
      <c r="P222" s="48">
        <v>14.000000000000002</v>
      </c>
      <c r="Q222" s="1">
        <v>0</v>
      </c>
      <c r="R222" s="1">
        <v>0</v>
      </c>
      <c r="S222" s="1">
        <v>1</v>
      </c>
      <c r="T222" s="1">
        <v>1</v>
      </c>
      <c r="U222" s="1">
        <v>0</v>
      </c>
      <c r="V222" s="1">
        <v>0</v>
      </c>
      <c r="W222" s="1">
        <v>0</v>
      </c>
      <c r="X222" s="1">
        <v>0</v>
      </c>
      <c r="Y222" s="1">
        <v>2</v>
      </c>
      <c r="Z222" s="3">
        <v>0.95238095238095244</v>
      </c>
      <c r="AA222" s="1">
        <v>2</v>
      </c>
      <c r="AB222" s="3">
        <v>1.9047619047619049</v>
      </c>
      <c r="AC222" s="1">
        <v>0</v>
      </c>
      <c r="AD222" s="3">
        <v>0</v>
      </c>
      <c r="AE222" s="1">
        <v>2</v>
      </c>
      <c r="AF222" s="3">
        <v>1.9047619047619049</v>
      </c>
      <c r="AG222" s="1">
        <v>8</v>
      </c>
      <c r="AH222" s="3">
        <v>7.6190476190476195</v>
      </c>
      <c r="AI222" s="1" t="s">
        <v>22</v>
      </c>
      <c r="AJ222" s="1">
        <v>6</v>
      </c>
      <c r="AK222" s="3">
        <v>5.7142857142857144</v>
      </c>
      <c r="AL222" s="1">
        <v>2</v>
      </c>
      <c r="AM222" s="3">
        <v>1.9047619047619049</v>
      </c>
      <c r="AN222" s="1" t="s">
        <v>22</v>
      </c>
      <c r="AO222" s="1">
        <v>9</v>
      </c>
      <c r="AP222" s="3">
        <v>8.5714285714285712</v>
      </c>
      <c r="AQ222" s="3"/>
      <c r="AR222" s="3"/>
      <c r="AS222" s="1">
        <v>7</v>
      </c>
      <c r="AT222" s="3">
        <v>6.666666666666667</v>
      </c>
      <c r="AU222" s="1">
        <v>2</v>
      </c>
      <c r="AV222" s="3">
        <v>1.9047619047619049</v>
      </c>
      <c r="AW222" s="1" t="s">
        <v>22</v>
      </c>
      <c r="AX222" s="1">
        <v>15</v>
      </c>
      <c r="AY222" s="1">
        <v>0</v>
      </c>
      <c r="AZ222" s="1">
        <v>0</v>
      </c>
      <c r="BA222" s="1">
        <v>30</v>
      </c>
      <c r="BB222" s="1">
        <v>0</v>
      </c>
      <c r="BC222" s="1">
        <v>0</v>
      </c>
      <c r="BD222" s="1">
        <v>1</v>
      </c>
      <c r="BE222" s="54">
        <v>0.95238095238095244</v>
      </c>
      <c r="BF222" s="6">
        <v>25</v>
      </c>
      <c r="BG222" s="6">
        <v>16</v>
      </c>
      <c r="BH222" s="1">
        <v>2</v>
      </c>
      <c r="BI222" s="6">
        <v>20</v>
      </c>
      <c r="BJ222" s="1" t="s">
        <v>22</v>
      </c>
      <c r="BK222" s="6">
        <v>0</v>
      </c>
      <c r="BL222" s="6">
        <v>0</v>
      </c>
      <c r="BM222" s="1">
        <v>1</v>
      </c>
      <c r="BN222" t="s">
        <v>24</v>
      </c>
      <c r="BO222">
        <v>2415</v>
      </c>
    </row>
    <row r="223" spans="1:67" x14ac:dyDescent="0.3">
      <c r="A223" s="4">
        <f>INT(Tabela1[[#This Row],[Data e Hora]])</f>
        <v>46277</v>
      </c>
      <c r="B223" s="4" t="str">
        <f>UPPER(TEXT(Tabela1[[#This Row],[Data Corrigida]],"MMM"))</f>
        <v>SET</v>
      </c>
      <c r="C223" t="s">
        <v>674</v>
      </c>
      <c r="D223" t="s">
        <v>675</v>
      </c>
      <c r="E223" t="s">
        <v>676</v>
      </c>
      <c r="F223" t="s">
        <v>19</v>
      </c>
      <c r="G223" s="5" t="s">
        <v>665</v>
      </c>
      <c r="H223" t="s">
        <v>20</v>
      </c>
      <c r="I223" t="s">
        <v>21</v>
      </c>
      <c r="J223" s="1">
        <v>100</v>
      </c>
      <c r="K223" s="1">
        <v>2799</v>
      </c>
      <c r="L223" t="s">
        <v>23</v>
      </c>
      <c r="M223" s="1">
        <v>25</v>
      </c>
      <c r="N223" s="48">
        <v>25</v>
      </c>
      <c r="O223" s="1">
        <v>12</v>
      </c>
      <c r="P223" s="48">
        <v>12</v>
      </c>
      <c r="Q223" s="1">
        <v>0</v>
      </c>
      <c r="R223" s="1">
        <v>0</v>
      </c>
      <c r="S223" s="1">
        <v>1</v>
      </c>
      <c r="T223" s="1">
        <v>1</v>
      </c>
      <c r="U223" s="1">
        <v>1</v>
      </c>
      <c r="V223" s="1">
        <v>1</v>
      </c>
      <c r="W223" s="1">
        <v>0</v>
      </c>
      <c r="X223" s="1">
        <v>0</v>
      </c>
      <c r="Y223" s="1">
        <v>1</v>
      </c>
      <c r="Z223" s="3">
        <v>0.5</v>
      </c>
      <c r="AA223" s="1">
        <v>2</v>
      </c>
      <c r="AB223" s="3">
        <v>2</v>
      </c>
      <c r="AC223" s="1">
        <v>0</v>
      </c>
      <c r="AD223" s="3">
        <v>0</v>
      </c>
      <c r="AE223" s="1">
        <v>1</v>
      </c>
      <c r="AF223" s="3">
        <v>1</v>
      </c>
      <c r="AG223" s="1">
        <v>4</v>
      </c>
      <c r="AH223" s="3">
        <v>4</v>
      </c>
      <c r="AI223" s="1" t="s">
        <v>22</v>
      </c>
      <c r="AJ223" s="1">
        <v>2</v>
      </c>
      <c r="AK223" s="3">
        <v>2</v>
      </c>
      <c r="AL223" s="1">
        <v>1</v>
      </c>
      <c r="AM223" s="3">
        <v>1</v>
      </c>
      <c r="AN223" s="1" t="s">
        <v>22</v>
      </c>
      <c r="AO223" s="1">
        <v>6</v>
      </c>
      <c r="AP223" s="3">
        <v>6</v>
      </c>
      <c r="AQ223" s="3"/>
      <c r="AR223" s="3"/>
      <c r="AS223" s="1">
        <v>6</v>
      </c>
      <c r="AT223" s="3">
        <v>6</v>
      </c>
      <c r="AU223" s="1">
        <v>2</v>
      </c>
      <c r="AV223" s="3">
        <v>2</v>
      </c>
      <c r="AW223" s="1" t="s">
        <v>22</v>
      </c>
      <c r="AX223" s="1">
        <v>17</v>
      </c>
      <c r="AY223" s="1">
        <v>0</v>
      </c>
      <c r="AZ223" s="1" t="s">
        <v>22</v>
      </c>
      <c r="BA223" s="1">
        <v>34</v>
      </c>
      <c r="BB223" s="1">
        <v>0</v>
      </c>
      <c r="BC223" s="1" t="s">
        <v>22</v>
      </c>
      <c r="BD223" s="1">
        <v>0</v>
      </c>
      <c r="BE223" s="54">
        <v>0</v>
      </c>
      <c r="BF223" s="6">
        <v>19</v>
      </c>
      <c r="BG223" s="6">
        <v>17</v>
      </c>
      <c r="BH223" s="1">
        <v>1</v>
      </c>
      <c r="BI223" s="6">
        <v>10</v>
      </c>
      <c r="BJ223" s="1" t="s">
        <v>22</v>
      </c>
      <c r="BK223" s="1" t="s">
        <v>22</v>
      </c>
      <c r="BL223" s="1" t="s">
        <v>22</v>
      </c>
      <c r="BM223" s="1" t="s">
        <v>22</v>
      </c>
      <c r="BN223" t="s">
        <v>24</v>
      </c>
      <c r="BO223">
        <v>2699</v>
      </c>
    </row>
    <row r="224" spans="1:67" x14ac:dyDescent="0.3">
      <c r="A224" s="4">
        <f>INT(Tabela1[[#This Row],[Data e Hora]])</f>
        <v>46277</v>
      </c>
      <c r="B224" s="4" t="str">
        <f>UPPER(TEXT(Tabela1[[#This Row],[Data Corrigida]],"MMM"))</f>
        <v>SET</v>
      </c>
      <c r="C224" t="s">
        <v>677</v>
      </c>
      <c r="D224" t="s">
        <v>678</v>
      </c>
      <c r="E224" t="s">
        <v>676</v>
      </c>
      <c r="F224" t="s">
        <v>19</v>
      </c>
      <c r="G224" s="5" t="s">
        <v>665</v>
      </c>
      <c r="H224" t="s">
        <v>20</v>
      </c>
      <c r="I224" t="s">
        <v>21</v>
      </c>
      <c r="J224" s="1">
        <v>151</v>
      </c>
      <c r="K224" s="1">
        <v>2731</v>
      </c>
      <c r="L224" t="s">
        <v>23</v>
      </c>
      <c r="M224" s="1">
        <v>44</v>
      </c>
      <c r="N224" s="48">
        <v>44</v>
      </c>
      <c r="O224" s="1">
        <v>25</v>
      </c>
      <c r="P224" s="48">
        <v>25</v>
      </c>
      <c r="Q224" s="1">
        <v>0</v>
      </c>
      <c r="R224" s="1">
        <v>0</v>
      </c>
      <c r="S224" s="1">
        <v>1</v>
      </c>
      <c r="T224" s="1">
        <v>1</v>
      </c>
      <c r="U224" s="1">
        <v>1</v>
      </c>
      <c r="V224" s="1">
        <v>1</v>
      </c>
      <c r="W224" s="1">
        <v>0</v>
      </c>
      <c r="X224" s="1">
        <v>0</v>
      </c>
      <c r="Y224" s="1">
        <v>1</v>
      </c>
      <c r="Z224" s="3">
        <v>0.33112582781456956</v>
      </c>
      <c r="AA224" s="1">
        <v>4</v>
      </c>
      <c r="AB224" s="3">
        <v>2.6490066225165565</v>
      </c>
      <c r="AC224" s="1">
        <v>0</v>
      </c>
      <c r="AD224" s="3">
        <v>0</v>
      </c>
      <c r="AE224" s="1">
        <v>2</v>
      </c>
      <c r="AF224" s="3">
        <v>1.3245033112582782</v>
      </c>
      <c r="AG224" s="1">
        <v>6</v>
      </c>
      <c r="AH224" s="3">
        <v>3.9735099337748347</v>
      </c>
      <c r="AI224" s="1" t="s">
        <v>22</v>
      </c>
      <c r="AJ224" s="1">
        <v>4</v>
      </c>
      <c r="AK224" s="3">
        <v>2.6490066225165565</v>
      </c>
      <c r="AL224" s="1">
        <v>2</v>
      </c>
      <c r="AM224" s="3">
        <v>1.3245033112582782</v>
      </c>
      <c r="AN224" s="1" t="s">
        <v>22</v>
      </c>
      <c r="AO224" s="1">
        <v>10</v>
      </c>
      <c r="AP224" s="3">
        <v>6.6225165562913908</v>
      </c>
      <c r="AQ224" s="3"/>
      <c r="AR224" s="3"/>
      <c r="AS224" s="1">
        <v>16</v>
      </c>
      <c r="AT224" s="3">
        <v>10.596026490066226</v>
      </c>
      <c r="AU224" s="1">
        <v>4</v>
      </c>
      <c r="AV224" s="3">
        <v>2.6490066225165565</v>
      </c>
      <c r="AW224" s="1" t="s">
        <v>22</v>
      </c>
      <c r="AX224" s="1">
        <v>20</v>
      </c>
      <c r="AY224" s="1">
        <v>0</v>
      </c>
      <c r="AZ224" s="1">
        <v>0</v>
      </c>
      <c r="BA224" s="1">
        <v>40</v>
      </c>
      <c r="BB224" s="1">
        <v>0</v>
      </c>
      <c r="BC224" s="1">
        <v>0</v>
      </c>
      <c r="BD224" s="1">
        <v>2</v>
      </c>
      <c r="BE224" s="54">
        <v>1.3245033112582782</v>
      </c>
      <c r="BF224" s="6">
        <v>20</v>
      </c>
      <c r="BG224" s="6">
        <v>21</v>
      </c>
      <c r="BH224" s="1">
        <v>1</v>
      </c>
      <c r="BI224" s="6">
        <v>10</v>
      </c>
      <c r="BJ224" s="1" t="s">
        <v>22</v>
      </c>
      <c r="BK224" s="6">
        <v>1</v>
      </c>
      <c r="BL224" s="6">
        <v>0</v>
      </c>
      <c r="BM224" s="1">
        <v>1</v>
      </c>
      <c r="BN224" t="s">
        <v>24</v>
      </c>
      <c r="BO224">
        <v>1817</v>
      </c>
    </row>
    <row r="225" spans="1:67" x14ac:dyDescent="0.3">
      <c r="A225" s="4">
        <f>INT(Tabela1[[#This Row],[Data e Hora]])</f>
        <v>46277</v>
      </c>
      <c r="B225" s="4" t="str">
        <f>UPPER(TEXT(Tabela1[[#This Row],[Data Corrigida]],"MMM"))</f>
        <v>SET</v>
      </c>
      <c r="C225" t="s">
        <v>679</v>
      </c>
      <c r="D225" t="s">
        <v>680</v>
      </c>
      <c r="E225" t="s">
        <v>676</v>
      </c>
      <c r="F225" t="s">
        <v>19</v>
      </c>
      <c r="G225" s="5" t="s">
        <v>665</v>
      </c>
      <c r="H225" t="s">
        <v>20</v>
      </c>
      <c r="I225" t="s">
        <v>21</v>
      </c>
      <c r="J225" s="1">
        <v>161</v>
      </c>
      <c r="K225" s="1">
        <v>2518</v>
      </c>
      <c r="L225" t="s">
        <v>23</v>
      </c>
      <c r="M225" s="1">
        <v>35</v>
      </c>
      <c r="N225" s="48">
        <v>35</v>
      </c>
      <c r="O225" s="1">
        <v>15</v>
      </c>
      <c r="P225" s="48">
        <v>15</v>
      </c>
      <c r="Q225" s="1">
        <v>0</v>
      </c>
      <c r="R225" s="1">
        <v>0</v>
      </c>
      <c r="S225" s="1">
        <v>1</v>
      </c>
      <c r="T225" s="1">
        <v>1</v>
      </c>
      <c r="U225" s="1">
        <v>2</v>
      </c>
      <c r="V225" s="1">
        <v>2</v>
      </c>
      <c r="W225" s="1">
        <v>0</v>
      </c>
      <c r="X225" s="1">
        <v>0</v>
      </c>
      <c r="Y225" s="1">
        <v>2</v>
      </c>
      <c r="Z225" s="3">
        <v>0.6211180124223602</v>
      </c>
      <c r="AA225" s="1">
        <v>3</v>
      </c>
      <c r="AB225" s="3">
        <v>1.8633540372670807</v>
      </c>
      <c r="AC225" s="1">
        <v>0</v>
      </c>
      <c r="AD225" s="3">
        <v>0</v>
      </c>
      <c r="AE225" s="1">
        <v>2</v>
      </c>
      <c r="AF225" s="3">
        <v>1.2422360248447204</v>
      </c>
      <c r="AG225" s="1">
        <v>5</v>
      </c>
      <c r="AH225" s="3">
        <v>3.1055900621118013</v>
      </c>
      <c r="AI225" s="1" t="s">
        <v>22</v>
      </c>
      <c r="AJ225" s="1">
        <v>3</v>
      </c>
      <c r="AK225" s="3">
        <v>1.8633540372670807</v>
      </c>
      <c r="AL225" s="1">
        <v>2</v>
      </c>
      <c r="AM225" s="3">
        <v>1.2422360248447204</v>
      </c>
      <c r="AN225" s="1" t="s">
        <v>22</v>
      </c>
      <c r="AO225" s="1">
        <v>10</v>
      </c>
      <c r="AP225" s="3">
        <v>6.2111801242236027</v>
      </c>
      <c r="AQ225" s="3"/>
      <c r="AR225" s="3"/>
      <c r="AS225" s="1">
        <v>9</v>
      </c>
      <c r="AT225" s="3">
        <v>5.5900621118012426</v>
      </c>
      <c r="AU225" s="1">
        <v>3</v>
      </c>
      <c r="AV225" s="3">
        <v>1.8633540372670807</v>
      </c>
      <c r="AW225" s="1" t="s">
        <v>22</v>
      </c>
      <c r="AX225" s="1">
        <v>21</v>
      </c>
      <c r="AY225" s="1">
        <v>0</v>
      </c>
      <c r="AZ225" s="1">
        <v>0</v>
      </c>
      <c r="BA225" s="1">
        <v>42</v>
      </c>
      <c r="BB225" s="1">
        <v>0</v>
      </c>
      <c r="BC225" s="1">
        <v>0</v>
      </c>
      <c r="BD225" s="1">
        <v>1</v>
      </c>
      <c r="BE225" s="54">
        <v>0.6211180124223602</v>
      </c>
      <c r="BF225" s="6">
        <v>27</v>
      </c>
      <c r="BG225" s="6">
        <v>14</v>
      </c>
      <c r="BH225" s="1">
        <v>1</v>
      </c>
      <c r="BI225" s="6">
        <v>10</v>
      </c>
      <c r="BJ225" s="1" t="s">
        <v>22</v>
      </c>
      <c r="BK225" s="1" t="s">
        <v>22</v>
      </c>
      <c r="BL225" s="1" t="s">
        <v>22</v>
      </c>
      <c r="BM225" s="1" t="s">
        <v>22</v>
      </c>
      <c r="BN225" t="s">
        <v>24</v>
      </c>
      <c r="BO225">
        <v>2124</v>
      </c>
    </row>
    <row r="226" spans="1:67" x14ac:dyDescent="0.3">
      <c r="A226" s="4">
        <f>INT(Tabela1[[#This Row],[Data e Hora]])</f>
        <v>46276</v>
      </c>
      <c r="B226" s="4" t="str">
        <f>UPPER(TEXT(Tabela1[[#This Row],[Data Corrigida]],"MMM"))</f>
        <v>SET</v>
      </c>
      <c r="C226" t="s">
        <v>681</v>
      </c>
      <c r="D226" t="s">
        <v>682</v>
      </c>
      <c r="E226" t="s">
        <v>683</v>
      </c>
      <c r="F226" t="s">
        <v>19</v>
      </c>
      <c r="G226" s="5" t="s">
        <v>684</v>
      </c>
      <c r="H226" t="s">
        <v>20</v>
      </c>
      <c r="I226" t="s">
        <v>33</v>
      </c>
      <c r="J226" s="1">
        <v>161</v>
      </c>
      <c r="K226" s="1">
        <v>2587</v>
      </c>
      <c r="L226" t="s">
        <v>34</v>
      </c>
      <c r="M226" s="1">
        <v>20</v>
      </c>
      <c r="N226" s="48">
        <v>20</v>
      </c>
      <c r="O226" s="1">
        <v>6</v>
      </c>
      <c r="P226" s="48">
        <v>6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6</v>
      </c>
      <c r="Z226" s="3">
        <v>1.8633540372670807</v>
      </c>
      <c r="AA226" s="1">
        <v>4</v>
      </c>
      <c r="AB226" s="3">
        <v>2.4844720496894408</v>
      </c>
      <c r="AC226" s="1">
        <v>0</v>
      </c>
      <c r="AD226" s="3">
        <v>0</v>
      </c>
      <c r="AE226" s="1">
        <v>1</v>
      </c>
      <c r="AF226" s="3">
        <v>0.6211180124223602</v>
      </c>
      <c r="AG226" s="1">
        <v>1</v>
      </c>
      <c r="AH226" s="3">
        <v>0.6211180124223602</v>
      </c>
      <c r="AI226" s="1" t="s">
        <v>22</v>
      </c>
      <c r="AJ226" s="1">
        <v>0</v>
      </c>
      <c r="AK226" s="3">
        <v>0</v>
      </c>
      <c r="AL226" s="1">
        <v>0</v>
      </c>
      <c r="AM226" s="3">
        <v>0</v>
      </c>
      <c r="AN226" s="1" t="s">
        <v>22</v>
      </c>
      <c r="AO226" s="1">
        <v>6</v>
      </c>
      <c r="AP226" s="3">
        <v>3.7267080745341614</v>
      </c>
      <c r="AQ226" s="3"/>
      <c r="AR226" s="3"/>
      <c r="AS226" s="1">
        <v>8</v>
      </c>
      <c r="AT226" s="3">
        <v>4.9689440993788816</v>
      </c>
      <c r="AU226" s="1">
        <v>0</v>
      </c>
      <c r="AV226" s="3">
        <v>0</v>
      </c>
      <c r="AW226" s="1" t="s">
        <v>22</v>
      </c>
      <c r="AX226" s="1">
        <v>8</v>
      </c>
      <c r="AY226" s="1">
        <v>0</v>
      </c>
      <c r="AZ226" s="1">
        <v>0</v>
      </c>
      <c r="BA226" s="1">
        <v>16</v>
      </c>
      <c r="BB226" s="1">
        <v>0</v>
      </c>
      <c r="BC226" s="1">
        <v>0</v>
      </c>
      <c r="BD226" s="1">
        <v>0</v>
      </c>
      <c r="BE226" s="54">
        <v>0</v>
      </c>
      <c r="BF226" s="6">
        <v>5</v>
      </c>
      <c r="BG226" s="6">
        <v>2</v>
      </c>
      <c r="BH226" s="1">
        <v>0</v>
      </c>
      <c r="BI226" s="6">
        <v>0</v>
      </c>
      <c r="BJ226" s="1" t="s">
        <v>22</v>
      </c>
      <c r="BK226" s="6">
        <v>0</v>
      </c>
      <c r="BL226" s="6">
        <v>0</v>
      </c>
      <c r="BM226" s="1">
        <v>0</v>
      </c>
      <c r="BN226" t="s">
        <v>24</v>
      </c>
      <c r="BO226">
        <v>167</v>
      </c>
    </row>
    <row r="227" spans="1:67" x14ac:dyDescent="0.3">
      <c r="A227" s="4">
        <f>INT(Tabela1[[#This Row],[Data e Hora]])</f>
        <v>46276</v>
      </c>
      <c r="B227" s="4" t="str">
        <f>UPPER(TEXT(Tabela1[[#This Row],[Data Corrigida]],"MMM"))</f>
        <v>SET</v>
      </c>
      <c r="C227" t="s">
        <v>685</v>
      </c>
      <c r="D227" t="s">
        <v>686</v>
      </c>
      <c r="E227" t="s">
        <v>687</v>
      </c>
      <c r="F227" t="s">
        <v>19</v>
      </c>
      <c r="G227" s="5" t="s">
        <v>684</v>
      </c>
      <c r="H227" t="s">
        <v>20</v>
      </c>
      <c r="I227" t="s">
        <v>33</v>
      </c>
      <c r="J227" s="1">
        <v>161</v>
      </c>
      <c r="K227" s="1">
        <v>2564</v>
      </c>
      <c r="L227" t="s">
        <v>34</v>
      </c>
      <c r="M227" s="1">
        <v>37</v>
      </c>
      <c r="N227" s="48">
        <v>37</v>
      </c>
      <c r="O227" s="1">
        <v>14</v>
      </c>
      <c r="P227" s="48">
        <v>14.000000000000002</v>
      </c>
      <c r="Q227" s="1">
        <v>2</v>
      </c>
      <c r="R227" s="1">
        <v>20</v>
      </c>
      <c r="S227" s="1">
        <v>0</v>
      </c>
      <c r="T227" s="1">
        <v>0</v>
      </c>
      <c r="U227" s="1">
        <v>1</v>
      </c>
      <c r="V227" s="1">
        <v>1</v>
      </c>
      <c r="W227" s="1">
        <v>0</v>
      </c>
      <c r="X227" s="1">
        <v>0</v>
      </c>
      <c r="Y227" s="1">
        <v>6</v>
      </c>
      <c r="Z227" s="3">
        <v>1.8633540372670807</v>
      </c>
      <c r="AA227" s="1">
        <v>7</v>
      </c>
      <c r="AB227" s="3">
        <v>4.3478260869565215</v>
      </c>
      <c r="AC227" s="1">
        <v>0</v>
      </c>
      <c r="AD227" s="3">
        <v>0</v>
      </c>
      <c r="AE227" s="1">
        <v>1</v>
      </c>
      <c r="AF227" s="3">
        <v>0.6211180124223602</v>
      </c>
      <c r="AG227" s="1">
        <v>2</v>
      </c>
      <c r="AH227" s="3">
        <v>1.2422360248447204</v>
      </c>
      <c r="AI227" s="1" t="s">
        <v>22</v>
      </c>
      <c r="AJ227" s="1">
        <v>0</v>
      </c>
      <c r="AK227" s="3">
        <v>0</v>
      </c>
      <c r="AL227" s="1">
        <v>0</v>
      </c>
      <c r="AM227" s="3">
        <v>0</v>
      </c>
      <c r="AN227" s="1" t="s">
        <v>22</v>
      </c>
      <c r="AO227" s="1">
        <v>7</v>
      </c>
      <c r="AP227" s="3">
        <v>4.3478260869565215</v>
      </c>
      <c r="AQ227" s="3"/>
      <c r="AR227" s="3"/>
      <c r="AS227" s="1">
        <v>6</v>
      </c>
      <c r="AT227" s="3">
        <v>3.7267080745341614</v>
      </c>
      <c r="AU227" s="1">
        <v>0</v>
      </c>
      <c r="AV227" s="3">
        <v>0</v>
      </c>
      <c r="AW227" s="1" t="s">
        <v>22</v>
      </c>
      <c r="AX227" s="1">
        <v>6</v>
      </c>
      <c r="AY227" s="1">
        <v>0</v>
      </c>
      <c r="AZ227" s="1">
        <v>0</v>
      </c>
      <c r="BA227" s="1">
        <v>12</v>
      </c>
      <c r="BB227" s="1">
        <v>0</v>
      </c>
      <c r="BC227" s="1">
        <v>0</v>
      </c>
      <c r="BD227" s="1">
        <v>0</v>
      </c>
      <c r="BE227" s="54">
        <v>0</v>
      </c>
      <c r="BF227" s="6">
        <v>7</v>
      </c>
      <c r="BG227" s="6">
        <v>5</v>
      </c>
      <c r="BH227" s="1">
        <v>0</v>
      </c>
      <c r="BI227" s="6">
        <v>0</v>
      </c>
      <c r="BJ227" s="1" t="s">
        <v>22</v>
      </c>
      <c r="BK227" s="6">
        <v>0</v>
      </c>
      <c r="BL227" s="6">
        <v>0</v>
      </c>
      <c r="BM227" s="1">
        <v>0</v>
      </c>
      <c r="BN227" t="s">
        <v>24</v>
      </c>
      <c r="BO227">
        <v>8972</v>
      </c>
    </row>
    <row r="228" spans="1:67" x14ac:dyDescent="0.3">
      <c r="A228" s="4">
        <f>INT(Tabela1[[#This Row],[Data e Hora]])</f>
        <v>46276</v>
      </c>
      <c r="B228" s="4" t="str">
        <f>UPPER(TEXT(Tabela1[[#This Row],[Data Corrigida]],"MMM"))</f>
        <v>SET</v>
      </c>
      <c r="C228" t="s">
        <v>688</v>
      </c>
      <c r="D228" t="s">
        <v>689</v>
      </c>
      <c r="E228" t="s">
        <v>687</v>
      </c>
      <c r="F228" t="s">
        <v>19</v>
      </c>
      <c r="G228" s="5" t="s">
        <v>684</v>
      </c>
      <c r="H228" t="s">
        <v>20</v>
      </c>
      <c r="I228" t="s">
        <v>33</v>
      </c>
      <c r="J228" s="1">
        <v>130</v>
      </c>
      <c r="K228" s="1">
        <v>2714</v>
      </c>
      <c r="L228" t="s">
        <v>34</v>
      </c>
      <c r="M228" s="1">
        <v>42</v>
      </c>
      <c r="N228" s="48">
        <v>42</v>
      </c>
      <c r="O228" s="1">
        <v>44</v>
      </c>
      <c r="P228" s="48">
        <v>44</v>
      </c>
      <c r="Q228" s="1">
        <v>1</v>
      </c>
      <c r="R228" s="1">
        <v>10</v>
      </c>
      <c r="S228" s="1">
        <v>1</v>
      </c>
      <c r="T228" s="1">
        <v>1</v>
      </c>
      <c r="U228" s="1">
        <v>0</v>
      </c>
      <c r="V228" s="1">
        <v>0</v>
      </c>
      <c r="W228" s="1">
        <v>0</v>
      </c>
      <c r="X228" s="1">
        <v>0</v>
      </c>
      <c r="Y228" s="1">
        <v>5</v>
      </c>
      <c r="Z228" s="3">
        <v>1.9230769230769231</v>
      </c>
      <c r="AA228" s="1">
        <v>10</v>
      </c>
      <c r="AB228" s="3">
        <v>7.6923076923076925</v>
      </c>
      <c r="AC228" s="1">
        <v>0</v>
      </c>
      <c r="AD228" s="3">
        <v>0</v>
      </c>
      <c r="AE228" s="1">
        <v>1</v>
      </c>
      <c r="AF228" s="3">
        <v>0.76923076923076927</v>
      </c>
      <c r="AG228" s="1">
        <v>2</v>
      </c>
      <c r="AH228" s="3">
        <v>1.5384615384615385</v>
      </c>
      <c r="AI228" s="1" t="s">
        <v>22</v>
      </c>
      <c r="AJ228" s="1">
        <v>0</v>
      </c>
      <c r="AK228" s="3">
        <v>0</v>
      </c>
      <c r="AL228" s="1">
        <v>0</v>
      </c>
      <c r="AM228" s="3">
        <v>0</v>
      </c>
      <c r="AN228" s="1" t="s">
        <v>22</v>
      </c>
      <c r="AO228" s="1">
        <v>11</v>
      </c>
      <c r="AP228" s="3">
        <v>8.4615384615384617</v>
      </c>
      <c r="AQ228" s="3"/>
      <c r="AR228" s="3"/>
      <c r="AS228" s="1">
        <v>8</v>
      </c>
      <c r="AT228" s="3">
        <v>6.1538461538461542</v>
      </c>
      <c r="AU228" s="1">
        <v>0</v>
      </c>
      <c r="AV228" s="3">
        <v>0</v>
      </c>
      <c r="AW228" s="1" t="s">
        <v>22</v>
      </c>
      <c r="AX228" s="1">
        <v>6</v>
      </c>
      <c r="AY228" s="1">
        <v>0</v>
      </c>
      <c r="AZ228" s="1">
        <v>0</v>
      </c>
      <c r="BA228" s="1">
        <v>12</v>
      </c>
      <c r="BB228" s="1">
        <v>0</v>
      </c>
      <c r="BC228" s="1">
        <v>0</v>
      </c>
      <c r="BD228" s="1">
        <v>0</v>
      </c>
      <c r="BE228" s="54">
        <v>0</v>
      </c>
      <c r="BF228" s="6">
        <v>8</v>
      </c>
      <c r="BG228" s="6">
        <v>4</v>
      </c>
      <c r="BH228" s="1">
        <v>0</v>
      </c>
      <c r="BI228" s="6">
        <v>0</v>
      </c>
      <c r="BJ228" s="1" t="s">
        <v>22</v>
      </c>
      <c r="BK228" s="6">
        <v>3</v>
      </c>
      <c r="BL228" s="6">
        <v>0</v>
      </c>
      <c r="BM228" s="1">
        <v>0</v>
      </c>
      <c r="BN228" t="s">
        <v>24</v>
      </c>
      <c r="BO228">
        <v>9456</v>
      </c>
    </row>
    <row r="229" spans="1:67" x14ac:dyDescent="0.3">
      <c r="A229" s="4">
        <f>INT(Tabela1[[#This Row],[Data e Hora]])</f>
        <v>46276</v>
      </c>
      <c r="B229" s="4" t="str">
        <f>UPPER(TEXT(Tabela1[[#This Row],[Data Corrigida]],"MMM"))</f>
        <v>SET</v>
      </c>
      <c r="C229" t="s">
        <v>690</v>
      </c>
      <c r="D229" t="s">
        <v>691</v>
      </c>
      <c r="E229" t="s">
        <v>692</v>
      </c>
      <c r="F229" t="s">
        <v>19</v>
      </c>
      <c r="G229" s="5" t="s">
        <v>684</v>
      </c>
      <c r="H229" t="s">
        <v>20</v>
      </c>
      <c r="I229" t="s">
        <v>21</v>
      </c>
      <c r="J229" s="1">
        <v>156</v>
      </c>
      <c r="K229" s="1">
        <v>2687</v>
      </c>
      <c r="L229" t="s">
        <v>23</v>
      </c>
      <c r="M229" s="1">
        <v>39</v>
      </c>
      <c r="N229" s="48">
        <v>39</v>
      </c>
      <c r="O229" s="1">
        <v>17</v>
      </c>
      <c r="P229" s="48">
        <v>17</v>
      </c>
      <c r="Q229" s="1">
        <v>0</v>
      </c>
      <c r="R229" s="1">
        <v>0</v>
      </c>
      <c r="S229" s="1">
        <v>2</v>
      </c>
      <c r="T229" s="1">
        <v>2</v>
      </c>
      <c r="U229" s="1">
        <v>1</v>
      </c>
      <c r="V229" s="1">
        <v>1</v>
      </c>
      <c r="W229" s="1">
        <v>0</v>
      </c>
      <c r="X229" s="1">
        <v>0</v>
      </c>
      <c r="Y229" s="1">
        <v>1</v>
      </c>
      <c r="Z229" s="3">
        <v>0.32051282051282048</v>
      </c>
      <c r="AA229" s="1">
        <v>4</v>
      </c>
      <c r="AB229" s="3">
        <v>2.5641025641025639</v>
      </c>
      <c r="AC229" s="1">
        <v>0</v>
      </c>
      <c r="AD229" s="3">
        <v>0</v>
      </c>
      <c r="AE229" s="1">
        <v>3</v>
      </c>
      <c r="AF229" s="3">
        <v>1.9230769230769231</v>
      </c>
      <c r="AG229" s="1">
        <v>6</v>
      </c>
      <c r="AH229" s="3">
        <v>3.8461538461538463</v>
      </c>
      <c r="AI229" s="1" t="s">
        <v>22</v>
      </c>
      <c r="AJ229" s="1">
        <v>2</v>
      </c>
      <c r="AK229" s="3">
        <v>1.2820512820512819</v>
      </c>
      <c r="AL229" s="1">
        <v>2</v>
      </c>
      <c r="AM229" s="3">
        <v>1.2820512820512819</v>
      </c>
      <c r="AN229" s="1" t="s">
        <v>22</v>
      </c>
      <c r="AO229" s="1">
        <v>10</v>
      </c>
      <c r="AP229" s="3">
        <v>6.4102564102564097</v>
      </c>
      <c r="AQ229" s="3"/>
      <c r="AR229" s="3"/>
      <c r="AS229" s="1">
        <v>8</v>
      </c>
      <c r="AT229" s="3">
        <v>5.1282051282051277</v>
      </c>
      <c r="AU229" s="1">
        <v>2</v>
      </c>
      <c r="AV229" s="3">
        <v>1.2820512820512819</v>
      </c>
      <c r="AW229" s="1" t="s">
        <v>22</v>
      </c>
      <c r="AX229" s="1">
        <v>19</v>
      </c>
      <c r="AY229" s="1">
        <v>0</v>
      </c>
      <c r="AZ229" s="1">
        <v>0</v>
      </c>
      <c r="BA229" s="1">
        <v>38</v>
      </c>
      <c r="BB229" s="1">
        <v>0</v>
      </c>
      <c r="BC229" s="1">
        <v>0</v>
      </c>
      <c r="BD229" s="1">
        <v>2</v>
      </c>
      <c r="BE229" s="54">
        <v>1.2820512820512819</v>
      </c>
      <c r="BF229" s="6">
        <v>20</v>
      </c>
      <c r="BG229" s="6">
        <v>18</v>
      </c>
      <c r="BH229" s="1">
        <v>1</v>
      </c>
      <c r="BI229" s="6">
        <v>10</v>
      </c>
      <c r="BJ229" s="1" t="s">
        <v>22</v>
      </c>
      <c r="BK229" s="1" t="s">
        <v>22</v>
      </c>
      <c r="BL229" s="1" t="s">
        <v>22</v>
      </c>
      <c r="BM229" s="1" t="s">
        <v>22</v>
      </c>
      <c r="BN229" t="s">
        <v>22</v>
      </c>
      <c r="BO229">
        <v>1479</v>
      </c>
    </row>
    <row r="230" spans="1:67" x14ac:dyDescent="0.3">
      <c r="A230" s="4">
        <f>INT(Tabela1[[#This Row],[Data e Hora]])</f>
        <v>46276</v>
      </c>
      <c r="B230" s="4" t="str">
        <f>UPPER(TEXT(Tabela1[[#This Row],[Data Corrigida]],"MMM"))</f>
        <v>SET</v>
      </c>
      <c r="C230" t="s">
        <v>693</v>
      </c>
      <c r="D230" t="s">
        <v>694</v>
      </c>
      <c r="E230" t="s">
        <v>695</v>
      </c>
      <c r="F230" t="s">
        <v>19</v>
      </c>
      <c r="G230" s="5" t="s">
        <v>684</v>
      </c>
      <c r="H230" t="s">
        <v>20</v>
      </c>
      <c r="I230" t="s">
        <v>21</v>
      </c>
      <c r="J230" s="1">
        <v>161</v>
      </c>
      <c r="K230" s="1">
        <v>3102</v>
      </c>
      <c r="L230" t="s">
        <v>23</v>
      </c>
      <c r="M230" s="1">
        <v>35</v>
      </c>
      <c r="N230" s="48">
        <v>35</v>
      </c>
      <c r="O230" s="1">
        <v>15</v>
      </c>
      <c r="P230" s="48">
        <v>15</v>
      </c>
      <c r="Q230" s="1">
        <v>0</v>
      </c>
      <c r="R230" s="1">
        <v>0</v>
      </c>
      <c r="S230" s="1">
        <v>3</v>
      </c>
      <c r="T230" s="1">
        <v>3</v>
      </c>
      <c r="U230" s="1">
        <v>1</v>
      </c>
      <c r="V230" s="1">
        <v>1</v>
      </c>
      <c r="W230" s="1">
        <v>0</v>
      </c>
      <c r="X230" s="1">
        <v>0</v>
      </c>
      <c r="Y230" s="1">
        <v>2</v>
      </c>
      <c r="Z230" s="3">
        <v>0.6211180124223602</v>
      </c>
      <c r="AA230" s="1">
        <v>9</v>
      </c>
      <c r="AB230" s="3">
        <v>5.5900621118012426</v>
      </c>
      <c r="AC230" s="1">
        <v>0</v>
      </c>
      <c r="AD230" s="3">
        <v>0</v>
      </c>
      <c r="AE230" s="1">
        <v>2</v>
      </c>
      <c r="AF230" s="3">
        <v>1.2422360248447204</v>
      </c>
      <c r="AG230" s="1">
        <v>5</v>
      </c>
      <c r="AH230" s="3">
        <v>3.1055900621118013</v>
      </c>
      <c r="AI230" s="1" t="s">
        <v>22</v>
      </c>
      <c r="AJ230" s="1">
        <v>3</v>
      </c>
      <c r="AK230" s="3">
        <v>1.8633540372670807</v>
      </c>
      <c r="AL230" s="1">
        <v>3</v>
      </c>
      <c r="AM230" s="3">
        <v>1.8633540372670807</v>
      </c>
      <c r="AN230" s="1" t="s">
        <v>22</v>
      </c>
      <c r="AO230" s="1">
        <v>13</v>
      </c>
      <c r="AP230" s="3">
        <v>8.0745341614906838</v>
      </c>
      <c r="AQ230" s="3"/>
      <c r="AR230" s="3"/>
      <c r="AS230" s="1">
        <v>11</v>
      </c>
      <c r="AT230" s="3">
        <v>6.8322981366459627</v>
      </c>
      <c r="AU230" s="1">
        <v>4</v>
      </c>
      <c r="AV230" s="3">
        <v>2.4844720496894408</v>
      </c>
      <c r="AW230" s="1" t="s">
        <v>22</v>
      </c>
      <c r="AX230" s="1">
        <v>21</v>
      </c>
      <c r="AY230" s="1">
        <v>0</v>
      </c>
      <c r="AZ230" s="1">
        <v>0</v>
      </c>
      <c r="BA230" s="1">
        <v>42</v>
      </c>
      <c r="BB230" s="1">
        <v>0</v>
      </c>
      <c r="BC230" s="1">
        <v>0</v>
      </c>
      <c r="BD230" s="1">
        <v>1</v>
      </c>
      <c r="BE230" s="54">
        <v>0.6211180124223602</v>
      </c>
      <c r="BF230" s="6">
        <v>21</v>
      </c>
      <c r="BG230" s="6">
        <v>20</v>
      </c>
      <c r="BH230" s="1" t="s">
        <v>22</v>
      </c>
      <c r="BI230" s="6" t="s">
        <v>22</v>
      </c>
      <c r="BJ230" s="1" t="s">
        <v>22</v>
      </c>
      <c r="BK230" s="6">
        <v>1</v>
      </c>
      <c r="BL230" s="6">
        <v>0</v>
      </c>
      <c r="BM230" s="1">
        <v>1</v>
      </c>
      <c r="BN230" t="s">
        <v>24</v>
      </c>
      <c r="BO230">
        <v>2311</v>
      </c>
    </row>
    <row r="231" spans="1:67" x14ac:dyDescent="0.3">
      <c r="A231" s="4">
        <f>INT(Tabela1[[#This Row],[Data e Hora]])</f>
        <v>46276</v>
      </c>
      <c r="B231" s="4" t="str">
        <f>UPPER(TEXT(Tabela1[[#This Row],[Data Corrigida]],"MMM"))</f>
        <v>SET</v>
      </c>
      <c r="C231" t="s">
        <v>696</v>
      </c>
      <c r="D231" t="s">
        <v>697</v>
      </c>
      <c r="E231" t="s">
        <v>695</v>
      </c>
      <c r="F231" t="s">
        <v>19</v>
      </c>
      <c r="G231" s="5" t="s">
        <v>684</v>
      </c>
      <c r="H231" t="s">
        <v>20</v>
      </c>
      <c r="I231" t="s">
        <v>21</v>
      </c>
      <c r="J231" s="1">
        <v>156</v>
      </c>
      <c r="K231" s="1">
        <v>2707</v>
      </c>
      <c r="L231" t="s">
        <v>23</v>
      </c>
      <c r="M231" s="1">
        <v>22</v>
      </c>
      <c r="N231" s="48">
        <v>22</v>
      </c>
      <c r="O231" s="1">
        <v>6</v>
      </c>
      <c r="P231" s="48">
        <v>6</v>
      </c>
      <c r="Q231" s="1">
        <v>0</v>
      </c>
      <c r="R231" s="1">
        <v>0</v>
      </c>
      <c r="S231" s="1">
        <v>3</v>
      </c>
      <c r="T231" s="1">
        <v>3</v>
      </c>
      <c r="U231" s="1">
        <v>1</v>
      </c>
      <c r="V231" s="1">
        <v>1</v>
      </c>
      <c r="W231" s="1">
        <v>0</v>
      </c>
      <c r="X231" s="1">
        <v>0</v>
      </c>
      <c r="Y231" s="1">
        <v>1</v>
      </c>
      <c r="Z231" s="3">
        <v>0.32051282051282048</v>
      </c>
      <c r="AA231" s="1">
        <v>4</v>
      </c>
      <c r="AB231" s="3">
        <v>2.5641025641025639</v>
      </c>
      <c r="AC231" s="1">
        <v>0</v>
      </c>
      <c r="AD231" s="3">
        <v>0</v>
      </c>
      <c r="AE231" s="1">
        <v>0</v>
      </c>
      <c r="AF231" s="3">
        <v>0</v>
      </c>
      <c r="AG231" s="1">
        <v>5</v>
      </c>
      <c r="AH231" s="3">
        <v>3.2051282051282048</v>
      </c>
      <c r="AI231" s="1" t="s">
        <v>22</v>
      </c>
      <c r="AJ231" s="1">
        <v>3</v>
      </c>
      <c r="AK231" s="3">
        <v>1.9230769230769231</v>
      </c>
      <c r="AL231" s="1">
        <v>2</v>
      </c>
      <c r="AM231" s="3">
        <v>1.2820512820512819</v>
      </c>
      <c r="AN231" s="1" t="s">
        <v>22</v>
      </c>
      <c r="AO231" s="1">
        <v>6</v>
      </c>
      <c r="AP231" s="3">
        <v>3.8461538461538463</v>
      </c>
      <c r="AQ231" s="3"/>
      <c r="AR231" s="3"/>
      <c r="AS231" s="1">
        <v>9</v>
      </c>
      <c r="AT231" s="3">
        <v>5.7692307692307692</v>
      </c>
      <c r="AU231" s="1">
        <v>2</v>
      </c>
      <c r="AV231" s="3">
        <v>1.2820512820512819</v>
      </c>
      <c r="AW231" s="1" t="s">
        <v>22</v>
      </c>
      <c r="AX231" s="1">
        <v>20</v>
      </c>
      <c r="AY231" s="1">
        <v>0</v>
      </c>
      <c r="AZ231" s="1">
        <v>0</v>
      </c>
      <c r="BA231" s="1">
        <v>40</v>
      </c>
      <c r="BB231" s="1">
        <v>0</v>
      </c>
      <c r="BC231" s="1">
        <v>0</v>
      </c>
      <c r="BD231" s="1">
        <v>1</v>
      </c>
      <c r="BE231" s="54">
        <v>0.64102564102564097</v>
      </c>
      <c r="BF231" s="6">
        <v>25</v>
      </c>
      <c r="BG231" s="6">
        <v>19</v>
      </c>
      <c r="BH231" s="1">
        <v>1</v>
      </c>
      <c r="BI231" s="6">
        <v>10</v>
      </c>
      <c r="BJ231" s="1" t="s">
        <v>22</v>
      </c>
      <c r="BK231" s="6">
        <v>0</v>
      </c>
      <c r="BL231" s="6">
        <v>0</v>
      </c>
      <c r="BM231" s="1">
        <v>1</v>
      </c>
      <c r="BN231" t="s">
        <v>24</v>
      </c>
      <c r="BO231">
        <v>2752</v>
      </c>
    </row>
    <row r="232" spans="1:67" x14ac:dyDescent="0.3">
      <c r="A232" s="4">
        <f>INT(Tabela1[[#This Row],[Data e Hora]])</f>
        <v>46276</v>
      </c>
      <c r="B232" s="4" t="str">
        <f>UPPER(TEXT(Tabela1[[#This Row],[Data Corrigida]],"MMM"))</f>
        <v>SET</v>
      </c>
      <c r="C232" t="s">
        <v>698</v>
      </c>
      <c r="D232" t="s">
        <v>699</v>
      </c>
      <c r="E232" t="s">
        <v>700</v>
      </c>
      <c r="F232" t="s">
        <v>19</v>
      </c>
      <c r="G232" s="5" t="s">
        <v>684</v>
      </c>
      <c r="H232" t="s">
        <v>20</v>
      </c>
      <c r="I232" t="s">
        <v>21</v>
      </c>
      <c r="J232" s="1">
        <v>156</v>
      </c>
      <c r="K232" s="1">
        <v>2711</v>
      </c>
      <c r="L232" t="s">
        <v>23</v>
      </c>
      <c r="M232" s="1">
        <v>21</v>
      </c>
      <c r="N232" s="48">
        <v>21</v>
      </c>
      <c r="O232" s="1">
        <v>6</v>
      </c>
      <c r="P232" s="48">
        <v>6</v>
      </c>
      <c r="Q232" s="1">
        <v>0</v>
      </c>
      <c r="R232" s="1">
        <v>0</v>
      </c>
      <c r="S232" s="1">
        <v>4</v>
      </c>
      <c r="T232" s="1">
        <v>4</v>
      </c>
      <c r="U232" s="1">
        <v>1</v>
      </c>
      <c r="V232" s="1">
        <v>1</v>
      </c>
      <c r="W232" s="1">
        <v>0</v>
      </c>
      <c r="X232" s="1">
        <v>0</v>
      </c>
      <c r="Y232" s="1">
        <v>1</v>
      </c>
      <c r="Z232" s="3">
        <v>0.32051282051282048</v>
      </c>
      <c r="AA232" s="1">
        <v>4</v>
      </c>
      <c r="AB232" s="3">
        <v>2.5641025641025639</v>
      </c>
      <c r="AC232" s="1">
        <v>0</v>
      </c>
      <c r="AD232" s="3">
        <v>0</v>
      </c>
      <c r="AE232" s="1">
        <v>3</v>
      </c>
      <c r="AF232" s="3">
        <v>1.9230769230769231</v>
      </c>
      <c r="AG232" s="1">
        <v>6</v>
      </c>
      <c r="AH232" s="3">
        <v>3.8461538461538463</v>
      </c>
      <c r="AI232" s="1" t="s">
        <v>22</v>
      </c>
      <c r="AJ232" s="1">
        <v>3</v>
      </c>
      <c r="AK232" s="3">
        <v>1.9230769230769231</v>
      </c>
      <c r="AL232" s="1">
        <v>3</v>
      </c>
      <c r="AM232" s="3">
        <v>1.9230769230769231</v>
      </c>
      <c r="AN232" s="1" t="s">
        <v>22</v>
      </c>
      <c r="AO232" s="1">
        <v>20</v>
      </c>
      <c r="AP232" s="3">
        <v>12.820512820512819</v>
      </c>
      <c r="AQ232" s="3"/>
      <c r="AR232" s="3"/>
      <c r="AS232" s="1">
        <v>9</v>
      </c>
      <c r="AT232" s="3">
        <v>5.7692307692307692</v>
      </c>
      <c r="AU232" s="1">
        <v>4</v>
      </c>
      <c r="AV232" s="3">
        <v>2.5641025641025639</v>
      </c>
      <c r="AW232" s="1" t="s">
        <v>22</v>
      </c>
      <c r="AX232" s="1">
        <v>19</v>
      </c>
      <c r="AY232" s="1">
        <v>0</v>
      </c>
      <c r="AZ232" s="1">
        <v>0</v>
      </c>
      <c r="BA232" s="1">
        <v>38</v>
      </c>
      <c r="BB232" s="1">
        <v>0</v>
      </c>
      <c r="BC232" s="1">
        <v>0</v>
      </c>
      <c r="BD232" s="1">
        <v>1</v>
      </c>
      <c r="BE232" s="54">
        <v>0.64102564102564097</v>
      </c>
      <c r="BF232" s="6">
        <v>25</v>
      </c>
      <c r="BG232" s="6">
        <v>22</v>
      </c>
      <c r="BH232" s="1">
        <v>1</v>
      </c>
      <c r="BI232" s="6">
        <v>10</v>
      </c>
      <c r="BJ232" s="1" t="s">
        <v>22</v>
      </c>
      <c r="BK232" s="1" t="s">
        <v>22</v>
      </c>
      <c r="BL232" s="1" t="s">
        <v>22</v>
      </c>
      <c r="BM232" s="1" t="s">
        <v>22</v>
      </c>
      <c r="BN232" t="s">
        <v>24</v>
      </c>
      <c r="BO232">
        <v>1734</v>
      </c>
    </row>
    <row r="233" spans="1:67" x14ac:dyDescent="0.3">
      <c r="A233" s="4">
        <f>INT(Tabela1[[#This Row],[Data e Hora]])</f>
        <v>46279</v>
      </c>
      <c r="B233" s="4" t="str">
        <f>UPPER(TEXT(Tabela1[[#This Row],[Data Corrigida]],"MMM"))</f>
        <v>SET</v>
      </c>
      <c r="C233" s="57" t="s">
        <v>703</v>
      </c>
      <c r="D233" t="s">
        <v>704</v>
      </c>
      <c r="E233" t="s">
        <v>705</v>
      </c>
      <c r="F233" t="s">
        <v>19</v>
      </c>
      <c r="G233" s="5" t="s">
        <v>706</v>
      </c>
      <c r="H233" t="s">
        <v>20</v>
      </c>
      <c r="I233" t="s">
        <v>33</v>
      </c>
      <c r="J233" s="1">
        <v>161</v>
      </c>
      <c r="K233" s="1">
        <v>2999</v>
      </c>
      <c r="L233" t="s">
        <v>34</v>
      </c>
      <c r="M233" s="1">
        <v>20</v>
      </c>
      <c r="N233" s="48">
        <v>20</v>
      </c>
      <c r="O233" s="1">
        <v>0</v>
      </c>
      <c r="P233" s="48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5</v>
      </c>
      <c r="Z233" s="3">
        <v>1.5527950310559007</v>
      </c>
      <c r="AA233" s="1">
        <v>5</v>
      </c>
      <c r="AB233" s="3">
        <v>3.1055900621118013</v>
      </c>
      <c r="AC233" s="1">
        <v>0</v>
      </c>
      <c r="AD233" s="3">
        <v>0</v>
      </c>
      <c r="AE233" s="1">
        <v>1</v>
      </c>
      <c r="AF233" s="3">
        <v>0.6211180124223602</v>
      </c>
      <c r="AG233" s="1">
        <v>4</v>
      </c>
      <c r="AH233" s="3">
        <v>2.4844720496894408</v>
      </c>
      <c r="AI233" s="1" t="s">
        <v>22</v>
      </c>
      <c r="AJ233" s="1">
        <v>0</v>
      </c>
      <c r="AK233" s="3">
        <v>0</v>
      </c>
      <c r="AL233" s="1">
        <v>0</v>
      </c>
      <c r="AM233" s="3">
        <v>0</v>
      </c>
      <c r="AN233" s="1" t="s">
        <v>22</v>
      </c>
      <c r="AO233" s="1">
        <v>7</v>
      </c>
      <c r="AP233" s="3">
        <v>4.3478260869565215</v>
      </c>
      <c r="AQ233" s="3">
        <v>8</v>
      </c>
      <c r="AR233" s="3">
        <v>4.9689440993788816</v>
      </c>
      <c r="AS233" s="1">
        <v>6</v>
      </c>
      <c r="AT233" s="3">
        <v>3.7267080745341614</v>
      </c>
      <c r="AU233" s="1">
        <v>0</v>
      </c>
      <c r="AV233" s="3">
        <v>0</v>
      </c>
      <c r="AW233" s="1" t="s">
        <v>22</v>
      </c>
      <c r="AX233" s="1">
        <v>8</v>
      </c>
      <c r="AY233" s="1">
        <v>0</v>
      </c>
      <c r="AZ233" s="1">
        <v>0</v>
      </c>
      <c r="BA233" s="1">
        <v>16</v>
      </c>
      <c r="BB233" s="1">
        <v>0</v>
      </c>
      <c r="BC233" s="1">
        <v>0</v>
      </c>
      <c r="BD233" s="1">
        <v>0</v>
      </c>
      <c r="BE233" s="54">
        <v>0</v>
      </c>
      <c r="BF233" s="6">
        <v>5</v>
      </c>
      <c r="BG233" s="6">
        <v>3</v>
      </c>
      <c r="BH233" s="1">
        <v>0</v>
      </c>
      <c r="BI233" s="6">
        <v>0</v>
      </c>
      <c r="BJ233" s="1" t="s">
        <v>22</v>
      </c>
      <c r="BK233" s="6">
        <v>0</v>
      </c>
      <c r="BL233" s="6">
        <v>0</v>
      </c>
      <c r="BM233" s="1">
        <v>0</v>
      </c>
      <c r="BN233" t="s">
        <v>24</v>
      </c>
      <c r="BO233">
        <v>683</v>
      </c>
    </row>
    <row r="234" spans="1:67" x14ac:dyDescent="0.3">
      <c r="A234" s="4">
        <f>INT(Tabela1[[#This Row],[Data e Hora]])</f>
        <v>46279</v>
      </c>
      <c r="B234" s="4" t="str">
        <f>UPPER(TEXT(Tabela1[[#This Row],[Data Corrigida]],"MMM"))</f>
        <v>SET</v>
      </c>
      <c r="C234" t="s">
        <v>707</v>
      </c>
      <c r="D234" t="s">
        <v>708</v>
      </c>
      <c r="E234" t="s">
        <v>705</v>
      </c>
      <c r="F234" t="s">
        <v>19</v>
      </c>
      <c r="G234" s="5" t="s">
        <v>706</v>
      </c>
      <c r="H234" t="s">
        <v>20</v>
      </c>
      <c r="I234" t="s">
        <v>33</v>
      </c>
      <c r="J234" s="1">
        <v>129</v>
      </c>
      <c r="K234" s="1">
        <v>2879</v>
      </c>
      <c r="L234" t="s">
        <v>34</v>
      </c>
      <c r="M234" s="1">
        <v>30</v>
      </c>
      <c r="N234" s="48">
        <v>30</v>
      </c>
      <c r="O234" s="1">
        <v>6</v>
      </c>
      <c r="P234" s="48">
        <v>6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4</v>
      </c>
      <c r="Z234" s="3">
        <v>1.5503875968992249</v>
      </c>
      <c r="AA234" s="1">
        <v>4</v>
      </c>
      <c r="AB234" s="3">
        <v>3.1007751937984498</v>
      </c>
      <c r="AC234" s="1">
        <v>0</v>
      </c>
      <c r="AD234" s="3">
        <v>0</v>
      </c>
      <c r="AE234" s="1">
        <v>1</v>
      </c>
      <c r="AF234" s="3">
        <v>0.77519379844961245</v>
      </c>
      <c r="AG234" s="1">
        <v>2</v>
      </c>
      <c r="AH234" s="3">
        <v>1.5503875968992249</v>
      </c>
      <c r="AI234" s="1" t="s">
        <v>22</v>
      </c>
      <c r="AJ234" s="1">
        <v>0</v>
      </c>
      <c r="AK234" s="3">
        <v>0</v>
      </c>
      <c r="AL234" s="1">
        <v>0</v>
      </c>
      <c r="AM234" s="3">
        <v>0</v>
      </c>
      <c r="AN234" s="1" t="s">
        <v>22</v>
      </c>
      <c r="AO234" s="1">
        <v>7</v>
      </c>
      <c r="AP234" s="3">
        <v>5.4263565891472867</v>
      </c>
      <c r="AQ234" s="3">
        <v>1</v>
      </c>
      <c r="AR234" s="3">
        <v>0.77519379844961245</v>
      </c>
      <c r="AS234" s="1">
        <v>3</v>
      </c>
      <c r="AT234" s="3">
        <v>2.3255813953488373</v>
      </c>
      <c r="AU234" s="1">
        <v>0</v>
      </c>
      <c r="AV234" s="3">
        <v>0</v>
      </c>
      <c r="AW234" s="1" t="s">
        <v>22</v>
      </c>
      <c r="AX234" s="1">
        <v>6</v>
      </c>
      <c r="AY234" s="1">
        <v>0</v>
      </c>
      <c r="AZ234" s="1">
        <v>0</v>
      </c>
      <c r="BA234" s="1">
        <v>12</v>
      </c>
      <c r="BB234" s="1">
        <v>0</v>
      </c>
      <c r="BC234" s="1">
        <v>0</v>
      </c>
      <c r="BD234" s="1">
        <v>2</v>
      </c>
      <c r="BE234" s="54">
        <v>1.5503875968992249</v>
      </c>
      <c r="BF234" s="6">
        <v>7</v>
      </c>
      <c r="BG234" s="6">
        <v>4</v>
      </c>
      <c r="BH234" s="1">
        <v>0</v>
      </c>
      <c r="BI234" s="6">
        <v>0</v>
      </c>
      <c r="BJ234" s="1" t="s">
        <v>22</v>
      </c>
      <c r="BK234" s="6">
        <v>0</v>
      </c>
      <c r="BL234" s="6">
        <v>0</v>
      </c>
      <c r="BM234" s="1">
        <v>0</v>
      </c>
      <c r="BN234" t="s">
        <v>24</v>
      </c>
      <c r="BO234">
        <v>7749</v>
      </c>
    </row>
    <row r="235" spans="1:67" x14ac:dyDescent="0.3">
      <c r="A235" s="4">
        <f>INT(Tabela1[[#This Row],[Data e Hora]])</f>
        <v>46279</v>
      </c>
      <c r="B235" s="4" t="str">
        <f>UPPER(TEXT(Tabela1[[#This Row],[Data Corrigida]],"MMM"))</f>
        <v>SET</v>
      </c>
      <c r="C235" t="s">
        <v>709</v>
      </c>
      <c r="D235" t="s">
        <v>710</v>
      </c>
      <c r="E235" t="s">
        <v>711</v>
      </c>
      <c r="F235" t="s">
        <v>19</v>
      </c>
      <c r="G235" s="5" t="s">
        <v>706</v>
      </c>
      <c r="H235" t="s">
        <v>20</v>
      </c>
      <c r="I235" t="s">
        <v>33</v>
      </c>
      <c r="J235" s="1">
        <v>130</v>
      </c>
      <c r="K235" s="1">
        <v>4278</v>
      </c>
      <c r="L235" t="s">
        <v>34</v>
      </c>
      <c r="M235" s="1">
        <v>16</v>
      </c>
      <c r="N235" s="48">
        <v>16</v>
      </c>
      <c r="O235" s="1">
        <v>10</v>
      </c>
      <c r="P235" s="48">
        <v>10</v>
      </c>
      <c r="Q235" s="1">
        <v>0</v>
      </c>
      <c r="R235" s="1">
        <v>0</v>
      </c>
      <c r="S235" s="1">
        <v>1</v>
      </c>
      <c r="T235" s="1">
        <v>1</v>
      </c>
      <c r="U235" s="1">
        <v>0</v>
      </c>
      <c r="V235" s="1">
        <v>0</v>
      </c>
      <c r="W235" s="1">
        <v>0</v>
      </c>
      <c r="X235" s="1">
        <v>0</v>
      </c>
      <c r="Y235" s="1">
        <v>6</v>
      </c>
      <c r="Z235" s="3">
        <v>2.3076923076923079</v>
      </c>
      <c r="AA235" s="1">
        <v>8</v>
      </c>
      <c r="AB235" s="3">
        <v>6.1538461538461542</v>
      </c>
      <c r="AC235" s="1">
        <v>0</v>
      </c>
      <c r="AD235" s="3">
        <v>0</v>
      </c>
      <c r="AE235" s="1">
        <v>1</v>
      </c>
      <c r="AF235" s="3">
        <v>0.76923076923076927</v>
      </c>
      <c r="AG235" s="1">
        <v>2</v>
      </c>
      <c r="AH235" s="3">
        <v>1.5384615384615385</v>
      </c>
      <c r="AI235" s="1" t="s">
        <v>22</v>
      </c>
      <c r="AJ235" s="1">
        <v>0</v>
      </c>
      <c r="AK235" s="3">
        <v>0</v>
      </c>
      <c r="AL235" s="1">
        <v>0</v>
      </c>
      <c r="AM235" s="3">
        <v>0</v>
      </c>
      <c r="AN235" s="1" t="s">
        <v>22</v>
      </c>
      <c r="AO235" s="1">
        <v>8</v>
      </c>
      <c r="AP235" s="3">
        <v>6.1538461538461542</v>
      </c>
      <c r="AQ235" s="3">
        <v>5</v>
      </c>
      <c r="AR235" s="3">
        <v>3.8461538461538463</v>
      </c>
      <c r="AS235" s="1">
        <v>6</v>
      </c>
      <c r="AT235" s="3">
        <v>4.6153846153846159</v>
      </c>
      <c r="AU235" s="1">
        <v>0</v>
      </c>
      <c r="AV235" s="3">
        <v>0</v>
      </c>
      <c r="AW235" s="1" t="s">
        <v>22</v>
      </c>
      <c r="AX235" s="1">
        <v>6</v>
      </c>
      <c r="AY235" s="1">
        <v>0</v>
      </c>
      <c r="AZ235" s="1">
        <v>0</v>
      </c>
      <c r="BA235" s="1">
        <v>12</v>
      </c>
      <c r="BB235" s="1">
        <v>0</v>
      </c>
      <c r="BC235" s="1">
        <v>0</v>
      </c>
      <c r="BD235" s="1">
        <v>0</v>
      </c>
      <c r="BE235" s="54">
        <v>0</v>
      </c>
      <c r="BF235" s="6">
        <v>5</v>
      </c>
      <c r="BG235" s="6">
        <v>3</v>
      </c>
      <c r="BH235" s="1">
        <v>0</v>
      </c>
      <c r="BI235" s="6">
        <v>0</v>
      </c>
      <c r="BJ235" s="1" t="s">
        <v>22</v>
      </c>
      <c r="BK235" s="6">
        <v>2</v>
      </c>
      <c r="BL235" s="6">
        <v>0</v>
      </c>
      <c r="BM235" s="1">
        <v>0</v>
      </c>
      <c r="BN235" t="s">
        <v>24</v>
      </c>
      <c r="BO235">
        <v>5176</v>
      </c>
    </row>
    <row r="236" spans="1:67" x14ac:dyDescent="0.3">
      <c r="A236" s="4">
        <f>INT(Tabela1[[#This Row],[Data e Hora]])</f>
        <v>46279</v>
      </c>
      <c r="B236" s="4" t="str">
        <f>UPPER(TEXT(Tabela1[[#This Row],[Data Corrigida]],"MMM"))</f>
        <v>SET</v>
      </c>
      <c r="C236" t="s">
        <v>712</v>
      </c>
      <c r="D236" t="s">
        <v>713</v>
      </c>
      <c r="E236" t="s">
        <v>714</v>
      </c>
      <c r="F236" t="s">
        <v>19</v>
      </c>
      <c r="G236" s="5" t="s">
        <v>706</v>
      </c>
      <c r="H236" t="s">
        <v>20</v>
      </c>
      <c r="I236" t="s">
        <v>21</v>
      </c>
      <c r="J236" s="1">
        <v>155</v>
      </c>
      <c r="K236" s="1">
        <v>2739</v>
      </c>
      <c r="L236" t="s">
        <v>23</v>
      </c>
      <c r="M236" s="1">
        <v>29</v>
      </c>
      <c r="N236" s="48">
        <v>28.999999999999996</v>
      </c>
      <c r="O236" s="1">
        <v>10</v>
      </c>
      <c r="P236" s="48">
        <v>10</v>
      </c>
      <c r="Q236" s="1">
        <v>0</v>
      </c>
      <c r="R236" s="1">
        <v>0</v>
      </c>
      <c r="S236" s="1">
        <v>2</v>
      </c>
      <c r="T236" s="1">
        <v>2</v>
      </c>
      <c r="U236" s="1">
        <v>1</v>
      </c>
      <c r="V236" s="1">
        <v>1</v>
      </c>
      <c r="W236" s="1">
        <v>0</v>
      </c>
      <c r="X236" s="1">
        <v>0</v>
      </c>
      <c r="Y236" s="1">
        <v>2</v>
      </c>
      <c r="Z236" s="3">
        <v>0.64516129032258063</v>
      </c>
      <c r="AA236" s="1">
        <v>9</v>
      </c>
      <c r="AB236" s="3">
        <v>5.806451612903226</v>
      </c>
      <c r="AC236" s="1">
        <v>0</v>
      </c>
      <c r="AD236" s="3">
        <v>0</v>
      </c>
      <c r="AE236" s="1">
        <v>0</v>
      </c>
      <c r="AF236" s="3">
        <v>0</v>
      </c>
      <c r="AG236" s="1">
        <v>7</v>
      </c>
      <c r="AH236" s="3">
        <v>4.5161290322580641</v>
      </c>
      <c r="AI236" s="1" t="s">
        <v>22</v>
      </c>
      <c r="AJ236" s="1">
        <v>6</v>
      </c>
      <c r="AK236" s="3">
        <v>3.870967741935484</v>
      </c>
      <c r="AL236" s="1">
        <v>2</v>
      </c>
      <c r="AM236" s="3">
        <v>1.2903225806451613</v>
      </c>
      <c r="AN236" s="1" t="s">
        <v>22</v>
      </c>
      <c r="AO236" s="1">
        <v>14</v>
      </c>
      <c r="AP236" s="3">
        <v>9.0322580645161281</v>
      </c>
      <c r="AQ236" s="3" t="s">
        <v>22</v>
      </c>
      <c r="AR236" s="3" t="s">
        <v>22</v>
      </c>
      <c r="AS236" s="1">
        <v>7</v>
      </c>
      <c r="AT236" s="3">
        <v>4.5161290322580641</v>
      </c>
      <c r="AU236" s="1">
        <v>1</v>
      </c>
      <c r="AV236" s="3">
        <v>0.64516129032258063</v>
      </c>
      <c r="AW236" s="1" t="s">
        <v>22</v>
      </c>
      <c r="AX236" s="1">
        <v>16</v>
      </c>
      <c r="AY236" s="1">
        <v>0</v>
      </c>
      <c r="AZ236" s="1">
        <v>0</v>
      </c>
      <c r="BA236" s="1">
        <v>32</v>
      </c>
      <c r="BB236" s="1">
        <v>0</v>
      </c>
      <c r="BC236" s="1">
        <v>0</v>
      </c>
      <c r="BD236" s="1">
        <v>1</v>
      </c>
      <c r="BE236" s="54">
        <v>0.64516129032258063</v>
      </c>
      <c r="BF236" s="6">
        <v>23</v>
      </c>
      <c r="BG236" s="6">
        <v>19</v>
      </c>
      <c r="BH236" s="1">
        <v>1</v>
      </c>
      <c r="BI236" s="6">
        <v>10</v>
      </c>
      <c r="BJ236" s="1" t="s">
        <v>22</v>
      </c>
      <c r="BK236" s="1" t="s">
        <v>22</v>
      </c>
      <c r="BL236" s="1" t="s">
        <v>22</v>
      </c>
      <c r="BM236" s="1" t="s">
        <v>22</v>
      </c>
      <c r="BN236" t="s">
        <v>22</v>
      </c>
      <c r="BO236">
        <v>2285</v>
      </c>
    </row>
    <row r="237" spans="1:67" x14ac:dyDescent="0.3">
      <c r="A237" s="4">
        <f>INT(Tabela1[[#This Row],[Data e Hora]])</f>
        <v>46279</v>
      </c>
      <c r="B237" s="4" t="str">
        <f>UPPER(TEXT(Tabela1[[#This Row],[Data Corrigida]],"MMM"))</f>
        <v>SET</v>
      </c>
      <c r="C237" t="s">
        <v>715</v>
      </c>
      <c r="D237" t="s">
        <v>716</v>
      </c>
      <c r="E237" t="s">
        <v>714</v>
      </c>
      <c r="F237" t="s">
        <v>19</v>
      </c>
      <c r="G237" s="5" t="s">
        <v>706</v>
      </c>
      <c r="H237" t="s">
        <v>20</v>
      </c>
      <c r="I237" t="s">
        <v>21</v>
      </c>
      <c r="J237" s="1">
        <v>160</v>
      </c>
      <c r="K237" s="1">
        <v>3006</v>
      </c>
      <c r="L237" t="s">
        <v>23</v>
      </c>
      <c r="M237" s="1">
        <v>29</v>
      </c>
      <c r="N237" s="48">
        <v>28.999999999999996</v>
      </c>
      <c r="O237" s="1">
        <v>15</v>
      </c>
      <c r="P237" s="48">
        <v>15</v>
      </c>
      <c r="Q237" s="1">
        <v>0</v>
      </c>
      <c r="R237" s="1">
        <v>0</v>
      </c>
      <c r="S237" s="1">
        <v>3</v>
      </c>
      <c r="T237" s="1">
        <v>3</v>
      </c>
      <c r="U237" s="1">
        <v>1</v>
      </c>
      <c r="V237" s="1">
        <v>1</v>
      </c>
      <c r="W237" s="1">
        <v>0</v>
      </c>
      <c r="X237" s="1">
        <v>0</v>
      </c>
      <c r="Y237" s="1">
        <v>2</v>
      </c>
      <c r="Z237" s="3">
        <v>0.625</v>
      </c>
      <c r="AA237" s="1">
        <v>9</v>
      </c>
      <c r="AB237" s="3">
        <v>5.625</v>
      </c>
      <c r="AC237" s="1">
        <v>0</v>
      </c>
      <c r="AD237" s="3">
        <v>0</v>
      </c>
      <c r="AE237" s="1">
        <v>1</v>
      </c>
      <c r="AF237" s="3">
        <v>0.625</v>
      </c>
      <c r="AG237" s="1">
        <v>8</v>
      </c>
      <c r="AH237" s="3">
        <v>5</v>
      </c>
      <c r="AI237" s="1" t="s">
        <v>22</v>
      </c>
      <c r="AJ237" s="1">
        <v>8</v>
      </c>
      <c r="AK237" s="3">
        <v>5</v>
      </c>
      <c r="AL237" s="1">
        <v>2</v>
      </c>
      <c r="AM237" s="3">
        <v>1.25</v>
      </c>
      <c r="AN237" s="1" t="s">
        <v>22</v>
      </c>
      <c r="AO237" s="1">
        <v>15</v>
      </c>
      <c r="AP237" s="3">
        <v>9.375</v>
      </c>
      <c r="AQ237" s="3" t="s">
        <v>22</v>
      </c>
      <c r="AR237" s="3" t="s">
        <v>22</v>
      </c>
      <c r="AS237" s="1">
        <v>7</v>
      </c>
      <c r="AT237" s="3">
        <v>4.375</v>
      </c>
      <c r="AU237" s="1">
        <v>2</v>
      </c>
      <c r="AV237" s="3">
        <v>1.25</v>
      </c>
      <c r="AW237" s="1" t="s">
        <v>22</v>
      </c>
      <c r="AX237" s="1">
        <v>18</v>
      </c>
      <c r="AY237" s="1">
        <v>0</v>
      </c>
      <c r="AZ237" s="1">
        <v>0</v>
      </c>
      <c r="BA237" s="1">
        <v>36</v>
      </c>
      <c r="BB237" s="1">
        <v>0</v>
      </c>
      <c r="BC237" s="1">
        <v>0</v>
      </c>
      <c r="BD237" s="1">
        <v>2</v>
      </c>
      <c r="BE237" s="54">
        <v>1.25</v>
      </c>
      <c r="BF237" s="6">
        <v>21</v>
      </c>
      <c r="BG237" s="6">
        <v>13</v>
      </c>
      <c r="BH237" s="1">
        <v>2</v>
      </c>
      <c r="BI237" s="6">
        <v>20</v>
      </c>
      <c r="BJ237" s="1" t="s">
        <v>22</v>
      </c>
      <c r="BK237" s="6">
        <v>0</v>
      </c>
      <c r="BL237" s="6">
        <v>0</v>
      </c>
      <c r="BM237" s="1">
        <v>2</v>
      </c>
      <c r="BN237" t="s">
        <v>24</v>
      </c>
      <c r="BO237">
        <v>1466</v>
      </c>
    </row>
    <row r="238" spans="1:67" x14ac:dyDescent="0.3">
      <c r="A238" s="4">
        <f>INT(Tabela1[[#This Row],[Data e Hora]])</f>
        <v>46279</v>
      </c>
      <c r="B238" s="4" t="str">
        <f>UPPER(TEXT(Tabela1[[#This Row],[Data Corrigida]],"MMM"))</f>
        <v>SET</v>
      </c>
      <c r="C238" t="s">
        <v>717</v>
      </c>
      <c r="D238" t="s">
        <v>718</v>
      </c>
      <c r="E238" t="s">
        <v>714</v>
      </c>
      <c r="F238" t="s">
        <v>19</v>
      </c>
      <c r="G238" s="5" t="s">
        <v>706</v>
      </c>
      <c r="H238" t="s">
        <v>20</v>
      </c>
      <c r="I238" t="s">
        <v>21</v>
      </c>
      <c r="J238" s="1">
        <v>155</v>
      </c>
      <c r="K238" s="1" t="s">
        <v>22</v>
      </c>
      <c r="L238" t="s">
        <v>23</v>
      </c>
      <c r="M238" s="1">
        <v>20</v>
      </c>
      <c r="N238" s="48">
        <v>20</v>
      </c>
      <c r="O238" s="1">
        <v>6</v>
      </c>
      <c r="P238" s="48">
        <v>6</v>
      </c>
      <c r="Q238" s="1">
        <v>0</v>
      </c>
      <c r="R238" s="1">
        <v>0</v>
      </c>
      <c r="S238" s="1">
        <v>3</v>
      </c>
      <c r="T238" s="1">
        <v>3</v>
      </c>
      <c r="U238" s="1">
        <v>1</v>
      </c>
      <c r="V238" s="1">
        <v>1</v>
      </c>
      <c r="W238" s="1">
        <v>0</v>
      </c>
      <c r="X238" s="1">
        <v>0</v>
      </c>
      <c r="Y238" s="1">
        <v>1</v>
      </c>
      <c r="Z238" s="3">
        <v>0.32258064516129031</v>
      </c>
      <c r="AA238" s="1">
        <v>2</v>
      </c>
      <c r="AB238" s="3">
        <v>1.2903225806451613</v>
      </c>
      <c r="AC238" s="1">
        <v>0</v>
      </c>
      <c r="AD238" s="3">
        <v>0</v>
      </c>
      <c r="AE238" s="1">
        <v>0</v>
      </c>
      <c r="AF238" s="3">
        <v>0</v>
      </c>
      <c r="AG238" s="1">
        <v>8</v>
      </c>
      <c r="AH238" s="3">
        <v>5.161290322580645</v>
      </c>
      <c r="AI238" s="1" t="s">
        <v>22</v>
      </c>
      <c r="AJ238" s="1">
        <v>6</v>
      </c>
      <c r="AK238" s="3">
        <v>3.870967741935484</v>
      </c>
      <c r="AL238" s="1">
        <v>3</v>
      </c>
      <c r="AM238" s="3">
        <v>1.935483870967742</v>
      </c>
      <c r="AN238" s="1" t="s">
        <v>22</v>
      </c>
      <c r="AO238" s="1">
        <v>10</v>
      </c>
      <c r="AP238" s="3">
        <v>6.4516129032258061</v>
      </c>
      <c r="AQ238" s="3" t="s">
        <v>22</v>
      </c>
      <c r="AR238" s="3" t="s">
        <v>22</v>
      </c>
      <c r="AS238" s="1">
        <v>7</v>
      </c>
      <c r="AT238" s="3">
        <v>4.5161290322580641</v>
      </c>
      <c r="AU238" s="1">
        <v>1</v>
      </c>
      <c r="AV238" s="3">
        <v>0.64516129032258063</v>
      </c>
      <c r="AW238" s="1" t="s">
        <v>22</v>
      </c>
      <c r="AX238" s="1">
        <v>18</v>
      </c>
      <c r="AY238" s="1">
        <v>0</v>
      </c>
      <c r="AZ238" s="1">
        <v>0</v>
      </c>
      <c r="BA238" s="1">
        <v>36</v>
      </c>
      <c r="BB238" s="1">
        <v>0</v>
      </c>
      <c r="BC238" s="1">
        <v>0</v>
      </c>
      <c r="BD238" s="1">
        <v>1</v>
      </c>
      <c r="BE238" s="54">
        <v>0.64516129032258063</v>
      </c>
      <c r="BF238" s="6">
        <v>24</v>
      </c>
      <c r="BG238" s="6">
        <v>14</v>
      </c>
      <c r="BH238" s="1">
        <v>2</v>
      </c>
      <c r="BI238" s="6">
        <v>20</v>
      </c>
      <c r="BJ238" s="1" t="s">
        <v>22</v>
      </c>
      <c r="BK238" s="1" t="s">
        <v>22</v>
      </c>
      <c r="BL238" s="1" t="s">
        <v>22</v>
      </c>
      <c r="BM238" s="1" t="s">
        <v>22</v>
      </c>
      <c r="BN238" t="s">
        <v>24</v>
      </c>
      <c r="BO238">
        <v>1429</v>
      </c>
    </row>
    <row r="239" spans="1:67" x14ac:dyDescent="0.3">
      <c r="A239" s="4">
        <f>INT(Tabela1[[#This Row],[Data e Hora]])</f>
        <v>46279</v>
      </c>
      <c r="B239" s="4" t="str">
        <f>UPPER(TEXT(Tabela1[[#This Row],[Data Corrigida]],"MMM"))</f>
        <v>SET</v>
      </c>
      <c r="C239" t="s">
        <v>719</v>
      </c>
      <c r="D239" t="s">
        <v>720</v>
      </c>
      <c r="E239" t="s">
        <v>721</v>
      </c>
      <c r="F239" t="s">
        <v>19</v>
      </c>
      <c r="G239" s="5" t="s">
        <v>706</v>
      </c>
      <c r="H239" t="s">
        <v>20</v>
      </c>
      <c r="I239" t="s">
        <v>21</v>
      </c>
      <c r="J239" s="1">
        <v>130</v>
      </c>
      <c r="K239" s="1">
        <v>2543</v>
      </c>
      <c r="L239" t="s">
        <v>23</v>
      </c>
      <c r="M239" s="1">
        <v>25</v>
      </c>
      <c r="N239" s="48">
        <v>25</v>
      </c>
      <c r="O239" s="1">
        <v>10</v>
      </c>
      <c r="P239" s="48">
        <v>10</v>
      </c>
      <c r="Q239" s="1">
        <v>0</v>
      </c>
      <c r="R239" s="1">
        <v>0</v>
      </c>
      <c r="S239" s="1">
        <v>1</v>
      </c>
      <c r="T239" s="1">
        <v>1</v>
      </c>
      <c r="U239" s="1">
        <v>2</v>
      </c>
      <c r="V239" s="1">
        <v>2</v>
      </c>
      <c r="W239" s="1">
        <v>0</v>
      </c>
      <c r="X239" s="1">
        <v>0</v>
      </c>
      <c r="Y239" s="1">
        <v>2</v>
      </c>
      <c r="Z239" s="3">
        <v>0.76923076923076927</v>
      </c>
      <c r="AA239" s="1">
        <v>21</v>
      </c>
      <c r="AB239" s="3">
        <v>16.153846153846153</v>
      </c>
      <c r="AC239" s="1">
        <v>0</v>
      </c>
      <c r="AD239" s="3">
        <v>0</v>
      </c>
      <c r="AE239" s="1">
        <v>2</v>
      </c>
      <c r="AF239" s="3">
        <v>1.5384615384615385</v>
      </c>
      <c r="AG239" s="1">
        <v>7</v>
      </c>
      <c r="AH239" s="3">
        <v>5.384615384615385</v>
      </c>
      <c r="AI239" s="1" t="s">
        <v>22</v>
      </c>
      <c r="AJ239" s="1">
        <v>6</v>
      </c>
      <c r="AK239" s="3">
        <v>4.6153846153846159</v>
      </c>
      <c r="AL239" s="1">
        <v>4</v>
      </c>
      <c r="AM239" s="3">
        <v>3.0769230769230771</v>
      </c>
      <c r="AN239" s="1" t="s">
        <v>22</v>
      </c>
      <c r="AO239" s="1">
        <v>15</v>
      </c>
      <c r="AP239" s="3">
        <v>11.538461538461538</v>
      </c>
      <c r="AQ239" s="3" t="s">
        <v>22</v>
      </c>
      <c r="AR239" s="3" t="s">
        <v>22</v>
      </c>
      <c r="AS239" s="1">
        <v>9</v>
      </c>
      <c r="AT239" s="3">
        <v>6.9230769230769234</v>
      </c>
      <c r="AU239" s="1">
        <v>3</v>
      </c>
      <c r="AV239" s="3">
        <v>2.3076923076923079</v>
      </c>
      <c r="AW239" s="1" t="s">
        <v>22</v>
      </c>
      <c r="AX239" s="1">
        <v>19</v>
      </c>
      <c r="AY239" s="1">
        <v>0</v>
      </c>
      <c r="AZ239" s="1">
        <v>0</v>
      </c>
      <c r="BA239" s="1">
        <v>38</v>
      </c>
      <c r="BB239" s="1">
        <v>0</v>
      </c>
      <c r="BC239" s="1">
        <v>0</v>
      </c>
      <c r="BD239" s="1">
        <v>2</v>
      </c>
      <c r="BE239" s="54">
        <v>1.5384615384615385</v>
      </c>
      <c r="BF239" s="6">
        <v>21</v>
      </c>
      <c r="BG239" s="6">
        <v>34</v>
      </c>
      <c r="BH239" s="1">
        <v>1</v>
      </c>
      <c r="BI239" s="6">
        <v>10</v>
      </c>
      <c r="BJ239" s="1" t="s">
        <v>22</v>
      </c>
      <c r="BK239" s="1" t="s">
        <v>22</v>
      </c>
      <c r="BL239" s="1" t="s">
        <v>22</v>
      </c>
      <c r="BM239" s="1" t="s">
        <v>22</v>
      </c>
      <c r="BN239" t="s">
        <v>24</v>
      </c>
      <c r="BO239">
        <v>1977</v>
      </c>
    </row>
    <row r="240" spans="1:67" x14ac:dyDescent="0.3">
      <c r="A240" s="4">
        <f>INT(Tabela1[[#This Row],[Data e Hora]])</f>
        <v>46280</v>
      </c>
      <c r="B240" s="4" t="str">
        <f>UPPER(TEXT(Tabela1[[#This Row],[Data Corrigida]],"MMM"))</f>
        <v>SET</v>
      </c>
      <c r="C240" s="57" t="s">
        <v>722</v>
      </c>
      <c r="D240" t="s">
        <v>723</v>
      </c>
      <c r="E240" t="s">
        <v>724</v>
      </c>
      <c r="F240" t="s">
        <v>19</v>
      </c>
      <c r="G240" s="5" t="s">
        <v>725</v>
      </c>
      <c r="H240" t="s">
        <v>20</v>
      </c>
      <c r="I240" t="s">
        <v>33</v>
      </c>
      <c r="J240" s="1">
        <v>130</v>
      </c>
      <c r="K240" s="1">
        <v>2968</v>
      </c>
      <c r="L240" t="s">
        <v>34</v>
      </c>
      <c r="M240" s="1">
        <v>21</v>
      </c>
      <c r="N240" s="48">
        <v>21</v>
      </c>
      <c r="O240" s="1">
        <v>5</v>
      </c>
      <c r="P240" s="48">
        <v>5</v>
      </c>
      <c r="Q240" s="1">
        <v>0</v>
      </c>
      <c r="R240" s="1">
        <v>0</v>
      </c>
      <c r="S240" s="1">
        <v>1</v>
      </c>
      <c r="T240" s="1">
        <v>1</v>
      </c>
      <c r="U240" s="1">
        <v>0</v>
      </c>
      <c r="V240" s="1">
        <v>0</v>
      </c>
      <c r="W240" s="1">
        <v>0</v>
      </c>
      <c r="X240" s="1">
        <v>0</v>
      </c>
      <c r="Y240" s="1">
        <v>5</v>
      </c>
      <c r="Z240" s="3">
        <v>1.9230769230769231</v>
      </c>
      <c r="AA240" s="1">
        <v>5</v>
      </c>
      <c r="AB240" s="3">
        <v>3.8461538461538463</v>
      </c>
      <c r="AC240" s="1">
        <v>0</v>
      </c>
      <c r="AD240" s="3">
        <v>0</v>
      </c>
      <c r="AE240" s="1">
        <v>1</v>
      </c>
      <c r="AF240" s="3">
        <v>0.76923076923076927</v>
      </c>
      <c r="AG240" s="1">
        <v>2</v>
      </c>
      <c r="AH240" s="3">
        <v>1.5384615384615385</v>
      </c>
      <c r="AI240" s="1" t="s">
        <v>22</v>
      </c>
      <c r="AJ240" s="1">
        <v>0</v>
      </c>
      <c r="AK240" s="3">
        <v>0</v>
      </c>
      <c r="AL240" s="1">
        <v>0</v>
      </c>
      <c r="AM240" s="3">
        <v>0</v>
      </c>
      <c r="AN240" s="1" t="s">
        <v>22</v>
      </c>
      <c r="AO240" s="1">
        <v>6</v>
      </c>
      <c r="AP240" s="3">
        <v>4.6153846153846159</v>
      </c>
      <c r="AQ240" s="3">
        <v>4</v>
      </c>
      <c r="AR240" s="3">
        <v>3.0769230769230771</v>
      </c>
      <c r="AS240" s="1">
        <v>4</v>
      </c>
      <c r="AT240" s="3">
        <v>3.0769230769230771</v>
      </c>
      <c r="AU240" s="1">
        <v>0</v>
      </c>
      <c r="AV240" s="3">
        <v>0</v>
      </c>
      <c r="AW240" s="1" t="s">
        <v>22</v>
      </c>
      <c r="AX240" s="1">
        <v>9</v>
      </c>
      <c r="AY240" s="1">
        <v>0</v>
      </c>
      <c r="AZ240" s="1">
        <v>0</v>
      </c>
      <c r="BA240" s="1">
        <v>18</v>
      </c>
      <c r="BB240" s="1">
        <v>0</v>
      </c>
      <c r="BC240" s="1">
        <v>0</v>
      </c>
      <c r="BD240" s="1">
        <v>0</v>
      </c>
      <c r="BE240" s="54">
        <v>0</v>
      </c>
      <c r="BF240" s="6">
        <v>10</v>
      </c>
      <c r="BG240" s="6">
        <v>8</v>
      </c>
      <c r="BH240" s="1">
        <v>0</v>
      </c>
      <c r="BI240" s="6">
        <v>0</v>
      </c>
      <c r="BJ240" s="1" t="s">
        <v>22</v>
      </c>
      <c r="BK240" s="6">
        <v>4</v>
      </c>
      <c r="BL240" s="6">
        <v>0</v>
      </c>
      <c r="BM240" s="1">
        <v>0</v>
      </c>
      <c r="BN240" t="s">
        <v>24</v>
      </c>
      <c r="BO240">
        <v>729</v>
      </c>
    </row>
    <row r="241" spans="1:67" x14ac:dyDescent="0.3">
      <c r="A241" s="4">
        <f>INT(Tabela1[[#This Row],[Data e Hora]])</f>
        <v>46280</v>
      </c>
      <c r="B241" s="4" t="str">
        <f>UPPER(TEXT(Tabela1[[#This Row],[Data Corrigida]],"MMM"))</f>
        <v>SET</v>
      </c>
      <c r="C241" t="s">
        <v>726</v>
      </c>
      <c r="D241" t="s">
        <v>727</v>
      </c>
      <c r="E241" t="s">
        <v>728</v>
      </c>
      <c r="F241" t="s">
        <v>19</v>
      </c>
      <c r="G241" s="5" t="s">
        <v>725</v>
      </c>
      <c r="H241" t="s">
        <v>20</v>
      </c>
      <c r="I241" t="s">
        <v>33</v>
      </c>
      <c r="J241" s="1">
        <v>130</v>
      </c>
      <c r="K241" s="1">
        <v>2813</v>
      </c>
      <c r="L241" t="s">
        <v>34</v>
      </c>
      <c r="M241" s="1">
        <v>19</v>
      </c>
      <c r="N241" s="48">
        <v>19</v>
      </c>
      <c r="O241" s="1">
        <v>6</v>
      </c>
      <c r="P241" s="48">
        <v>6</v>
      </c>
      <c r="Q241" s="1">
        <v>0</v>
      </c>
      <c r="R241" s="1">
        <v>0</v>
      </c>
      <c r="S241" s="1">
        <v>1</v>
      </c>
      <c r="T241" s="1">
        <v>1</v>
      </c>
      <c r="U241" s="1">
        <v>2</v>
      </c>
      <c r="V241" s="1">
        <v>2</v>
      </c>
      <c r="W241" s="1">
        <v>0</v>
      </c>
      <c r="X241" s="1">
        <v>0</v>
      </c>
      <c r="Y241" s="1">
        <v>7</v>
      </c>
      <c r="Z241" s="3">
        <v>2.6923076923076925</v>
      </c>
      <c r="AA241" s="1">
        <v>12</v>
      </c>
      <c r="AB241" s="3">
        <v>9.2307692307692317</v>
      </c>
      <c r="AC241" s="1">
        <v>0</v>
      </c>
      <c r="AD241" s="3">
        <v>0</v>
      </c>
      <c r="AE241" s="1">
        <v>0</v>
      </c>
      <c r="AF241" s="3">
        <v>0</v>
      </c>
      <c r="AG241" s="1">
        <v>3</v>
      </c>
      <c r="AH241" s="3">
        <v>2.3076923076923079</v>
      </c>
      <c r="AI241" s="1" t="s">
        <v>22</v>
      </c>
      <c r="AJ241" s="1">
        <v>0</v>
      </c>
      <c r="AK241" s="3">
        <v>0</v>
      </c>
      <c r="AL241" s="1">
        <v>0</v>
      </c>
      <c r="AM241" s="3">
        <v>0</v>
      </c>
      <c r="AN241" s="1" t="s">
        <v>22</v>
      </c>
      <c r="AO241" s="1">
        <v>8</v>
      </c>
      <c r="AP241" s="3">
        <v>6.1538461538461542</v>
      </c>
      <c r="AQ241" s="3">
        <v>1</v>
      </c>
      <c r="AR241" s="3">
        <v>0.76923076923076927</v>
      </c>
      <c r="AS241" s="1">
        <v>2</v>
      </c>
      <c r="AT241" s="3">
        <v>1.5384615384615385</v>
      </c>
      <c r="AU241" s="1">
        <v>0</v>
      </c>
      <c r="AV241" s="3">
        <v>0</v>
      </c>
      <c r="AW241" s="1" t="s">
        <v>22</v>
      </c>
      <c r="AX241" s="1">
        <v>9</v>
      </c>
      <c r="AY241" s="1">
        <v>1</v>
      </c>
      <c r="AZ241" s="1">
        <v>0</v>
      </c>
      <c r="BA241" s="1">
        <v>18</v>
      </c>
      <c r="BB241" s="1">
        <v>2</v>
      </c>
      <c r="BC241" s="1">
        <v>0</v>
      </c>
      <c r="BD241" s="1">
        <v>0</v>
      </c>
      <c r="BE241" s="54">
        <v>0</v>
      </c>
      <c r="BF241" s="6">
        <v>12</v>
      </c>
      <c r="BG241" s="6">
        <v>17</v>
      </c>
      <c r="BH241" s="1">
        <v>0</v>
      </c>
      <c r="BI241" s="6">
        <v>0</v>
      </c>
      <c r="BJ241" s="1" t="s">
        <v>22</v>
      </c>
      <c r="BK241" s="6">
        <v>3</v>
      </c>
      <c r="BL241" s="6">
        <v>0</v>
      </c>
      <c r="BM241" s="1">
        <v>0</v>
      </c>
      <c r="BN241" t="s">
        <v>24</v>
      </c>
      <c r="BO241">
        <v>7030</v>
      </c>
    </row>
    <row r="242" spans="1:67" x14ac:dyDescent="0.3">
      <c r="A242" s="4">
        <f>INT(Tabela1[[#This Row],[Data e Hora]])</f>
        <v>46280</v>
      </c>
      <c r="B242" s="4" t="str">
        <f>UPPER(TEXT(Tabela1[[#This Row],[Data Corrigida]],"MMM"))</f>
        <v>SET</v>
      </c>
      <c r="C242" t="s">
        <v>729</v>
      </c>
      <c r="D242" t="s">
        <v>730</v>
      </c>
      <c r="E242" t="s">
        <v>728</v>
      </c>
      <c r="F242" t="s">
        <v>19</v>
      </c>
      <c r="G242" s="5" t="s">
        <v>725</v>
      </c>
      <c r="H242" t="s">
        <v>20</v>
      </c>
      <c r="I242" t="s">
        <v>33</v>
      </c>
      <c r="J242" s="1">
        <v>130</v>
      </c>
      <c r="K242" s="1">
        <v>2945</v>
      </c>
      <c r="L242" t="s">
        <v>34</v>
      </c>
      <c r="M242" s="1">
        <v>8</v>
      </c>
      <c r="N242" s="48">
        <v>8</v>
      </c>
      <c r="O242" s="1">
        <v>6</v>
      </c>
      <c r="P242" s="48">
        <v>6</v>
      </c>
      <c r="Q242" s="1">
        <v>0</v>
      </c>
      <c r="R242" s="1">
        <v>0</v>
      </c>
      <c r="S242" s="1">
        <v>2</v>
      </c>
      <c r="T242" s="1">
        <v>2</v>
      </c>
      <c r="U242" s="1">
        <v>1</v>
      </c>
      <c r="V242" s="1">
        <v>1</v>
      </c>
      <c r="W242" s="1">
        <v>0</v>
      </c>
      <c r="X242" s="1">
        <v>0</v>
      </c>
      <c r="Y242" s="1">
        <v>6</v>
      </c>
      <c r="Z242" s="3">
        <v>2.3076923076923079</v>
      </c>
      <c r="AA242" s="1">
        <v>2</v>
      </c>
      <c r="AB242" s="3">
        <v>1.5384615384615385</v>
      </c>
      <c r="AC242" s="1">
        <v>0</v>
      </c>
      <c r="AD242" s="3">
        <v>0</v>
      </c>
      <c r="AE242" s="1">
        <v>1</v>
      </c>
      <c r="AF242" s="3">
        <v>0.76923076923076927</v>
      </c>
      <c r="AG242" s="1">
        <v>1</v>
      </c>
      <c r="AH242" s="3">
        <v>0.76923076923076927</v>
      </c>
      <c r="AI242" s="1" t="s">
        <v>22</v>
      </c>
      <c r="AJ242" s="1">
        <v>0</v>
      </c>
      <c r="AK242" s="3">
        <v>0</v>
      </c>
      <c r="AL242" s="1">
        <v>0</v>
      </c>
      <c r="AM242" s="3">
        <v>0</v>
      </c>
      <c r="AN242" s="1" t="s">
        <v>22</v>
      </c>
      <c r="AO242" s="1">
        <v>18</v>
      </c>
      <c r="AP242" s="3">
        <v>13.846153846153847</v>
      </c>
      <c r="AQ242" s="3">
        <v>0</v>
      </c>
      <c r="AR242" s="3">
        <v>0</v>
      </c>
      <c r="AS242" s="1">
        <v>4</v>
      </c>
      <c r="AT242" s="3">
        <v>3.0769230769230771</v>
      </c>
      <c r="AU242" s="1">
        <v>0</v>
      </c>
      <c r="AV242" s="3">
        <v>0</v>
      </c>
      <c r="AW242" s="1" t="s">
        <v>22</v>
      </c>
      <c r="AX242" s="1">
        <v>8</v>
      </c>
      <c r="AY242" s="1">
        <v>0</v>
      </c>
      <c r="AZ242" s="1">
        <v>0</v>
      </c>
      <c r="BA242" s="1">
        <v>16</v>
      </c>
      <c r="BB242" s="1">
        <v>0</v>
      </c>
      <c r="BC242" s="1">
        <v>0</v>
      </c>
      <c r="BD242" s="1">
        <v>0</v>
      </c>
      <c r="BE242" s="54">
        <v>0</v>
      </c>
      <c r="BF242" s="6">
        <v>16</v>
      </c>
      <c r="BG242" s="6">
        <v>17</v>
      </c>
      <c r="BH242" s="1">
        <v>0</v>
      </c>
      <c r="BI242" s="6">
        <v>0</v>
      </c>
      <c r="BJ242" s="1" t="s">
        <v>22</v>
      </c>
      <c r="BK242" s="6">
        <v>3</v>
      </c>
      <c r="BL242" s="6">
        <v>0</v>
      </c>
      <c r="BM242" s="1">
        <v>0</v>
      </c>
      <c r="BN242" t="s">
        <v>24</v>
      </c>
      <c r="BO242">
        <v>11500</v>
      </c>
    </row>
    <row r="243" spans="1:67" x14ac:dyDescent="0.3">
      <c r="A243" s="4">
        <f>INT(Tabela1[[#This Row],[Data e Hora]])</f>
        <v>46280</v>
      </c>
      <c r="B243" s="4" t="str">
        <f>UPPER(TEXT(Tabela1[[#This Row],[Data Corrigida]],"MMM"))</f>
        <v>SET</v>
      </c>
      <c r="C243" t="s">
        <v>731</v>
      </c>
      <c r="D243" t="s">
        <v>732</v>
      </c>
      <c r="E243" t="s">
        <v>733</v>
      </c>
      <c r="F243" t="s">
        <v>19</v>
      </c>
      <c r="G243" s="5" t="s">
        <v>725</v>
      </c>
      <c r="H243" t="s">
        <v>20</v>
      </c>
      <c r="I243" t="s">
        <v>21</v>
      </c>
      <c r="J243" s="1">
        <v>150</v>
      </c>
      <c r="K243" s="1">
        <v>3052</v>
      </c>
      <c r="L243" t="s">
        <v>23</v>
      </c>
      <c r="M243" s="1">
        <v>36</v>
      </c>
      <c r="N243" s="48">
        <v>36</v>
      </c>
      <c r="O243" s="1">
        <v>12</v>
      </c>
      <c r="P243" s="48">
        <v>12</v>
      </c>
      <c r="Q243" s="1">
        <v>0</v>
      </c>
      <c r="R243" s="1">
        <v>0</v>
      </c>
      <c r="S243" s="1">
        <v>2</v>
      </c>
      <c r="T243" s="1">
        <v>2</v>
      </c>
      <c r="U243" s="1">
        <v>1</v>
      </c>
      <c r="V243" s="1">
        <v>1</v>
      </c>
      <c r="W243" s="1">
        <v>0</v>
      </c>
      <c r="X243" s="1">
        <v>0</v>
      </c>
      <c r="Y243" s="1">
        <v>6</v>
      </c>
      <c r="Z243" s="3">
        <v>2</v>
      </c>
      <c r="AA243" s="1">
        <v>8</v>
      </c>
      <c r="AB243" s="3">
        <v>5.3333333333333339</v>
      </c>
      <c r="AC243" s="1">
        <v>0</v>
      </c>
      <c r="AD243" s="3">
        <v>0</v>
      </c>
      <c r="AE243" s="1">
        <v>1</v>
      </c>
      <c r="AF243" s="3">
        <v>0.66666666666666674</v>
      </c>
      <c r="AG243" s="1">
        <v>7</v>
      </c>
      <c r="AH243" s="3">
        <v>4.666666666666667</v>
      </c>
      <c r="AI243" s="1" t="s">
        <v>22</v>
      </c>
      <c r="AJ243" s="1">
        <v>6</v>
      </c>
      <c r="AK243" s="3">
        <v>4</v>
      </c>
      <c r="AL243" s="1">
        <v>3</v>
      </c>
      <c r="AM243" s="3">
        <v>2</v>
      </c>
      <c r="AN243" s="1" t="s">
        <v>22</v>
      </c>
      <c r="AO243" s="1">
        <v>8</v>
      </c>
      <c r="AP243" s="3">
        <v>5.3333333333333339</v>
      </c>
      <c r="AQ243" s="3">
        <v>1</v>
      </c>
      <c r="AR243" s="3">
        <v>0.66666666666666674</v>
      </c>
      <c r="AS243" s="1">
        <v>5</v>
      </c>
      <c r="AT243" s="3">
        <v>3.3333333333333335</v>
      </c>
      <c r="AU243" s="1">
        <v>1</v>
      </c>
      <c r="AV243" s="3">
        <v>0.66666666666666674</v>
      </c>
      <c r="AW243" s="1" t="s">
        <v>22</v>
      </c>
      <c r="AX243" s="1">
        <v>18</v>
      </c>
      <c r="AY243" s="1">
        <v>0</v>
      </c>
      <c r="AZ243" s="1">
        <v>0</v>
      </c>
      <c r="BA243" s="1">
        <v>36</v>
      </c>
      <c r="BB243" s="1">
        <v>0</v>
      </c>
      <c r="BC243" s="1">
        <v>0</v>
      </c>
      <c r="BD243" s="1">
        <v>1</v>
      </c>
      <c r="BE243" s="54">
        <v>0.66666666666666674</v>
      </c>
      <c r="BF243" s="6">
        <v>25</v>
      </c>
      <c r="BG243" s="6">
        <v>17</v>
      </c>
      <c r="BH243" s="1">
        <v>0</v>
      </c>
      <c r="BI243" s="6">
        <v>0</v>
      </c>
      <c r="BJ243" s="1" t="s">
        <v>22</v>
      </c>
      <c r="BK243" s="1" t="s">
        <v>22</v>
      </c>
      <c r="BL243" s="1" t="s">
        <v>22</v>
      </c>
      <c r="BM243" s="1" t="s">
        <v>22</v>
      </c>
      <c r="BN243" t="s">
        <v>24</v>
      </c>
      <c r="BO243">
        <v>2396</v>
      </c>
    </row>
    <row r="244" spans="1:67" x14ac:dyDescent="0.3">
      <c r="A244" s="4">
        <f>INT(Tabela1[[#This Row],[Data e Hora]])</f>
        <v>46280</v>
      </c>
      <c r="B244" s="4" t="str">
        <f>UPPER(TEXT(Tabela1[[#This Row],[Data Corrigida]],"MMM"))</f>
        <v>SET</v>
      </c>
      <c r="C244" t="s">
        <v>734</v>
      </c>
      <c r="D244" t="s">
        <v>735</v>
      </c>
      <c r="E244" t="s">
        <v>736</v>
      </c>
      <c r="F244" t="s">
        <v>19</v>
      </c>
      <c r="G244" s="5" t="s">
        <v>725</v>
      </c>
      <c r="H244" t="s">
        <v>20</v>
      </c>
      <c r="I244" t="s">
        <v>21</v>
      </c>
      <c r="J244" s="1">
        <v>150</v>
      </c>
      <c r="K244" s="1">
        <v>2980</v>
      </c>
      <c r="L244" t="s">
        <v>23</v>
      </c>
      <c r="M244" s="1">
        <v>35</v>
      </c>
      <c r="N244" s="48">
        <v>35</v>
      </c>
      <c r="O244" s="1">
        <v>17</v>
      </c>
      <c r="P244" s="48">
        <v>17</v>
      </c>
      <c r="Q244" s="1">
        <v>0</v>
      </c>
      <c r="R244" s="1">
        <v>0</v>
      </c>
      <c r="S244" s="1">
        <v>1</v>
      </c>
      <c r="T244" s="1">
        <v>1</v>
      </c>
      <c r="U244" s="1">
        <v>0</v>
      </c>
      <c r="V244" s="1">
        <v>0</v>
      </c>
      <c r="W244" s="1">
        <v>0</v>
      </c>
      <c r="X244" s="1">
        <v>0</v>
      </c>
      <c r="Y244" s="1">
        <v>3</v>
      </c>
      <c r="Z244" s="3">
        <v>1</v>
      </c>
      <c r="AA244" s="1">
        <v>4</v>
      </c>
      <c r="AB244" s="3">
        <v>2.666666666666667</v>
      </c>
      <c r="AC244" s="1">
        <v>0</v>
      </c>
      <c r="AD244" s="3">
        <v>0</v>
      </c>
      <c r="AE244" s="1">
        <v>0</v>
      </c>
      <c r="AF244" s="3">
        <v>0</v>
      </c>
      <c r="AG244" s="1">
        <v>5</v>
      </c>
      <c r="AH244" s="3">
        <v>3.3333333333333335</v>
      </c>
      <c r="AI244" s="1" t="s">
        <v>22</v>
      </c>
      <c r="AJ244" s="1">
        <v>5</v>
      </c>
      <c r="AK244" s="3">
        <v>3.3333333333333335</v>
      </c>
      <c r="AL244" s="1">
        <v>3</v>
      </c>
      <c r="AM244" s="3">
        <v>2</v>
      </c>
      <c r="AN244" s="1" t="s">
        <v>22</v>
      </c>
      <c r="AO244" s="1">
        <v>7</v>
      </c>
      <c r="AP244" s="3">
        <v>4.666666666666667</v>
      </c>
      <c r="AQ244" s="3">
        <v>2</v>
      </c>
      <c r="AR244" s="3">
        <v>1.3333333333333335</v>
      </c>
      <c r="AS244" s="1">
        <v>6</v>
      </c>
      <c r="AT244" s="3">
        <v>4</v>
      </c>
      <c r="AU244" s="1">
        <v>1</v>
      </c>
      <c r="AV244" s="3">
        <v>0.66666666666666674</v>
      </c>
      <c r="AW244" s="1" t="s">
        <v>22</v>
      </c>
      <c r="AX244" s="1">
        <v>19</v>
      </c>
      <c r="AY244" s="1">
        <v>0</v>
      </c>
      <c r="AZ244" s="1">
        <v>0</v>
      </c>
      <c r="BA244" s="1">
        <v>38</v>
      </c>
      <c r="BB244" s="1">
        <v>0</v>
      </c>
      <c r="BC244" s="1">
        <v>0</v>
      </c>
      <c r="BD244" s="1">
        <v>1</v>
      </c>
      <c r="BE244" s="54">
        <v>0.66666666666666674</v>
      </c>
      <c r="BF244" s="6">
        <v>21</v>
      </c>
      <c r="BG244" s="6">
        <v>12</v>
      </c>
      <c r="BH244" s="1">
        <v>0</v>
      </c>
      <c r="BI244" s="6">
        <v>0</v>
      </c>
      <c r="BJ244" s="1" t="s">
        <v>22</v>
      </c>
      <c r="BK244" s="6">
        <v>1</v>
      </c>
      <c r="BL244" s="6">
        <v>0</v>
      </c>
      <c r="BM244" s="1">
        <v>1</v>
      </c>
      <c r="BN244" t="s">
        <v>24</v>
      </c>
      <c r="BO244">
        <v>2457</v>
      </c>
    </row>
    <row r="245" spans="1:67" x14ac:dyDescent="0.3">
      <c r="A245" s="4">
        <f>INT(Tabela1[[#This Row],[Data e Hora]])</f>
        <v>46280</v>
      </c>
      <c r="B245" s="4" t="str">
        <f>UPPER(TEXT(Tabela1[[#This Row],[Data Corrigida]],"MMM"))</f>
        <v>SET</v>
      </c>
      <c r="C245" t="s">
        <v>737</v>
      </c>
      <c r="D245" t="s">
        <v>738</v>
      </c>
      <c r="E245" t="s">
        <v>736</v>
      </c>
      <c r="F245" t="s">
        <v>19</v>
      </c>
      <c r="G245" s="5" t="s">
        <v>725</v>
      </c>
      <c r="H245" t="s">
        <v>20</v>
      </c>
      <c r="I245" t="s">
        <v>21</v>
      </c>
      <c r="J245" s="1">
        <v>160</v>
      </c>
      <c r="K245" s="1">
        <v>2956</v>
      </c>
      <c r="L245" t="s">
        <v>23</v>
      </c>
      <c r="M245" s="1">
        <v>49</v>
      </c>
      <c r="N245" s="48">
        <v>49</v>
      </c>
      <c r="O245" s="1">
        <v>26</v>
      </c>
      <c r="P245" s="48">
        <v>26</v>
      </c>
      <c r="Q245" s="1">
        <v>0</v>
      </c>
      <c r="R245" s="1">
        <v>0</v>
      </c>
      <c r="S245" s="1">
        <v>1</v>
      </c>
      <c r="T245" s="1">
        <v>1</v>
      </c>
      <c r="U245" s="1">
        <v>1</v>
      </c>
      <c r="V245" s="1">
        <v>1</v>
      </c>
      <c r="W245" s="1">
        <v>0</v>
      </c>
      <c r="X245" s="1">
        <v>0</v>
      </c>
      <c r="Y245" s="1">
        <v>1</v>
      </c>
      <c r="Z245" s="3">
        <v>0.3125</v>
      </c>
      <c r="AA245" s="1">
        <v>27</v>
      </c>
      <c r="AB245" s="3">
        <v>16.875</v>
      </c>
      <c r="AC245" s="1">
        <v>0</v>
      </c>
      <c r="AD245" s="3">
        <v>0</v>
      </c>
      <c r="AE245" s="1">
        <v>2</v>
      </c>
      <c r="AF245" s="3">
        <v>1.25</v>
      </c>
      <c r="AG245" s="1">
        <v>6</v>
      </c>
      <c r="AH245" s="3">
        <v>3.75</v>
      </c>
      <c r="AI245" s="1" t="s">
        <v>22</v>
      </c>
      <c r="AJ245" s="1">
        <v>4</v>
      </c>
      <c r="AK245" s="3">
        <v>2.5</v>
      </c>
      <c r="AL245" s="1">
        <v>2</v>
      </c>
      <c r="AM245" s="3">
        <v>1.25</v>
      </c>
      <c r="AN245" s="1" t="s">
        <v>22</v>
      </c>
      <c r="AO245" s="1">
        <v>12</v>
      </c>
      <c r="AP245" s="3">
        <v>7.5</v>
      </c>
      <c r="AQ245" s="3">
        <v>3</v>
      </c>
      <c r="AR245" s="3">
        <v>1.875</v>
      </c>
      <c r="AS245" s="1">
        <v>6</v>
      </c>
      <c r="AT245" s="3">
        <v>3.75</v>
      </c>
      <c r="AU245" s="1">
        <v>1</v>
      </c>
      <c r="AV245" s="3">
        <v>0.625</v>
      </c>
      <c r="AW245" s="1" t="s">
        <v>22</v>
      </c>
      <c r="AX245" s="1">
        <v>20</v>
      </c>
      <c r="AY245" s="1">
        <v>0</v>
      </c>
      <c r="AZ245" s="1">
        <v>0</v>
      </c>
      <c r="BA245" s="1">
        <v>40</v>
      </c>
      <c r="BB245" s="1">
        <v>0</v>
      </c>
      <c r="BC245" s="1">
        <v>0</v>
      </c>
      <c r="BD245" s="1">
        <v>1</v>
      </c>
      <c r="BE245" s="54">
        <v>0.625</v>
      </c>
      <c r="BF245" s="6">
        <v>22</v>
      </c>
      <c r="BG245" s="6">
        <v>15</v>
      </c>
      <c r="BH245" s="1">
        <v>1</v>
      </c>
      <c r="BI245" s="6">
        <v>10</v>
      </c>
      <c r="BJ245" s="1" t="s">
        <v>22</v>
      </c>
      <c r="BK245" s="1" t="s">
        <v>22</v>
      </c>
      <c r="BL245" s="1" t="s">
        <v>22</v>
      </c>
      <c r="BM245" s="1" t="s">
        <v>22</v>
      </c>
      <c r="BN245" t="s">
        <v>24</v>
      </c>
      <c r="BO245">
        <v>2394</v>
      </c>
    </row>
    <row r="246" spans="1:67" x14ac:dyDescent="0.3">
      <c r="A246" s="4">
        <f>INT(Tabela1[[#This Row],[Data e Hora]])</f>
        <v>46280</v>
      </c>
      <c r="B246" s="4" t="str">
        <f>UPPER(TEXT(Tabela1[[#This Row],[Data Corrigida]],"MMM"))</f>
        <v>SET</v>
      </c>
      <c r="C246" t="s">
        <v>739</v>
      </c>
      <c r="D246" t="s">
        <v>740</v>
      </c>
      <c r="E246" t="s">
        <v>736</v>
      </c>
      <c r="F246" t="s">
        <v>19</v>
      </c>
      <c r="G246" s="5" t="s">
        <v>725</v>
      </c>
      <c r="H246" t="s">
        <v>20</v>
      </c>
      <c r="I246" t="s">
        <v>21</v>
      </c>
      <c r="J246" s="1">
        <v>160</v>
      </c>
      <c r="K246" s="1">
        <v>2900</v>
      </c>
      <c r="L246" t="s">
        <v>23</v>
      </c>
      <c r="M246" s="1">
        <v>33</v>
      </c>
      <c r="N246" s="48">
        <v>33</v>
      </c>
      <c r="O246" s="1">
        <v>17</v>
      </c>
      <c r="P246" s="48">
        <v>17</v>
      </c>
      <c r="Q246" s="1">
        <v>0</v>
      </c>
      <c r="R246" s="1">
        <v>0</v>
      </c>
      <c r="S246" s="1">
        <v>2</v>
      </c>
      <c r="T246" s="1">
        <v>2</v>
      </c>
      <c r="U246" s="1">
        <v>1</v>
      </c>
      <c r="V246" s="1">
        <v>1</v>
      </c>
      <c r="W246" s="1">
        <v>0</v>
      </c>
      <c r="X246" s="1">
        <v>0</v>
      </c>
      <c r="Y246" s="1">
        <v>2</v>
      </c>
      <c r="Z246" s="3">
        <v>0.625</v>
      </c>
      <c r="AA246" s="1">
        <v>9</v>
      </c>
      <c r="AB246" s="3">
        <v>5.625</v>
      </c>
      <c r="AC246" s="1">
        <v>0</v>
      </c>
      <c r="AD246" s="3">
        <v>0</v>
      </c>
      <c r="AE246" s="1">
        <v>0</v>
      </c>
      <c r="AF246" s="3">
        <v>0</v>
      </c>
      <c r="AG246" s="1">
        <v>6</v>
      </c>
      <c r="AH246" s="3">
        <v>3.75</v>
      </c>
      <c r="AI246" s="1" t="s">
        <v>22</v>
      </c>
      <c r="AJ246" s="1">
        <v>3</v>
      </c>
      <c r="AK246" s="3">
        <v>1.875</v>
      </c>
      <c r="AL246" s="1">
        <v>2</v>
      </c>
      <c r="AM246" s="3">
        <v>1.25</v>
      </c>
      <c r="AN246" s="1" t="s">
        <v>22</v>
      </c>
      <c r="AO246" s="1">
        <v>14</v>
      </c>
      <c r="AP246" s="3">
        <v>8.75</v>
      </c>
      <c r="AQ246" s="3">
        <v>5</v>
      </c>
      <c r="AR246" s="3">
        <v>3.125</v>
      </c>
      <c r="AS246" s="1">
        <v>7</v>
      </c>
      <c r="AT246" s="3">
        <v>4.375</v>
      </c>
      <c r="AU246" s="1">
        <v>1</v>
      </c>
      <c r="AV246" s="3">
        <v>0.625</v>
      </c>
      <c r="AW246" s="1" t="s">
        <v>22</v>
      </c>
      <c r="AX246" s="1">
        <v>19</v>
      </c>
      <c r="AY246" s="1">
        <v>1</v>
      </c>
      <c r="AZ246" s="1">
        <v>1</v>
      </c>
      <c r="BA246" s="1">
        <v>38</v>
      </c>
      <c r="BB246" s="1">
        <v>2</v>
      </c>
      <c r="BC246" s="1">
        <v>2</v>
      </c>
      <c r="BD246" s="1">
        <v>1</v>
      </c>
      <c r="BE246" s="54">
        <v>0.625</v>
      </c>
      <c r="BF246" s="6">
        <v>23</v>
      </c>
      <c r="BG246" s="6">
        <v>14</v>
      </c>
      <c r="BH246" s="1">
        <v>1</v>
      </c>
      <c r="BI246" s="6">
        <v>10</v>
      </c>
      <c r="BJ246" s="1" t="s">
        <v>22</v>
      </c>
      <c r="BK246" s="1" t="s">
        <v>22</v>
      </c>
      <c r="BL246" s="1" t="s">
        <v>22</v>
      </c>
      <c r="BM246" s="1" t="s">
        <v>22</v>
      </c>
      <c r="BN246" t="s">
        <v>22</v>
      </c>
      <c r="BO246">
        <v>3328</v>
      </c>
    </row>
    <row r="247" spans="1:67" x14ac:dyDescent="0.3">
      <c r="A247" s="4">
        <f>INT(Tabela1[[#This Row],[Data e Hora]])</f>
        <v>46281</v>
      </c>
      <c r="B247" s="4" t="str">
        <f>UPPER(TEXT(Tabela1[[#This Row],[Data Corrigida]],"MMM"))</f>
        <v>SET</v>
      </c>
      <c r="C247" s="57" t="s">
        <v>741</v>
      </c>
      <c r="D247" t="s">
        <v>742</v>
      </c>
      <c r="E247" t="s">
        <v>743</v>
      </c>
      <c r="F247" t="s">
        <v>19</v>
      </c>
      <c r="G247" s="5" t="s">
        <v>744</v>
      </c>
      <c r="H247" t="s">
        <v>20</v>
      </c>
      <c r="I247" t="s">
        <v>33</v>
      </c>
      <c r="J247" s="1">
        <v>161</v>
      </c>
      <c r="K247" s="1">
        <v>2796</v>
      </c>
      <c r="L247" t="s">
        <v>34</v>
      </c>
      <c r="M247" s="1">
        <v>22</v>
      </c>
      <c r="N247" s="48">
        <v>22</v>
      </c>
      <c r="O247" s="1">
        <v>8</v>
      </c>
      <c r="P247" s="48">
        <v>8</v>
      </c>
      <c r="Q247" s="1">
        <v>0</v>
      </c>
      <c r="R247" s="1">
        <v>0</v>
      </c>
      <c r="S247" s="1">
        <v>1</v>
      </c>
      <c r="T247" s="1">
        <v>1</v>
      </c>
      <c r="U247" s="1">
        <v>0</v>
      </c>
      <c r="V247" s="1">
        <v>0</v>
      </c>
      <c r="W247" s="1">
        <v>0</v>
      </c>
      <c r="X247" s="1">
        <v>0</v>
      </c>
      <c r="Y247" s="1">
        <v>4</v>
      </c>
      <c r="Z247" s="3">
        <v>1.2422360248447204</v>
      </c>
      <c r="AA247" s="1">
        <v>5</v>
      </c>
      <c r="AB247" s="3">
        <v>3.1055900621118013</v>
      </c>
      <c r="AC247" s="1">
        <v>0</v>
      </c>
      <c r="AD247" s="3">
        <v>0</v>
      </c>
      <c r="AE247" s="1">
        <v>1</v>
      </c>
      <c r="AF247" s="3">
        <v>0.6211180124223602</v>
      </c>
      <c r="AG247" s="1">
        <v>2</v>
      </c>
      <c r="AH247" s="3">
        <v>1.2422360248447204</v>
      </c>
      <c r="AI247" s="1" t="s">
        <v>22</v>
      </c>
      <c r="AJ247" s="1">
        <v>0</v>
      </c>
      <c r="AK247" s="3">
        <v>0</v>
      </c>
      <c r="AL247" s="1">
        <v>0</v>
      </c>
      <c r="AM247" s="3">
        <v>0</v>
      </c>
      <c r="AN247" s="1" t="s">
        <v>22</v>
      </c>
      <c r="AO247" s="1">
        <v>8</v>
      </c>
      <c r="AP247" s="3">
        <v>4.9689440993788816</v>
      </c>
      <c r="AQ247" s="3">
        <v>0</v>
      </c>
      <c r="AR247" s="3">
        <v>0</v>
      </c>
      <c r="AS247" s="1">
        <v>6</v>
      </c>
      <c r="AT247" s="3">
        <v>3.7267080745341614</v>
      </c>
      <c r="AU247" s="1">
        <v>0</v>
      </c>
      <c r="AV247" s="3">
        <v>0</v>
      </c>
      <c r="AW247" s="1" t="s">
        <v>22</v>
      </c>
      <c r="AX247" s="1">
        <v>9</v>
      </c>
      <c r="AY247" s="1">
        <v>1</v>
      </c>
      <c r="AZ247" s="1">
        <v>0</v>
      </c>
      <c r="BA247" s="1">
        <v>18</v>
      </c>
      <c r="BB247" s="1">
        <v>2</v>
      </c>
      <c r="BC247" s="1">
        <v>0</v>
      </c>
      <c r="BD247" s="1">
        <v>0</v>
      </c>
      <c r="BE247" s="54">
        <v>0</v>
      </c>
      <c r="BF247" s="6">
        <v>10</v>
      </c>
      <c r="BG247" s="6">
        <v>12</v>
      </c>
      <c r="BH247" s="1">
        <v>0</v>
      </c>
      <c r="BI247" s="6">
        <v>0</v>
      </c>
      <c r="BJ247" s="1" t="s">
        <v>22</v>
      </c>
      <c r="BK247" s="6">
        <v>4</v>
      </c>
      <c r="BL247" s="6">
        <v>0</v>
      </c>
      <c r="BM247" s="1">
        <v>0</v>
      </c>
      <c r="BN247" t="s">
        <v>24</v>
      </c>
      <c r="BO247">
        <v>3897</v>
      </c>
    </row>
    <row r="248" spans="1:67" x14ac:dyDescent="0.3">
      <c r="A248" s="4">
        <f>INT(Tabela1[[#This Row],[Data e Hora]])</f>
        <v>46281</v>
      </c>
      <c r="B248" s="4" t="str">
        <f>UPPER(TEXT(Tabela1[[#This Row],[Data Corrigida]],"MMM"))</f>
        <v>SET</v>
      </c>
      <c r="C248" t="s">
        <v>745</v>
      </c>
      <c r="D248" t="s">
        <v>746</v>
      </c>
      <c r="E248" t="s">
        <v>743</v>
      </c>
      <c r="F248" t="s">
        <v>19</v>
      </c>
      <c r="G248" s="5" t="s">
        <v>744</v>
      </c>
      <c r="H248" t="s">
        <v>20</v>
      </c>
      <c r="I248" t="s">
        <v>33</v>
      </c>
      <c r="J248" s="1">
        <v>151</v>
      </c>
      <c r="K248" s="1">
        <v>3195</v>
      </c>
      <c r="L248" t="s">
        <v>34</v>
      </c>
      <c r="M248" s="1">
        <v>29</v>
      </c>
      <c r="N248" s="48">
        <v>28.999999999999996</v>
      </c>
      <c r="O248" s="1">
        <v>12</v>
      </c>
      <c r="P248" s="48">
        <v>12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6</v>
      </c>
      <c r="Z248" s="3">
        <v>1.9867549668874174</v>
      </c>
      <c r="AA248" s="1">
        <v>6</v>
      </c>
      <c r="AB248" s="3">
        <v>3.9735099337748347</v>
      </c>
      <c r="AC248" s="1">
        <v>0</v>
      </c>
      <c r="AD248" s="3">
        <v>0</v>
      </c>
      <c r="AE248" s="1">
        <v>1</v>
      </c>
      <c r="AF248" s="3">
        <v>0.66225165562913912</v>
      </c>
      <c r="AG248" s="1">
        <v>3</v>
      </c>
      <c r="AH248" s="3">
        <v>1.9867549668874174</v>
      </c>
      <c r="AI248" s="1" t="s">
        <v>22</v>
      </c>
      <c r="AJ248" s="1">
        <v>0</v>
      </c>
      <c r="AK248" s="3">
        <v>0</v>
      </c>
      <c r="AL248" s="1">
        <v>0</v>
      </c>
      <c r="AM248" s="3">
        <v>0</v>
      </c>
      <c r="AN248" s="1" t="s">
        <v>22</v>
      </c>
      <c r="AO248" s="1">
        <v>18</v>
      </c>
      <c r="AP248" s="3">
        <v>11.920529801324504</v>
      </c>
      <c r="AQ248" s="3">
        <v>4</v>
      </c>
      <c r="AR248" s="3">
        <v>2.6490066225165565</v>
      </c>
      <c r="AS248" s="1">
        <v>8</v>
      </c>
      <c r="AT248" s="3">
        <v>5.298013245033113</v>
      </c>
      <c r="AU248" s="1">
        <v>1</v>
      </c>
      <c r="AV248" s="3">
        <v>0.66225165562913912</v>
      </c>
      <c r="AW248" s="1" t="s">
        <v>22</v>
      </c>
      <c r="AX248" s="1">
        <v>6</v>
      </c>
      <c r="AY248" s="1">
        <v>0</v>
      </c>
      <c r="AZ248" s="1">
        <v>0</v>
      </c>
      <c r="BA248" s="1">
        <v>12</v>
      </c>
      <c r="BB248" s="1">
        <v>0</v>
      </c>
      <c r="BC248" s="1">
        <v>0</v>
      </c>
      <c r="BD248" s="1">
        <v>1</v>
      </c>
      <c r="BE248" s="54">
        <v>0.66225165562913912</v>
      </c>
      <c r="BF248" s="6">
        <v>16</v>
      </c>
      <c r="BG248" s="6">
        <v>17</v>
      </c>
      <c r="BH248" s="1" t="s">
        <v>22</v>
      </c>
      <c r="BI248" s="6" t="s">
        <v>22</v>
      </c>
      <c r="BJ248" s="1" t="s">
        <v>22</v>
      </c>
      <c r="BK248" s="6">
        <v>1</v>
      </c>
      <c r="BL248" s="6">
        <v>0</v>
      </c>
      <c r="BM248" s="1">
        <v>0</v>
      </c>
      <c r="BN248" t="s">
        <v>24</v>
      </c>
      <c r="BO248">
        <v>8850</v>
      </c>
    </row>
    <row r="249" spans="1:67" x14ac:dyDescent="0.3">
      <c r="A249" s="4">
        <f>INT(Tabela1[[#This Row],[Data e Hora]])</f>
        <v>46281</v>
      </c>
      <c r="B249" s="4" t="str">
        <f>UPPER(TEXT(Tabela1[[#This Row],[Data Corrigida]],"MMM"))</f>
        <v>SET</v>
      </c>
      <c r="C249" t="s">
        <v>747</v>
      </c>
      <c r="D249" t="s">
        <v>748</v>
      </c>
      <c r="E249" t="s">
        <v>743</v>
      </c>
      <c r="F249" t="s">
        <v>19</v>
      </c>
      <c r="G249" s="5" t="s">
        <v>744</v>
      </c>
      <c r="H249" t="s">
        <v>20</v>
      </c>
      <c r="I249" t="s">
        <v>33</v>
      </c>
      <c r="J249" s="1">
        <v>133</v>
      </c>
      <c r="K249" s="1">
        <v>3105</v>
      </c>
      <c r="L249" t="s">
        <v>34</v>
      </c>
      <c r="M249" s="1">
        <v>15</v>
      </c>
      <c r="N249" s="48">
        <v>15</v>
      </c>
      <c r="O249" s="1">
        <v>6</v>
      </c>
      <c r="P249" s="48">
        <v>6</v>
      </c>
      <c r="Q249" s="1">
        <v>0</v>
      </c>
      <c r="R249" s="1">
        <v>0</v>
      </c>
      <c r="S249" s="1">
        <v>1</v>
      </c>
      <c r="T249" s="1">
        <v>1</v>
      </c>
      <c r="U249" s="1">
        <v>2</v>
      </c>
      <c r="V249" s="1">
        <v>2</v>
      </c>
      <c r="W249" s="1">
        <v>0</v>
      </c>
      <c r="X249" s="1">
        <v>0</v>
      </c>
      <c r="Y249" s="1">
        <v>8</v>
      </c>
      <c r="Z249" s="3">
        <v>3.007518796992481</v>
      </c>
      <c r="AA249" s="1">
        <v>5</v>
      </c>
      <c r="AB249" s="3">
        <v>3.7593984962406015</v>
      </c>
      <c r="AC249" s="1">
        <v>0</v>
      </c>
      <c r="AD249" s="3">
        <v>0</v>
      </c>
      <c r="AE249" s="1">
        <v>1</v>
      </c>
      <c r="AF249" s="3">
        <v>0.75187969924812026</v>
      </c>
      <c r="AG249" s="1">
        <v>2</v>
      </c>
      <c r="AH249" s="3">
        <v>1.5037593984962405</v>
      </c>
      <c r="AI249" s="1" t="s">
        <v>22</v>
      </c>
      <c r="AJ249" s="1">
        <v>0</v>
      </c>
      <c r="AK249" s="3">
        <v>0</v>
      </c>
      <c r="AL249" s="1">
        <v>0</v>
      </c>
      <c r="AM249" s="3">
        <v>0</v>
      </c>
      <c r="AN249" s="1" t="s">
        <v>22</v>
      </c>
      <c r="AO249" s="1">
        <v>5</v>
      </c>
      <c r="AP249" s="3">
        <v>3.7593984962406015</v>
      </c>
      <c r="AQ249" s="3">
        <v>5</v>
      </c>
      <c r="AR249" s="3">
        <v>3.7593984962406015</v>
      </c>
      <c r="AS249" s="1">
        <v>4</v>
      </c>
      <c r="AT249" s="3">
        <v>3.007518796992481</v>
      </c>
      <c r="AU249" s="1">
        <v>0</v>
      </c>
      <c r="AV249" s="3">
        <v>0</v>
      </c>
      <c r="AW249" s="1" t="s">
        <v>22</v>
      </c>
      <c r="AX249" s="1">
        <v>9</v>
      </c>
      <c r="AY249" s="1">
        <v>0</v>
      </c>
      <c r="AZ249" s="1">
        <v>1</v>
      </c>
      <c r="BA249" s="1">
        <v>18</v>
      </c>
      <c r="BB249" s="1">
        <v>0</v>
      </c>
      <c r="BC249" s="1">
        <v>2</v>
      </c>
      <c r="BD249" s="1">
        <v>0</v>
      </c>
      <c r="BE249" s="54">
        <v>0</v>
      </c>
      <c r="BF249" s="6">
        <v>18</v>
      </c>
      <c r="BG249" s="6">
        <v>17</v>
      </c>
      <c r="BH249" s="1">
        <v>0</v>
      </c>
      <c r="BI249" s="6">
        <v>0</v>
      </c>
      <c r="BJ249" s="1" t="s">
        <v>22</v>
      </c>
      <c r="BK249" s="6">
        <v>0</v>
      </c>
      <c r="BL249" s="6">
        <v>0</v>
      </c>
      <c r="BM249" s="1">
        <v>0</v>
      </c>
      <c r="BN249" t="s">
        <v>24</v>
      </c>
      <c r="BO249">
        <v>7705</v>
      </c>
    </row>
    <row r="250" spans="1:67" x14ac:dyDescent="0.3">
      <c r="A250" s="4">
        <f>INT(Tabela1[[#This Row],[Data e Hora]])</f>
        <v>46281</v>
      </c>
      <c r="B250" s="4" t="str">
        <f>UPPER(TEXT(Tabela1[[#This Row],[Data Corrigida]],"MMM"))</f>
        <v>SET</v>
      </c>
      <c r="C250" t="s">
        <v>749</v>
      </c>
      <c r="D250" t="s">
        <v>750</v>
      </c>
      <c r="E250" t="s">
        <v>751</v>
      </c>
      <c r="F250" t="s">
        <v>19</v>
      </c>
      <c r="G250" s="5" t="s">
        <v>744</v>
      </c>
      <c r="H250" t="s">
        <v>20</v>
      </c>
      <c r="I250" t="s">
        <v>21</v>
      </c>
      <c r="J250" s="1">
        <v>156</v>
      </c>
      <c r="K250" s="1">
        <v>3164</v>
      </c>
      <c r="L250" t="s">
        <v>23</v>
      </c>
      <c r="M250" s="1">
        <v>39</v>
      </c>
      <c r="N250" s="48">
        <v>39</v>
      </c>
      <c r="O250" s="1">
        <v>23</v>
      </c>
      <c r="P250" s="48">
        <v>23</v>
      </c>
      <c r="Q250" s="1">
        <v>0</v>
      </c>
      <c r="R250" s="1">
        <v>0</v>
      </c>
      <c r="S250" s="1">
        <v>3</v>
      </c>
      <c r="T250" s="1">
        <v>3</v>
      </c>
      <c r="U250" s="1">
        <v>1</v>
      </c>
      <c r="V250" s="1">
        <v>1</v>
      </c>
      <c r="W250" s="1">
        <v>0</v>
      </c>
      <c r="X250" s="1">
        <v>0</v>
      </c>
      <c r="Y250" s="1">
        <v>2</v>
      </c>
      <c r="Z250" s="3">
        <v>0.64102564102564097</v>
      </c>
      <c r="AA250" s="1">
        <v>4</v>
      </c>
      <c r="AB250" s="3">
        <v>2.5641025641025639</v>
      </c>
      <c r="AC250" s="1">
        <v>0</v>
      </c>
      <c r="AD250" s="3">
        <v>0</v>
      </c>
      <c r="AE250" s="1">
        <v>2</v>
      </c>
      <c r="AF250" s="3">
        <v>1.2820512820512819</v>
      </c>
      <c r="AG250" s="1">
        <v>7</v>
      </c>
      <c r="AH250" s="3">
        <v>4.4871794871794872</v>
      </c>
      <c r="AI250" s="1" t="s">
        <v>22</v>
      </c>
      <c r="AJ250" s="1">
        <v>8</v>
      </c>
      <c r="AK250" s="3">
        <v>5.1282051282051277</v>
      </c>
      <c r="AL250" s="1">
        <v>2</v>
      </c>
      <c r="AM250" s="3">
        <v>1.2820512820512819</v>
      </c>
      <c r="AN250" s="1" t="s">
        <v>22</v>
      </c>
      <c r="AO250" s="1">
        <v>10</v>
      </c>
      <c r="AP250" s="3">
        <v>6.4102564102564097</v>
      </c>
      <c r="AQ250" s="3">
        <v>3</v>
      </c>
      <c r="AR250" s="3">
        <v>1.9230769230769231</v>
      </c>
      <c r="AS250" s="1">
        <v>8</v>
      </c>
      <c r="AT250" s="3">
        <v>5.1282051282051277</v>
      </c>
      <c r="AU250" s="1">
        <v>1</v>
      </c>
      <c r="AV250" s="3">
        <v>0.64102564102564097</v>
      </c>
      <c r="AW250" s="1" t="s">
        <v>22</v>
      </c>
      <c r="AX250" s="1">
        <v>18</v>
      </c>
      <c r="AY250" s="1">
        <v>0</v>
      </c>
      <c r="AZ250" s="1">
        <v>0</v>
      </c>
      <c r="BA250" s="1">
        <v>36</v>
      </c>
      <c r="BB250" s="1">
        <v>0</v>
      </c>
      <c r="BC250" s="1">
        <v>0</v>
      </c>
      <c r="BD250" s="1">
        <v>0</v>
      </c>
      <c r="BE250" s="54">
        <v>0</v>
      </c>
      <c r="BF250" s="6">
        <v>21</v>
      </c>
      <c r="BG250" s="6">
        <v>12</v>
      </c>
      <c r="BH250" s="1">
        <v>2</v>
      </c>
      <c r="BI250" s="6">
        <v>20</v>
      </c>
      <c r="BJ250" s="1" t="s">
        <v>22</v>
      </c>
      <c r="BK250" s="6">
        <v>1</v>
      </c>
      <c r="BL250" s="6">
        <v>0</v>
      </c>
      <c r="BM250" s="1">
        <v>0</v>
      </c>
      <c r="BN250" t="s">
        <v>24</v>
      </c>
      <c r="BO250">
        <v>3437</v>
      </c>
    </row>
    <row r="251" spans="1:67" x14ac:dyDescent="0.3">
      <c r="A251" s="4">
        <f>INT(Tabela1[[#This Row],[Data e Hora]])</f>
        <v>46281</v>
      </c>
      <c r="B251" s="4" t="str">
        <f>UPPER(TEXT(Tabela1[[#This Row],[Data Corrigida]],"MMM"))</f>
        <v>SET</v>
      </c>
      <c r="C251" t="s">
        <v>752</v>
      </c>
      <c r="D251" t="s">
        <v>753</v>
      </c>
      <c r="E251" t="s">
        <v>751</v>
      </c>
      <c r="F251" t="s">
        <v>19</v>
      </c>
      <c r="G251" s="5" t="s">
        <v>744</v>
      </c>
      <c r="H251" t="s">
        <v>20</v>
      </c>
      <c r="I251" t="s">
        <v>21</v>
      </c>
      <c r="J251" s="1">
        <v>156</v>
      </c>
      <c r="K251" s="1">
        <v>2967</v>
      </c>
      <c r="L251" t="s">
        <v>23</v>
      </c>
      <c r="M251" s="1">
        <v>31</v>
      </c>
      <c r="N251" s="48">
        <v>31</v>
      </c>
      <c r="O251" s="1">
        <v>16</v>
      </c>
      <c r="P251" s="48">
        <v>16</v>
      </c>
      <c r="Q251" s="1">
        <v>0</v>
      </c>
      <c r="R251" s="1">
        <v>0</v>
      </c>
      <c r="S251" s="1">
        <v>2</v>
      </c>
      <c r="T251" s="1">
        <v>2</v>
      </c>
      <c r="U251" s="1">
        <v>1</v>
      </c>
      <c r="V251" s="1">
        <v>1</v>
      </c>
      <c r="W251" s="1">
        <v>0</v>
      </c>
      <c r="X251" s="1">
        <v>0</v>
      </c>
      <c r="Y251" s="1">
        <v>3</v>
      </c>
      <c r="Z251" s="3">
        <v>0.96153846153846156</v>
      </c>
      <c r="AA251" s="1">
        <v>3</v>
      </c>
      <c r="AB251" s="3">
        <v>1.9230769230769231</v>
      </c>
      <c r="AC251" s="1">
        <v>0</v>
      </c>
      <c r="AD251" s="3">
        <v>0</v>
      </c>
      <c r="AE251" s="1">
        <v>2</v>
      </c>
      <c r="AF251" s="3">
        <v>1.2820512820512819</v>
      </c>
      <c r="AG251" s="1">
        <v>8</v>
      </c>
      <c r="AH251" s="3">
        <v>5.1282051282051277</v>
      </c>
      <c r="AI251" s="1" t="s">
        <v>22</v>
      </c>
      <c r="AJ251" s="1">
        <v>2</v>
      </c>
      <c r="AK251" s="3">
        <v>1.2820512820512819</v>
      </c>
      <c r="AL251" s="1">
        <v>2</v>
      </c>
      <c r="AM251" s="3">
        <v>1.2820512820512819</v>
      </c>
      <c r="AN251" s="1" t="s">
        <v>22</v>
      </c>
      <c r="AO251" s="1">
        <v>5</v>
      </c>
      <c r="AP251" s="3">
        <v>3.2051282051282048</v>
      </c>
      <c r="AQ251" s="3">
        <v>1</v>
      </c>
      <c r="AR251" s="3">
        <v>0.64102564102564097</v>
      </c>
      <c r="AS251" s="1">
        <v>6</v>
      </c>
      <c r="AT251" s="3">
        <v>3.8461538461538463</v>
      </c>
      <c r="AU251" s="1">
        <v>1</v>
      </c>
      <c r="AV251" s="3">
        <v>0.64102564102564097</v>
      </c>
      <c r="AW251" s="1" t="s">
        <v>22</v>
      </c>
      <c r="AX251" s="1">
        <v>16</v>
      </c>
      <c r="AY251" s="1">
        <v>0</v>
      </c>
      <c r="AZ251" s="1">
        <v>0</v>
      </c>
      <c r="BA251" s="1">
        <v>32</v>
      </c>
      <c r="BB251" s="1">
        <v>0</v>
      </c>
      <c r="BC251" s="1">
        <v>0</v>
      </c>
      <c r="BD251" s="1">
        <v>0</v>
      </c>
      <c r="BE251" s="54">
        <v>0</v>
      </c>
      <c r="BF251" s="6">
        <v>21</v>
      </c>
      <c r="BG251" s="6">
        <v>15</v>
      </c>
      <c r="BH251" s="1">
        <v>0</v>
      </c>
      <c r="BI251" s="6">
        <v>0</v>
      </c>
      <c r="BJ251" s="1" t="s">
        <v>22</v>
      </c>
      <c r="BK251" s="6">
        <v>1</v>
      </c>
      <c r="BL251" s="6">
        <v>0</v>
      </c>
      <c r="BM251" s="1">
        <v>1</v>
      </c>
      <c r="BN251" t="s">
        <v>24</v>
      </c>
      <c r="BO251">
        <v>1760</v>
      </c>
    </row>
    <row r="252" spans="1:67" x14ac:dyDescent="0.3">
      <c r="A252" s="4">
        <f>INT(Tabela1[[#This Row],[Data e Hora]])</f>
        <v>46281</v>
      </c>
      <c r="B252" s="4" t="str">
        <f>UPPER(TEXT(Tabela1[[#This Row],[Data Corrigida]],"MMM"))</f>
        <v>SET</v>
      </c>
      <c r="C252" t="s">
        <v>754</v>
      </c>
      <c r="D252" t="s">
        <v>755</v>
      </c>
      <c r="E252" t="s">
        <v>751</v>
      </c>
      <c r="F252" t="s">
        <v>19</v>
      </c>
      <c r="G252" s="5" t="s">
        <v>744</v>
      </c>
      <c r="H252" t="s">
        <v>20</v>
      </c>
      <c r="I252" t="s">
        <v>21</v>
      </c>
      <c r="J252" s="1">
        <v>150</v>
      </c>
      <c r="K252" s="1">
        <v>2854</v>
      </c>
      <c r="L252" t="s">
        <v>23</v>
      </c>
      <c r="M252" s="1">
        <v>27</v>
      </c>
      <c r="N252" s="48">
        <v>27</v>
      </c>
      <c r="O252" s="1">
        <v>15</v>
      </c>
      <c r="P252" s="48">
        <v>15</v>
      </c>
      <c r="Q252" s="1">
        <v>0</v>
      </c>
      <c r="R252" s="1">
        <v>0</v>
      </c>
      <c r="S252" s="1">
        <v>1</v>
      </c>
      <c r="T252" s="1">
        <v>1</v>
      </c>
      <c r="U252" s="1">
        <v>0</v>
      </c>
      <c r="V252" s="1">
        <v>0</v>
      </c>
      <c r="W252" s="1">
        <v>0</v>
      </c>
      <c r="X252" s="1">
        <v>0</v>
      </c>
      <c r="Y252" s="1">
        <v>5</v>
      </c>
      <c r="Z252" s="3">
        <v>1.6666666666666667</v>
      </c>
      <c r="AA252" s="1">
        <v>3</v>
      </c>
      <c r="AB252" s="3">
        <v>2</v>
      </c>
      <c r="AC252" s="1">
        <v>0</v>
      </c>
      <c r="AD252" s="3">
        <v>0</v>
      </c>
      <c r="AE252" s="1">
        <v>2</v>
      </c>
      <c r="AF252" s="3">
        <v>1.3333333333333335</v>
      </c>
      <c r="AG252" s="1">
        <v>6</v>
      </c>
      <c r="AH252" s="3">
        <v>4</v>
      </c>
      <c r="AI252" s="1" t="s">
        <v>22</v>
      </c>
      <c r="AJ252" s="1">
        <v>2</v>
      </c>
      <c r="AK252" s="3">
        <v>1.3333333333333335</v>
      </c>
      <c r="AL252" s="1">
        <v>1</v>
      </c>
      <c r="AM252" s="3">
        <v>0.66666666666666674</v>
      </c>
      <c r="AN252" s="1" t="s">
        <v>22</v>
      </c>
      <c r="AO252" s="1">
        <v>3</v>
      </c>
      <c r="AP252" s="3">
        <v>2</v>
      </c>
      <c r="AQ252" s="3">
        <v>2</v>
      </c>
      <c r="AR252" s="3">
        <v>1.3333333333333335</v>
      </c>
      <c r="AS252" s="1">
        <v>5</v>
      </c>
      <c r="AT252" s="3">
        <v>3.3333333333333335</v>
      </c>
      <c r="AU252" s="1">
        <v>1</v>
      </c>
      <c r="AV252" s="3">
        <v>0.66666666666666674</v>
      </c>
      <c r="AW252" s="1" t="s">
        <v>22</v>
      </c>
      <c r="AX252" s="1">
        <v>17</v>
      </c>
      <c r="AY252" s="1">
        <v>0</v>
      </c>
      <c r="AZ252" s="1">
        <v>0</v>
      </c>
      <c r="BA252" s="1">
        <v>34</v>
      </c>
      <c r="BB252" s="1">
        <v>0</v>
      </c>
      <c r="BC252" s="1">
        <v>0</v>
      </c>
      <c r="BD252" s="1">
        <v>1</v>
      </c>
      <c r="BE252" s="54">
        <v>0.66666666666666674</v>
      </c>
      <c r="BF252" s="6">
        <v>22</v>
      </c>
      <c r="BG252" s="6">
        <v>17</v>
      </c>
      <c r="BH252" s="1">
        <v>0</v>
      </c>
      <c r="BI252" s="6">
        <v>0</v>
      </c>
      <c r="BJ252" s="1" t="s">
        <v>22</v>
      </c>
      <c r="BK252" s="1" t="s">
        <v>22</v>
      </c>
      <c r="BL252" s="1" t="s">
        <v>22</v>
      </c>
      <c r="BM252" s="1" t="s">
        <v>22</v>
      </c>
      <c r="BN252" t="s">
        <v>24</v>
      </c>
      <c r="BO252">
        <v>2191</v>
      </c>
    </row>
    <row r="253" spans="1:67" x14ac:dyDescent="0.3">
      <c r="A253" s="4">
        <f>INT(Tabela1[[#This Row],[Data e Hora]])</f>
        <v>46281</v>
      </c>
      <c r="B253" s="4" t="str">
        <f>UPPER(TEXT(Tabela1[[#This Row],[Data Corrigida]],"MMM"))</f>
        <v>SET</v>
      </c>
      <c r="C253" t="s">
        <v>756</v>
      </c>
      <c r="D253" t="s">
        <v>757</v>
      </c>
      <c r="E253" t="s">
        <v>758</v>
      </c>
      <c r="F253" t="s">
        <v>19</v>
      </c>
      <c r="G253" s="5" t="s">
        <v>744</v>
      </c>
      <c r="H253" t="s">
        <v>20</v>
      </c>
      <c r="I253" t="s">
        <v>21</v>
      </c>
      <c r="J253" s="1">
        <v>156</v>
      </c>
      <c r="K253" s="1">
        <v>3117</v>
      </c>
      <c r="L253" t="s">
        <v>23</v>
      </c>
      <c r="M253" s="1">
        <v>51</v>
      </c>
      <c r="N253" s="48">
        <v>51</v>
      </c>
      <c r="O253" s="1">
        <v>25</v>
      </c>
      <c r="P253" s="48">
        <v>25</v>
      </c>
      <c r="Q253" s="1">
        <v>0</v>
      </c>
      <c r="R253" s="1">
        <v>0</v>
      </c>
      <c r="S253" s="1">
        <v>2</v>
      </c>
      <c r="T253" s="1">
        <v>2</v>
      </c>
      <c r="U253" s="1">
        <v>1</v>
      </c>
      <c r="V253" s="1">
        <v>1</v>
      </c>
      <c r="W253" s="1">
        <v>0</v>
      </c>
      <c r="X253" s="1">
        <v>0</v>
      </c>
      <c r="Y253" s="1">
        <v>6</v>
      </c>
      <c r="Z253" s="3">
        <v>1.9230769230769231</v>
      </c>
      <c r="AA253" s="1">
        <v>3</v>
      </c>
      <c r="AB253" s="3">
        <v>1.9230769230769231</v>
      </c>
      <c r="AC253" s="1">
        <v>0</v>
      </c>
      <c r="AD253" s="3">
        <v>0</v>
      </c>
      <c r="AE253" s="1">
        <v>2</v>
      </c>
      <c r="AF253" s="3">
        <v>1.2820512820512819</v>
      </c>
      <c r="AG253" s="1">
        <v>6</v>
      </c>
      <c r="AH253" s="3">
        <v>3.8461538461538463</v>
      </c>
      <c r="AI253" s="1" t="s">
        <v>22</v>
      </c>
      <c r="AJ253" s="1">
        <v>8</v>
      </c>
      <c r="AK253" s="3">
        <v>5.1282051282051277</v>
      </c>
      <c r="AL253" s="1">
        <v>3</v>
      </c>
      <c r="AM253" s="3">
        <v>1.9230769230769231</v>
      </c>
      <c r="AN253" s="1" t="s">
        <v>22</v>
      </c>
      <c r="AO253" s="1">
        <v>11</v>
      </c>
      <c r="AP253" s="3">
        <v>7.0512820512820511</v>
      </c>
      <c r="AQ253" s="3">
        <v>3</v>
      </c>
      <c r="AR253" s="3">
        <v>1.9230769230769231</v>
      </c>
      <c r="AS253" s="1">
        <v>10</v>
      </c>
      <c r="AT253" s="3">
        <v>6.4102564102564097</v>
      </c>
      <c r="AU253" s="1">
        <v>1</v>
      </c>
      <c r="AV253" s="3">
        <v>0.64102564102564097</v>
      </c>
      <c r="AW253" s="1" t="s">
        <v>22</v>
      </c>
      <c r="AX253" s="1">
        <v>16</v>
      </c>
      <c r="AY253" s="1">
        <v>0</v>
      </c>
      <c r="AZ253" s="1">
        <v>0</v>
      </c>
      <c r="BA253" s="1">
        <v>32</v>
      </c>
      <c r="BB253" s="1">
        <v>0</v>
      </c>
      <c r="BC253" s="1">
        <v>0</v>
      </c>
      <c r="BD253" s="1">
        <v>0</v>
      </c>
      <c r="BE253" s="54">
        <v>0</v>
      </c>
      <c r="BF253" s="6">
        <v>14</v>
      </c>
      <c r="BG253" s="6">
        <v>11</v>
      </c>
      <c r="BH253" s="1">
        <v>2</v>
      </c>
      <c r="BI253" s="6">
        <v>20</v>
      </c>
      <c r="BJ253" s="1" t="s">
        <v>22</v>
      </c>
      <c r="BK253" s="6">
        <v>1</v>
      </c>
      <c r="BL253" s="6">
        <v>0</v>
      </c>
      <c r="BM253" s="1">
        <v>1</v>
      </c>
      <c r="BN253" t="s">
        <v>22</v>
      </c>
      <c r="BO253">
        <v>2695</v>
      </c>
    </row>
    <row r="254" spans="1:67" x14ac:dyDescent="0.3">
      <c r="A254" s="4">
        <f>INT(Tabela1[[#This Row],[Data e Hora]])</f>
        <v>46283</v>
      </c>
      <c r="B254" s="4" t="str">
        <f>UPPER(TEXT(Tabela1[[#This Row],[Data Corrigida]],"MMM"))</f>
        <v>SET</v>
      </c>
      <c r="C254" s="57" t="s">
        <v>759</v>
      </c>
      <c r="D254" t="s">
        <v>760</v>
      </c>
      <c r="E254" t="s">
        <v>761</v>
      </c>
      <c r="F254" t="s">
        <v>19</v>
      </c>
      <c r="G254" s="5" t="s">
        <v>762</v>
      </c>
      <c r="H254" t="s">
        <v>20</v>
      </c>
      <c r="I254" t="s">
        <v>33</v>
      </c>
      <c r="J254" s="1">
        <v>146</v>
      </c>
      <c r="K254" s="1">
        <v>2666</v>
      </c>
      <c r="L254" t="s">
        <v>34</v>
      </c>
      <c r="M254" s="1">
        <v>20</v>
      </c>
      <c r="N254" s="48">
        <v>20</v>
      </c>
      <c r="O254" s="1">
        <v>0</v>
      </c>
      <c r="P254" s="48">
        <v>0</v>
      </c>
      <c r="Q254" s="1">
        <v>0</v>
      </c>
      <c r="R254" s="1">
        <v>0</v>
      </c>
      <c r="S254" s="1">
        <v>1</v>
      </c>
      <c r="T254" s="1">
        <v>1</v>
      </c>
      <c r="U254" s="1">
        <v>0</v>
      </c>
      <c r="V254" s="1">
        <v>0</v>
      </c>
      <c r="W254" s="1">
        <v>0</v>
      </c>
      <c r="X254" s="1">
        <v>0</v>
      </c>
      <c r="Y254" s="1">
        <v>6</v>
      </c>
      <c r="Z254" s="3">
        <v>2.054794520547945</v>
      </c>
      <c r="AA254" s="1">
        <v>5</v>
      </c>
      <c r="AB254" s="3">
        <v>3.4246575342465753</v>
      </c>
      <c r="AC254" s="1">
        <v>0</v>
      </c>
      <c r="AD254" s="3">
        <v>0</v>
      </c>
      <c r="AE254" s="1">
        <v>0</v>
      </c>
      <c r="AF254" s="3">
        <v>0</v>
      </c>
      <c r="AG254" s="1">
        <v>2</v>
      </c>
      <c r="AH254" s="3">
        <v>1.3698630136986301</v>
      </c>
      <c r="AI254" s="1" t="s">
        <v>22</v>
      </c>
      <c r="AJ254" s="1">
        <v>0</v>
      </c>
      <c r="AK254" s="3">
        <v>0</v>
      </c>
      <c r="AL254" s="1">
        <v>0</v>
      </c>
      <c r="AM254" s="3">
        <v>0</v>
      </c>
      <c r="AN254" s="1" t="s">
        <v>22</v>
      </c>
      <c r="AO254" s="1">
        <v>6</v>
      </c>
      <c r="AP254" s="3">
        <v>4.10958904109589</v>
      </c>
      <c r="AQ254" s="3">
        <v>5</v>
      </c>
      <c r="AR254" s="3">
        <v>3.4246575342465753</v>
      </c>
      <c r="AS254" s="1">
        <v>7</v>
      </c>
      <c r="AT254" s="3">
        <v>4.7945205479452051</v>
      </c>
      <c r="AU254" s="1">
        <v>0</v>
      </c>
      <c r="AV254" s="3">
        <v>0</v>
      </c>
      <c r="AW254" s="1" t="s">
        <v>22</v>
      </c>
      <c r="AX254" s="1">
        <v>15</v>
      </c>
      <c r="AY254" s="1">
        <v>0</v>
      </c>
      <c r="AZ254" s="1">
        <v>0</v>
      </c>
      <c r="BA254" s="1">
        <v>30</v>
      </c>
      <c r="BB254" s="1">
        <v>0</v>
      </c>
      <c r="BC254" s="1">
        <v>0</v>
      </c>
      <c r="BD254" s="1">
        <v>0</v>
      </c>
      <c r="BE254" s="54">
        <v>0</v>
      </c>
      <c r="BF254" s="6">
        <v>20</v>
      </c>
      <c r="BG254" s="6">
        <v>11</v>
      </c>
      <c r="BH254" s="1">
        <v>0</v>
      </c>
      <c r="BI254" s="6">
        <v>0</v>
      </c>
      <c r="BJ254" s="1" t="s">
        <v>22</v>
      </c>
      <c r="BK254" s="6">
        <v>33</v>
      </c>
      <c r="BL254" s="6">
        <v>0</v>
      </c>
      <c r="BM254" s="1">
        <v>0</v>
      </c>
      <c r="BN254" t="s">
        <v>24</v>
      </c>
      <c r="BO254">
        <v>1042</v>
      </c>
    </row>
    <row r="255" spans="1:67" x14ac:dyDescent="0.3">
      <c r="A255" s="4">
        <f>INT(Tabela1[[#This Row],[Data e Hora]])</f>
        <v>46283</v>
      </c>
      <c r="B255" s="4" t="str">
        <f>UPPER(TEXT(Tabela1[[#This Row],[Data Corrigida]],"MMM"))</f>
        <v>SET</v>
      </c>
      <c r="C255" t="s">
        <v>763</v>
      </c>
      <c r="D255" t="s">
        <v>764</v>
      </c>
      <c r="E255" t="s">
        <v>761</v>
      </c>
      <c r="F255" t="s">
        <v>19</v>
      </c>
      <c r="G255" s="5" t="s">
        <v>762</v>
      </c>
      <c r="H255" t="s">
        <v>20</v>
      </c>
      <c r="I255" t="s">
        <v>33</v>
      </c>
      <c r="J255" s="1">
        <v>161</v>
      </c>
      <c r="K255" s="1">
        <v>2700</v>
      </c>
      <c r="L255" t="s">
        <v>34</v>
      </c>
      <c r="M255" s="1">
        <v>22</v>
      </c>
      <c r="N255" s="48">
        <v>22</v>
      </c>
      <c r="O255" s="1">
        <v>62</v>
      </c>
      <c r="P255" s="48">
        <v>62</v>
      </c>
      <c r="Q255" s="1">
        <v>1</v>
      </c>
      <c r="R255" s="1">
        <v>10</v>
      </c>
      <c r="S255" s="1">
        <v>1</v>
      </c>
      <c r="T255" s="1">
        <v>1</v>
      </c>
      <c r="U255" s="1">
        <v>0</v>
      </c>
      <c r="V255" s="1">
        <v>0</v>
      </c>
      <c r="W255" s="1">
        <v>0</v>
      </c>
      <c r="X255" s="1">
        <v>0</v>
      </c>
      <c r="Y255" s="1">
        <v>7</v>
      </c>
      <c r="Z255" s="3">
        <v>2.1739130434782608</v>
      </c>
      <c r="AA255" s="1">
        <v>15</v>
      </c>
      <c r="AB255" s="3">
        <v>9.316770186335404</v>
      </c>
      <c r="AC255" s="1">
        <v>0</v>
      </c>
      <c r="AD255" s="3">
        <v>0</v>
      </c>
      <c r="AE255" s="1">
        <v>1</v>
      </c>
      <c r="AF255" s="3">
        <v>0.6211180124223602</v>
      </c>
      <c r="AG255" s="1">
        <v>2</v>
      </c>
      <c r="AH255" s="3">
        <v>1.2422360248447204</v>
      </c>
      <c r="AI255" s="1" t="s">
        <v>22</v>
      </c>
      <c r="AJ255" s="1">
        <v>0</v>
      </c>
      <c r="AK255" s="3">
        <v>0</v>
      </c>
      <c r="AL255" s="1">
        <v>0</v>
      </c>
      <c r="AM255" s="3">
        <v>0</v>
      </c>
      <c r="AN255" s="1" t="s">
        <v>22</v>
      </c>
      <c r="AO255" s="1">
        <v>11</v>
      </c>
      <c r="AP255" s="3">
        <v>6.8322981366459627</v>
      </c>
      <c r="AQ255" s="3">
        <v>0</v>
      </c>
      <c r="AR255" s="3">
        <v>0</v>
      </c>
      <c r="AS255" s="1">
        <v>4</v>
      </c>
      <c r="AT255" s="3">
        <v>2.4844720496894408</v>
      </c>
      <c r="AU255" s="1">
        <v>0</v>
      </c>
      <c r="AV255" s="3">
        <v>0</v>
      </c>
      <c r="AW255" s="1" t="s">
        <v>22</v>
      </c>
      <c r="AX255" s="1">
        <v>15</v>
      </c>
      <c r="AY255" s="1">
        <v>0</v>
      </c>
      <c r="AZ255" s="1">
        <v>0</v>
      </c>
      <c r="BA255" s="1">
        <v>30</v>
      </c>
      <c r="BB255" s="1">
        <v>0</v>
      </c>
      <c r="BC255" s="1">
        <v>0</v>
      </c>
      <c r="BD255" s="1">
        <v>0</v>
      </c>
      <c r="BE255" s="54">
        <v>0</v>
      </c>
      <c r="BF255" s="6">
        <v>27</v>
      </c>
      <c r="BG255" s="6">
        <v>18</v>
      </c>
      <c r="BH255" s="1">
        <v>0</v>
      </c>
      <c r="BI255" s="6">
        <v>0</v>
      </c>
      <c r="BJ255" s="1" t="s">
        <v>22</v>
      </c>
      <c r="BK255" s="6">
        <v>10</v>
      </c>
      <c r="BL255" s="6">
        <v>0</v>
      </c>
      <c r="BM255" s="1">
        <v>0</v>
      </c>
      <c r="BN255" t="s">
        <v>24</v>
      </c>
      <c r="BO255">
        <v>7185</v>
      </c>
    </row>
    <row r="256" spans="1:67" x14ac:dyDescent="0.3">
      <c r="A256" s="4">
        <f>INT(Tabela1[[#This Row],[Data e Hora]])</f>
        <v>46283</v>
      </c>
      <c r="B256" s="4" t="str">
        <f>UPPER(TEXT(Tabela1[[#This Row],[Data Corrigida]],"MMM"))</f>
        <v>SET</v>
      </c>
      <c r="C256" t="s">
        <v>765</v>
      </c>
      <c r="D256" t="s">
        <v>766</v>
      </c>
      <c r="E256" t="s">
        <v>767</v>
      </c>
      <c r="F256" t="s">
        <v>19</v>
      </c>
      <c r="G256" s="5" t="s">
        <v>762</v>
      </c>
      <c r="H256" t="s">
        <v>20</v>
      </c>
      <c r="I256" t="s">
        <v>33</v>
      </c>
      <c r="J256" s="1">
        <v>130</v>
      </c>
      <c r="K256" s="1">
        <v>2871</v>
      </c>
      <c r="L256" t="s">
        <v>34</v>
      </c>
      <c r="M256" s="1">
        <v>20</v>
      </c>
      <c r="N256" s="48">
        <v>20</v>
      </c>
      <c r="O256" s="1">
        <v>6</v>
      </c>
      <c r="P256" s="48">
        <v>6</v>
      </c>
      <c r="Q256" s="1">
        <v>0</v>
      </c>
      <c r="R256" s="1">
        <v>0</v>
      </c>
      <c r="S256" s="1">
        <v>2</v>
      </c>
      <c r="T256" s="1">
        <v>2</v>
      </c>
      <c r="U256" s="1">
        <v>1</v>
      </c>
      <c r="V256" s="1">
        <v>1</v>
      </c>
      <c r="W256" s="1">
        <v>0</v>
      </c>
      <c r="X256" s="1">
        <v>0</v>
      </c>
      <c r="Y256" s="1" t="s">
        <v>22</v>
      </c>
      <c r="Z256" s="3" t="s">
        <v>22</v>
      </c>
      <c r="AA256" s="1">
        <v>5</v>
      </c>
      <c r="AB256" s="3">
        <v>3.8461538461538463</v>
      </c>
      <c r="AC256" s="1">
        <v>0</v>
      </c>
      <c r="AD256" s="3">
        <v>0</v>
      </c>
      <c r="AE256" s="1">
        <v>1</v>
      </c>
      <c r="AF256" s="3">
        <v>0.76923076923076927</v>
      </c>
      <c r="AG256" s="1">
        <v>3</v>
      </c>
      <c r="AH256" s="3">
        <v>2.3076923076923079</v>
      </c>
      <c r="AI256" s="1" t="s">
        <v>22</v>
      </c>
      <c r="AJ256" s="1">
        <v>2</v>
      </c>
      <c r="AK256" s="3">
        <v>1.5384615384615385</v>
      </c>
      <c r="AL256" s="1">
        <v>0</v>
      </c>
      <c r="AM256" s="3">
        <v>0</v>
      </c>
      <c r="AN256" s="1" t="s">
        <v>22</v>
      </c>
      <c r="AO256" s="1">
        <v>0</v>
      </c>
      <c r="AP256" s="3">
        <v>0</v>
      </c>
      <c r="AQ256" s="3">
        <v>3</v>
      </c>
      <c r="AR256" s="3">
        <v>2.3076923076923079</v>
      </c>
      <c r="AS256" s="1">
        <v>4</v>
      </c>
      <c r="AT256" s="3">
        <v>3.0769230769230771</v>
      </c>
      <c r="AU256" s="1">
        <v>0</v>
      </c>
      <c r="AV256" s="3">
        <v>0</v>
      </c>
      <c r="AW256" s="1" t="s">
        <v>22</v>
      </c>
      <c r="AX256" s="1">
        <v>16</v>
      </c>
      <c r="AY256" s="1">
        <v>0</v>
      </c>
      <c r="AZ256" s="1">
        <v>0</v>
      </c>
      <c r="BA256" s="1">
        <v>32</v>
      </c>
      <c r="BB256" s="1">
        <v>0</v>
      </c>
      <c r="BC256" s="1">
        <v>0</v>
      </c>
      <c r="BD256" s="1">
        <v>0</v>
      </c>
      <c r="BE256" s="54">
        <v>0</v>
      </c>
      <c r="BF256" s="6">
        <v>23</v>
      </c>
      <c r="BG256" s="6">
        <v>11</v>
      </c>
      <c r="BH256" s="1">
        <v>0</v>
      </c>
      <c r="BI256" s="6">
        <v>0</v>
      </c>
      <c r="BJ256" s="1" t="s">
        <v>22</v>
      </c>
      <c r="BK256" s="6">
        <v>4</v>
      </c>
      <c r="BL256" s="6">
        <v>0</v>
      </c>
      <c r="BM256" s="1">
        <v>0</v>
      </c>
      <c r="BN256" t="s">
        <v>24</v>
      </c>
      <c r="BO256">
        <v>11176</v>
      </c>
    </row>
    <row r="257" spans="1:67" x14ac:dyDescent="0.3">
      <c r="A257" s="4">
        <f>INT(Tabela1[[#This Row],[Data e Hora]])</f>
        <v>46283</v>
      </c>
      <c r="B257" s="4" t="str">
        <f>UPPER(TEXT(Tabela1[[#This Row],[Data Corrigida]],"MMM"))</f>
        <v>SET</v>
      </c>
      <c r="C257" t="s">
        <v>768</v>
      </c>
      <c r="D257" t="s">
        <v>769</v>
      </c>
      <c r="E257" t="s">
        <v>770</v>
      </c>
      <c r="F257" t="s">
        <v>19</v>
      </c>
      <c r="G257" s="5" t="s">
        <v>762</v>
      </c>
      <c r="H257" t="s">
        <v>20</v>
      </c>
      <c r="I257" t="s">
        <v>21</v>
      </c>
      <c r="J257" s="1">
        <v>160</v>
      </c>
      <c r="K257" s="1">
        <v>2934</v>
      </c>
      <c r="L257" t="s">
        <v>23</v>
      </c>
      <c r="M257" s="1">
        <v>31</v>
      </c>
      <c r="N257" s="48">
        <v>31</v>
      </c>
      <c r="O257" s="1">
        <v>10</v>
      </c>
      <c r="P257" s="48">
        <v>10</v>
      </c>
      <c r="Q257" s="1">
        <v>0</v>
      </c>
      <c r="R257" s="1">
        <v>0</v>
      </c>
      <c r="S257" s="1">
        <v>2</v>
      </c>
      <c r="T257" s="1">
        <v>2</v>
      </c>
      <c r="U257" s="1">
        <v>1</v>
      </c>
      <c r="V257" s="1">
        <v>1</v>
      </c>
      <c r="W257" s="1">
        <v>0</v>
      </c>
      <c r="X257" s="1">
        <v>0</v>
      </c>
      <c r="Y257" s="1">
        <v>7</v>
      </c>
      <c r="Z257" s="3">
        <v>2.1875</v>
      </c>
      <c r="AA257" s="1">
        <v>8</v>
      </c>
      <c r="AB257" s="3">
        <v>5</v>
      </c>
      <c r="AC257" s="1">
        <v>1</v>
      </c>
      <c r="AD257" s="3">
        <v>0.625</v>
      </c>
      <c r="AE257" s="1">
        <v>2</v>
      </c>
      <c r="AF257" s="3">
        <v>1.25</v>
      </c>
      <c r="AG257" s="1">
        <v>6</v>
      </c>
      <c r="AH257" s="3">
        <v>3.75</v>
      </c>
      <c r="AI257" s="1" t="s">
        <v>22</v>
      </c>
      <c r="AJ257" s="1">
        <v>4</v>
      </c>
      <c r="AK257" s="3">
        <v>2.5</v>
      </c>
      <c r="AL257" s="1">
        <v>3</v>
      </c>
      <c r="AM257" s="3">
        <v>1.875</v>
      </c>
      <c r="AN257" s="1" t="s">
        <v>22</v>
      </c>
      <c r="AO257" s="1">
        <v>12</v>
      </c>
      <c r="AP257" s="3">
        <v>7.5</v>
      </c>
      <c r="AQ257" s="3">
        <v>6</v>
      </c>
      <c r="AR257" s="3">
        <v>3.75</v>
      </c>
      <c r="AS257" s="1">
        <v>9</v>
      </c>
      <c r="AT257" s="3">
        <v>5.625</v>
      </c>
      <c r="AU257" s="1">
        <v>2</v>
      </c>
      <c r="AV257" s="3">
        <v>1.25</v>
      </c>
      <c r="AW257" s="1" t="s">
        <v>22</v>
      </c>
      <c r="AX257" s="1">
        <v>17</v>
      </c>
      <c r="AY257" s="1">
        <v>1</v>
      </c>
      <c r="AZ257" s="1">
        <v>1</v>
      </c>
      <c r="BA257" s="1">
        <v>34</v>
      </c>
      <c r="BB257" s="1">
        <v>2</v>
      </c>
      <c r="BC257" s="1">
        <v>2</v>
      </c>
      <c r="BD257" s="1">
        <v>2</v>
      </c>
      <c r="BE257" s="54">
        <v>1.25</v>
      </c>
      <c r="BF257" s="6">
        <v>26</v>
      </c>
      <c r="BG257" s="6">
        <v>21</v>
      </c>
      <c r="BH257" s="1">
        <v>1</v>
      </c>
      <c r="BI257" s="6">
        <v>10</v>
      </c>
      <c r="BJ257" s="1" t="s">
        <v>22</v>
      </c>
      <c r="BK257" s="6">
        <v>0</v>
      </c>
      <c r="BL257" s="6">
        <v>0</v>
      </c>
      <c r="BM257" s="1">
        <v>1</v>
      </c>
      <c r="BN257" t="s">
        <v>24</v>
      </c>
      <c r="BO257">
        <v>3325</v>
      </c>
    </row>
    <row r="258" spans="1:67" x14ac:dyDescent="0.3">
      <c r="A258" s="4">
        <f>INT(Tabela1[[#This Row],[Data e Hora]])</f>
        <v>46283</v>
      </c>
      <c r="B258" s="4" t="str">
        <f>UPPER(TEXT(Tabela1[[#This Row],[Data Corrigida]],"MMM"))</f>
        <v>SET</v>
      </c>
      <c r="C258" t="s">
        <v>771</v>
      </c>
      <c r="D258" t="s">
        <v>772</v>
      </c>
      <c r="E258" t="s">
        <v>770</v>
      </c>
      <c r="F258" t="s">
        <v>19</v>
      </c>
      <c r="G258" s="5" t="s">
        <v>762</v>
      </c>
      <c r="H258" t="s">
        <v>20</v>
      </c>
      <c r="I258" t="s">
        <v>21</v>
      </c>
      <c r="J258" s="1">
        <v>140</v>
      </c>
      <c r="K258" s="1">
        <v>2919</v>
      </c>
      <c r="L258" t="s">
        <v>23</v>
      </c>
      <c r="M258" s="1">
        <v>44</v>
      </c>
      <c r="N258" s="48">
        <v>44</v>
      </c>
      <c r="O258" s="1">
        <v>20</v>
      </c>
      <c r="P258" s="48">
        <v>20</v>
      </c>
      <c r="Q258" s="1">
        <v>0</v>
      </c>
      <c r="R258" s="1">
        <v>0</v>
      </c>
      <c r="S258" s="1">
        <v>1</v>
      </c>
      <c r="T258" s="1">
        <v>1</v>
      </c>
      <c r="U258" s="1">
        <v>1</v>
      </c>
      <c r="V258" s="1">
        <v>1</v>
      </c>
      <c r="W258" s="1">
        <v>0</v>
      </c>
      <c r="X258" s="1">
        <v>0</v>
      </c>
      <c r="Y258" s="1">
        <v>3</v>
      </c>
      <c r="Z258" s="3">
        <v>1.0714285714285714</v>
      </c>
      <c r="AA258" s="1">
        <v>17</v>
      </c>
      <c r="AB258" s="3">
        <v>12.142857142857142</v>
      </c>
      <c r="AC258" s="1">
        <v>0</v>
      </c>
      <c r="AD258" s="3">
        <v>0</v>
      </c>
      <c r="AE258" s="1">
        <v>3</v>
      </c>
      <c r="AF258" s="3">
        <v>2.1428571428571428</v>
      </c>
      <c r="AG258" s="1">
        <v>7</v>
      </c>
      <c r="AH258" s="3">
        <v>5</v>
      </c>
      <c r="AI258" s="1" t="s">
        <v>22</v>
      </c>
      <c r="AJ258" s="1">
        <v>4</v>
      </c>
      <c r="AK258" s="3">
        <v>2.8571428571428572</v>
      </c>
      <c r="AL258" s="1">
        <v>2</v>
      </c>
      <c r="AM258" s="3">
        <v>1.4285714285714286</v>
      </c>
      <c r="AN258" s="1" t="s">
        <v>22</v>
      </c>
      <c r="AO258" s="1">
        <v>5</v>
      </c>
      <c r="AP258" s="3">
        <v>3.5714285714285712</v>
      </c>
      <c r="AQ258" s="3">
        <v>8</v>
      </c>
      <c r="AR258" s="3">
        <v>5.7142857142857144</v>
      </c>
      <c r="AS258" s="1">
        <v>9</v>
      </c>
      <c r="AT258" s="3">
        <v>6.4285714285714279</v>
      </c>
      <c r="AU258" s="1">
        <v>2</v>
      </c>
      <c r="AV258" s="3">
        <v>1.4285714285714286</v>
      </c>
      <c r="AW258" s="1" t="s">
        <v>22</v>
      </c>
      <c r="AX258" s="1">
        <v>13</v>
      </c>
      <c r="AY258" s="1">
        <v>0</v>
      </c>
      <c r="AZ258" s="1">
        <v>0</v>
      </c>
      <c r="BA258" s="1">
        <v>26</v>
      </c>
      <c r="BB258" s="1">
        <v>0</v>
      </c>
      <c r="BC258" s="1">
        <v>0</v>
      </c>
      <c r="BD258" s="1">
        <v>0</v>
      </c>
      <c r="BE258" s="54">
        <v>0</v>
      </c>
      <c r="BF258" s="6">
        <v>24</v>
      </c>
      <c r="BG258" s="6">
        <v>15</v>
      </c>
      <c r="BH258" s="1">
        <v>1</v>
      </c>
      <c r="BI258" s="6">
        <v>10</v>
      </c>
      <c r="BJ258" s="1" t="s">
        <v>22</v>
      </c>
      <c r="BK258" s="1" t="s">
        <v>22</v>
      </c>
      <c r="BL258" s="1" t="s">
        <v>22</v>
      </c>
      <c r="BM258" s="1" t="s">
        <v>22</v>
      </c>
      <c r="BN258" t="s">
        <v>24</v>
      </c>
      <c r="BO258">
        <v>3935</v>
      </c>
    </row>
    <row r="259" spans="1:67" x14ac:dyDescent="0.3">
      <c r="A259" s="4">
        <f>INT(Tabela1[[#This Row],[Data e Hora]])</f>
        <v>46283</v>
      </c>
      <c r="B259" s="4" t="str">
        <f>UPPER(TEXT(Tabela1[[#This Row],[Data Corrigida]],"MMM"))</f>
        <v>SET</v>
      </c>
      <c r="C259" t="s">
        <v>773</v>
      </c>
      <c r="D259" t="s">
        <v>774</v>
      </c>
      <c r="E259" t="s">
        <v>775</v>
      </c>
      <c r="F259" t="s">
        <v>19</v>
      </c>
      <c r="G259" s="5" t="s">
        <v>762</v>
      </c>
      <c r="H259" t="s">
        <v>20</v>
      </c>
      <c r="I259" t="s">
        <v>21</v>
      </c>
      <c r="J259" s="1">
        <v>150</v>
      </c>
      <c r="K259" s="1">
        <v>2732</v>
      </c>
      <c r="L259" t="s">
        <v>23</v>
      </c>
      <c r="M259" s="1">
        <v>31</v>
      </c>
      <c r="N259" s="48">
        <v>31</v>
      </c>
      <c r="O259" s="1">
        <v>10</v>
      </c>
      <c r="P259" s="48">
        <v>10</v>
      </c>
      <c r="Q259" s="1">
        <v>0</v>
      </c>
      <c r="R259" s="1">
        <v>0</v>
      </c>
      <c r="S259" s="1">
        <v>2</v>
      </c>
      <c r="T259" s="1">
        <v>2</v>
      </c>
      <c r="U259" s="1">
        <v>1</v>
      </c>
      <c r="V259" s="1">
        <v>1</v>
      </c>
      <c r="W259" s="1">
        <v>0</v>
      </c>
      <c r="X259" s="1">
        <v>0</v>
      </c>
      <c r="Y259" s="1">
        <v>4</v>
      </c>
      <c r="Z259" s="3">
        <v>1.3333333333333335</v>
      </c>
      <c r="AA259" s="1">
        <v>8</v>
      </c>
      <c r="AB259" s="3">
        <v>5.3333333333333339</v>
      </c>
      <c r="AC259" s="1">
        <v>0</v>
      </c>
      <c r="AD259" s="3">
        <v>0</v>
      </c>
      <c r="AE259" s="1">
        <v>3</v>
      </c>
      <c r="AF259" s="3">
        <v>2</v>
      </c>
      <c r="AG259" s="1">
        <v>7</v>
      </c>
      <c r="AH259" s="3">
        <v>4.666666666666667</v>
      </c>
      <c r="AI259" s="1" t="s">
        <v>22</v>
      </c>
      <c r="AJ259" s="1">
        <v>3</v>
      </c>
      <c r="AK259" s="3">
        <v>2</v>
      </c>
      <c r="AL259" s="1">
        <v>2</v>
      </c>
      <c r="AM259" s="3">
        <v>1.3333333333333335</v>
      </c>
      <c r="AN259" s="1" t="s">
        <v>22</v>
      </c>
      <c r="AO259" s="1">
        <v>8</v>
      </c>
      <c r="AP259" s="3">
        <v>5.3333333333333339</v>
      </c>
      <c r="AQ259" s="3">
        <v>2</v>
      </c>
      <c r="AR259" s="3">
        <v>1.3333333333333335</v>
      </c>
      <c r="AS259" s="1">
        <v>6</v>
      </c>
      <c r="AT259" s="3">
        <v>4</v>
      </c>
      <c r="AU259" s="1">
        <v>1</v>
      </c>
      <c r="AV259" s="3">
        <v>0.66666666666666674</v>
      </c>
      <c r="AW259" s="1" t="s">
        <v>22</v>
      </c>
      <c r="AX259" s="1">
        <v>19</v>
      </c>
      <c r="AY259" s="1">
        <v>0</v>
      </c>
      <c r="AZ259" s="1">
        <v>0</v>
      </c>
      <c r="BA259" s="1">
        <v>38</v>
      </c>
      <c r="BB259" s="1">
        <v>0</v>
      </c>
      <c r="BC259" s="1">
        <v>0</v>
      </c>
      <c r="BD259" s="1">
        <v>2</v>
      </c>
      <c r="BE259" s="54">
        <v>1.3333333333333335</v>
      </c>
      <c r="BF259" s="6">
        <v>23</v>
      </c>
      <c r="BG259" s="6">
        <v>19</v>
      </c>
      <c r="BH259" s="1">
        <v>0</v>
      </c>
      <c r="BI259" s="6">
        <v>0</v>
      </c>
      <c r="BJ259" s="1" t="s">
        <v>22</v>
      </c>
      <c r="BK259" s="1" t="s">
        <v>22</v>
      </c>
      <c r="BL259" s="1" t="s">
        <v>22</v>
      </c>
      <c r="BM259" s="1" t="s">
        <v>22</v>
      </c>
      <c r="BN259" t="s">
        <v>24</v>
      </c>
      <c r="BO259">
        <v>1866</v>
      </c>
    </row>
    <row r="260" spans="1:67" x14ac:dyDescent="0.3">
      <c r="A260" s="4">
        <f>INT(Tabela1[[#This Row],[Data e Hora]])</f>
        <v>46282</v>
      </c>
      <c r="B260" s="4" t="str">
        <f>UPPER(TEXT(Tabela1[[#This Row],[Data Corrigida]],"MMM"))</f>
        <v>SET</v>
      </c>
      <c r="C260" t="s">
        <v>776</v>
      </c>
      <c r="D260" t="s">
        <v>777</v>
      </c>
      <c r="E260" t="s">
        <v>778</v>
      </c>
      <c r="F260" t="s">
        <v>19</v>
      </c>
      <c r="G260" s="5" t="s">
        <v>779</v>
      </c>
      <c r="H260" t="s">
        <v>20</v>
      </c>
      <c r="I260" t="s">
        <v>33</v>
      </c>
      <c r="J260" s="1">
        <v>161</v>
      </c>
      <c r="K260" s="1">
        <v>2611</v>
      </c>
      <c r="L260" t="s">
        <v>34</v>
      </c>
      <c r="M260" s="1">
        <v>20</v>
      </c>
      <c r="N260" s="48">
        <v>20</v>
      </c>
      <c r="O260" s="1">
        <v>6</v>
      </c>
      <c r="P260" s="48">
        <v>6</v>
      </c>
      <c r="Q260" s="1">
        <v>0</v>
      </c>
      <c r="R260" s="1">
        <v>0</v>
      </c>
      <c r="S260" s="1">
        <v>1</v>
      </c>
      <c r="T260" s="1">
        <v>1</v>
      </c>
      <c r="U260" s="1">
        <v>0</v>
      </c>
      <c r="V260" s="1">
        <v>0</v>
      </c>
      <c r="W260" s="1">
        <v>0</v>
      </c>
      <c r="X260" s="1">
        <v>0</v>
      </c>
      <c r="Y260" s="1">
        <v>7</v>
      </c>
      <c r="Z260" s="3">
        <v>2.1739130434782608</v>
      </c>
      <c r="AA260" s="1">
        <v>5</v>
      </c>
      <c r="AB260" s="3">
        <v>3.1055900621118013</v>
      </c>
      <c r="AC260" s="1">
        <v>0</v>
      </c>
      <c r="AD260" s="3">
        <v>0</v>
      </c>
      <c r="AE260" s="1">
        <v>0</v>
      </c>
      <c r="AF260" s="3">
        <v>0</v>
      </c>
      <c r="AG260" s="1">
        <v>2</v>
      </c>
      <c r="AH260" s="3">
        <v>1.2422360248447204</v>
      </c>
      <c r="AI260" s="1" t="s">
        <v>22</v>
      </c>
      <c r="AJ260" s="1">
        <v>0</v>
      </c>
      <c r="AK260" s="3">
        <v>0</v>
      </c>
      <c r="AL260" s="1">
        <v>0</v>
      </c>
      <c r="AM260" s="3">
        <v>0</v>
      </c>
      <c r="AN260" s="1" t="s">
        <v>22</v>
      </c>
      <c r="AO260" s="1">
        <v>8</v>
      </c>
      <c r="AP260" s="3">
        <v>4.9689440993788816</v>
      </c>
      <c r="AQ260" s="3">
        <v>5</v>
      </c>
      <c r="AR260" s="3">
        <v>3.1055900621118013</v>
      </c>
      <c r="AS260" s="1">
        <v>6</v>
      </c>
      <c r="AT260" s="3">
        <v>3.7267080745341614</v>
      </c>
      <c r="AU260" s="1">
        <v>0</v>
      </c>
      <c r="AV260" s="3">
        <v>0</v>
      </c>
      <c r="AW260" s="1" t="s">
        <v>22</v>
      </c>
      <c r="AX260" s="1">
        <v>10</v>
      </c>
      <c r="AY260" s="1">
        <v>0</v>
      </c>
      <c r="AZ260" s="1">
        <v>0</v>
      </c>
      <c r="BA260" s="1">
        <v>20</v>
      </c>
      <c r="BB260" s="1">
        <v>0</v>
      </c>
      <c r="BC260" s="1">
        <v>0</v>
      </c>
      <c r="BD260" s="1">
        <v>0</v>
      </c>
      <c r="BE260" s="54">
        <v>0</v>
      </c>
      <c r="BF260" s="6">
        <v>25</v>
      </c>
      <c r="BG260" s="6">
        <v>13</v>
      </c>
      <c r="BH260" s="1">
        <v>0</v>
      </c>
      <c r="BI260" s="6">
        <v>0</v>
      </c>
      <c r="BJ260" s="1" t="s">
        <v>22</v>
      </c>
      <c r="BK260" s="6">
        <v>0</v>
      </c>
      <c r="BL260" s="6">
        <v>0</v>
      </c>
      <c r="BM260" s="1">
        <v>0</v>
      </c>
      <c r="BN260" t="s">
        <v>24</v>
      </c>
      <c r="BO260">
        <v>2163</v>
      </c>
    </row>
    <row r="261" spans="1:67" x14ac:dyDescent="0.3">
      <c r="A261" s="4">
        <f>INT(Tabela1[[#This Row],[Data e Hora]])</f>
        <v>46282</v>
      </c>
      <c r="B261" s="4" t="str">
        <f>UPPER(TEXT(Tabela1[[#This Row],[Data Corrigida]],"MMM"))</f>
        <v>SET</v>
      </c>
      <c r="C261" t="s">
        <v>780</v>
      </c>
      <c r="D261" t="s">
        <v>781</v>
      </c>
      <c r="E261" t="s">
        <v>782</v>
      </c>
      <c r="F261" t="s">
        <v>19</v>
      </c>
      <c r="G261" s="5" t="s">
        <v>779</v>
      </c>
      <c r="H261" t="s">
        <v>20</v>
      </c>
      <c r="I261" t="s">
        <v>33</v>
      </c>
      <c r="J261" s="1">
        <v>152</v>
      </c>
      <c r="K261" s="1">
        <v>2295</v>
      </c>
      <c r="L261" t="s">
        <v>34</v>
      </c>
      <c r="M261" s="1">
        <v>33</v>
      </c>
      <c r="N261" s="48">
        <v>33</v>
      </c>
      <c r="O261" s="1">
        <v>20</v>
      </c>
      <c r="P261" s="48">
        <v>20</v>
      </c>
      <c r="Q261" s="1">
        <v>1</v>
      </c>
      <c r="R261" s="1">
        <v>10</v>
      </c>
      <c r="S261" s="1">
        <v>3</v>
      </c>
      <c r="T261" s="1">
        <v>3</v>
      </c>
      <c r="U261" s="1">
        <v>2</v>
      </c>
      <c r="V261" s="1">
        <v>2</v>
      </c>
      <c r="W261" s="1">
        <v>0</v>
      </c>
      <c r="X261" s="1">
        <v>0</v>
      </c>
      <c r="Y261" s="1">
        <v>4</v>
      </c>
      <c r="Z261" s="3">
        <v>1.3157894736842104</v>
      </c>
      <c r="AA261" s="1">
        <v>18</v>
      </c>
      <c r="AB261" s="3">
        <v>11.842105263157894</v>
      </c>
      <c r="AC261" s="1">
        <v>0</v>
      </c>
      <c r="AD261" s="3">
        <v>0</v>
      </c>
      <c r="AE261" s="1">
        <v>0</v>
      </c>
      <c r="AF261" s="3">
        <v>0</v>
      </c>
      <c r="AG261" s="1">
        <v>2</v>
      </c>
      <c r="AH261" s="3">
        <v>1.3157894736842104</v>
      </c>
      <c r="AI261" s="1" t="s">
        <v>22</v>
      </c>
      <c r="AJ261" s="1">
        <v>0</v>
      </c>
      <c r="AK261" s="3">
        <v>0</v>
      </c>
      <c r="AL261" s="1">
        <v>0</v>
      </c>
      <c r="AM261" s="3">
        <v>0</v>
      </c>
      <c r="AN261" s="1" t="s">
        <v>22</v>
      </c>
      <c r="AO261" s="1">
        <v>4</v>
      </c>
      <c r="AP261" s="3">
        <v>2.6315789473684208</v>
      </c>
      <c r="AQ261" s="3">
        <v>3</v>
      </c>
      <c r="AR261" s="3">
        <v>1.9736842105263157</v>
      </c>
      <c r="AS261" s="1">
        <v>5</v>
      </c>
      <c r="AT261" s="3">
        <v>3.2894736842105261</v>
      </c>
      <c r="AU261" s="1">
        <v>0</v>
      </c>
      <c r="AV261" s="3">
        <v>0</v>
      </c>
      <c r="AW261" s="1" t="s">
        <v>22</v>
      </c>
      <c r="AX261" s="1">
        <v>12</v>
      </c>
      <c r="AY261" s="1">
        <v>3</v>
      </c>
      <c r="AZ261" s="1">
        <v>2</v>
      </c>
      <c r="BA261" s="1">
        <v>24</v>
      </c>
      <c r="BB261" s="1">
        <v>6</v>
      </c>
      <c r="BC261" s="1">
        <v>4</v>
      </c>
      <c r="BD261" s="1">
        <v>0</v>
      </c>
      <c r="BE261" s="54">
        <v>0</v>
      </c>
      <c r="BF261" s="6">
        <v>22</v>
      </c>
      <c r="BG261" s="6">
        <v>10</v>
      </c>
      <c r="BH261" s="1">
        <v>0</v>
      </c>
      <c r="BI261" s="6">
        <v>0</v>
      </c>
      <c r="BJ261" s="1" t="s">
        <v>22</v>
      </c>
      <c r="BK261" s="6">
        <v>0</v>
      </c>
      <c r="BL261" s="6">
        <v>0</v>
      </c>
      <c r="BM261" s="1">
        <v>0</v>
      </c>
      <c r="BN261" t="s">
        <v>24</v>
      </c>
      <c r="BO261">
        <v>9874</v>
      </c>
    </row>
    <row r="262" spans="1:67" x14ac:dyDescent="0.3">
      <c r="A262" s="4">
        <f>INT(Tabela1[[#This Row],[Data e Hora]])</f>
        <v>46282</v>
      </c>
      <c r="B262" s="4" t="str">
        <f>UPPER(TEXT(Tabela1[[#This Row],[Data Corrigida]],"MMM"))</f>
        <v>SET</v>
      </c>
      <c r="C262" t="s">
        <v>783</v>
      </c>
      <c r="D262" t="s">
        <v>784</v>
      </c>
      <c r="E262" t="s">
        <v>782</v>
      </c>
      <c r="F262" t="s">
        <v>19</v>
      </c>
      <c r="G262" s="5" t="s">
        <v>779</v>
      </c>
      <c r="H262" t="s">
        <v>20</v>
      </c>
      <c r="I262" t="s">
        <v>33</v>
      </c>
      <c r="J262" s="1">
        <v>130</v>
      </c>
      <c r="K262" s="1">
        <v>2573</v>
      </c>
      <c r="L262" t="s">
        <v>34</v>
      </c>
      <c r="M262" s="1">
        <v>19</v>
      </c>
      <c r="N262" s="48">
        <v>19</v>
      </c>
      <c r="O262" s="1">
        <v>6</v>
      </c>
      <c r="P262" s="48">
        <v>6</v>
      </c>
      <c r="Q262" s="1">
        <v>3</v>
      </c>
      <c r="R262" s="1">
        <v>30</v>
      </c>
      <c r="S262" s="1">
        <v>1</v>
      </c>
      <c r="T262" s="1">
        <v>1</v>
      </c>
      <c r="U262" s="1">
        <v>2</v>
      </c>
      <c r="V262" s="1">
        <v>2</v>
      </c>
      <c r="W262" s="1">
        <v>0</v>
      </c>
      <c r="X262" s="1">
        <v>0</v>
      </c>
      <c r="Y262" s="1">
        <v>3</v>
      </c>
      <c r="Z262" s="3">
        <v>1.153846153846154</v>
      </c>
      <c r="AA262" s="1">
        <v>8</v>
      </c>
      <c r="AB262" s="3">
        <v>6.1538461538461542</v>
      </c>
      <c r="AC262" s="1">
        <v>0</v>
      </c>
      <c r="AD262" s="3">
        <v>0</v>
      </c>
      <c r="AE262" s="1">
        <v>3</v>
      </c>
      <c r="AF262" s="3">
        <v>2.3076923076923079</v>
      </c>
      <c r="AG262" s="1">
        <v>2</v>
      </c>
      <c r="AH262" s="3">
        <v>1.5384615384615385</v>
      </c>
      <c r="AI262" s="1" t="s">
        <v>22</v>
      </c>
      <c r="AJ262" s="1">
        <v>1</v>
      </c>
      <c r="AK262" s="3">
        <v>0.76923076923076927</v>
      </c>
      <c r="AL262" s="1">
        <v>0</v>
      </c>
      <c r="AM262" s="3">
        <v>0</v>
      </c>
      <c r="AN262" s="1" t="s">
        <v>22</v>
      </c>
      <c r="AO262" s="1">
        <v>5</v>
      </c>
      <c r="AP262" s="3">
        <v>3.8461538461538463</v>
      </c>
      <c r="AQ262" s="3">
        <v>3</v>
      </c>
      <c r="AR262" s="3">
        <v>2.3076923076923079</v>
      </c>
      <c r="AS262" s="1">
        <v>3</v>
      </c>
      <c r="AT262" s="3">
        <v>2.3076923076923079</v>
      </c>
      <c r="AU262" s="1">
        <v>1</v>
      </c>
      <c r="AV262" s="3">
        <v>0.76923076923076927</v>
      </c>
      <c r="AW262" s="1" t="s">
        <v>22</v>
      </c>
      <c r="AX262" s="1">
        <v>10</v>
      </c>
      <c r="AY262" s="1">
        <v>0</v>
      </c>
      <c r="AZ262" s="1">
        <v>0</v>
      </c>
      <c r="BA262" s="1">
        <v>20</v>
      </c>
      <c r="BB262" s="1">
        <v>0</v>
      </c>
      <c r="BC262" s="1">
        <v>0</v>
      </c>
      <c r="BD262" s="1">
        <v>0</v>
      </c>
      <c r="BE262" s="54">
        <v>0</v>
      </c>
      <c r="BF262" s="6">
        <v>15</v>
      </c>
      <c r="BG262" s="6">
        <v>18</v>
      </c>
      <c r="BH262" s="1">
        <v>0</v>
      </c>
      <c r="BI262" s="6">
        <v>0</v>
      </c>
      <c r="BJ262" s="1" t="s">
        <v>22</v>
      </c>
      <c r="BK262" s="6">
        <v>2</v>
      </c>
      <c r="BL262" s="6">
        <v>0</v>
      </c>
      <c r="BM262" s="1">
        <v>0</v>
      </c>
      <c r="BN262" t="s">
        <v>24</v>
      </c>
      <c r="BO262">
        <v>9794</v>
      </c>
    </row>
    <row r="263" spans="1:67" x14ac:dyDescent="0.3">
      <c r="A263" s="4">
        <f>INT(Tabela1[[#This Row],[Data e Hora]])</f>
        <v>46282</v>
      </c>
      <c r="B263" s="4" t="str">
        <f>UPPER(TEXT(Tabela1[[#This Row],[Data Corrigida]],"MMM"))</f>
        <v>SET</v>
      </c>
      <c r="C263" t="s">
        <v>785</v>
      </c>
      <c r="D263" t="s">
        <v>786</v>
      </c>
      <c r="E263" t="s">
        <v>787</v>
      </c>
      <c r="F263" t="s">
        <v>19</v>
      </c>
      <c r="G263" s="5" t="s">
        <v>779</v>
      </c>
      <c r="H263" t="s">
        <v>20</v>
      </c>
      <c r="I263" t="s">
        <v>21</v>
      </c>
      <c r="J263" s="1">
        <v>160</v>
      </c>
      <c r="K263" s="1">
        <v>2694</v>
      </c>
      <c r="L263" t="s">
        <v>23</v>
      </c>
      <c r="M263" s="1">
        <v>33</v>
      </c>
      <c r="N263" s="48">
        <v>33</v>
      </c>
      <c r="O263" s="1">
        <v>13</v>
      </c>
      <c r="P263" s="48">
        <v>13</v>
      </c>
      <c r="Q263" s="1">
        <v>0</v>
      </c>
      <c r="R263" s="1">
        <v>0</v>
      </c>
      <c r="S263" s="1">
        <v>1</v>
      </c>
      <c r="T263" s="1">
        <v>1</v>
      </c>
      <c r="U263" s="1">
        <v>1</v>
      </c>
      <c r="V263" s="1">
        <v>1</v>
      </c>
      <c r="W263" s="1">
        <v>0</v>
      </c>
      <c r="X263" s="1">
        <v>0</v>
      </c>
      <c r="Y263" s="1">
        <v>7</v>
      </c>
      <c r="Z263" s="3">
        <v>2.1875</v>
      </c>
      <c r="AA263" s="1">
        <v>7</v>
      </c>
      <c r="AB263" s="3">
        <v>4.375</v>
      </c>
      <c r="AC263" s="1">
        <v>0</v>
      </c>
      <c r="AD263" s="3">
        <v>0</v>
      </c>
      <c r="AE263" s="1">
        <v>2</v>
      </c>
      <c r="AF263" s="3">
        <v>1.25</v>
      </c>
      <c r="AG263" s="1">
        <v>6</v>
      </c>
      <c r="AH263" s="3">
        <v>3.75</v>
      </c>
      <c r="AI263" s="1" t="s">
        <v>22</v>
      </c>
      <c r="AJ263" s="1">
        <v>4</v>
      </c>
      <c r="AK263" s="3">
        <v>2.5</v>
      </c>
      <c r="AL263" s="1">
        <v>3</v>
      </c>
      <c r="AM263" s="3">
        <v>1.875</v>
      </c>
      <c r="AN263" s="1" t="s">
        <v>22</v>
      </c>
      <c r="AO263" s="1">
        <v>7</v>
      </c>
      <c r="AP263" s="3">
        <v>4.375</v>
      </c>
      <c r="AQ263" s="3">
        <v>4</v>
      </c>
      <c r="AR263" s="3">
        <v>2.5</v>
      </c>
      <c r="AS263" s="1">
        <v>6</v>
      </c>
      <c r="AT263" s="3">
        <v>3.75</v>
      </c>
      <c r="AU263" s="1">
        <v>1</v>
      </c>
      <c r="AV263" s="3">
        <v>0.625</v>
      </c>
      <c r="AW263" s="1" t="s">
        <v>22</v>
      </c>
      <c r="AX263" s="1">
        <v>16</v>
      </c>
      <c r="AY263" s="1">
        <v>0</v>
      </c>
      <c r="AZ263" s="1">
        <v>0</v>
      </c>
      <c r="BA263" s="1">
        <v>32</v>
      </c>
      <c r="BB263" s="1">
        <v>0</v>
      </c>
      <c r="BC263" s="1">
        <v>0</v>
      </c>
      <c r="BD263" s="1">
        <v>0</v>
      </c>
      <c r="BE263" s="54">
        <v>0</v>
      </c>
      <c r="BF263" s="6">
        <v>28</v>
      </c>
      <c r="BG263" s="6">
        <v>10</v>
      </c>
      <c r="BH263" s="1">
        <v>1</v>
      </c>
      <c r="BI263" s="6">
        <v>10</v>
      </c>
      <c r="BJ263" s="1" t="s">
        <v>22</v>
      </c>
      <c r="BK263" s="1" t="s">
        <v>22</v>
      </c>
      <c r="BL263" s="1" t="s">
        <v>22</v>
      </c>
      <c r="BM263" s="1" t="s">
        <v>22</v>
      </c>
      <c r="BN263" t="s">
        <v>24</v>
      </c>
      <c r="BO263">
        <v>2244</v>
      </c>
    </row>
    <row r="264" spans="1:67" x14ac:dyDescent="0.3">
      <c r="A264" s="4">
        <f>INT(Tabela1[[#This Row],[Data e Hora]])</f>
        <v>46282</v>
      </c>
      <c r="B264" s="4" t="str">
        <f>UPPER(TEXT(Tabela1[[#This Row],[Data Corrigida]],"MMM"))</f>
        <v>SET</v>
      </c>
      <c r="C264" t="s">
        <v>788</v>
      </c>
      <c r="D264" t="s">
        <v>789</v>
      </c>
      <c r="E264" t="s">
        <v>787</v>
      </c>
      <c r="F264" t="s">
        <v>19</v>
      </c>
      <c r="G264" s="5" t="s">
        <v>779</v>
      </c>
      <c r="H264" t="s">
        <v>20</v>
      </c>
      <c r="I264" t="s">
        <v>21</v>
      </c>
      <c r="J264" s="1">
        <v>130</v>
      </c>
      <c r="K264" s="1">
        <v>2872</v>
      </c>
      <c r="L264" t="s">
        <v>23</v>
      </c>
      <c r="M264" s="1">
        <v>39</v>
      </c>
      <c r="N264" s="48">
        <v>39</v>
      </c>
      <c r="O264" s="1">
        <v>15</v>
      </c>
      <c r="P264" s="48">
        <v>15</v>
      </c>
      <c r="Q264" s="1">
        <v>0</v>
      </c>
      <c r="R264" s="1">
        <v>0</v>
      </c>
      <c r="S264" s="1">
        <v>1</v>
      </c>
      <c r="T264" s="1">
        <v>1</v>
      </c>
      <c r="U264" s="1">
        <v>2</v>
      </c>
      <c r="V264" s="1">
        <v>2</v>
      </c>
      <c r="W264" s="1">
        <v>0</v>
      </c>
      <c r="X264" s="1">
        <v>0</v>
      </c>
      <c r="Y264" s="1">
        <v>2</v>
      </c>
      <c r="Z264" s="3">
        <v>0.76923076923076927</v>
      </c>
      <c r="AA264" s="1">
        <v>7</v>
      </c>
      <c r="AB264" s="3">
        <v>5.384615384615385</v>
      </c>
      <c r="AC264" s="1">
        <v>0</v>
      </c>
      <c r="AD264" s="3">
        <v>0</v>
      </c>
      <c r="AE264" s="1">
        <v>2</v>
      </c>
      <c r="AF264" s="3">
        <v>1.5384615384615385</v>
      </c>
      <c r="AG264" s="1">
        <v>5</v>
      </c>
      <c r="AH264" s="3">
        <v>3.8461538461538463</v>
      </c>
      <c r="AI264" s="1" t="s">
        <v>22</v>
      </c>
      <c r="AJ264" s="1">
        <v>6</v>
      </c>
      <c r="AK264" s="3">
        <v>4.6153846153846159</v>
      </c>
      <c r="AL264" s="1">
        <v>2</v>
      </c>
      <c r="AM264" s="3">
        <v>1.5384615384615385</v>
      </c>
      <c r="AN264" s="1" t="s">
        <v>22</v>
      </c>
      <c r="AO264" s="1">
        <v>8</v>
      </c>
      <c r="AP264" s="3">
        <v>6.1538461538461542</v>
      </c>
      <c r="AQ264" s="3">
        <v>7</v>
      </c>
      <c r="AR264" s="3">
        <v>5.384615384615385</v>
      </c>
      <c r="AS264" s="1">
        <v>5</v>
      </c>
      <c r="AT264" s="3">
        <v>3.8461538461538463</v>
      </c>
      <c r="AU264" s="1">
        <v>1</v>
      </c>
      <c r="AV264" s="3">
        <v>0.76923076923076927</v>
      </c>
      <c r="AW264" s="1" t="s">
        <v>22</v>
      </c>
      <c r="AX264" s="1">
        <v>19</v>
      </c>
      <c r="AY264" s="1">
        <v>0</v>
      </c>
      <c r="AZ264" s="1">
        <v>0</v>
      </c>
      <c r="BA264" s="1">
        <v>38</v>
      </c>
      <c r="BB264" s="1">
        <v>0</v>
      </c>
      <c r="BC264" s="1">
        <v>0</v>
      </c>
      <c r="BD264" s="1">
        <v>0</v>
      </c>
      <c r="BE264" s="54">
        <v>0</v>
      </c>
      <c r="BF264" s="6">
        <v>22</v>
      </c>
      <c r="BG264" s="6">
        <v>15</v>
      </c>
      <c r="BH264" s="1">
        <v>1</v>
      </c>
      <c r="BI264" s="6">
        <v>10</v>
      </c>
      <c r="BJ264" s="1" t="s">
        <v>22</v>
      </c>
      <c r="BK264" s="1" t="s">
        <v>22</v>
      </c>
      <c r="BL264" s="1" t="s">
        <v>22</v>
      </c>
      <c r="BM264" s="1" t="s">
        <v>22</v>
      </c>
      <c r="BN264" t="s">
        <v>22</v>
      </c>
      <c r="BO264">
        <v>2004</v>
      </c>
    </row>
    <row r="265" spans="1:67" x14ac:dyDescent="0.3">
      <c r="A265" s="4">
        <f>INT(Tabela1[[#This Row],[Data e Hora]])</f>
        <v>46282</v>
      </c>
      <c r="B265" s="4" t="str">
        <f>UPPER(TEXT(Tabela1[[#This Row],[Data Corrigida]],"MMM"))</f>
        <v>SET</v>
      </c>
      <c r="C265" t="s">
        <v>790</v>
      </c>
      <c r="D265" t="s">
        <v>791</v>
      </c>
      <c r="E265" t="s">
        <v>787</v>
      </c>
      <c r="F265" t="s">
        <v>19</v>
      </c>
      <c r="G265" s="5" t="s">
        <v>779</v>
      </c>
      <c r="H265" t="s">
        <v>20</v>
      </c>
      <c r="I265" t="s">
        <v>21</v>
      </c>
      <c r="J265" s="1">
        <v>151</v>
      </c>
      <c r="K265" s="1">
        <v>2774</v>
      </c>
      <c r="L265" t="s">
        <v>23</v>
      </c>
      <c r="M265" s="1">
        <v>53</v>
      </c>
      <c r="N265" s="48">
        <v>53</v>
      </c>
      <c r="O265" s="1">
        <v>21</v>
      </c>
      <c r="P265" s="48">
        <v>21</v>
      </c>
      <c r="Q265" s="1">
        <v>0</v>
      </c>
      <c r="R265" s="1">
        <v>0</v>
      </c>
      <c r="S265" s="1">
        <v>1</v>
      </c>
      <c r="T265" s="1">
        <v>1</v>
      </c>
      <c r="U265" s="1">
        <v>1</v>
      </c>
      <c r="V265" s="1">
        <v>1</v>
      </c>
      <c r="W265" s="1">
        <v>0</v>
      </c>
      <c r="X265" s="1">
        <v>0</v>
      </c>
      <c r="Y265" s="1">
        <v>5</v>
      </c>
      <c r="Z265" s="3">
        <v>1.6556291390728477</v>
      </c>
      <c r="AA265" s="1">
        <v>8</v>
      </c>
      <c r="AB265" s="3">
        <v>5.298013245033113</v>
      </c>
      <c r="AC265" s="1">
        <v>0</v>
      </c>
      <c r="AD265" s="3">
        <v>0</v>
      </c>
      <c r="AE265" s="1">
        <v>2</v>
      </c>
      <c r="AF265" s="3">
        <v>1.3245033112582782</v>
      </c>
      <c r="AG265" s="1">
        <v>7</v>
      </c>
      <c r="AH265" s="3">
        <v>4.6357615894039732</v>
      </c>
      <c r="AI265" s="1" t="s">
        <v>22</v>
      </c>
      <c r="AJ265" s="1">
        <v>4</v>
      </c>
      <c r="AK265" s="3">
        <v>2.6490066225165565</v>
      </c>
      <c r="AL265" s="1">
        <v>2</v>
      </c>
      <c r="AM265" s="3">
        <v>1.3245033112582782</v>
      </c>
      <c r="AN265" s="1" t="s">
        <v>22</v>
      </c>
      <c r="AO265" s="1">
        <v>9</v>
      </c>
      <c r="AP265" s="3">
        <v>5.9602649006622519</v>
      </c>
      <c r="AQ265" s="3">
        <v>4</v>
      </c>
      <c r="AR265" s="3">
        <v>2.6490066225165565</v>
      </c>
      <c r="AS265" s="1">
        <v>7</v>
      </c>
      <c r="AT265" s="3">
        <v>4.6357615894039732</v>
      </c>
      <c r="AU265" s="1">
        <v>1</v>
      </c>
      <c r="AV265" s="3">
        <v>0.66225165562913912</v>
      </c>
      <c r="AW265" s="1" t="s">
        <v>22</v>
      </c>
      <c r="AX265" s="1">
        <v>17</v>
      </c>
      <c r="AY265" s="1">
        <v>0</v>
      </c>
      <c r="AZ265" s="1">
        <v>0</v>
      </c>
      <c r="BA265" s="1">
        <v>34</v>
      </c>
      <c r="BB265" s="1">
        <v>0</v>
      </c>
      <c r="BC265" s="1">
        <v>0</v>
      </c>
      <c r="BD265" s="1">
        <v>0</v>
      </c>
      <c r="BE265" s="54">
        <v>0</v>
      </c>
      <c r="BF265" s="6">
        <v>27</v>
      </c>
      <c r="BG265" s="6">
        <v>13</v>
      </c>
      <c r="BH265" s="1">
        <v>1</v>
      </c>
      <c r="BI265" s="6">
        <v>10</v>
      </c>
      <c r="BJ265" s="1" t="s">
        <v>22</v>
      </c>
      <c r="BK265" s="6">
        <v>1</v>
      </c>
      <c r="BL265" s="6">
        <v>0</v>
      </c>
      <c r="BM265" s="1">
        <v>1</v>
      </c>
      <c r="BN265" t="s">
        <v>24</v>
      </c>
      <c r="BO265">
        <v>3513</v>
      </c>
    </row>
    <row r="266" spans="1:67" x14ac:dyDescent="0.3">
      <c r="A266" s="4">
        <f>INT(Tabela1[[#This Row],[Data e Hora]])</f>
        <v>46282</v>
      </c>
      <c r="B266" s="4" t="str">
        <f>UPPER(TEXT(Tabela1[[#This Row],[Data Corrigida]],"MMM"))</f>
        <v>SET</v>
      </c>
      <c r="C266" t="s">
        <v>792</v>
      </c>
      <c r="D266" t="s">
        <v>793</v>
      </c>
      <c r="E266" t="s">
        <v>794</v>
      </c>
      <c r="F266" t="s">
        <v>19</v>
      </c>
      <c r="G266" s="5" t="s">
        <v>779</v>
      </c>
      <c r="H266" t="s">
        <v>20</v>
      </c>
      <c r="I266" t="s">
        <v>21</v>
      </c>
      <c r="J266" s="1">
        <v>146</v>
      </c>
      <c r="K266" s="1">
        <v>2800</v>
      </c>
      <c r="L266" t="s">
        <v>23</v>
      </c>
      <c r="M266" s="1">
        <v>25</v>
      </c>
      <c r="N266" s="48">
        <v>25</v>
      </c>
      <c r="O266" s="1">
        <v>11</v>
      </c>
      <c r="P266" s="48">
        <v>11</v>
      </c>
      <c r="Q266" s="1">
        <v>0</v>
      </c>
      <c r="R266" s="1">
        <v>0</v>
      </c>
      <c r="S266" s="1">
        <v>1</v>
      </c>
      <c r="T266" s="1">
        <v>1</v>
      </c>
      <c r="U266" s="1">
        <v>1</v>
      </c>
      <c r="V266" s="1">
        <v>1</v>
      </c>
      <c r="W266" s="1">
        <v>0</v>
      </c>
      <c r="X266" s="1">
        <v>0</v>
      </c>
      <c r="Y266" s="1">
        <v>6</v>
      </c>
      <c r="Z266" s="3">
        <v>2.054794520547945</v>
      </c>
      <c r="AA266" s="1">
        <v>3</v>
      </c>
      <c r="AB266" s="3">
        <v>2.054794520547945</v>
      </c>
      <c r="AC266" s="1">
        <v>0</v>
      </c>
      <c r="AD266" s="3">
        <v>0</v>
      </c>
      <c r="AE266" s="1">
        <v>2</v>
      </c>
      <c r="AF266" s="3">
        <v>1.3698630136986301</v>
      </c>
      <c r="AG266" s="1">
        <v>5</v>
      </c>
      <c r="AH266" s="3">
        <v>3.4246575342465753</v>
      </c>
      <c r="AI266" s="1" t="s">
        <v>22</v>
      </c>
      <c r="AJ266" s="1">
        <v>3</v>
      </c>
      <c r="AK266" s="3">
        <v>2.054794520547945</v>
      </c>
      <c r="AL266" s="1">
        <v>2</v>
      </c>
      <c r="AM266" s="3">
        <v>1.3698630136986301</v>
      </c>
      <c r="AN266" s="1" t="s">
        <v>22</v>
      </c>
      <c r="AO266" s="1">
        <v>5</v>
      </c>
      <c r="AP266" s="3">
        <v>3.4246575342465753</v>
      </c>
      <c r="AQ266" s="3">
        <v>2</v>
      </c>
      <c r="AR266" s="3">
        <v>1.3698630136986301</v>
      </c>
      <c r="AS266" s="1">
        <v>6</v>
      </c>
      <c r="AT266" s="3">
        <v>4.10958904109589</v>
      </c>
      <c r="AU266" s="1">
        <v>1</v>
      </c>
      <c r="AV266" s="3">
        <v>0.68493150684931503</v>
      </c>
      <c r="AW266" s="1" t="s">
        <v>22</v>
      </c>
      <c r="AX266" s="1">
        <v>16</v>
      </c>
      <c r="AY266" s="1">
        <v>0</v>
      </c>
      <c r="AZ266" s="1">
        <v>0</v>
      </c>
      <c r="BA266" s="1">
        <v>32</v>
      </c>
      <c r="BB266" s="1">
        <v>0</v>
      </c>
      <c r="BC266" s="1">
        <v>0</v>
      </c>
      <c r="BD266" s="1">
        <v>0</v>
      </c>
      <c r="BE266" s="54">
        <v>0</v>
      </c>
      <c r="BF266" s="6">
        <v>25</v>
      </c>
      <c r="BG266" s="6">
        <v>18</v>
      </c>
      <c r="BH266" s="1">
        <v>2</v>
      </c>
      <c r="BI266" s="6">
        <v>20</v>
      </c>
      <c r="BJ266" s="1" t="s">
        <v>22</v>
      </c>
      <c r="BK266" s="1" t="s">
        <v>22</v>
      </c>
      <c r="BL266" s="1" t="s">
        <v>22</v>
      </c>
      <c r="BM266" s="1" t="s">
        <v>22</v>
      </c>
      <c r="BN266" t="s">
        <v>24</v>
      </c>
      <c r="BO266">
        <v>1856</v>
      </c>
    </row>
    <row r="267" spans="1:67" x14ac:dyDescent="0.3">
      <c r="A267" s="4">
        <f>INT(Tabela1[[#This Row],[Data e Hora]])</f>
        <v>46286</v>
      </c>
      <c r="B267" s="4" t="str">
        <f>UPPER(TEXT(Tabela1[[#This Row],[Data Corrigida]],"MMM"))</f>
        <v>SET</v>
      </c>
      <c r="C267" s="57" t="s">
        <v>795</v>
      </c>
      <c r="D267" t="s">
        <v>796</v>
      </c>
      <c r="E267" t="s">
        <v>797</v>
      </c>
      <c r="F267" t="s">
        <v>19</v>
      </c>
      <c r="G267" s="5" t="s">
        <v>798</v>
      </c>
      <c r="H267" t="s">
        <v>20</v>
      </c>
      <c r="I267" t="s">
        <v>33</v>
      </c>
      <c r="J267" s="1">
        <v>151</v>
      </c>
      <c r="K267" s="1">
        <v>2686</v>
      </c>
      <c r="L267" t="s">
        <v>34</v>
      </c>
      <c r="M267" s="1">
        <v>20</v>
      </c>
      <c r="N267" s="48">
        <v>20</v>
      </c>
      <c r="O267" s="1">
        <v>5</v>
      </c>
      <c r="P267" s="48">
        <v>5</v>
      </c>
      <c r="Q267" s="1">
        <v>0</v>
      </c>
      <c r="R267" s="1">
        <v>0</v>
      </c>
      <c r="S267" s="1">
        <v>1</v>
      </c>
      <c r="T267" s="1">
        <v>1</v>
      </c>
      <c r="U267" s="1">
        <v>0</v>
      </c>
      <c r="V267" s="1">
        <v>0</v>
      </c>
      <c r="W267" s="1">
        <v>0</v>
      </c>
      <c r="X267" s="1">
        <v>0</v>
      </c>
      <c r="Y267" s="1">
        <v>10</v>
      </c>
      <c r="Z267" s="3">
        <v>3.3112582781456954</v>
      </c>
      <c r="AA267" s="1">
        <v>5</v>
      </c>
      <c r="AB267" s="3">
        <v>3.3112582781456954</v>
      </c>
      <c r="AC267" s="1">
        <v>0</v>
      </c>
      <c r="AD267" s="3">
        <v>0</v>
      </c>
      <c r="AE267" s="1">
        <v>1</v>
      </c>
      <c r="AF267" s="3">
        <v>0.66225165562913912</v>
      </c>
      <c r="AG267" s="1">
        <v>2</v>
      </c>
      <c r="AH267" s="3">
        <v>1.3245033112582782</v>
      </c>
      <c r="AI267" s="1" t="s">
        <v>22</v>
      </c>
      <c r="AJ267" s="1">
        <v>0</v>
      </c>
      <c r="AK267" s="3">
        <v>0</v>
      </c>
      <c r="AL267" s="1">
        <v>0</v>
      </c>
      <c r="AM267" s="3">
        <v>0</v>
      </c>
      <c r="AN267" s="1" t="s">
        <v>22</v>
      </c>
      <c r="AO267" s="1">
        <v>6</v>
      </c>
      <c r="AP267" s="3">
        <v>3.9735099337748347</v>
      </c>
      <c r="AQ267" s="3">
        <v>5</v>
      </c>
      <c r="AR267" s="3">
        <v>3.3112582781456954</v>
      </c>
      <c r="AS267" s="1">
        <v>6</v>
      </c>
      <c r="AT267" s="3">
        <v>3.9735099337748347</v>
      </c>
      <c r="AU267" s="1">
        <v>0</v>
      </c>
      <c r="AV267" s="3">
        <v>0</v>
      </c>
      <c r="AW267" s="1" t="s">
        <v>22</v>
      </c>
      <c r="AX267" s="1">
        <v>10</v>
      </c>
      <c r="AY267" s="1">
        <v>0</v>
      </c>
      <c r="AZ267" s="1">
        <v>0</v>
      </c>
      <c r="BA267" s="1">
        <v>20</v>
      </c>
      <c r="BB267" s="1">
        <v>0</v>
      </c>
      <c r="BC267" s="1">
        <v>0</v>
      </c>
      <c r="BD267" s="1">
        <v>0</v>
      </c>
      <c r="BE267" s="54">
        <v>0</v>
      </c>
      <c r="BF267" s="6">
        <v>20</v>
      </c>
      <c r="BG267" s="6">
        <v>18</v>
      </c>
      <c r="BH267" s="1">
        <v>0</v>
      </c>
      <c r="BI267" s="6">
        <v>0</v>
      </c>
      <c r="BJ267" s="1" t="s">
        <v>22</v>
      </c>
      <c r="BK267" s="6">
        <v>9</v>
      </c>
      <c r="BL267" s="6">
        <v>0</v>
      </c>
      <c r="BM267" s="1">
        <v>0</v>
      </c>
      <c r="BN267" t="s">
        <v>24</v>
      </c>
      <c r="BO267">
        <v>310</v>
      </c>
    </row>
    <row r="268" spans="1:67" x14ac:dyDescent="0.3">
      <c r="A268" s="4">
        <f>INT(Tabela1[[#This Row],[Data e Hora]])</f>
        <v>46286</v>
      </c>
      <c r="B268" s="4" t="str">
        <f>UPPER(TEXT(Tabela1[[#This Row],[Data Corrigida]],"MMM"))</f>
        <v>SET</v>
      </c>
      <c r="C268" t="s">
        <v>799</v>
      </c>
      <c r="D268" t="s">
        <v>800</v>
      </c>
      <c r="E268" t="s">
        <v>801</v>
      </c>
      <c r="F268" t="s">
        <v>19</v>
      </c>
      <c r="G268" s="5" t="s">
        <v>798</v>
      </c>
      <c r="H268" t="s">
        <v>20</v>
      </c>
      <c r="I268" t="s">
        <v>33</v>
      </c>
      <c r="J268" s="1">
        <v>114</v>
      </c>
      <c r="K268" s="1">
        <v>2767</v>
      </c>
      <c r="L268" t="s">
        <v>34</v>
      </c>
      <c r="M268" s="1">
        <v>19</v>
      </c>
      <c r="N268" s="48">
        <v>19</v>
      </c>
      <c r="O268" s="1">
        <v>12</v>
      </c>
      <c r="P268" s="48">
        <v>12</v>
      </c>
      <c r="Q268" s="1">
        <v>0</v>
      </c>
      <c r="R268" s="1">
        <v>0</v>
      </c>
      <c r="S268" s="1">
        <v>2</v>
      </c>
      <c r="T268" s="1">
        <v>2</v>
      </c>
      <c r="U268" s="1">
        <v>1</v>
      </c>
      <c r="V268" s="1">
        <v>1</v>
      </c>
      <c r="W268" s="1">
        <v>4</v>
      </c>
      <c r="X268" s="1">
        <v>20</v>
      </c>
      <c r="Y268" s="1">
        <v>5</v>
      </c>
      <c r="Z268" s="3">
        <v>2.1929824561403506</v>
      </c>
      <c r="AA268" s="1">
        <v>6</v>
      </c>
      <c r="AB268" s="3">
        <v>5.2631578947368416</v>
      </c>
      <c r="AC268" s="1">
        <v>0</v>
      </c>
      <c r="AD268" s="3">
        <v>0</v>
      </c>
      <c r="AE268" s="1">
        <v>2</v>
      </c>
      <c r="AF268" s="3">
        <v>1.7543859649122806</v>
      </c>
      <c r="AG268" s="1">
        <v>2</v>
      </c>
      <c r="AH268" s="3">
        <v>1.7543859649122806</v>
      </c>
      <c r="AI268" s="1" t="s">
        <v>22</v>
      </c>
      <c r="AJ268" s="1">
        <v>0</v>
      </c>
      <c r="AK268" s="3">
        <v>0</v>
      </c>
      <c r="AL268" s="1">
        <v>0</v>
      </c>
      <c r="AM268" s="3">
        <v>0</v>
      </c>
      <c r="AN268" s="1" t="s">
        <v>22</v>
      </c>
      <c r="AO268" s="1">
        <v>11</v>
      </c>
      <c r="AP268" s="3">
        <v>9.6491228070175428</v>
      </c>
      <c r="AQ268" s="3">
        <v>7</v>
      </c>
      <c r="AR268" s="3">
        <v>6.140350877192982</v>
      </c>
      <c r="AS268" s="1">
        <v>6</v>
      </c>
      <c r="AT268" s="3">
        <v>5.2631578947368416</v>
      </c>
      <c r="AU268" s="1">
        <v>0</v>
      </c>
      <c r="AV268" s="3">
        <v>0</v>
      </c>
      <c r="AW268" s="1" t="s">
        <v>22</v>
      </c>
      <c r="AX268" s="1">
        <v>20</v>
      </c>
      <c r="AY268" s="1">
        <v>0</v>
      </c>
      <c r="AZ268" s="1">
        <v>1</v>
      </c>
      <c r="BA268" s="1">
        <v>40</v>
      </c>
      <c r="BB268" s="1">
        <v>0</v>
      </c>
      <c r="BC268" s="1">
        <v>2</v>
      </c>
      <c r="BD268" s="1">
        <v>0</v>
      </c>
      <c r="BE268" s="54">
        <v>0</v>
      </c>
      <c r="BF268" s="6">
        <v>19</v>
      </c>
      <c r="BG268" s="6">
        <v>18</v>
      </c>
      <c r="BH268" s="1">
        <v>0</v>
      </c>
      <c r="BI268" s="6">
        <v>0</v>
      </c>
      <c r="BJ268" s="1" t="s">
        <v>22</v>
      </c>
      <c r="BK268" s="6">
        <v>10</v>
      </c>
      <c r="BL268" s="6">
        <v>0</v>
      </c>
      <c r="BM268" s="1">
        <v>0</v>
      </c>
      <c r="BN268" t="s">
        <v>24</v>
      </c>
      <c r="BO268">
        <v>9225</v>
      </c>
    </row>
    <row r="269" spans="1:67" x14ac:dyDescent="0.3">
      <c r="A269" s="4">
        <f>INT(Tabela1[[#This Row],[Data e Hora]])</f>
        <v>46286</v>
      </c>
      <c r="B269" s="4" t="str">
        <f>UPPER(TEXT(Tabela1[[#This Row],[Data Corrigida]],"MMM"))</f>
        <v>SET</v>
      </c>
      <c r="C269" t="s">
        <v>802</v>
      </c>
      <c r="D269" t="s">
        <v>803</v>
      </c>
      <c r="E269" t="s">
        <v>801</v>
      </c>
      <c r="F269" t="s">
        <v>19</v>
      </c>
      <c r="G269" s="5" t="s">
        <v>798</v>
      </c>
      <c r="H269" t="s">
        <v>20</v>
      </c>
      <c r="I269" t="s">
        <v>33</v>
      </c>
      <c r="J269" s="1">
        <v>130</v>
      </c>
      <c r="K269" s="1">
        <v>2813</v>
      </c>
      <c r="L269" t="s">
        <v>34</v>
      </c>
      <c r="M269" s="1">
        <v>23</v>
      </c>
      <c r="N269" s="48">
        <v>23</v>
      </c>
      <c r="O269" s="1">
        <v>6</v>
      </c>
      <c r="P269" s="48">
        <v>6</v>
      </c>
      <c r="Q269" s="1">
        <v>0</v>
      </c>
      <c r="R269" s="1">
        <v>0</v>
      </c>
      <c r="S269" s="1">
        <v>2</v>
      </c>
      <c r="T269" s="1">
        <v>2</v>
      </c>
      <c r="U269" s="1">
        <v>0</v>
      </c>
      <c r="V269" s="1">
        <v>0</v>
      </c>
      <c r="W269" s="1">
        <v>0</v>
      </c>
      <c r="X269" s="1">
        <v>0</v>
      </c>
      <c r="Y269" s="1">
        <v>4</v>
      </c>
      <c r="Z269" s="3">
        <v>1.5384615384615385</v>
      </c>
      <c r="AA269" s="1">
        <v>6</v>
      </c>
      <c r="AB269" s="3">
        <v>4.6153846153846159</v>
      </c>
      <c r="AC269" s="1">
        <v>0</v>
      </c>
      <c r="AD269" s="3">
        <v>0</v>
      </c>
      <c r="AE269" s="1">
        <v>0</v>
      </c>
      <c r="AF269" s="3">
        <v>0</v>
      </c>
      <c r="AG269" s="1">
        <v>2</v>
      </c>
      <c r="AH269" s="3">
        <v>1.5384615384615385</v>
      </c>
      <c r="AI269" s="1" t="s">
        <v>22</v>
      </c>
      <c r="AJ269" s="1">
        <v>0</v>
      </c>
      <c r="AK269" s="3">
        <v>0</v>
      </c>
      <c r="AL269" s="1">
        <v>0</v>
      </c>
      <c r="AM269" s="3">
        <v>0</v>
      </c>
      <c r="AN269" s="1" t="s">
        <v>22</v>
      </c>
      <c r="AO269" s="1">
        <v>5</v>
      </c>
      <c r="AP269" s="3">
        <v>3.8461538461538463</v>
      </c>
      <c r="AQ269" s="3">
        <v>10</v>
      </c>
      <c r="AR269" s="3">
        <v>7.6923076923076925</v>
      </c>
      <c r="AS269" s="1">
        <v>4</v>
      </c>
      <c r="AT269" s="3">
        <v>3.0769230769230771</v>
      </c>
      <c r="AU269" s="1">
        <v>0</v>
      </c>
      <c r="AV269" s="3">
        <v>0</v>
      </c>
      <c r="AW269" s="1" t="s">
        <v>22</v>
      </c>
      <c r="AX269" s="1">
        <v>18</v>
      </c>
      <c r="AY269" s="1">
        <v>0</v>
      </c>
      <c r="AZ269" s="1">
        <v>0</v>
      </c>
      <c r="BA269" s="1">
        <v>36</v>
      </c>
      <c r="BB269" s="1">
        <v>0</v>
      </c>
      <c r="BC269" s="1">
        <v>0</v>
      </c>
      <c r="BD269" s="1">
        <v>1</v>
      </c>
      <c r="BE269" s="54">
        <v>0.76923076923076927</v>
      </c>
      <c r="BF269" s="6">
        <v>18</v>
      </c>
      <c r="BG269" s="6">
        <v>14</v>
      </c>
      <c r="BH269" s="1">
        <v>0</v>
      </c>
      <c r="BI269" s="6">
        <v>0</v>
      </c>
      <c r="BJ269" s="1" t="s">
        <v>22</v>
      </c>
      <c r="BK269" s="1" t="s">
        <v>22</v>
      </c>
      <c r="BL269" s="1" t="s">
        <v>22</v>
      </c>
      <c r="BM269" s="1" t="s">
        <v>22</v>
      </c>
      <c r="BN269" t="s">
        <v>24</v>
      </c>
      <c r="BO269">
        <v>13150</v>
      </c>
    </row>
    <row r="270" spans="1:67" x14ac:dyDescent="0.3">
      <c r="A270" s="4">
        <f>INT(Tabela1[[#This Row],[Data e Hora]])</f>
        <v>46286</v>
      </c>
      <c r="B270" s="4" t="str">
        <f>UPPER(TEXT(Tabela1[[#This Row],[Data Corrigida]],"MMM"))</f>
        <v>SET</v>
      </c>
      <c r="C270" t="s">
        <v>804</v>
      </c>
      <c r="D270" t="s">
        <v>805</v>
      </c>
      <c r="E270" t="s">
        <v>806</v>
      </c>
      <c r="F270" t="s">
        <v>19</v>
      </c>
      <c r="G270" s="5" t="s">
        <v>798</v>
      </c>
      <c r="H270" t="s">
        <v>20</v>
      </c>
      <c r="I270" t="s">
        <v>21</v>
      </c>
      <c r="J270" s="1">
        <v>161</v>
      </c>
      <c r="K270" s="1">
        <v>2846</v>
      </c>
      <c r="L270" t="s">
        <v>23</v>
      </c>
      <c r="M270" s="1">
        <v>35</v>
      </c>
      <c r="N270" s="48">
        <v>35</v>
      </c>
      <c r="O270" s="1">
        <v>14</v>
      </c>
      <c r="P270" s="48">
        <v>14.000000000000002</v>
      </c>
      <c r="Q270" s="1">
        <v>0</v>
      </c>
      <c r="R270" s="1">
        <v>0</v>
      </c>
      <c r="S270" s="1">
        <v>4</v>
      </c>
      <c r="T270" s="1">
        <v>4</v>
      </c>
      <c r="U270" s="1">
        <v>1</v>
      </c>
      <c r="V270" s="1">
        <v>1</v>
      </c>
      <c r="W270" s="1">
        <v>0</v>
      </c>
      <c r="X270" s="1">
        <v>0</v>
      </c>
      <c r="Y270" s="1">
        <v>1</v>
      </c>
      <c r="Z270" s="3">
        <v>0.3105590062111801</v>
      </c>
      <c r="AA270" s="1">
        <v>3</v>
      </c>
      <c r="AB270" s="3">
        <v>1.8633540372670807</v>
      </c>
      <c r="AC270" s="1">
        <v>0</v>
      </c>
      <c r="AD270" s="3">
        <v>0</v>
      </c>
      <c r="AE270" s="1">
        <v>3</v>
      </c>
      <c r="AF270" s="3">
        <v>1.8633540372670807</v>
      </c>
      <c r="AG270" s="1">
        <v>7</v>
      </c>
      <c r="AH270" s="3">
        <v>4.3478260869565215</v>
      </c>
      <c r="AI270" s="1" t="s">
        <v>22</v>
      </c>
      <c r="AJ270" s="1">
        <v>3</v>
      </c>
      <c r="AK270" s="3">
        <v>1.8633540372670807</v>
      </c>
      <c r="AL270" s="1">
        <v>3</v>
      </c>
      <c r="AM270" s="3">
        <v>1.8633540372670807</v>
      </c>
      <c r="AN270" s="1" t="s">
        <v>22</v>
      </c>
      <c r="AO270" s="1">
        <v>6</v>
      </c>
      <c r="AP270" s="3">
        <v>3.7267080745341614</v>
      </c>
      <c r="AQ270" s="3">
        <v>5</v>
      </c>
      <c r="AR270" s="3">
        <v>3.1055900621118013</v>
      </c>
      <c r="AS270" s="1">
        <v>6</v>
      </c>
      <c r="AT270" s="3">
        <v>3.7267080745341614</v>
      </c>
      <c r="AU270" s="1">
        <v>1</v>
      </c>
      <c r="AV270" s="3">
        <v>0.6211180124223602</v>
      </c>
      <c r="AW270" s="1" t="s">
        <v>22</v>
      </c>
      <c r="AX270" s="1">
        <v>20</v>
      </c>
      <c r="AY270" s="1">
        <v>0</v>
      </c>
      <c r="AZ270" s="1">
        <v>0</v>
      </c>
      <c r="BA270" s="1">
        <v>40</v>
      </c>
      <c r="BB270" s="1">
        <v>0</v>
      </c>
      <c r="BC270" s="1">
        <v>0</v>
      </c>
      <c r="BD270" s="1">
        <v>1</v>
      </c>
      <c r="BE270" s="54">
        <v>0.6211180124223602</v>
      </c>
      <c r="BF270" s="6">
        <v>27</v>
      </c>
      <c r="BG270" s="6">
        <v>15</v>
      </c>
      <c r="BH270" s="1">
        <v>1</v>
      </c>
      <c r="BI270" s="6">
        <v>10</v>
      </c>
      <c r="BJ270" s="1" t="s">
        <v>22</v>
      </c>
      <c r="BK270" s="1" t="s">
        <v>22</v>
      </c>
      <c r="BL270" s="1" t="s">
        <v>22</v>
      </c>
      <c r="BM270" s="1" t="s">
        <v>22</v>
      </c>
      <c r="BN270" t="s">
        <v>24</v>
      </c>
      <c r="BO270">
        <v>2650</v>
      </c>
    </row>
    <row r="271" spans="1:67" x14ac:dyDescent="0.3">
      <c r="A271" s="4">
        <f>INT(Tabela1[[#This Row],[Data e Hora]])</f>
        <v>46286</v>
      </c>
      <c r="B271" s="4" t="str">
        <f>UPPER(TEXT(Tabela1[[#This Row],[Data Corrigida]],"MMM"))</f>
        <v>SET</v>
      </c>
      <c r="C271" t="s">
        <v>807</v>
      </c>
      <c r="D271" t="s">
        <v>808</v>
      </c>
      <c r="E271" t="s">
        <v>809</v>
      </c>
      <c r="F271" t="s">
        <v>19</v>
      </c>
      <c r="G271" s="5" t="s">
        <v>798</v>
      </c>
      <c r="H271" t="s">
        <v>20</v>
      </c>
      <c r="I271" t="s">
        <v>21</v>
      </c>
      <c r="J271" s="1">
        <v>150</v>
      </c>
      <c r="K271" s="1">
        <v>2910</v>
      </c>
      <c r="L271" t="s">
        <v>23</v>
      </c>
      <c r="M271" s="1">
        <v>25</v>
      </c>
      <c r="N271" s="48">
        <v>25</v>
      </c>
      <c r="O271" s="1">
        <v>6</v>
      </c>
      <c r="P271" s="48">
        <v>6</v>
      </c>
      <c r="Q271" s="1">
        <v>0</v>
      </c>
      <c r="R271" s="1">
        <v>0</v>
      </c>
      <c r="S271" s="1">
        <v>2</v>
      </c>
      <c r="T271" s="1">
        <v>2</v>
      </c>
      <c r="U271" s="1">
        <v>0</v>
      </c>
      <c r="V271" s="1">
        <v>0</v>
      </c>
      <c r="W271" s="1">
        <v>0</v>
      </c>
      <c r="X271" s="1">
        <v>0</v>
      </c>
      <c r="Y271" s="1">
        <v>1</v>
      </c>
      <c r="Z271" s="3">
        <v>0.33333333333333337</v>
      </c>
      <c r="AA271" s="1">
        <v>3</v>
      </c>
      <c r="AB271" s="3">
        <v>2</v>
      </c>
      <c r="AC271" s="1">
        <v>0</v>
      </c>
      <c r="AD271" s="3">
        <v>0</v>
      </c>
      <c r="AE271" s="1">
        <v>0</v>
      </c>
      <c r="AF271" s="3">
        <v>0</v>
      </c>
      <c r="AG271" s="1">
        <v>6</v>
      </c>
      <c r="AH271" s="3">
        <v>4</v>
      </c>
      <c r="AI271" s="1" t="s">
        <v>22</v>
      </c>
      <c r="AJ271" s="1">
        <v>3</v>
      </c>
      <c r="AK271" s="3">
        <v>2</v>
      </c>
      <c r="AL271" s="1">
        <v>2</v>
      </c>
      <c r="AM271" s="3">
        <v>1.3333333333333335</v>
      </c>
      <c r="AN271" s="1" t="s">
        <v>22</v>
      </c>
      <c r="AO271" s="1">
        <v>5</v>
      </c>
      <c r="AP271" s="3">
        <v>3.3333333333333335</v>
      </c>
      <c r="AQ271" s="3">
        <v>2</v>
      </c>
      <c r="AR271" s="3">
        <v>1.3333333333333335</v>
      </c>
      <c r="AS271" s="1">
        <v>6</v>
      </c>
      <c r="AT271" s="3">
        <v>4</v>
      </c>
      <c r="AU271" s="1">
        <v>1</v>
      </c>
      <c r="AV271" s="3">
        <v>0.66666666666666674</v>
      </c>
      <c r="AW271" s="1" t="s">
        <v>22</v>
      </c>
      <c r="AX271" s="1">
        <v>17</v>
      </c>
      <c r="AY271" s="1">
        <v>0</v>
      </c>
      <c r="AZ271" s="1">
        <v>0</v>
      </c>
      <c r="BA271" s="1">
        <v>34</v>
      </c>
      <c r="BB271" s="1">
        <v>0</v>
      </c>
      <c r="BC271" s="1">
        <v>0</v>
      </c>
      <c r="BD271" s="1">
        <v>0</v>
      </c>
      <c r="BE271" s="54">
        <v>0</v>
      </c>
      <c r="BF271" s="6">
        <v>21</v>
      </c>
      <c r="BG271" s="6">
        <v>11</v>
      </c>
      <c r="BH271" s="1">
        <v>1</v>
      </c>
      <c r="BI271" s="6">
        <v>10</v>
      </c>
      <c r="BJ271" s="1" t="s">
        <v>22</v>
      </c>
      <c r="BK271" s="1" t="s">
        <v>22</v>
      </c>
      <c r="BL271" s="1" t="s">
        <v>22</v>
      </c>
      <c r="BM271" s="1" t="s">
        <v>22</v>
      </c>
      <c r="BN271" t="s">
        <v>22</v>
      </c>
      <c r="BO271">
        <v>1667</v>
      </c>
    </row>
    <row r="272" spans="1:67" x14ac:dyDescent="0.3">
      <c r="A272" s="4">
        <f>INT(Tabela1[[#This Row],[Data e Hora]])</f>
        <v>46286</v>
      </c>
      <c r="B272" s="4" t="str">
        <f>UPPER(TEXT(Tabela1[[#This Row],[Data Corrigida]],"MMM"))</f>
        <v>SET</v>
      </c>
      <c r="C272" t="s">
        <v>810</v>
      </c>
      <c r="D272" t="s">
        <v>811</v>
      </c>
      <c r="E272" t="s">
        <v>809</v>
      </c>
      <c r="F272" t="s">
        <v>19</v>
      </c>
      <c r="G272" s="5" t="s">
        <v>798</v>
      </c>
      <c r="H272" t="s">
        <v>20</v>
      </c>
      <c r="I272" t="s">
        <v>21</v>
      </c>
      <c r="J272" s="1">
        <v>156</v>
      </c>
      <c r="K272" s="1">
        <v>2960</v>
      </c>
      <c r="L272" t="s">
        <v>23</v>
      </c>
      <c r="M272" s="1">
        <v>29</v>
      </c>
      <c r="N272" s="48">
        <v>28.999999999999996</v>
      </c>
      <c r="O272" s="1">
        <v>13</v>
      </c>
      <c r="P272" s="48">
        <v>13</v>
      </c>
      <c r="Q272" s="1">
        <v>0</v>
      </c>
      <c r="R272" s="1">
        <v>0</v>
      </c>
      <c r="S272" s="1">
        <v>3</v>
      </c>
      <c r="T272" s="1">
        <v>3</v>
      </c>
      <c r="U272" s="1">
        <v>1</v>
      </c>
      <c r="V272" s="1">
        <v>1</v>
      </c>
      <c r="W272" s="1">
        <v>0</v>
      </c>
      <c r="X272" s="1">
        <v>0</v>
      </c>
      <c r="Y272" s="1">
        <v>1</v>
      </c>
      <c r="Z272" s="3">
        <v>0.32051282051282048</v>
      </c>
      <c r="AA272" s="1">
        <v>2</v>
      </c>
      <c r="AB272" s="3">
        <v>1.2820512820512819</v>
      </c>
      <c r="AC272" s="1">
        <v>0</v>
      </c>
      <c r="AD272" s="3">
        <v>0</v>
      </c>
      <c r="AE272" s="1">
        <v>1</v>
      </c>
      <c r="AF272" s="3">
        <v>0.64102564102564097</v>
      </c>
      <c r="AG272" s="1">
        <v>9</v>
      </c>
      <c r="AH272" s="3">
        <v>5.7692307692307692</v>
      </c>
      <c r="AI272" s="1" t="s">
        <v>22</v>
      </c>
      <c r="AJ272" s="1">
        <v>3</v>
      </c>
      <c r="AK272" s="3">
        <v>1.9230769230769231</v>
      </c>
      <c r="AL272" s="1">
        <v>2</v>
      </c>
      <c r="AM272" s="3">
        <v>1.2820512820512819</v>
      </c>
      <c r="AN272" s="1" t="s">
        <v>22</v>
      </c>
      <c r="AO272" s="1">
        <v>6</v>
      </c>
      <c r="AP272" s="3">
        <v>3.8461538461538463</v>
      </c>
      <c r="AQ272" s="3">
        <v>8</v>
      </c>
      <c r="AR272" s="3">
        <v>5.1282051282051277</v>
      </c>
      <c r="AS272" s="1">
        <v>7</v>
      </c>
      <c r="AT272" s="3">
        <v>4.4871794871794872</v>
      </c>
      <c r="AU272" s="1">
        <v>1</v>
      </c>
      <c r="AV272" s="3">
        <v>0.64102564102564097</v>
      </c>
      <c r="AW272" s="1" t="s">
        <v>22</v>
      </c>
      <c r="AX272" s="1">
        <v>19</v>
      </c>
      <c r="AY272" s="1">
        <v>0</v>
      </c>
      <c r="AZ272" s="1">
        <v>0</v>
      </c>
      <c r="BA272" s="1">
        <v>38</v>
      </c>
      <c r="BB272" s="1">
        <v>0</v>
      </c>
      <c r="BC272" s="1">
        <v>0</v>
      </c>
      <c r="BD272" s="1">
        <v>0</v>
      </c>
      <c r="BE272" s="54">
        <v>0</v>
      </c>
      <c r="BF272" s="6">
        <v>20</v>
      </c>
      <c r="BG272" s="6">
        <v>9</v>
      </c>
      <c r="BH272" s="1">
        <v>1</v>
      </c>
      <c r="BI272" s="6">
        <v>10</v>
      </c>
      <c r="BJ272" s="1" t="s">
        <v>22</v>
      </c>
      <c r="BK272" s="1" t="s">
        <v>22</v>
      </c>
      <c r="BL272" s="1" t="s">
        <v>22</v>
      </c>
      <c r="BM272" s="1" t="s">
        <v>22</v>
      </c>
      <c r="BN272" t="s">
        <v>24</v>
      </c>
      <c r="BO272">
        <v>1497</v>
      </c>
    </row>
    <row r="273" spans="1:67" x14ac:dyDescent="0.3">
      <c r="A273" s="4">
        <f>INT(Tabela1[[#This Row],[Data e Hora]])</f>
        <v>46286</v>
      </c>
      <c r="B273" s="4" t="str">
        <f>UPPER(TEXT(Tabela1[[#This Row],[Data Corrigida]],"MMM"))</f>
        <v>SET</v>
      </c>
      <c r="C273" t="s">
        <v>812</v>
      </c>
      <c r="D273" t="s">
        <v>813</v>
      </c>
      <c r="E273" t="s">
        <v>809</v>
      </c>
      <c r="F273" t="s">
        <v>19</v>
      </c>
      <c r="G273" s="5" t="s">
        <v>798</v>
      </c>
      <c r="H273" t="s">
        <v>20</v>
      </c>
      <c r="I273" t="s">
        <v>21</v>
      </c>
      <c r="J273" s="1">
        <v>156</v>
      </c>
      <c r="K273" s="1">
        <v>2910</v>
      </c>
      <c r="L273" t="s">
        <v>23</v>
      </c>
      <c r="M273" s="1">
        <v>22</v>
      </c>
      <c r="N273" s="48">
        <v>22</v>
      </c>
      <c r="O273" s="1">
        <v>8</v>
      </c>
      <c r="P273" s="48">
        <v>8</v>
      </c>
      <c r="Q273" s="1" t="s">
        <v>22</v>
      </c>
      <c r="R273" s="1" t="s">
        <v>22</v>
      </c>
      <c r="S273" s="1">
        <v>2</v>
      </c>
      <c r="T273" s="1">
        <v>2</v>
      </c>
      <c r="U273" s="1">
        <v>1</v>
      </c>
      <c r="V273" s="1">
        <v>1</v>
      </c>
      <c r="W273" s="1">
        <v>0</v>
      </c>
      <c r="X273" s="1">
        <v>0</v>
      </c>
      <c r="Y273" s="1">
        <v>3</v>
      </c>
      <c r="Z273" s="3">
        <v>0.96153846153846156</v>
      </c>
      <c r="AA273" s="1">
        <v>3</v>
      </c>
      <c r="AB273" s="3">
        <v>1.9230769230769231</v>
      </c>
      <c r="AC273" s="1">
        <v>0</v>
      </c>
      <c r="AD273" s="3">
        <v>0</v>
      </c>
      <c r="AE273" s="1">
        <v>1</v>
      </c>
      <c r="AF273" s="3">
        <v>0.64102564102564097</v>
      </c>
      <c r="AG273" s="1">
        <v>6</v>
      </c>
      <c r="AH273" s="3">
        <v>3.8461538461538463</v>
      </c>
      <c r="AI273" s="1" t="s">
        <v>22</v>
      </c>
      <c r="AJ273" s="1">
        <v>3</v>
      </c>
      <c r="AK273" s="3">
        <v>1.9230769230769231</v>
      </c>
      <c r="AL273" s="1">
        <v>1</v>
      </c>
      <c r="AM273" s="3">
        <v>0.64102564102564097</v>
      </c>
      <c r="AN273" s="1" t="s">
        <v>22</v>
      </c>
      <c r="AO273" s="1">
        <v>5</v>
      </c>
      <c r="AP273" s="3">
        <v>3.2051282051282048</v>
      </c>
      <c r="AQ273" s="3">
        <v>4</v>
      </c>
      <c r="AR273" s="3">
        <v>2.5641025641025639</v>
      </c>
      <c r="AS273" s="1">
        <v>6</v>
      </c>
      <c r="AT273" s="3">
        <v>3.8461538461538463</v>
      </c>
      <c r="AU273" s="1">
        <v>1</v>
      </c>
      <c r="AV273" s="3">
        <v>0.64102564102564097</v>
      </c>
      <c r="AW273" s="1" t="s">
        <v>22</v>
      </c>
      <c r="AX273" s="1">
        <v>16</v>
      </c>
      <c r="AY273" s="1">
        <v>1</v>
      </c>
      <c r="AZ273" s="1">
        <v>1</v>
      </c>
      <c r="BA273" s="1">
        <v>32</v>
      </c>
      <c r="BB273" s="1">
        <v>2</v>
      </c>
      <c r="BC273" s="1">
        <v>2</v>
      </c>
      <c r="BD273" s="1">
        <v>0</v>
      </c>
      <c r="BE273" s="54">
        <v>0</v>
      </c>
      <c r="BF273" s="6">
        <v>21</v>
      </c>
      <c r="BG273" s="6">
        <v>9</v>
      </c>
      <c r="BH273" s="1">
        <v>0</v>
      </c>
      <c r="BI273" s="6">
        <v>0</v>
      </c>
      <c r="BJ273" s="1" t="s">
        <v>22</v>
      </c>
      <c r="BK273" s="1" t="s">
        <v>22</v>
      </c>
      <c r="BL273" s="1" t="s">
        <v>22</v>
      </c>
      <c r="BM273" s="1" t="s">
        <v>22</v>
      </c>
      <c r="BN273" t="s">
        <v>24</v>
      </c>
      <c r="BO273">
        <v>2582</v>
      </c>
    </row>
    <row r="274" spans="1:67" x14ac:dyDescent="0.3">
      <c r="A274" s="4">
        <f>INT(Tabela1[[#This Row],[Data e Hora]])</f>
        <v>46288</v>
      </c>
      <c r="B274" s="4" t="str">
        <f>UPPER(TEXT(Tabela1[[#This Row],[Data Corrigida]],"MMM"))</f>
        <v>SET</v>
      </c>
      <c r="C274" s="57" t="s">
        <v>814</v>
      </c>
      <c r="D274" t="s">
        <v>815</v>
      </c>
      <c r="E274" t="s">
        <v>816</v>
      </c>
      <c r="F274" t="s">
        <v>19</v>
      </c>
      <c r="G274" s="5" t="s">
        <v>817</v>
      </c>
      <c r="H274" t="s">
        <v>20</v>
      </c>
      <c r="I274" t="s">
        <v>21</v>
      </c>
      <c r="J274" s="1">
        <v>100</v>
      </c>
      <c r="K274" s="1">
        <v>2765</v>
      </c>
      <c r="L274" t="s">
        <v>23</v>
      </c>
      <c r="M274" s="1">
        <v>51</v>
      </c>
      <c r="N274" s="48">
        <v>51</v>
      </c>
      <c r="O274" s="1">
        <v>14</v>
      </c>
      <c r="P274" s="48">
        <v>14.000000000000002</v>
      </c>
      <c r="Q274" s="1">
        <v>0</v>
      </c>
      <c r="R274" s="1">
        <v>0</v>
      </c>
      <c r="S274" s="1">
        <v>3</v>
      </c>
      <c r="T274" s="1">
        <v>3</v>
      </c>
      <c r="U274" s="1">
        <v>1</v>
      </c>
      <c r="V274" s="1">
        <v>1</v>
      </c>
      <c r="W274" s="1">
        <v>6</v>
      </c>
      <c r="X274" s="1">
        <v>30</v>
      </c>
      <c r="Y274" s="1">
        <v>2</v>
      </c>
      <c r="Z274" s="3">
        <v>1</v>
      </c>
      <c r="AA274" s="1">
        <v>3</v>
      </c>
      <c r="AB274" s="3">
        <v>3</v>
      </c>
      <c r="AC274" s="1">
        <v>0</v>
      </c>
      <c r="AD274" s="3">
        <v>0</v>
      </c>
      <c r="AE274" s="1">
        <v>2</v>
      </c>
      <c r="AF274" s="3">
        <v>2</v>
      </c>
      <c r="AG274" s="1">
        <v>4</v>
      </c>
      <c r="AH274" s="3">
        <v>4</v>
      </c>
      <c r="AI274" s="1" t="s">
        <v>22</v>
      </c>
      <c r="AJ274" s="1">
        <v>2</v>
      </c>
      <c r="AK274" s="3">
        <v>2</v>
      </c>
      <c r="AL274" s="1">
        <v>2</v>
      </c>
      <c r="AM274" s="3">
        <v>2</v>
      </c>
      <c r="AN274" s="1" t="s">
        <v>22</v>
      </c>
      <c r="AO274" s="1">
        <v>4</v>
      </c>
      <c r="AP274" s="3">
        <v>4</v>
      </c>
      <c r="AQ274" s="3">
        <v>3</v>
      </c>
      <c r="AR274" s="3">
        <v>3</v>
      </c>
      <c r="AS274" s="1">
        <v>6</v>
      </c>
      <c r="AT274" s="3">
        <v>6</v>
      </c>
      <c r="AU274" s="1">
        <v>3</v>
      </c>
      <c r="AV274" s="3">
        <v>3</v>
      </c>
      <c r="AW274" s="1" t="s">
        <v>22</v>
      </c>
      <c r="AX274" s="1">
        <v>21</v>
      </c>
      <c r="AY274" s="1">
        <v>0</v>
      </c>
      <c r="AZ274" s="1">
        <v>0</v>
      </c>
      <c r="BA274" s="1">
        <v>42</v>
      </c>
      <c r="BB274" s="1">
        <v>0</v>
      </c>
      <c r="BC274" s="1">
        <v>0</v>
      </c>
      <c r="BD274" s="1">
        <v>0</v>
      </c>
      <c r="BE274" s="54">
        <v>0</v>
      </c>
      <c r="BF274" s="6">
        <v>23</v>
      </c>
      <c r="BG274" s="6">
        <v>20</v>
      </c>
      <c r="BH274" s="1">
        <v>1</v>
      </c>
      <c r="BI274" s="6">
        <v>10</v>
      </c>
      <c r="BJ274" s="1" t="s">
        <v>22</v>
      </c>
      <c r="BK274" s="6">
        <v>0</v>
      </c>
      <c r="BL274" s="6">
        <v>0</v>
      </c>
      <c r="BM274" s="1">
        <v>1</v>
      </c>
      <c r="BN274" t="s">
        <v>24</v>
      </c>
      <c r="BO274">
        <v>1699</v>
      </c>
    </row>
    <row r="275" spans="1:67" x14ac:dyDescent="0.3">
      <c r="A275" s="4">
        <f>INT(Tabela1[[#This Row],[Data e Hora]])</f>
        <v>46288</v>
      </c>
      <c r="B275" s="4" t="str">
        <f>UPPER(TEXT(Tabela1[[#This Row],[Data Corrigida]],"MMM"))</f>
        <v>SET</v>
      </c>
      <c r="C275" t="s">
        <v>818</v>
      </c>
      <c r="D275" t="s">
        <v>819</v>
      </c>
      <c r="E275" t="s">
        <v>816</v>
      </c>
      <c r="F275" t="s">
        <v>19</v>
      </c>
      <c r="G275" s="5" t="s">
        <v>817</v>
      </c>
      <c r="H275" t="s">
        <v>20</v>
      </c>
      <c r="I275" t="s">
        <v>21</v>
      </c>
      <c r="J275" s="1">
        <v>135</v>
      </c>
      <c r="K275" s="1">
        <v>2765</v>
      </c>
      <c r="L275" t="s">
        <v>23</v>
      </c>
      <c r="M275" s="1">
        <v>40</v>
      </c>
      <c r="N275" s="48">
        <v>40</v>
      </c>
      <c r="O275" s="1">
        <v>15</v>
      </c>
      <c r="P275" s="48">
        <v>15</v>
      </c>
      <c r="Q275" s="1">
        <v>0</v>
      </c>
      <c r="R275" s="1">
        <v>0</v>
      </c>
      <c r="S275" s="1">
        <v>4</v>
      </c>
      <c r="T275" s="1">
        <v>4</v>
      </c>
      <c r="U275" s="1">
        <v>1</v>
      </c>
      <c r="V275" s="1">
        <v>1</v>
      </c>
      <c r="W275" s="1">
        <v>3</v>
      </c>
      <c r="X275" s="1">
        <v>15</v>
      </c>
      <c r="Y275" s="1">
        <v>1</v>
      </c>
      <c r="Z275" s="3">
        <v>0.37037037037037041</v>
      </c>
      <c r="AA275" s="1">
        <v>3</v>
      </c>
      <c r="AB275" s="3">
        <v>2.2222222222222223</v>
      </c>
      <c r="AC275" s="1">
        <v>0</v>
      </c>
      <c r="AD275" s="3">
        <v>0</v>
      </c>
      <c r="AE275" s="1">
        <v>2</v>
      </c>
      <c r="AF275" s="3">
        <v>1.4814814814814816</v>
      </c>
      <c r="AG275" s="1">
        <v>6</v>
      </c>
      <c r="AH275" s="3">
        <v>4.4444444444444446</v>
      </c>
      <c r="AI275" s="1" t="s">
        <v>22</v>
      </c>
      <c r="AJ275" s="1">
        <v>3</v>
      </c>
      <c r="AK275" s="3">
        <v>2.2222222222222223</v>
      </c>
      <c r="AL275" s="1">
        <v>2</v>
      </c>
      <c r="AM275" s="3">
        <v>1.4814814814814816</v>
      </c>
      <c r="AN275" s="1" t="s">
        <v>22</v>
      </c>
      <c r="AO275" s="1">
        <v>5</v>
      </c>
      <c r="AP275" s="3">
        <v>3.7037037037037033</v>
      </c>
      <c r="AQ275" s="3">
        <v>2</v>
      </c>
      <c r="AR275" s="3">
        <v>1.4814814814814816</v>
      </c>
      <c r="AS275" s="1">
        <v>9</v>
      </c>
      <c r="AT275" s="3">
        <v>6.666666666666667</v>
      </c>
      <c r="AU275" s="1">
        <v>2</v>
      </c>
      <c r="AV275" s="3">
        <v>1.4814814814814816</v>
      </c>
      <c r="AW275" s="1" t="s">
        <v>22</v>
      </c>
      <c r="AX275" s="1">
        <v>15</v>
      </c>
      <c r="AY275" s="1">
        <v>0</v>
      </c>
      <c r="AZ275" s="1">
        <v>0</v>
      </c>
      <c r="BA275" s="1">
        <v>30</v>
      </c>
      <c r="BB275" s="1">
        <v>0</v>
      </c>
      <c r="BC275" s="1">
        <v>0</v>
      </c>
      <c r="BD275" s="1">
        <v>0</v>
      </c>
      <c r="BE275" s="54">
        <v>0</v>
      </c>
      <c r="BF275" s="6">
        <v>19</v>
      </c>
      <c r="BG275" s="6">
        <v>17</v>
      </c>
      <c r="BH275" s="1">
        <v>1</v>
      </c>
      <c r="BI275" s="6">
        <v>10</v>
      </c>
      <c r="BJ275" s="1" t="s">
        <v>22</v>
      </c>
      <c r="BK275" s="6">
        <v>2</v>
      </c>
      <c r="BL275" s="6">
        <v>0</v>
      </c>
      <c r="BM275" s="1">
        <v>1</v>
      </c>
      <c r="BN275" t="s">
        <v>24</v>
      </c>
      <c r="BO275">
        <v>2096</v>
      </c>
    </row>
    <row r="276" spans="1:67" x14ac:dyDescent="0.3">
      <c r="A276" s="4">
        <f>INT(Tabela1[[#This Row],[Data e Hora]])</f>
        <v>46288</v>
      </c>
      <c r="B276" s="4" t="str">
        <f>UPPER(TEXT(Tabela1[[#This Row],[Data Corrigida]],"MMM"))</f>
        <v>SET</v>
      </c>
      <c r="C276" t="s">
        <v>820</v>
      </c>
      <c r="D276" t="s">
        <v>821</v>
      </c>
      <c r="E276" t="s">
        <v>816</v>
      </c>
      <c r="F276" t="s">
        <v>19</v>
      </c>
      <c r="G276" s="5" t="s">
        <v>817</v>
      </c>
      <c r="H276" t="s">
        <v>20</v>
      </c>
      <c r="I276" t="s">
        <v>21</v>
      </c>
      <c r="J276" s="1">
        <v>110</v>
      </c>
      <c r="K276" s="1">
        <v>2732</v>
      </c>
      <c r="L276" t="s">
        <v>23</v>
      </c>
      <c r="M276" s="1">
        <v>25</v>
      </c>
      <c r="N276" s="48">
        <v>25</v>
      </c>
      <c r="O276" s="1">
        <v>8</v>
      </c>
      <c r="P276" s="48">
        <v>8</v>
      </c>
      <c r="Q276" s="1">
        <v>0</v>
      </c>
      <c r="R276" s="1">
        <v>0</v>
      </c>
      <c r="S276" s="1">
        <v>4</v>
      </c>
      <c r="T276" s="1">
        <v>4</v>
      </c>
      <c r="U276" s="1">
        <v>1</v>
      </c>
      <c r="V276" s="1">
        <v>1</v>
      </c>
      <c r="W276" s="1">
        <v>0</v>
      </c>
      <c r="X276" s="1">
        <v>0</v>
      </c>
      <c r="Y276" s="1">
        <v>1</v>
      </c>
      <c r="Z276" s="3">
        <v>0.45454545454545453</v>
      </c>
      <c r="AA276" s="1">
        <v>8</v>
      </c>
      <c r="AB276" s="3">
        <v>7.2727272727272725</v>
      </c>
      <c r="AC276" s="1">
        <v>0</v>
      </c>
      <c r="AD276" s="3">
        <v>0</v>
      </c>
      <c r="AE276" s="1">
        <v>1</v>
      </c>
      <c r="AF276" s="3">
        <v>0.90909090909090906</v>
      </c>
      <c r="AG276" s="1">
        <v>6</v>
      </c>
      <c r="AH276" s="3">
        <v>5.4545454545454541</v>
      </c>
      <c r="AI276" s="1" t="s">
        <v>22</v>
      </c>
      <c r="AJ276" s="1">
        <v>3</v>
      </c>
      <c r="AK276" s="3">
        <v>2.7272727272727271</v>
      </c>
      <c r="AL276" s="1">
        <v>2</v>
      </c>
      <c r="AM276" s="3">
        <v>1.8181818181818181</v>
      </c>
      <c r="AN276" s="1" t="s">
        <v>22</v>
      </c>
      <c r="AO276" s="1">
        <v>10</v>
      </c>
      <c r="AP276" s="3">
        <v>9.0909090909090917</v>
      </c>
      <c r="AQ276" s="3">
        <v>2</v>
      </c>
      <c r="AR276" s="3">
        <v>1.8181818181818181</v>
      </c>
      <c r="AS276" s="1">
        <v>9</v>
      </c>
      <c r="AT276" s="3">
        <v>8.1818181818181817</v>
      </c>
      <c r="AU276" s="1">
        <v>2</v>
      </c>
      <c r="AV276" s="3">
        <v>1.8181818181818181</v>
      </c>
      <c r="AW276" s="1" t="s">
        <v>22</v>
      </c>
      <c r="AX276" s="1">
        <v>13</v>
      </c>
      <c r="AY276" s="1">
        <v>0</v>
      </c>
      <c r="AZ276" s="1">
        <v>0</v>
      </c>
      <c r="BA276" s="1">
        <v>26</v>
      </c>
      <c r="BB276" s="1">
        <v>0</v>
      </c>
      <c r="BC276" s="1">
        <v>0</v>
      </c>
      <c r="BD276" s="1">
        <v>0</v>
      </c>
      <c r="BE276" s="54">
        <v>0</v>
      </c>
      <c r="BF276" s="6">
        <v>25</v>
      </c>
      <c r="BG276" s="6">
        <v>19</v>
      </c>
      <c r="BH276" s="1">
        <v>1</v>
      </c>
      <c r="BI276" s="6">
        <v>10</v>
      </c>
      <c r="BJ276" s="1" t="s">
        <v>22</v>
      </c>
      <c r="BK276" s="1" t="s">
        <v>22</v>
      </c>
      <c r="BL276" s="1" t="s">
        <v>22</v>
      </c>
      <c r="BM276" s="1" t="s">
        <v>22</v>
      </c>
      <c r="BN276" t="s">
        <v>24</v>
      </c>
      <c r="BO276">
        <v>1705</v>
      </c>
    </row>
    <row r="277" spans="1:67" x14ac:dyDescent="0.3">
      <c r="A277" s="4">
        <f>INT(Tabela1[[#This Row],[Data e Hora]])</f>
        <v>46288</v>
      </c>
      <c r="B277" s="4" t="str">
        <f>UPPER(TEXT(Tabela1[[#This Row],[Data Corrigida]],"MMM"))</f>
        <v>SET</v>
      </c>
      <c r="C277" t="s">
        <v>822</v>
      </c>
      <c r="D277" t="s">
        <v>823</v>
      </c>
      <c r="E277" t="s">
        <v>816</v>
      </c>
      <c r="F277" t="s">
        <v>19</v>
      </c>
      <c r="G277" s="5" t="s">
        <v>817</v>
      </c>
      <c r="H277" t="s">
        <v>20</v>
      </c>
      <c r="I277" t="s">
        <v>21</v>
      </c>
      <c r="J277" s="1">
        <v>125</v>
      </c>
      <c r="K277" s="1">
        <v>2762</v>
      </c>
      <c r="L277" t="s">
        <v>23</v>
      </c>
      <c r="M277" s="1">
        <v>33</v>
      </c>
      <c r="N277" s="48">
        <v>33</v>
      </c>
      <c r="O277" s="1">
        <v>12</v>
      </c>
      <c r="P277" s="48">
        <v>12</v>
      </c>
      <c r="Q277" s="1">
        <v>0</v>
      </c>
      <c r="R277" s="1">
        <v>0</v>
      </c>
      <c r="S277" s="1">
        <v>1</v>
      </c>
      <c r="T277" s="1">
        <v>1</v>
      </c>
      <c r="U277" s="1">
        <v>1</v>
      </c>
      <c r="V277" s="1">
        <v>1</v>
      </c>
      <c r="W277" s="1">
        <v>2</v>
      </c>
      <c r="X277" s="1">
        <v>10</v>
      </c>
      <c r="Y277" s="1">
        <v>1</v>
      </c>
      <c r="Z277" s="3">
        <v>0.4</v>
      </c>
      <c r="AA277" s="1">
        <v>8</v>
      </c>
      <c r="AB277" s="3">
        <v>6.4</v>
      </c>
      <c r="AC277" s="1">
        <v>0</v>
      </c>
      <c r="AD277" s="3">
        <v>0</v>
      </c>
      <c r="AE277" s="1">
        <v>2</v>
      </c>
      <c r="AF277" s="3">
        <v>1.6</v>
      </c>
      <c r="AG277" s="1">
        <v>6</v>
      </c>
      <c r="AH277" s="3">
        <v>4.8</v>
      </c>
      <c r="AI277" s="1" t="s">
        <v>22</v>
      </c>
      <c r="AJ277" s="1">
        <v>3</v>
      </c>
      <c r="AK277" s="3">
        <v>2.4</v>
      </c>
      <c r="AL277" s="1">
        <v>2</v>
      </c>
      <c r="AM277" s="3">
        <v>1.6</v>
      </c>
      <c r="AN277" s="1" t="s">
        <v>22</v>
      </c>
      <c r="AO277" s="1">
        <v>9</v>
      </c>
      <c r="AP277" s="3">
        <v>7.1999999999999993</v>
      </c>
      <c r="AQ277" s="3">
        <v>4</v>
      </c>
      <c r="AR277" s="3">
        <v>3.2</v>
      </c>
      <c r="AS277" s="1">
        <v>7</v>
      </c>
      <c r="AT277" s="3">
        <v>5.6000000000000005</v>
      </c>
      <c r="AU277" s="1">
        <v>2</v>
      </c>
      <c r="AV277" s="3">
        <v>1.6</v>
      </c>
      <c r="AW277" s="1" t="s">
        <v>22</v>
      </c>
      <c r="AX277" s="1">
        <v>15</v>
      </c>
      <c r="AY277" s="1">
        <v>0</v>
      </c>
      <c r="AZ277" s="1">
        <v>0</v>
      </c>
      <c r="BA277" s="1">
        <v>30</v>
      </c>
      <c r="BB277" s="1">
        <v>0</v>
      </c>
      <c r="BC277" s="1">
        <v>0</v>
      </c>
      <c r="BD277" s="1">
        <v>0</v>
      </c>
      <c r="BE277" s="54">
        <v>0</v>
      </c>
      <c r="BF277" s="6">
        <v>26</v>
      </c>
      <c r="BG277" s="6">
        <v>23</v>
      </c>
      <c r="BH277" s="1">
        <v>1</v>
      </c>
      <c r="BI277" s="6">
        <v>10</v>
      </c>
      <c r="BJ277" s="1" t="s">
        <v>22</v>
      </c>
      <c r="BK277" s="1" t="s">
        <v>22</v>
      </c>
      <c r="BL277" s="1" t="s">
        <v>22</v>
      </c>
      <c r="BM277" s="1" t="s">
        <v>22</v>
      </c>
      <c r="BN277" t="s">
        <v>24</v>
      </c>
      <c r="BO277">
        <v>1695</v>
      </c>
    </row>
    <row r="278" spans="1:67" x14ac:dyDescent="0.3">
      <c r="A278" s="4">
        <f>INT(Tabela1[[#This Row],[Data e Hora]])</f>
        <v>46287</v>
      </c>
      <c r="B278" s="4" t="str">
        <f>UPPER(TEXT(Tabela1[[#This Row],[Data Corrigida]],"MMM"))</f>
        <v>SET</v>
      </c>
      <c r="C278" t="s">
        <v>824</v>
      </c>
      <c r="D278" t="s">
        <v>825</v>
      </c>
      <c r="E278" t="s">
        <v>826</v>
      </c>
      <c r="F278" t="s">
        <v>19</v>
      </c>
      <c r="G278" s="5" t="s">
        <v>827</v>
      </c>
      <c r="H278" t="s">
        <v>20</v>
      </c>
      <c r="I278" t="s">
        <v>33</v>
      </c>
      <c r="J278" s="1">
        <v>151</v>
      </c>
      <c r="K278" s="1">
        <v>2762</v>
      </c>
      <c r="L278" t="s">
        <v>34</v>
      </c>
      <c r="M278" s="1">
        <v>20</v>
      </c>
      <c r="N278" s="48">
        <v>20</v>
      </c>
      <c r="O278" s="1">
        <v>5</v>
      </c>
      <c r="P278" s="48">
        <v>5</v>
      </c>
      <c r="Q278" s="1">
        <v>0</v>
      </c>
      <c r="R278" s="1">
        <v>0</v>
      </c>
      <c r="S278" s="1">
        <v>1</v>
      </c>
      <c r="T278" s="1">
        <v>1</v>
      </c>
      <c r="U278" s="1">
        <v>1</v>
      </c>
      <c r="V278" s="1">
        <v>1</v>
      </c>
      <c r="W278" s="1">
        <v>0</v>
      </c>
      <c r="X278" s="1">
        <v>0</v>
      </c>
      <c r="Y278" s="1">
        <v>6</v>
      </c>
      <c r="Z278" s="3">
        <v>1.9867549668874174</v>
      </c>
      <c r="AA278" s="1">
        <v>5</v>
      </c>
      <c r="AB278" s="3">
        <v>3.3112582781456954</v>
      </c>
      <c r="AC278" s="1">
        <v>0</v>
      </c>
      <c r="AD278" s="3">
        <v>0</v>
      </c>
      <c r="AE278" s="1">
        <v>1</v>
      </c>
      <c r="AF278" s="3">
        <v>0.66225165562913912</v>
      </c>
      <c r="AG278" s="1">
        <v>2</v>
      </c>
      <c r="AH278" s="3">
        <v>1.3245033112582782</v>
      </c>
      <c r="AI278" s="1" t="s">
        <v>22</v>
      </c>
      <c r="AJ278" s="1">
        <v>0</v>
      </c>
      <c r="AK278" s="3">
        <v>0</v>
      </c>
      <c r="AL278" s="1">
        <v>0</v>
      </c>
      <c r="AM278" s="3">
        <v>0</v>
      </c>
      <c r="AN278" s="1" t="s">
        <v>22</v>
      </c>
      <c r="AO278" s="1">
        <v>6</v>
      </c>
      <c r="AP278" s="3">
        <v>3.9735099337748347</v>
      </c>
      <c r="AQ278" s="3">
        <v>4</v>
      </c>
      <c r="AR278" s="3">
        <v>2.6490066225165565</v>
      </c>
      <c r="AS278" s="1">
        <v>7</v>
      </c>
      <c r="AT278" s="3">
        <v>4.6357615894039732</v>
      </c>
      <c r="AU278" s="1">
        <v>0</v>
      </c>
      <c r="AV278" s="3">
        <v>0</v>
      </c>
      <c r="AW278" s="1" t="s">
        <v>22</v>
      </c>
      <c r="AX278" s="1">
        <v>16</v>
      </c>
      <c r="AY278" s="1">
        <v>0</v>
      </c>
      <c r="AZ278" s="1">
        <v>0</v>
      </c>
      <c r="BA278" s="1">
        <v>32</v>
      </c>
      <c r="BB278" s="1">
        <v>0</v>
      </c>
      <c r="BC278" s="1">
        <v>0</v>
      </c>
      <c r="BD278" s="1">
        <v>0</v>
      </c>
      <c r="BE278" s="54">
        <v>0</v>
      </c>
      <c r="BF278" s="6">
        <v>20</v>
      </c>
      <c r="BG278" s="6">
        <v>18</v>
      </c>
      <c r="BH278" s="1">
        <v>0</v>
      </c>
      <c r="BI278" s="6">
        <v>0</v>
      </c>
      <c r="BJ278" s="1" t="s">
        <v>22</v>
      </c>
      <c r="BK278" s="6">
        <v>0</v>
      </c>
      <c r="BL278" s="6">
        <v>0</v>
      </c>
      <c r="BM278" s="1">
        <v>0</v>
      </c>
      <c r="BN278" t="s">
        <v>24</v>
      </c>
      <c r="BO278">
        <v>274</v>
      </c>
    </row>
    <row r="279" spans="1:67" x14ac:dyDescent="0.3">
      <c r="A279" s="4">
        <f>INT(Tabela1[[#This Row],[Data e Hora]])</f>
        <v>46287</v>
      </c>
      <c r="B279" s="4" t="str">
        <f>UPPER(TEXT(Tabela1[[#This Row],[Data Corrigida]],"MMM"))</f>
        <v>SET</v>
      </c>
      <c r="C279" t="s">
        <v>828</v>
      </c>
      <c r="D279" t="s">
        <v>829</v>
      </c>
      <c r="E279" t="s">
        <v>826</v>
      </c>
      <c r="F279" t="s">
        <v>19</v>
      </c>
      <c r="G279" s="5" t="s">
        <v>827</v>
      </c>
      <c r="H279" t="s">
        <v>20</v>
      </c>
      <c r="I279" t="s">
        <v>33</v>
      </c>
      <c r="J279" s="1">
        <v>151</v>
      </c>
      <c r="K279" s="1">
        <v>2758</v>
      </c>
      <c r="L279" t="s">
        <v>34</v>
      </c>
      <c r="M279" s="1">
        <v>25</v>
      </c>
      <c r="N279" s="48">
        <v>25</v>
      </c>
      <c r="O279" s="1">
        <v>9</v>
      </c>
      <c r="P279" s="48">
        <v>9</v>
      </c>
      <c r="Q279" s="1">
        <v>0</v>
      </c>
      <c r="R279" s="1">
        <v>0</v>
      </c>
      <c r="S279" s="1">
        <v>1</v>
      </c>
      <c r="T279" s="1">
        <v>1</v>
      </c>
      <c r="U279" s="1">
        <v>0</v>
      </c>
      <c r="V279" s="1">
        <v>0</v>
      </c>
      <c r="W279" s="1">
        <v>0</v>
      </c>
      <c r="X279" s="1">
        <v>0</v>
      </c>
      <c r="Y279" s="1">
        <v>5</v>
      </c>
      <c r="Z279" s="3">
        <v>1.6556291390728477</v>
      </c>
      <c r="AA279" s="1">
        <v>19</v>
      </c>
      <c r="AB279" s="3">
        <v>12.582781456953644</v>
      </c>
      <c r="AC279" s="1">
        <v>0</v>
      </c>
      <c r="AD279" s="3">
        <v>0</v>
      </c>
      <c r="AE279" s="1">
        <v>1</v>
      </c>
      <c r="AF279" s="3">
        <v>0.66225165562913912</v>
      </c>
      <c r="AG279" s="1">
        <v>4</v>
      </c>
      <c r="AH279" s="3">
        <v>2.6490066225165565</v>
      </c>
      <c r="AI279" s="1" t="s">
        <v>22</v>
      </c>
      <c r="AJ279" s="1">
        <v>0</v>
      </c>
      <c r="AK279" s="3">
        <v>0</v>
      </c>
      <c r="AL279" s="1">
        <v>0</v>
      </c>
      <c r="AM279" s="3">
        <v>0</v>
      </c>
      <c r="AN279" s="1" t="s">
        <v>22</v>
      </c>
      <c r="AO279" s="1">
        <v>6</v>
      </c>
      <c r="AP279" s="3">
        <v>3.9735099337748347</v>
      </c>
      <c r="AQ279" s="3">
        <v>4</v>
      </c>
      <c r="AR279" s="3">
        <v>2.6490066225165565</v>
      </c>
      <c r="AS279" s="1">
        <v>9</v>
      </c>
      <c r="AT279" s="3">
        <v>5.9602649006622519</v>
      </c>
      <c r="AU279" s="1">
        <v>0</v>
      </c>
      <c r="AV279" s="3">
        <v>0</v>
      </c>
      <c r="AW279" s="1" t="s">
        <v>22</v>
      </c>
      <c r="AX279" s="1">
        <v>19</v>
      </c>
      <c r="AY279" s="1">
        <v>0</v>
      </c>
      <c r="AZ279" s="1">
        <v>0</v>
      </c>
      <c r="BA279" s="1">
        <v>38</v>
      </c>
      <c r="BB279" s="1">
        <v>0</v>
      </c>
      <c r="BC279" s="1">
        <v>0</v>
      </c>
      <c r="BD279" s="1">
        <v>3</v>
      </c>
      <c r="BE279" s="54">
        <v>1.9867549668874174</v>
      </c>
      <c r="BF279" s="6">
        <v>25</v>
      </c>
      <c r="BG279" s="6">
        <v>13</v>
      </c>
      <c r="BH279" s="1">
        <v>0</v>
      </c>
      <c r="BI279" s="6">
        <v>0</v>
      </c>
      <c r="BJ279" s="1" t="s">
        <v>22</v>
      </c>
      <c r="BK279" s="6">
        <v>1</v>
      </c>
      <c r="BL279" s="6">
        <v>0</v>
      </c>
      <c r="BM279" s="1">
        <v>0</v>
      </c>
      <c r="BN279" t="s">
        <v>24</v>
      </c>
      <c r="BO279">
        <v>13832</v>
      </c>
    </row>
    <row r="280" spans="1:67" x14ac:dyDescent="0.3">
      <c r="A280" s="4">
        <f>INT(Tabela1[[#This Row],[Data e Hora]])</f>
        <v>46287</v>
      </c>
      <c r="B280" s="4" t="str">
        <f>UPPER(TEXT(Tabela1[[#This Row],[Data Corrigida]],"MMM"))</f>
        <v>SET</v>
      </c>
      <c r="C280" t="s">
        <v>830</v>
      </c>
      <c r="D280" t="s">
        <v>831</v>
      </c>
      <c r="E280" t="s">
        <v>832</v>
      </c>
      <c r="F280" t="s">
        <v>19</v>
      </c>
      <c r="G280" s="5" t="s">
        <v>827</v>
      </c>
      <c r="H280" t="s">
        <v>20</v>
      </c>
      <c r="I280" t="s">
        <v>33</v>
      </c>
      <c r="J280" s="1">
        <v>151</v>
      </c>
      <c r="K280" s="1">
        <v>2758</v>
      </c>
      <c r="L280" t="s">
        <v>34</v>
      </c>
      <c r="M280" s="1">
        <v>21</v>
      </c>
      <c r="N280" s="48">
        <v>21</v>
      </c>
      <c r="O280" s="1">
        <v>4</v>
      </c>
      <c r="P280" s="48">
        <v>4</v>
      </c>
      <c r="Q280" s="1">
        <v>1</v>
      </c>
      <c r="R280" s="1">
        <v>10</v>
      </c>
      <c r="S280" s="1">
        <v>1</v>
      </c>
      <c r="T280" s="1">
        <v>1</v>
      </c>
      <c r="U280" s="1">
        <v>0</v>
      </c>
      <c r="V280" s="1">
        <v>0</v>
      </c>
      <c r="W280" s="1">
        <v>0</v>
      </c>
      <c r="X280" s="1">
        <v>0</v>
      </c>
      <c r="Y280" s="1">
        <v>3</v>
      </c>
      <c r="Z280" s="3">
        <v>0.99337748344370869</v>
      </c>
      <c r="AA280" s="1">
        <v>6</v>
      </c>
      <c r="AB280" s="3">
        <v>3.9735099337748347</v>
      </c>
      <c r="AC280" s="1">
        <v>0</v>
      </c>
      <c r="AD280" s="3">
        <v>0</v>
      </c>
      <c r="AE280" s="1">
        <v>2</v>
      </c>
      <c r="AF280" s="3">
        <v>1.3245033112582782</v>
      </c>
      <c r="AG280" s="1">
        <v>3</v>
      </c>
      <c r="AH280" s="3">
        <v>1.9867549668874174</v>
      </c>
      <c r="AI280" s="1" t="s">
        <v>22</v>
      </c>
      <c r="AJ280" s="1">
        <v>1</v>
      </c>
      <c r="AK280" s="3">
        <v>0.66225165562913912</v>
      </c>
      <c r="AL280" s="1">
        <v>0</v>
      </c>
      <c r="AM280" s="3">
        <v>0</v>
      </c>
      <c r="AN280" s="1" t="s">
        <v>22</v>
      </c>
      <c r="AO280" s="1">
        <v>7</v>
      </c>
      <c r="AP280" s="3">
        <v>4.6357615894039732</v>
      </c>
      <c r="AQ280" s="3" t="s">
        <v>22</v>
      </c>
      <c r="AR280" s="3" t="s">
        <v>22</v>
      </c>
      <c r="AS280" s="1">
        <v>5</v>
      </c>
      <c r="AT280" s="3">
        <v>3.3112582781456954</v>
      </c>
      <c r="AU280" s="1">
        <v>0</v>
      </c>
      <c r="AV280" s="3">
        <v>0</v>
      </c>
      <c r="AW280" s="1" t="s">
        <v>22</v>
      </c>
      <c r="AX280" s="1">
        <v>16</v>
      </c>
      <c r="AY280" s="1">
        <v>2</v>
      </c>
      <c r="AZ280" s="1">
        <v>2</v>
      </c>
      <c r="BA280" s="1">
        <v>32</v>
      </c>
      <c r="BB280" s="1">
        <v>4</v>
      </c>
      <c r="BC280" s="1">
        <v>4</v>
      </c>
      <c r="BD280" s="1">
        <v>1</v>
      </c>
      <c r="BE280" s="54">
        <v>0.66225165562913912</v>
      </c>
      <c r="BF280" s="6">
        <v>20</v>
      </c>
      <c r="BG280" s="6">
        <v>17</v>
      </c>
      <c r="BH280" s="1">
        <v>0</v>
      </c>
      <c r="BI280" s="6">
        <v>0</v>
      </c>
      <c r="BJ280" s="1" t="s">
        <v>22</v>
      </c>
      <c r="BK280" s="6">
        <v>0</v>
      </c>
      <c r="BL280" s="6">
        <v>0</v>
      </c>
      <c r="BM280" s="1">
        <v>0</v>
      </c>
      <c r="BN280" t="s">
        <v>24</v>
      </c>
      <c r="BO280">
        <v>9164</v>
      </c>
    </row>
    <row r="281" spans="1:67" x14ac:dyDescent="0.3">
      <c r="A281" s="4">
        <f>INT(Tabela1[[#This Row],[Data e Hora]])</f>
        <v>46287</v>
      </c>
      <c r="B281" s="4" t="str">
        <f>UPPER(TEXT(Tabela1[[#This Row],[Data Corrigida]],"MMM"))</f>
        <v>SET</v>
      </c>
      <c r="C281" t="s">
        <v>833</v>
      </c>
      <c r="D281" t="s">
        <v>834</v>
      </c>
      <c r="E281" t="s">
        <v>835</v>
      </c>
      <c r="F281" t="s">
        <v>19</v>
      </c>
      <c r="G281" s="5" t="s">
        <v>827</v>
      </c>
      <c r="H281" t="s">
        <v>20</v>
      </c>
      <c r="I281" t="s">
        <v>21</v>
      </c>
      <c r="J281" s="1">
        <v>151</v>
      </c>
      <c r="K281" s="1">
        <v>285</v>
      </c>
      <c r="L281" t="s">
        <v>23</v>
      </c>
      <c r="M281" s="1">
        <v>35</v>
      </c>
      <c r="N281" s="48">
        <v>35</v>
      </c>
      <c r="O281" s="1">
        <v>9</v>
      </c>
      <c r="P281" s="48">
        <v>9</v>
      </c>
      <c r="Q281" s="1">
        <v>0</v>
      </c>
      <c r="R281" s="1">
        <v>0</v>
      </c>
      <c r="S281" s="1">
        <v>3</v>
      </c>
      <c r="T281" s="1">
        <v>3</v>
      </c>
      <c r="U281" s="1">
        <v>1</v>
      </c>
      <c r="V281" s="1">
        <v>1</v>
      </c>
      <c r="W281" s="1">
        <v>0</v>
      </c>
      <c r="X281" s="1">
        <v>0</v>
      </c>
      <c r="Y281" s="1">
        <v>1</v>
      </c>
      <c r="Z281" s="3">
        <v>0.33112582781456956</v>
      </c>
      <c r="AA281" s="1">
        <v>8</v>
      </c>
      <c r="AB281" s="3">
        <v>5.298013245033113</v>
      </c>
      <c r="AC281" s="1">
        <v>0</v>
      </c>
      <c r="AD281" s="3">
        <v>0</v>
      </c>
      <c r="AE281" s="1">
        <v>2</v>
      </c>
      <c r="AF281" s="3">
        <v>1.3245033112582782</v>
      </c>
      <c r="AG281" s="1">
        <v>7</v>
      </c>
      <c r="AH281" s="3">
        <v>4.6357615894039732</v>
      </c>
      <c r="AI281" s="1" t="s">
        <v>22</v>
      </c>
      <c r="AJ281" s="1">
        <v>5</v>
      </c>
      <c r="AK281" s="3">
        <v>3.3112582781456954</v>
      </c>
      <c r="AL281" s="1">
        <v>2</v>
      </c>
      <c r="AM281" s="3">
        <v>1.3245033112582782</v>
      </c>
      <c r="AN281" s="1" t="s">
        <v>22</v>
      </c>
      <c r="AO281" s="1">
        <v>9</v>
      </c>
      <c r="AP281" s="3">
        <v>5.9602649006622519</v>
      </c>
      <c r="AQ281" s="3">
        <v>4</v>
      </c>
      <c r="AR281" s="3">
        <v>2.6490066225165565</v>
      </c>
      <c r="AS281" s="1">
        <v>7</v>
      </c>
      <c r="AT281" s="3">
        <v>4.6357615894039732</v>
      </c>
      <c r="AU281" s="1">
        <v>2</v>
      </c>
      <c r="AV281" s="3">
        <v>1.3245033112582782</v>
      </c>
      <c r="AW281" s="1" t="s">
        <v>22</v>
      </c>
      <c r="AX281" s="1">
        <v>19</v>
      </c>
      <c r="AY281" s="1">
        <v>0</v>
      </c>
      <c r="AZ281" s="1">
        <v>0</v>
      </c>
      <c r="BA281" s="1">
        <v>38</v>
      </c>
      <c r="BB281" s="1">
        <v>0</v>
      </c>
      <c r="BC281" s="1">
        <v>0</v>
      </c>
      <c r="BD281" s="1">
        <v>0</v>
      </c>
      <c r="BE281" s="54">
        <v>0</v>
      </c>
      <c r="BF281" s="6">
        <v>21</v>
      </c>
      <c r="BG281" s="6">
        <v>16</v>
      </c>
      <c r="BH281" s="1">
        <v>0</v>
      </c>
      <c r="BI281" s="6">
        <v>0</v>
      </c>
      <c r="BJ281" s="1" t="s">
        <v>22</v>
      </c>
      <c r="BK281" s="6">
        <v>0</v>
      </c>
      <c r="BL281" s="6">
        <v>0</v>
      </c>
      <c r="BM281" s="1">
        <v>1</v>
      </c>
      <c r="BN281" t="s">
        <v>22</v>
      </c>
      <c r="BO281">
        <v>1400</v>
      </c>
    </row>
    <row r="282" spans="1:67" x14ac:dyDescent="0.3">
      <c r="A282" s="4">
        <f>INT(Tabela1[[#This Row],[Data e Hora]])</f>
        <v>46287</v>
      </c>
      <c r="B282" s="4" t="str">
        <f>UPPER(TEXT(Tabela1[[#This Row],[Data Corrigida]],"MMM"))</f>
        <v>SET</v>
      </c>
      <c r="C282" t="s">
        <v>836</v>
      </c>
      <c r="D282" t="s">
        <v>837</v>
      </c>
      <c r="E282" t="s">
        <v>835</v>
      </c>
      <c r="F282" t="s">
        <v>19</v>
      </c>
      <c r="G282" s="5" t="s">
        <v>827</v>
      </c>
      <c r="H282" t="s">
        <v>20</v>
      </c>
      <c r="I282" t="s">
        <v>21</v>
      </c>
      <c r="J282" s="1">
        <v>151</v>
      </c>
      <c r="K282" s="1">
        <v>2856</v>
      </c>
      <c r="L282" t="s">
        <v>23</v>
      </c>
      <c r="M282" s="1">
        <v>39</v>
      </c>
      <c r="N282" s="48">
        <v>39</v>
      </c>
      <c r="O282" s="1">
        <v>25</v>
      </c>
      <c r="P282" s="48">
        <v>25</v>
      </c>
      <c r="Q282" s="1">
        <v>0</v>
      </c>
      <c r="R282" s="1">
        <v>0</v>
      </c>
      <c r="S282" s="1">
        <v>2</v>
      </c>
      <c r="T282" s="1">
        <v>2</v>
      </c>
      <c r="U282" s="1">
        <v>1</v>
      </c>
      <c r="V282" s="1">
        <v>1</v>
      </c>
      <c r="W282" s="1">
        <v>0</v>
      </c>
      <c r="X282" s="1">
        <v>0</v>
      </c>
      <c r="Y282" s="1">
        <v>1</v>
      </c>
      <c r="Z282" s="3">
        <v>0.33112582781456956</v>
      </c>
      <c r="AA282" s="1">
        <v>10</v>
      </c>
      <c r="AB282" s="3">
        <v>6.6225165562913908</v>
      </c>
      <c r="AC282" s="1">
        <v>0</v>
      </c>
      <c r="AD282" s="3">
        <v>0</v>
      </c>
      <c r="AE282" s="1">
        <v>2</v>
      </c>
      <c r="AF282" s="3">
        <v>1.3245033112582782</v>
      </c>
      <c r="AG282" s="1">
        <v>8</v>
      </c>
      <c r="AH282" s="3">
        <v>5.298013245033113</v>
      </c>
      <c r="AI282" s="1" t="s">
        <v>22</v>
      </c>
      <c r="AJ282" s="1">
        <v>2</v>
      </c>
      <c r="AK282" s="3">
        <v>1.3245033112582782</v>
      </c>
      <c r="AL282" s="1">
        <v>2</v>
      </c>
      <c r="AM282" s="3">
        <v>1.3245033112582782</v>
      </c>
      <c r="AN282" s="1" t="s">
        <v>22</v>
      </c>
      <c r="AO282" s="1">
        <v>10</v>
      </c>
      <c r="AP282" s="3">
        <v>6.6225165562913908</v>
      </c>
      <c r="AQ282" s="3">
        <v>6</v>
      </c>
      <c r="AR282" s="3">
        <v>3.9735099337748347</v>
      </c>
      <c r="AS282" s="1">
        <v>9</v>
      </c>
      <c r="AT282" s="3">
        <v>5.9602649006622519</v>
      </c>
      <c r="AU282" s="1">
        <v>2</v>
      </c>
      <c r="AV282" s="3">
        <v>1.3245033112582782</v>
      </c>
      <c r="AW282" s="1" t="s">
        <v>22</v>
      </c>
      <c r="AX282" s="1">
        <v>15</v>
      </c>
      <c r="AY282" s="1">
        <v>0</v>
      </c>
      <c r="AZ282" s="1">
        <v>0</v>
      </c>
      <c r="BA282" s="1">
        <v>30</v>
      </c>
      <c r="BB282" s="1">
        <v>0</v>
      </c>
      <c r="BC282" s="1">
        <v>0</v>
      </c>
      <c r="BD282" s="1">
        <v>1</v>
      </c>
      <c r="BE282" s="54">
        <v>0.66225165562913912</v>
      </c>
      <c r="BF282" s="6">
        <v>26</v>
      </c>
      <c r="BG282" s="6">
        <v>21</v>
      </c>
      <c r="BH282" s="1">
        <v>1</v>
      </c>
      <c r="BI282" s="6">
        <v>10</v>
      </c>
      <c r="BJ282" s="1" t="s">
        <v>22</v>
      </c>
      <c r="BK282" s="1" t="s">
        <v>22</v>
      </c>
      <c r="BL282" s="1" t="s">
        <v>22</v>
      </c>
      <c r="BM282" s="1" t="s">
        <v>22</v>
      </c>
      <c r="BN282" t="s">
        <v>24</v>
      </c>
      <c r="BO282">
        <v>2114</v>
      </c>
    </row>
    <row r="283" spans="1:67" x14ac:dyDescent="0.3">
      <c r="A283" s="4">
        <f>INT(Tabela1[[#This Row],[Data e Hora]])</f>
        <v>46287</v>
      </c>
      <c r="B283" s="4" t="str">
        <f>UPPER(TEXT(Tabela1[[#This Row],[Data Corrigida]],"MMM"))</f>
        <v>SET</v>
      </c>
      <c r="C283" t="s">
        <v>838</v>
      </c>
      <c r="D283" t="s">
        <v>839</v>
      </c>
      <c r="E283" t="s">
        <v>835</v>
      </c>
      <c r="F283" t="s">
        <v>19</v>
      </c>
      <c r="G283" s="5" t="s">
        <v>827</v>
      </c>
      <c r="H283" t="s">
        <v>20</v>
      </c>
      <c r="I283" t="s">
        <v>21</v>
      </c>
      <c r="J283" s="1">
        <v>146</v>
      </c>
      <c r="K283" s="1">
        <v>2842</v>
      </c>
      <c r="L283" t="s">
        <v>23</v>
      </c>
      <c r="M283" s="1">
        <v>29</v>
      </c>
      <c r="N283" s="48">
        <v>28.999999999999996</v>
      </c>
      <c r="O283" s="1">
        <v>7</v>
      </c>
      <c r="P283" s="48">
        <v>7.0000000000000009</v>
      </c>
      <c r="Q283" s="1">
        <v>0</v>
      </c>
      <c r="R283" s="1">
        <v>0</v>
      </c>
      <c r="S283" s="1">
        <v>5</v>
      </c>
      <c r="T283" s="1">
        <v>5</v>
      </c>
      <c r="U283" s="1">
        <v>1</v>
      </c>
      <c r="V283" s="1">
        <v>1</v>
      </c>
      <c r="W283" s="1">
        <v>0</v>
      </c>
      <c r="X283" s="1">
        <v>0</v>
      </c>
      <c r="Y283" s="1">
        <v>3</v>
      </c>
      <c r="Z283" s="3">
        <v>1.0273972602739725</v>
      </c>
      <c r="AA283" s="1">
        <v>5</v>
      </c>
      <c r="AB283" s="3">
        <v>3.4246575342465753</v>
      </c>
      <c r="AC283" s="1">
        <v>0</v>
      </c>
      <c r="AD283" s="3">
        <v>0</v>
      </c>
      <c r="AE283" s="1">
        <v>4</v>
      </c>
      <c r="AF283" s="3">
        <v>2.7397260273972601</v>
      </c>
      <c r="AG283" s="1">
        <v>9</v>
      </c>
      <c r="AH283" s="3">
        <v>6.1643835616438354</v>
      </c>
      <c r="AI283" s="1" t="s">
        <v>22</v>
      </c>
      <c r="AJ283" s="1">
        <v>3</v>
      </c>
      <c r="AK283" s="3">
        <v>2.054794520547945</v>
      </c>
      <c r="AL283" s="1">
        <v>3</v>
      </c>
      <c r="AM283" s="3">
        <v>2.054794520547945</v>
      </c>
      <c r="AN283" s="1" t="s">
        <v>22</v>
      </c>
      <c r="AO283" s="1">
        <v>8</v>
      </c>
      <c r="AP283" s="3">
        <v>5.4794520547945202</v>
      </c>
      <c r="AQ283" s="3">
        <v>2</v>
      </c>
      <c r="AR283" s="3">
        <v>1.3698630136986301</v>
      </c>
      <c r="AS283" s="1">
        <v>9</v>
      </c>
      <c r="AT283" s="3">
        <v>6.1643835616438354</v>
      </c>
      <c r="AU283" s="1">
        <v>2</v>
      </c>
      <c r="AV283" s="3">
        <v>1.3698630136986301</v>
      </c>
      <c r="AW283" s="1" t="s">
        <v>22</v>
      </c>
      <c r="AX283" s="1">
        <v>18</v>
      </c>
      <c r="AY283" s="1">
        <v>0</v>
      </c>
      <c r="AZ283" s="1">
        <v>0</v>
      </c>
      <c r="BA283" s="1">
        <v>36</v>
      </c>
      <c r="BB283" s="1">
        <v>0</v>
      </c>
      <c r="BC283" s="1">
        <v>0</v>
      </c>
      <c r="BD283" s="1">
        <v>2</v>
      </c>
      <c r="BE283" s="54">
        <v>1.3698630136986301</v>
      </c>
      <c r="BF283" s="6">
        <v>25</v>
      </c>
      <c r="BG283" s="6">
        <v>21</v>
      </c>
      <c r="BH283" s="1">
        <v>1</v>
      </c>
      <c r="BI283" s="6">
        <v>10</v>
      </c>
      <c r="BJ283" s="1" t="s">
        <v>22</v>
      </c>
      <c r="BK283" s="6">
        <v>1</v>
      </c>
      <c r="BL283" s="6">
        <v>0</v>
      </c>
      <c r="BM283" s="1">
        <v>1</v>
      </c>
      <c r="BN283" t="s">
        <v>24</v>
      </c>
      <c r="BO283">
        <v>3241</v>
      </c>
    </row>
    <row r="284" spans="1:67" x14ac:dyDescent="0.3">
      <c r="A284" s="4">
        <f>INT(Tabela1[[#This Row],[Data e Hora]])</f>
        <v>46287</v>
      </c>
      <c r="B284" s="4" t="str">
        <f>UPPER(TEXT(Tabela1[[#This Row],[Data Corrigida]],"MMM"))</f>
        <v>SET</v>
      </c>
      <c r="C284" t="s">
        <v>840</v>
      </c>
      <c r="D284" t="s">
        <v>841</v>
      </c>
      <c r="E284" t="s">
        <v>842</v>
      </c>
      <c r="F284" t="s">
        <v>19</v>
      </c>
      <c r="G284" s="5" t="s">
        <v>827</v>
      </c>
      <c r="H284" t="s">
        <v>20</v>
      </c>
      <c r="I284" t="s">
        <v>21</v>
      </c>
      <c r="J284" s="1">
        <v>130</v>
      </c>
      <c r="K284" s="1">
        <v>2918</v>
      </c>
      <c r="L284" t="s">
        <v>23</v>
      </c>
      <c r="M284" s="1">
        <v>30</v>
      </c>
      <c r="N284" s="48">
        <v>30</v>
      </c>
      <c r="O284" s="1">
        <v>9</v>
      </c>
      <c r="P284" s="48">
        <v>9</v>
      </c>
      <c r="Q284" s="1">
        <v>0</v>
      </c>
      <c r="R284" s="1">
        <v>0</v>
      </c>
      <c r="S284" s="1">
        <v>2</v>
      </c>
      <c r="T284" s="1">
        <v>2</v>
      </c>
      <c r="U284" s="1">
        <v>1</v>
      </c>
      <c r="V284" s="1">
        <v>1</v>
      </c>
      <c r="W284" s="1">
        <v>0</v>
      </c>
      <c r="X284" s="1">
        <v>0</v>
      </c>
      <c r="Y284" s="1">
        <v>8</v>
      </c>
      <c r="Z284" s="3">
        <v>3.0769230769230771</v>
      </c>
      <c r="AA284" s="1">
        <v>12</v>
      </c>
      <c r="AB284" s="3">
        <v>9.2307692307692317</v>
      </c>
      <c r="AC284" s="1">
        <v>0</v>
      </c>
      <c r="AD284" s="3">
        <v>0</v>
      </c>
      <c r="AE284" s="1">
        <v>2</v>
      </c>
      <c r="AF284" s="3">
        <v>1.5384615384615385</v>
      </c>
      <c r="AG284" s="1">
        <v>7</v>
      </c>
      <c r="AH284" s="3">
        <v>5.384615384615385</v>
      </c>
      <c r="AI284" s="1" t="s">
        <v>22</v>
      </c>
      <c r="AJ284" s="1">
        <v>3</v>
      </c>
      <c r="AK284" s="3">
        <v>2.3076923076923079</v>
      </c>
      <c r="AL284" s="1">
        <v>3</v>
      </c>
      <c r="AM284" s="3">
        <v>2.3076923076923079</v>
      </c>
      <c r="AN284" s="1" t="s">
        <v>22</v>
      </c>
      <c r="AO284" s="1">
        <v>5</v>
      </c>
      <c r="AP284" s="3">
        <v>3.8461538461538463</v>
      </c>
      <c r="AQ284" s="3">
        <v>2</v>
      </c>
      <c r="AR284" s="3">
        <v>1.5384615384615385</v>
      </c>
      <c r="AS284" s="1">
        <v>13</v>
      </c>
      <c r="AT284" s="3">
        <v>10</v>
      </c>
      <c r="AU284" s="1">
        <v>3</v>
      </c>
      <c r="AV284" s="3">
        <v>2.3076923076923079</v>
      </c>
      <c r="AW284" s="1" t="s">
        <v>22</v>
      </c>
      <c r="AX284" s="1">
        <v>20</v>
      </c>
      <c r="AY284" s="1">
        <v>1</v>
      </c>
      <c r="AZ284" s="1">
        <v>1</v>
      </c>
      <c r="BA284" s="1">
        <v>40</v>
      </c>
      <c r="BB284" s="1">
        <v>2</v>
      </c>
      <c r="BC284" s="1">
        <v>2</v>
      </c>
      <c r="BD284" s="1">
        <v>1</v>
      </c>
      <c r="BE284" s="54">
        <v>0.76923076923076927</v>
      </c>
      <c r="BF284" s="6">
        <v>23</v>
      </c>
      <c r="BG284" s="6">
        <v>19</v>
      </c>
      <c r="BH284" s="1">
        <v>0</v>
      </c>
      <c r="BI284" s="6">
        <v>0</v>
      </c>
      <c r="BJ284" s="1" t="s">
        <v>22</v>
      </c>
      <c r="BK284" s="1" t="s">
        <v>22</v>
      </c>
      <c r="BL284" s="1" t="s">
        <v>22</v>
      </c>
      <c r="BM284" s="1" t="s">
        <v>22</v>
      </c>
      <c r="BN284" t="s">
        <v>24</v>
      </c>
      <c r="BO284">
        <v>2959</v>
      </c>
    </row>
    <row r="285" spans="1:67" x14ac:dyDescent="0.3">
      <c r="A285" s="4">
        <f>INT(Tabela1[[#This Row],[Data e Hora]])</f>
        <v>46288</v>
      </c>
      <c r="B285" s="4" t="str">
        <f>UPPER(TEXT(Tabela1[[#This Row],[Data Corrigida]],"MMM"))</f>
        <v>SET</v>
      </c>
      <c r="C285" s="57" t="s">
        <v>843</v>
      </c>
      <c r="D285" t="s">
        <v>844</v>
      </c>
      <c r="E285" t="s">
        <v>845</v>
      </c>
      <c r="F285" t="s">
        <v>19</v>
      </c>
      <c r="G285" s="5" t="s">
        <v>817</v>
      </c>
      <c r="H285" t="s">
        <v>20</v>
      </c>
      <c r="I285" t="s">
        <v>33</v>
      </c>
      <c r="J285" s="1">
        <v>141</v>
      </c>
      <c r="K285" s="1">
        <v>2731</v>
      </c>
      <c r="L285" t="s">
        <v>34</v>
      </c>
      <c r="M285" s="1">
        <v>20</v>
      </c>
      <c r="N285" s="48">
        <v>20</v>
      </c>
      <c r="O285" s="1">
        <v>4</v>
      </c>
      <c r="P285" s="48">
        <v>4</v>
      </c>
      <c r="Q285" s="1">
        <v>0</v>
      </c>
      <c r="R285" s="1">
        <v>0</v>
      </c>
      <c r="S285" s="1">
        <v>1</v>
      </c>
      <c r="T285" s="1">
        <v>1</v>
      </c>
      <c r="U285" s="1">
        <v>0</v>
      </c>
      <c r="V285" s="1">
        <v>0</v>
      </c>
      <c r="W285" s="1">
        <v>0</v>
      </c>
      <c r="X285" s="1">
        <v>0</v>
      </c>
      <c r="Y285" s="1">
        <v>2</v>
      </c>
      <c r="Z285" s="3">
        <v>0.70921985815602839</v>
      </c>
      <c r="AA285" s="1">
        <v>4</v>
      </c>
      <c r="AB285" s="3">
        <v>2.8368794326241136</v>
      </c>
      <c r="AC285" s="1">
        <v>0</v>
      </c>
      <c r="AD285" s="3">
        <v>0</v>
      </c>
      <c r="AE285" s="1">
        <v>1</v>
      </c>
      <c r="AF285" s="3">
        <v>0.70921985815602839</v>
      </c>
      <c r="AG285" s="1">
        <v>3</v>
      </c>
      <c r="AH285" s="3">
        <v>2.1276595744680851</v>
      </c>
      <c r="AI285" s="1" t="s">
        <v>22</v>
      </c>
      <c r="AJ285" s="1">
        <v>0</v>
      </c>
      <c r="AK285" s="3">
        <v>0</v>
      </c>
      <c r="AL285" s="1">
        <v>0</v>
      </c>
      <c r="AM285" s="3">
        <v>0</v>
      </c>
      <c r="AN285" s="1" t="s">
        <v>22</v>
      </c>
      <c r="AO285" s="1">
        <v>4</v>
      </c>
      <c r="AP285" s="3">
        <v>2.8368794326241136</v>
      </c>
      <c r="AQ285" s="3">
        <v>3</v>
      </c>
      <c r="AR285" s="3">
        <v>2.1276595744680851</v>
      </c>
      <c r="AS285" s="1">
        <v>6</v>
      </c>
      <c r="AT285" s="3">
        <v>4.2553191489361701</v>
      </c>
      <c r="AU285" s="1">
        <v>0</v>
      </c>
      <c r="AV285" s="3">
        <v>0</v>
      </c>
      <c r="AW285" s="1" t="s">
        <v>22</v>
      </c>
      <c r="AX285" s="1">
        <v>19</v>
      </c>
      <c r="AY285" s="1">
        <v>0</v>
      </c>
      <c r="AZ285" s="1">
        <v>0</v>
      </c>
      <c r="BA285" s="1">
        <v>38</v>
      </c>
      <c r="BB285" s="1">
        <v>0</v>
      </c>
      <c r="BC285" s="1">
        <v>0</v>
      </c>
      <c r="BD285" s="1">
        <v>0</v>
      </c>
      <c r="BE285" s="54">
        <v>0</v>
      </c>
      <c r="BF285" s="6">
        <v>20</v>
      </c>
      <c r="BG285" s="6">
        <v>17</v>
      </c>
      <c r="BH285" s="1">
        <v>0</v>
      </c>
      <c r="BI285" s="6">
        <v>0</v>
      </c>
      <c r="BJ285" s="1" t="s">
        <v>22</v>
      </c>
      <c r="BK285" s="6">
        <v>0</v>
      </c>
      <c r="BL285" s="6">
        <v>0</v>
      </c>
      <c r="BM285" s="1">
        <v>0</v>
      </c>
      <c r="BN285" t="s">
        <v>24</v>
      </c>
      <c r="BO285">
        <v>227</v>
      </c>
    </row>
    <row r="286" spans="1:67" x14ac:dyDescent="0.3">
      <c r="A286" s="4">
        <f>INT(Tabela1[[#This Row],[Data e Hora]])</f>
        <v>46288</v>
      </c>
      <c r="B286" s="4" t="str">
        <f>UPPER(TEXT(Tabela1[[#This Row],[Data Corrigida]],"MMM"))</f>
        <v>SET</v>
      </c>
      <c r="C286" t="s">
        <v>846</v>
      </c>
      <c r="D286" t="s">
        <v>847</v>
      </c>
      <c r="E286" t="s">
        <v>845</v>
      </c>
      <c r="F286" t="s">
        <v>19</v>
      </c>
      <c r="G286" s="5" t="s">
        <v>817</v>
      </c>
      <c r="H286" t="s">
        <v>20</v>
      </c>
      <c r="I286" t="s">
        <v>33</v>
      </c>
      <c r="J286" s="1">
        <v>145</v>
      </c>
      <c r="K286" s="1">
        <v>2820</v>
      </c>
      <c r="L286" t="s">
        <v>34</v>
      </c>
      <c r="M286" s="1">
        <v>21</v>
      </c>
      <c r="N286" s="48">
        <v>21</v>
      </c>
      <c r="O286" s="1">
        <v>10</v>
      </c>
      <c r="P286" s="48">
        <v>10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6</v>
      </c>
      <c r="Z286" s="3">
        <v>2.0689655172413794</v>
      </c>
      <c r="AA286" s="1">
        <v>8</v>
      </c>
      <c r="AB286" s="3">
        <v>5.5172413793103452</v>
      </c>
      <c r="AC286" s="1">
        <v>0</v>
      </c>
      <c r="AD286" s="3">
        <v>0</v>
      </c>
      <c r="AE286" s="1">
        <v>3</v>
      </c>
      <c r="AF286" s="3">
        <v>2.0689655172413794</v>
      </c>
      <c r="AG286" s="1">
        <v>2</v>
      </c>
      <c r="AH286" s="3">
        <v>1.3793103448275863</v>
      </c>
      <c r="AI286" s="1" t="s">
        <v>22</v>
      </c>
      <c r="AJ286" s="1">
        <v>1</v>
      </c>
      <c r="AK286" s="3">
        <v>0.68965517241379315</v>
      </c>
      <c r="AL286" s="1">
        <v>0</v>
      </c>
      <c r="AM286" s="3">
        <v>0</v>
      </c>
      <c r="AN286" s="1" t="s">
        <v>22</v>
      </c>
      <c r="AO286" s="1">
        <v>8</v>
      </c>
      <c r="AP286" s="3">
        <v>5.5172413793103452</v>
      </c>
      <c r="AQ286" s="3">
        <v>4</v>
      </c>
      <c r="AR286" s="3">
        <v>2.7586206896551726</v>
      </c>
      <c r="AS286" s="1">
        <v>5</v>
      </c>
      <c r="AT286" s="3">
        <v>3.4482758620689653</v>
      </c>
      <c r="AU286" s="1">
        <v>1</v>
      </c>
      <c r="AV286" s="3">
        <v>0.68965517241379315</v>
      </c>
      <c r="AW286" s="1" t="s">
        <v>22</v>
      </c>
      <c r="AX286" s="1">
        <v>20</v>
      </c>
      <c r="AY286" s="1">
        <v>0</v>
      </c>
      <c r="AZ286" s="1">
        <v>0</v>
      </c>
      <c r="BA286" s="1">
        <v>40</v>
      </c>
      <c r="BB286" s="1">
        <v>0</v>
      </c>
      <c r="BC286" s="1">
        <v>0</v>
      </c>
      <c r="BD286" s="1">
        <v>1</v>
      </c>
      <c r="BE286" s="54">
        <v>0.68965517241379315</v>
      </c>
      <c r="BF286" s="6">
        <v>23</v>
      </c>
      <c r="BG286" s="6">
        <v>14</v>
      </c>
      <c r="BH286" s="1">
        <v>0</v>
      </c>
      <c r="BI286" s="6">
        <v>0</v>
      </c>
      <c r="BJ286" s="1" t="s">
        <v>22</v>
      </c>
      <c r="BK286" s="6">
        <v>0</v>
      </c>
      <c r="BL286" s="6">
        <v>0</v>
      </c>
      <c r="BM286" s="1">
        <v>0</v>
      </c>
      <c r="BN286" t="s">
        <v>24</v>
      </c>
      <c r="BO286">
        <v>10475</v>
      </c>
    </row>
    <row r="287" spans="1:67" x14ac:dyDescent="0.3">
      <c r="A287" s="4">
        <f>INT(Tabela1[[#This Row],[Data e Hora]])</f>
        <v>46288</v>
      </c>
      <c r="B287" s="4" t="str">
        <f>UPPER(TEXT(Tabela1[[#This Row],[Data Corrigida]],"MMM"))</f>
        <v>SET</v>
      </c>
      <c r="C287" t="s">
        <v>848</v>
      </c>
      <c r="D287" t="s">
        <v>849</v>
      </c>
      <c r="E287" t="s">
        <v>845</v>
      </c>
      <c r="F287" t="s">
        <v>19</v>
      </c>
      <c r="G287" s="5" t="s">
        <v>817</v>
      </c>
      <c r="H287" t="s">
        <v>20</v>
      </c>
      <c r="I287" t="s">
        <v>33</v>
      </c>
      <c r="J287" s="1">
        <v>79</v>
      </c>
      <c r="K287" s="1">
        <v>2765</v>
      </c>
      <c r="L287" t="s">
        <v>34</v>
      </c>
      <c r="M287" s="1">
        <v>18</v>
      </c>
      <c r="N287" s="48">
        <v>18</v>
      </c>
      <c r="O287" s="1">
        <v>6</v>
      </c>
      <c r="P287" s="48">
        <v>6</v>
      </c>
      <c r="Q287" s="1">
        <v>0</v>
      </c>
      <c r="R287" s="1">
        <v>0</v>
      </c>
      <c r="S287" s="1">
        <v>1</v>
      </c>
      <c r="T287" s="1">
        <v>1</v>
      </c>
      <c r="U287" s="1">
        <v>0</v>
      </c>
      <c r="V287" s="1">
        <v>0</v>
      </c>
      <c r="W287" s="1">
        <v>0</v>
      </c>
      <c r="X287" s="1">
        <v>0</v>
      </c>
      <c r="Y287" s="1">
        <v>5</v>
      </c>
      <c r="Z287" s="3">
        <v>3.1645569620253164</v>
      </c>
      <c r="AA287" s="1">
        <v>1</v>
      </c>
      <c r="AB287" s="3">
        <v>1.2658227848101267</v>
      </c>
      <c r="AC287" s="1">
        <v>0</v>
      </c>
      <c r="AD287" s="3">
        <v>0</v>
      </c>
      <c r="AE287" s="1">
        <v>2</v>
      </c>
      <c r="AF287" s="3">
        <v>2.5316455696202533</v>
      </c>
      <c r="AG287" s="1">
        <v>0</v>
      </c>
      <c r="AH287" s="3">
        <v>0</v>
      </c>
      <c r="AI287" s="1" t="s">
        <v>22</v>
      </c>
      <c r="AJ287" s="1">
        <v>3</v>
      </c>
      <c r="AK287" s="3">
        <v>3.79746835443038</v>
      </c>
      <c r="AL287" s="1">
        <v>0</v>
      </c>
      <c r="AM287" s="3">
        <v>0</v>
      </c>
      <c r="AN287" s="1" t="s">
        <v>22</v>
      </c>
      <c r="AO287" s="1">
        <v>5</v>
      </c>
      <c r="AP287" s="3">
        <v>6.3291139240506329</v>
      </c>
      <c r="AQ287" s="3">
        <v>1</v>
      </c>
      <c r="AR287" s="3">
        <v>1.2658227848101267</v>
      </c>
      <c r="AS287" s="1">
        <v>4</v>
      </c>
      <c r="AT287" s="3">
        <v>5.0632911392405067</v>
      </c>
      <c r="AU287" s="1">
        <v>0</v>
      </c>
      <c r="AV287" s="3">
        <v>0</v>
      </c>
      <c r="AW287" s="1" t="s">
        <v>22</v>
      </c>
      <c r="AX287" s="1">
        <v>16</v>
      </c>
      <c r="AY287" s="1">
        <v>0</v>
      </c>
      <c r="AZ287" s="1">
        <v>0</v>
      </c>
      <c r="BA287" s="1">
        <v>32</v>
      </c>
      <c r="BB287" s="1">
        <v>0</v>
      </c>
      <c r="BC287" s="1">
        <v>0</v>
      </c>
      <c r="BD287" s="1">
        <v>0</v>
      </c>
      <c r="BE287" s="54">
        <v>0</v>
      </c>
      <c r="BF287" s="6">
        <v>25</v>
      </c>
      <c r="BG287" s="6">
        <v>17</v>
      </c>
      <c r="BH287" s="1">
        <v>0</v>
      </c>
      <c r="BI287" s="6">
        <v>0</v>
      </c>
      <c r="BJ287" s="1" t="s">
        <v>22</v>
      </c>
      <c r="BK287" s="6">
        <v>0</v>
      </c>
      <c r="BL287" s="6">
        <v>0</v>
      </c>
      <c r="BM287" s="1">
        <v>0</v>
      </c>
      <c r="BN287" t="s">
        <v>24</v>
      </c>
      <c r="BO287">
        <v>10966</v>
      </c>
    </row>
    <row r="288" spans="1:67" x14ac:dyDescent="0.3">
      <c r="A288" s="4">
        <f>INT(Tabela1[[#This Row],[Data e Hora]])</f>
        <v>46290</v>
      </c>
      <c r="B288" s="4" t="str">
        <f>UPPER(TEXT(Tabela1[[#This Row],[Data Corrigida]],"MMM"))</f>
        <v>SET</v>
      </c>
      <c r="C288" s="57" t="s">
        <v>850</v>
      </c>
      <c r="D288" t="s">
        <v>851</v>
      </c>
      <c r="E288" t="s">
        <v>852</v>
      </c>
      <c r="F288" t="s">
        <v>19</v>
      </c>
      <c r="G288" s="5" t="s">
        <v>853</v>
      </c>
      <c r="H288" t="s">
        <v>20</v>
      </c>
      <c r="I288" t="s">
        <v>33</v>
      </c>
      <c r="J288" s="1">
        <v>110</v>
      </c>
      <c r="K288" s="1">
        <v>2926</v>
      </c>
      <c r="L288" t="s">
        <v>34</v>
      </c>
      <c r="M288" s="1">
        <v>20</v>
      </c>
      <c r="N288" s="48">
        <v>20</v>
      </c>
      <c r="O288" s="1">
        <v>9</v>
      </c>
      <c r="P288" s="48">
        <v>9</v>
      </c>
      <c r="Q288" s="1">
        <v>0</v>
      </c>
      <c r="R288" s="1">
        <v>0</v>
      </c>
      <c r="S288" s="1">
        <v>0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1">
        <v>5</v>
      </c>
      <c r="Z288" s="3">
        <v>2.2727272727272729</v>
      </c>
      <c r="AA288" s="1">
        <v>5</v>
      </c>
      <c r="AB288" s="3">
        <v>4.5454545454545459</v>
      </c>
      <c r="AC288" s="1">
        <v>0</v>
      </c>
      <c r="AD288" s="3">
        <v>0</v>
      </c>
      <c r="AE288" s="1">
        <v>1</v>
      </c>
      <c r="AF288" s="3">
        <v>0.90909090909090906</v>
      </c>
      <c r="AG288" s="1">
        <v>2</v>
      </c>
      <c r="AH288" s="3">
        <v>1.8181818181818181</v>
      </c>
      <c r="AI288" s="1" t="s">
        <v>22</v>
      </c>
      <c r="AJ288" s="1">
        <v>0</v>
      </c>
      <c r="AK288" s="3">
        <v>0</v>
      </c>
      <c r="AL288" s="1">
        <v>0</v>
      </c>
      <c r="AM288" s="3">
        <v>0</v>
      </c>
      <c r="AN288" s="1" t="s">
        <v>22</v>
      </c>
      <c r="AO288" s="1">
        <v>7</v>
      </c>
      <c r="AP288" s="3">
        <v>6.3636363636363633</v>
      </c>
      <c r="AQ288" s="3">
        <v>5</v>
      </c>
      <c r="AR288" s="3">
        <v>4.5454545454545459</v>
      </c>
      <c r="AS288" s="1">
        <v>6</v>
      </c>
      <c r="AT288" s="3">
        <v>5.4545454545454541</v>
      </c>
      <c r="AU288" s="1">
        <v>0</v>
      </c>
      <c r="AV288" s="3">
        <v>0</v>
      </c>
      <c r="AW288" s="1" t="s">
        <v>22</v>
      </c>
      <c r="AX288" s="1">
        <v>19</v>
      </c>
      <c r="AY288" s="1">
        <v>0</v>
      </c>
      <c r="AZ288" s="1">
        <v>0</v>
      </c>
      <c r="BA288" s="1">
        <v>38</v>
      </c>
      <c r="BB288" s="1">
        <v>0</v>
      </c>
      <c r="BC288" s="1">
        <v>0</v>
      </c>
      <c r="BD288" s="1">
        <v>0</v>
      </c>
      <c r="BE288" s="54">
        <v>0</v>
      </c>
      <c r="BF288" s="6">
        <v>20</v>
      </c>
      <c r="BG288" s="6">
        <v>18</v>
      </c>
      <c r="BH288" s="1">
        <v>0</v>
      </c>
      <c r="BI288" s="6">
        <v>0</v>
      </c>
      <c r="BJ288" s="1" t="s">
        <v>22</v>
      </c>
      <c r="BK288" s="6">
        <v>2</v>
      </c>
      <c r="BL288" s="6">
        <v>0</v>
      </c>
      <c r="BM288" s="1">
        <v>0</v>
      </c>
      <c r="BN288" t="s">
        <v>24</v>
      </c>
      <c r="BO288">
        <v>271</v>
      </c>
    </row>
    <row r="289" spans="1:67" x14ac:dyDescent="0.3">
      <c r="A289" s="4">
        <f>INT(Tabela1[[#This Row],[Data e Hora]])</f>
        <v>46290</v>
      </c>
      <c r="B289" s="4" t="str">
        <f>UPPER(TEXT(Tabela1[[#This Row],[Data Corrigida]],"MMM"))</f>
        <v>SET</v>
      </c>
      <c r="C289" t="s">
        <v>854</v>
      </c>
      <c r="D289" t="s">
        <v>855</v>
      </c>
      <c r="E289" t="s">
        <v>852</v>
      </c>
      <c r="F289" t="s">
        <v>19</v>
      </c>
      <c r="G289" s="5" t="s">
        <v>853</v>
      </c>
      <c r="H289" t="s">
        <v>20</v>
      </c>
      <c r="I289" t="s">
        <v>33</v>
      </c>
      <c r="J289" s="1">
        <v>79</v>
      </c>
      <c r="K289" s="1">
        <v>2926</v>
      </c>
      <c r="L289" t="s">
        <v>34</v>
      </c>
      <c r="M289" s="1">
        <v>25</v>
      </c>
      <c r="N289" s="48">
        <v>25</v>
      </c>
      <c r="O289" s="1">
        <v>8</v>
      </c>
      <c r="P289" s="48">
        <v>8</v>
      </c>
      <c r="Q289" s="1">
        <v>0</v>
      </c>
      <c r="R289" s="1">
        <v>0</v>
      </c>
      <c r="S289" s="1">
        <v>1</v>
      </c>
      <c r="T289" s="1">
        <v>1</v>
      </c>
      <c r="U289" s="1">
        <v>0</v>
      </c>
      <c r="V289" s="1">
        <v>0</v>
      </c>
      <c r="W289" s="1">
        <v>0</v>
      </c>
      <c r="X289" s="1">
        <v>0</v>
      </c>
      <c r="Y289" s="1">
        <v>4</v>
      </c>
      <c r="Z289" s="3">
        <v>2.5316455696202533</v>
      </c>
      <c r="AA289" s="1">
        <v>8</v>
      </c>
      <c r="AB289" s="3">
        <v>10.126582278481013</v>
      </c>
      <c r="AC289" s="1">
        <v>0</v>
      </c>
      <c r="AD289" s="3">
        <v>0</v>
      </c>
      <c r="AE289" s="1">
        <v>0</v>
      </c>
      <c r="AF289" s="3">
        <v>0</v>
      </c>
      <c r="AG289" s="1">
        <v>1</v>
      </c>
      <c r="AH289" s="3">
        <v>1.2658227848101267</v>
      </c>
      <c r="AI289" s="1" t="s">
        <v>22</v>
      </c>
      <c r="AJ289" s="1">
        <v>0</v>
      </c>
      <c r="AK289" s="3">
        <v>0</v>
      </c>
      <c r="AL289" s="1">
        <v>0</v>
      </c>
      <c r="AM289" s="3">
        <v>0</v>
      </c>
      <c r="AN289" s="1" t="s">
        <v>22</v>
      </c>
      <c r="AO289" s="1">
        <v>9</v>
      </c>
      <c r="AP289" s="3">
        <v>11.39240506329114</v>
      </c>
      <c r="AQ289" s="3">
        <v>3</v>
      </c>
      <c r="AR289" s="3">
        <v>3.79746835443038</v>
      </c>
      <c r="AS289" s="1">
        <v>7</v>
      </c>
      <c r="AT289" s="3">
        <v>8.8607594936708853</v>
      </c>
      <c r="AU289" s="1">
        <v>1</v>
      </c>
      <c r="AV289" s="3">
        <v>1.2658227848101267</v>
      </c>
      <c r="AW289" s="1" t="s">
        <v>22</v>
      </c>
      <c r="AX289" s="1">
        <v>20</v>
      </c>
      <c r="AY289" s="1">
        <v>0</v>
      </c>
      <c r="AZ289" s="1">
        <v>0</v>
      </c>
      <c r="BA289" s="1">
        <v>40</v>
      </c>
      <c r="BB289" s="1">
        <v>0</v>
      </c>
      <c r="BC289" s="1">
        <v>0</v>
      </c>
      <c r="BD289" s="1">
        <v>0</v>
      </c>
      <c r="BE289" s="54">
        <v>0</v>
      </c>
      <c r="BF289" s="6">
        <v>20</v>
      </c>
      <c r="BG289" s="6">
        <v>19</v>
      </c>
      <c r="BH289" s="1">
        <v>0</v>
      </c>
      <c r="BI289" s="6">
        <v>0</v>
      </c>
      <c r="BJ289" s="1" t="s">
        <v>22</v>
      </c>
      <c r="BK289" s="6">
        <v>8</v>
      </c>
      <c r="BL289" s="6">
        <v>0</v>
      </c>
      <c r="BM289" s="1">
        <v>0</v>
      </c>
      <c r="BN289" t="s">
        <v>24</v>
      </c>
      <c r="BO289">
        <v>7647</v>
      </c>
    </row>
    <row r="290" spans="1:67" x14ac:dyDescent="0.3">
      <c r="A290" s="4">
        <f>INT(Tabela1[[#This Row],[Data e Hora]])</f>
        <v>46290</v>
      </c>
      <c r="B290" s="4" t="str">
        <f>UPPER(TEXT(Tabela1[[#This Row],[Data Corrigida]],"MMM"))</f>
        <v>SET</v>
      </c>
      <c r="C290" t="s">
        <v>856</v>
      </c>
      <c r="D290" t="s">
        <v>857</v>
      </c>
      <c r="E290" t="s">
        <v>852</v>
      </c>
      <c r="F290" t="s">
        <v>19</v>
      </c>
      <c r="G290" s="5" t="s">
        <v>853</v>
      </c>
      <c r="H290" t="s">
        <v>20</v>
      </c>
      <c r="I290" t="s">
        <v>33</v>
      </c>
      <c r="J290" s="1">
        <v>130</v>
      </c>
      <c r="K290" s="1">
        <v>2908</v>
      </c>
      <c r="L290" t="s">
        <v>34</v>
      </c>
      <c r="M290" s="1">
        <v>22</v>
      </c>
      <c r="N290" s="48">
        <v>22</v>
      </c>
      <c r="O290" s="1">
        <v>10</v>
      </c>
      <c r="P290" s="48">
        <v>10</v>
      </c>
      <c r="Q290" s="1">
        <v>1</v>
      </c>
      <c r="R290" s="1">
        <v>10</v>
      </c>
      <c r="S290" s="1">
        <v>1</v>
      </c>
      <c r="T290" s="1">
        <v>1</v>
      </c>
      <c r="U290" s="1">
        <v>0</v>
      </c>
      <c r="V290" s="1">
        <v>0</v>
      </c>
      <c r="W290" s="1">
        <v>0</v>
      </c>
      <c r="X290" s="1">
        <v>0</v>
      </c>
      <c r="Y290" s="1">
        <v>4</v>
      </c>
      <c r="Z290" s="3">
        <v>1.5384615384615385</v>
      </c>
      <c r="AA290" s="1">
        <v>6</v>
      </c>
      <c r="AB290" s="3">
        <v>4.6153846153846159</v>
      </c>
      <c r="AC290" s="1">
        <v>1</v>
      </c>
      <c r="AD290" s="3">
        <v>0.76923076923076927</v>
      </c>
      <c r="AE290" s="1">
        <v>1</v>
      </c>
      <c r="AF290" s="3">
        <v>0.76923076923076927</v>
      </c>
      <c r="AG290" s="1">
        <v>2</v>
      </c>
      <c r="AH290" s="3">
        <v>1.5384615384615385</v>
      </c>
      <c r="AI290" s="1" t="s">
        <v>22</v>
      </c>
      <c r="AJ290" s="1">
        <v>1</v>
      </c>
      <c r="AK290" s="3">
        <v>0.76923076923076927</v>
      </c>
      <c r="AL290" s="1">
        <v>0</v>
      </c>
      <c r="AM290" s="3">
        <v>0</v>
      </c>
      <c r="AN290" s="1" t="s">
        <v>22</v>
      </c>
      <c r="AO290" s="1">
        <v>8</v>
      </c>
      <c r="AP290" s="3">
        <v>6.1538461538461542</v>
      </c>
      <c r="AQ290" s="3" t="s">
        <v>22</v>
      </c>
      <c r="AR290" s="3" t="s">
        <v>22</v>
      </c>
      <c r="AS290" s="1">
        <v>6</v>
      </c>
      <c r="AT290" s="3">
        <v>4.6153846153846159</v>
      </c>
      <c r="AU290" s="1">
        <v>0</v>
      </c>
      <c r="AV290" s="3">
        <v>0</v>
      </c>
      <c r="AW290" s="1" t="s">
        <v>22</v>
      </c>
      <c r="AX290" s="1">
        <v>19</v>
      </c>
      <c r="AY290" s="1">
        <v>0</v>
      </c>
      <c r="AZ290" s="1">
        <v>0</v>
      </c>
      <c r="BA290" s="1">
        <v>38</v>
      </c>
      <c r="BB290" s="1">
        <v>0</v>
      </c>
      <c r="BC290" s="1">
        <v>0</v>
      </c>
      <c r="BD290" s="1">
        <v>2</v>
      </c>
      <c r="BE290" s="54">
        <v>1.5384615384615385</v>
      </c>
      <c r="BF290" s="6">
        <v>26</v>
      </c>
      <c r="BG290" s="6">
        <v>24</v>
      </c>
      <c r="BH290" s="1">
        <v>0</v>
      </c>
      <c r="BI290" s="6">
        <v>0</v>
      </c>
      <c r="BJ290" s="1" t="s">
        <v>22</v>
      </c>
      <c r="BK290" s="6">
        <v>0</v>
      </c>
      <c r="BL290" s="6">
        <v>0</v>
      </c>
      <c r="BM290" s="1">
        <v>0</v>
      </c>
      <c r="BN290" t="s">
        <v>24</v>
      </c>
      <c r="BO290">
        <v>14736</v>
      </c>
    </row>
    <row r="291" spans="1:67" x14ac:dyDescent="0.3">
      <c r="A291" s="4">
        <f>INT(Tabela1[[#This Row],[Data e Hora]])</f>
        <v>46290</v>
      </c>
      <c r="B291" s="4" t="str">
        <f>UPPER(TEXT(Tabela1[[#This Row],[Data Corrigida]],"MMM"))</f>
        <v>SET</v>
      </c>
      <c r="C291" t="s">
        <v>858</v>
      </c>
      <c r="D291" t="s">
        <v>859</v>
      </c>
      <c r="E291" t="s">
        <v>860</v>
      </c>
      <c r="F291" t="s">
        <v>19</v>
      </c>
      <c r="G291" s="5" t="s">
        <v>853</v>
      </c>
      <c r="H291" t="s">
        <v>20</v>
      </c>
      <c r="I291" t="s">
        <v>21</v>
      </c>
      <c r="J291" s="1">
        <v>100</v>
      </c>
      <c r="K291" s="1">
        <v>3079</v>
      </c>
      <c r="L291" t="s">
        <v>23</v>
      </c>
      <c r="M291" s="1">
        <v>47</v>
      </c>
      <c r="N291" s="48">
        <v>47</v>
      </c>
      <c r="O291" s="1">
        <v>19</v>
      </c>
      <c r="P291" s="48">
        <v>19</v>
      </c>
      <c r="Q291" s="1">
        <v>0</v>
      </c>
      <c r="R291" s="1">
        <v>0</v>
      </c>
      <c r="S291" s="1">
        <v>3</v>
      </c>
      <c r="T291" s="1">
        <v>3</v>
      </c>
      <c r="U291" s="1">
        <v>1</v>
      </c>
      <c r="V291" s="1">
        <v>1</v>
      </c>
      <c r="W291" s="1">
        <v>0</v>
      </c>
      <c r="X291" s="1">
        <v>0</v>
      </c>
      <c r="Y291" s="1">
        <v>2</v>
      </c>
      <c r="Z291" s="3">
        <v>1</v>
      </c>
      <c r="AA291" s="1">
        <v>6</v>
      </c>
      <c r="AB291" s="3">
        <v>6</v>
      </c>
      <c r="AC291" s="1">
        <v>0</v>
      </c>
      <c r="AD291" s="3">
        <v>0</v>
      </c>
      <c r="AE291" s="1">
        <v>4</v>
      </c>
      <c r="AF291" s="3">
        <v>4</v>
      </c>
      <c r="AG291" s="1">
        <v>9</v>
      </c>
      <c r="AH291" s="3">
        <v>9</v>
      </c>
      <c r="AI291" s="1" t="s">
        <v>22</v>
      </c>
      <c r="AJ291" s="1">
        <v>6</v>
      </c>
      <c r="AK291" s="3">
        <v>6</v>
      </c>
      <c r="AL291" s="1">
        <v>2</v>
      </c>
      <c r="AM291" s="3">
        <v>2</v>
      </c>
      <c r="AN291" s="1" t="s">
        <v>22</v>
      </c>
      <c r="AO291" s="1">
        <v>12</v>
      </c>
      <c r="AP291" s="3">
        <v>12</v>
      </c>
      <c r="AQ291" s="3">
        <v>2</v>
      </c>
      <c r="AR291" s="3">
        <v>2</v>
      </c>
      <c r="AS291" s="1">
        <v>9</v>
      </c>
      <c r="AT291" s="3">
        <v>9</v>
      </c>
      <c r="AU291" s="1">
        <v>2</v>
      </c>
      <c r="AV291" s="3">
        <v>2</v>
      </c>
      <c r="AW291" s="1" t="s">
        <v>22</v>
      </c>
      <c r="AX291" s="1">
        <v>20</v>
      </c>
      <c r="AY291" s="1">
        <v>0</v>
      </c>
      <c r="AZ291" s="1">
        <v>0</v>
      </c>
      <c r="BA291" s="1">
        <v>40</v>
      </c>
      <c r="BB291" s="1">
        <v>0</v>
      </c>
      <c r="BC291" s="1">
        <v>0</v>
      </c>
      <c r="BD291" s="1">
        <v>0</v>
      </c>
      <c r="BE291" s="54">
        <v>0</v>
      </c>
      <c r="BF291" s="6">
        <v>25</v>
      </c>
      <c r="BG291" s="6">
        <v>23</v>
      </c>
      <c r="BH291" s="1">
        <v>1</v>
      </c>
      <c r="BI291" s="6">
        <v>10</v>
      </c>
      <c r="BJ291" s="1" t="s">
        <v>22</v>
      </c>
      <c r="BK291" s="1" t="s">
        <v>22</v>
      </c>
      <c r="BL291" s="1" t="s">
        <v>22</v>
      </c>
      <c r="BM291" s="1" t="s">
        <v>22</v>
      </c>
      <c r="BN291" t="s">
        <v>24</v>
      </c>
      <c r="BO291">
        <v>1861</v>
      </c>
    </row>
    <row r="292" spans="1:67" x14ac:dyDescent="0.3">
      <c r="A292" s="4">
        <f>INT(Tabela1[[#This Row],[Data e Hora]])</f>
        <v>46290</v>
      </c>
      <c r="B292" s="4" t="str">
        <f>UPPER(TEXT(Tabela1[[#This Row],[Data Corrigida]],"MMM"))</f>
        <v>SET</v>
      </c>
      <c r="C292" t="s">
        <v>861</v>
      </c>
      <c r="D292" t="s">
        <v>862</v>
      </c>
      <c r="E292" t="s">
        <v>860</v>
      </c>
      <c r="F292" t="s">
        <v>19</v>
      </c>
      <c r="G292" s="5" t="s">
        <v>853</v>
      </c>
      <c r="H292" t="s">
        <v>20</v>
      </c>
      <c r="I292" t="s">
        <v>21</v>
      </c>
      <c r="J292" s="1">
        <v>155</v>
      </c>
      <c r="K292" s="1">
        <v>3088</v>
      </c>
      <c r="L292" t="s">
        <v>23</v>
      </c>
      <c r="M292" s="1">
        <v>43</v>
      </c>
      <c r="N292" s="48">
        <v>43</v>
      </c>
      <c r="O292" s="1">
        <v>22</v>
      </c>
      <c r="P292" s="48">
        <v>22</v>
      </c>
      <c r="Q292" s="1">
        <v>0</v>
      </c>
      <c r="R292" s="1">
        <v>0</v>
      </c>
      <c r="S292" s="1">
        <v>2</v>
      </c>
      <c r="T292" s="1">
        <v>2</v>
      </c>
      <c r="U292" s="1">
        <v>1</v>
      </c>
      <c r="V292" s="1">
        <v>1</v>
      </c>
      <c r="W292" s="1">
        <v>0</v>
      </c>
      <c r="X292" s="1">
        <v>0</v>
      </c>
      <c r="Y292" s="1">
        <v>1</v>
      </c>
      <c r="Z292" s="3">
        <v>0.32258064516129031</v>
      </c>
      <c r="AA292" s="1">
        <v>9</v>
      </c>
      <c r="AB292" s="3">
        <v>5.806451612903226</v>
      </c>
      <c r="AC292" s="1">
        <v>0</v>
      </c>
      <c r="AD292" s="3">
        <v>0</v>
      </c>
      <c r="AE292" s="1">
        <v>5</v>
      </c>
      <c r="AF292" s="3">
        <v>3.225806451612903</v>
      </c>
      <c r="AG292" s="1">
        <v>10</v>
      </c>
      <c r="AH292" s="3">
        <v>6.4516129032258061</v>
      </c>
      <c r="AI292" s="1" t="s">
        <v>22</v>
      </c>
      <c r="AJ292" s="1">
        <v>8</v>
      </c>
      <c r="AK292" s="3">
        <v>5.161290322580645</v>
      </c>
      <c r="AL292" s="1">
        <v>3</v>
      </c>
      <c r="AM292" s="3">
        <v>1.935483870967742</v>
      </c>
      <c r="AN292" s="1" t="s">
        <v>22</v>
      </c>
      <c r="AO292" s="1">
        <v>12</v>
      </c>
      <c r="AP292" s="3">
        <v>7.741935483870968</v>
      </c>
      <c r="AQ292" s="3">
        <v>2</v>
      </c>
      <c r="AR292" s="3">
        <v>1.2903225806451613</v>
      </c>
      <c r="AS292" s="1">
        <v>11</v>
      </c>
      <c r="AT292" s="3">
        <v>7.096774193548387</v>
      </c>
      <c r="AU292" s="1">
        <v>4</v>
      </c>
      <c r="AV292" s="3">
        <v>2.5806451612903225</v>
      </c>
      <c r="AW292" s="1" t="s">
        <v>22</v>
      </c>
      <c r="AX292" s="1">
        <v>20</v>
      </c>
      <c r="AY292" s="1">
        <v>0</v>
      </c>
      <c r="AZ292" s="1">
        <v>0</v>
      </c>
      <c r="BA292" s="1">
        <v>40</v>
      </c>
      <c r="BB292" s="1">
        <v>0</v>
      </c>
      <c r="BC292" s="1">
        <v>0</v>
      </c>
      <c r="BD292" s="1">
        <v>0</v>
      </c>
      <c r="BE292" s="54">
        <v>0</v>
      </c>
      <c r="BF292" s="6">
        <v>25</v>
      </c>
      <c r="BG292" s="6">
        <v>19</v>
      </c>
      <c r="BH292" s="1">
        <v>0</v>
      </c>
      <c r="BI292" s="6">
        <v>0</v>
      </c>
      <c r="BJ292" s="1" t="s">
        <v>22</v>
      </c>
      <c r="BK292" s="6">
        <v>0</v>
      </c>
      <c r="BL292" s="6">
        <v>0</v>
      </c>
      <c r="BM292" s="1">
        <v>1</v>
      </c>
      <c r="BN292" t="s">
        <v>24</v>
      </c>
      <c r="BO292">
        <v>2519</v>
      </c>
    </row>
    <row r="293" spans="1:67" x14ac:dyDescent="0.3">
      <c r="A293" s="4">
        <f>INT(Tabela1[[#This Row],[Data e Hora]])</f>
        <v>46290</v>
      </c>
      <c r="B293" s="4" t="str">
        <f>UPPER(TEXT(Tabela1[[#This Row],[Data Corrigida]],"MMM"))</f>
        <v>SET</v>
      </c>
      <c r="C293" t="s">
        <v>863</v>
      </c>
      <c r="D293" t="s">
        <v>864</v>
      </c>
      <c r="E293" t="s">
        <v>865</v>
      </c>
      <c r="F293" t="s">
        <v>19</v>
      </c>
      <c r="G293" s="5" t="s">
        <v>853</v>
      </c>
      <c r="H293" t="s">
        <v>20</v>
      </c>
      <c r="I293" t="s">
        <v>21</v>
      </c>
      <c r="J293" s="1">
        <v>125</v>
      </c>
      <c r="K293" s="1">
        <v>3100</v>
      </c>
      <c r="L293" t="s">
        <v>23</v>
      </c>
      <c r="M293" s="1">
        <v>40</v>
      </c>
      <c r="N293" s="48">
        <v>40</v>
      </c>
      <c r="O293" s="1">
        <v>21</v>
      </c>
      <c r="P293" s="48">
        <v>21</v>
      </c>
      <c r="Q293" s="1">
        <v>0</v>
      </c>
      <c r="R293" s="1">
        <v>0</v>
      </c>
      <c r="S293" s="1">
        <v>2</v>
      </c>
      <c r="T293" s="1">
        <v>2</v>
      </c>
      <c r="U293" s="1">
        <v>1</v>
      </c>
      <c r="V293" s="1">
        <v>1</v>
      </c>
      <c r="W293" s="1">
        <v>0</v>
      </c>
      <c r="X293" s="1">
        <v>0</v>
      </c>
      <c r="Y293" s="1">
        <v>1</v>
      </c>
      <c r="Z293" s="3">
        <v>0.4</v>
      </c>
      <c r="AA293" s="1">
        <v>9</v>
      </c>
      <c r="AB293" s="3">
        <v>7.1999999999999993</v>
      </c>
      <c r="AC293" s="1">
        <v>0</v>
      </c>
      <c r="AD293" s="3">
        <v>0</v>
      </c>
      <c r="AE293" s="1">
        <v>4</v>
      </c>
      <c r="AF293" s="3">
        <v>3.2</v>
      </c>
      <c r="AG293" s="1">
        <v>8</v>
      </c>
      <c r="AH293" s="3">
        <v>6.4</v>
      </c>
      <c r="AI293" s="1" t="s">
        <v>22</v>
      </c>
      <c r="AJ293" s="1">
        <v>7</v>
      </c>
      <c r="AK293" s="3">
        <v>5.6000000000000005</v>
      </c>
      <c r="AL293" s="1">
        <v>2</v>
      </c>
      <c r="AM293" s="3">
        <v>1.6</v>
      </c>
      <c r="AN293" s="1" t="s">
        <v>22</v>
      </c>
      <c r="AO293" s="1">
        <v>13</v>
      </c>
      <c r="AP293" s="3">
        <v>10.4</v>
      </c>
      <c r="AQ293" s="3">
        <v>2</v>
      </c>
      <c r="AR293" s="3">
        <v>1.6</v>
      </c>
      <c r="AS293" s="1">
        <v>12</v>
      </c>
      <c r="AT293" s="3">
        <v>9.6</v>
      </c>
      <c r="AU293" s="1">
        <v>3</v>
      </c>
      <c r="AV293" s="3">
        <v>2.4</v>
      </c>
      <c r="AW293" s="1" t="s">
        <v>22</v>
      </c>
      <c r="AX293" s="1">
        <v>19</v>
      </c>
      <c r="AY293" s="1">
        <v>1</v>
      </c>
      <c r="AZ293" s="1">
        <v>1</v>
      </c>
      <c r="BA293" s="1">
        <v>38</v>
      </c>
      <c r="BB293" s="1">
        <v>2</v>
      </c>
      <c r="BC293" s="1">
        <v>2</v>
      </c>
      <c r="BD293" s="1">
        <v>0</v>
      </c>
      <c r="BE293" s="54">
        <v>0</v>
      </c>
      <c r="BF293" s="6">
        <v>22</v>
      </c>
      <c r="BG293" s="6">
        <v>17</v>
      </c>
      <c r="BH293" s="1">
        <v>1</v>
      </c>
      <c r="BI293" s="6">
        <v>10</v>
      </c>
      <c r="BJ293" s="1" t="s">
        <v>22</v>
      </c>
      <c r="BK293" s="6">
        <v>0</v>
      </c>
      <c r="BL293" s="6">
        <v>0</v>
      </c>
      <c r="BM293" s="1">
        <v>2</v>
      </c>
      <c r="BN293" t="s">
        <v>22</v>
      </c>
      <c r="BO293">
        <v>5985</v>
      </c>
    </row>
    <row r="294" spans="1:67" x14ac:dyDescent="0.3">
      <c r="A294" s="4">
        <f>INT(Tabela1[[#This Row],[Data e Hora]])</f>
        <v>46290</v>
      </c>
      <c r="B294" s="4" t="str">
        <f>UPPER(TEXT(Tabela1[[#This Row],[Data Corrigida]],"MMM"))</f>
        <v>SET</v>
      </c>
      <c r="C294" t="s">
        <v>866</v>
      </c>
      <c r="D294" t="s">
        <v>867</v>
      </c>
      <c r="E294" t="s">
        <v>865</v>
      </c>
      <c r="F294" t="s">
        <v>19</v>
      </c>
      <c r="G294" s="5" t="s">
        <v>853</v>
      </c>
      <c r="H294" t="s">
        <v>20</v>
      </c>
      <c r="I294" t="s">
        <v>21</v>
      </c>
      <c r="J294" s="1">
        <v>137</v>
      </c>
      <c r="K294" s="1">
        <v>3120</v>
      </c>
      <c r="L294" t="s">
        <v>23</v>
      </c>
      <c r="M294" s="1">
        <v>25</v>
      </c>
      <c r="N294" s="48">
        <v>25</v>
      </c>
      <c r="O294" s="1">
        <v>6</v>
      </c>
      <c r="P294" s="48">
        <v>6</v>
      </c>
      <c r="Q294" s="1">
        <v>0</v>
      </c>
      <c r="R294" s="1">
        <v>0</v>
      </c>
      <c r="S294" s="1">
        <v>3</v>
      </c>
      <c r="T294" s="1">
        <v>3</v>
      </c>
      <c r="U294" s="1">
        <v>1</v>
      </c>
      <c r="V294" s="1">
        <v>1</v>
      </c>
      <c r="W294" s="1">
        <v>0</v>
      </c>
      <c r="X294" s="1">
        <v>0</v>
      </c>
      <c r="Y294" s="1">
        <v>1</v>
      </c>
      <c r="Z294" s="3">
        <v>0.36496350364963503</v>
      </c>
      <c r="AA294" s="1">
        <v>7</v>
      </c>
      <c r="AB294" s="3">
        <v>5.1094890510948909</v>
      </c>
      <c r="AC294" s="1">
        <v>0</v>
      </c>
      <c r="AD294" s="3">
        <v>0</v>
      </c>
      <c r="AE294" s="1">
        <v>2</v>
      </c>
      <c r="AF294" s="3">
        <v>1.4598540145985401</v>
      </c>
      <c r="AG294" s="1">
        <v>7</v>
      </c>
      <c r="AH294" s="3">
        <v>5.1094890510948909</v>
      </c>
      <c r="AI294" s="1" t="s">
        <v>22</v>
      </c>
      <c r="AJ294" s="1">
        <v>5</v>
      </c>
      <c r="AK294" s="3">
        <v>3.6496350364963499</v>
      </c>
      <c r="AL294" s="1">
        <v>2</v>
      </c>
      <c r="AM294" s="3">
        <v>1.4598540145985401</v>
      </c>
      <c r="AN294" s="1" t="s">
        <v>22</v>
      </c>
      <c r="AO294" s="1">
        <v>7</v>
      </c>
      <c r="AP294" s="3">
        <v>5.1094890510948909</v>
      </c>
      <c r="AQ294" s="3">
        <v>1</v>
      </c>
      <c r="AR294" s="3">
        <v>0.72992700729927007</v>
      </c>
      <c r="AS294" s="1">
        <v>6</v>
      </c>
      <c r="AT294" s="3">
        <v>4.3795620437956204</v>
      </c>
      <c r="AU294" s="1">
        <v>2</v>
      </c>
      <c r="AV294" s="3">
        <v>1.4598540145985401</v>
      </c>
      <c r="AW294" s="1" t="s">
        <v>22</v>
      </c>
      <c r="AX294" s="1">
        <v>21</v>
      </c>
      <c r="AY294" s="1">
        <v>0</v>
      </c>
      <c r="AZ294" s="1">
        <v>0</v>
      </c>
      <c r="BA294" s="1">
        <v>42</v>
      </c>
      <c r="BB294" s="1">
        <v>0</v>
      </c>
      <c r="BC294" s="1">
        <v>0</v>
      </c>
      <c r="BD294" s="1">
        <v>0</v>
      </c>
      <c r="BE294" s="54">
        <v>0</v>
      </c>
      <c r="BF294" s="6">
        <v>15</v>
      </c>
      <c r="BG294" s="6">
        <v>19</v>
      </c>
      <c r="BH294" s="1">
        <v>1</v>
      </c>
      <c r="BI294" s="6">
        <v>10</v>
      </c>
      <c r="BJ294" s="1" t="s">
        <v>22</v>
      </c>
      <c r="BK294" s="1" t="s">
        <v>22</v>
      </c>
      <c r="BL294" s="1" t="s">
        <v>22</v>
      </c>
      <c r="BM294" s="1" t="s">
        <v>22</v>
      </c>
      <c r="BN294" t="s">
        <v>24</v>
      </c>
      <c r="BO294">
        <v>1829</v>
      </c>
    </row>
    <row r="295" spans="1:67" x14ac:dyDescent="0.3">
      <c r="A295" s="4">
        <f>INT(Tabela1[[#This Row],[Data e Hora]])</f>
        <v>46289</v>
      </c>
      <c r="B295" s="4" t="str">
        <f>UPPER(TEXT(Tabela1[[#This Row],[Data Corrigida]],"MMM"))</f>
        <v>SET</v>
      </c>
      <c r="C295" t="s">
        <v>868</v>
      </c>
      <c r="D295" t="s">
        <v>869</v>
      </c>
      <c r="E295" t="s">
        <v>870</v>
      </c>
      <c r="F295" t="s">
        <v>19</v>
      </c>
      <c r="G295" s="5" t="s">
        <v>871</v>
      </c>
      <c r="H295" t="s">
        <v>20</v>
      </c>
      <c r="I295" t="s">
        <v>33</v>
      </c>
      <c r="J295" s="1">
        <v>156</v>
      </c>
      <c r="K295" s="1">
        <v>3001</v>
      </c>
      <c r="L295" t="s">
        <v>34</v>
      </c>
      <c r="M295" s="1">
        <v>20</v>
      </c>
      <c r="N295" s="48">
        <v>20</v>
      </c>
      <c r="O295" s="1">
        <v>5</v>
      </c>
      <c r="P295" s="48">
        <v>5</v>
      </c>
      <c r="Q295" s="1">
        <v>0</v>
      </c>
      <c r="R295" s="1">
        <v>0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7</v>
      </c>
      <c r="Z295" s="3">
        <v>2.2435897435897436</v>
      </c>
      <c r="AA295" s="1">
        <v>4</v>
      </c>
      <c r="AB295" s="3">
        <v>2.5641025641025639</v>
      </c>
      <c r="AC295" s="1">
        <v>0</v>
      </c>
      <c r="AD295" s="3">
        <v>0</v>
      </c>
      <c r="AE295" s="1">
        <v>2</v>
      </c>
      <c r="AF295" s="3">
        <v>1.2820512820512819</v>
      </c>
      <c r="AG295" s="1">
        <v>2</v>
      </c>
      <c r="AH295" s="3">
        <v>1.2820512820512819</v>
      </c>
      <c r="AI295" s="1" t="s">
        <v>22</v>
      </c>
      <c r="AJ295" s="1">
        <v>0</v>
      </c>
      <c r="AK295" s="3">
        <v>0</v>
      </c>
      <c r="AL295" s="1">
        <v>0</v>
      </c>
      <c r="AM295" s="3">
        <v>0</v>
      </c>
      <c r="AN295" s="1" t="s">
        <v>22</v>
      </c>
      <c r="AO295" s="1">
        <v>5</v>
      </c>
      <c r="AP295" s="3">
        <v>3.2051282051282048</v>
      </c>
      <c r="AQ295" s="3">
        <v>5</v>
      </c>
      <c r="AR295" s="3">
        <v>3.2051282051282048</v>
      </c>
      <c r="AS295" s="1">
        <v>6</v>
      </c>
      <c r="AT295" s="3">
        <v>3.8461538461538463</v>
      </c>
      <c r="AU295" s="1">
        <v>1</v>
      </c>
      <c r="AV295" s="3">
        <v>0.64102564102564097</v>
      </c>
      <c r="AW295" s="1" t="s">
        <v>22</v>
      </c>
      <c r="AX295" s="1">
        <v>19</v>
      </c>
      <c r="AY295" s="1">
        <v>0</v>
      </c>
      <c r="AZ295" s="1">
        <v>0</v>
      </c>
      <c r="BA295" s="1">
        <v>38</v>
      </c>
      <c r="BB295" s="1">
        <v>0</v>
      </c>
      <c r="BC295" s="1">
        <v>0</v>
      </c>
      <c r="BD295" s="1">
        <v>0</v>
      </c>
      <c r="BE295" s="54">
        <v>0</v>
      </c>
      <c r="BF295" s="6">
        <v>20</v>
      </c>
      <c r="BG295" s="6">
        <v>16</v>
      </c>
      <c r="BH295" s="1">
        <v>0</v>
      </c>
      <c r="BI295" s="6">
        <v>0</v>
      </c>
      <c r="BJ295" s="1" t="s">
        <v>22</v>
      </c>
      <c r="BK295" s="6">
        <v>0</v>
      </c>
      <c r="BL295" s="6">
        <v>0</v>
      </c>
      <c r="BM295" s="1">
        <v>0</v>
      </c>
      <c r="BN295" t="s">
        <v>24</v>
      </c>
      <c r="BO295">
        <v>1177</v>
      </c>
    </row>
    <row r="296" spans="1:67" x14ac:dyDescent="0.3">
      <c r="A296" s="4">
        <f>INT(Tabela1[[#This Row],[Data e Hora]])</f>
        <v>46289</v>
      </c>
      <c r="B296" s="4" t="str">
        <f>UPPER(TEXT(Tabela1[[#This Row],[Data Corrigida]],"MMM"))</f>
        <v>SET</v>
      </c>
      <c r="C296" t="s">
        <v>872</v>
      </c>
      <c r="D296" t="s">
        <v>873</v>
      </c>
      <c r="E296" t="s">
        <v>870</v>
      </c>
      <c r="F296" t="s">
        <v>19</v>
      </c>
      <c r="G296" s="5" t="s">
        <v>871</v>
      </c>
      <c r="H296" t="s">
        <v>20</v>
      </c>
      <c r="I296" t="s">
        <v>33</v>
      </c>
      <c r="J296" s="1">
        <v>151</v>
      </c>
      <c r="K296" s="1">
        <v>3038</v>
      </c>
      <c r="L296" t="s">
        <v>34</v>
      </c>
      <c r="M296" s="1">
        <v>20</v>
      </c>
      <c r="N296" s="48">
        <v>20</v>
      </c>
      <c r="O296" s="1">
        <v>6</v>
      </c>
      <c r="P296" s="48">
        <v>6</v>
      </c>
      <c r="Q296" s="1">
        <v>0</v>
      </c>
      <c r="R296" s="1">
        <v>0</v>
      </c>
      <c r="S296" s="1">
        <v>1</v>
      </c>
      <c r="T296" s="1">
        <v>1</v>
      </c>
      <c r="U296" s="1">
        <v>0</v>
      </c>
      <c r="V296" s="1">
        <v>0</v>
      </c>
      <c r="W296" s="1">
        <v>0</v>
      </c>
      <c r="X296" s="1">
        <v>0</v>
      </c>
      <c r="Y296" s="1">
        <v>6</v>
      </c>
      <c r="Z296" s="3">
        <v>1.9867549668874174</v>
      </c>
      <c r="AA296" s="1">
        <v>11</v>
      </c>
      <c r="AB296" s="3">
        <v>7.2847682119205297</v>
      </c>
      <c r="AC296" s="1">
        <v>0</v>
      </c>
      <c r="AD296" s="3">
        <v>0</v>
      </c>
      <c r="AE296" s="1">
        <v>1</v>
      </c>
      <c r="AF296" s="3">
        <v>0.66225165562913912</v>
      </c>
      <c r="AG296" s="1">
        <v>2</v>
      </c>
      <c r="AH296" s="3">
        <v>1.3245033112582782</v>
      </c>
      <c r="AI296" s="1" t="s">
        <v>22</v>
      </c>
      <c r="AJ296" s="1">
        <v>0</v>
      </c>
      <c r="AK296" s="3">
        <v>0</v>
      </c>
      <c r="AL296" s="1">
        <v>0</v>
      </c>
      <c r="AM296" s="3">
        <v>0</v>
      </c>
      <c r="AN296" s="1" t="s">
        <v>22</v>
      </c>
      <c r="AO296" s="1">
        <v>8</v>
      </c>
      <c r="AP296" s="3">
        <v>5.298013245033113</v>
      </c>
      <c r="AQ296" s="3">
        <v>6</v>
      </c>
      <c r="AR296" s="3">
        <v>3.9735099337748347</v>
      </c>
      <c r="AS296" s="1">
        <v>6</v>
      </c>
      <c r="AT296" s="3">
        <v>3.9735099337748347</v>
      </c>
      <c r="AU296" s="1">
        <v>0</v>
      </c>
      <c r="AV296" s="3">
        <v>0</v>
      </c>
      <c r="AW296" s="1" t="s">
        <v>22</v>
      </c>
      <c r="AX296" s="1">
        <v>19</v>
      </c>
      <c r="AY296" s="1">
        <v>0</v>
      </c>
      <c r="AZ296" s="1">
        <v>0</v>
      </c>
      <c r="BA296" s="1">
        <v>38</v>
      </c>
      <c r="BB296" s="1">
        <v>0</v>
      </c>
      <c r="BC296" s="1">
        <v>0</v>
      </c>
      <c r="BD296" s="1">
        <v>0</v>
      </c>
      <c r="BE296" s="54">
        <v>0</v>
      </c>
      <c r="BF296" s="6">
        <v>16</v>
      </c>
      <c r="BG296" s="6">
        <v>15</v>
      </c>
      <c r="BH296" s="1">
        <v>0</v>
      </c>
      <c r="BI296" s="6">
        <v>0</v>
      </c>
      <c r="BJ296" s="1" t="s">
        <v>22</v>
      </c>
      <c r="BK296" s="6">
        <v>1</v>
      </c>
      <c r="BL296" s="6">
        <v>0</v>
      </c>
      <c r="BM296" s="1">
        <v>0</v>
      </c>
      <c r="BN296" t="s">
        <v>24</v>
      </c>
      <c r="BO296">
        <v>6645</v>
      </c>
    </row>
    <row r="297" spans="1:67" x14ac:dyDescent="0.3">
      <c r="A297" s="4">
        <f>INT(Tabela1[[#This Row],[Data e Hora]])</f>
        <v>46289</v>
      </c>
      <c r="B297" s="4" t="str">
        <f>UPPER(TEXT(Tabela1[[#This Row],[Data Corrigida]],"MMM"))</f>
        <v>SET</v>
      </c>
      <c r="C297" t="s">
        <v>874</v>
      </c>
      <c r="D297" t="s">
        <v>875</v>
      </c>
      <c r="E297" t="s">
        <v>876</v>
      </c>
      <c r="F297" t="s">
        <v>19</v>
      </c>
      <c r="G297" s="5" t="s">
        <v>871</v>
      </c>
      <c r="H297" t="s">
        <v>20</v>
      </c>
      <c r="I297" t="s">
        <v>33</v>
      </c>
      <c r="J297" s="1">
        <v>130</v>
      </c>
      <c r="K297" s="1">
        <v>2171</v>
      </c>
      <c r="L297" t="s">
        <v>34</v>
      </c>
      <c r="M297" s="1">
        <v>21</v>
      </c>
      <c r="N297" s="48">
        <v>21</v>
      </c>
      <c r="O297" s="1">
        <v>10</v>
      </c>
      <c r="P297" s="48">
        <v>10</v>
      </c>
      <c r="Q297" s="1">
        <v>0</v>
      </c>
      <c r="R297" s="1">
        <v>0</v>
      </c>
      <c r="S297" s="1">
        <v>1</v>
      </c>
      <c r="T297" s="1">
        <v>1</v>
      </c>
      <c r="U297" s="1">
        <v>0</v>
      </c>
      <c r="V297" s="1">
        <v>0</v>
      </c>
      <c r="W297" s="1">
        <v>1</v>
      </c>
      <c r="X297" s="1">
        <v>5</v>
      </c>
      <c r="Y297" s="1">
        <v>5</v>
      </c>
      <c r="Z297" s="3">
        <v>1.9230769230769231</v>
      </c>
      <c r="AA297" s="1">
        <v>1</v>
      </c>
      <c r="AB297" s="3">
        <v>0.76923076923076927</v>
      </c>
      <c r="AC297" s="1">
        <v>0</v>
      </c>
      <c r="AD297" s="3">
        <v>0</v>
      </c>
      <c r="AE297" s="1">
        <v>0</v>
      </c>
      <c r="AF297" s="3">
        <v>0</v>
      </c>
      <c r="AG297" s="1">
        <v>2</v>
      </c>
      <c r="AH297" s="3">
        <v>1.5384615384615385</v>
      </c>
      <c r="AI297" s="1" t="s">
        <v>22</v>
      </c>
      <c r="AJ297" s="1">
        <v>1</v>
      </c>
      <c r="AK297" s="3">
        <v>0.76923076923076927</v>
      </c>
      <c r="AL297" s="1">
        <v>0</v>
      </c>
      <c r="AM297" s="3">
        <v>0</v>
      </c>
      <c r="AN297" s="1" t="s">
        <v>22</v>
      </c>
      <c r="AO297" s="1">
        <v>8</v>
      </c>
      <c r="AP297" s="3">
        <v>6.1538461538461542</v>
      </c>
      <c r="AQ297" s="3">
        <v>10</v>
      </c>
      <c r="AR297" s="3">
        <v>7.6923076923076925</v>
      </c>
      <c r="AS297" s="1">
        <v>5</v>
      </c>
      <c r="AT297" s="3">
        <v>3.8461538461538463</v>
      </c>
      <c r="AU297" s="1">
        <v>0</v>
      </c>
      <c r="AV297" s="3">
        <v>0</v>
      </c>
      <c r="AW297" s="1" t="s">
        <v>22</v>
      </c>
      <c r="AX297" s="1">
        <v>20</v>
      </c>
      <c r="AY297" s="1">
        <v>0</v>
      </c>
      <c r="AZ297" s="1">
        <v>0</v>
      </c>
      <c r="BA297" s="1">
        <v>40</v>
      </c>
      <c r="BB297" s="1">
        <v>0</v>
      </c>
      <c r="BC297" s="1">
        <v>0</v>
      </c>
      <c r="BD297" s="1">
        <v>1</v>
      </c>
      <c r="BE297" s="54">
        <v>0.76923076923076927</v>
      </c>
      <c r="BF297" s="6">
        <v>16</v>
      </c>
      <c r="BG297" s="6">
        <v>12</v>
      </c>
      <c r="BH297" s="1">
        <v>0</v>
      </c>
      <c r="BI297" s="6">
        <v>0</v>
      </c>
      <c r="BJ297" s="1" t="s">
        <v>22</v>
      </c>
      <c r="BK297" s="6">
        <v>3</v>
      </c>
      <c r="BL297" s="6">
        <v>0</v>
      </c>
      <c r="BM297" s="1">
        <v>0</v>
      </c>
      <c r="BN297" t="s">
        <v>24</v>
      </c>
      <c r="BO297">
        <v>12039</v>
      </c>
    </row>
    <row r="298" spans="1:67" x14ac:dyDescent="0.3">
      <c r="A298" s="4">
        <f>INT(Tabela1[[#This Row],[Data e Hora]])</f>
        <v>46289</v>
      </c>
      <c r="B298" s="4" t="str">
        <f>UPPER(TEXT(Tabela1[[#This Row],[Data Corrigida]],"MMM"))</f>
        <v>SET</v>
      </c>
      <c r="C298" t="s">
        <v>877</v>
      </c>
      <c r="D298" t="s">
        <v>878</v>
      </c>
      <c r="E298" t="s">
        <v>879</v>
      </c>
      <c r="F298" t="s">
        <v>19</v>
      </c>
      <c r="G298" s="5" t="s">
        <v>871</v>
      </c>
      <c r="H298" t="s">
        <v>20</v>
      </c>
      <c r="I298" t="s">
        <v>21</v>
      </c>
      <c r="J298" s="1">
        <v>160</v>
      </c>
      <c r="K298" s="1">
        <v>3140</v>
      </c>
      <c r="L298" t="s">
        <v>23</v>
      </c>
      <c r="M298" s="1">
        <v>44</v>
      </c>
      <c r="N298" s="48">
        <v>44</v>
      </c>
      <c r="O298" s="1">
        <v>29</v>
      </c>
      <c r="P298" s="48">
        <v>28.999999999999996</v>
      </c>
      <c r="Q298" s="1">
        <v>0</v>
      </c>
      <c r="R298" s="1">
        <v>0</v>
      </c>
      <c r="S298" s="1">
        <v>4</v>
      </c>
      <c r="T298" s="1">
        <v>4</v>
      </c>
      <c r="U298" s="1">
        <v>1</v>
      </c>
      <c r="V298" s="1">
        <v>1</v>
      </c>
      <c r="W298" s="1">
        <v>0</v>
      </c>
      <c r="X298" s="1">
        <v>0</v>
      </c>
      <c r="Y298" s="1">
        <v>2</v>
      </c>
      <c r="Z298" s="3">
        <v>0.625</v>
      </c>
      <c r="AA298" s="1">
        <v>3</v>
      </c>
      <c r="AB298" s="3">
        <v>1.875</v>
      </c>
      <c r="AC298" s="1">
        <v>0</v>
      </c>
      <c r="AD298" s="3">
        <v>0</v>
      </c>
      <c r="AE298" s="1">
        <v>1</v>
      </c>
      <c r="AF298" s="3">
        <v>0.625</v>
      </c>
      <c r="AG298" s="1">
        <v>7</v>
      </c>
      <c r="AH298" s="3">
        <v>4.375</v>
      </c>
      <c r="AI298" s="1" t="s">
        <v>22</v>
      </c>
      <c r="AJ298" s="1">
        <v>6</v>
      </c>
      <c r="AK298" s="3">
        <v>3.75</v>
      </c>
      <c r="AL298" s="1">
        <v>2</v>
      </c>
      <c r="AM298" s="3">
        <v>1.25</v>
      </c>
      <c r="AN298" s="1" t="s">
        <v>22</v>
      </c>
      <c r="AO298" s="1">
        <v>9</v>
      </c>
      <c r="AP298" s="3">
        <v>5.625</v>
      </c>
      <c r="AQ298" s="3">
        <v>3</v>
      </c>
      <c r="AR298" s="3">
        <v>1.875</v>
      </c>
      <c r="AS298" s="1">
        <v>7</v>
      </c>
      <c r="AT298" s="3">
        <v>4.375</v>
      </c>
      <c r="AU298" s="1">
        <v>2</v>
      </c>
      <c r="AV298" s="3">
        <v>1.25</v>
      </c>
      <c r="AW298" s="1" t="s">
        <v>22</v>
      </c>
      <c r="AX298" s="1">
        <v>19</v>
      </c>
      <c r="AY298" s="1">
        <v>0</v>
      </c>
      <c r="AZ298" s="1">
        <v>0</v>
      </c>
      <c r="BA298" s="1">
        <v>38</v>
      </c>
      <c r="BB298" s="1">
        <v>0</v>
      </c>
      <c r="BC298" s="1">
        <v>0</v>
      </c>
      <c r="BD298" s="1">
        <v>0</v>
      </c>
      <c r="BE298" s="54">
        <v>0</v>
      </c>
      <c r="BF298" s="6">
        <v>22</v>
      </c>
      <c r="BG298" s="6">
        <v>21</v>
      </c>
      <c r="BH298" s="1">
        <v>1</v>
      </c>
      <c r="BI298" s="6">
        <v>10</v>
      </c>
      <c r="BJ298" s="1" t="s">
        <v>22</v>
      </c>
      <c r="BK298" s="1" t="s">
        <v>22</v>
      </c>
      <c r="BL298" s="1" t="s">
        <v>22</v>
      </c>
      <c r="BM298" s="1" t="s">
        <v>22</v>
      </c>
      <c r="BN298" t="s">
        <v>24</v>
      </c>
      <c r="BO298">
        <v>2863</v>
      </c>
    </row>
    <row r="299" spans="1:67" x14ac:dyDescent="0.3">
      <c r="A299" s="4">
        <f>INT(Tabela1[[#This Row],[Data e Hora]])</f>
        <v>46289</v>
      </c>
      <c r="B299" s="4" t="str">
        <f>UPPER(TEXT(Tabela1[[#This Row],[Data Corrigida]],"MMM"))</f>
        <v>SET</v>
      </c>
      <c r="C299" t="s">
        <v>880</v>
      </c>
      <c r="D299" t="s">
        <v>881</v>
      </c>
      <c r="E299" t="s">
        <v>879</v>
      </c>
      <c r="F299" t="s">
        <v>19</v>
      </c>
      <c r="G299" s="5" t="s">
        <v>871</v>
      </c>
      <c r="H299" t="s">
        <v>20</v>
      </c>
      <c r="I299" t="s">
        <v>21</v>
      </c>
      <c r="J299" s="1">
        <v>151</v>
      </c>
      <c r="K299" s="1">
        <v>3140</v>
      </c>
      <c r="L299" t="s">
        <v>23</v>
      </c>
      <c r="M299" s="1">
        <v>37</v>
      </c>
      <c r="N299" s="48">
        <v>37</v>
      </c>
      <c r="O299" s="1">
        <v>20</v>
      </c>
      <c r="P299" s="48">
        <v>20</v>
      </c>
      <c r="Q299" s="1">
        <v>0</v>
      </c>
      <c r="R299" s="1">
        <v>0</v>
      </c>
      <c r="S299" s="1">
        <v>4</v>
      </c>
      <c r="T299" s="1">
        <v>4</v>
      </c>
      <c r="U299" s="1">
        <v>1</v>
      </c>
      <c r="V299" s="1">
        <v>1</v>
      </c>
      <c r="W299" s="1">
        <v>0</v>
      </c>
      <c r="X299" s="1">
        <v>0</v>
      </c>
      <c r="Y299" s="1">
        <v>1</v>
      </c>
      <c r="Z299" s="3">
        <v>0.33112582781456956</v>
      </c>
      <c r="AA299" s="1">
        <v>5</v>
      </c>
      <c r="AB299" s="3">
        <v>3.3112582781456954</v>
      </c>
      <c r="AC299" s="1">
        <v>0</v>
      </c>
      <c r="AD299" s="3">
        <v>0</v>
      </c>
      <c r="AE299" s="1">
        <v>2</v>
      </c>
      <c r="AF299" s="3">
        <v>1.3245033112582782</v>
      </c>
      <c r="AG299" s="1">
        <v>6</v>
      </c>
      <c r="AH299" s="3">
        <v>3.9735099337748347</v>
      </c>
      <c r="AI299" s="1" t="s">
        <v>22</v>
      </c>
      <c r="AJ299" s="1">
        <v>5</v>
      </c>
      <c r="AK299" s="3">
        <v>3.3112582781456954</v>
      </c>
      <c r="AL299" s="1">
        <v>2</v>
      </c>
      <c r="AM299" s="3">
        <v>1.3245033112582782</v>
      </c>
      <c r="AN299" s="1" t="s">
        <v>22</v>
      </c>
      <c r="AO299" s="1">
        <v>13</v>
      </c>
      <c r="AP299" s="3">
        <v>8.6092715231788084</v>
      </c>
      <c r="AQ299" s="3">
        <v>3</v>
      </c>
      <c r="AR299" s="3">
        <v>1.9867549668874174</v>
      </c>
      <c r="AS299" s="1">
        <v>7</v>
      </c>
      <c r="AT299" s="3">
        <v>4.6357615894039732</v>
      </c>
      <c r="AU299" s="1">
        <v>2</v>
      </c>
      <c r="AV299" s="3">
        <v>1.3245033112582782</v>
      </c>
      <c r="AW299" s="1" t="s">
        <v>22</v>
      </c>
      <c r="AX299" s="1">
        <v>20</v>
      </c>
      <c r="AY299" s="1">
        <v>0</v>
      </c>
      <c r="AZ299" s="1">
        <v>0</v>
      </c>
      <c r="BA299" s="1">
        <v>40</v>
      </c>
      <c r="BB299" s="1">
        <v>0</v>
      </c>
      <c r="BC299" s="1">
        <v>0</v>
      </c>
      <c r="BD299" s="1">
        <v>1</v>
      </c>
      <c r="BE299" s="54">
        <v>0.66225165562913912</v>
      </c>
      <c r="BF299" s="6">
        <v>20</v>
      </c>
      <c r="BG299" s="6">
        <v>18</v>
      </c>
      <c r="BH299" s="1">
        <v>1</v>
      </c>
      <c r="BI299" s="6">
        <v>10</v>
      </c>
      <c r="BJ299" s="1" t="s">
        <v>22</v>
      </c>
      <c r="BK299" s="6">
        <v>2</v>
      </c>
      <c r="BL299" s="6">
        <v>0</v>
      </c>
      <c r="BM299" s="1">
        <v>1</v>
      </c>
      <c r="BN299" t="s">
        <v>24</v>
      </c>
      <c r="BO299">
        <v>2051</v>
      </c>
    </row>
    <row r="300" spans="1:67" x14ac:dyDescent="0.3">
      <c r="A300" s="4">
        <f>INT(Tabela1[[#This Row],[Data e Hora]])</f>
        <v>46289</v>
      </c>
      <c r="B300" s="4" t="str">
        <f>UPPER(TEXT(Tabela1[[#This Row],[Data Corrigida]],"MMM"))</f>
        <v>SET</v>
      </c>
      <c r="C300" t="s">
        <v>882</v>
      </c>
      <c r="D300" t="s">
        <v>883</v>
      </c>
      <c r="E300" t="s">
        <v>879</v>
      </c>
      <c r="F300" t="s">
        <v>19</v>
      </c>
      <c r="G300" s="5" t="s">
        <v>871</v>
      </c>
      <c r="H300" t="s">
        <v>20</v>
      </c>
      <c r="I300" t="s">
        <v>21</v>
      </c>
      <c r="J300" s="1">
        <v>151</v>
      </c>
      <c r="K300" s="1">
        <v>2937</v>
      </c>
      <c r="L300" t="s">
        <v>23</v>
      </c>
      <c r="M300" s="1">
        <v>37</v>
      </c>
      <c r="N300" s="48">
        <v>37</v>
      </c>
      <c r="O300" s="1">
        <v>8</v>
      </c>
      <c r="P300" s="48">
        <v>8</v>
      </c>
      <c r="Q300" s="1">
        <v>0</v>
      </c>
      <c r="R300" s="1">
        <v>0</v>
      </c>
      <c r="S300" s="1">
        <v>1</v>
      </c>
      <c r="T300" s="1">
        <v>1</v>
      </c>
      <c r="U300" s="1">
        <v>1</v>
      </c>
      <c r="V300" s="1">
        <v>1</v>
      </c>
      <c r="W300" s="1">
        <v>0</v>
      </c>
      <c r="X300" s="1">
        <v>0</v>
      </c>
      <c r="Y300" s="1">
        <v>1</v>
      </c>
      <c r="Z300" s="3">
        <v>0.33112582781456956</v>
      </c>
      <c r="AA300" s="1">
        <v>4</v>
      </c>
      <c r="AB300" s="3">
        <v>2.6490066225165565</v>
      </c>
      <c r="AC300" s="1">
        <v>0</v>
      </c>
      <c r="AD300" s="3">
        <v>0</v>
      </c>
      <c r="AE300" s="1">
        <v>2</v>
      </c>
      <c r="AF300" s="3">
        <v>1.3245033112582782</v>
      </c>
      <c r="AG300" s="1">
        <v>6</v>
      </c>
      <c r="AH300" s="3">
        <v>3.9735099337748347</v>
      </c>
      <c r="AI300" s="1" t="s">
        <v>22</v>
      </c>
      <c r="AJ300" s="1">
        <v>7</v>
      </c>
      <c r="AK300" s="3">
        <v>4.6357615894039732</v>
      </c>
      <c r="AL300" s="1">
        <v>2</v>
      </c>
      <c r="AM300" s="3">
        <v>1.3245033112582782</v>
      </c>
      <c r="AN300" s="1" t="s">
        <v>22</v>
      </c>
      <c r="AO300" s="1">
        <v>14</v>
      </c>
      <c r="AP300" s="3">
        <v>9.2715231788079464</v>
      </c>
      <c r="AQ300" s="3">
        <v>3</v>
      </c>
      <c r="AR300" s="3">
        <v>1.9867549668874174</v>
      </c>
      <c r="AS300" s="1">
        <v>6</v>
      </c>
      <c r="AT300" s="3">
        <v>3.9735099337748347</v>
      </c>
      <c r="AU300" s="1">
        <v>1</v>
      </c>
      <c r="AV300" s="3">
        <v>0.66225165562913912</v>
      </c>
      <c r="AW300" s="1" t="s">
        <v>22</v>
      </c>
      <c r="AX300" s="1">
        <v>19</v>
      </c>
      <c r="AY300" s="1">
        <v>0</v>
      </c>
      <c r="AZ300" s="1">
        <v>0</v>
      </c>
      <c r="BA300" s="1">
        <v>38</v>
      </c>
      <c r="BB300" s="1">
        <v>0</v>
      </c>
      <c r="BC300" s="1">
        <v>0</v>
      </c>
      <c r="BD300" s="1">
        <v>0</v>
      </c>
      <c r="BE300" s="54">
        <v>0</v>
      </c>
      <c r="BF300" s="6">
        <v>22</v>
      </c>
      <c r="BG300" s="6">
        <v>17</v>
      </c>
      <c r="BH300" s="1">
        <v>0</v>
      </c>
      <c r="BI300" s="6">
        <v>0</v>
      </c>
      <c r="BJ300" s="1" t="s">
        <v>22</v>
      </c>
      <c r="BK300" s="1" t="s">
        <v>22</v>
      </c>
      <c r="BL300" s="1" t="s">
        <v>22</v>
      </c>
      <c r="BM300" s="1" t="s">
        <v>22</v>
      </c>
      <c r="BN300" t="s">
        <v>24</v>
      </c>
      <c r="BO300">
        <v>2396</v>
      </c>
    </row>
    <row r="301" spans="1:67" x14ac:dyDescent="0.3">
      <c r="A301" s="4">
        <f>INT(Tabela1[[#This Row],[Data e Hora]])</f>
        <v>46289</v>
      </c>
      <c r="B301" s="4" t="str">
        <f>UPPER(TEXT(Tabela1[[#This Row],[Data Corrigida]],"MMM"))</f>
        <v>SET</v>
      </c>
      <c r="C301" t="s">
        <v>884</v>
      </c>
      <c r="D301" t="s">
        <v>885</v>
      </c>
      <c r="E301" t="s">
        <v>886</v>
      </c>
      <c r="F301" t="s">
        <v>19</v>
      </c>
      <c r="G301" s="5" t="s">
        <v>871</v>
      </c>
      <c r="H301" t="s">
        <v>20</v>
      </c>
      <c r="I301" t="s">
        <v>21</v>
      </c>
      <c r="J301" s="1">
        <v>161</v>
      </c>
      <c r="K301" s="1">
        <v>2937</v>
      </c>
      <c r="L301" t="s">
        <v>23</v>
      </c>
      <c r="M301" s="1">
        <v>41</v>
      </c>
      <c r="N301" s="48">
        <v>41</v>
      </c>
      <c r="O301" s="1">
        <v>22</v>
      </c>
      <c r="P301" s="48">
        <v>22</v>
      </c>
      <c r="Q301" s="1">
        <v>0</v>
      </c>
      <c r="R301" s="1">
        <v>0</v>
      </c>
      <c r="S301" s="1">
        <v>2</v>
      </c>
      <c r="T301" s="1">
        <v>2</v>
      </c>
      <c r="U301" s="1">
        <v>1</v>
      </c>
      <c r="V301" s="1">
        <v>1</v>
      </c>
      <c r="W301" s="1">
        <v>0</v>
      </c>
      <c r="X301" s="1">
        <v>0</v>
      </c>
      <c r="Y301" s="1">
        <v>1</v>
      </c>
      <c r="Z301" s="3">
        <v>0.3105590062111801</v>
      </c>
      <c r="AA301" s="1">
        <v>9</v>
      </c>
      <c r="AB301" s="3">
        <v>5.5900621118012426</v>
      </c>
      <c r="AC301" s="1">
        <v>0</v>
      </c>
      <c r="AD301" s="3">
        <v>0</v>
      </c>
      <c r="AE301" s="1">
        <v>2</v>
      </c>
      <c r="AF301" s="3">
        <v>1.2422360248447204</v>
      </c>
      <c r="AG301" s="1">
        <v>6</v>
      </c>
      <c r="AH301" s="3">
        <v>3.7267080745341614</v>
      </c>
      <c r="AI301" s="1" t="s">
        <v>22</v>
      </c>
      <c r="AJ301" s="1">
        <v>6</v>
      </c>
      <c r="AK301" s="3">
        <v>3.7267080745341614</v>
      </c>
      <c r="AL301" s="1">
        <v>2</v>
      </c>
      <c r="AM301" s="3">
        <v>1.2422360248447204</v>
      </c>
      <c r="AN301" s="1" t="s">
        <v>22</v>
      </c>
      <c r="AO301" s="1">
        <v>14</v>
      </c>
      <c r="AP301" s="3">
        <v>8.695652173913043</v>
      </c>
      <c r="AQ301" s="3">
        <v>3</v>
      </c>
      <c r="AR301" s="3">
        <v>1.8633540372670807</v>
      </c>
      <c r="AS301" s="1">
        <v>7</v>
      </c>
      <c r="AT301" s="3">
        <v>4.3478260869565215</v>
      </c>
      <c r="AU301" s="1">
        <v>2</v>
      </c>
      <c r="AV301" s="3">
        <v>1.2422360248447204</v>
      </c>
      <c r="AW301" s="1" t="s">
        <v>22</v>
      </c>
      <c r="AX301" s="1">
        <v>20</v>
      </c>
      <c r="AY301" s="1">
        <v>0</v>
      </c>
      <c r="AZ301" s="1">
        <v>0</v>
      </c>
      <c r="BA301" s="1">
        <v>40</v>
      </c>
      <c r="BB301" s="1">
        <v>0</v>
      </c>
      <c r="BC301" s="1">
        <v>0</v>
      </c>
      <c r="BD301" s="1">
        <v>0</v>
      </c>
      <c r="BE301" s="54">
        <v>0</v>
      </c>
      <c r="BF301" s="6">
        <v>14</v>
      </c>
      <c r="BG301" s="6">
        <v>9</v>
      </c>
      <c r="BH301" s="1">
        <v>0</v>
      </c>
      <c r="BI301" s="6">
        <v>0</v>
      </c>
      <c r="BJ301" s="1" t="s">
        <v>22</v>
      </c>
      <c r="BK301" s="1" t="s">
        <v>22</v>
      </c>
      <c r="BL301" s="1" t="s">
        <v>22</v>
      </c>
      <c r="BM301" s="1" t="s">
        <v>22</v>
      </c>
      <c r="BN301" t="s">
        <v>24</v>
      </c>
      <c r="BO301">
        <v>1403</v>
      </c>
    </row>
    <row r="302" spans="1:67" x14ac:dyDescent="0.3">
      <c r="A302" s="4">
        <f>INT(Tabela1[[#This Row],[Data e Hora]])</f>
        <v>46293</v>
      </c>
      <c r="B302" s="4" t="str">
        <f>UPPER(TEXT(Tabela1[[#This Row],[Data Corrigida]],"MMM"))</f>
        <v>SET</v>
      </c>
      <c r="C302" s="57" t="s">
        <v>887</v>
      </c>
      <c r="D302" t="s">
        <v>888</v>
      </c>
      <c r="E302" t="s">
        <v>889</v>
      </c>
      <c r="F302" t="s">
        <v>19</v>
      </c>
      <c r="G302" s="5" t="s">
        <v>890</v>
      </c>
      <c r="H302" t="s">
        <v>20</v>
      </c>
      <c r="I302" t="s">
        <v>33</v>
      </c>
      <c r="J302" s="1">
        <v>161</v>
      </c>
      <c r="K302" s="1">
        <v>3225</v>
      </c>
      <c r="L302" t="s">
        <v>34</v>
      </c>
      <c r="M302" s="1">
        <v>20</v>
      </c>
      <c r="N302" s="48">
        <v>20</v>
      </c>
      <c r="O302" s="1">
        <v>6</v>
      </c>
      <c r="P302" s="48">
        <v>6</v>
      </c>
      <c r="Q302" s="1">
        <v>0</v>
      </c>
      <c r="R302" s="1">
        <v>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5</v>
      </c>
      <c r="Z302" s="3">
        <v>1.5527950310559007</v>
      </c>
      <c r="AA302" s="1">
        <v>4</v>
      </c>
      <c r="AB302" s="3">
        <v>2.4844720496894408</v>
      </c>
      <c r="AC302" s="1">
        <v>0</v>
      </c>
      <c r="AD302" s="3">
        <v>0</v>
      </c>
      <c r="AE302" s="1">
        <v>2</v>
      </c>
      <c r="AF302" s="3">
        <v>1.2422360248447204</v>
      </c>
      <c r="AG302" s="1">
        <v>3</v>
      </c>
      <c r="AH302" s="3">
        <v>1.8633540372670807</v>
      </c>
      <c r="AI302" s="1" t="s">
        <v>22</v>
      </c>
      <c r="AJ302" s="1">
        <v>0</v>
      </c>
      <c r="AK302" s="3">
        <v>0</v>
      </c>
      <c r="AL302" s="1">
        <v>0</v>
      </c>
      <c r="AM302" s="3">
        <v>0</v>
      </c>
      <c r="AN302" s="1" t="s">
        <v>22</v>
      </c>
      <c r="AO302" s="1">
        <v>6</v>
      </c>
      <c r="AP302" s="3">
        <v>3.7267080745341614</v>
      </c>
      <c r="AQ302" s="3">
        <v>4</v>
      </c>
      <c r="AR302" s="3">
        <v>2.4844720496894408</v>
      </c>
      <c r="AS302" s="1">
        <v>6</v>
      </c>
      <c r="AT302" s="3">
        <v>3.7267080745341614</v>
      </c>
      <c r="AU302" s="1">
        <v>0</v>
      </c>
      <c r="AV302" s="3">
        <v>0</v>
      </c>
      <c r="AW302" s="1" t="s">
        <v>22</v>
      </c>
      <c r="AX302" s="1">
        <v>18</v>
      </c>
      <c r="AY302" s="1">
        <v>0</v>
      </c>
      <c r="AZ302" s="1">
        <v>0</v>
      </c>
      <c r="BA302" s="1">
        <v>36</v>
      </c>
      <c r="BB302" s="1">
        <v>0</v>
      </c>
      <c r="BC302" s="1">
        <v>0</v>
      </c>
      <c r="BD302" s="1">
        <v>0</v>
      </c>
      <c r="BE302" s="54">
        <v>0</v>
      </c>
      <c r="BF302" s="6">
        <v>20</v>
      </c>
      <c r="BG302" s="6">
        <v>18</v>
      </c>
      <c r="BH302" s="1">
        <v>0</v>
      </c>
      <c r="BI302" s="6">
        <v>0</v>
      </c>
      <c r="BJ302" s="1" t="s">
        <v>22</v>
      </c>
      <c r="BK302" s="6">
        <v>0</v>
      </c>
      <c r="BL302" s="6">
        <v>0</v>
      </c>
      <c r="BM302" s="1">
        <v>0</v>
      </c>
      <c r="BN302" t="s">
        <v>24</v>
      </c>
      <c r="BO302">
        <v>3787</v>
      </c>
    </row>
    <row r="303" spans="1:67" x14ac:dyDescent="0.3">
      <c r="A303" s="4">
        <f>INT(Tabela1[[#This Row],[Data e Hora]])</f>
        <v>46293</v>
      </c>
      <c r="B303" s="4" t="str">
        <f>UPPER(TEXT(Tabela1[[#This Row],[Data Corrigida]],"MMM"))</f>
        <v>SET</v>
      </c>
      <c r="C303" t="s">
        <v>891</v>
      </c>
      <c r="D303" t="s">
        <v>892</v>
      </c>
      <c r="E303" t="s">
        <v>889</v>
      </c>
      <c r="F303" t="s">
        <v>19</v>
      </c>
      <c r="G303" s="5" t="s">
        <v>890</v>
      </c>
      <c r="H303" t="s">
        <v>20</v>
      </c>
      <c r="I303" t="s">
        <v>33</v>
      </c>
      <c r="J303" s="1">
        <v>79</v>
      </c>
      <c r="K303" s="1">
        <v>3390</v>
      </c>
      <c r="L303" t="s">
        <v>34</v>
      </c>
      <c r="M303" s="1">
        <v>17</v>
      </c>
      <c r="N303" s="48">
        <v>17</v>
      </c>
      <c r="O303" s="1">
        <v>16</v>
      </c>
      <c r="P303" s="48">
        <v>16</v>
      </c>
      <c r="Q303" s="1">
        <v>0</v>
      </c>
      <c r="R303" s="1">
        <v>0</v>
      </c>
      <c r="S303" s="1">
        <v>1</v>
      </c>
      <c r="T303" s="1">
        <v>1</v>
      </c>
      <c r="U303" s="1">
        <v>0</v>
      </c>
      <c r="V303" s="1">
        <v>0</v>
      </c>
      <c r="W303" s="1">
        <v>1</v>
      </c>
      <c r="X303" s="1">
        <v>5</v>
      </c>
      <c r="Y303" s="1">
        <v>5</v>
      </c>
      <c r="Z303" s="3">
        <v>3.1645569620253164</v>
      </c>
      <c r="AA303" s="1">
        <v>5</v>
      </c>
      <c r="AB303" s="3">
        <v>6.3291139240506329</v>
      </c>
      <c r="AC303" s="1">
        <v>0</v>
      </c>
      <c r="AD303" s="3">
        <v>0</v>
      </c>
      <c r="AE303" s="1">
        <v>3</v>
      </c>
      <c r="AF303" s="3">
        <v>3.79746835443038</v>
      </c>
      <c r="AG303" s="1">
        <v>2</v>
      </c>
      <c r="AH303" s="3">
        <v>2.5316455696202533</v>
      </c>
      <c r="AI303" s="1" t="s">
        <v>22</v>
      </c>
      <c r="AJ303" s="1">
        <v>1</v>
      </c>
      <c r="AK303" s="3">
        <v>1.2658227848101267</v>
      </c>
      <c r="AL303" s="1">
        <v>0</v>
      </c>
      <c r="AM303" s="3">
        <v>0</v>
      </c>
      <c r="AN303" s="1" t="s">
        <v>22</v>
      </c>
      <c r="AO303" s="1">
        <v>11</v>
      </c>
      <c r="AP303" s="3">
        <v>13.924050632911392</v>
      </c>
      <c r="AQ303" s="3">
        <v>5</v>
      </c>
      <c r="AR303" s="3">
        <v>6.3291139240506329</v>
      </c>
      <c r="AS303" s="1">
        <v>6</v>
      </c>
      <c r="AT303" s="3">
        <v>7.59493670886076</v>
      </c>
      <c r="AU303" s="1">
        <v>0</v>
      </c>
      <c r="AV303" s="3">
        <v>0</v>
      </c>
      <c r="AW303" s="1" t="s">
        <v>22</v>
      </c>
      <c r="AX303" s="1">
        <v>19</v>
      </c>
      <c r="AY303" s="1">
        <v>0</v>
      </c>
      <c r="AZ303" s="1">
        <v>0</v>
      </c>
      <c r="BA303" s="1">
        <v>38</v>
      </c>
      <c r="BB303" s="1">
        <v>0</v>
      </c>
      <c r="BC303" s="1">
        <v>0</v>
      </c>
      <c r="BD303" s="1">
        <v>0</v>
      </c>
      <c r="BE303" s="54">
        <v>0</v>
      </c>
      <c r="BF303" s="6">
        <v>19</v>
      </c>
      <c r="BG303" s="6">
        <v>17</v>
      </c>
      <c r="BH303" s="1">
        <v>0</v>
      </c>
      <c r="BI303" s="6">
        <v>0</v>
      </c>
      <c r="BJ303" s="1" t="s">
        <v>22</v>
      </c>
      <c r="BK303" s="6">
        <v>1</v>
      </c>
      <c r="BL303" s="6">
        <v>0</v>
      </c>
      <c r="BM303" s="1">
        <v>0</v>
      </c>
      <c r="BN303" t="s">
        <v>24</v>
      </c>
      <c r="BO303">
        <v>10785</v>
      </c>
    </row>
    <row r="304" spans="1:67" x14ac:dyDescent="0.3">
      <c r="A304" s="4">
        <f>INT(Tabela1[[#This Row],[Data e Hora]])</f>
        <v>46293</v>
      </c>
      <c r="B304" s="4" t="str">
        <f>UPPER(TEXT(Tabela1[[#This Row],[Data Corrigida]],"MMM"))</f>
        <v>SET</v>
      </c>
      <c r="C304" t="s">
        <v>893</v>
      </c>
      <c r="D304" t="s">
        <v>894</v>
      </c>
      <c r="E304" t="s">
        <v>895</v>
      </c>
      <c r="F304" t="s">
        <v>19</v>
      </c>
      <c r="G304" s="5" t="s">
        <v>890</v>
      </c>
      <c r="H304" t="s">
        <v>20</v>
      </c>
      <c r="I304" t="s">
        <v>33</v>
      </c>
      <c r="J304" s="1">
        <v>130</v>
      </c>
      <c r="K304" s="1">
        <v>3231</v>
      </c>
      <c r="L304" t="s">
        <v>34</v>
      </c>
      <c r="M304" s="1">
        <v>16</v>
      </c>
      <c r="N304" s="48">
        <v>16</v>
      </c>
      <c r="O304" s="1">
        <v>6</v>
      </c>
      <c r="P304" s="48">
        <v>6</v>
      </c>
      <c r="Q304" s="1">
        <v>0</v>
      </c>
      <c r="R304" s="1">
        <v>0</v>
      </c>
      <c r="S304" s="1">
        <v>3</v>
      </c>
      <c r="T304" s="1">
        <v>3</v>
      </c>
      <c r="U304" s="1">
        <v>2</v>
      </c>
      <c r="V304" s="1">
        <v>2</v>
      </c>
      <c r="W304" s="1">
        <v>1</v>
      </c>
      <c r="X304" s="1">
        <v>5</v>
      </c>
      <c r="Y304" s="1">
        <v>4</v>
      </c>
      <c r="Z304" s="3">
        <v>1.5384615384615385</v>
      </c>
      <c r="AA304" s="1">
        <v>5</v>
      </c>
      <c r="AB304" s="3">
        <v>3.8461538461538463</v>
      </c>
      <c r="AC304" s="1">
        <v>0</v>
      </c>
      <c r="AD304" s="3">
        <v>0</v>
      </c>
      <c r="AE304" s="1">
        <v>1</v>
      </c>
      <c r="AF304" s="3">
        <v>0.76923076923076927</v>
      </c>
      <c r="AG304" s="1">
        <v>2</v>
      </c>
      <c r="AH304" s="3">
        <v>1.5384615384615385</v>
      </c>
      <c r="AI304" s="1" t="s">
        <v>22</v>
      </c>
      <c r="AJ304" s="1">
        <v>0</v>
      </c>
      <c r="AK304" s="3">
        <v>0</v>
      </c>
      <c r="AL304" s="1">
        <v>0</v>
      </c>
      <c r="AM304" s="3">
        <v>0</v>
      </c>
      <c r="AN304" s="1" t="s">
        <v>22</v>
      </c>
      <c r="AO304" s="1">
        <v>8</v>
      </c>
      <c r="AP304" s="3">
        <v>6.1538461538461542</v>
      </c>
      <c r="AQ304" s="3">
        <v>5</v>
      </c>
      <c r="AR304" s="3">
        <v>3.8461538461538463</v>
      </c>
      <c r="AS304" s="1">
        <v>6</v>
      </c>
      <c r="AT304" s="3">
        <v>4.6153846153846159</v>
      </c>
      <c r="AU304" s="1">
        <v>1</v>
      </c>
      <c r="AV304" s="3">
        <v>0.76923076923076927</v>
      </c>
      <c r="AW304" s="1" t="s">
        <v>22</v>
      </c>
      <c r="AX304" s="1">
        <v>19</v>
      </c>
      <c r="AY304" s="1">
        <v>0</v>
      </c>
      <c r="AZ304" s="1">
        <v>0</v>
      </c>
      <c r="BA304" s="1">
        <v>38</v>
      </c>
      <c r="BB304" s="1">
        <v>0</v>
      </c>
      <c r="BC304" s="1">
        <v>0</v>
      </c>
      <c r="BD304" s="1">
        <v>0</v>
      </c>
      <c r="BE304" s="54">
        <v>0</v>
      </c>
      <c r="BF304" s="6">
        <v>20</v>
      </c>
      <c r="BG304" s="6">
        <v>19</v>
      </c>
      <c r="BH304" s="1">
        <v>0</v>
      </c>
      <c r="BI304" s="6">
        <v>0</v>
      </c>
      <c r="BJ304" s="1" t="s">
        <v>22</v>
      </c>
      <c r="BK304" s="6">
        <v>2</v>
      </c>
      <c r="BL304" s="6">
        <v>0</v>
      </c>
      <c r="BM304" s="1">
        <v>0</v>
      </c>
      <c r="BN304" t="s">
        <v>24</v>
      </c>
      <c r="BO304">
        <v>10054</v>
      </c>
    </row>
    <row r="305" spans="1:67" x14ac:dyDescent="0.3">
      <c r="A305" s="4">
        <f>INT(Tabela1[[#This Row],[Data e Hora]])</f>
        <v>46293</v>
      </c>
      <c r="B305" s="4" t="str">
        <f>UPPER(TEXT(Tabela1[[#This Row],[Data Corrigida]],"MMM"))</f>
        <v>SET</v>
      </c>
      <c r="C305" t="s">
        <v>896</v>
      </c>
      <c r="D305" t="s">
        <v>897</v>
      </c>
      <c r="E305" t="s">
        <v>898</v>
      </c>
      <c r="F305" t="s">
        <v>19</v>
      </c>
      <c r="G305" s="5" t="s">
        <v>890</v>
      </c>
      <c r="H305" t="s">
        <v>20</v>
      </c>
      <c r="I305" t="s">
        <v>21</v>
      </c>
      <c r="J305" s="1">
        <v>120</v>
      </c>
      <c r="K305" s="1">
        <v>3298</v>
      </c>
      <c r="L305" t="s">
        <v>23</v>
      </c>
      <c r="M305" s="1">
        <v>39</v>
      </c>
      <c r="N305" s="48">
        <v>39</v>
      </c>
      <c r="O305" s="1">
        <v>18</v>
      </c>
      <c r="P305" s="48">
        <v>18</v>
      </c>
      <c r="Q305" s="1">
        <v>0</v>
      </c>
      <c r="R305" s="1">
        <v>0</v>
      </c>
      <c r="S305" s="1">
        <v>3</v>
      </c>
      <c r="T305" s="1">
        <v>3</v>
      </c>
      <c r="U305" s="1">
        <v>1</v>
      </c>
      <c r="V305" s="1">
        <v>1</v>
      </c>
      <c r="W305" s="1">
        <v>0</v>
      </c>
      <c r="X305" s="1">
        <v>0</v>
      </c>
      <c r="Y305" s="1">
        <v>4</v>
      </c>
      <c r="Z305" s="3">
        <v>1.6666666666666667</v>
      </c>
      <c r="AA305" s="1">
        <v>2</v>
      </c>
      <c r="AB305" s="3">
        <v>1.6666666666666667</v>
      </c>
      <c r="AC305" s="1">
        <v>0</v>
      </c>
      <c r="AD305" s="3">
        <v>0</v>
      </c>
      <c r="AE305" s="1">
        <v>1</v>
      </c>
      <c r="AF305" s="3">
        <v>0.83333333333333337</v>
      </c>
      <c r="AG305" s="1">
        <v>4</v>
      </c>
      <c r="AH305" s="3">
        <v>3.3333333333333335</v>
      </c>
      <c r="AI305" s="1" t="s">
        <v>22</v>
      </c>
      <c r="AJ305" s="1">
        <v>7</v>
      </c>
      <c r="AK305" s="3">
        <v>5.833333333333333</v>
      </c>
      <c r="AL305" s="1">
        <v>2</v>
      </c>
      <c r="AM305" s="3">
        <v>1.6666666666666667</v>
      </c>
      <c r="AN305" s="1" t="s">
        <v>22</v>
      </c>
      <c r="AO305" s="1">
        <v>11</v>
      </c>
      <c r="AP305" s="3">
        <v>9.1666666666666661</v>
      </c>
      <c r="AQ305" s="3">
        <v>2</v>
      </c>
      <c r="AR305" s="3">
        <v>1.6666666666666667</v>
      </c>
      <c r="AS305" s="1">
        <v>7</v>
      </c>
      <c r="AT305" s="3">
        <v>5.833333333333333</v>
      </c>
      <c r="AU305" s="1">
        <v>2</v>
      </c>
      <c r="AV305" s="3">
        <v>1.6666666666666667</v>
      </c>
      <c r="AW305" s="1" t="s">
        <v>22</v>
      </c>
      <c r="AX305" s="1">
        <v>20</v>
      </c>
      <c r="AY305" s="1">
        <v>0</v>
      </c>
      <c r="AZ305" s="1">
        <v>0</v>
      </c>
      <c r="BA305" s="1">
        <v>40</v>
      </c>
      <c r="BB305" s="1">
        <v>0</v>
      </c>
      <c r="BC305" s="1">
        <v>0</v>
      </c>
      <c r="BD305" s="1">
        <v>1</v>
      </c>
      <c r="BE305" s="54">
        <v>0.83333333333333337</v>
      </c>
      <c r="BF305" s="6">
        <v>19</v>
      </c>
      <c r="BG305" s="6">
        <v>21</v>
      </c>
      <c r="BH305" s="1">
        <v>1</v>
      </c>
      <c r="BI305" s="6">
        <v>10</v>
      </c>
      <c r="BJ305" s="1" t="s">
        <v>22</v>
      </c>
      <c r="BK305" s="1" t="s">
        <v>22</v>
      </c>
      <c r="BL305" s="1" t="s">
        <v>22</v>
      </c>
      <c r="BM305" s="1" t="s">
        <v>22</v>
      </c>
      <c r="BN305" t="s">
        <v>24</v>
      </c>
      <c r="BO305">
        <v>1697</v>
      </c>
    </row>
    <row r="306" spans="1:67" x14ac:dyDescent="0.3">
      <c r="A306" s="4">
        <f>INT(Tabela1[[#This Row],[Data e Hora]])</f>
        <v>46293</v>
      </c>
      <c r="B306" s="4" t="str">
        <f>UPPER(TEXT(Tabela1[[#This Row],[Data Corrigida]],"MMM"))</f>
        <v>SET</v>
      </c>
      <c r="C306" t="s">
        <v>899</v>
      </c>
      <c r="D306" t="s">
        <v>900</v>
      </c>
      <c r="E306" t="s">
        <v>901</v>
      </c>
      <c r="F306" t="s">
        <v>19</v>
      </c>
      <c r="G306" s="5" t="s">
        <v>890</v>
      </c>
      <c r="H306" t="s">
        <v>20</v>
      </c>
      <c r="I306" t="s">
        <v>21</v>
      </c>
      <c r="J306" s="1">
        <v>161</v>
      </c>
      <c r="K306" s="1">
        <v>2867</v>
      </c>
      <c r="L306" t="s">
        <v>23</v>
      </c>
      <c r="M306" s="1">
        <v>30</v>
      </c>
      <c r="N306" s="48">
        <v>30</v>
      </c>
      <c r="O306" s="1">
        <v>13</v>
      </c>
      <c r="P306" s="48">
        <v>13</v>
      </c>
      <c r="Q306" s="1">
        <v>0</v>
      </c>
      <c r="R306" s="1">
        <v>0</v>
      </c>
      <c r="S306" s="1">
        <v>1</v>
      </c>
      <c r="T306" s="1">
        <v>1</v>
      </c>
      <c r="U306" s="1">
        <v>1</v>
      </c>
      <c r="V306" s="1">
        <v>1</v>
      </c>
      <c r="W306" s="1">
        <v>0</v>
      </c>
      <c r="X306" s="1">
        <v>0</v>
      </c>
      <c r="Y306" s="1">
        <v>2</v>
      </c>
      <c r="Z306" s="3">
        <v>0.6211180124223602</v>
      </c>
      <c r="AA306" s="1">
        <v>3</v>
      </c>
      <c r="AB306" s="3">
        <v>1.8633540372670807</v>
      </c>
      <c r="AC306" s="1">
        <v>0</v>
      </c>
      <c r="AD306" s="3">
        <v>0</v>
      </c>
      <c r="AE306" s="1">
        <v>1</v>
      </c>
      <c r="AF306" s="3">
        <v>0.6211180124223602</v>
      </c>
      <c r="AG306" s="1">
        <v>5</v>
      </c>
      <c r="AH306" s="3">
        <v>3.1055900621118013</v>
      </c>
      <c r="AI306" s="1" t="s">
        <v>22</v>
      </c>
      <c r="AJ306" s="1">
        <v>7</v>
      </c>
      <c r="AK306" s="3">
        <v>4.3478260869565215</v>
      </c>
      <c r="AL306" s="1">
        <v>3</v>
      </c>
      <c r="AM306" s="3">
        <v>1.8633540372670807</v>
      </c>
      <c r="AN306" s="1" t="s">
        <v>22</v>
      </c>
      <c r="AO306" s="1">
        <v>10</v>
      </c>
      <c r="AP306" s="3">
        <v>6.2111801242236027</v>
      </c>
      <c r="AQ306" s="3">
        <v>1</v>
      </c>
      <c r="AR306" s="3">
        <v>0.6211180124223602</v>
      </c>
      <c r="AS306" s="1">
        <v>7</v>
      </c>
      <c r="AT306" s="3">
        <v>4.3478260869565215</v>
      </c>
      <c r="AU306" s="1">
        <v>1</v>
      </c>
      <c r="AV306" s="3">
        <v>0.6211180124223602</v>
      </c>
      <c r="AW306" s="1" t="s">
        <v>22</v>
      </c>
      <c r="AX306" s="1">
        <v>17</v>
      </c>
      <c r="AY306" s="1">
        <v>0</v>
      </c>
      <c r="AZ306" s="1">
        <v>0</v>
      </c>
      <c r="BA306" s="1">
        <v>34</v>
      </c>
      <c r="BB306" s="1">
        <v>0</v>
      </c>
      <c r="BC306" s="1">
        <v>0</v>
      </c>
      <c r="BD306" s="1">
        <v>0</v>
      </c>
      <c r="BE306" s="54">
        <v>0</v>
      </c>
      <c r="BF306" s="6">
        <v>19</v>
      </c>
      <c r="BG306" s="6">
        <v>25</v>
      </c>
      <c r="BH306" s="1">
        <v>1</v>
      </c>
      <c r="BI306" s="6">
        <v>10</v>
      </c>
      <c r="BJ306" s="1" t="s">
        <v>22</v>
      </c>
      <c r="BK306" s="6">
        <v>1</v>
      </c>
      <c r="BL306" s="6">
        <v>0</v>
      </c>
      <c r="BM306" s="1">
        <v>0</v>
      </c>
      <c r="BN306" t="s">
        <v>24</v>
      </c>
      <c r="BO306">
        <v>2376</v>
      </c>
    </row>
    <row r="307" spans="1:67" x14ac:dyDescent="0.3">
      <c r="A307" s="4">
        <f>INT(Tabela1[[#This Row],[Data e Hora]])</f>
        <v>46293</v>
      </c>
      <c r="B307" s="4" t="str">
        <f>UPPER(TEXT(Tabela1[[#This Row],[Data Corrigida]],"MMM"))</f>
        <v>SET</v>
      </c>
      <c r="C307" t="s">
        <v>902</v>
      </c>
      <c r="D307" t="s">
        <v>903</v>
      </c>
      <c r="E307" t="s">
        <v>901</v>
      </c>
      <c r="F307" t="s">
        <v>19</v>
      </c>
      <c r="G307" s="5" t="s">
        <v>890</v>
      </c>
      <c r="H307" t="s">
        <v>20</v>
      </c>
      <c r="I307" t="s">
        <v>21</v>
      </c>
      <c r="J307" s="1">
        <v>151</v>
      </c>
      <c r="K307" s="1">
        <v>2953</v>
      </c>
      <c r="L307" t="s">
        <v>23</v>
      </c>
      <c r="M307" s="1">
        <v>28</v>
      </c>
      <c r="N307" s="48">
        <v>28.000000000000004</v>
      </c>
      <c r="O307" s="1">
        <v>12</v>
      </c>
      <c r="P307" s="48">
        <v>12</v>
      </c>
      <c r="Q307" s="1">
        <v>0</v>
      </c>
      <c r="R307" s="1">
        <v>0</v>
      </c>
      <c r="S307" s="1">
        <v>2</v>
      </c>
      <c r="T307" s="1">
        <v>2</v>
      </c>
      <c r="U307" s="1">
        <v>1</v>
      </c>
      <c r="V307" s="1">
        <v>1</v>
      </c>
      <c r="W307" s="1">
        <v>0</v>
      </c>
      <c r="X307" s="1">
        <v>0</v>
      </c>
      <c r="Y307" s="1">
        <v>1</v>
      </c>
      <c r="Z307" s="3">
        <v>0.33112582781456956</v>
      </c>
      <c r="AA307" s="1">
        <v>3</v>
      </c>
      <c r="AB307" s="3">
        <v>1.9867549668874174</v>
      </c>
      <c r="AC307" s="1">
        <v>0</v>
      </c>
      <c r="AD307" s="3">
        <v>0</v>
      </c>
      <c r="AE307" s="1">
        <v>2</v>
      </c>
      <c r="AF307" s="3">
        <v>1.3245033112582782</v>
      </c>
      <c r="AG307" s="1">
        <v>6</v>
      </c>
      <c r="AH307" s="3">
        <v>3.9735099337748347</v>
      </c>
      <c r="AI307" s="1" t="s">
        <v>22</v>
      </c>
      <c r="AJ307" s="1">
        <v>9</v>
      </c>
      <c r="AK307" s="3">
        <v>5.9602649006622519</v>
      </c>
      <c r="AL307" s="1">
        <v>2</v>
      </c>
      <c r="AM307" s="3">
        <v>1.3245033112582782</v>
      </c>
      <c r="AN307" s="1" t="s">
        <v>22</v>
      </c>
      <c r="AO307" s="1">
        <v>14</v>
      </c>
      <c r="AP307" s="3">
        <v>9.2715231788079464</v>
      </c>
      <c r="AQ307" s="3">
        <v>2</v>
      </c>
      <c r="AR307" s="3">
        <v>1.3245033112582782</v>
      </c>
      <c r="AS307" s="1">
        <v>7</v>
      </c>
      <c r="AT307" s="3">
        <v>4.6357615894039732</v>
      </c>
      <c r="AU307" s="1">
        <v>1</v>
      </c>
      <c r="AV307" s="3">
        <v>0.66225165562913912</v>
      </c>
      <c r="AW307" s="1" t="s">
        <v>22</v>
      </c>
      <c r="AX307" s="1">
        <v>19</v>
      </c>
      <c r="AY307" s="1">
        <v>0</v>
      </c>
      <c r="AZ307" s="1">
        <v>0</v>
      </c>
      <c r="BA307" s="1">
        <v>38</v>
      </c>
      <c r="BB307" s="1">
        <v>0</v>
      </c>
      <c r="BC307" s="1">
        <v>0</v>
      </c>
      <c r="BD307" s="1">
        <v>0</v>
      </c>
      <c r="BE307" s="54">
        <v>0</v>
      </c>
      <c r="BF307" s="6">
        <v>17</v>
      </c>
      <c r="BG307" s="6">
        <v>22</v>
      </c>
      <c r="BH307" s="1">
        <v>1</v>
      </c>
      <c r="BI307" s="6">
        <v>10</v>
      </c>
      <c r="BJ307" s="1" t="s">
        <v>22</v>
      </c>
      <c r="BK307" s="6">
        <v>1</v>
      </c>
      <c r="BL307" s="6">
        <v>0</v>
      </c>
      <c r="BM307" s="1">
        <v>1</v>
      </c>
      <c r="BN307" t="s">
        <v>24</v>
      </c>
      <c r="BO307">
        <v>2966</v>
      </c>
    </row>
    <row r="308" spans="1:67" x14ac:dyDescent="0.3">
      <c r="A308" s="4">
        <f>INT(Tabela1[[#This Row],[Data e Hora]])</f>
        <v>46293</v>
      </c>
      <c r="B308" s="4" t="str">
        <f>UPPER(TEXT(Tabela1[[#This Row],[Data Corrigida]],"MMM"))</f>
        <v>SET</v>
      </c>
      <c r="C308" t="s">
        <v>904</v>
      </c>
      <c r="D308" t="s">
        <v>905</v>
      </c>
      <c r="E308" t="s">
        <v>901</v>
      </c>
      <c r="F308" t="s">
        <v>19</v>
      </c>
      <c r="G308" s="5" t="s">
        <v>890</v>
      </c>
      <c r="H308" t="s">
        <v>20</v>
      </c>
      <c r="I308" t="s">
        <v>21</v>
      </c>
      <c r="J308" s="1">
        <v>160</v>
      </c>
      <c r="K308" s="1">
        <v>3244</v>
      </c>
      <c r="L308" t="s">
        <v>23</v>
      </c>
      <c r="M308" s="1">
        <v>31</v>
      </c>
      <c r="N308" s="48">
        <v>31</v>
      </c>
      <c r="O308" s="1">
        <v>9</v>
      </c>
      <c r="P308" s="48">
        <v>9</v>
      </c>
      <c r="Q308" s="1">
        <v>0</v>
      </c>
      <c r="R308" s="1">
        <v>0</v>
      </c>
      <c r="S308" s="1">
        <v>2</v>
      </c>
      <c r="T308" s="1">
        <v>2</v>
      </c>
      <c r="U308" s="1">
        <v>1</v>
      </c>
      <c r="V308" s="1">
        <v>1</v>
      </c>
      <c r="W308" s="1">
        <v>0</v>
      </c>
      <c r="X308" s="1">
        <v>0</v>
      </c>
      <c r="Y308" s="1">
        <v>2</v>
      </c>
      <c r="Z308" s="3">
        <v>0.625</v>
      </c>
      <c r="AA308" s="1">
        <v>2</v>
      </c>
      <c r="AB308" s="3">
        <v>1.25</v>
      </c>
      <c r="AC308" s="1">
        <v>0</v>
      </c>
      <c r="AD308" s="3">
        <v>0</v>
      </c>
      <c r="AE308" s="1">
        <v>1</v>
      </c>
      <c r="AF308" s="3">
        <v>0.625</v>
      </c>
      <c r="AG308" s="1">
        <v>5</v>
      </c>
      <c r="AH308" s="3">
        <v>3.125</v>
      </c>
      <c r="AI308" s="1" t="s">
        <v>22</v>
      </c>
      <c r="AJ308" s="1">
        <v>2</v>
      </c>
      <c r="AK308" s="3">
        <v>1.25</v>
      </c>
      <c r="AL308" s="1">
        <v>1</v>
      </c>
      <c r="AM308" s="3">
        <v>0.625</v>
      </c>
      <c r="AN308" s="1" t="s">
        <v>22</v>
      </c>
      <c r="AO308" s="1">
        <v>8</v>
      </c>
      <c r="AP308" s="3">
        <v>5</v>
      </c>
      <c r="AQ308" s="3">
        <v>1</v>
      </c>
      <c r="AR308" s="3">
        <v>0.625</v>
      </c>
      <c r="AS308" s="1">
        <v>7</v>
      </c>
      <c r="AT308" s="3">
        <v>4.375</v>
      </c>
      <c r="AU308" s="1">
        <v>1</v>
      </c>
      <c r="AV308" s="3">
        <v>0.625</v>
      </c>
      <c r="AW308" s="1" t="s">
        <v>22</v>
      </c>
      <c r="AX308" s="1">
        <v>19</v>
      </c>
      <c r="AY308" s="1">
        <v>0</v>
      </c>
      <c r="AZ308" s="1">
        <v>0</v>
      </c>
      <c r="BA308" s="1">
        <v>38</v>
      </c>
      <c r="BB308" s="1">
        <v>0</v>
      </c>
      <c r="BC308" s="1">
        <v>0</v>
      </c>
      <c r="BD308" s="1">
        <v>0</v>
      </c>
      <c r="BE308" s="54">
        <v>0</v>
      </c>
      <c r="BF308" s="6">
        <v>16</v>
      </c>
      <c r="BG308" s="6">
        <v>13</v>
      </c>
      <c r="BH308" s="1">
        <v>0</v>
      </c>
      <c r="BI308" s="6">
        <v>0</v>
      </c>
      <c r="BJ308" s="1" t="s">
        <v>22</v>
      </c>
      <c r="BK308" s="1" t="s">
        <v>22</v>
      </c>
      <c r="BL308" s="1" t="s">
        <v>22</v>
      </c>
      <c r="BM308" s="1" t="s">
        <v>22</v>
      </c>
      <c r="BN308" t="s">
        <v>24</v>
      </c>
      <c r="BO308">
        <v>2291</v>
      </c>
    </row>
    <row r="309" spans="1:67" x14ac:dyDescent="0.3">
      <c r="A309" s="4">
        <f>INT(Tabela1[[#This Row],[Data e Hora]])</f>
        <v>46294</v>
      </c>
      <c r="B309" s="4" t="str">
        <f>UPPER(TEXT(Tabela1[[#This Row],[Data Corrigida]],"MMM"))</f>
        <v>SET</v>
      </c>
      <c r="C309" s="57" t="s">
        <v>906</v>
      </c>
      <c r="D309" t="s">
        <v>907</v>
      </c>
      <c r="E309" t="s">
        <v>908</v>
      </c>
      <c r="F309" t="s">
        <v>19</v>
      </c>
      <c r="G309" s="5" t="s">
        <v>909</v>
      </c>
      <c r="H309" t="s">
        <v>20</v>
      </c>
      <c r="I309" t="s">
        <v>33</v>
      </c>
      <c r="J309" s="1">
        <v>157</v>
      </c>
      <c r="K309" s="1">
        <v>2965</v>
      </c>
      <c r="L309" t="s">
        <v>34</v>
      </c>
      <c r="M309" s="1">
        <v>20</v>
      </c>
      <c r="N309" s="48">
        <v>20</v>
      </c>
      <c r="O309" s="1">
        <v>5</v>
      </c>
      <c r="P309" s="48">
        <v>5</v>
      </c>
      <c r="Q309" s="1">
        <v>8</v>
      </c>
      <c r="R309" s="1">
        <v>80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4</v>
      </c>
      <c r="Z309" s="3">
        <v>1.2738853503184715</v>
      </c>
      <c r="AA309" s="1">
        <v>4</v>
      </c>
      <c r="AB309" s="3">
        <v>2.547770700636943</v>
      </c>
      <c r="AC309" s="1">
        <v>0</v>
      </c>
      <c r="AD309" s="3">
        <v>0</v>
      </c>
      <c r="AE309" s="1">
        <v>1</v>
      </c>
      <c r="AF309" s="3">
        <v>0.63694267515923575</v>
      </c>
      <c r="AG309" s="1">
        <v>2</v>
      </c>
      <c r="AH309" s="3">
        <v>1.2738853503184715</v>
      </c>
      <c r="AI309" s="1" t="s">
        <v>22</v>
      </c>
      <c r="AJ309" s="1">
        <v>0</v>
      </c>
      <c r="AK309" s="3">
        <v>0</v>
      </c>
      <c r="AL309" s="1">
        <v>0</v>
      </c>
      <c r="AM309" s="3">
        <v>0</v>
      </c>
      <c r="AN309" s="1" t="s">
        <v>22</v>
      </c>
      <c r="AO309" s="1">
        <v>5</v>
      </c>
      <c r="AP309" s="3">
        <v>3.1847133757961785</v>
      </c>
      <c r="AQ309" s="3">
        <v>5</v>
      </c>
      <c r="AR309" s="3">
        <v>3.1847133757961785</v>
      </c>
      <c r="AS309" s="1">
        <v>6</v>
      </c>
      <c r="AT309" s="3">
        <v>3.8216560509554141</v>
      </c>
      <c r="AU309" s="1">
        <v>1</v>
      </c>
      <c r="AV309" s="3">
        <v>0.63694267515923575</v>
      </c>
      <c r="AW309" s="1" t="s">
        <v>22</v>
      </c>
      <c r="AX309" s="1">
        <v>19</v>
      </c>
      <c r="AY309" s="1">
        <v>0</v>
      </c>
      <c r="AZ309" s="1">
        <v>0</v>
      </c>
      <c r="BA309" s="1">
        <v>38</v>
      </c>
      <c r="BB309" s="1">
        <v>0</v>
      </c>
      <c r="BC309" s="1">
        <v>0</v>
      </c>
      <c r="BD309" s="1">
        <v>0</v>
      </c>
      <c r="BE309" s="54">
        <v>0</v>
      </c>
      <c r="BF309" s="6">
        <v>20</v>
      </c>
      <c r="BG309" s="6">
        <v>17</v>
      </c>
      <c r="BH309" s="1">
        <v>0</v>
      </c>
      <c r="BI309" s="6">
        <v>0</v>
      </c>
      <c r="BJ309" s="1" t="s">
        <v>22</v>
      </c>
      <c r="BK309" s="6">
        <v>2</v>
      </c>
      <c r="BL309" s="6">
        <v>0</v>
      </c>
      <c r="BM309" s="1">
        <v>0</v>
      </c>
      <c r="BN309" t="s">
        <v>24</v>
      </c>
      <c r="BO309">
        <v>214</v>
      </c>
    </row>
    <row r="310" spans="1:67" x14ac:dyDescent="0.3">
      <c r="A310" s="4">
        <f>INT(Tabela1[[#This Row],[Data e Hora]])</f>
        <v>46294</v>
      </c>
      <c r="B310" s="4" t="str">
        <f>UPPER(TEXT(Tabela1[[#This Row],[Data Corrigida]],"MMM"))</f>
        <v>SET</v>
      </c>
      <c r="C310" t="s">
        <v>910</v>
      </c>
      <c r="D310" t="s">
        <v>911</v>
      </c>
      <c r="E310" t="s">
        <v>908</v>
      </c>
      <c r="F310" t="s">
        <v>19</v>
      </c>
      <c r="G310" s="5" t="s">
        <v>909</v>
      </c>
      <c r="H310" t="s">
        <v>20</v>
      </c>
      <c r="I310" t="s">
        <v>33</v>
      </c>
      <c r="J310" s="1">
        <v>79</v>
      </c>
      <c r="K310" s="1">
        <v>2821</v>
      </c>
      <c r="L310" t="s">
        <v>34</v>
      </c>
      <c r="M310" s="1">
        <v>20</v>
      </c>
      <c r="N310" s="48">
        <v>20</v>
      </c>
      <c r="O310" s="1">
        <v>5</v>
      </c>
      <c r="P310" s="48">
        <v>5</v>
      </c>
      <c r="Q310" s="1">
        <v>0</v>
      </c>
      <c r="R310" s="1">
        <v>0</v>
      </c>
      <c r="S310" s="1">
        <v>1</v>
      </c>
      <c r="T310" s="1">
        <v>1</v>
      </c>
      <c r="U310" s="1">
        <v>0</v>
      </c>
      <c r="V310" s="1">
        <v>0</v>
      </c>
      <c r="W310" s="1">
        <v>0</v>
      </c>
      <c r="X310" s="1">
        <v>0</v>
      </c>
      <c r="Y310" s="1">
        <v>6</v>
      </c>
      <c r="Z310" s="3">
        <v>3.79746835443038</v>
      </c>
      <c r="AA310" s="1">
        <v>5</v>
      </c>
      <c r="AB310" s="3">
        <v>6.3291139240506329</v>
      </c>
      <c r="AC310" s="1">
        <v>0</v>
      </c>
      <c r="AD310" s="3">
        <v>0</v>
      </c>
      <c r="AE310" s="1">
        <v>1</v>
      </c>
      <c r="AF310" s="3">
        <v>1.2658227848101267</v>
      </c>
      <c r="AG310" s="1">
        <v>2</v>
      </c>
      <c r="AH310" s="3">
        <v>2.5316455696202533</v>
      </c>
      <c r="AI310" s="1" t="s">
        <v>22</v>
      </c>
      <c r="AJ310" s="1">
        <v>0</v>
      </c>
      <c r="AK310" s="3">
        <v>0</v>
      </c>
      <c r="AL310" s="1">
        <v>0</v>
      </c>
      <c r="AM310" s="3">
        <v>0</v>
      </c>
      <c r="AN310" s="1" t="s">
        <v>22</v>
      </c>
      <c r="AO310" s="1">
        <v>3</v>
      </c>
      <c r="AP310" s="3">
        <v>3.79746835443038</v>
      </c>
      <c r="AQ310" s="3">
        <v>6</v>
      </c>
      <c r="AR310" s="3">
        <v>7.59493670886076</v>
      </c>
      <c r="AS310" s="1">
        <v>5</v>
      </c>
      <c r="AT310" s="3">
        <v>6.3291139240506329</v>
      </c>
      <c r="AU310" s="1">
        <v>0</v>
      </c>
      <c r="AV310" s="3">
        <v>0</v>
      </c>
      <c r="AW310" s="1" t="s">
        <v>22</v>
      </c>
      <c r="AX310" s="1">
        <v>18</v>
      </c>
      <c r="AY310" s="1">
        <v>0</v>
      </c>
      <c r="AZ310" s="1">
        <v>0</v>
      </c>
      <c r="BA310" s="1">
        <v>36</v>
      </c>
      <c r="BB310" s="1">
        <v>0</v>
      </c>
      <c r="BC310" s="1">
        <v>0</v>
      </c>
      <c r="BD310" s="1">
        <v>0</v>
      </c>
      <c r="BE310" s="54">
        <v>0</v>
      </c>
      <c r="BF310" s="6">
        <v>20</v>
      </c>
      <c r="BG310" s="6">
        <v>17</v>
      </c>
      <c r="BH310" s="1">
        <v>0</v>
      </c>
      <c r="BI310" s="6">
        <v>0</v>
      </c>
      <c r="BJ310" s="1" t="s">
        <v>22</v>
      </c>
      <c r="BK310" s="6">
        <v>4</v>
      </c>
      <c r="BL310" s="6">
        <v>0</v>
      </c>
      <c r="BM310" s="1">
        <v>0</v>
      </c>
      <c r="BN310" t="s">
        <v>24</v>
      </c>
      <c r="BO310">
        <v>10836</v>
      </c>
    </row>
    <row r="311" spans="1:67" x14ac:dyDescent="0.3">
      <c r="A311" s="4">
        <f>INT(Tabela1[[#This Row],[Data e Hora]])</f>
        <v>46294</v>
      </c>
      <c r="B311" s="4" t="str">
        <f>UPPER(TEXT(Tabela1[[#This Row],[Data Corrigida]],"MMM"))</f>
        <v>SET</v>
      </c>
      <c r="C311" t="s">
        <v>912</v>
      </c>
      <c r="D311" t="s">
        <v>913</v>
      </c>
      <c r="E311" t="s">
        <v>914</v>
      </c>
      <c r="F311" t="s">
        <v>19</v>
      </c>
      <c r="G311" s="5" t="s">
        <v>909</v>
      </c>
      <c r="H311" t="s">
        <v>20</v>
      </c>
      <c r="I311" t="s">
        <v>33</v>
      </c>
      <c r="J311" s="1">
        <v>161</v>
      </c>
      <c r="K311" s="1">
        <v>3025</v>
      </c>
      <c r="L311" t="s">
        <v>34</v>
      </c>
      <c r="M311" s="1">
        <v>22</v>
      </c>
      <c r="N311" s="48">
        <v>22</v>
      </c>
      <c r="O311" s="1">
        <v>6</v>
      </c>
      <c r="P311" s="48">
        <v>6</v>
      </c>
      <c r="Q311" s="1">
        <v>0</v>
      </c>
      <c r="R311" s="1">
        <v>0</v>
      </c>
      <c r="S311" s="1">
        <v>1</v>
      </c>
      <c r="T311" s="1">
        <v>1</v>
      </c>
      <c r="U311" s="1">
        <v>0</v>
      </c>
      <c r="V311" s="1">
        <v>0</v>
      </c>
      <c r="W311" s="1">
        <v>0</v>
      </c>
      <c r="X311" s="1">
        <v>0</v>
      </c>
      <c r="Y311" s="1" t="s">
        <v>22</v>
      </c>
      <c r="Z311" s="3" t="s">
        <v>22</v>
      </c>
      <c r="AA311" s="1">
        <v>5</v>
      </c>
      <c r="AB311" s="3">
        <v>3.1055900621118013</v>
      </c>
      <c r="AC311" s="1">
        <v>0</v>
      </c>
      <c r="AD311" s="3">
        <v>0</v>
      </c>
      <c r="AE311" s="1">
        <v>3</v>
      </c>
      <c r="AF311" s="3">
        <v>1.8633540372670807</v>
      </c>
      <c r="AG311" s="1">
        <v>2</v>
      </c>
      <c r="AH311" s="3">
        <v>1.2422360248447204</v>
      </c>
      <c r="AI311" s="1" t="s">
        <v>22</v>
      </c>
      <c r="AJ311" s="1">
        <v>0</v>
      </c>
      <c r="AK311" s="3">
        <v>0</v>
      </c>
      <c r="AL311" s="1">
        <v>0</v>
      </c>
      <c r="AM311" s="3">
        <v>0</v>
      </c>
      <c r="AN311" s="1" t="s">
        <v>22</v>
      </c>
      <c r="AO311" s="1">
        <v>7</v>
      </c>
      <c r="AP311" s="3">
        <v>4.3478260869565215</v>
      </c>
      <c r="AQ311" s="3">
        <v>5</v>
      </c>
      <c r="AR311" s="3">
        <v>3.1055900621118013</v>
      </c>
      <c r="AS311" s="1">
        <v>5</v>
      </c>
      <c r="AT311" s="3">
        <v>3.1055900621118013</v>
      </c>
      <c r="AU311" s="1">
        <v>0</v>
      </c>
      <c r="AV311" s="3">
        <v>0</v>
      </c>
      <c r="AW311" s="1" t="s">
        <v>22</v>
      </c>
      <c r="AX311" s="1">
        <v>19</v>
      </c>
      <c r="AY311" s="1">
        <v>0</v>
      </c>
      <c r="AZ311" s="1">
        <v>0</v>
      </c>
      <c r="BA311" s="1">
        <v>38</v>
      </c>
      <c r="BB311" s="1">
        <v>0</v>
      </c>
      <c r="BC311" s="1">
        <v>0</v>
      </c>
      <c r="BD311" s="1">
        <v>1</v>
      </c>
      <c r="BE311" s="54">
        <v>0.6211180124223602</v>
      </c>
      <c r="BF311" s="6">
        <v>19</v>
      </c>
      <c r="BG311" s="6">
        <v>16</v>
      </c>
      <c r="BH311" s="1">
        <v>0</v>
      </c>
      <c r="BI311" s="6">
        <v>0</v>
      </c>
      <c r="BJ311" s="1" t="s">
        <v>22</v>
      </c>
      <c r="BK311" s="6">
        <v>1</v>
      </c>
      <c r="BL311" s="6">
        <v>0</v>
      </c>
      <c r="BM311" s="1">
        <v>0</v>
      </c>
      <c r="BN311" t="s">
        <v>24</v>
      </c>
      <c r="BO311">
        <v>20734</v>
      </c>
    </row>
    <row r="312" spans="1:67" x14ac:dyDescent="0.3">
      <c r="A312" s="4">
        <f>INT(Tabela1[[#This Row],[Data e Hora]])</f>
        <v>46294</v>
      </c>
      <c r="B312" s="4" t="str">
        <f>UPPER(TEXT(Tabela1[[#This Row],[Data Corrigida]],"MMM"))</f>
        <v>SET</v>
      </c>
      <c r="C312" t="s">
        <v>915</v>
      </c>
      <c r="D312" t="s">
        <v>916</v>
      </c>
      <c r="E312" t="s">
        <v>917</v>
      </c>
      <c r="F312" t="s">
        <v>19</v>
      </c>
      <c r="G312" s="5" t="s">
        <v>909</v>
      </c>
      <c r="H312" t="s">
        <v>20</v>
      </c>
      <c r="I312" t="s">
        <v>21</v>
      </c>
      <c r="J312" s="1">
        <v>150</v>
      </c>
      <c r="K312" s="1">
        <v>3094</v>
      </c>
      <c r="L312" t="s">
        <v>23</v>
      </c>
      <c r="M312" s="1">
        <v>41</v>
      </c>
      <c r="N312" s="48">
        <v>41</v>
      </c>
      <c r="O312" s="1">
        <v>23</v>
      </c>
      <c r="P312" s="48">
        <v>23</v>
      </c>
      <c r="Q312" s="1">
        <v>0</v>
      </c>
      <c r="R312" s="1">
        <v>0</v>
      </c>
      <c r="S312" s="1">
        <v>1</v>
      </c>
      <c r="T312" s="1">
        <v>1</v>
      </c>
      <c r="U312" s="1">
        <v>1</v>
      </c>
      <c r="V312" s="1">
        <v>1</v>
      </c>
      <c r="W312" s="1">
        <v>0</v>
      </c>
      <c r="X312" s="1">
        <v>0</v>
      </c>
      <c r="Y312" s="1">
        <v>2</v>
      </c>
      <c r="Z312" s="3">
        <v>0.66666666666666674</v>
      </c>
      <c r="AA312" s="1">
        <v>2</v>
      </c>
      <c r="AB312" s="3">
        <v>1.3333333333333335</v>
      </c>
      <c r="AC312" s="1">
        <v>0</v>
      </c>
      <c r="AD312" s="3">
        <v>0</v>
      </c>
      <c r="AE312" s="1">
        <v>1</v>
      </c>
      <c r="AF312" s="3">
        <v>0.66666666666666674</v>
      </c>
      <c r="AG312" s="1">
        <v>5</v>
      </c>
      <c r="AH312" s="3">
        <v>3.3333333333333335</v>
      </c>
      <c r="AI312" s="1" t="s">
        <v>22</v>
      </c>
      <c r="AJ312" s="1">
        <v>5</v>
      </c>
      <c r="AK312" s="3">
        <v>3.3333333333333335</v>
      </c>
      <c r="AL312" s="1">
        <v>2</v>
      </c>
      <c r="AM312" s="3">
        <v>1.3333333333333335</v>
      </c>
      <c r="AN312" s="1" t="s">
        <v>22</v>
      </c>
      <c r="AO312" s="1">
        <v>9</v>
      </c>
      <c r="AP312" s="3">
        <v>6</v>
      </c>
      <c r="AQ312" s="3">
        <v>1</v>
      </c>
      <c r="AR312" s="3">
        <v>0.66666666666666674</v>
      </c>
      <c r="AS312" s="1">
        <v>7</v>
      </c>
      <c r="AT312" s="3">
        <v>4.666666666666667</v>
      </c>
      <c r="AU312" s="1">
        <v>1</v>
      </c>
      <c r="AV312" s="3">
        <v>0.66666666666666674</v>
      </c>
      <c r="AW312" s="1" t="s">
        <v>22</v>
      </c>
      <c r="AX312" s="1">
        <v>19</v>
      </c>
      <c r="AY312" s="1">
        <v>0</v>
      </c>
      <c r="AZ312" s="1">
        <v>0</v>
      </c>
      <c r="BA312" s="1">
        <v>38</v>
      </c>
      <c r="BB312" s="1">
        <v>0</v>
      </c>
      <c r="BC312" s="1">
        <v>0</v>
      </c>
      <c r="BD312" s="1">
        <v>2</v>
      </c>
      <c r="BE312" s="54">
        <v>1.3333333333333335</v>
      </c>
      <c r="BF312" s="6">
        <v>25</v>
      </c>
      <c r="BG312" s="6">
        <v>20</v>
      </c>
      <c r="BH312" s="1">
        <v>1</v>
      </c>
      <c r="BI312" s="6">
        <v>10</v>
      </c>
      <c r="BJ312" s="1" t="s">
        <v>22</v>
      </c>
      <c r="BK312" s="1" t="s">
        <v>22</v>
      </c>
      <c r="BL312" s="1" t="s">
        <v>22</v>
      </c>
      <c r="BM312" s="1" t="s">
        <v>22</v>
      </c>
      <c r="BN312" t="s">
        <v>24</v>
      </c>
      <c r="BO312">
        <v>1475</v>
      </c>
    </row>
    <row r="313" spans="1:67" x14ac:dyDescent="0.3">
      <c r="A313" s="4">
        <f>INT(Tabela1[[#This Row],[Data e Hora]])</f>
        <v>46294</v>
      </c>
      <c r="B313" s="4" t="str">
        <f>UPPER(TEXT(Tabela1[[#This Row],[Data Corrigida]],"MMM"))</f>
        <v>SET</v>
      </c>
      <c r="C313" t="s">
        <v>918</v>
      </c>
      <c r="D313" t="s">
        <v>919</v>
      </c>
      <c r="E313" t="s">
        <v>917</v>
      </c>
      <c r="F313" t="s">
        <v>19</v>
      </c>
      <c r="G313" s="5" t="s">
        <v>909</v>
      </c>
      <c r="H313" t="s">
        <v>20</v>
      </c>
      <c r="I313" t="s">
        <v>21</v>
      </c>
      <c r="J313" s="1">
        <v>160</v>
      </c>
      <c r="K313" s="1">
        <v>3321</v>
      </c>
      <c r="L313" t="s">
        <v>23</v>
      </c>
      <c r="M313" s="1">
        <v>35</v>
      </c>
      <c r="N313" s="48">
        <v>35</v>
      </c>
      <c r="O313" s="1">
        <v>23</v>
      </c>
      <c r="P313" s="48">
        <v>23</v>
      </c>
      <c r="Q313" s="1">
        <v>0</v>
      </c>
      <c r="R313" s="1">
        <v>0</v>
      </c>
      <c r="S313" s="1">
        <v>3</v>
      </c>
      <c r="T313" s="1">
        <v>3</v>
      </c>
      <c r="U313" s="1">
        <v>1</v>
      </c>
      <c r="V313" s="1">
        <v>1</v>
      </c>
      <c r="W313" s="1">
        <v>2</v>
      </c>
      <c r="X313" s="1">
        <v>10</v>
      </c>
      <c r="Y313" s="1">
        <v>2</v>
      </c>
      <c r="Z313" s="3">
        <v>0.625</v>
      </c>
      <c r="AA313" s="1">
        <v>2</v>
      </c>
      <c r="AB313" s="3">
        <v>1.25</v>
      </c>
      <c r="AC313" s="1">
        <v>0</v>
      </c>
      <c r="AD313" s="3">
        <v>0</v>
      </c>
      <c r="AE313" s="1">
        <v>2</v>
      </c>
      <c r="AF313" s="3">
        <v>1.25</v>
      </c>
      <c r="AG313" s="1">
        <v>6</v>
      </c>
      <c r="AH313" s="3">
        <v>3.75</v>
      </c>
      <c r="AI313" s="1" t="s">
        <v>22</v>
      </c>
      <c r="AJ313" s="1">
        <v>7</v>
      </c>
      <c r="AK313" s="3">
        <v>4.375</v>
      </c>
      <c r="AL313" s="1">
        <v>3</v>
      </c>
      <c r="AM313" s="3">
        <v>1.875</v>
      </c>
      <c r="AN313" s="1" t="s">
        <v>22</v>
      </c>
      <c r="AO313" s="1">
        <v>11</v>
      </c>
      <c r="AP313" s="3">
        <v>6.8750000000000009</v>
      </c>
      <c r="AQ313" s="3">
        <v>1</v>
      </c>
      <c r="AR313" s="3">
        <v>0.625</v>
      </c>
      <c r="AS313" s="1">
        <v>6</v>
      </c>
      <c r="AT313" s="3">
        <v>3.75</v>
      </c>
      <c r="AU313" s="1">
        <v>1</v>
      </c>
      <c r="AV313" s="3">
        <v>0.625</v>
      </c>
      <c r="AW313" s="1" t="s">
        <v>22</v>
      </c>
      <c r="AX313" s="1">
        <v>17</v>
      </c>
      <c r="AY313" s="1">
        <v>0</v>
      </c>
      <c r="AZ313" s="1">
        <v>0</v>
      </c>
      <c r="BA313" s="1">
        <v>34</v>
      </c>
      <c r="BB313" s="1">
        <v>0</v>
      </c>
      <c r="BC313" s="1">
        <v>0</v>
      </c>
      <c r="BD313" s="1">
        <v>0</v>
      </c>
      <c r="BE313" s="54">
        <v>0</v>
      </c>
      <c r="BF313" s="6">
        <v>22</v>
      </c>
      <c r="BG313" s="6">
        <v>19</v>
      </c>
      <c r="BH313" s="1">
        <v>0</v>
      </c>
      <c r="BI313" s="6">
        <v>0</v>
      </c>
      <c r="BJ313" s="1" t="s">
        <v>22</v>
      </c>
      <c r="BK313" s="6">
        <v>0</v>
      </c>
      <c r="BL313" s="6">
        <v>0</v>
      </c>
      <c r="BM313" s="1">
        <v>1</v>
      </c>
      <c r="BN313" t="s">
        <v>22</v>
      </c>
      <c r="BO313">
        <v>1851</v>
      </c>
    </row>
    <row r="314" spans="1:67" x14ac:dyDescent="0.3">
      <c r="A314" s="4">
        <f>INT(Tabela1[[#This Row],[Data e Hora]])</f>
        <v>46294</v>
      </c>
      <c r="B314" s="4" t="str">
        <f>UPPER(TEXT(Tabela1[[#This Row],[Data Corrigida]],"MMM"))</f>
        <v>SET</v>
      </c>
      <c r="C314" t="s">
        <v>920</v>
      </c>
      <c r="D314" t="s">
        <v>921</v>
      </c>
      <c r="E314" t="s">
        <v>917</v>
      </c>
      <c r="F314" t="s">
        <v>19</v>
      </c>
      <c r="G314" s="5" t="s">
        <v>909</v>
      </c>
      <c r="H314" t="s">
        <v>20</v>
      </c>
      <c r="I314" t="s">
        <v>21</v>
      </c>
      <c r="J314" s="1">
        <v>80</v>
      </c>
      <c r="K314" s="1">
        <v>3018</v>
      </c>
      <c r="L314" t="s">
        <v>23</v>
      </c>
      <c r="M314" s="1">
        <v>33</v>
      </c>
      <c r="N314" s="48">
        <v>33</v>
      </c>
      <c r="O314" s="1">
        <v>20</v>
      </c>
      <c r="P314" s="48">
        <v>20</v>
      </c>
      <c r="Q314" s="1">
        <v>0</v>
      </c>
      <c r="R314" s="1">
        <v>0</v>
      </c>
      <c r="S314" s="1">
        <v>1</v>
      </c>
      <c r="T314" s="1">
        <v>1</v>
      </c>
      <c r="U314" s="1">
        <v>1</v>
      </c>
      <c r="V314" s="1">
        <v>1</v>
      </c>
      <c r="W314" s="1">
        <v>3</v>
      </c>
      <c r="X314" s="1">
        <v>15</v>
      </c>
      <c r="Y314" s="1">
        <v>2</v>
      </c>
      <c r="Z314" s="3">
        <v>1.25</v>
      </c>
      <c r="AA314" s="1">
        <v>2</v>
      </c>
      <c r="AB314" s="3">
        <v>2.5</v>
      </c>
      <c r="AC314" s="1">
        <v>0</v>
      </c>
      <c r="AD314" s="3">
        <v>0</v>
      </c>
      <c r="AE314" s="1">
        <v>2</v>
      </c>
      <c r="AF314" s="3">
        <v>2.5</v>
      </c>
      <c r="AG314" s="1">
        <v>4</v>
      </c>
      <c r="AH314" s="3">
        <v>5</v>
      </c>
      <c r="AI314" s="1" t="s">
        <v>22</v>
      </c>
      <c r="AJ314" s="1">
        <v>5</v>
      </c>
      <c r="AK314" s="3">
        <v>6.25</v>
      </c>
      <c r="AL314" s="1">
        <v>2</v>
      </c>
      <c r="AM314" s="3">
        <v>2.5</v>
      </c>
      <c r="AN314" s="1" t="s">
        <v>22</v>
      </c>
      <c r="AO314" s="1">
        <v>10</v>
      </c>
      <c r="AP314" s="3">
        <v>12.5</v>
      </c>
      <c r="AQ314" s="3">
        <v>2</v>
      </c>
      <c r="AR314" s="3">
        <v>2.5</v>
      </c>
      <c r="AS314" s="1">
        <v>6</v>
      </c>
      <c r="AT314" s="3">
        <v>7.5</v>
      </c>
      <c r="AU314" s="1">
        <v>2</v>
      </c>
      <c r="AV314" s="3">
        <v>2.5</v>
      </c>
      <c r="AW314" s="1" t="s">
        <v>22</v>
      </c>
      <c r="AX314" s="1">
        <v>14</v>
      </c>
      <c r="AY314" s="1">
        <v>0</v>
      </c>
      <c r="AZ314" s="1">
        <v>0</v>
      </c>
      <c r="BA314" s="1">
        <v>28</v>
      </c>
      <c r="BB314" s="1">
        <v>0</v>
      </c>
      <c r="BC314" s="1">
        <v>0</v>
      </c>
      <c r="BD314" s="1">
        <v>0</v>
      </c>
      <c r="BE314" s="54">
        <v>0</v>
      </c>
      <c r="BF314" s="6">
        <v>25</v>
      </c>
      <c r="BG314" s="6">
        <v>18</v>
      </c>
      <c r="BH314" s="1">
        <v>1</v>
      </c>
      <c r="BI314" s="6">
        <v>10</v>
      </c>
      <c r="BJ314" s="1" t="s">
        <v>22</v>
      </c>
      <c r="BK314" s="6">
        <v>0</v>
      </c>
      <c r="BL314" s="6">
        <v>0</v>
      </c>
      <c r="BM314" s="1">
        <v>1</v>
      </c>
      <c r="BN314" t="s">
        <v>24</v>
      </c>
      <c r="BO314">
        <v>1968</v>
      </c>
    </row>
    <row r="315" spans="1:67" x14ac:dyDescent="0.3">
      <c r="A315" s="4">
        <f>INT(Tabela1[[#This Row],[Data e Hora]])</f>
        <v>46294</v>
      </c>
      <c r="B315" s="4" t="str">
        <f>UPPER(TEXT(Tabela1[[#This Row],[Data Corrigida]],"MMM"))</f>
        <v>SET</v>
      </c>
      <c r="C315" t="s">
        <v>922</v>
      </c>
      <c r="D315" t="s">
        <v>923</v>
      </c>
      <c r="E315" t="s">
        <v>917</v>
      </c>
      <c r="F315" t="s">
        <v>19</v>
      </c>
      <c r="G315" s="5" t="s">
        <v>909</v>
      </c>
      <c r="H315" t="s">
        <v>20</v>
      </c>
      <c r="I315" t="s">
        <v>21</v>
      </c>
      <c r="J315" s="1">
        <v>146</v>
      </c>
      <c r="K315" s="1">
        <v>3019</v>
      </c>
      <c r="L315" t="s">
        <v>23</v>
      </c>
      <c r="M315" s="1">
        <v>30</v>
      </c>
      <c r="N315" s="48">
        <v>30</v>
      </c>
      <c r="O315" s="1">
        <v>11</v>
      </c>
      <c r="P315" s="48">
        <v>11</v>
      </c>
      <c r="Q315" s="1">
        <v>0</v>
      </c>
      <c r="R315" s="1">
        <v>0</v>
      </c>
      <c r="S315" s="1">
        <v>4</v>
      </c>
      <c r="T315" s="1">
        <v>4</v>
      </c>
      <c r="U315" s="1">
        <v>1</v>
      </c>
      <c r="V315" s="1">
        <v>1</v>
      </c>
      <c r="W315" s="1">
        <v>0</v>
      </c>
      <c r="X315" s="1">
        <v>0</v>
      </c>
      <c r="Y315" s="1">
        <v>2</v>
      </c>
      <c r="Z315" s="3">
        <v>0.68493150684931503</v>
      </c>
      <c r="AA315" s="1">
        <v>4</v>
      </c>
      <c r="AB315" s="3">
        <v>2.7397260273972601</v>
      </c>
      <c r="AC315" s="1">
        <v>0</v>
      </c>
      <c r="AD315" s="3">
        <v>0</v>
      </c>
      <c r="AE315" s="1">
        <v>3</v>
      </c>
      <c r="AF315" s="3">
        <v>2.054794520547945</v>
      </c>
      <c r="AG315" s="1">
        <v>6</v>
      </c>
      <c r="AH315" s="3">
        <v>4.10958904109589</v>
      </c>
      <c r="AI315" s="1" t="s">
        <v>22</v>
      </c>
      <c r="AJ315" s="1">
        <v>8</v>
      </c>
      <c r="AK315" s="3">
        <v>5.4794520547945202</v>
      </c>
      <c r="AL315" s="1">
        <v>2</v>
      </c>
      <c r="AM315" s="3">
        <v>1.3698630136986301</v>
      </c>
      <c r="AN315" s="1" t="s">
        <v>22</v>
      </c>
      <c r="AO315" s="1">
        <v>11</v>
      </c>
      <c r="AP315" s="3">
        <v>7.5342465753424657</v>
      </c>
      <c r="AQ315" s="3">
        <v>1</v>
      </c>
      <c r="AR315" s="3">
        <v>0.68493150684931503</v>
      </c>
      <c r="AS315" s="1">
        <v>6</v>
      </c>
      <c r="AT315" s="3">
        <v>4.10958904109589</v>
      </c>
      <c r="AU315" s="1">
        <v>2</v>
      </c>
      <c r="AV315" s="3">
        <v>1.3698630136986301</v>
      </c>
      <c r="AW315" s="1" t="s">
        <v>22</v>
      </c>
      <c r="AX315" s="1">
        <v>19</v>
      </c>
      <c r="AY315" s="1">
        <v>0</v>
      </c>
      <c r="AZ315" s="1">
        <v>0</v>
      </c>
      <c r="BA315" s="1">
        <v>38</v>
      </c>
      <c r="BB315" s="1">
        <v>0</v>
      </c>
      <c r="BC315" s="1">
        <v>0</v>
      </c>
      <c r="BD315" s="1">
        <v>0</v>
      </c>
      <c r="BE315" s="54">
        <v>0</v>
      </c>
      <c r="BF315" s="6">
        <v>20</v>
      </c>
      <c r="BG315" s="6">
        <v>18</v>
      </c>
      <c r="BH315" s="1">
        <v>1</v>
      </c>
      <c r="BI315" s="6">
        <v>10</v>
      </c>
      <c r="BJ315" s="1" t="s">
        <v>22</v>
      </c>
      <c r="BK315" s="1" t="s">
        <v>22</v>
      </c>
      <c r="BL315" s="1" t="s">
        <v>22</v>
      </c>
      <c r="BM315" s="1" t="s">
        <v>22</v>
      </c>
      <c r="BN315" t="s">
        <v>24</v>
      </c>
      <c r="BO315">
        <v>3447</v>
      </c>
    </row>
    <row r="316" spans="1:67" x14ac:dyDescent="0.3">
      <c r="A316" s="4">
        <f>INT(Tabela1[[#This Row],[Data e Hora]])</f>
        <v>46295</v>
      </c>
      <c r="B316" s="4" t="str">
        <f>UPPER(TEXT(Tabela1[[#This Row],[Data Corrigida]],"MMM"))</f>
        <v>SET</v>
      </c>
      <c r="C316" s="57" t="s">
        <v>924</v>
      </c>
      <c r="D316" t="s">
        <v>925</v>
      </c>
      <c r="E316" t="s">
        <v>926</v>
      </c>
      <c r="F316" t="s">
        <v>19</v>
      </c>
      <c r="G316" s="5" t="s">
        <v>927</v>
      </c>
      <c r="H316" t="s">
        <v>20</v>
      </c>
      <c r="I316" t="s">
        <v>33</v>
      </c>
      <c r="J316" s="1">
        <v>151</v>
      </c>
      <c r="K316" s="1">
        <v>3089</v>
      </c>
      <c r="L316" t="s">
        <v>34</v>
      </c>
      <c r="M316" s="1">
        <v>20</v>
      </c>
      <c r="N316" s="48">
        <v>20</v>
      </c>
      <c r="O316" s="1">
        <v>6</v>
      </c>
      <c r="P316" s="48">
        <v>6</v>
      </c>
      <c r="Q316" s="1">
        <v>0</v>
      </c>
      <c r="R316" s="1">
        <v>0</v>
      </c>
      <c r="S316" s="1">
        <v>1</v>
      </c>
      <c r="T316" s="1">
        <v>1</v>
      </c>
      <c r="U316" s="1">
        <v>0</v>
      </c>
      <c r="V316" s="1">
        <v>0</v>
      </c>
      <c r="W316" s="1">
        <v>0</v>
      </c>
      <c r="X316" s="1">
        <v>0</v>
      </c>
      <c r="Y316" s="1">
        <v>3</v>
      </c>
      <c r="Z316" s="3">
        <v>0.99337748344370869</v>
      </c>
      <c r="AA316" s="1">
        <v>3</v>
      </c>
      <c r="AB316" s="3">
        <v>1.9867549668874174</v>
      </c>
      <c r="AC316" s="1">
        <v>0</v>
      </c>
      <c r="AD316" s="3">
        <v>0</v>
      </c>
      <c r="AE316" s="1">
        <v>2</v>
      </c>
      <c r="AF316" s="3">
        <v>1.3245033112582782</v>
      </c>
      <c r="AG316" s="1">
        <v>3</v>
      </c>
      <c r="AH316" s="3">
        <v>1.9867549668874174</v>
      </c>
      <c r="AI316" s="1" t="s">
        <v>22</v>
      </c>
      <c r="AJ316" s="1">
        <v>0</v>
      </c>
      <c r="AK316" s="3">
        <v>0</v>
      </c>
      <c r="AL316" s="1">
        <v>0</v>
      </c>
      <c r="AM316" s="3">
        <v>0</v>
      </c>
      <c r="AN316" s="1" t="s">
        <v>22</v>
      </c>
      <c r="AO316" s="1">
        <v>4</v>
      </c>
      <c r="AP316" s="3">
        <v>2.6490066225165565</v>
      </c>
      <c r="AQ316" s="3">
        <v>4</v>
      </c>
      <c r="AR316" s="3">
        <v>2.6490066225165565</v>
      </c>
      <c r="AS316" s="1">
        <v>5</v>
      </c>
      <c r="AT316" s="3">
        <v>3.3112582781456954</v>
      </c>
      <c r="AU316" s="1">
        <v>0</v>
      </c>
      <c r="AV316" s="3">
        <v>0</v>
      </c>
      <c r="AW316" s="1" t="s">
        <v>22</v>
      </c>
      <c r="AX316" s="1">
        <v>16</v>
      </c>
      <c r="AY316" s="1">
        <v>0</v>
      </c>
      <c r="AZ316" s="1">
        <v>0</v>
      </c>
      <c r="BA316" s="1">
        <v>32</v>
      </c>
      <c r="BB316" s="1">
        <v>0</v>
      </c>
      <c r="BC316" s="1">
        <v>0</v>
      </c>
      <c r="BD316" s="1">
        <v>0</v>
      </c>
      <c r="BE316" s="54">
        <v>0</v>
      </c>
      <c r="BF316" s="6">
        <v>20</v>
      </c>
      <c r="BG316" s="6">
        <v>17</v>
      </c>
      <c r="BH316" s="1">
        <v>0</v>
      </c>
      <c r="BI316" s="6">
        <v>0</v>
      </c>
      <c r="BJ316" s="1" t="s">
        <v>22</v>
      </c>
      <c r="BK316" s="6">
        <v>0</v>
      </c>
      <c r="BL316" s="6">
        <v>0</v>
      </c>
      <c r="BM316" s="1">
        <v>0</v>
      </c>
      <c r="BN316" t="s">
        <v>24</v>
      </c>
      <c r="BO316">
        <v>1071</v>
      </c>
    </row>
    <row r="317" spans="1:67" x14ac:dyDescent="0.3">
      <c r="A317" s="4">
        <f>INT(Tabela1[[#This Row],[Data e Hora]])</f>
        <v>46295</v>
      </c>
      <c r="B317" s="4" t="str">
        <f>UPPER(TEXT(Tabela1[[#This Row],[Data Corrigida]],"MMM"))</f>
        <v>SET</v>
      </c>
      <c r="C317" t="s">
        <v>928</v>
      </c>
      <c r="D317" t="s">
        <v>929</v>
      </c>
      <c r="E317" t="s">
        <v>926</v>
      </c>
      <c r="F317" t="s">
        <v>19</v>
      </c>
      <c r="G317" s="5" t="s">
        <v>927</v>
      </c>
      <c r="H317" t="s">
        <v>20</v>
      </c>
      <c r="I317" t="s">
        <v>33</v>
      </c>
      <c r="J317" s="1">
        <v>127</v>
      </c>
      <c r="K317" s="1">
        <v>3146</v>
      </c>
      <c r="L317" t="s">
        <v>34</v>
      </c>
      <c r="M317" s="1">
        <v>15</v>
      </c>
      <c r="N317" s="48">
        <v>15</v>
      </c>
      <c r="O317" s="1">
        <v>5</v>
      </c>
      <c r="P317" s="48">
        <v>5</v>
      </c>
      <c r="Q317" s="1">
        <v>0</v>
      </c>
      <c r="R317" s="1">
        <v>0</v>
      </c>
      <c r="S317" s="1">
        <v>3</v>
      </c>
      <c r="T317" s="1">
        <v>3</v>
      </c>
      <c r="U317" s="1">
        <v>2</v>
      </c>
      <c r="V317" s="1">
        <v>2</v>
      </c>
      <c r="W317" s="1">
        <v>0</v>
      </c>
      <c r="X317" s="1">
        <v>0</v>
      </c>
      <c r="Y317" s="1">
        <v>4</v>
      </c>
      <c r="Z317" s="3">
        <v>1.5748031496062991</v>
      </c>
      <c r="AA317" s="1">
        <v>15</v>
      </c>
      <c r="AB317" s="3">
        <v>11.811023622047244</v>
      </c>
      <c r="AC317" s="1">
        <v>0</v>
      </c>
      <c r="AD317" s="3">
        <v>0</v>
      </c>
      <c r="AE317" s="1">
        <v>3</v>
      </c>
      <c r="AF317" s="3">
        <v>2.3622047244094486</v>
      </c>
      <c r="AG317" s="1">
        <v>4</v>
      </c>
      <c r="AH317" s="3">
        <v>3.1496062992125982</v>
      </c>
      <c r="AI317" s="1" t="s">
        <v>22</v>
      </c>
      <c r="AJ317" s="1">
        <v>1</v>
      </c>
      <c r="AK317" s="3">
        <v>0.78740157480314954</v>
      </c>
      <c r="AL317" s="1">
        <v>0</v>
      </c>
      <c r="AM317" s="3">
        <v>0</v>
      </c>
      <c r="AN317" s="1" t="s">
        <v>22</v>
      </c>
      <c r="AO317" s="1">
        <v>3</v>
      </c>
      <c r="AP317" s="3">
        <v>2.3622047244094486</v>
      </c>
      <c r="AQ317" s="3">
        <v>2</v>
      </c>
      <c r="AR317" s="3">
        <v>1.5748031496062991</v>
      </c>
      <c r="AS317" s="1">
        <v>4</v>
      </c>
      <c r="AT317" s="3">
        <v>3.1496062992125982</v>
      </c>
      <c r="AU317" s="1">
        <v>0</v>
      </c>
      <c r="AV317" s="3">
        <v>0</v>
      </c>
      <c r="AW317" s="1" t="s">
        <v>22</v>
      </c>
      <c r="AX317" s="1">
        <v>19</v>
      </c>
      <c r="AY317" s="1">
        <v>0</v>
      </c>
      <c r="AZ317" s="1">
        <v>0</v>
      </c>
      <c r="BA317" s="1">
        <v>38</v>
      </c>
      <c r="BB317" s="1">
        <v>0</v>
      </c>
      <c r="BC317" s="1">
        <v>0</v>
      </c>
      <c r="BD317" s="1">
        <v>0</v>
      </c>
      <c r="BE317" s="54">
        <v>0</v>
      </c>
      <c r="BF317" s="6">
        <v>27</v>
      </c>
      <c r="BG317" s="6">
        <v>14</v>
      </c>
      <c r="BH317" s="1">
        <v>0</v>
      </c>
      <c r="BI317" s="6">
        <v>0</v>
      </c>
      <c r="BJ317" s="1" t="s">
        <v>22</v>
      </c>
      <c r="BK317" s="6">
        <v>0</v>
      </c>
      <c r="BL317" s="6">
        <v>0</v>
      </c>
      <c r="BM317" s="1">
        <v>0</v>
      </c>
      <c r="BN317" t="s">
        <v>24</v>
      </c>
      <c r="BO317">
        <v>8188</v>
      </c>
    </row>
    <row r="318" spans="1:67" x14ac:dyDescent="0.3">
      <c r="A318" s="4">
        <f>INT(Tabela1[[#This Row],[Data e Hora]])</f>
        <v>46295</v>
      </c>
      <c r="B318" s="4" t="str">
        <f>UPPER(TEXT(Tabela1[[#This Row],[Data Corrigida]],"MMM"))</f>
        <v>SET</v>
      </c>
      <c r="C318" t="s">
        <v>930</v>
      </c>
      <c r="D318" t="s">
        <v>931</v>
      </c>
      <c r="E318" t="s">
        <v>932</v>
      </c>
      <c r="F318" t="s">
        <v>19</v>
      </c>
      <c r="G318" s="5" t="s">
        <v>927</v>
      </c>
      <c r="H318" t="s">
        <v>20</v>
      </c>
      <c r="I318" t="s">
        <v>33</v>
      </c>
      <c r="J318" s="1">
        <v>133</v>
      </c>
      <c r="K318" s="1">
        <v>2751</v>
      </c>
      <c r="L318" t="s">
        <v>34</v>
      </c>
      <c r="M318" s="1">
        <v>20</v>
      </c>
      <c r="N318" s="48">
        <v>20</v>
      </c>
      <c r="O318" s="1">
        <v>8</v>
      </c>
      <c r="P318" s="48">
        <v>8</v>
      </c>
      <c r="Q318" s="1">
        <v>0</v>
      </c>
      <c r="R318" s="1">
        <v>0</v>
      </c>
      <c r="S318" s="1">
        <v>1</v>
      </c>
      <c r="T318" s="1">
        <v>1</v>
      </c>
      <c r="U318" s="1">
        <v>0</v>
      </c>
      <c r="V318" s="1">
        <v>0</v>
      </c>
      <c r="W318" s="1">
        <v>0</v>
      </c>
      <c r="X318" s="1">
        <v>0</v>
      </c>
      <c r="Y318" s="1">
        <v>4</v>
      </c>
      <c r="Z318" s="3">
        <v>1.5037593984962405</v>
      </c>
      <c r="AA318" s="1">
        <v>4</v>
      </c>
      <c r="AB318" s="3">
        <v>3.007518796992481</v>
      </c>
      <c r="AC318" s="1">
        <v>0</v>
      </c>
      <c r="AD318" s="3">
        <v>0</v>
      </c>
      <c r="AE318" s="1">
        <v>1</v>
      </c>
      <c r="AF318" s="3">
        <v>0.75187969924812026</v>
      </c>
      <c r="AG318" s="1">
        <v>1</v>
      </c>
      <c r="AH318" s="3">
        <v>0.75187969924812026</v>
      </c>
      <c r="AI318" s="1" t="s">
        <v>22</v>
      </c>
      <c r="AJ318" s="1">
        <v>0</v>
      </c>
      <c r="AK318" s="3">
        <v>0</v>
      </c>
      <c r="AL318" s="1">
        <v>0</v>
      </c>
      <c r="AM318" s="3">
        <v>0</v>
      </c>
      <c r="AN318" s="1" t="s">
        <v>22</v>
      </c>
      <c r="AO318" s="1">
        <v>7</v>
      </c>
      <c r="AP318" s="3">
        <v>5.2631578947368416</v>
      </c>
      <c r="AQ318" s="3">
        <v>6</v>
      </c>
      <c r="AR318" s="3">
        <v>4.5112781954887211</v>
      </c>
      <c r="AS318" s="1">
        <v>4</v>
      </c>
      <c r="AT318" s="3">
        <v>3.007518796992481</v>
      </c>
      <c r="AU318" s="1">
        <v>0</v>
      </c>
      <c r="AV318" s="3">
        <v>0</v>
      </c>
      <c r="AW318" s="1" t="s">
        <v>22</v>
      </c>
      <c r="AX318" s="1">
        <v>16</v>
      </c>
      <c r="AY318" s="1">
        <v>0</v>
      </c>
      <c r="AZ318" s="1">
        <v>0</v>
      </c>
      <c r="BA318" s="1">
        <v>32</v>
      </c>
      <c r="BB318" s="1">
        <v>0</v>
      </c>
      <c r="BC318" s="1">
        <v>0</v>
      </c>
      <c r="BD318" s="1">
        <v>4</v>
      </c>
      <c r="BE318" s="54">
        <v>3.007518796992481</v>
      </c>
      <c r="BF318" s="6">
        <v>20</v>
      </c>
      <c r="BG318" s="6">
        <v>17</v>
      </c>
      <c r="BH318" s="1">
        <v>0</v>
      </c>
      <c r="BI318" s="6">
        <v>0</v>
      </c>
      <c r="BJ318" s="1" t="s">
        <v>22</v>
      </c>
      <c r="BK318" s="6">
        <v>1</v>
      </c>
      <c r="BL318" s="6">
        <v>0</v>
      </c>
      <c r="BM318" s="1">
        <v>0</v>
      </c>
      <c r="BN318" t="s">
        <v>24</v>
      </c>
      <c r="BO318">
        <v>11301</v>
      </c>
    </row>
    <row r="319" spans="1:67" x14ac:dyDescent="0.3">
      <c r="A319" s="4">
        <f>INT(Tabela1[[#This Row],[Data e Hora]])</f>
        <v>46295</v>
      </c>
      <c r="B319" s="4" t="str">
        <f>UPPER(TEXT(Tabela1[[#This Row],[Data Corrigida]],"MMM"))</f>
        <v>SET</v>
      </c>
      <c r="C319" t="s">
        <v>933</v>
      </c>
      <c r="D319" t="s">
        <v>934</v>
      </c>
      <c r="E319" t="s">
        <v>935</v>
      </c>
      <c r="F319" t="s">
        <v>19</v>
      </c>
      <c r="G319" s="5" t="s">
        <v>927</v>
      </c>
      <c r="H319" t="s">
        <v>20</v>
      </c>
      <c r="I319" t="s">
        <v>21</v>
      </c>
      <c r="J319" s="1">
        <v>161</v>
      </c>
      <c r="K319" s="1">
        <v>2943</v>
      </c>
      <c r="L319" t="s">
        <v>23</v>
      </c>
      <c r="M319" s="1">
        <v>35</v>
      </c>
      <c r="N319" s="48">
        <v>35</v>
      </c>
      <c r="O319" s="1">
        <v>20</v>
      </c>
      <c r="P319" s="48">
        <v>20</v>
      </c>
      <c r="Q319" s="1">
        <v>0</v>
      </c>
      <c r="R319" s="1">
        <v>0</v>
      </c>
      <c r="S319" s="1">
        <v>3</v>
      </c>
      <c r="T319" s="1">
        <v>3</v>
      </c>
      <c r="U319" s="1">
        <v>1</v>
      </c>
      <c r="V319" s="1">
        <v>1</v>
      </c>
      <c r="W319" s="1">
        <v>0</v>
      </c>
      <c r="X319" s="1">
        <v>0</v>
      </c>
      <c r="Y319" s="1">
        <v>2</v>
      </c>
      <c r="Z319" s="3">
        <v>0.6211180124223602</v>
      </c>
      <c r="AA319" s="1">
        <v>3</v>
      </c>
      <c r="AB319" s="3">
        <v>1.8633540372670807</v>
      </c>
      <c r="AC319" s="1">
        <v>0</v>
      </c>
      <c r="AD319" s="3">
        <v>0</v>
      </c>
      <c r="AE319" s="1">
        <v>1</v>
      </c>
      <c r="AF319" s="3">
        <v>0.6211180124223602</v>
      </c>
      <c r="AG319" s="1">
        <v>5</v>
      </c>
      <c r="AH319" s="3">
        <v>3.1055900621118013</v>
      </c>
      <c r="AI319" s="1" t="s">
        <v>22</v>
      </c>
      <c r="AJ319" s="1">
        <v>3</v>
      </c>
      <c r="AK319" s="3">
        <v>1.8633540372670807</v>
      </c>
      <c r="AL319" s="1">
        <v>2</v>
      </c>
      <c r="AM319" s="3">
        <v>1.2422360248447204</v>
      </c>
      <c r="AN319" s="1" t="s">
        <v>22</v>
      </c>
      <c r="AO319" s="1">
        <v>6</v>
      </c>
      <c r="AP319" s="3">
        <v>3.7267080745341614</v>
      </c>
      <c r="AQ319" s="3">
        <v>1</v>
      </c>
      <c r="AR319" s="3">
        <v>0.6211180124223602</v>
      </c>
      <c r="AS319" s="1">
        <v>7</v>
      </c>
      <c r="AT319" s="3">
        <v>4.3478260869565215</v>
      </c>
      <c r="AU319" s="1">
        <v>1</v>
      </c>
      <c r="AV319" s="3">
        <v>0.6211180124223602</v>
      </c>
      <c r="AW319" s="1" t="s">
        <v>22</v>
      </c>
      <c r="AX319" s="1">
        <v>19</v>
      </c>
      <c r="AY319" s="1">
        <v>0</v>
      </c>
      <c r="AZ319" s="1">
        <v>0</v>
      </c>
      <c r="BA319" s="1">
        <v>38</v>
      </c>
      <c r="BB319" s="1">
        <v>0</v>
      </c>
      <c r="BC319" s="1">
        <v>0</v>
      </c>
      <c r="BD319" s="1">
        <v>0</v>
      </c>
      <c r="BE319" s="54">
        <v>0</v>
      </c>
      <c r="BF319" s="6">
        <v>21</v>
      </c>
      <c r="BG319" s="6">
        <v>16</v>
      </c>
      <c r="BH319" s="1">
        <v>1</v>
      </c>
      <c r="BI319" s="6">
        <v>10</v>
      </c>
      <c r="BJ319" s="1" t="s">
        <v>22</v>
      </c>
      <c r="BK319" s="1" t="s">
        <v>22</v>
      </c>
      <c r="BL319" s="1" t="s">
        <v>22</v>
      </c>
      <c r="BM319" s="1" t="s">
        <v>22</v>
      </c>
      <c r="BN319" t="s">
        <v>24</v>
      </c>
      <c r="BO319">
        <v>1416</v>
      </c>
    </row>
    <row r="320" spans="1:67" x14ac:dyDescent="0.3">
      <c r="A320" s="4">
        <f>INT(Tabela1[[#This Row],[Data e Hora]])</f>
        <v>46295</v>
      </c>
      <c r="B320" s="4" t="str">
        <f>UPPER(TEXT(Tabela1[[#This Row],[Data Corrigida]],"MMM"))</f>
        <v>SET</v>
      </c>
      <c r="C320" t="s">
        <v>936</v>
      </c>
      <c r="D320" t="s">
        <v>937</v>
      </c>
      <c r="E320" t="s">
        <v>935</v>
      </c>
      <c r="F320" t="s">
        <v>19</v>
      </c>
      <c r="G320" s="5" t="s">
        <v>927</v>
      </c>
      <c r="H320" t="s">
        <v>20</v>
      </c>
      <c r="I320" t="s">
        <v>21</v>
      </c>
      <c r="J320" s="1">
        <v>160</v>
      </c>
      <c r="K320" s="1">
        <v>2775</v>
      </c>
      <c r="L320" t="s">
        <v>23</v>
      </c>
      <c r="M320" s="1">
        <v>49</v>
      </c>
      <c r="N320" s="48">
        <v>49</v>
      </c>
      <c r="O320" s="1">
        <v>31</v>
      </c>
      <c r="P320" s="48">
        <v>31</v>
      </c>
      <c r="Q320" s="1">
        <v>0</v>
      </c>
      <c r="R320" s="1">
        <v>0</v>
      </c>
      <c r="S320" s="1">
        <v>2</v>
      </c>
      <c r="T320" s="1">
        <v>2</v>
      </c>
      <c r="U320" s="1">
        <v>1</v>
      </c>
      <c r="V320" s="1">
        <v>1</v>
      </c>
      <c r="W320" s="1">
        <v>0</v>
      </c>
      <c r="X320" s="1">
        <v>0</v>
      </c>
      <c r="Y320" s="1">
        <v>5</v>
      </c>
      <c r="Z320" s="3">
        <v>1.5625</v>
      </c>
      <c r="AA320" s="1">
        <v>2</v>
      </c>
      <c r="AB320" s="3">
        <v>1.25</v>
      </c>
      <c r="AC320" s="1">
        <v>0</v>
      </c>
      <c r="AD320" s="3">
        <v>0</v>
      </c>
      <c r="AE320" s="1">
        <v>3</v>
      </c>
      <c r="AF320" s="3">
        <v>1.875</v>
      </c>
      <c r="AG320" s="1">
        <v>5</v>
      </c>
      <c r="AH320" s="3">
        <v>3.125</v>
      </c>
      <c r="AI320" s="1" t="s">
        <v>22</v>
      </c>
      <c r="AJ320" s="1">
        <v>3</v>
      </c>
      <c r="AK320" s="3">
        <v>1.875</v>
      </c>
      <c r="AL320" s="1">
        <v>3</v>
      </c>
      <c r="AM320" s="3">
        <v>1.875</v>
      </c>
      <c r="AN320" s="1" t="s">
        <v>22</v>
      </c>
      <c r="AO320" s="1">
        <v>7</v>
      </c>
      <c r="AP320" s="3">
        <v>4.375</v>
      </c>
      <c r="AQ320" s="3">
        <v>2</v>
      </c>
      <c r="AR320" s="3">
        <v>1.25</v>
      </c>
      <c r="AS320" s="1">
        <v>8</v>
      </c>
      <c r="AT320" s="3">
        <v>5</v>
      </c>
      <c r="AU320" s="1">
        <v>1</v>
      </c>
      <c r="AV320" s="3">
        <v>0.625</v>
      </c>
      <c r="AW320" s="1" t="s">
        <v>22</v>
      </c>
      <c r="AX320" s="1">
        <v>20</v>
      </c>
      <c r="AY320" s="1">
        <v>0</v>
      </c>
      <c r="AZ320" s="1">
        <v>0</v>
      </c>
      <c r="BA320" s="1">
        <v>40</v>
      </c>
      <c r="BB320" s="1">
        <v>0</v>
      </c>
      <c r="BC320" s="1">
        <v>0</v>
      </c>
      <c r="BD320" s="1">
        <v>0</v>
      </c>
      <c r="BE320" s="54">
        <v>0</v>
      </c>
      <c r="BF320" s="6">
        <v>19</v>
      </c>
      <c r="BG320" s="6">
        <v>17</v>
      </c>
      <c r="BH320" s="1">
        <v>1</v>
      </c>
      <c r="BI320" s="6">
        <v>10</v>
      </c>
      <c r="BJ320" s="1" t="s">
        <v>22</v>
      </c>
      <c r="BK320" s="6">
        <v>0</v>
      </c>
      <c r="BL320" s="6">
        <v>0</v>
      </c>
      <c r="BM320" s="1">
        <v>2</v>
      </c>
      <c r="BN320" t="s">
        <v>24</v>
      </c>
      <c r="BO320">
        <v>1721</v>
      </c>
    </row>
    <row r="321" spans="1:67" x14ac:dyDescent="0.3">
      <c r="A321" s="4">
        <f>INT(Tabela1[[#This Row],[Data e Hora]])</f>
        <v>46295</v>
      </c>
      <c r="B321" s="4" t="str">
        <f>UPPER(TEXT(Tabela1[[#This Row],[Data Corrigida]],"MMM"))</f>
        <v>SET</v>
      </c>
      <c r="C321" t="s">
        <v>938</v>
      </c>
      <c r="D321" t="s">
        <v>939</v>
      </c>
      <c r="E321" t="s">
        <v>935</v>
      </c>
      <c r="F321" t="s">
        <v>19</v>
      </c>
      <c r="G321" s="5" t="s">
        <v>927</v>
      </c>
      <c r="H321" t="s">
        <v>20</v>
      </c>
      <c r="I321" t="s">
        <v>21</v>
      </c>
      <c r="J321" s="1">
        <v>135</v>
      </c>
      <c r="K321" s="1">
        <v>2861</v>
      </c>
      <c r="L321" t="s">
        <v>23</v>
      </c>
      <c r="M321" s="1">
        <v>31</v>
      </c>
      <c r="N321" s="48">
        <v>31</v>
      </c>
      <c r="O321" s="1">
        <v>14</v>
      </c>
      <c r="P321" s="48">
        <v>14.000000000000002</v>
      </c>
      <c r="Q321" s="1">
        <v>0</v>
      </c>
      <c r="R321" s="1">
        <v>0</v>
      </c>
      <c r="S321" s="1">
        <v>1</v>
      </c>
      <c r="T321" s="1">
        <v>1</v>
      </c>
      <c r="U321" s="1">
        <v>0</v>
      </c>
      <c r="V321" s="1">
        <v>0</v>
      </c>
      <c r="W321" s="1">
        <v>0</v>
      </c>
      <c r="X321" s="1">
        <v>0</v>
      </c>
      <c r="Y321" s="1">
        <v>1</v>
      </c>
      <c r="Z321" s="3">
        <v>0.37037037037037041</v>
      </c>
      <c r="AA321" s="1">
        <v>3</v>
      </c>
      <c r="AB321" s="3">
        <v>2.2222222222222223</v>
      </c>
      <c r="AC321" s="1">
        <v>1</v>
      </c>
      <c r="AD321" s="3">
        <v>0.74074074074074081</v>
      </c>
      <c r="AE321" s="1">
        <v>1</v>
      </c>
      <c r="AF321" s="3">
        <v>0.74074074074074081</v>
      </c>
      <c r="AG321" s="1">
        <v>5</v>
      </c>
      <c r="AH321" s="3">
        <v>3.7037037037037033</v>
      </c>
      <c r="AI321" s="1" t="s">
        <v>22</v>
      </c>
      <c r="AJ321" s="1">
        <v>3</v>
      </c>
      <c r="AK321" s="3">
        <v>2.2222222222222223</v>
      </c>
      <c r="AL321" s="1">
        <v>1</v>
      </c>
      <c r="AM321" s="3">
        <v>0.74074074074074081</v>
      </c>
      <c r="AN321" s="1" t="s">
        <v>22</v>
      </c>
      <c r="AO321" s="1">
        <v>5</v>
      </c>
      <c r="AP321" s="3">
        <v>3.7037037037037033</v>
      </c>
      <c r="AQ321" s="3">
        <v>1</v>
      </c>
      <c r="AR321" s="3">
        <v>0.74074074074074081</v>
      </c>
      <c r="AS321" s="1">
        <v>6</v>
      </c>
      <c r="AT321" s="3">
        <v>4.4444444444444446</v>
      </c>
      <c r="AU321" s="1">
        <v>1</v>
      </c>
      <c r="AV321" s="3">
        <v>0.74074074074074081</v>
      </c>
      <c r="AW321" s="1" t="s">
        <v>22</v>
      </c>
      <c r="AX321" s="1">
        <v>21</v>
      </c>
      <c r="AY321" s="1">
        <v>0</v>
      </c>
      <c r="AZ321" s="1">
        <v>0</v>
      </c>
      <c r="BA321" s="1">
        <v>42</v>
      </c>
      <c r="BB321" s="1">
        <v>0</v>
      </c>
      <c r="BC321" s="1">
        <v>0</v>
      </c>
      <c r="BD321" s="1">
        <v>0</v>
      </c>
      <c r="BE321" s="54">
        <v>0</v>
      </c>
      <c r="BF321" s="6">
        <v>20</v>
      </c>
      <c r="BG321" s="6">
        <v>27</v>
      </c>
      <c r="BH321" s="1">
        <v>1</v>
      </c>
      <c r="BI321" s="6">
        <v>10</v>
      </c>
      <c r="BJ321" s="1" t="s">
        <v>22</v>
      </c>
      <c r="BK321" s="6">
        <v>0</v>
      </c>
      <c r="BL321" s="6">
        <v>0</v>
      </c>
      <c r="BM321" s="1">
        <v>1</v>
      </c>
      <c r="BN321" t="s">
        <v>24</v>
      </c>
      <c r="BO321">
        <v>2325</v>
      </c>
    </row>
    <row r="322" spans="1:67" x14ac:dyDescent="0.3">
      <c r="A322" s="4">
        <f>INT(Tabela1[[#This Row],[Data e Hora]])</f>
        <v>46295</v>
      </c>
      <c r="B322" s="4" t="str">
        <f>UPPER(TEXT(Tabela1[[#This Row],[Data Corrigida]],"MMM"))</f>
        <v>SET</v>
      </c>
      <c r="C322" t="s">
        <v>940</v>
      </c>
      <c r="D322" t="s">
        <v>941</v>
      </c>
      <c r="E322" t="s">
        <v>942</v>
      </c>
      <c r="F322" t="s">
        <v>19</v>
      </c>
      <c r="G322" s="5" t="s">
        <v>927</v>
      </c>
      <c r="H322" t="s">
        <v>20</v>
      </c>
      <c r="I322" t="s">
        <v>21</v>
      </c>
      <c r="J322" s="1">
        <v>146</v>
      </c>
      <c r="K322" s="1">
        <v>2949</v>
      </c>
      <c r="L322" t="s">
        <v>23</v>
      </c>
      <c r="M322" s="1">
        <v>29</v>
      </c>
      <c r="N322" s="48">
        <v>28.999999999999996</v>
      </c>
      <c r="O322" s="1">
        <v>11</v>
      </c>
      <c r="P322" s="48">
        <v>11</v>
      </c>
      <c r="Q322" s="1">
        <v>0</v>
      </c>
      <c r="R322" s="1">
        <v>0</v>
      </c>
      <c r="S322" s="1">
        <v>3</v>
      </c>
      <c r="T322" s="1">
        <v>3</v>
      </c>
      <c r="U322" s="1">
        <v>1</v>
      </c>
      <c r="V322" s="1">
        <v>1</v>
      </c>
      <c r="W322" s="1">
        <v>0</v>
      </c>
      <c r="X322" s="1">
        <v>0</v>
      </c>
      <c r="Y322" s="1">
        <v>1</v>
      </c>
      <c r="Z322" s="3">
        <v>0.34246575342465752</v>
      </c>
      <c r="AA322" s="1">
        <v>2</v>
      </c>
      <c r="AB322" s="3">
        <v>1.3698630136986301</v>
      </c>
      <c r="AC322" s="1">
        <v>0</v>
      </c>
      <c r="AD322" s="3">
        <v>0</v>
      </c>
      <c r="AE322" s="1">
        <v>1</v>
      </c>
      <c r="AF322" s="3">
        <v>0.68493150684931503</v>
      </c>
      <c r="AG322" s="1">
        <v>5</v>
      </c>
      <c r="AH322" s="3">
        <v>3.4246575342465753</v>
      </c>
      <c r="AI322" s="1" t="s">
        <v>22</v>
      </c>
      <c r="AJ322" s="1">
        <v>2</v>
      </c>
      <c r="AK322" s="3">
        <v>1.3698630136986301</v>
      </c>
      <c r="AL322" s="1">
        <v>2</v>
      </c>
      <c r="AM322" s="3">
        <v>1.3698630136986301</v>
      </c>
      <c r="AN322" s="1" t="s">
        <v>22</v>
      </c>
      <c r="AO322" s="1">
        <v>6</v>
      </c>
      <c r="AP322" s="3">
        <v>4.10958904109589</v>
      </c>
      <c r="AQ322" s="3">
        <v>1</v>
      </c>
      <c r="AR322" s="3">
        <v>0.68493150684931503</v>
      </c>
      <c r="AS322" s="1">
        <v>6</v>
      </c>
      <c r="AT322" s="3">
        <v>4.10958904109589</v>
      </c>
      <c r="AU322" s="1">
        <v>1</v>
      </c>
      <c r="AV322" s="3">
        <v>0.68493150684931503</v>
      </c>
      <c r="AW322" s="1" t="s">
        <v>22</v>
      </c>
      <c r="AX322" s="1">
        <v>18</v>
      </c>
      <c r="AY322" s="1">
        <v>0</v>
      </c>
      <c r="AZ322" s="1">
        <v>0</v>
      </c>
      <c r="BA322" s="1">
        <v>36</v>
      </c>
      <c r="BB322" s="1">
        <v>0</v>
      </c>
      <c r="BC322" s="1">
        <v>0</v>
      </c>
      <c r="BD322" s="1">
        <v>0</v>
      </c>
      <c r="BE322" s="54">
        <v>0</v>
      </c>
      <c r="BF322" s="6">
        <v>17</v>
      </c>
      <c r="BG322" s="6">
        <v>23</v>
      </c>
      <c r="BH322" s="1">
        <v>1</v>
      </c>
      <c r="BI322" s="6">
        <v>10</v>
      </c>
      <c r="BJ322" s="1" t="s">
        <v>22</v>
      </c>
      <c r="BK322" s="1" t="s">
        <v>22</v>
      </c>
      <c r="BL322" s="1" t="s">
        <v>22</v>
      </c>
      <c r="BM322" s="1" t="s">
        <v>22</v>
      </c>
      <c r="BN322" t="s">
        <v>24</v>
      </c>
      <c r="BO322">
        <v>1752</v>
      </c>
    </row>
    <row r="323" spans="1:67" x14ac:dyDescent="0.3">
      <c r="A323" s="4">
        <f>INT(Tabela1[[#This Row],[Data e Hora]])</f>
        <v>46296</v>
      </c>
      <c r="B323" s="4" t="str">
        <f>UPPER(TEXT(Tabela1[[#This Row],[Data Corrigida]],"MMM"))</f>
        <v>OUT</v>
      </c>
      <c r="C323" s="57" t="s">
        <v>943</v>
      </c>
      <c r="D323" t="s">
        <v>944</v>
      </c>
      <c r="E323" t="s">
        <v>945</v>
      </c>
      <c r="F323" t="s">
        <v>19</v>
      </c>
      <c r="G323" s="5" t="s">
        <v>946</v>
      </c>
      <c r="H323" t="s">
        <v>20</v>
      </c>
      <c r="I323" t="s">
        <v>33</v>
      </c>
      <c r="J323" s="1">
        <v>156</v>
      </c>
      <c r="K323" s="1">
        <v>2978</v>
      </c>
      <c r="L323" t="s">
        <v>34</v>
      </c>
      <c r="M323" s="1">
        <v>20</v>
      </c>
      <c r="N323" s="48">
        <v>20</v>
      </c>
      <c r="O323" s="1">
        <v>6</v>
      </c>
      <c r="P323" s="48">
        <v>6</v>
      </c>
      <c r="Q323" s="1">
        <v>0</v>
      </c>
      <c r="R323" s="1">
        <v>0</v>
      </c>
      <c r="S323" s="1">
        <v>3</v>
      </c>
      <c r="T323" s="1">
        <v>3</v>
      </c>
      <c r="U323" s="1">
        <v>1</v>
      </c>
      <c r="V323" s="1">
        <v>1</v>
      </c>
      <c r="W323" s="1">
        <v>0</v>
      </c>
      <c r="X323" s="1">
        <v>0</v>
      </c>
      <c r="Y323" s="1">
        <v>3</v>
      </c>
      <c r="Z323" s="3">
        <v>0.96153846153846156</v>
      </c>
      <c r="AA323" s="1">
        <v>2</v>
      </c>
      <c r="AB323" s="3">
        <v>1.2820512820512819</v>
      </c>
      <c r="AC323" s="1">
        <v>0</v>
      </c>
      <c r="AD323" s="3">
        <v>0</v>
      </c>
      <c r="AE323" s="1">
        <v>4</v>
      </c>
      <c r="AF323" s="3">
        <v>2.5641025641025639</v>
      </c>
      <c r="AG323" s="1">
        <v>2</v>
      </c>
      <c r="AH323" s="3">
        <v>1.2820512820512819</v>
      </c>
      <c r="AI323" s="1" t="s">
        <v>22</v>
      </c>
      <c r="AJ323" s="1">
        <v>0</v>
      </c>
      <c r="AK323" s="3">
        <v>0</v>
      </c>
      <c r="AL323" s="1">
        <v>0</v>
      </c>
      <c r="AM323" s="3">
        <v>0</v>
      </c>
      <c r="AN323" s="1" t="s">
        <v>22</v>
      </c>
      <c r="AO323" s="1">
        <v>5</v>
      </c>
      <c r="AP323" s="3">
        <v>3.2051282051282048</v>
      </c>
      <c r="AQ323" s="3">
        <v>6</v>
      </c>
      <c r="AR323" s="3">
        <v>3.8461538461538463</v>
      </c>
      <c r="AS323" s="1">
        <v>6</v>
      </c>
      <c r="AT323" s="3">
        <v>3.8461538461538463</v>
      </c>
      <c r="AU323" s="1">
        <v>0</v>
      </c>
      <c r="AV323" s="3">
        <v>0</v>
      </c>
      <c r="AW323" s="1" t="s">
        <v>22</v>
      </c>
      <c r="AX323" s="1">
        <v>16</v>
      </c>
      <c r="AY323" s="1">
        <v>0</v>
      </c>
      <c r="AZ323" s="1">
        <v>0</v>
      </c>
      <c r="BA323" s="1">
        <v>32</v>
      </c>
      <c r="BB323" s="1">
        <v>0</v>
      </c>
      <c r="BC323" s="1">
        <v>0</v>
      </c>
      <c r="BD323" s="1">
        <v>0</v>
      </c>
      <c r="BE323" s="54">
        <v>0</v>
      </c>
      <c r="BF323" s="6">
        <v>20</v>
      </c>
      <c r="BG323" s="6">
        <v>18</v>
      </c>
      <c r="BH323" s="1">
        <v>0</v>
      </c>
      <c r="BI323" s="6">
        <v>0</v>
      </c>
      <c r="BJ323" s="1" t="s">
        <v>22</v>
      </c>
      <c r="BK323" s="6">
        <v>0</v>
      </c>
      <c r="BL323" s="6">
        <v>0</v>
      </c>
      <c r="BM323" s="1">
        <v>0</v>
      </c>
      <c r="BN323" t="s">
        <v>24</v>
      </c>
      <c r="BO323">
        <v>3187</v>
      </c>
    </row>
    <row r="324" spans="1:67" x14ac:dyDescent="0.3">
      <c r="A324" s="4">
        <f>INT(Tabela1[[#This Row],[Data e Hora]])</f>
        <v>46296</v>
      </c>
      <c r="B324" s="4" t="str">
        <f>UPPER(TEXT(Tabela1[[#This Row],[Data Corrigida]],"MMM"))</f>
        <v>OUT</v>
      </c>
      <c r="C324" t="s">
        <v>947</v>
      </c>
      <c r="D324" t="s">
        <v>948</v>
      </c>
      <c r="E324" t="s">
        <v>945</v>
      </c>
      <c r="F324" t="s">
        <v>19</v>
      </c>
      <c r="G324" s="5" t="s">
        <v>946</v>
      </c>
      <c r="H324" t="s">
        <v>20</v>
      </c>
      <c r="I324" t="s">
        <v>33</v>
      </c>
      <c r="J324" s="1">
        <v>140</v>
      </c>
      <c r="K324" s="1">
        <v>3071</v>
      </c>
      <c r="L324" t="s">
        <v>34</v>
      </c>
      <c r="M324" s="1">
        <v>10</v>
      </c>
      <c r="N324" s="48">
        <v>10</v>
      </c>
      <c r="O324" s="1">
        <v>6</v>
      </c>
      <c r="P324" s="48">
        <v>6</v>
      </c>
      <c r="Q324" s="1">
        <v>0</v>
      </c>
      <c r="R324" s="1">
        <v>0</v>
      </c>
      <c r="S324" s="1">
        <v>3</v>
      </c>
      <c r="T324" s="1">
        <v>3</v>
      </c>
      <c r="U324" s="1">
        <v>1</v>
      </c>
      <c r="V324" s="1">
        <v>1</v>
      </c>
      <c r="W324" s="1">
        <v>1</v>
      </c>
      <c r="X324" s="1">
        <v>5</v>
      </c>
      <c r="Y324" s="1">
        <v>4</v>
      </c>
      <c r="Z324" s="3">
        <v>1.4285714285714286</v>
      </c>
      <c r="AA324" s="1">
        <v>3</v>
      </c>
      <c r="AB324" s="3">
        <v>2.1428571428571428</v>
      </c>
      <c r="AC324" s="1">
        <v>0</v>
      </c>
      <c r="AD324" s="3">
        <v>0</v>
      </c>
      <c r="AE324" s="1">
        <v>1</v>
      </c>
      <c r="AF324" s="3">
        <v>0.7142857142857143</v>
      </c>
      <c r="AG324" s="1">
        <v>2</v>
      </c>
      <c r="AH324" s="3">
        <v>1.4285714285714286</v>
      </c>
      <c r="AI324" s="1" t="s">
        <v>22</v>
      </c>
      <c r="AJ324" s="1">
        <v>0</v>
      </c>
      <c r="AK324" s="3">
        <v>0</v>
      </c>
      <c r="AL324" s="1">
        <v>0</v>
      </c>
      <c r="AM324" s="3">
        <v>0</v>
      </c>
      <c r="AN324" s="1" t="s">
        <v>22</v>
      </c>
      <c r="AO324" s="1">
        <v>5</v>
      </c>
      <c r="AP324" s="3">
        <v>3.5714285714285712</v>
      </c>
      <c r="AQ324" s="3">
        <v>5</v>
      </c>
      <c r="AR324" s="3">
        <v>3.5714285714285712</v>
      </c>
      <c r="AS324" s="1">
        <v>8</v>
      </c>
      <c r="AT324" s="3">
        <v>5.7142857142857144</v>
      </c>
      <c r="AU324" s="1">
        <v>0</v>
      </c>
      <c r="AV324" s="3">
        <v>0</v>
      </c>
      <c r="AW324" s="1" t="s">
        <v>22</v>
      </c>
      <c r="AX324" s="1">
        <v>19</v>
      </c>
      <c r="AY324" s="1">
        <v>0</v>
      </c>
      <c r="AZ324" s="1">
        <v>0</v>
      </c>
      <c r="BA324" s="1">
        <v>38</v>
      </c>
      <c r="BB324" s="1">
        <v>0</v>
      </c>
      <c r="BC324" s="1">
        <v>0</v>
      </c>
      <c r="BD324" s="1">
        <v>1</v>
      </c>
      <c r="BE324" s="54">
        <v>0.7142857142857143</v>
      </c>
      <c r="BF324" s="6">
        <v>21</v>
      </c>
      <c r="BG324" s="6">
        <v>18</v>
      </c>
      <c r="BH324" s="1">
        <v>0</v>
      </c>
      <c r="BI324" s="6">
        <v>0</v>
      </c>
      <c r="BJ324" s="1" t="s">
        <v>22</v>
      </c>
      <c r="BK324" s="6">
        <v>4</v>
      </c>
      <c r="BL324" s="6">
        <v>0</v>
      </c>
      <c r="BM324" s="1">
        <v>0</v>
      </c>
      <c r="BN324" t="s">
        <v>24</v>
      </c>
      <c r="BO324">
        <v>9122</v>
      </c>
    </row>
    <row r="325" spans="1:67" x14ac:dyDescent="0.3">
      <c r="A325" s="4">
        <f>INT(Tabela1[[#This Row],[Data e Hora]])</f>
        <v>46296</v>
      </c>
      <c r="B325" s="4" t="str">
        <f>UPPER(TEXT(Tabela1[[#This Row],[Data Corrigida]],"MMM"))</f>
        <v>OUT</v>
      </c>
      <c r="C325" t="s">
        <v>949</v>
      </c>
      <c r="D325" t="s">
        <v>950</v>
      </c>
      <c r="E325" t="s">
        <v>945</v>
      </c>
      <c r="F325" t="s">
        <v>19</v>
      </c>
      <c r="G325" s="5" t="s">
        <v>946</v>
      </c>
      <c r="H325" t="s">
        <v>20</v>
      </c>
      <c r="I325" t="s">
        <v>33</v>
      </c>
      <c r="J325" s="1">
        <v>99</v>
      </c>
      <c r="K325" s="1">
        <v>3008</v>
      </c>
      <c r="L325" t="s">
        <v>34</v>
      </c>
      <c r="M325" s="1">
        <v>8</v>
      </c>
      <c r="N325" s="48">
        <v>8</v>
      </c>
      <c r="O325" s="1">
        <v>5</v>
      </c>
      <c r="P325" s="48">
        <v>5</v>
      </c>
      <c r="Q325" s="1">
        <v>0</v>
      </c>
      <c r="R325" s="1">
        <v>0</v>
      </c>
      <c r="S325" s="1">
        <v>2</v>
      </c>
      <c r="T325" s="1">
        <v>2</v>
      </c>
      <c r="U325" s="1">
        <v>1</v>
      </c>
      <c r="V325" s="1">
        <v>1</v>
      </c>
      <c r="W325" s="1">
        <v>0</v>
      </c>
      <c r="X325" s="1">
        <v>0</v>
      </c>
      <c r="Y325" s="1">
        <v>5</v>
      </c>
      <c r="Z325" s="3">
        <v>2.5252525252525251</v>
      </c>
      <c r="AA325" s="1">
        <v>1</v>
      </c>
      <c r="AB325" s="3">
        <v>1.0101010101010102</v>
      </c>
      <c r="AC325" s="1">
        <v>0</v>
      </c>
      <c r="AD325" s="3">
        <v>0</v>
      </c>
      <c r="AE325" s="1">
        <v>1</v>
      </c>
      <c r="AF325" s="3">
        <v>1.0101010101010102</v>
      </c>
      <c r="AG325" s="1">
        <v>1</v>
      </c>
      <c r="AH325" s="3">
        <v>1.0101010101010102</v>
      </c>
      <c r="AI325" s="1" t="s">
        <v>22</v>
      </c>
      <c r="AJ325" s="1">
        <v>0</v>
      </c>
      <c r="AK325" s="3">
        <v>0</v>
      </c>
      <c r="AL325" s="1">
        <v>0</v>
      </c>
      <c r="AM325" s="3">
        <v>0</v>
      </c>
      <c r="AN325" s="1" t="s">
        <v>22</v>
      </c>
      <c r="AO325" s="1">
        <v>3</v>
      </c>
      <c r="AP325" s="3">
        <v>3.0303030303030303</v>
      </c>
      <c r="AQ325" s="3">
        <v>5</v>
      </c>
      <c r="AR325" s="3">
        <v>5.0505050505050502</v>
      </c>
      <c r="AS325" s="1">
        <v>4</v>
      </c>
      <c r="AT325" s="3">
        <v>4.0404040404040407</v>
      </c>
      <c r="AU325" s="1">
        <v>0</v>
      </c>
      <c r="AV325" s="3">
        <v>0</v>
      </c>
      <c r="AW325" s="1" t="s">
        <v>22</v>
      </c>
      <c r="AX325" s="1">
        <v>16</v>
      </c>
      <c r="AY325" s="1">
        <v>0</v>
      </c>
      <c r="AZ325" s="1">
        <v>2</v>
      </c>
      <c r="BA325" s="1">
        <v>32</v>
      </c>
      <c r="BB325" s="1">
        <v>0</v>
      </c>
      <c r="BC325" s="1">
        <v>4</v>
      </c>
      <c r="BD325" s="1">
        <v>0</v>
      </c>
      <c r="BE325" s="54">
        <v>0</v>
      </c>
      <c r="BF325" s="6">
        <v>18</v>
      </c>
      <c r="BG325" s="6">
        <v>10</v>
      </c>
      <c r="BH325" s="1">
        <v>0</v>
      </c>
      <c r="BI325" s="6">
        <v>0</v>
      </c>
      <c r="BJ325" s="1" t="s">
        <v>22</v>
      </c>
      <c r="BK325" s="6">
        <v>2</v>
      </c>
      <c r="BL325" s="6">
        <v>0</v>
      </c>
      <c r="BM325" s="1">
        <v>0</v>
      </c>
      <c r="BN325" t="s">
        <v>24</v>
      </c>
      <c r="BO325">
        <v>9337</v>
      </c>
    </row>
    <row r="326" spans="1:67" x14ac:dyDescent="0.3">
      <c r="A326" s="4">
        <f>INT(Tabela1[[#This Row],[Data e Hora]])</f>
        <v>46296</v>
      </c>
      <c r="B326" s="4" t="str">
        <f>UPPER(TEXT(Tabela1[[#This Row],[Data Corrigida]],"MMM"))</f>
        <v>OUT</v>
      </c>
      <c r="C326" t="s">
        <v>951</v>
      </c>
      <c r="D326" t="s">
        <v>952</v>
      </c>
      <c r="E326" t="s">
        <v>953</v>
      </c>
      <c r="F326" t="s">
        <v>19</v>
      </c>
      <c r="G326" s="5" t="s">
        <v>946</v>
      </c>
      <c r="H326" t="s">
        <v>20</v>
      </c>
      <c r="I326" t="s">
        <v>21</v>
      </c>
      <c r="J326" s="1">
        <v>161</v>
      </c>
      <c r="K326" s="1">
        <v>2980</v>
      </c>
      <c r="L326" t="s">
        <v>23</v>
      </c>
      <c r="M326" s="1">
        <v>51</v>
      </c>
      <c r="N326" s="48">
        <v>51</v>
      </c>
      <c r="O326" s="1">
        <v>33</v>
      </c>
      <c r="P326" s="48">
        <v>33</v>
      </c>
      <c r="Q326" s="1">
        <v>0</v>
      </c>
      <c r="R326" s="1">
        <v>0</v>
      </c>
      <c r="S326" s="1">
        <v>1</v>
      </c>
      <c r="T326" s="1">
        <v>1</v>
      </c>
      <c r="U326" s="1">
        <v>1</v>
      </c>
      <c r="V326" s="1">
        <v>1</v>
      </c>
      <c r="W326" s="1">
        <v>0</v>
      </c>
      <c r="X326" s="1">
        <v>0</v>
      </c>
      <c r="Y326" s="1">
        <v>5</v>
      </c>
      <c r="Z326" s="3">
        <v>1.5527950310559007</v>
      </c>
      <c r="AA326" s="1">
        <v>3</v>
      </c>
      <c r="AB326" s="3">
        <v>1.8633540372670807</v>
      </c>
      <c r="AC326" s="1">
        <v>0</v>
      </c>
      <c r="AD326" s="3">
        <v>0</v>
      </c>
      <c r="AE326" s="1">
        <v>1</v>
      </c>
      <c r="AF326" s="3">
        <v>0.6211180124223602</v>
      </c>
      <c r="AG326" s="1">
        <v>7</v>
      </c>
      <c r="AH326" s="3">
        <v>4.3478260869565215</v>
      </c>
      <c r="AI326" s="1" t="s">
        <v>22</v>
      </c>
      <c r="AJ326" s="1">
        <v>3</v>
      </c>
      <c r="AK326" s="3">
        <v>1.8633540372670807</v>
      </c>
      <c r="AL326" s="1">
        <v>3</v>
      </c>
      <c r="AM326" s="3">
        <v>1.8633540372670807</v>
      </c>
      <c r="AN326" s="1" t="s">
        <v>22</v>
      </c>
      <c r="AO326" s="1">
        <v>7</v>
      </c>
      <c r="AP326" s="3">
        <v>4.3478260869565215</v>
      </c>
      <c r="AQ326" s="3">
        <v>3</v>
      </c>
      <c r="AR326" s="3">
        <v>1.8633540372670807</v>
      </c>
      <c r="AS326" s="1">
        <v>8</v>
      </c>
      <c r="AT326" s="3">
        <v>4.9689440993788816</v>
      </c>
      <c r="AU326" s="1">
        <v>1</v>
      </c>
      <c r="AV326" s="3">
        <v>0.6211180124223602</v>
      </c>
      <c r="AW326" s="1" t="s">
        <v>22</v>
      </c>
      <c r="AX326" s="1">
        <v>19</v>
      </c>
      <c r="AY326" s="1">
        <v>0</v>
      </c>
      <c r="AZ326" s="1">
        <v>0</v>
      </c>
      <c r="BA326" s="1">
        <v>38</v>
      </c>
      <c r="BB326" s="1">
        <v>0</v>
      </c>
      <c r="BC326" s="1">
        <v>0</v>
      </c>
      <c r="BD326" s="1">
        <v>1</v>
      </c>
      <c r="BE326" s="54">
        <v>0.6211180124223602</v>
      </c>
      <c r="BF326" s="6">
        <v>20</v>
      </c>
      <c r="BG326" s="6">
        <v>21</v>
      </c>
      <c r="BH326" s="1">
        <v>1</v>
      </c>
      <c r="BI326" s="6">
        <v>10</v>
      </c>
      <c r="BJ326" s="1" t="s">
        <v>22</v>
      </c>
      <c r="BK326" s="6">
        <v>1</v>
      </c>
      <c r="BL326" s="6">
        <v>0</v>
      </c>
      <c r="BM326" s="1">
        <v>1</v>
      </c>
      <c r="BN326" t="s">
        <v>24</v>
      </c>
      <c r="BO326">
        <v>3491</v>
      </c>
    </row>
    <row r="327" spans="1:67" x14ac:dyDescent="0.3">
      <c r="A327" s="4">
        <f>INT(Tabela1[[#This Row],[Data e Hora]])</f>
        <v>46296</v>
      </c>
      <c r="B327" s="4" t="str">
        <f>UPPER(TEXT(Tabela1[[#This Row],[Data Corrigida]],"MMM"))</f>
        <v>OUT</v>
      </c>
      <c r="C327" t="s">
        <v>954</v>
      </c>
      <c r="D327" t="s">
        <v>955</v>
      </c>
      <c r="E327" t="s">
        <v>953</v>
      </c>
      <c r="F327" t="s">
        <v>19</v>
      </c>
      <c r="G327" s="5" t="s">
        <v>946</v>
      </c>
      <c r="H327" t="s">
        <v>20</v>
      </c>
      <c r="I327" t="s">
        <v>21</v>
      </c>
      <c r="J327" s="1">
        <v>161</v>
      </c>
      <c r="K327" s="1">
        <v>2972</v>
      </c>
      <c r="L327" t="s">
        <v>23</v>
      </c>
      <c r="M327" s="1">
        <v>53</v>
      </c>
      <c r="N327" s="48">
        <v>53</v>
      </c>
      <c r="O327" s="1">
        <v>29</v>
      </c>
      <c r="P327" s="48">
        <v>28.999999999999996</v>
      </c>
      <c r="Q327" s="1">
        <v>0</v>
      </c>
      <c r="R327" s="1">
        <v>0</v>
      </c>
      <c r="S327" s="1">
        <v>3</v>
      </c>
      <c r="T327" s="1">
        <v>3</v>
      </c>
      <c r="U327" s="1">
        <v>1</v>
      </c>
      <c r="V327" s="1">
        <v>1</v>
      </c>
      <c r="W327" s="1">
        <v>0</v>
      </c>
      <c r="X327" s="1">
        <v>0</v>
      </c>
      <c r="Y327" s="1">
        <v>4</v>
      </c>
      <c r="Z327" s="3">
        <v>1.2422360248447204</v>
      </c>
      <c r="AA327" s="1">
        <v>3</v>
      </c>
      <c r="AB327" s="3">
        <v>1.8633540372670807</v>
      </c>
      <c r="AC327" s="1">
        <v>0</v>
      </c>
      <c r="AD327" s="3">
        <v>0</v>
      </c>
      <c r="AE327" s="1" t="s">
        <v>22</v>
      </c>
      <c r="AF327" s="3" t="s">
        <v>22</v>
      </c>
      <c r="AG327" s="1">
        <v>6</v>
      </c>
      <c r="AH327" s="3">
        <v>3.7267080745341614</v>
      </c>
      <c r="AI327" s="1" t="s">
        <v>22</v>
      </c>
      <c r="AJ327" s="1">
        <v>2</v>
      </c>
      <c r="AK327" s="3">
        <v>1.2422360248447204</v>
      </c>
      <c r="AL327" s="1">
        <v>3</v>
      </c>
      <c r="AM327" s="3">
        <v>1.8633540372670807</v>
      </c>
      <c r="AN327" s="1" t="s">
        <v>22</v>
      </c>
      <c r="AO327" s="1">
        <v>6</v>
      </c>
      <c r="AP327" s="3">
        <v>3.7267080745341614</v>
      </c>
      <c r="AQ327" s="3">
        <v>2</v>
      </c>
      <c r="AR327" s="3">
        <v>1.2422360248447204</v>
      </c>
      <c r="AS327" s="1">
        <v>7</v>
      </c>
      <c r="AT327" s="3">
        <v>4.3478260869565215</v>
      </c>
      <c r="AU327" s="1">
        <v>1</v>
      </c>
      <c r="AV327" s="3">
        <v>0.6211180124223602</v>
      </c>
      <c r="AW327" s="1" t="s">
        <v>22</v>
      </c>
      <c r="AX327" s="1">
        <v>19</v>
      </c>
      <c r="AY327" s="1">
        <v>3</v>
      </c>
      <c r="AZ327" s="1">
        <v>3</v>
      </c>
      <c r="BA327" s="1">
        <v>38</v>
      </c>
      <c r="BB327" s="1">
        <v>6</v>
      </c>
      <c r="BC327" s="1">
        <v>6</v>
      </c>
      <c r="BD327" s="1">
        <v>1</v>
      </c>
      <c r="BE327" s="54">
        <v>0.6211180124223602</v>
      </c>
      <c r="BF327" s="6">
        <v>22</v>
      </c>
      <c r="BG327" s="6">
        <v>19</v>
      </c>
      <c r="BH327" s="1">
        <v>1</v>
      </c>
      <c r="BI327" s="6">
        <v>10</v>
      </c>
      <c r="BJ327" s="1" t="s">
        <v>22</v>
      </c>
      <c r="BK327" s="6">
        <v>0</v>
      </c>
      <c r="BL327" s="6">
        <v>0</v>
      </c>
      <c r="BM327" s="1">
        <v>2</v>
      </c>
      <c r="BN327" t="s">
        <v>24</v>
      </c>
      <c r="BO327">
        <v>2032</v>
      </c>
    </row>
    <row r="328" spans="1:67" x14ac:dyDescent="0.3">
      <c r="A328" s="4">
        <f>INT(Tabela1[[#This Row],[Data e Hora]])</f>
        <v>46296</v>
      </c>
      <c r="B328" s="4" t="str">
        <f>UPPER(TEXT(Tabela1[[#This Row],[Data Corrigida]],"MMM"))</f>
        <v>OUT</v>
      </c>
      <c r="C328" t="s">
        <v>956</v>
      </c>
      <c r="D328" t="s">
        <v>957</v>
      </c>
      <c r="E328" t="s">
        <v>953</v>
      </c>
      <c r="F328" t="s">
        <v>19</v>
      </c>
      <c r="G328" s="5" t="s">
        <v>946</v>
      </c>
      <c r="H328" t="s">
        <v>20</v>
      </c>
      <c r="I328" t="s">
        <v>21</v>
      </c>
      <c r="J328" s="1">
        <v>161</v>
      </c>
      <c r="K328" s="1">
        <v>2968</v>
      </c>
      <c r="L328" t="s">
        <v>23</v>
      </c>
      <c r="M328" s="1">
        <v>51</v>
      </c>
      <c r="N328" s="48">
        <v>51</v>
      </c>
      <c r="O328" s="1">
        <v>27</v>
      </c>
      <c r="P328" s="48">
        <v>27</v>
      </c>
      <c r="Q328" s="1">
        <v>0</v>
      </c>
      <c r="R328" s="1">
        <v>0</v>
      </c>
      <c r="S328" s="1">
        <v>3</v>
      </c>
      <c r="T328" s="1">
        <v>3</v>
      </c>
      <c r="U328" s="1">
        <v>1</v>
      </c>
      <c r="V328" s="1">
        <v>1</v>
      </c>
      <c r="W328" s="1">
        <v>1</v>
      </c>
      <c r="X328" s="1">
        <v>5</v>
      </c>
      <c r="Y328" s="1">
        <v>6</v>
      </c>
      <c r="Z328" s="3">
        <v>1.8633540372670807</v>
      </c>
      <c r="AA328" s="1">
        <v>3</v>
      </c>
      <c r="AB328" s="3">
        <v>1.8633540372670807</v>
      </c>
      <c r="AC328" s="1">
        <v>0</v>
      </c>
      <c r="AD328" s="3">
        <v>0</v>
      </c>
      <c r="AE328" s="1">
        <v>0</v>
      </c>
      <c r="AF328" s="3">
        <v>0</v>
      </c>
      <c r="AG328" s="1">
        <v>5</v>
      </c>
      <c r="AH328" s="3">
        <v>3.1055900621118013</v>
      </c>
      <c r="AI328" s="1" t="s">
        <v>22</v>
      </c>
      <c r="AJ328" s="1">
        <v>3</v>
      </c>
      <c r="AK328" s="3">
        <v>1.8633540372670807</v>
      </c>
      <c r="AL328" s="1">
        <v>3</v>
      </c>
      <c r="AM328" s="3">
        <v>1.8633540372670807</v>
      </c>
      <c r="AN328" s="1" t="s">
        <v>22</v>
      </c>
      <c r="AO328" s="1">
        <v>8</v>
      </c>
      <c r="AP328" s="3">
        <v>4.9689440993788816</v>
      </c>
      <c r="AQ328" s="3">
        <v>2</v>
      </c>
      <c r="AR328" s="3">
        <v>1.2422360248447204</v>
      </c>
      <c r="AS328" s="1">
        <v>7</v>
      </c>
      <c r="AT328" s="3">
        <v>4.3478260869565215</v>
      </c>
      <c r="AU328" s="1">
        <v>1</v>
      </c>
      <c r="AV328" s="3">
        <v>0.6211180124223602</v>
      </c>
      <c r="AW328" s="1" t="s">
        <v>22</v>
      </c>
      <c r="AX328" s="1">
        <v>19</v>
      </c>
      <c r="AY328" s="1">
        <v>0</v>
      </c>
      <c r="AZ328" s="1">
        <v>0</v>
      </c>
      <c r="BA328" s="1">
        <v>38</v>
      </c>
      <c r="BB328" s="1">
        <v>0</v>
      </c>
      <c r="BC328" s="1">
        <v>0</v>
      </c>
      <c r="BD328" s="1">
        <v>0</v>
      </c>
      <c r="BE328" s="54">
        <v>0</v>
      </c>
      <c r="BF328" s="6">
        <v>21</v>
      </c>
      <c r="BG328" s="6">
        <v>18</v>
      </c>
      <c r="BH328" s="1">
        <v>1</v>
      </c>
      <c r="BI328" s="6">
        <v>10</v>
      </c>
      <c r="BJ328" s="1" t="s">
        <v>22</v>
      </c>
      <c r="BK328" s="6">
        <v>0</v>
      </c>
      <c r="BL328" s="6">
        <v>0</v>
      </c>
      <c r="BM328" s="1">
        <v>1</v>
      </c>
      <c r="BN328" t="s">
        <v>24</v>
      </c>
      <c r="BO328">
        <v>2405</v>
      </c>
    </row>
    <row r="329" spans="1:67" x14ac:dyDescent="0.3">
      <c r="A329" s="4">
        <f>INT(Tabela1[[#This Row],[Data e Hora]])</f>
        <v>46296</v>
      </c>
      <c r="B329" s="4" t="str">
        <f>UPPER(TEXT(Tabela1[[#This Row],[Data Corrigida]],"MMM"))</f>
        <v>OUT</v>
      </c>
      <c r="C329" t="s">
        <v>958</v>
      </c>
      <c r="D329" t="s">
        <v>959</v>
      </c>
      <c r="E329" t="s">
        <v>960</v>
      </c>
      <c r="F329" t="s">
        <v>19</v>
      </c>
      <c r="G329" s="5" t="s">
        <v>946</v>
      </c>
      <c r="H329" t="s">
        <v>20</v>
      </c>
      <c r="I329" t="s">
        <v>21</v>
      </c>
      <c r="J329" s="1">
        <v>161</v>
      </c>
      <c r="K329" s="1">
        <v>2945</v>
      </c>
      <c r="L329" t="s">
        <v>23</v>
      </c>
      <c r="M329" s="1">
        <v>42</v>
      </c>
      <c r="N329" s="48">
        <v>42</v>
      </c>
      <c r="O329" s="1">
        <v>20</v>
      </c>
      <c r="P329" s="48">
        <v>20</v>
      </c>
      <c r="Q329" s="1">
        <v>0</v>
      </c>
      <c r="R329" s="1">
        <v>0</v>
      </c>
      <c r="S329" s="1">
        <v>2</v>
      </c>
      <c r="T329" s="1">
        <v>2</v>
      </c>
      <c r="U329" s="1">
        <v>0</v>
      </c>
      <c r="V329" s="1">
        <v>0</v>
      </c>
      <c r="W329" s="1">
        <v>0</v>
      </c>
      <c r="X329" s="1">
        <v>0</v>
      </c>
      <c r="Y329" s="1">
        <v>4</v>
      </c>
      <c r="Z329" s="3">
        <v>1.2422360248447204</v>
      </c>
      <c r="AA329" s="1">
        <v>2</v>
      </c>
      <c r="AB329" s="3">
        <v>1.2422360248447204</v>
      </c>
      <c r="AC329" s="1">
        <v>0</v>
      </c>
      <c r="AD329" s="3">
        <v>0</v>
      </c>
      <c r="AE329" s="1">
        <v>0</v>
      </c>
      <c r="AF329" s="3">
        <v>0</v>
      </c>
      <c r="AG329" s="1">
        <v>5</v>
      </c>
      <c r="AH329" s="3">
        <v>3.1055900621118013</v>
      </c>
      <c r="AI329" s="1" t="s">
        <v>22</v>
      </c>
      <c r="AJ329" s="1">
        <v>3</v>
      </c>
      <c r="AK329" s="3">
        <v>1.8633540372670807</v>
      </c>
      <c r="AL329" s="1">
        <v>2</v>
      </c>
      <c r="AM329" s="3">
        <v>1.2422360248447204</v>
      </c>
      <c r="AN329" s="1" t="s">
        <v>22</v>
      </c>
      <c r="AO329" s="1">
        <v>5</v>
      </c>
      <c r="AP329" s="3">
        <v>3.1055900621118013</v>
      </c>
      <c r="AQ329" s="3">
        <v>2</v>
      </c>
      <c r="AR329" s="3">
        <v>1.2422360248447204</v>
      </c>
      <c r="AS329" s="1">
        <v>6</v>
      </c>
      <c r="AT329" s="3">
        <v>3.7267080745341614</v>
      </c>
      <c r="AU329" s="1">
        <v>1</v>
      </c>
      <c r="AV329" s="3">
        <v>0.6211180124223602</v>
      </c>
      <c r="AW329" s="1" t="s">
        <v>22</v>
      </c>
      <c r="AX329" s="1">
        <v>19</v>
      </c>
      <c r="AY329" s="1">
        <v>0</v>
      </c>
      <c r="AZ329" s="1">
        <v>0</v>
      </c>
      <c r="BA329" s="1">
        <v>38</v>
      </c>
      <c r="BB329" s="1">
        <v>0</v>
      </c>
      <c r="BC329" s="1">
        <v>0</v>
      </c>
      <c r="BD329" s="1">
        <v>0</v>
      </c>
      <c r="BE329" s="54">
        <v>0</v>
      </c>
      <c r="BF329" s="6">
        <v>23</v>
      </c>
      <c r="BG329" s="6">
        <v>19</v>
      </c>
      <c r="BH329" s="1">
        <v>1</v>
      </c>
      <c r="BI329" s="6">
        <v>10</v>
      </c>
      <c r="BJ329" s="1" t="s">
        <v>22</v>
      </c>
      <c r="BK329" s="1" t="s">
        <v>22</v>
      </c>
      <c r="BL329" s="1" t="s">
        <v>22</v>
      </c>
      <c r="BM329" s="1" t="s">
        <v>22</v>
      </c>
      <c r="BN329" t="s">
        <v>24</v>
      </c>
      <c r="BO329">
        <v>1682</v>
      </c>
    </row>
    <row r="330" spans="1:67" x14ac:dyDescent="0.3">
      <c r="A330" s="4">
        <f>INT(Tabela1[[#This Row],[Data e Hora]])</f>
        <v>46300</v>
      </c>
      <c r="B330" s="4" t="str">
        <f>UPPER(TEXT(Tabela1[[#This Row],[Data Corrigida]],"MMM"))</f>
        <v>OUT</v>
      </c>
      <c r="C330" s="57" t="s">
        <v>961</v>
      </c>
      <c r="D330" t="s">
        <v>962</v>
      </c>
      <c r="E330" t="s">
        <v>963</v>
      </c>
      <c r="F330" t="s">
        <v>19</v>
      </c>
      <c r="G330" s="5" t="s">
        <v>964</v>
      </c>
      <c r="H330" t="s">
        <v>20</v>
      </c>
      <c r="I330" t="s">
        <v>33</v>
      </c>
      <c r="J330" s="1">
        <v>161</v>
      </c>
      <c r="K330" s="1">
        <v>2998</v>
      </c>
      <c r="L330" t="s">
        <v>34</v>
      </c>
      <c r="M330" s="1">
        <v>20</v>
      </c>
      <c r="N330" s="48">
        <v>20</v>
      </c>
      <c r="O330" s="1">
        <v>6</v>
      </c>
      <c r="P330" s="48">
        <v>6</v>
      </c>
      <c r="Q330" s="1">
        <v>0</v>
      </c>
      <c r="R330" s="1">
        <v>0</v>
      </c>
      <c r="S330" s="1">
        <v>1</v>
      </c>
      <c r="T330" s="1">
        <v>1</v>
      </c>
      <c r="U330" s="1">
        <v>0</v>
      </c>
      <c r="V330" s="1">
        <v>0</v>
      </c>
      <c r="W330" s="1">
        <v>0</v>
      </c>
      <c r="X330" s="1">
        <v>0</v>
      </c>
      <c r="Y330" s="1">
        <v>6</v>
      </c>
      <c r="Z330" s="3">
        <v>1.8633540372670807</v>
      </c>
      <c r="AA330" s="1">
        <v>4</v>
      </c>
      <c r="AB330" s="3">
        <v>2.4844720496894408</v>
      </c>
      <c r="AC330" s="1">
        <v>0</v>
      </c>
      <c r="AD330" s="3">
        <v>0</v>
      </c>
      <c r="AE330" s="1">
        <v>6</v>
      </c>
      <c r="AF330" s="3">
        <v>3.7267080745341614</v>
      </c>
      <c r="AG330" s="1">
        <v>4</v>
      </c>
      <c r="AH330" s="3">
        <v>2.4844720496894408</v>
      </c>
      <c r="AI330" s="1" t="s">
        <v>22</v>
      </c>
      <c r="AJ330" s="1">
        <v>0</v>
      </c>
      <c r="AK330" s="3">
        <v>0</v>
      </c>
      <c r="AL330" s="1">
        <v>0</v>
      </c>
      <c r="AM330" s="3">
        <v>0</v>
      </c>
      <c r="AN330" s="1" t="s">
        <v>22</v>
      </c>
      <c r="AO330" s="1">
        <v>6</v>
      </c>
      <c r="AP330" s="3">
        <v>3.7267080745341614</v>
      </c>
      <c r="AQ330" s="3">
        <v>5</v>
      </c>
      <c r="AR330" s="3">
        <v>3.1055900621118013</v>
      </c>
      <c r="AS330" s="1">
        <v>6</v>
      </c>
      <c r="AT330" s="3">
        <v>3.7267080745341614</v>
      </c>
      <c r="AU330" s="1">
        <v>1</v>
      </c>
      <c r="AV330" s="3">
        <v>0.6211180124223602</v>
      </c>
      <c r="AW330" s="1" t="s">
        <v>22</v>
      </c>
      <c r="AX330" s="1">
        <v>18</v>
      </c>
      <c r="AY330" s="1">
        <v>0</v>
      </c>
      <c r="AZ330" s="1">
        <v>0</v>
      </c>
      <c r="BA330" s="1">
        <v>36</v>
      </c>
      <c r="BB330" s="1">
        <v>0</v>
      </c>
      <c r="BC330" s="1">
        <v>0</v>
      </c>
      <c r="BD330" s="1">
        <v>0</v>
      </c>
      <c r="BE330" s="54">
        <v>0</v>
      </c>
      <c r="BF330" s="6">
        <v>20</v>
      </c>
      <c r="BG330" s="6">
        <v>16</v>
      </c>
      <c r="BH330" s="1">
        <v>0</v>
      </c>
      <c r="BI330" s="6">
        <v>0</v>
      </c>
      <c r="BJ330" s="1" t="s">
        <v>22</v>
      </c>
      <c r="BK330" s="6">
        <v>0</v>
      </c>
      <c r="BL330" s="6">
        <v>0</v>
      </c>
      <c r="BM330" s="1">
        <v>0</v>
      </c>
      <c r="BN330" t="s">
        <v>24</v>
      </c>
      <c r="BO330">
        <v>411</v>
      </c>
    </row>
    <row r="331" spans="1:67" x14ac:dyDescent="0.3">
      <c r="A331" s="4">
        <f>INT(Tabela1[[#This Row],[Data e Hora]])</f>
        <v>46300</v>
      </c>
      <c r="B331" s="4" t="str">
        <f>UPPER(TEXT(Tabela1[[#This Row],[Data Corrigida]],"MMM"))</f>
        <v>OUT</v>
      </c>
      <c r="C331" t="s">
        <v>965</v>
      </c>
      <c r="D331" t="s">
        <v>966</v>
      </c>
      <c r="E331" t="s">
        <v>963</v>
      </c>
      <c r="F331" t="s">
        <v>19</v>
      </c>
      <c r="G331" s="5" t="s">
        <v>964</v>
      </c>
      <c r="H331" t="s">
        <v>20</v>
      </c>
      <c r="I331" t="s">
        <v>33</v>
      </c>
      <c r="J331" s="1">
        <v>156</v>
      </c>
      <c r="K331" s="1">
        <v>2914</v>
      </c>
      <c r="L331" t="s">
        <v>34</v>
      </c>
      <c r="M331" s="1">
        <v>20</v>
      </c>
      <c r="N331" s="48">
        <v>20</v>
      </c>
      <c r="O331" s="1">
        <v>11</v>
      </c>
      <c r="P331" s="48">
        <v>11</v>
      </c>
      <c r="Q331" s="1">
        <v>1</v>
      </c>
      <c r="R331" s="1">
        <v>10</v>
      </c>
      <c r="S331" s="1">
        <v>1</v>
      </c>
      <c r="T331" s="1">
        <v>1</v>
      </c>
      <c r="U331" s="1">
        <v>0</v>
      </c>
      <c r="V331" s="1">
        <v>0</v>
      </c>
      <c r="W331" s="1">
        <v>0</v>
      </c>
      <c r="X331" s="1">
        <v>0</v>
      </c>
      <c r="Y331" s="1">
        <v>5</v>
      </c>
      <c r="Z331" s="3">
        <v>1.6025641025641024</v>
      </c>
      <c r="AA331" s="1">
        <v>4</v>
      </c>
      <c r="AB331" s="3">
        <v>2.5641025641025639</v>
      </c>
      <c r="AC331" s="1">
        <v>0</v>
      </c>
      <c r="AD331" s="3">
        <v>0</v>
      </c>
      <c r="AE331" s="1">
        <v>1</v>
      </c>
      <c r="AF331" s="3">
        <v>0.64102564102564097</v>
      </c>
      <c r="AG331" s="1">
        <v>2</v>
      </c>
      <c r="AH331" s="3">
        <v>1.2820512820512819</v>
      </c>
      <c r="AI331" s="1" t="s">
        <v>22</v>
      </c>
      <c r="AJ331" s="1">
        <v>0</v>
      </c>
      <c r="AK331" s="3">
        <v>0</v>
      </c>
      <c r="AL331" s="1">
        <v>0</v>
      </c>
      <c r="AM331" s="3">
        <v>0</v>
      </c>
      <c r="AN331" s="1" t="s">
        <v>22</v>
      </c>
      <c r="AO331" s="1">
        <v>15</v>
      </c>
      <c r="AP331" s="3">
        <v>9.6153846153846168</v>
      </c>
      <c r="AQ331" s="3">
        <v>3</v>
      </c>
      <c r="AR331" s="3">
        <v>1.9230769230769231</v>
      </c>
      <c r="AS331" s="1">
        <v>8</v>
      </c>
      <c r="AT331" s="3">
        <v>5.1282051282051277</v>
      </c>
      <c r="AU331" s="1">
        <v>0</v>
      </c>
      <c r="AV331" s="3">
        <v>0</v>
      </c>
      <c r="AW331" s="1" t="s">
        <v>22</v>
      </c>
      <c r="AX331" s="1">
        <v>19</v>
      </c>
      <c r="AY331" s="1">
        <v>0</v>
      </c>
      <c r="AZ331" s="1">
        <v>0</v>
      </c>
      <c r="BA331" s="1">
        <v>38</v>
      </c>
      <c r="BB331" s="1">
        <v>0</v>
      </c>
      <c r="BC331" s="1">
        <v>0</v>
      </c>
      <c r="BD331" s="1">
        <v>0</v>
      </c>
      <c r="BE331" s="54">
        <v>0</v>
      </c>
      <c r="BF331" s="6">
        <v>20</v>
      </c>
      <c r="BG331" s="6">
        <v>18</v>
      </c>
      <c r="BH331" s="1">
        <v>0</v>
      </c>
      <c r="BI331" s="6">
        <v>0</v>
      </c>
      <c r="BJ331" s="1" t="s">
        <v>22</v>
      </c>
      <c r="BK331" s="6">
        <v>3</v>
      </c>
      <c r="BL331" s="6">
        <v>0</v>
      </c>
      <c r="BM331" s="1">
        <v>0</v>
      </c>
      <c r="BN331" t="s">
        <v>24</v>
      </c>
      <c r="BO331">
        <v>8354</v>
      </c>
    </row>
    <row r="332" spans="1:67" x14ac:dyDescent="0.3">
      <c r="A332" s="4">
        <f>INT(Tabela1[[#This Row],[Data e Hora]])</f>
        <v>46300</v>
      </c>
      <c r="B332" s="4" t="str">
        <f>UPPER(TEXT(Tabela1[[#This Row],[Data Corrigida]],"MMM"))</f>
        <v>OUT</v>
      </c>
      <c r="C332" t="s">
        <v>967</v>
      </c>
      <c r="D332" t="s">
        <v>968</v>
      </c>
      <c r="E332" t="s">
        <v>963</v>
      </c>
      <c r="F332" t="s">
        <v>19</v>
      </c>
      <c r="G332" s="5" t="s">
        <v>964</v>
      </c>
      <c r="H332" t="s">
        <v>20</v>
      </c>
      <c r="I332" t="s">
        <v>33</v>
      </c>
      <c r="J332" s="1">
        <v>89</v>
      </c>
      <c r="K332" s="1">
        <v>2998</v>
      </c>
      <c r="L332" t="s">
        <v>34</v>
      </c>
      <c r="M332" s="1">
        <v>9</v>
      </c>
      <c r="N332" s="48">
        <v>9</v>
      </c>
      <c r="O332" s="1">
        <v>4</v>
      </c>
      <c r="P332" s="48">
        <v>4</v>
      </c>
      <c r="Q332" s="1">
        <v>1</v>
      </c>
      <c r="R332" s="1">
        <v>10</v>
      </c>
      <c r="S332" s="1">
        <v>2</v>
      </c>
      <c r="T332" s="1">
        <v>2</v>
      </c>
      <c r="U332" s="1">
        <v>1</v>
      </c>
      <c r="V332" s="1">
        <v>1</v>
      </c>
      <c r="W332" s="1">
        <v>1</v>
      </c>
      <c r="X332" s="1">
        <v>5</v>
      </c>
      <c r="Y332" s="1">
        <v>3</v>
      </c>
      <c r="Z332" s="3">
        <v>1.6853932584269662</v>
      </c>
      <c r="AA332" s="1">
        <v>2</v>
      </c>
      <c r="AB332" s="3">
        <v>2.2471910112359552</v>
      </c>
      <c r="AC332" s="1">
        <v>0</v>
      </c>
      <c r="AD332" s="3">
        <v>0</v>
      </c>
      <c r="AE332" s="1">
        <v>1</v>
      </c>
      <c r="AF332" s="3">
        <v>1.1235955056179776</v>
      </c>
      <c r="AG332" s="1">
        <v>1</v>
      </c>
      <c r="AH332" s="3">
        <v>1.1235955056179776</v>
      </c>
      <c r="AI332" s="1" t="s">
        <v>22</v>
      </c>
      <c r="AJ332" s="1">
        <v>0</v>
      </c>
      <c r="AK332" s="3">
        <v>0</v>
      </c>
      <c r="AL332" s="1">
        <v>0</v>
      </c>
      <c r="AM332" s="3">
        <v>0</v>
      </c>
      <c r="AN332" s="1" t="s">
        <v>22</v>
      </c>
      <c r="AO332" s="1">
        <v>7</v>
      </c>
      <c r="AP332" s="3">
        <v>7.8651685393258424</v>
      </c>
      <c r="AQ332" s="3">
        <v>4</v>
      </c>
      <c r="AR332" s="3">
        <v>4.4943820224719104</v>
      </c>
      <c r="AS332" s="1">
        <v>5</v>
      </c>
      <c r="AT332" s="3">
        <v>5.6179775280898872</v>
      </c>
      <c r="AU332" s="1">
        <v>0</v>
      </c>
      <c r="AV332" s="3">
        <v>0</v>
      </c>
      <c r="AW332" s="1" t="s">
        <v>22</v>
      </c>
      <c r="AX332" s="1">
        <v>16</v>
      </c>
      <c r="AY332" s="1">
        <v>0</v>
      </c>
      <c r="AZ332" s="1">
        <v>0</v>
      </c>
      <c r="BA332" s="1">
        <v>32</v>
      </c>
      <c r="BB332" s="1">
        <v>0</v>
      </c>
      <c r="BC332" s="1">
        <v>0</v>
      </c>
      <c r="BD332" s="1">
        <v>0</v>
      </c>
      <c r="BE332" s="54">
        <v>0</v>
      </c>
      <c r="BF332" s="6">
        <v>23</v>
      </c>
      <c r="BG332" s="6">
        <v>22</v>
      </c>
      <c r="BH332" s="1">
        <v>0</v>
      </c>
      <c r="BI332" s="6">
        <v>0</v>
      </c>
      <c r="BJ332" s="1" t="s">
        <v>22</v>
      </c>
      <c r="BK332" s="6">
        <v>3</v>
      </c>
      <c r="BL332" s="6">
        <v>0</v>
      </c>
      <c r="BM332" s="1">
        <v>0</v>
      </c>
      <c r="BN332" t="s">
        <v>24</v>
      </c>
      <c r="BO332">
        <v>9771</v>
      </c>
    </row>
    <row r="333" spans="1:67" x14ac:dyDescent="0.3">
      <c r="A333" s="4">
        <f>INT(Tabela1[[#This Row],[Data e Hora]])</f>
        <v>46300</v>
      </c>
      <c r="B333" s="4" t="str">
        <f>UPPER(TEXT(Tabela1[[#This Row],[Data Corrigida]],"MMM"))</f>
        <v>OUT</v>
      </c>
      <c r="C333" t="s">
        <v>969</v>
      </c>
      <c r="D333" t="s">
        <v>970</v>
      </c>
      <c r="E333" t="s">
        <v>971</v>
      </c>
      <c r="F333" t="s">
        <v>19</v>
      </c>
      <c r="G333" s="5" t="s">
        <v>964</v>
      </c>
      <c r="H333" t="s">
        <v>20</v>
      </c>
      <c r="I333" t="s">
        <v>21</v>
      </c>
      <c r="J333" s="1">
        <v>156</v>
      </c>
      <c r="K333" s="1">
        <v>2998</v>
      </c>
      <c r="L333" t="s">
        <v>23</v>
      </c>
      <c r="M333" s="1">
        <v>33</v>
      </c>
      <c r="N333" s="48">
        <v>33</v>
      </c>
      <c r="O333" s="1">
        <v>21</v>
      </c>
      <c r="P333" s="48">
        <v>21</v>
      </c>
      <c r="Q333" s="1">
        <v>0</v>
      </c>
      <c r="R333" s="1">
        <v>0</v>
      </c>
      <c r="S333" s="1">
        <v>3</v>
      </c>
      <c r="T333" s="1">
        <v>3</v>
      </c>
      <c r="U333" s="1">
        <v>1</v>
      </c>
      <c r="V333" s="1">
        <v>1</v>
      </c>
      <c r="W333" s="1">
        <v>0</v>
      </c>
      <c r="X333" s="1">
        <v>0</v>
      </c>
      <c r="Y333" s="1">
        <v>4</v>
      </c>
      <c r="Z333" s="3">
        <v>1.2820512820512819</v>
      </c>
      <c r="AA333" s="1">
        <v>3</v>
      </c>
      <c r="AB333" s="3">
        <v>1.9230769230769231</v>
      </c>
      <c r="AC333" s="1">
        <v>1</v>
      </c>
      <c r="AD333" s="3">
        <v>0.64102564102564097</v>
      </c>
      <c r="AE333" s="1">
        <v>2</v>
      </c>
      <c r="AF333" s="3">
        <v>1.2820512820512819</v>
      </c>
      <c r="AG333" s="1">
        <v>5</v>
      </c>
      <c r="AH333" s="3">
        <v>3.2051282051282048</v>
      </c>
      <c r="AI333" s="1" t="s">
        <v>22</v>
      </c>
      <c r="AJ333" s="1">
        <v>3</v>
      </c>
      <c r="AK333" s="3">
        <v>1.9230769230769231</v>
      </c>
      <c r="AL333" s="1">
        <v>3</v>
      </c>
      <c r="AM333" s="3">
        <v>1.9230769230769231</v>
      </c>
      <c r="AN333" s="1" t="s">
        <v>22</v>
      </c>
      <c r="AO333" s="1">
        <v>6</v>
      </c>
      <c r="AP333" s="3">
        <v>3.8461538461538463</v>
      </c>
      <c r="AQ333" s="3">
        <v>3</v>
      </c>
      <c r="AR333" s="3">
        <v>1.9230769230769231</v>
      </c>
      <c r="AS333" s="1">
        <v>7</v>
      </c>
      <c r="AT333" s="3">
        <v>4.4871794871794872</v>
      </c>
      <c r="AU333" s="1">
        <v>1</v>
      </c>
      <c r="AV333" s="3">
        <v>0.64102564102564097</v>
      </c>
      <c r="AW333" s="1" t="s">
        <v>22</v>
      </c>
      <c r="AX333" s="1">
        <v>20</v>
      </c>
      <c r="AY333" s="1">
        <v>1</v>
      </c>
      <c r="AZ333" s="1">
        <v>1</v>
      </c>
      <c r="BA333" s="1">
        <v>40</v>
      </c>
      <c r="BB333" s="1">
        <v>2</v>
      </c>
      <c r="BC333" s="1">
        <v>2</v>
      </c>
      <c r="BD333" s="1">
        <v>1</v>
      </c>
      <c r="BE333" s="54">
        <v>0.64102564102564097</v>
      </c>
      <c r="BF333" s="6">
        <v>15</v>
      </c>
      <c r="BG333" s="6">
        <v>24</v>
      </c>
      <c r="BH333" s="1">
        <v>0</v>
      </c>
      <c r="BI333" s="6">
        <v>0</v>
      </c>
      <c r="BJ333" s="1" t="s">
        <v>22</v>
      </c>
      <c r="BK333" s="1" t="s">
        <v>22</v>
      </c>
      <c r="BL333" s="1" t="s">
        <v>22</v>
      </c>
      <c r="BM333" s="1" t="s">
        <v>22</v>
      </c>
      <c r="BN333" t="s">
        <v>24</v>
      </c>
      <c r="BO333">
        <v>2493</v>
      </c>
    </row>
    <row r="334" spans="1:67" x14ac:dyDescent="0.3">
      <c r="A334" s="4">
        <f>INT(Tabela1[[#This Row],[Data e Hora]])</f>
        <v>46297</v>
      </c>
      <c r="B334" s="4" t="str">
        <f>UPPER(TEXT(Tabela1[[#This Row],[Data Corrigida]],"MMM"))</f>
        <v>OUT</v>
      </c>
      <c r="C334" t="s">
        <v>972</v>
      </c>
      <c r="D334" t="s">
        <v>973</v>
      </c>
      <c r="E334" t="s">
        <v>974</v>
      </c>
      <c r="F334" t="s">
        <v>19</v>
      </c>
      <c r="G334" s="5" t="s">
        <v>975</v>
      </c>
      <c r="H334" t="s">
        <v>20</v>
      </c>
      <c r="I334" t="s">
        <v>33</v>
      </c>
      <c r="J334" s="1">
        <v>161</v>
      </c>
      <c r="K334" s="1">
        <v>2813</v>
      </c>
      <c r="L334" t="s">
        <v>34</v>
      </c>
      <c r="M334" s="1">
        <v>20</v>
      </c>
      <c r="N334" s="48">
        <v>20</v>
      </c>
      <c r="O334" s="1">
        <v>5</v>
      </c>
      <c r="P334" s="48">
        <v>5</v>
      </c>
      <c r="Q334" s="1">
        <v>0</v>
      </c>
      <c r="R334" s="1">
        <v>0</v>
      </c>
      <c r="S334" s="1">
        <v>1</v>
      </c>
      <c r="T334" s="1">
        <v>1</v>
      </c>
      <c r="U334" s="1">
        <v>0</v>
      </c>
      <c r="V334" s="1">
        <v>0</v>
      </c>
      <c r="W334" s="1">
        <v>0</v>
      </c>
      <c r="X334" s="1">
        <v>0</v>
      </c>
      <c r="Y334" s="1">
        <v>4</v>
      </c>
      <c r="Z334" s="3">
        <v>1.2422360248447204</v>
      </c>
      <c r="AA334" s="1">
        <v>2</v>
      </c>
      <c r="AB334" s="3">
        <v>1.2422360248447204</v>
      </c>
      <c r="AC334" s="1">
        <v>0</v>
      </c>
      <c r="AD334" s="3">
        <v>0</v>
      </c>
      <c r="AE334" s="1">
        <v>0</v>
      </c>
      <c r="AF334" s="3">
        <v>0</v>
      </c>
      <c r="AG334" s="1">
        <v>2</v>
      </c>
      <c r="AH334" s="3">
        <v>1.2422360248447204</v>
      </c>
      <c r="AI334" s="1" t="s">
        <v>22</v>
      </c>
      <c r="AJ334" s="1">
        <v>0</v>
      </c>
      <c r="AK334" s="3">
        <v>0</v>
      </c>
      <c r="AL334" s="1">
        <v>0</v>
      </c>
      <c r="AM334" s="3">
        <v>0</v>
      </c>
      <c r="AN334" s="1" t="s">
        <v>22</v>
      </c>
      <c r="AO334" s="1">
        <v>4</v>
      </c>
      <c r="AP334" s="3">
        <v>2.4844720496894408</v>
      </c>
      <c r="AQ334" s="3">
        <v>5</v>
      </c>
      <c r="AR334" s="3">
        <v>3.1055900621118013</v>
      </c>
      <c r="AS334" s="1">
        <v>6</v>
      </c>
      <c r="AT334" s="3">
        <v>3.7267080745341614</v>
      </c>
      <c r="AU334" s="1">
        <v>1</v>
      </c>
      <c r="AV334" s="3">
        <v>0.6211180124223602</v>
      </c>
      <c r="AW334" s="1" t="s">
        <v>22</v>
      </c>
      <c r="AX334" s="1">
        <v>14</v>
      </c>
      <c r="AY334" s="1">
        <v>0</v>
      </c>
      <c r="AZ334" s="1">
        <v>0</v>
      </c>
      <c r="BA334" s="1">
        <v>28</v>
      </c>
      <c r="BB334" s="1">
        <v>0</v>
      </c>
      <c r="BC334" s="1">
        <v>0</v>
      </c>
      <c r="BD334" s="1">
        <v>0</v>
      </c>
      <c r="BE334" s="54">
        <v>0</v>
      </c>
      <c r="BF334" s="6">
        <v>20</v>
      </c>
      <c r="BG334" s="6">
        <v>17</v>
      </c>
      <c r="BH334" s="1">
        <v>0</v>
      </c>
      <c r="BI334" s="6">
        <v>0</v>
      </c>
      <c r="BJ334" s="1" t="s">
        <v>22</v>
      </c>
      <c r="BK334" s="6">
        <v>1</v>
      </c>
      <c r="BL334" s="6">
        <v>0</v>
      </c>
      <c r="BM334" s="1">
        <v>0</v>
      </c>
      <c r="BN334" t="s">
        <v>24</v>
      </c>
      <c r="BO334">
        <v>275</v>
      </c>
    </row>
    <row r="335" spans="1:67" x14ac:dyDescent="0.3">
      <c r="A335" s="4">
        <f>INT(Tabela1[[#This Row],[Data e Hora]])</f>
        <v>46297</v>
      </c>
      <c r="B335" s="4" t="str">
        <f>UPPER(TEXT(Tabela1[[#This Row],[Data Corrigida]],"MMM"))</f>
        <v>OUT</v>
      </c>
      <c r="C335" t="s">
        <v>976</v>
      </c>
      <c r="D335" t="s">
        <v>977</v>
      </c>
      <c r="E335" t="s">
        <v>978</v>
      </c>
      <c r="F335" t="s">
        <v>19</v>
      </c>
      <c r="G335" s="5" t="s">
        <v>975</v>
      </c>
      <c r="H335" t="s">
        <v>20</v>
      </c>
      <c r="I335" t="s">
        <v>33</v>
      </c>
      <c r="J335" s="1">
        <v>156</v>
      </c>
      <c r="K335" s="1">
        <v>2903</v>
      </c>
      <c r="L335" t="s">
        <v>34</v>
      </c>
      <c r="M335" s="1">
        <v>13</v>
      </c>
      <c r="N335" s="48">
        <v>13</v>
      </c>
      <c r="O335" s="1">
        <v>8</v>
      </c>
      <c r="P335" s="48">
        <v>8</v>
      </c>
      <c r="Q335" s="1">
        <v>2</v>
      </c>
      <c r="R335" s="1">
        <v>20</v>
      </c>
      <c r="S335" s="1">
        <v>1</v>
      </c>
      <c r="T335" s="1">
        <v>1</v>
      </c>
      <c r="U335" s="1">
        <v>0</v>
      </c>
      <c r="V335" s="1">
        <v>0</v>
      </c>
      <c r="W335" s="1">
        <v>0</v>
      </c>
      <c r="X335" s="1">
        <v>0</v>
      </c>
      <c r="Y335" s="1">
        <v>6</v>
      </c>
      <c r="Z335" s="3">
        <v>1.9230769230769231</v>
      </c>
      <c r="AA335" s="1">
        <v>1</v>
      </c>
      <c r="AB335" s="3">
        <v>0.64102564102564097</v>
      </c>
      <c r="AC335" s="1">
        <v>0</v>
      </c>
      <c r="AD335" s="3">
        <v>0</v>
      </c>
      <c r="AE335" s="1">
        <v>0</v>
      </c>
      <c r="AF335" s="3">
        <v>0</v>
      </c>
      <c r="AG335" s="1">
        <v>1</v>
      </c>
      <c r="AH335" s="3">
        <v>0.64102564102564097</v>
      </c>
      <c r="AI335" s="1" t="s">
        <v>22</v>
      </c>
      <c r="AJ335" s="1">
        <v>0</v>
      </c>
      <c r="AK335" s="3">
        <v>0</v>
      </c>
      <c r="AL335" s="1">
        <v>0</v>
      </c>
      <c r="AM335" s="3">
        <v>0</v>
      </c>
      <c r="AN335" s="1" t="s">
        <v>22</v>
      </c>
      <c r="AO335" s="1">
        <v>4</v>
      </c>
      <c r="AP335" s="3">
        <v>2.5641025641025639</v>
      </c>
      <c r="AQ335" s="3">
        <v>6</v>
      </c>
      <c r="AR335" s="3">
        <v>3.8461538461538463</v>
      </c>
      <c r="AS335" s="1">
        <v>5</v>
      </c>
      <c r="AT335" s="3">
        <v>3.2051282051282048</v>
      </c>
      <c r="AU335" s="1">
        <v>0</v>
      </c>
      <c r="AV335" s="3">
        <v>0</v>
      </c>
      <c r="AW335" s="1" t="s">
        <v>22</v>
      </c>
      <c r="AX335" s="1">
        <v>15</v>
      </c>
      <c r="AY335" s="1">
        <v>0</v>
      </c>
      <c r="AZ335" s="1">
        <v>0</v>
      </c>
      <c r="BA335" s="1">
        <v>30</v>
      </c>
      <c r="BB335" s="1">
        <v>0</v>
      </c>
      <c r="BC335" s="1">
        <v>0</v>
      </c>
      <c r="BD335" s="1">
        <v>1</v>
      </c>
      <c r="BE335" s="54">
        <v>0.64102564102564097</v>
      </c>
      <c r="BF335" s="6">
        <v>21</v>
      </c>
      <c r="BG335" s="6">
        <v>19</v>
      </c>
      <c r="BH335" s="1">
        <v>0</v>
      </c>
      <c r="BI335" s="6">
        <v>0</v>
      </c>
      <c r="BJ335" s="1" t="s">
        <v>22</v>
      </c>
      <c r="BK335" s="6">
        <v>0</v>
      </c>
      <c r="BL335" s="6">
        <v>0</v>
      </c>
      <c r="BM335" s="1">
        <v>0</v>
      </c>
      <c r="BN335" t="s">
        <v>24</v>
      </c>
      <c r="BO335">
        <v>7160</v>
      </c>
    </row>
    <row r="336" spans="1:67" x14ac:dyDescent="0.3">
      <c r="A336" s="4">
        <f>INT(Tabela1[[#This Row],[Data e Hora]])</f>
        <v>46297</v>
      </c>
      <c r="B336" s="4" t="str">
        <f>UPPER(TEXT(Tabela1[[#This Row],[Data Corrigida]],"MMM"))</f>
        <v>OUT</v>
      </c>
      <c r="C336" t="s">
        <v>979</v>
      </c>
      <c r="D336" t="s">
        <v>980</v>
      </c>
      <c r="E336" t="s">
        <v>978</v>
      </c>
      <c r="F336" t="s">
        <v>19</v>
      </c>
      <c r="G336" s="5" t="s">
        <v>975</v>
      </c>
      <c r="H336" t="s">
        <v>20</v>
      </c>
      <c r="I336" t="s">
        <v>33</v>
      </c>
      <c r="J336" s="1">
        <v>116</v>
      </c>
      <c r="K336" s="1">
        <v>5852</v>
      </c>
      <c r="L336" t="s">
        <v>34</v>
      </c>
      <c r="M336" s="1">
        <v>10</v>
      </c>
      <c r="N336" s="48">
        <v>10</v>
      </c>
      <c r="O336" s="1">
        <v>5</v>
      </c>
      <c r="P336" s="48">
        <v>5</v>
      </c>
      <c r="Q336" s="1">
        <v>0</v>
      </c>
      <c r="R336" s="1">
        <v>0</v>
      </c>
      <c r="S336" s="1">
        <v>3</v>
      </c>
      <c r="T336" s="1">
        <v>3</v>
      </c>
      <c r="U336" s="1">
        <v>2</v>
      </c>
      <c r="V336" s="1">
        <v>2</v>
      </c>
      <c r="W336" s="1">
        <v>0</v>
      </c>
      <c r="X336" s="1">
        <v>0</v>
      </c>
      <c r="Y336" s="1">
        <v>4</v>
      </c>
      <c r="Z336" s="3">
        <v>1.7241379310344827</v>
      </c>
      <c r="AA336" s="1">
        <v>1</v>
      </c>
      <c r="AB336" s="3">
        <v>0.86206896551724133</v>
      </c>
      <c r="AC336" s="1">
        <v>0</v>
      </c>
      <c r="AD336" s="3">
        <v>0</v>
      </c>
      <c r="AE336" s="1">
        <v>1</v>
      </c>
      <c r="AF336" s="3">
        <v>0.86206896551724133</v>
      </c>
      <c r="AG336" s="1">
        <v>2</v>
      </c>
      <c r="AH336" s="3">
        <v>1.7241379310344827</v>
      </c>
      <c r="AI336" s="1" t="s">
        <v>22</v>
      </c>
      <c r="AJ336" s="1">
        <v>1</v>
      </c>
      <c r="AK336" s="3">
        <v>0.86206896551724133</v>
      </c>
      <c r="AL336" s="1">
        <v>0</v>
      </c>
      <c r="AM336" s="3">
        <v>0</v>
      </c>
      <c r="AN336" s="1" t="s">
        <v>22</v>
      </c>
      <c r="AO336" s="1">
        <v>3</v>
      </c>
      <c r="AP336" s="3">
        <v>2.5862068965517242</v>
      </c>
      <c r="AQ336" s="3">
        <v>6</v>
      </c>
      <c r="AR336" s="3">
        <v>5.1724137931034484</v>
      </c>
      <c r="AS336" s="1">
        <v>5</v>
      </c>
      <c r="AT336" s="3">
        <v>4.3103448275862073</v>
      </c>
      <c r="AU336" s="1">
        <v>0</v>
      </c>
      <c r="AV336" s="3">
        <v>0</v>
      </c>
      <c r="AW336" s="1" t="s">
        <v>22</v>
      </c>
      <c r="AX336" s="1">
        <v>19</v>
      </c>
      <c r="AY336" s="1">
        <v>1</v>
      </c>
      <c r="AZ336" s="1">
        <v>1</v>
      </c>
      <c r="BA336" s="1">
        <v>38</v>
      </c>
      <c r="BB336" s="1">
        <v>2</v>
      </c>
      <c r="BC336" s="1">
        <v>2</v>
      </c>
      <c r="BD336" s="1">
        <v>0</v>
      </c>
      <c r="BE336" s="54">
        <v>0</v>
      </c>
      <c r="BF336" s="6">
        <v>20</v>
      </c>
      <c r="BG336" s="6">
        <v>17</v>
      </c>
      <c r="BH336" s="1">
        <v>0</v>
      </c>
      <c r="BI336" s="6">
        <v>0</v>
      </c>
      <c r="BJ336" s="1" t="s">
        <v>22</v>
      </c>
      <c r="BK336" s="6">
        <v>3</v>
      </c>
      <c r="BL336" s="6">
        <v>0</v>
      </c>
      <c r="BM336" s="1">
        <v>0</v>
      </c>
      <c r="BN336" t="s">
        <v>24</v>
      </c>
      <c r="BO336">
        <v>10795</v>
      </c>
    </row>
    <row r="337" spans="1:67" x14ac:dyDescent="0.3">
      <c r="A337" s="4">
        <f>INT(Tabela1[[#This Row],[Data e Hora]])</f>
        <v>46297</v>
      </c>
      <c r="B337" s="4" t="str">
        <f>UPPER(TEXT(Tabela1[[#This Row],[Data Corrigida]],"MMM"))</f>
        <v>OUT</v>
      </c>
      <c r="C337" t="s">
        <v>981</v>
      </c>
      <c r="D337" t="s">
        <v>982</v>
      </c>
      <c r="E337" t="s">
        <v>983</v>
      </c>
      <c r="F337" t="s">
        <v>19</v>
      </c>
      <c r="G337" s="5" t="s">
        <v>975</v>
      </c>
      <c r="H337" t="s">
        <v>20</v>
      </c>
      <c r="I337" t="s">
        <v>21</v>
      </c>
      <c r="J337" s="1">
        <v>151</v>
      </c>
      <c r="K337" s="1">
        <v>2912</v>
      </c>
      <c r="L337" t="s">
        <v>23</v>
      </c>
      <c r="M337" s="1">
        <v>31</v>
      </c>
      <c r="N337" s="48">
        <v>31</v>
      </c>
      <c r="O337" s="1">
        <v>10</v>
      </c>
      <c r="P337" s="48">
        <v>10</v>
      </c>
      <c r="Q337" s="1">
        <v>0</v>
      </c>
      <c r="R337" s="1">
        <v>0</v>
      </c>
      <c r="S337" s="1">
        <v>2</v>
      </c>
      <c r="T337" s="1">
        <v>2</v>
      </c>
      <c r="U337" s="1">
        <v>1</v>
      </c>
      <c r="V337" s="1">
        <v>1</v>
      </c>
      <c r="W337" s="1">
        <v>0</v>
      </c>
      <c r="X337" s="1">
        <v>0</v>
      </c>
      <c r="Y337" s="1">
        <v>2</v>
      </c>
      <c r="Z337" s="3">
        <v>0.66225165562913912</v>
      </c>
      <c r="AA337" s="1">
        <v>3</v>
      </c>
      <c r="AB337" s="3">
        <v>1.9867549668874174</v>
      </c>
      <c r="AC337" s="1">
        <v>2</v>
      </c>
      <c r="AD337" s="3">
        <v>1.3245033112582782</v>
      </c>
      <c r="AE337" s="1">
        <v>2</v>
      </c>
      <c r="AF337" s="3">
        <v>1.3245033112582782</v>
      </c>
      <c r="AG337" s="1">
        <v>8</v>
      </c>
      <c r="AH337" s="3">
        <v>5.298013245033113</v>
      </c>
      <c r="AI337" s="1" t="s">
        <v>22</v>
      </c>
      <c r="AJ337" s="1">
        <v>2</v>
      </c>
      <c r="AK337" s="3">
        <v>1.3245033112582782</v>
      </c>
      <c r="AL337" s="1">
        <v>2</v>
      </c>
      <c r="AM337" s="3">
        <v>1.3245033112582782</v>
      </c>
      <c r="AN337" s="1" t="s">
        <v>22</v>
      </c>
      <c r="AO337" s="1">
        <v>6</v>
      </c>
      <c r="AP337" s="3">
        <v>3.9735099337748347</v>
      </c>
      <c r="AQ337" s="3">
        <v>2</v>
      </c>
      <c r="AR337" s="3">
        <v>1.3245033112582782</v>
      </c>
      <c r="AS337" s="1">
        <v>7</v>
      </c>
      <c r="AT337" s="3">
        <v>4.6357615894039732</v>
      </c>
      <c r="AU337" s="1">
        <v>3</v>
      </c>
      <c r="AV337" s="3">
        <v>1.9867549668874174</v>
      </c>
      <c r="AW337" s="1" t="s">
        <v>22</v>
      </c>
      <c r="AX337" s="1">
        <v>21</v>
      </c>
      <c r="AY337" s="1">
        <v>0</v>
      </c>
      <c r="AZ337" s="1">
        <v>0</v>
      </c>
      <c r="BA337" s="1">
        <v>42</v>
      </c>
      <c r="BB337" s="1">
        <v>0</v>
      </c>
      <c r="BC337" s="1">
        <v>0</v>
      </c>
      <c r="BD337" s="1">
        <v>1</v>
      </c>
      <c r="BE337" s="54">
        <v>0.66225165562913912</v>
      </c>
      <c r="BF337" s="6">
        <v>19</v>
      </c>
      <c r="BG337" s="6">
        <v>25</v>
      </c>
      <c r="BH337" s="1">
        <v>1</v>
      </c>
      <c r="BI337" s="6">
        <v>10</v>
      </c>
      <c r="BJ337" s="1" t="s">
        <v>22</v>
      </c>
      <c r="BK337" s="1" t="s">
        <v>22</v>
      </c>
      <c r="BL337" s="1" t="s">
        <v>22</v>
      </c>
      <c r="BM337" s="1" t="s">
        <v>22</v>
      </c>
      <c r="BN337" t="s">
        <v>24</v>
      </c>
      <c r="BO337">
        <v>1466</v>
      </c>
    </row>
    <row r="338" spans="1:67" x14ac:dyDescent="0.3">
      <c r="A338" s="4">
        <f>INT(Tabela1[[#This Row],[Data e Hora]])</f>
        <v>46297</v>
      </c>
      <c r="B338" s="4" t="str">
        <f>UPPER(TEXT(Tabela1[[#This Row],[Data Corrigida]],"MMM"))</f>
        <v>OUT</v>
      </c>
      <c r="C338" t="s">
        <v>984</v>
      </c>
      <c r="D338" t="s">
        <v>985</v>
      </c>
      <c r="E338" t="s">
        <v>983</v>
      </c>
      <c r="F338" t="s">
        <v>19</v>
      </c>
      <c r="G338" s="5" t="s">
        <v>975</v>
      </c>
      <c r="H338" t="s">
        <v>20</v>
      </c>
      <c r="I338" t="s">
        <v>21</v>
      </c>
      <c r="J338" s="1">
        <v>161</v>
      </c>
      <c r="K338" s="1">
        <v>2981</v>
      </c>
      <c r="L338" t="s">
        <v>23</v>
      </c>
      <c r="M338" s="1">
        <v>33</v>
      </c>
      <c r="N338" s="48">
        <v>33</v>
      </c>
      <c r="O338" s="1">
        <v>14</v>
      </c>
      <c r="P338" s="48">
        <v>14.000000000000002</v>
      </c>
      <c r="Q338" s="1">
        <v>0</v>
      </c>
      <c r="R338" s="1">
        <v>0</v>
      </c>
      <c r="S338" s="1">
        <v>2</v>
      </c>
      <c r="T338" s="1">
        <v>2</v>
      </c>
      <c r="U338" s="1">
        <v>1</v>
      </c>
      <c r="V338" s="1">
        <v>1</v>
      </c>
      <c r="W338" s="1">
        <v>0</v>
      </c>
      <c r="X338" s="1">
        <v>0</v>
      </c>
      <c r="Y338" s="1">
        <v>4</v>
      </c>
      <c r="Z338" s="3">
        <v>1.2422360248447204</v>
      </c>
      <c r="AA338" s="1">
        <v>3</v>
      </c>
      <c r="AB338" s="3">
        <v>1.8633540372670807</v>
      </c>
      <c r="AC338" s="1">
        <v>0</v>
      </c>
      <c r="AD338" s="3">
        <v>0</v>
      </c>
      <c r="AE338" s="1">
        <v>2</v>
      </c>
      <c r="AF338" s="3">
        <v>1.2422360248447204</v>
      </c>
      <c r="AG338" s="1">
        <v>9</v>
      </c>
      <c r="AH338" s="3">
        <v>5.5900621118012426</v>
      </c>
      <c r="AI338" s="1" t="s">
        <v>22</v>
      </c>
      <c r="AJ338" s="1">
        <v>3</v>
      </c>
      <c r="AK338" s="3">
        <v>1.8633540372670807</v>
      </c>
      <c r="AL338" s="1">
        <v>3</v>
      </c>
      <c r="AM338" s="3">
        <v>1.8633540372670807</v>
      </c>
      <c r="AN338" s="1" t="s">
        <v>22</v>
      </c>
      <c r="AO338" s="1">
        <v>5</v>
      </c>
      <c r="AP338" s="3">
        <v>3.1055900621118013</v>
      </c>
      <c r="AQ338" s="3">
        <v>3</v>
      </c>
      <c r="AR338" s="3">
        <v>1.8633540372670807</v>
      </c>
      <c r="AS338" s="1">
        <v>8</v>
      </c>
      <c r="AT338" s="3">
        <v>4.9689440993788816</v>
      </c>
      <c r="AU338" s="1">
        <v>3</v>
      </c>
      <c r="AV338" s="3">
        <v>1.8633540372670807</v>
      </c>
      <c r="AW338" s="1" t="s">
        <v>22</v>
      </c>
      <c r="AX338" s="1">
        <v>22</v>
      </c>
      <c r="AY338" s="1">
        <v>0</v>
      </c>
      <c r="AZ338" s="1">
        <v>0</v>
      </c>
      <c r="BA338" s="1">
        <v>44</v>
      </c>
      <c r="BB338" s="1">
        <v>0</v>
      </c>
      <c r="BC338" s="1">
        <v>0</v>
      </c>
      <c r="BD338" s="1">
        <v>1</v>
      </c>
      <c r="BE338" s="54">
        <v>0.6211180124223602</v>
      </c>
      <c r="BF338" s="6">
        <v>21</v>
      </c>
      <c r="BG338" s="6">
        <v>19</v>
      </c>
      <c r="BH338" s="1">
        <v>1</v>
      </c>
      <c r="BI338" s="6">
        <v>10</v>
      </c>
      <c r="BJ338" s="1" t="s">
        <v>22</v>
      </c>
      <c r="BK338" s="6">
        <v>0</v>
      </c>
      <c r="BL338" s="6">
        <v>0</v>
      </c>
      <c r="BM338" s="1">
        <v>1</v>
      </c>
      <c r="BN338" t="s">
        <v>22</v>
      </c>
      <c r="BO338">
        <v>1768</v>
      </c>
    </row>
    <row r="339" spans="1:67" x14ac:dyDescent="0.3">
      <c r="A339" s="4">
        <f>INT(Tabela1[[#This Row],[Data e Hora]])</f>
        <v>46297</v>
      </c>
      <c r="B339" s="4" t="str">
        <f>UPPER(TEXT(Tabela1[[#This Row],[Data Corrigida]],"MMM"))</f>
        <v>OUT</v>
      </c>
      <c r="C339" t="s">
        <v>986</v>
      </c>
      <c r="D339" t="s">
        <v>987</v>
      </c>
      <c r="E339" t="s">
        <v>983</v>
      </c>
      <c r="F339" t="s">
        <v>19</v>
      </c>
      <c r="G339" s="5" t="s">
        <v>975</v>
      </c>
      <c r="H339" t="s">
        <v>20</v>
      </c>
      <c r="I339" t="s">
        <v>21</v>
      </c>
      <c r="J339" s="1">
        <v>161</v>
      </c>
      <c r="K339" s="1">
        <v>2860</v>
      </c>
      <c r="L339" t="s">
        <v>23</v>
      </c>
      <c r="M339" s="1">
        <v>39</v>
      </c>
      <c r="N339" s="48">
        <v>39</v>
      </c>
      <c r="O339" s="1">
        <v>26</v>
      </c>
      <c r="P339" s="48">
        <v>26</v>
      </c>
      <c r="Q339" s="1">
        <v>0</v>
      </c>
      <c r="R339" s="1">
        <v>0</v>
      </c>
      <c r="S339" s="1">
        <v>1</v>
      </c>
      <c r="T339" s="1">
        <v>1</v>
      </c>
      <c r="U339" s="1">
        <v>0</v>
      </c>
      <c r="V339" s="1">
        <v>0</v>
      </c>
      <c r="W339" s="1">
        <v>0</v>
      </c>
      <c r="X339" s="1">
        <v>0</v>
      </c>
      <c r="Y339" s="1">
        <v>3</v>
      </c>
      <c r="Z339" s="3">
        <v>0.93167701863354035</v>
      </c>
      <c r="AA339" s="1">
        <v>3</v>
      </c>
      <c r="AB339" s="3">
        <v>1.8633540372670807</v>
      </c>
      <c r="AC339" s="1">
        <v>0</v>
      </c>
      <c r="AD339" s="3">
        <v>0</v>
      </c>
      <c r="AE339" s="1">
        <v>2</v>
      </c>
      <c r="AF339" s="3">
        <v>1.2422360248447204</v>
      </c>
      <c r="AG339" s="1">
        <v>10</v>
      </c>
      <c r="AH339" s="3">
        <v>6.2111801242236027</v>
      </c>
      <c r="AI339" s="1" t="s">
        <v>22</v>
      </c>
      <c r="AJ339" s="1">
        <v>2</v>
      </c>
      <c r="AK339" s="3">
        <v>1.2422360248447204</v>
      </c>
      <c r="AL339" s="1">
        <v>2</v>
      </c>
      <c r="AM339" s="3">
        <v>1.2422360248447204</v>
      </c>
      <c r="AN339" s="1" t="s">
        <v>22</v>
      </c>
      <c r="AO339" s="1">
        <v>6</v>
      </c>
      <c r="AP339" s="3">
        <v>3.7267080745341614</v>
      </c>
      <c r="AQ339" s="3">
        <v>2</v>
      </c>
      <c r="AR339" s="3">
        <v>1.2422360248447204</v>
      </c>
      <c r="AS339" s="1">
        <v>7</v>
      </c>
      <c r="AT339" s="3">
        <v>4.3478260869565215</v>
      </c>
      <c r="AU339" s="1">
        <v>1</v>
      </c>
      <c r="AV339" s="3">
        <v>0.6211180124223602</v>
      </c>
      <c r="AW339" s="1" t="s">
        <v>22</v>
      </c>
      <c r="AX339" s="1">
        <v>22</v>
      </c>
      <c r="AY339" s="1">
        <v>0</v>
      </c>
      <c r="AZ339" s="1">
        <v>0</v>
      </c>
      <c r="BA339" s="1">
        <v>44</v>
      </c>
      <c r="BB339" s="1">
        <v>0</v>
      </c>
      <c r="BC339" s="1">
        <v>0</v>
      </c>
      <c r="BD339" s="1">
        <v>0</v>
      </c>
      <c r="BE339" s="54">
        <v>0</v>
      </c>
      <c r="BF339" s="6">
        <v>19</v>
      </c>
      <c r="BG339" s="6">
        <v>23</v>
      </c>
      <c r="BH339" s="1">
        <v>1</v>
      </c>
      <c r="BI339" s="6">
        <v>10</v>
      </c>
      <c r="BJ339" s="1" t="s">
        <v>22</v>
      </c>
      <c r="BK339" s="6">
        <v>0</v>
      </c>
      <c r="BL339" s="6">
        <v>0</v>
      </c>
      <c r="BM339" s="1">
        <v>1</v>
      </c>
      <c r="BN339" t="s">
        <v>24</v>
      </c>
      <c r="BO339">
        <v>2231</v>
      </c>
    </row>
    <row r="340" spans="1:67" x14ac:dyDescent="0.3">
      <c r="A340" s="4">
        <f>INT(Tabela1[[#This Row],[Data e Hora]])</f>
        <v>46297</v>
      </c>
      <c r="B340" s="4" t="str">
        <f>UPPER(TEXT(Tabela1[[#This Row],[Data Corrigida]],"MMM"))</f>
        <v>OUT</v>
      </c>
      <c r="C340" t="s">
        <v>988</v>
      </c>
      <c r="D340" t="s">
        <v>989</v>
      </c>
      <c r="E340" t="s">
        <v>990</v>
      </c>
      <c r="F340" t="s">
        <v>19</v>
      </c>
      <c r="G340" s="5" t="s">
        <v>975</v>
      </c>
      <c r="H340" t="s">
        <v>20</v>
      </c>
      <c r="I340" t="s">
        <v>21</v>
      </c>
      <c r="J340" s="1">
        <v>161</v>
      </c>
      <c r="K340" s="1">
        <v>2860</v>
      </c>
      <c r="L340" t="s">
        <v>23</v>
      </c>
      <c r="M340" s="1">
        <v>30</v>
      </c>
      <c r="N340" s="48">
        <v>30</v>
      </c>
      <c r="O340" s="1">
        <v>10</v>
      </c>
      <c r="P340" s="48">
        <v>10</v>
      </c>
      <c r="Q340" s="1">
        <v>0</v>
      </c>
      <c r="R340" s="1">
        <v>0</v>
      </c>
      <c r="S340" s="1">
        <v>1</v>
      </c>
      <c r="T340" s="1">
        <v>1</v>
      </c>
      <c r="U340" s="1">
        <v>1</v>
      </c>
      <c r="V340" s="1">
        <v>1</v>
      </c>
      <c r="W340" s="1">
        <v>0</v>
      </c>
      <c r="X340" s="1">
        <v>0</v>
      </c>
      <c r="Y340" s="1">
        <v>5</v>
      </c>
      <c r="Z340" s="3">
        <v>1.5527950310559007</v>
      </c>
      <c r="AA340" s="1">
        <v>3</v>
      </c>
      <c r="AB340" s="3">
        <v>1.8633540372670807</v>
      </c>
      <c r="AC340" s="1">
        <v>0</v>
      </c>
      <c r="AD340" s="3">
        <v>0</v>
      </c>
      <c r="AE340" s="1">
        <v>1</v>
      </c>
      <c r="AF340" s="3">
        <v>0.6211180124223602</v>
      </c>
      <c r="AG340" s="1">
        <v>8</v>
      </c>
      <c r="AH340" s="3">
        <v>4.9689440993788816</v>
      </c>
      <c r="AI340" s="1" t="s">
        <v>22</v>
      </c>
      <c r="AJ340" s="1">
        <v>2</v>
      </c>
      <c r="AK340" s="3">
        <v>1.2422360248447204</v>
      </c>
      <c r="AL340" s="1">
        <v>1</v>
      </c>
      <c r="AM340" s="3">
        <v>0.6211180124223602</v>
      </c>
      <c r="AN340" s="1" t="s">
        <v>22</v>
      </c>
      <c r="AO340" s="1">
        <v>6</v>
      </c>
      <c r="AP340" s="3">
        <v>3.7267080745341614</v>
      </c>
      <c r="AQ340" s="3">
        <v>2</v>
      </c>
      <c r="AR340" s="3">
        <v>1.2422360248447204</v>
      </c>
      <c r="AS340" s="1">
        <v>6</v>
      </c>
      <c r="AT340" s="3">
        <v>3.7267080745341614</v>
      </c>
      <c r="AU340" s="1">
        <v>1</v>
      </c>
      <c r="AV340" s="3">
        <v>0.6211180124223602</v>
      </c>
      <c r="AW340" s="1" t="s">
        <v>22</v>
      </c>
      <c r="AX340" s="1">
        <v>19</v>
      </c>
      <c r="AY340" s="1">
        <v>0</v>
      </c>
      <c r="AZ340" s="1">
        <v>0</v>
      </c>
      <c r="BA340" s="1">
        <v>38</v>
      </c>
      <c r="BB340" s="1">
        <v>0</v>
      </c>
      <c r="BC340" s="1">
        <v>0</v>
      </c>
      <c r="BD340" s="1">
        <v>0</v>
      </c>
      <c r="BE340" s="54">
        <v>0</v>
      </c>
      <c r="BF340" s="6">
        <v>19</v>
      </c>
      <c r="BG340" s="6">
        <v>25</v>
      </c>
      <c r="BH340" s="1">
        <v>1</v>
      </c>
      <c r="BI340" s="6">
        <v>10</v>
      </c>
      <c r="BJ340" s="1" t="s">
        <v>22</v>
      </c>
      <c r="BK340" s="1" t="s">
        <v>22</v>
      </c>
      <c r="BL340" s="1" t="s">
        <v>22</v>
      </c>
      <c r="BM340" s="1" t="s">
        <v>22</v>
      </c>
      <c r="BN340" t="s">
        <v>24</v>
      </c>
      <c r="BO340">
        <v>1768</v>
      </c>
    </row>
    <row r="341" spans="1:67" x14ac:dyDescent="0.3">
      <c r="A341" s="4">
        <f>INT(Tabela1[[#This Row],[Data e Hora]])</f>
        <v>46303</v>
      </c>
      <c r="B341" s="4" t="str">
        <f>UPPER(TEXT(Tabela1[[#This Row],[Data Corrigida]],"MMM"))</f>
        <v>OUT</v>
      </c>
      <c r="C341" s="57" t="s">
        <v>991</v>
      </c>
      <c r="D341" t="s">
        <v>992</v>
      </c>
      <c r="E341" t="s">
        <v>993</v>
      </c>
      <c r="F341" t="s">
        <v>19</v>
      </c>
      <c r="G341" s="5" t="s">
        <v>994</v>
      </c>
      <c r="H341" t="s">
        <v>20</v>
      </c>
      <c r="I341" t="s">
        <v>21</v>
      </c>
      <c r="J341" s="1">
        <v>161</v>
      </c>
      <c r="K341" s="1">
        <v>3225</v>
      </c>
      <c r="L341" t="s">
        <v>23</v>
      </c>
      <c r="M341" s="1">
        <v>29</v>
      </c>
      <c r="N341" s="48">
        <v>28.999999999999996</v>
      </c>
      <c r="O341" s="1">
        <v>11</v>
      </c>
      <c r="P341" s="48">
        <v>11</v>
      </c>
      <c r="Q341" s="1">
        <v>0</v>
      </c>
      <c r="R341" s="1">
        <v>0</v>
      </c>
      <c r="S341" s="1">
        <v>1</v>
      </c>
      <c r="T341" s="1">
        <v>1</v>
      </c>
      <c r="U341" s="1">
        <v>1</v>
      </c>
      <c r="V341" s="1">
        <v>1</v>
      </c>
      <c r="W341" s="1">
        <v>0</v>
      </c>
      <c r="X341" s="1">
        <v>0</v>
      </c>
      <c r="Y341" s="1">
        <v>2</v>
      </c>
      <c r="Z341" s="3">
        <v>0.6211180124223602</v>
      </c>
      <c r="AA341" s="1">
        <v>3</v>
      </c>
      <c r="AB341" s="3">
        <v>1.8633540372670807</v>
      </c>
      <c r="AC341" s="1">
        <v>1</v>
      </c>
      <c r="AD341" s="3">
        <v>0.6211180124223602</v>
      </c>
      <c r="AE341" s="1">
        <v>2</v>
      </c>
      <c r="AF341" s="3">
        <v>1.2422360248447204</v>
      </c>
      <c r="AG341" s="1">
        <v>7</v>
      </c>
      <c r="AH341" s="3">
        <v>4.3478260869565215</v>
      </c>
      <c r="AI341" s="1" t="s">
        <v>22</v>
      </c>
      <c r="AJ341" s="1">
        <v>3</v>
      </c>
      <c r="AK341" s="3">
        <v>1.8633540372670807</v>
      </c>
      <c r="AL341" s="1">
        <v>2</v>
      </c>
      <c r="AM341" s="3">
        <v>1.2422360248447204</v>
      </c>
      <c r="AN341" s="1" t="s">
        <v>22</v>
      </c>
      <c r="AO341" s="1">
        <v>6</v>
      </c>
      <c r="AP341" s="3">
        <v>3.7267080745341614</v>
      </c>
      <c r="AQ341" s="3">
        <v>2</v>
      </c>
      <c r="AR341" s="3">
        <v>1.2422360248447204</v>
      </c>
      <c r="AS341" s="1">
        <v>9</v>
      </c>
      <c r="AT341" s="3">
        <v>5.5900621118012426</v>
      </c>
      <c r="AU341" s="1">
        <v>1</v>
      </c>
      <c r="AV341" s="3">
        <v>0.6211180124223602</v>
      </c>
      <c r="AW341" s="1" t="s">
        <v>22</v>
      </c>
      <c r="AX341" s="1">
        <v>20</v>
      </c>
      <c r="AY341" s="1">
        <v>0</v>
      </c>
      <c r="AZ341" s="1">
        <v>0</v>
      </c>
      <c r="BA341" s="1">
        <v>40</v>
      </c>
      <c r="BB341" s="1">
        <v>0</v>
      </c>
      <c r="BC341" s="1">
        <v>0</v>
      </c>
      <c r="BD341" s="1">
        <v>2</v>
      </c>
      <c r="BE341" s="54">
        <v>1.2422360248447204</v>
      </c>
      <c r="BF341" s="6">
        <v>21</v>
      </c>
      <c r="BG341" s="6">
        <v>20</v>
      </c>
      <c r="BH341" s="1">
        <v>2</v>
      </c>
      <c r="BI341" s="6">
        <v>20</v>
      </c>
      <c r="BJ341" s="1" t="s">
        <v>22</v>
      </c>
      <c r="BK341" s="6">
        <v>1</v>
      </c>
      <c r="BL341" s="6">
        <v>0</v>
      </c>
      <c r="BM341" s="1">
        <v>2</v>
      </c>
      <c r="BN341" t="s">
        <v>22</v>
      </c>
      <c r="BO341">
        <v>3188</v>
      </c>
    </row>
    <row r="342" spans="1:67" x14ac:dyDescent="0.3">
      <c r="A342" s="4">
        <f>INT(Tabela1[[#This Row],[Data e Hora]])</f>
        <v>46303</v>
      </c>
      <c r="B342" s="4" t="str">
        <f>UPPER(TEXT(Tabela1[[#This Row],[Data Corrigida]],"MMM"))</f>
        <v>OUT</v>
      </c>
      <c r="C342" t="s">
        <v>995</v>
      </c>
      <c r="D342" t="s">
        <v>996</v>
      </c>
      <c r="E342" t="s">
        <v>993</v>
      </c>
      <c r="F342" t="s">
        <v>19</v>
      </c>
      <c r="G342" s="5" t="s">
        <v>994</v>
      </c>
      <c r="H342" t="s">
        <v>20</v>
      </c>
      <c r="I342" t="s">
        <v>21</v>
      </c>
      <c r="J342" s="1">
        <v>161</v>
      </c>
      <c r="K342" s="1">
        <v>2948</v>
      </c>
      <c r="L342" t="s">
        <v>23</v>
      </c>
      <c r="M342" s="1">
        <v>33</v>
      </c>
      <c r="N342" s="48">
        <v>33</v>
      </c>
      <c r="O342" s="1">
        <v>14</v>
      </c>
      <c r="P342" s="48">
        <v>14.000000000000002</v>
      </c>
      <c r="Q342" s="1">
        <v>0</v>
      </c>
      <c r="R342" s="1">
        <v>0</v>
      </c>
      <c r="S342" s="1">
        <v>2</v>
      </c>
      <c r="T342" s="1">
        <v>2</v>
      </c>
      <c r="U342" s="1" t="s">
        <v>22</v>
      </c>
      <c r="V342" s="1" t="s">
        <v>22</v>
      </c>
      <c r="W342" s="1">
        <v>0</v>
      </c>
      <c r="X342" s="1">
        <v>0</v>
      </c>
      <c r="Y342" s="1">
        <v>1</v>
      </c>
      <c r="Z342" s="3">
        <v>0.3105590062111801</v>
      </c>
      <c r="AA342" s="1">
        <v>10</v>
      </c>
      <c r="AB342" s="3">
        <v>6.2111801242236027</v>
      </c>
      <c r="AC342" s="1">
        <v>0</v>
      </c>
      <c r="AD342" s="3">
        <v>0</v>
      </c>
      <c r="AE342" s="1">
        <v>1</v>
      </c>
      <c r="AF342" s="3">
        <v>0.6211180124223602</v>
      </c>
      <c r="AG342" s="1">
        <v>9</v>
      </c>
      <c r="AH342" s="3">
        <v>5.5900621118012426</v>
      </c>
      <c r="AI342" s="1" t="s">
        <v>22</v>
      </c>
      <c r="AJ342" s="1">
        <v>2</v>
      </c>
      <c r="AK342" s="3">
        <v>1.2422360248447204</v>
      </c>
      <c r="AL342" s="1">
        <v>2</v>
      </c>
      <c r="AM342" s="3">
        <v>1.2422360248447204</v>
      </c>
      <c r="AN342" s="1" t="s">
        <v>22</v>
      </c>
      <c r="AO342" s="1">
        <v>14</v>
      </c>
      <c r="AP342" s="3">
        <v>8.695652173913043</v>
      </c>
      <c r="AQ342" s="3">
        <v>1</v>
      </c>
      <c r="AR342" s="3">
        <v>0.6211180124223602</v>
      </c>
      <c r="AS342" s="1">
        <v>7</v>
      </c>
      <c r="AT342" s="3">
        <v>4.3478260869565215</v>
      </c>
      <c r="AU342" s="1">
        <v>1</v>
      </c>
      <c r="AV342" s="3">
        <v>0.6211180124223602</v>
      </c>
      <c r="AW342" s="1" t="s">
        <v>22</v>
      </c>
      <c r="AX342" s="1">
        <v>22</v>
      </c>
      <c r="AY342" s="1">
        <v>1</v>
      </c>
      <c r="AZ342" s="1">
        <v>1</v>
      </c>
      <c r="BA342" s="1">
        <v>44</v>
      </c>
      <c r="BB342" s="1">
        <v>2</v>
      </c>
      <c r="BC342" s="1">
        <v>2</v>
      </c>
      <c r="BD342" s="1">
        <v>3</v>
      </c>
      <c r="BE342" s="54">
        <v>1.8633540372670807</v>
      </c>
      <c r="BF342" s="6">
        <v>16</v>
      </c>
      <c r="BG342" s="6">
        <v>18</v>
      </c>
      <c r="BH342" s="1">
        <v>1</v>
      </c>
      <c r="BI342" s="6">
        <v>10</v>
      </c>
      <c r="BJ342" s="1" t="s">
        <v>22</v>
      </c>
      <c r="BK342" s="6">
        <v>0</v>
      </c>
      <c r="BL342" s="6">
        <v>0</v>
      </c>
      <c r="BM342" s="1">
        <v>1</v>
      </c>
      <c r="BN342" t="s">
        <v>22</v>
      </c>
      <c r="BO342">
        <v>1715</v>
      </c>
    </row>
    <row r="343" spans="1:67" x14ac:dyDescent="0.3">
      <c r="A343" s="4">
        <f>INT(Tabela1[[#This Row],[Data e Hora]])</f>
        <v>46303</v>
      </c>
      <c r="B343" s="4" t="str">
        <f>UPPER(TEXT(Tabela1[[#This Row],[Data Corrigida]],"MMM"))</f>
        <v>OUT</v>
      </c>
      <c r="C343" t="s">
        <v>997</v>
      </c>
      <c r="D343" t="s">
        <v>998</v>
      </c>
      <c r="E343" t="s">
        <v>999</v>
      </c>
      <c r="F343" t="s">
        <v>19</v>
      </c>
      <c r="G343" s="5" t="s">
        <v>994</v>
      </c>
      <c r="H343" t="s">
        <v>20</v>
      </c>
      <c r="I343" t="s">
        <v>21</v>
      </c>
      <c r="J343" s="1">
        <v>140</v>
      </c>
      <c r="K343" s="1">
        <v>3052</v>
      </c>
      <c r="L343" t="s">
        <v>23</v>
      </c>
      <c r="M343" s="1">
        <v>23</v>
      </c>
      <c r="N343" s="48">
        <v>23</v>
      </c>
      <c r="O343" s="1">
        <v>6</v>
      </c>
      <c r="P343" s="48">
        <v>6</v>
      </c>
      <c r="Q343" s="1">
        <v>0</v>
      </c>
      <c r="R343" s="1">
        <v>0</v>
      </c>
      <c r="S343" s="1">
        <v>2</v>
      </c>
      <c r="T343" s="1">
        <v>2</v>
      </c>
      <c r="U343" s="1">
        <v>0</v>
      </c>
      <c r="V343" s="1">
        <v>0</v>
      </c>
      <c r="W343" s="1">
        <v>0</v>
      </c>
      <c r="X343" s="1">
        <v>0</v>
      </c>
      <c r="Y343" s="1">
        <v>1</v>
      </c>
      <c r="Z343" s="3">
        <v>0.35714285714285715</v>
      </c>
      <c r="AA343" s="1">
        <v>8</v>
      </c>
      <c r="AB343" s="3">
        <v>5.7142857142857144</v>
      </c>
      <c r="AC343" s="1">
        <v>1</v>
      </c>
      <c r="AD343" s="3">
        <v>0.7142857142857143</v>
      </c>
      <c r="AE343" s="1">
        <v>2</v>
      </c>
      <c r="AF343" s="3">
        <v>1.4285714285714286</v>
      </c>
      <c r="AG343" s="1">
        <v>9</v>
      </c>
      <c r="AH343" s="3">
        <v>6.4285714285714279</v>
      </c>
      <c r="AI343" s="1" t="s">
        <v>22</v>
      </c>
      <c r="AJ343" s="1">
        <v>2</v>
      </c>
      <c r="AK343" s="3">
        <v>1.4285714285714286</v>
      </c>
      <c r="AL343" s="1">
        <v>2</v>
      </c>
      <c r="AM343" s="3">
        <v>1.4285714285714286</v>
      </c>
      <c r="AN343" s="1" t="s">
        <v>22</v>
      </c>
      <c r="AO343" s="1">
        <v>12</v>
      </c>
      <c r="AP343" s="3">
        <v>8.5714285714285712</v>
      </c>
      <c r="AQ343" s="3">
        <v>2</v>
      </c>
      <c r="AR343" s="3">
        <v>1.4285714285714286</v>
      </c>
      <c r="AS343" s="1">
        <v>7</v>
      </c>
      <c r="AT343" s="3">
        <v>5</v>
      </c>
      <c r="AU343" s="1">
        <v>1</v>
      </c>
      <c r="AV343" s="3">
        <v>0.7142857142857143</v>
      </c>
      <c r="AW343" s="1" t="s">
        <v>22</v>
      </c>
      <c r="AX343" s="1">
        <v>21</v>
      </c>
      <c r="AY343" s="1">
        <v>0</v>
      </c>
      <c r="AZ343" s="1">
        <v>0</v>
      </c>
      <c r="BA343" s="1">
        <v>42</v>
      </c>
      <c r="BB343" s="1">
        <v>0</v>
      </c>
      <c r="BC343" s="1">
        <v>0</v>
      </c>
      <c r="BD343" s="1">
        <v>2</v>
      </c>
      <c r="BE343" s="54">
        <v>1.4285714285714286</v>
      </c>
      <c r="BF343" s="6">
        <v>17</v>
      </c>
      <c r="BG343" s="6">
        <v>19</v>
      </c>
      <c r="BH343" s="1">
        <v>1</v>
      </c>
      <c r="BI343" s="6">
        <v>10</v>
      </c>
      <c r="BJ343" s="1" t="s">
        <v>22</v>
      </c>
      <c r="BK343" s="6">
        <v>1</v>
      </c>
      <c r="BL343" s="6">
        <v>0</v>
      </c>
      <c r="BM343" s="1">
        <v>1</v>
      </c>
      <c r="BN343" t="s">
        <v>24</v>
      </c>
      <c r="BO343">
        <v>1922</v>
      </c>
    </row>
    <row r="344" spans="1:67" x14ac:dyDescent="0.3">
      <c r="A344" s="4">
        <f>INT(Tabela1[[#This Row],[Data e Hora]])</f>
        <v>46303</v>
      </c>
      <c r="B344" s="4" t="str">
        <f>UPPER(TEXT(Tabela1[[#This Row],[Data Corrigida]],"MMM"))</f>
        <v>OUT</v>
      </c>
      <c r="C344" t="s">
        <v>1000</v>
      </c>
      <c r="D344" t="s">
        <v>1001</v>
      </c>
      <c r="E344" t="s">
        <v>999</v>
      </c>
      <c r="F344" t="s">
        <v>19</v>
      </c>
      <c r="G344" s="5" t="s">
        <v>994</v>
      </c>
      <c r="H344" t="s">
        <v>20</v>
      </c>
      <c r="I344" t="s">
        <v>21</v>
      </c>
      <c r="J344" s="1">
        <v>154</v>
      </c>
      <c r="K344" s="1">
        <v>2835</v>
      </c>
      <c r="L344" t="s">
        <v>23</v>
      </c>
      <c r="M344" s="1">
        <v>29</v>
      </c>
      <c r="N344" s="48">
        <v>28.999999999999996</v>
      </c>
      <c r="O344" s="1">
        <v>19</v>
      </c>
      <c r="P344" s="48">
        <v>19</v>
      </c>
      <c r="Q344" s="1">
        <v>0</v>
      </c>
      <c r="R344" s="1">
        <v>0</v>
      </c>
      <c r="S344" s="1">
        <v>2</v>
      </c>
      <c r="T344" s="1">
        <v>2</v>
      </c>
      <c r="U344" s="1">
        <v>1</v>
      </c>
      <c r="V344" s="1">
        <v>1</v>
      </c>
      <c r="W344" s="1">
        <v>0</v>
      </c>
      <c r="X344" s="1">
        <v>0</v>
      </c>
      <c r="Y344" s="1">
        <v>3</v>
      </c>
      <c r="Z344" s="3">
        <v>0.97402597402597402</v>
      </c>
      <c r="AA344" s="1">
        <v>3</v>
      </c>
      <c r="AB344" s="3">
        <v>1.948051948051948</v>
      </c>
      <c r="AC344" s="1">
        <v>0</v>
      </c>
      <c r="AD344" s="3">
        <v>0</v>
      </c>
      <c r="AE344" s="1">
        <v>1</v>
      </c>
      <c r="AF344" s="3">
        <v>0.64935064935064934</v>
      </c>
      <c r="AG344" s="1">
        <v>9</v>
      </c>
      <c r="AH344" s="3">
        <v>5.8441558441558437</v>
      </c>
      <c r="AI344" s="1" t="s">
        <v>22</v>
      </c>
      <c r="AJ344" s="1">
        <v>2</v>
      </c>
      <c r="AK344" s="3">
        <v>1.2987012987012987</v>
      </c>
      <c r="AL344" s="1">
        <v>2</v>
      </c>
      <c r="AM344" s="3">
        <v>1.2987012987012987</v>
      </c>
      <c r="AN344" s="1" t="s">
        <v>22</v>
      </c>
      <c r="AO344" s="1">
        <v>6</v>
      </c>
      <c r="AP344" s="3">
        <v>3.8961038961038961</v>
      </c>
      <c r="AQ344" s="3">
        <v>1</v>
      </c>
      <c r="AR344" s="3">
        <v>0.64935064935064934</v>
      </c>
      <c r="AS344" s="1">
        <v>7</v>
      </c>
      <c r="AT344" s="3">
        <v>4.5454545454545459</v>
      </c>
      <c r="AU344" s="1">
        <v>1</v>
      </c>
      <c r="AV344" s="3">
        <v>0.64935064935064934</v>
      </c>
      <c r="AW344" s="1" t="s">
        <v>22</v>
      </c>
      <c r="AX344" s="1">
        <v>20</v>
      </c>
      <c r="AY344" s="1">
        <v>0</v>
      </c>
      <c r="AZ344" s="1">
        <v>0</v>
      </c>
      <c r="BA344" s="1">
        <v>40</v>
      </c>
      <c r="BB344" s="1">
        <v>0</v>
      </c>
      <c r="BC344" s="1">
        <v>0</v>
      </c>
      <c r="BD344" s="1">
        <v>0</v>
      </c>
      <c r="BE344" s="54">
        <v>0</v>
      </c>
      <c r="BF344" s="6">
        <v>13</v>
      </c>
      <c r="BG344" s="6">
        <v>19</v>
      </c>
      <c r="BH344" s="1">
        <v>1</v>
      </c>
      <c r="BI344" s="6">
        <v>10</v>
      </c>
      <c r="BJ344" s="1" t="s">
        <v>22</v>
      </c>
      <c r="BK344" s="1" t="s">
        <v>22</v>
      </c>
      <c r="BL344" s="1" t="s">
        <v>22</v>
      </c>
      <c r="BM344" s="1" t="s">
        <v>22</v>
      </c>
      <c r="BN344" t="s">
        <v>22</v>
      </c>
      <c r="BO344">
        <v>1753</v>
      </c>
    </row>
    <row r="345" spans="1:67" x14ac:dyDescent="0.3">
      <c r="A345" s="4">
        <f>INT(Tabela1[[#This Row],[Data e Hora]])</f>
        <v>46302</v>
      </c>
      <c r="B345" s="4" t="str">
        <f>UPPER(TEXT(Tabela1[[#This Row],[Data Corrigida]],"MMM"))</f>
        <v>OUT</v>
      </c>
      <c r="C345" t="s">
        <v>1002</v>
      </c>
      <c r="D345" t="s">
        <v>1003</v>
      </c>
      <c r="E345" t="s">
        <v>1004</v>
      </c>
      <c r="F345" t="s">
        <v>19</v>
      </c>
      <c r="G345" s="5" t="s">
        <v>1005</v>
      </c>
      <c r="H345" t="s">
        <v>20</v>
      </c>
      <c r="I345" t="s">
        <v>33</v>
      </c>
      <c r="J345" s="1">
        <v>161</v>
      </c>
      <c r="K345" s="1">
        <v>3160</v>
      </c>
      <c r="L345" t="s">
        <v>34</v>
      </c>
      <c r="M345" s="1">
        <v>20</v>
      </c>
      <c r="N345" s="48">
        <v>20</v>
      </c>
      <c r="O345" s="1">
        <v>5</v>
      </c>
      <c r="P345" s="48">
        <v>5</v>
      </c>
      <c r="Q345" s="1">
        <v>0</v>
      </c>
      <c r="R345" s="1">
        <v>0</v>
      </c>
      <c r="S345" s="1">
        <v>1</v>
      </c>
      <c r="T345" s="1">
        <v>1</v>
      </c>
      <c r="U345" s="1">
        <v>0</v>
      </c>
      <c r="V345" s="1">
        <v>0</v>
      </c>
      <c r="W345" s="1">
        <v>0</v>
      </c>
      <c r="X345" s="1">
        <v>0</v>
      </c>
      <c r="Y345" s="1">
        <v>6</v>
      </c>
      <c r="Z345" s="3">
        <v>1.8633540372670807</v>
      </c>
      <c r="AA345" s="1">
        <v>4</v>
      </c>
      <c r="AB345" s="3">
        <v>2.4844720496894408</v>
      </c>
      <c r="AC345" s="1">
        <v>0</v>
      </c>
      <c r="AD345" s="3">
        <v>0</v>
      </c>
      <c r="AE345" s="1">
        <v>1</v>
      </c>
      <c r="AF345" s="3">
        <v>0.6211180124223602</v>
      </c>
      <c r="AG345" s="1">
        <v>2</v>
      </c>
      <c r="AH345" s="3">
        <v>1.2422360248447204</v>
      </c>
      <c r="AI345" s="1" t="s">
        <v>22</v>
      </c>
      <c r="AJ345" s="1">
        <v>0</v>
      </c>
      <c r="AK345" s="3">
        <v>0</v>
      </c>
      <c r="AL345" s="1">
        <v>0</v>
      </c>
      <c r="AM345" s="3">
        <v>0</v>
      </c>
      <c r="AN345" s="1" t="s">
        <v>22</v>
      </c>
      <c r="AO345" s="1">
        <v>6</v>
      </c>
      <c r="AP345" s="3">
        <v>3.7267080745341614</v>
      </c>
      <c r="AQ345" s="3">
        <v>4</v>
      </c>
      <c r="AR345" s="3">
        <v>2.4844720496894408</v>
      </c>
      <c r="AS345" s="1">
        <v>6</v>
      </c>
      <c r="AT345" s="3">
        <v>3.7267080745341614</v>
      </c>
      <c r="AU345" s="1">
        <v>0</v>
      </c>
      <c r="AV345" s="3">
        <v>0</v>
      </c>
      <c r="AW345" s="1" t="s">
        <v>22</v>
      </c>
      <c r="AX345" s="1">
        <v>18</v>
      </c>
      <c r="AY345" s="1">
        <v>0</v>
      </c>
      <c r="AZ345" s="1">
        <v>0</v>
      </c>
      <c r="BA345" s="1">
        <v>36</v>
      </c>
      <c r="BB345" s="1">
        <v>0</v>
      </c>
      <c r="BC345" s="1">
        <v>0</v>
      </c>
      <c r="BD345" s="1">
        <v>0</v>
      </c>
      <c r="BE345" s="54">
        <v>0</v>
      </c>
      <c r="BF345" s="6">
        <v>20</v>
      </c>
      <c r="BG345" s="6">
        <v>18</v>
      </c>
      <c r="BH345" s="1">
        <v>0</v>
      </c>
      <c r="BI345" s="6">
        <v>0</v>
      </c>
      <c r="BJ345" s="1" t="s">
        <v>22</v>
      </c>
      <c r="BK345" s="6">
        <v>0</v>
      </c>
      <c r="BL345" s="6">
        <v>0</v>
      </c>
      <c r="BM345" s="1">
        <v>0</v>
      </c>
      <c r="BN345" t="s">
        <v>24</v>
      </c>
      <c r="BO345">
        <v>236</v>
      </c>
    </row>
    <row r="346" spans="1:67" x14ac:dyDescent="0.3">
      <c r="A346" s="4">
        <f>INT(Tabela1[[#This Row],[Data e Hora]])</f>
        <v>46302</v>
      </c>
      <c r="B346" s="4" t="str">
        <f>UPPER(TEXT(Tabela1[[#This Row],[Data Corrigida]],"MMM"))</f>
        <v>OUT</v>
      </c>
      <c r="C346" t="s">
        <v>1006</v>
      </c>
      <c r="D346" t="s">
        <v>1007</v>
      </c>
      <c r="E346" t="s">
        <v>1004</v>
      </c>
      <c r="F346" t="s">
        <v>19</v>
      </c>
      <c r="G346" s="5" t="s">
        <v>1005</v>
      </c>
      <c r="H346" t="s">
        <v>20</v>
      </c>
      <c r="I346" t="s">
        <v>33</v>
      </c>
      <c r="J346" s="1">
        <v>161</v>
      </c>
      <c r="K346" s="1">
        <v>3050</v>
      </c>
      <c r="L346" t="s">
        <v>34</v>
      </c>
      <c r="M346" s="1">
        <v>15</v>
      </c>
      <c r="N346" s="48">
        <v>15</v>
      </c>
      <c r="O346" s="1">
        <v>5</v>
      </c>
      <c r="P346" s="48">
        <v>5</v>
      </c>
      <c r="Q346" s="1">
        <v>0</v>
      </c>
      <c r="R346" s="1">
        <v>0</v>
      </c>
      <c r="S346" s="1">
        <v>1</v>
      </c>
      <c r="T346" s="1">
        <v>1</v>
      </c>
      <c r="U346" s="1">
        <v>0</v>
      </c>
      <c r="V346" s="1">
        <v>0</v>
      </c>
      <c r="W346" s="1">
        <v>0</v>
      </c>
      <c r="X346" s="1">
        <v>0</v>
      </c>
      <c r="Y346" s="1">
        <v>5</v>
      </c>
      <c r="Z346" s="3">
        <v>1.5527950310559007</v>
      </c>
      <c r="AA346" s="1">
        <v>4</v>
      </c>
      <c r="AB346" s="3">
        <v>2.4844720496894408</v>
      </c>
      <c r="AC346" s="1">
        <v>0</v>
      </c>
      <c r="AD346" s="3">
        <v>0</v>
      </c>
      <c r="AE346" s="1">
        <v>2</v>
      </c>
      <c r="AF346" s="3">
        <v>1.2422360248447204</v>
      </c>
      <c r="AG346" s="1">
        <v>1</v>
      </c>
      <c r="AH346" s="3">
        <v>0.6211180124223602</v>
      </c>
      <c r="AI346" s="1" t="s">
        <v>22</v>
      </c>
      <c r="AJ346" s="1">
        <v>0</v>
      </c>
      <c r="AK346" s="3">
        <v>0</v>
      </c>
      <c r="AL346" s="1">
        <v>0</v>
      </c>
      <c r="AM346" s="3">
        <v>0</v>
      </c>
      <c r="AN346" s="1" t="s">
        <v>22</v>
      </c>
      <c r="AO346" s="1">
        <v>6</v>
      </c>
      <c r="AP346" s="3">
        <v>3.7267080745341614</v>
      </c>
      <c r="AQ346" s="3">
        <v>6</v>
      </c>
      <c r="AR346" s="3">
        <v>3.7267080745341614</v>
      </c>
      <c r="AS346" s="1">
        <v>4</v>
      </c>
      <c r="AT346" s="3">
        <v>2.4844720496894408</v>
      </c>
      <c r="AU346" s="1">
        <v>1</v>
      </c>
      <c r="AV346" s="3">
        <v>0.6211180124223602</v>
      </c>
      <c r="AW346" s="1" t="s">
        <v>22</v>
      </c>
      <c r="AX346" s="1">
        <v>19</v>
      </c>
      <c r="AY346" s="1">
        <v>1</v>
      </c>
      <c r="AZ346" s="1">
        <v>1</v>
      </c>
      <c r="BA346" s="1">
        <v>38</v>
      </c>
      <c r="BB346" s="1">
        <v>2</v>
      </c>
      <c r="BC346" s="1">
        <v>2</v>
      </c>
      <c r="BD346" s="1">
        <v>1</v>
      </c>
      <c r="BE346" s="54">
        <v>0.6211180124223602</v>
      </c>
      <c r="BF346" s="6">
        <v>22</v>
      </c>
      <c r="BG346" s="6">
        <v>17</v>
      </c>
      <c r="BH346" s="1">
        <v>0</v>
      </c>
      <c r="BI346" s="6">
        <v>0</v>
      </c>
      <c r="BJ346" s="1" t="s">
        <v>22</v>
      </c>
      <c r="BK346" s="6">
        <v>6</v>
      </c>
      <c r="BL346" s="6">
        <v>0</v>
      </c>
      <c r="BM346" s="1">
        <v>0</v>
      </c>
      <c r="BN346" t="s">
        <v>24</v>
      </c>
      <c r="BO346">
        <v>7136</v>
      </c>
    </row>
    <row r="347" spans="1:67" x14ac:dyDescent="0.3">
      <c r="A347" s="4">
        <f>INT(Tabela1[[#This Row],[Data e Hora]])</f>
        <v>46302</v>
      </c>
      <c r="B347" s="4" t="str">
        <f>UPPER(TEXT(Tabela1[[#This Row],[Data Corrigida]],"MMM"))</f>
        <v>OUT</v>
      </c>
      <c r="C347" t="s">
        <v>1008</v>
      </c>
      <c r="D347" t="s">
        <v>1009</v>
      </c>
      <c r="E347" t="s">
        <v>1010</v>
      </c>
      <c r="F347" t="s">
        <v>19</v>
      </c>
      <c r="G347" s="5" t="s">
        <v>1005</v>
      </c>
      <c r="H347" t="s">
        <v>20</v>
      </c>
      <c r="I347" t="s">
        <v>33</v>
      </c>
      <c r="J347" s="1">
        <v>130</v>
      </c>
      <c r="K347" s="1">
        <v>3050</v>
      </c>
      <c r="L347" t="s">
        <v>34</v>
      </c>
      <c r="M347" s="1">
        <v>12</v>
      </c>
      <c r="N347" s="48">
        <v>12</v>
      </c>
      <c r="O347" s="1">
        <v>5</v>
      </c>
      <c r="P347" s="48">
        <v>5</v>
      </c>
      <c r="Q347" s="1">
        <v>2</v>
      </c>
      <c r="R347" s="1">
        <v>20</v>
      </c>
      <c r="S347" s="1">
        <v>2</v>
      </c>
      <c r="T347" s="1">
        <v>2</v>
      </c>
      <c r="U347" s="1">
        <v>0</v>
      </c>
      <c r="V347" s="1">
        <v>0</v>
      </c>
      <c r="W347" s="1">
        <v>0</v>
      </c>
      <c r="X347" s="1">
        <v>0</v>
      </c>
      <c r="Y347" s="1">
        <v>4</v>
      </c>
      <c r="Z347" s="3">
        <v>1.5384615384615385</v>
      </c>
      <c r="AA347" s="1">
        <v>5</v>
      </c>
      <c r="AB347" s="3">
        <v>3.8461538461538463</v>
      </c>
      <c r="AC347" s="1">
        <v>0</v>
      </c>
      <c r="AD347" s="3">
        <v>0</v>
      </c>
      <c r="AE347" s="1">
        <v>1</v>
      </c>
      <c r="AF347" s="3">
        <v>0.76923076923076927</v>
      </c>
      <c r="AG347" s="1">
        <v>1</v>
      </c>
      <c r="AH347" s="3">
        <v>0.76923076923076927</v>
      </c>
      <c r="AI347" s="1" t="s">
        <v>22</v>
      </c>
      <c r="AJ347" s="1">
        <v>0</v>
      </c>
      <c r="AK347" s="3">
        <v>0</v>
      </c>
      <c r="AL347" s="1">
        <v>0</v>
      </c>
      <c r="AM347" s="3">
        <v>0</v>
      </c>
      <c r="AN347" s="1" t="s">
        <v>1011</v>
      </c>
      <c r="AO347" s="1">
        <v>8</v>
      </c>
      <c r="AP347" s="3">
        <v>6.1538461538461542</v>
      </c>
      <c r="AQ347" s="3">
        <v>5</v>
      </c>
      <c r="AR347" s="3">
        <v>3.8461538461538463</v>
      </c>
      <c r="AS347" s="1">
        <v>6</v>
      </c>
      <c r="AT347" s="3">
        <v>4.6153846153846159</v>
      </c>
      <c r="AU347" s="1">
        <v>1</v>
      </c>
      <c r="AV347" s="3">
        <v>0.76923076923076927</v>
      </c>
      <c r="AW347" s="1" t="s">
        <v>22</v>
      </c>
      <c r="AX347" s="1">
        <v>16</v>
      </c>
      <c r="AY347" s="1">
        <v>1</v>
      </c>
      <c r="AZ347" s="1">
        <v>0</v>
      </c>
      <c r="BA347" s="1">
        <v>32</v>
      </c>
      <c r="BB347" s="1">
        <v>2</v>
      </c>
      <c r="BC347" s="1">
        <v>0</v>
      </c>
      <c r="BD347" s="1">
        <v>2</v>
      </c>
      <c r="BE347" s="54">
        <v>1.5384615384615385</v>
      </c>
      <c r="BF347" s="6">
        <v>20</v>
      </c>
      <c r="BG347" s="6">
        <v>16</v>
      </c>
      <c r="BH347" s="1">
        <v>0</v>
      </c>
      <c r="BI347" s="6">
        <v>0</v>
      </c>
      <c r="BJ347" s="1" t="s">
        <v>22</v>
      </c>
      <c r="BK347" s="6">
        <v>3</v>
      </c>
      <c r="BL347" s="6">
        <v>0</v>
      </c>
      <c r="BM347" s="1">
        <v>0</v>
      </c>
      <c r="BN347" t="s">
        <v>24</v>
      </c>
      <c r="BO347">
        <v>8126</v>
      </c>
    </row>
    <row r="348" spans="1:67" x14ac:dyDescent="0.3">
      <c r="A348" s="4">
        <f>INT(Tabela1[[#This Row],[Data e Hora]])</f>
        <v>46302</v>
      </c>
      <c r="B348" s="4" t="str">
        <f>UPPER(TEXT(Tabela1[[#This Row],[Data Corrigida]],"MMM"))</f>
        <v>OUT</v>
      </c>
      <c r="C348" t="s">
        <v>1012</v>
      </c>
      <c r="D348" t="s">
        <v>1013</v>
      </c>
      <c r="E348" t="s">
        <v>1014</v>
      </c>
      <c r="F348" t="s">
        <v>19</v>
      </c>
      <c r="G348" s="5" t="s">
        <v>1005</v>
      </c>
      <c r="H348" t="s">
        <v>20</v>
      </c>
      <c r="I348" t="s">
        <v>21</v>
      </c>
      <c r="J348" s="1">
        <v>151</v>
      </c>
      <c r="K348" s="1">
        <v>3136</v>
      </c>
      <c r="L348" t="s">
        <v>23</v>
      </c>
      <c r="M348" s="1">
        <v>31</v>
      </c>
      <c r="N348" s="48">
        <v>31</v>
      </c>
      <c r="O348" s="1">
        <v>21</v>
      </c>
      <c r="P348" s="48">
        <v>21</v>
      </c>
      <c r="Q348" s="1">
        <v>0</v>
      </c>
      <c r="R348" s="1">
        <v>0</v>
      </c>
      <c r="S348" s="1">
        <v>3</v>
      </c>
      <c r="T348" s="1">
        <v>3</v>
      </c>
      <c r="U348" s="1">
        <v>0</v>
      </c>
      <c r="V348" s="1">
        <v>0</v>
      </c>
      <c r="W348" s="1">
        <v>0</v>
      </c>
      <c r="X348" s="1">
        <v>0</v>
      </c>
      <c r="Y348" s="1">
        <v>4</v>
      </c>
      <c r="Z348" s="3">
        <v>1.3245033112582782</v>
      </c>
      <c r="AA348" s="1">
        <v>9</v>
      </c>
      <c r="AB348" s="3">
        <v>5.9602649006622519</v>
      </c>
      <c r="AC348" s="1">
        <v>0</v>
      </c>
      <c r="AD348" s="3">
        <v>0</v>
      </c>
      <c r="AE348" s="1">
        <v>2</v>
      </c>
      <c r="AF348" s="3">
        <v>1.3245033112582782</v>
      </c>
      <c r="AG348" s="1">
        <v>9</v>
      </c>
      <c r="AH348" s="3">
        <v>5.9602649006622519</v>
      </c>
      <c r="AI348" s="1" t="s">
        <v>22</v>
      </c>
      <c r="AJ348" s="1">
        <v>7</v>
      </c>
      <c r="AK348" s="3">
        <v>4.6357615894039732</v>
      </c>
      <c r="AL348" s="1">
        <v>3</v>
      </c>
      <c r="AM348" s="3">
        <v>1.9867549668874174</v>
      </c>
      <c r="AN348" s="1" t="s">
        <v>22</v>
      </c>
      <c r="AO348" s="1">
        <v>10</v>
      </c>
      <c r="AP348" s="3">
        <v>6.6225165562913908</v>
      </c>
      <c r="AQ348" s="3">
        <v>2</v>
      </c>
      <c r="AR348" s="3">
        <v>1.3245033112582782</v>
      </c>
      <c r="AS348" s="1">
        <v>6</v>
      </c>
      <c r="AT348" s="3">
        <v>3.9735099337748347</v>
      </c>
      <c r="AU348" s="1">
        <v>1</v>
      </c>
      <c r="AV348" s="3">
        <v>0.66225165562913912</v>
      </c>
      <c r="AW348" s="1" t="s">
        <v>22</v>
      </c>
      <c r="AX348" s="1">
        <v>22</v>
      </c>
      <c r="AY348" s="1">
        <v>1</v>
      </c>
      <c r="AZ348" s="1">
        <v>1</v>
      </c>
      <c r="BA348" s="1">
        <v>44</v>
      </c>
      <c r="BB348" s="1">
        <v>2</v>
      </c>
      <c r="BC348" s="1">
        <v>2</v>
      </c>
      <c r="BD348" s="1">
        <v>3</v>
      </c>
      <c r="BE348" s="54">
        <v>1.9867549668874174</v>
      </c>
      <c r="BF348" s="6">
        <v>21</v>
      </c>
      <c r="BG348" s="6">
        <v>18</v>
      </c>
      <c r="BH348" s="1">
        <v>1</v>
      </c>
      <c r="BI348" s="6">
        <v>10</v>
      </c>
      <c r="BJ348" s="1" t="s">
        <v>22</v>
      </c>
      <c r="BK348" s="1" t="s">
        <v>22</v>
      </c>
      <c r="BL348" s="1" t="s">
        <v>22</v>
      </c>
      <c r="BM348" s="1" t="s">
        <v>22</v>
      </c>
      <c r="BN348" t="s">
        <v>22</v>
      </c>
      <c r="BO348">
        <v>1982</v>
      </c>
    </row>
    <row r="349" spans="1:67" x14ac:dyDescent="0.3">
      <c r="A349" s="4">
        <f>INT(Tabela1[[#This Row],[Data e Hora]])</f>
        <v>46302</v>
      </c>
      <c r="B349" s="4" t="str">
        <f>UPPER(TEXT(Tabela1[[#This Row],[Data Corrigida]],"MMM"))</f>
        <v>OUT</v>
      </c>
      <c r="C349" t="s">
        <v>1015</v>
      </c>
      <c r="D349" t="s">
        <v>1016</v>
      </c>
      <c r="E349" t="s">
        <v>1014</v>
      </c>
      <c r="F349" t="s">
        <v>19</v>
      </c>
      <c r="G349" s="5" t="s">
        <v>1005</v>
      </c>
      <c r="H349" t="s">
        <v>20</v>
      </c>
      <c r="I349" t="s">
        <v>21</v>
      </c>
      <c r="J349" s="1">
        <v>110</v>
      </c>
      <c r="K349" s="1">
        <v>2999</v>
      </c>
      <c r="L349" t="s">
        <v>23</v>
      </c>
      <c r="M349" s="1">
        <v>28</v>
      </c>
      <c r="N349" s="48">
        <v>28.000000000000004</v>
      </c>
      <c r="O349" s="1">
        <v>19</v>
      </c>
      <c r="P349" s="48">
        <v>19</v>
      </c>
      <c r="Q349" s="1">
        <v>0</v>
      </c>
      <c r="R349" s="1">
        <v>0</v>
      </c>
      <c r="S349" s="1">
        <v>2</v>
      </c>
      <c r="T349" s="1">
        <v>2</v>
      </c>
      <c r="U349" s="1">
        <v>1</v>
      </c>
      <c r="V349" s="1">
        <v>1</v>
      </c>
      <c r="W349" s="1">
        <v>0</v>
      </c>
      <c r="X349" s="1">
        <v>0</v>
      </c>
      <c r="Y349" s="1">
        <v>2</v>
      </c>
      <c r="Z349" s="3">
        <v>0.90909090909090906</v>
      </c>
      <c r="AA349" s="1">
        <v>2</v>
      </c>
      <c r="AB349" s="3">
        <v>1.8181818181818181</v>
      </c>
      <c r="AC349" s="1">
        <v>0</v>
      </c>
      <c r="AD349" s="3">
        <v>0</v>
      </c>
      <c r="AE349" s="1">
        <v>1</v>
      </c>
      <c r="AF349" s="3">
        <v>0.90909090909090906</v>
      </c>
      <c r="AG349" s="1">
        <v>5</v>
      </c>
      <c r="AH349" s="3">
        <v>4.5454545454545459</v>
      </c>
      <c r="AI349" s="1" t="s">
        <v>22</v>
      </c>
      <c r="AJ349" s="1">
        <v>4</v>
      </c>
      <c r="AK349" s="3">
        <v>3.6363636363636362</v>
      </c>
      <c r="AL349" s="1">
        <v>2</v>
      </c>
      <c r="AM349" s="3">
        <v>1.8181818181818181</v>
      </c>
      <c r="AN349" s="1" t="s">
        <v>22</v>
      </c>
      <c r="AO349" s="1">
        <v>6</v>
      </c>
      <c r="AP349" s="3">
        <v>5.4545454545454541</v>
      </c>
      <c r="AQ349" s="3">
        <v>2</v>
      </c>
      <c r="AR349" s="3">
        <v>1.8181818181818181</v>
      </c>
      <c r="AS349" s="1">
        <v>6</v>
      </c>
      <c r="AT349" s="3">
        <v>5.4545454545454541</v>
      </c>
      <c r="AU349" s="1">
        <v>1</v>
      </c>
      <c r="AV349" s="3">
        <v>0.90909090909090906</v>
      </c>
      <c r="AW349" s="1" t="s">
        <v>22</v>
      </c>
      <c r="AX349" s="1">
        <v>21</v>
      </c>
      <c r="AY349" s="1">
        <v>0</v>
      </c>
      <c r="AZ349" s="1">
        <v>0</v>
      </c>
      <c r="BA349" s="1">
        <v>42</v>
      </c>
      <c r="BB349" s="1">
        <v>0</v>
      </c>
      <c r="BC349" s="1">
        <v>0</v>
      </c>
      <c r="BD349" s="1">
        <v>2</v>
      </c>
      <c r="BE349" s="54">
        <v>1.8181818181818181</v>
      </c>
      <c r="BF349" s="6">
        <v>25</v>
      </c>
      <c r="BG349" s="6">
        <v>29</v>
      </c>
      <c r="BH349" s="1">
        <v>1</v>
      </c>
      <c r="BI349" s="6">
        <v>10</v>
      </c>
      <c r="BJ349" s="1" t="s">
        <v>22</v>
      </c>
      <c r="BK349" s="6">
        <v>1</v>
      </c>
      <c r="BL349" s="6">
        <v>0</v>
      </c>
      <c r="BM349" s="1">
        <v>2</v>
      </c>
      <c r="BN349" t="s">
        <v>24</v>
      </c>
      <c r="BO349">
        <v>1905</v>
      </c>
    </row>
    <row r="350" spans="1:67" x14ac:dyDescent="0.3">
      <c r="A350" s="4">
        <f>INT(Tabela1[[#This Row],[Data e Hora]])</f>
        <v>46302</v>
      </c>
      <c r="B350" s="4" t="str">
        <f>UPPER(TEXT(Tabela1[[#This Row],[Data Corrigida]],"MMM"))</f>
        <v>OUT</v>
      </c>
      <c r="C350" t="s">
        <v>1017</v>
      </c>
      <c r="D350" t="s">
        <v>1018</v>
      </c>
      <c r="E350" t="s">
        <v>1019</v>
      </c>
      <c r="F350" t="s">
        <v>19</v>
      </c>
      <c r="G350" s="5" t="s">
        <v>1005</v>
      </c>
      <c r="H350" t="s">
        <v>20</v>
      </c>
      <c r="I350" t="s">
        <v>21</v>
      </c>
      <c r="J350" s="1">
        <v>161</v>
      </c>
      <c r="K350" s="1">
        <v>3055</v>
      </c>
      <c r="L350" t="s">
        <v>23</v>
      </c>
      <c r="M350" s="1">
        <v>33</v>
      </c>
      <c r="N350" s="48">
        <v>33</v>
      </c>
      <c r="O350" s="1">
        <v>19</v>
      </c>
      <c r="P350" s="48">
        <v>19</v>
      </c>
      <c r="Q350" s="1">
        <v>0</v>
      </c>
      <c r="R350" s="1">
        <v>0</v>
      </c>
      <c r="S350" s="1">
        <v>3</v>
      </c>
      <c r="T350" s="1">
        <v>3</v>
      </c>
      <c r="U350" s="1">
        <v>1</v>
      </c>
      <c r="V350" s="1">
        <v>1</v>
      </c>
      <c r="W350" s="1">
        <v>0</v>
      </c>
      <c r="X350" s="1">
        <v>0</v>
      </c>
      <c r="Y350" s="1">
        <v>3</v>
      </c>
      <c r="Z350" s="3">
        <v>0.93167701863354035</v>
      </c>
      <c r="AA350" s="1">
        <v>8</v>
      </c>
      <c r="AB350" s="3">
        <v>4.9689440993788816</v>
      </c>
      <c r="AC350" s="1">
        <v>0</v>
      </c>
      <c r="AD350" s="3">
        <v>0</v>
      </c>
      <c r="AE350" s="1">
        <v>1</v>
      </c>
      <c r="AF350" s="3">
        <v>0.6211180124223602</v>
      </c>
      <c r="AG350" s="1">
        <v>6</v>
      </c>
      <c r="AH350" s="3">
        <v>3.7267080745341614</v>
      </c>
      <c r="AI350" s="1" t="s">
        <v>22</v>
      </c>
      <c r="AJ350" s="1">
        <v>3</v>
      </c>
      <c r="AK350" s="3">
        <v>1.8633540372670807</v>
      </c>
      <c r="AL350" s="1">
        <v>2</v>
      </c>
      <c r="AM350" s="3">
        <v>1.2422360248447204</v>
      </c>
      <c r="AN350" s="1" t="s">
        <v>22</v>
      </c>
      <c r="AO350" s="1">
        <v>9</v>
      </c>
      <c r="AP350" s="3">
        <v>5.5900621118012426</v>
      </c>
      <c r="AQ350" s="3">
        <v>3</v>
      </c>
      <c r="AR350" s="3">
        <v>1.8633540372670807</v>
      </c>
      <c r="AS350" s="1">
        <v>7</v>
      </c>
      <c r="AT350" s="3">
        <v>4.3478260869565215</v>
      </c>
      <c r="AU350" s="1">
        <v>1</v>
      </c>
      <c r="AV350" s="3">
        <v>0.6211180124223602</v>
      </c>
      <c r="AW350" s="1" t="s">
        <v>22</v>
      </c>
      <c r="AX350" s="1">
        <v>20</v>
      </c>
      <c r="AY350" s="1">
        <v>1</v>
      </c>
      <c r="AZ350" s="1">
        <v>1</v>
      </c>
      <c r="BA350" s="1">
        <v>40</v>
      </c>
      <c r="BB350" s="1">
        <v>2</v>
      </c>
      <c r="BC350" s="1">
        <v>2</v>
      </c>
      <c r="BD350" s="1">
        <v>3</v>
      </c>
      <c r="BE350" s="54">
        <v>1.8633540372670807</v>
      </c>
      <c r="BF350" s="6">
        <v>19</v>
      </c>
      <c r="BG350" s="6">
        <v>20</v>
      </c>
      <c r="BH350" s="1">
        <v>1</v>
      </c>
      <c r="BI350" s="6">
        <v>10</v>
      </c>
      <c r="BJ350" s="1" t="s">
        <v>22</v>
      </c>
      <c r="BK350" s="1" t="s">
        <v>22</v>
      </c>
      <c r="BL350" s="1" t="s">
        <v>22</v>
      </c>
      <c r="BM350" s="1" t="s">
        <v>22</v>
      </c>
      <c r="BN350" t="s">
        <v>22</v>
      </c>
      <c r="BO350">
        <v>3270</v>
      </c>
    </row>
    <row r="351" spans="1:67" x14ac:dyDescent="0.3">
      <c r="A351" s="4">
        <f>INT(Tabela1[[#This Row],[Data e Hora]])</f>
        <v>46302</v>
      </c>
      <c r="B351" s="4" t="str">
        <f>UPPER(TEXT(Tabela1[[#This Row],[Data Corrigida]],"MMM"))</f>
        <v>OUT</v>
      </c>
      <c r="C351" t="s">
        <v>1020</v>
      </c>
      <c r="D351" t="s">
        <v>1021</v>
      </c>
      <c r="E351" t="s">
        <v>1019</v>
      </c>
      <c r="F351" t="s">
        <v>19</v>
      </c>
      <c r="G351" s="5" t="s">
        <v>1005</v>
      </c>
      <c r="H351" t="s">
        <v>20</v>
      </c>
      <c r="I351" t="s">
        <v>21</v>
      </c>
      <c r="J351" s="1">
        <v>151</v>
      </c>
      <c r="K351" s="1">
        <v>2999</v>
      </c>
      <c r="L351" t="s">
        <v>23</v>
      </c>
      <c r="M351" s="1">
        <v>28</v>
      </c>
      <c r="N351" s="48">
        <v>28.000000000000004</v>
      </c>
      <c r="O351" s="1">
        <v>15</v>
      </c>
      <c r="P351" s="48">
        <v>15</v>
      </c>
      <c r="Q351" s="1">
        <v>0</v>
      </c>
      <c r="R351" s="1">
        <v>0</v>
      </c>
      <c r="S351" s="1">
        <v>1</v>
      </c>
      <c r="T351" s="1">
        <v>1</v>
      </c>
      <c r="U351" s="1">
        <v>1</v>
      </c>
      <c r="V351" s="1">
        <v>1</v>
      </c>
      <c r="W351" s="1">
        <v>0</v>
      </c>
      <c r="X351" s="1">
        <v>0</v>
      </c>
      <c r="Y351" s="1">
        <v>2</v>
      </c>
      <c r="Z351" s="3">
        <v>0.66225165562913912</v>
      </c>
      <c r="AA351" s="1">
        <v>3</v>
      </c>
      <c r="AB351" s="3">
        <v>1.9867549668874174</v>
      </c>
      <c r="AC351" s="1">
        <v>0</v>
      </c>
      <c r="AD351" s="3">
        <v>0</v>
      </c>
      <c r="AE351" s="1">
        <v>2</v>
      </c>
      <c r="AF351" s="3">
        <v>1.3245033112582782</v>
      </c>
      <c r="AG351" s="1">
        <v>6</v>
      </c>
      <c r="AH351" s="3">
        <v>3.9735099337748347</v>
      </c>
      <c r="AI351" s="1" t="s">
        <v>22</v>
      </c>
      <c r="AJ351" s="1">
        <v>3</v>
      </c>
      <c r="AK351" s="3">
        <v>1.9867549668874174</v>
      </c>
      <c r="AL351" s="1">
        <v>3</v>
      </c>
      <c r="AM351" s="3">
        <v>1.9867549668874174</v>
      </c>
      <c r="AN351" s="1" t="s">
        <v>22</v>
      </c>
      <c r="AO351" s="1">
        <v>9</v>
      </c>
      <c r="AP351" s="3">
        <v>5.9602649006622519</v>
      </c>
      <c r="AQ351" s="3">
        <v>2</v>
      </c>
      <c r="AR351" s="3">
        <v>1.3245033112582782</v>
      </c>
      <c r="AS351" s="1">
        <v>10</v>
      </c>
      <c r="AT351" s="3">
        <v>6.6225165562913908</v>
      </c>
      <c r="AU351" s="1">
        <v>3</v>
      </c>
      <c r="AV351" s="3">
        <v>1.9867549668874174</v>
      </c>
      <c r="AW351" s="1" t="s">
        <v>22</v>
      </c>
      <c r="AX351" s="1">
        <v>17</v>
      </c>
      <c r="AY351" s="1">
        <v>0</v>
      </c>
      <c r="AZ351" s="1">
        <v>0</v>
      </c>
      <c r="BA351" s="1">
        <v>34</v>
      </c>
      <c r="BB351" s="1">
        <v>0</v>
      </c>
      <c r="BC351" s="1">
        <v>0</v>
      </c>
      <c r="BD351" s="1">
        <v>0</v>
      </c>
      <c r="BE351" s="54">
        <v>0</v>
      </c>
      <c r="BF351" s="6">
        <v>19</v>
      </c>
      <c r="BG351" s="6">
        <v>12</v>
      </c>
      <c r="BH351" s="1">
        <v>1</v>
      </c>
      <c r="BI351" s="6">
        <v>10</v>
      </c>
      <c r="BJ351" s="1" t="s">
        <v>22</v>
      </c>
      <c r="BK351" s="1" t="s">
        <v>22</v>
      </c>
      <c r="BL351" s="1" t="s">
        <v>22</v>
      </c>
      <c r="BM351" s="1" t="s">
        <v>22</v>
      </c>
      <c r="BN351" t="s">
        <v>24</v>
      </c>
      <c r="BO351">
        <v>1541</v>
      </c>
    </row>
    <row r="352" spans="1:67" x14ac:dyDescent="0.3">
      <c r="A352" s="4">
        <f>INT(Tabela1[[#This Row],[Data e Hora]])</f>
        <v>46301</v>
      </c>
      <c r="B352" s="4" t="str">
        <f>UPPER(TEXT(Tabela1[[#This Row],[Data Corrigida]],"MMM"))</f>
        <v>OUT</v>
      </c>
      <c r="C352" t="s">
        <v>1022</v>
      </c>
      <c r="D352" t="s">
        <v>1023</v>
      </c>
      <c r="E352" t="s">
        <v>1024</v>
      </c>
      <c r="F352" t="s">
        <v>19</v>
      </c>
      <c r="G352" s="5" t="s">
        <v>1025</v>
      </c>
      <c r="H352" t="s">
        <v>20</v>
      </c>
      <c r="I352" t="s">
        <v>33</v>
      </c>
      <c r="J352" s="1">
        <v>156</v>
      </c>
      <c r="K352" s="1">
        <v>2952</v>
      </c>
      <c r="L352" t="s">
        <v>34</v>
      </c>
      <c r="M352" s="1">
        <v>20</v>
      </c>
      <c r="N352" s="48">
        <v>20</v>
      </c>
      <c r="O352" s="1">
        <v>6</v>
      </c>
      <c r="P352" s="48">
        <v>6</v>
      </c>
      <c r="Q352" s="1">
        <v>0</v>
      </c>
      <c r="R352" s="1">
        <v>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6</v>
      </c>
      <c r="Z352" s="3">
        <v>1.9230769230769231</v>
      </c>
      <c r="AA352" s="1">
        <v>4</v>
      </c>
      <c r="AB352" s="3">
        <v>2.5641025641025639</v>
      </c>
      <c r="AC352" s="1">
        <v>0</v>
      </c>
      <c r="AD352" s="3">
        <v>0</v>
      </c>
      <c r="AE352" s="1">
        <v>1</v>
      </c>
      <c r="AF352" s="3">
        <v>0.64102564102564097</v>
      </c>
      <c r="AG352" s="1">
        <v>0</v>
      </c>
      <c r="AH352" s="3">
        <v>0</v>
      </c>
      <c r="AI352" s="1" t="s">
        <v>22</v>
      </c>
      <c r="AJ352" s="1">
        <v>0</v>
      </c>
      <c r="AK352" s="3">
        <v>0</v>
      </c>
      <c r="AL352" s="1">
        <v>0</v>
      </c>
      <c r="AM352" s="3">
        <v>0</v>
      </c>
      <c r="AN352" s="1" t="s">
        <v>22</v>
      </c>
      <c r="AO352" s="1">
        <v>5</v>
      </c>
      <c r="AP352" s="3">
        <v>3.2051282051282048</v>
      </c>
      <c r="AQ352" s="3">
        <v>4</v>
      </c>
      <c r="AR352" s="3">
        <v>2.5641025641025639</v>
      </c>
      <c r="AS352" s="1">
        <v>5</v>
      </c>
      <c r="AT352" s="3">
        <v>3.2051282051282048</v>
      </c>
      <c r="AU352" s="1">
        <v>0</v>
      </c>
      <c r="AV352" s="3">
        <v>0</v>
      </c>
      <c r="AW352" s="1" t="s">
        <v>22</v>
      </c>
      <c r="AX352" s="1">
        <v>19</v>
      </c>
      <c r="AY352" s="1">
        <v>0</v>
      </c>
      <c r="AZ352" s="1">
        <v>0</v>
      </c>
      <c r="BA352" s="1">
        <v>38</v>
      </c>
      <c r="BB352" s="1">
        <v>0</v>
      </c>
      <c r="BC352" s="1">
        <v>0</v>
      </c>
      <c r="BD352" s="1">
        <v>0</v>
      </c>
      <c r="BE352" s="54">
        <v>0</v>
      </c>
      <c r="BF352" s="6">
        <v>20</v>
      </c>
      <c r="BG352" s="6">
        <v>15</v>
      </c>
      <c r="BH352" s="1">
        <v>0</v>
      </c>
      <c r="BI352" s="6">
        <v>0</v>
      </c>
      <c r="BJ352" s="1" t="s">
        <v>22</v>
      </c>
      <c r="BK352" s="6">
        <v>0</v>
      </c>
      <c r="BL352" s="6">
        <v>0</v>
      </c>
      <c r="BM352" s="1">
        <v>0</v>
      </c>
      <c r="BN352" t="s">
        <v>24</v>
      </c>
      <c r="BO352">
        <v>108</v>
      </c>
    </row>
    <row r="353" spans="1:67" x14ac:dyDescent="0.3">
      <c r="A353" s="4">
        <f>INT(Tabela1[[#This Row],[Data e Hora]])</f>
        <v>46301</v>
      </c>
      <c r="B353" s="4" t="str">
        <f>UPPER(TEXT(Tabela1[[#This Row],[Data Corrigida]],"MMM"))</f>
        <v>OUT</v>
      </c>
      <c r="C353" t="s">
        <v>1026</v>
      </c>
      <c r="D353" t="s">
        <v>1027</v>
      </c>
      <c r="E353" t="s">
        <v>1028</v>
      </c>
      <c r="F353" t="s">
        <v>19</v>
      </c>
      <c r="G353" s="5" t="s">
        <v>1025</v>
      </c>
      <c r="H353" t="s">
        <v>20</v>
      </c>
      <c r="I353" t="s">
        <v>33</v>
      </c>
      <c r="J353" s="1">
        <v>131</v>
      </c>
      <c r="K353" s="1">
        <v>2952</v>
      </c>
      <c r="L353" t="s">
        <v>34</v>
      </c>
      <c r="M353" s="1">
        <v>10</v>
      </c>
      <c r="N353" s="48">
        <v>10</v>
      </c>
      <c r="O353" s="1">
        <v>5</v>
      </c>
      <c r="P353" s="48">
        <v>5</v>
      </c>
      <c r="Q353" s="1">
        <v>0</v>
      </c>
      <c r="R353" s="1">
        <v>0</v>
      </c>
      <c r="S353" s="1">
        <v>1</v>
      </c>
      <c r="T353" s="1">
        <v>1</v>
      </c>
      <c r="U353" s="1">
        <v>0</v>
      </c>
      <c r="V353" s="1">
        <v>0</v>
      </c>
      <c r="W353" s="1">
        <v>0</v>
      </c>
      <c r="X353" s="1">
        <v>0</v>
      </c>
      <c r="Y353" s="1">
        <v>5</v>
      </c>
      <c r="Z353" s="3">
        <v>1.9083969465648856</v>
      </c>
      <c r="AA353" s="1">
        <v>7</v>
      </c>
      <c r="AB353" s="3">
        <v>5.343511450381679</v>
      </c>
      <c r="AC353" s="1">
        <v>0</v>
      </c>
      <c r="AD353" s="3">
        <v>0</v>
      </c>
      <c r="AE353" s="1">
        <v>1</v>
      </c>
      <c r="AF353" s="3">
        <v>0.76335877862595414</v>
      </c>
      <c r="AG353" s="1">
        <v>2</v>
      </c>
      <c r="AH353" s="3">
        <v>1.5267175572519083</v>
      </c>
      <c r="AI353" s="1" t="s">
        <v>22</v>
      </c>
      <c r="AJ353" s="1">
        <v>1</v>
      </c>
      <c r="AK353" s="3">
        <v>0.76335877862595414</v>
      </c>
      <c r="AL353" s="1">
        <v>0</v>
      </c>
      <c r="AM353" s="3">
        <v>0</v>
      </c>
      <c r="AN353" s="1" t="s">
        <v>22</v>
      </c>
      <c r="AO353" s="1">
        <v>8</v>
      </c>
      <c r="AP353" s="3">
        <v>6.1068702290076331</v>
      </c>
      <c r="AQ353" s="3">
        <v>5</v>
      </c>
      <c r="AR353" s="3">
        <v>3.8167938931297711</v>
      </c>
      <c r="AS353" s="1">
        <v>5</v>
      </c>
      <c r="AT353" s="3">
        <v>3.8167938931297711</v>
      </c>
      <c r="AU353" s="1">
        <v>0</v>
      </c>
      <c r="AV353" s="3">
        <v>0</v>
      </c>
      <c r="AW353" s="1" t="s">
        <v>22</v>
      </c>
      <c r="AX353" s="1">
        <v>18</v>
      </c>
      <c r="AY353" s="1">
        <v>1</v>
      </c>
      <c r="AZ353" s="1">
        <v>1</v>
      </c>
      <c r="BA353" s="1">
        <v>36</v>
      </c>
      <c r="BB353" s="1">
        <v>2</v>
      </c>
      <c r="BC353" s="1">
        <v>2</v>
      </c>
      <c r="BD353" s="1">
        <v>0</v>
      </c>
      <c r="BE353" s="54">
        <v>0</v>
      </c>
      <c r="BF353" s="6">
        <v>21</v>
      </c>
      <c r="BG353" s="6">
        <v>19</v>
      </c>
      <c r="BH353" s="1">
        <v>0</v>
      </c>
      <c r="BI353" s="6">
        <v>0</v>
      </c>
      <c r="BJ353" s="1" t="s">
        <v>22</v>
      </c>
      <c r="BK353" s="6">
        <v>0</v>
      </c>
      <c r="BL353" s="6">
        <v>0</v>
      </c>
      <c r="BM353" s="1">
        <v>0</v>
      </c>
      <c r="BN353" t="s">
        <v>24</v>
      </c>
      <c r="BO353">
        <v>10222</v>
      </c>
    </row>
    <row r="354" spans="1:67" x14ac:dyDescent="0.3">
      <c r="A354" s="4">
        <f>INT(Tabela1[[#This Row],[Data e Hora]])</f>
        <v>46301</v>
      </c>
      <c r="B354" s="4" t="str">
        <f>UPPER(TEXT(Tabela1[[#This Row],[Data Corrigida]],"MMM"))</f>
        <v>OUT</v>
      </c>
      <c r="C354" t="s">
        <v>1029</v>
      </c>
      <c r="D354" t="s">
        <v>1030</v>
      </c>
      <c r="E354" t="s">
        <v>1028</v>
      </c>
      <c r="F354" t="s">
        <v>19</v>
      </c>
      <c r="G354" s="5" t="s">
        <v>1025</v>
      </c>
      <c r="H354" t="s">
        <v>20</v>
      </c>
      <c r="I354" t="s">
        <v>33</v>
      </c>
      <c r="J354" s="1">
        <v>130</v>
      </c>
      <c r="K354" s="1">
        <v>2772</v>
      </c>
      <c r="L354" t="s">
        <v>34</v>
      </c>
      <c r="M354" s="1">
        <v>9</v>
      </c>
      <c r="N354" s="48">
        <v>9</v>
      </c>
      <c r="O354" s="1" t="s">
        <v>22</v>
      </c>
      <c r="P354" s="48" t="s">
        <v>22</v>
      </c>
      <c r="Q354" s="1">
        <v>10</v>
      </c>
      <c r="R354" s="1">
        <v>100</v>
      </c>
      <c r="S354" s="1">
        <v>1</v>
      </c>
      <c r="T354" s="1">
        <v>1</v>
      </c>
      <c r="U354" s="1">
        <v>0</v>
      </c>
      <c r="V354" s="1">
        <v>0</v>
      </c>
      <c r="W354" s="1">
        <v>0</v>
      </c>
      <c r="X354" s="1">
        <v>0</v>
      </c>
      <c r="Y354" s="1">
        <v>5</v>
      </c>
      <c r="Z354" s="3">
        <v>1.9230769230769231</v>
      </c>
      <c r="AA354" s="1">
        <v>10</v>
      </c>
      <c r="AB354" s="3">
        <v>7.6923076923076925</v>
      </c>
      <c r="AC354" s="1">
        <v>0</v>
      </c>
      <c r="AD354" s="3">
        <v>0</v>
      </c>
      <c r="AE354" s="1">
        <v>2</v>
      </c>
      <c r="AF354" s="3">
        <v>1.5384615384615385</v>
      </c>
      <c r="AG354" s="1">
        <v>3</v>
      </c>
      <c r="AH354" s="3">
        <v>2.3076923076923079</v>
      </c>
      <c r="AI354" s="1" t="s">
        <v>22</v>
      </c>
      <c r="AJ354" s="1">
        <v>0</v>
      </c>
      <c r="AK354" s="3">
        <v>0</v>
      </c>
      <c r="AL354" s="1">
        <v>0</v>
      </c>
      <c r="AM354" s="3">
        <v>0</v>
      </c>
      <c r="AN354" s="1" t="s">
        <v>22</v>
      </c>
      <c r="AO354" s="1">
        <v>4</v>
      </c>
      <c r="AP354" s="3">
        <v>3.0769230769230771</v>
      </c>
      <c r="AQ354" s="3">
        <v>6</v>
      </c>
      <c r="AR354" s="3">
        <v>4.6153846153846159</v>
      </c>
      <c r="AS354" s="1">
        <v>4</v>
      </c>
      <c r="AT354" s="3">
        <v>3.0769230769230771</v>
      </c>
      <c r="AU354" s="1">
        <v>0</v>
      </c>
      <c r="AV354" s="3">
        <v>0</v>
      </c>
      <c r="AW354" s="1" t="s">
        <v>22</v>
      </c>
      <c r="AX354" s="1">
        <v>16</v>
      </c>
      <c r="AY354" s="1">
        <v>1</v>
      </c>
      <c r="AZ354" s="1">
        <v>0</v>
      </c>
      <c r="BA354" s="1">
        <v>32</v>
      </c>
      <c r="BB354" s="1">
        <v>2</v>
      </c>
      <c r="BC354" s="1">
        <v>0</v>
      </c>
      <c r="BD354" s="1">
        <v>0</v>
      </c>
      <c r="BE354" s="54">
        <v>0</v>
      </c>
      <c r="BF354" s="6">
        <v>20</v>
      </c>
      <c r="BG354" s="6">
        <v>17</v>
      </c>
      <c r="BH354" s="1">
        <v>0</v>
      </c>
      <c r="BI354" s="6">
        <v>0</v>
      </c>
      <c r="BJ354" s="1" t="s">
        <v>22</v>
      </c>
      <c r="BK354" s="6">
        <v>12</v>
      </c>
      <c r="BL354" s="6">
        <v>0</v>
      </c>
      <c r="BM354" s="1">
        <v>0</v>
      </c>
      <c r="BN354" t="s">
        <v>24</v>
      </c>
      <c r="BO354">
        <v>14183</v>
      </c>
    </row>
    <row r="355" spans="1:67" x14ac:dyDescent="0.3">
      <c r="A355" s="4">
        <f>INT(Tabela1[[#This Row],[Data e Hora]])</f>
        <v>46301</v>
      </c>
      <c r="B355" s="4" t="str">
        <f>UPPER(TEXT(Tabela1[[#This Row],[Data Corrigida]],"MMM"))</f>
        <v>OUT</v>
      </c>
      <c r="C355" t="s">
        <v>1031</v>
      </c>
      <c r="D355" t="s">
        <v>1032</v>
      </c>
      <c r="E355" t="s">
        <v>1033</v>
      </c>
      <c r="F355" t="s">
        <v>19</v>
      </c>
      <c r="G355" s="5" t="s">
        <v>1025</v>
      </c>
      <c r="H355" t="s">
        <v>20</v>
      </c>
      <c r="I355" t="s">
        <v>21</v>
      </c>
      <c r="J355" s="1">
        <v>161</v>
      </c>
      <c r="K355" s="1">
        <v>2893</v>
      </c>
      <c r="L355" t="s">
        <v>23</v>
      </c>
      <c r="M355" s="1">
        <v>27</v>
      </c>
      <c r="N355" s="48">
        <v>27</v>
      </c>
      <c r="O355" s="1">
        <v>12</v>
      </c>
      <c r="P355" s="48">
        <v>12</v>
      </c>
      <c r="Q355" s="1">
        <v>0</v>
      </c>
      <c r="R355" s="1">
        <v>0</v>
      </c>
      <c r="S355" s="1">
        <v>2</v>
      </c>
      <c r="T355" s="1">
        <v>2</v>
      </c>
      <c r="U355" s="1">
        <v>1</v>
      </c>
      <c r="V355" s="1">
        <v>1</v>
      </c>
      <c r="W355" s="1">
        <v>0</v>
      </c>
      <c r="X355" s="1">
        <v>0</v>
      </c>
      <c r="Y355" s="1">
        <v>2</v>
      </c>
      <c r="Z355" s="3">
        <v>0.6211180124223602</v>
      </c>
      <c r="AA355" s="1">
        <v>6</v>
      </c>
      <c r="AB355" s="3">
        <v>3.7267080745341614</v>
      </c>
      <c r="AC355" s="1">
        <v>0</v>
      </c>
      <c r="AD355" s="3">
        <v>0</v>
      </c>
      <c r="AE355" s="1">
        <v>2</v>
      </c>
      <c r="AF355" s="3">
        <v>1.2422360248447204</v>
      </c>
      <c r="AG355" s="1">
        <v>6</v>
      </c>
      <c r="AH355" s="3">
        <v>3.7267080745341614</v>
      </c>
      <c r="AI355" s="1" t="s">
        <v>22</v>
      </c>
      <c r="AJ355" s="1">
        <v>3</v>
      </c>
      <c r="AK355" s="3">
        <v>1.8633540372670807</v>
      </c>
      <c r="AL355" s="1">
        <v>3</v>
      </c>
      <c r="AM355" s="3">
        <v>1.8633540372670807</v>
      </c>
      <c r="AN355" s="1" t="s">
        <v>22</v>
      </c>
      <c r="AO355" s="1">
        <v>6</v>
      </c>
      <c r="AP355" s="3">
        <v>3.7267080745341614</v>
      </c>
      <c r="AQ355" s="3">
        <v>2</v>
      </c>
      <c r="AR355" s="3">
        <v>1.2422360248447204</v>
      </c>
      <c r="AS355" s="1">
        <v>7</v>
      </c>
      <c r="AT355" s="3">
        <v>4.3478260869565215</v>
      </c>
      <c r="AU355" s="1">
        <v>1</v>
      </c>
      <c r="AV355" s="3">
        <v>0.6211180124223602</v>
      </c>
      <c r="AW355" s="1" t="s">
        <v>22</v>
      </c>
      <c r="AX355" s="1">
        <v>20</v>
      </c>
      <c r="AY355" s="1">
        <v>0</v>
      </c>
      <c r="AZ355" s="1">
        <v>0</v>
      </c>
      <c r="BA355" s="1">
        <v>40</v>
      </c>
      <c r="BB355" s="1">
        <v>0</v>
      </c>
      <c r="BC355" s="1">
        <v>0</v>
      </c>
      <c r="BD355" s="1">
        <v>0</v>
      </c>
      <c r="BE355" s="54">
        <v>0</v>
      </c>
      <c r="BF355" s="6">
        <v>17</v>
      </c>
      <c r="BG355" s="6">
        <v>25</v>
      </c>
      <c r="BH355" s="1">
        <v>1</v>
      </c>
      <c r="BI355" s="6">
        <v>10</v>
      </c>
      <c r="BJ355" s="1" t="s">
        <v>22</v>
      </c>
      <c r="BK355" s="6">
        <v>1</v>
      </c>
      <c r="BL355" s="6">
        <v>0</v>
      </c>
      <c r="BM355" s="1">
        <v>2</v>
      </c>
      <c r="BN355" t="s">
        <v>22</v>
      </c>
      <c r="BO355">
        <v>1856</v>
      </c>
    </row>
    <row r="356" spans="1:67" x14ac:dyDescent="0.3">
      <c r="A356" s="4">
        <f>INT(Tabela1[[#This Row],[Data e Hora]])</f>
        <v>46301</v>
      </c>
      <c r="B356" s="4" t="str">
        <f>UPPER(TEXT(Tabela1[[#This Row],[Data Corrigida]],"MMM"))</f>
        <v>OUT</v>
      </c>
      <c r="C356" t="s">
        <v>1034</v>
      </c>
      <c r="D356" t="s">
        <v>1035</v>
      </c>
      <c r="E356" t="s">
        <v>1036</v>
      </c>
      <c r="F356" t="s">
        <v>19</v>
      </c>
      <c r="G356" s="5" t="s">
        <v>1025</v>
      </c>
      <c r="H356" t="s">
        <v>20</v>
      </c>
      <c r="I356" t="s">
        <v>21</v>
      </c>
      <c r="J356" s="1">
        <v>161</v>
      </c>
      <c r="K356" s="1">
        <v>3045</v>
      </c>
      <c r="L356" t="s">
        <v>23</v>
      </c>
      <c r="M356" s="1">
        <v>25</v>
      </c>
      <c r="N356" s="48">
        <v>25</v>
      </c>
      <c r="O356" s="1">
        <v>14</v>
      </c>
      <c r="P356" s="48">
        <v>14.000000000000002</v>
      </c>
      <c r="Q356" s="1">
        <v>0</v>
      </c>
      <c r="R356" s="1">
        <v>0</v>
      </c>
      <c r="S356" s="1">
        <v>3</v>
      </c>
      <c r="T356" s="1">
        <v>3</v>
      </c>
      <c r="U356" s="1" t="s">
        <v>22</v>
      </c>
      <c r="V356" s="1" t="s">
        <v>22</v>
      </c>
      <c r="W356" s="1">
        <v>0</v>
      </c>
      <c r="X356" s="1">
        <v>0</v>
      </c>
      <c r="Y356" s="1">
        <v>3</v>
      </c>
      <c r="Z356" s="3">
        <v>0.93167701863354035</v>
      </c>
      <c r="AA356" s="1">
        <v>5</v>
      </c>
      <c r="AB356" s="3">
        <v>3.1055900621118013</v>
      </c>
      <c r="AC356" s="1">
        <v>0</v>
      </c>
      <c r="AD356" s="3">
        <v>0</v>
      </c>
      <c r="AE356" s="1">
        <v>1</v>
      </c>
      <c r="AF356" s="3">
        <v>0.6211180124223602</v>
      </c>
      <c r="AG356" s="1">
        <v>8</v>
      </c>
      <c r="AH356" s="3">
        <v>4.9689440993788816</v>
      </c>
      <c r="AI356" s="1" t="s">
        <v>22</v>
      </c>
      <c r="AJ356" s="1">
        <v>3</v>
      </c>
      <c r="AK356" s="3">
        <v>1.8633540372670807</v>
      </c>
      <c r="AL356" s="1">
        <v>2</v>
      </c>
      <c r="AM356" s="3">
        <v>1.2422360248447204</v>
      </c>
      <c r="AN356" s="1" t="s">
        <v>22</v>
      </c>
      <c r="AO356" s="1">
        <v>6</v>
      </c>
      <c r="AP356" s="3">
        <v>3.7267080745341614</v>
      </c>
      <c r="AQ356" s="3">
        <v>2</v>
      </c>
      <c r="AR356" s="3">
        <v>1.2422360248447204</v>
      </c>
      <c r="AS356" s="1">
        <v>7</v>
      </c>
      <c r="AT356" s="3">
        <v>4.3478260869565215</v>
      </c>
      <c r="AU356" s="1">
        <v>1</v>
      </c>
      <c r="AV356" s="3">
        <v>0.6211180124223602</v>
      </c>
      <c r="AW356" s="1" t="s">
        <v>22</v>
      </c>
      <c r="AX356" s="1">
        <v>20</v>
      </c>
      <c r="AY356" s="1">
        <v>0</v>
      </c>
      <c r="AZ356" s="1">
        <v>0</v>
      </c>
      <c r="BA356" s="1">
        <v>40</v>
      </c>
      <c r="BB356" s="1">
        <v>0</v>
      </c>
      <c r="BC356" s="1">
        <v>0</v>
      </c>
      <c r="BD356" s="1">
        <v>2</v>
      </c>
      <c r="BE356" s="54">
        <v>1.2422360248447204</v>
      </c>
      <c r="BF356" s="6">
        <v>19</v>
      </c>
      <c r="BG356" s="6">
        <v>20</v>
      </c>
      <c r="BH356" s="1">
        <v>1</v>
      </c>
      <c r="BI356" s="6">
        <v>10</v>
      </c>
      <c r="BJ356" s="1" t="s">
        <v>22</v>
      </c>
      <c r="BK356" s="6">
        <v>1</v>
      </c>
      <c r="BL356" s="6">
        <v>0</v>
      </c>
      <c r="BM356" s="1">
        <v>1</v>
      </c>
      <c r="BN356" t="s">
        <v>24</v>
      </c>
      <c r="BO356">
        <v>2796</v>
      </c>
    </row>
    <row r="357" spans="1:67" x14ac:dyDescent="0.3">
      <c r="A357" s="4">
        <f>INT(Tabela1[[#This Row],[Data e Hora]])</f>
        <v>46301</v>
      </c>
      <c r="B357" s="4" t="str">
        <f>UPPER(TEXT(Tabela1[[#This Row],[Data Corrigida]],"MMM"))</f>
        <v>OUT</v>
      </c>
      <c r="C357" t="s">
        <v>1037</v>
      </c>
      <c r="D357" t="s">
        <v>1038</v>
      </c>
      <c r="E357" t="s">
        <v>1036</v>
      </c>
      <c r="F357" t="s">
        <v>19</v>
      </c>
      <c r="G357" s="5" t="s">
        <v>1025</v>
      </c>
      <c r="H357" t="s">
        <v>20</v>
      </c>
      <c r="I357" t="s">
        <v>21</v>
      </c>
      <c r="J357" s="1">
        <v>156</v>
      </c>
      <c r="K357" s="1">
        <v>3052</v>
      </c>
      <c r="L357" t="s">
        <v>23</v>
      </c>
      <c r="M357" s="1">
        <v>20</v>
      </c>
      <c r="N357" s="48">
        <v>20</v>
      </c>
      <c r="O357" s="1">
        <v>5</v>
      </c>
      <c r="P357" s="48">
        <v>5</v>
      </c>
      <c r="Q357" s="1">
        <v>0</v>
      </c>
      <c r="R357" s="1">
        <v>0</v>
      </c>
      <c r="S357" s="1">
        <v>3</v>
      </c>
      <c r="T357" s="1">
        <v>3</v>
      </c>
      <c r="U357" s="1">
        <v>1</v>
      </c>
      <c r="V357" s="1">
        <v>1</v>
      </c>
      <c r="W357" s="1">
        <v>0</v>
      </c>
      <c r="X357" s="1">
        <v>0</v>
      </c>
      <c r="Y357" s="1">
        <v>3</v>
      </c>
      <c r="Z357" s="3">
        <v>0.96153846153846156</v>
      </c>
      <c r="AA357" s="1">
        <v>6</v>
      </c>
      <c r="AB357" s="3">
        <v>3.8461538461538463</v>
      </c>
      <c r="AC357" s="1">
        <v>0</v>
      </c>
      <c r="AD357" s="3">
        <v>0</v>
      </c>
      <c r="AE357" s="1">
        <v>2</v>
      </c>
      <c r="AF357" s="3">
        <v>1.2820512820512819</v>
      </c>
      <c r="AG357" s="1">
        <v>7</v>
      </c>
      <c r="AH357" s="3">
        <v>4.4871794871794872</v>
      </c>
      <c r="AI357" s="1" t="s">
        <v>22</v>
      </c>
      <c r="AJ357" s="1">
        <v>2</v>
      </c>
      <c r="AK357" s="3">
        <v>1.2820512820512819</v>
      </c>
      <c r="AL357" s="1">
        <v>3</v>
      </c>
      <c r="AM357" s="3">
        <v>1.9230769230769231</v>
      </c>
      <c r="AN357" s="1" t="s">
        <v>22</v>
      </c>
      <c r="AO357" s="1">
        <v>6</v>
      </c>
      <c r="AP357" s="3">
        <v>3.8461538461538463</v>
      </c>
      <c r="AQ357" s="3">
        <v>4</v>
      </c>
      <c r="AR357" s="3">
        <v>2.5641025641025639</v>
      </c>
      <c r="AS357" s="1">
        <v>7</v>
      </c>
      <c r="AT357" s="3">
        <v>4.4871794871794872</v>
      </c>
      <c r="AU357" s="1">
        <v>1</v>
      </c>
      <c r="AV357" s="3">
        <v>0.64102564102564097</v>
      </c>
      <c r="AW357" s="1" t="s">
        <v>22</v>
      </c>
      <c r="AX357" s="1">
        <v>19</v>
      </c>
      <c r="AY357" s="1">
        <v>0</v>
      </c>
      <c r="AZ357" s="1">
        <v>0</v>
      </c>
      <c r="BA357" s="1">
        <v>38</v>
      </c>
      <c r="BB357" s="1">
        <v>0</v>
      </c>
      <c r="BC357" s="1">
        <v>0</v>
      </c>
      <c r="BD357" s="1">
        <v>1</v>
      </c>
      <c r="BE357" s="54">
        <v>0.64102564102564097</v>
      </c>
      <c r="BF357" s="6">
        <v>17</v>
      </c>
      <c r="BG357" s="6">
        <v>19</v>
      </c>
      <c r="BH357" s="1">
        <v>1</v>
      </c>
      <c r="BI357" s="6">
        <v>10</v>
      </c>
      <c r="BJ357" s="1" t="s">
        <v>22</v>
      </c>
      <c r="BK357" s="1" t="s">
        <v>22</v>
      </c>
      <c r="BL357" s="1" t="s">
        <v>22</v>
      </c>
      <c r="BM357" s="1" t="s">
        <v>22</v>
      </c>
      <c r="BN357" t="s">
        <v>24</v>
      </c>
      <c r="BO357">
        <v>1750</v>
      </c>
    </row>
    <row r="358" spans="1:67" x14ac:dyDescent="0.3">
      <c r="A358" s="4">
        <f>INT(Tabela1[[#This Row],[Data e Hora]])</f>
        <v>46301</v>
      </c>
      <c r="B358" s="4" t="str">
        <f>UPPER(TEXT(Tabela1[[#This Row],[Data Corrigida]],"MMM"))</f>
        <v>OUT</v>
      </c>
      <c r="C358" t="s">
        <v>1039</v>
      </c>
      <c r="D358" t="s">
        <v>1040</v>
      </c>
      <c r="E358" t="s">
        <v>1036</v>
      </c>
      <c r="F358" t="s">
        <v>19</v>
      </c>
      <c r="G358" s="5" t="s">
        <v>1025</v>
      </c>
      <c r="H358" t="s">
        <v>20</v>
      </c>
      <c r="I358" t="s">
        <v>21</v>
      </c>
      <c r="J358" s="1">
        <v>156</v>
      </c>
      <c r="K358" s="1">
        <v>3049</v>
      </c>
      <c r="L358" t="s">
        <v>23</v>
      </c>
      <c r="M358" s="1">
        <v>25</v>
      </c>
      <c r="N358" s="48">
        <v>25</v>
      </c>
      <c r="O358" s="1">
        <v>10</v>
      </c>
      <c r="P358" s="48">
        <v>10</v>
      </c>
      <c r="Q358" s="1">
        <v>0</v>
      </c>
      <c r="R358" s="1">
        <v>0</v>
      </c>
      <c r="S358" s="1">
        <v>3</v>
      </c>
      <c r="T358" s="1">
        <v>3</v>
      </c>
      <c r="U358" s="1">
        <v>1</v>
      </c>
      <c r="V358" s="1">
        <v>1</v>
      </c>
      <c r="W358" s="1">
        <v>0</v>
      </c>
      <c r="X358" s="1">
        <v>0</v>
      </c>
      <c r="Y358" s="1">
        <v>4</v>
      </c>
      <c r="Z358" s="3">
        <v>1.2820512820512819</v>
      </c>
      <c r="AA358" s="1">
        <v>8</v>
      </c>
      <c r="AB358" s="3">
        <v>5.1282051282051277</v>
      </c>
      <c r="AC358" s="1">
        <v>0</v>
      </c>
      <c r="AD358" s="3">
        <v>0</v>
      </c>
      <c r="AE358" s="1">
        <v>3</v>
      </c>
      <c r="AF358" s="3">
        <v>1.9230769230769231</v>
      </c>
      <c r="AG358" s="1">
        <v>8</v>
      </c>
      <c r="AH358" s="3">
        <v>5.1282051282051277</v>
      </c>
      <c r="AI358" s="1" t="s">
        <v>22</v>
      </c>
      <c r="AJ358" s="1">
        <v>3</v>
      </c>
      <c r="AK358" s="3">
        <v>1.9230769230769231</v>
      </c>
      <c r="AL358" s="1">
        <v>3</v>
      </c>
      <c r="AM358" s="3">
        <v>1.9230769230769231</v>
      </c>
      <c r="AN358" s="1" t="s">
        <v>22</v>
      </c>
      <c r="AO358" s="1">
        <v>8</v>
      </c>
      <c r="AP358" s="3">
        <v>5.1282051282051277</v>
      </c>
      <c r="AQ358" s="3">
        <v>3</v>
      </c>
      <c r="AR358" s="3">
        <v>1.9230769230769231</v>
      </c>
      <c r="AS358" s="1">
        <v>8</v>
      </c>
      <c r="AT358" s="3">
        <v>5.1282051282051277</v>
      </c>
      <c r="AU358" s="1">
        <v>1</v>
      </c>
      <c r="AV358" s="3">
        <v>0.64102564102564097</v>
      </c>
      <c r="AW358" s="1" t="s">
        <v>22</v>
      </c>
      <c r="AX358" s="1">
        <v>20</v>
      </c>
      <c r="AY358" s="1">
        <v>0</v>
      </c>
      <c r="AZ358" s="1">
        <v>0</v>
      </c>
      <c r="BA358" s="1">
        <v>40</v>
      </c>
      <c r="BB358" s="1">
        <v>0</v>
      </c>
      <c r="BC358" s="1">
        <v>0</v>
      </c>
      <c r="BD358" s="1">
        <v>0</v>
      </c>
      <c r="BE358" s="54">
        <v>0</v>
      </c>
      <c r="BF358" s="6">
        <v>18</v>
      </c>
      <c r="BG358" s="6">
        <v>25</v>
      </c>
      <c r="BH358" s="1">
        <v>0</v>
      </c>
      <c r="BI358" s="6">
        <v>0</v>
      </c>
      <c r="BJ358" s="1" t="s">
        <v>22</v>
      </c>
      <c r="BK358" s="1" t="s">
        <v>22</v>
      </c>
      <c r="BL358" s="1" t="s">
        <v>22</v>
      </c>
      <c r="BM358" s="1" t="s">
        <v>22</v>
      </c>
      <c r="BN358" t="s">
        <v>24</v>
      </c>
      <c r="BO358">
        <v>1640</v>
      </c>
    </row>
    <row r="359" spans="1:67" x14ac:dyDescent="0.3">
      <c r="A359" s="4">
        <f>INT(Tabela1[[#This Row],[Data e Hora]])</f>
        <v>46308</v>
      </c>
      <c r="B359" s="4" t="str">
        <f>UPPER(TEXT(Tabela1[[#This Row],[Data Corrigida]],"MMM"))</f>
        <v>OUT</v>
      </c>
      <c r="C359" s="57" t="s">
        <v>1041</v>
      </c>
      <c r="D359" t="s">
        <v>1042</v>
      </c>
      <c r="E359" t="s">
        <v>1043</v>
      </c>
      <c r="F359" t="s">
        <v>19</v>
      </c>
      <c r="G359" s="5" t="s">
        <v>1044</v>
      </c>
      <c r="H359" t="s">
        <v>20</v>
      </c>
      <c r="I359" t="s">
        <v>21</v>
      </c>
      <c r="J359" s="1">
        <v>151</v>
      </c>
      <c r="K359" s="1">
        <v>3137</v>
      </c>
      <c r="L359" t="s">
        <v>23</v>
      </c>
      <c r="M359" s="1">
        <v>29</v>
      </c>
      <c r="N359" s="48">
        <v>28.999999999999996</v>
      </c>
      <c r="O359" s="1">
        <v>11</v>
      </c>
      <c r="P359" s="48">
        <v>11</v>
      </c>
      <c r="Q359" s="1">
        <v>0</v>
      </c>
      <c r="R359" s="1">
        <v>0</v>
      </c>
      <c r="S359" s="1">
        <v>3</v>
      </c>
      <c r="T359" s="1">
        <v>3</v>
      </c>
      <c r="U359" s="1">
        <v>2</v>
      </c>
      <c r="V359" s="1">
        <v>2</v>
      </c>
      <c r="W359" s="1">
        <v>0</v>
      </c>
      <c r="X359" s="1">
        <v>0</v>
      </c>
      <c r="Y359" s="1">
        <v>2</v>
      </c>
      <c r="Z359" s="3">
        <v>0.66225165562913912</v>
      </c>
      <c r="AA359" s="1">
        <v>9</v>
      </c>
      <c r="AB359" s="3">
        <v>5.9602649006622519</v>
      </c>
      <c r="AC359" s="1">
        <v>0</v>
      </c>
      <c r="AD359" s="3">
        <v>0</v>
      </c>
      <c r="AE359" s="1">
        <v>2</v>
      </c>
      <c r="AF359" s="3">
        <v>1.3245033112582782</v>
      </c>
      <c r="AG359" s="1">
        <v>11</v>
      </c>
      <c r="AH359" s="3">
        <v>7.2847682119205297</v>
      </c>
      <c r="AI359" s="1" t="s">
        <v>22</v>
      </c>
      <c r="AJ359" s="1">
        <v>6</v>
      </c>
      <c r="AK359" s="3">
        <v>3.9735099337748347</v>
      </c>
      <c r="AL359" s="1">
        <v>3</v>
      </c>
      <c r="AM359" s="3">
        <v>1.9867549668874174</v>
      </c>
      <c r="AN359" s="1" t="s">
        <v>22</v>
      </c>
      <c r="AO359" s="1">
        <v>12</v>
      </c>
      <c r="AP359" s="3">
        <v>7.9470198675496695</v>
      </c>
      <c r="AQ359" s="3">
        <v>2</v>
      </c>
      <c r="AR359" s="3">
        <v>1.3245033112582782</v>
      </c>
      <c r="AS359" s="1">
        <v>7</v>
      </c>
      <c r="AT359" s="3">
        <v>4.6357615894039732</v>
      </c>
      <c r="AU359" s="1">
        <v>2</v>
      </c>
      <c r="AV359" s="3">
        <v>1.3245033112582782</v>
      </c>
      <c r="AW359" s="1" t="s">
        <v>22</v>
      </c>
      <c r="AX359" s="1">
        <v>23</v>
      </c>
      <c r="AY359" s="1">
        <v>1</v>
      </c>
      <c r="AZ359" s="1">
        <v>1</v>
      </c>
      <c r="BA359" s="1">
        <v>46</v>
      </c>
      <c r="BB359" s="1">
        <v>2</v>
      </c>
      <c r="BC359" s="1">
        <v>2</v>
      </c>
      <c r="BD359" s="1">
        <v>1</v>
      </c>
      <c r="BE359" s="54">
        <v>0.66225165562913912</v>
      </c>
      <c r="BF359" s="6">
        <v>15</v>
      </c>
      <c r="BG359" s="6">
        <v>8</v>
      </c>
      <c r="BH359" s="1">
        <v>1</v>
      </c>
      <c r="BI359" s="6">
        <v>10</v>
      </c>
      <c r="BJ359" s="1" t="s">
        <v>22</v>
      </c>
      <c r="BK359" s="1" t="s">
        <v>22</v>
      </c>
      <c r="BL359" s="1" t="s">
        <v>22</v>
      </c>
      <c r="BM359" s="1" t="s">
        <v>22</v>
      </c>
      <c r="BN359" t="s">
        <v>24</v>
      </c>
      <c r="BO359">
        <v>2022</v>
      </c>
    </row>
    <row r="360" spans="1:67" x14ac:dyDescent="0.3">
      <c r="A360" s="4">
        <f>INT(Tabela1[[#This Row],[Data e Hora]])</f>
        <v>46308</v>
      </c>
      <c r="B360" s="4" t="str">
        <f>UPPER(TEXT(Tabela1[[#This Row],[Data Corrigida]],"MMM"))</f>
        <v>OUT</v>
      </c>
      <c r="C360" t="s">
        <v>1045</v>
      </c>
      <c r="D360" t="s">
        <v>1046</v>
      </c>
      <c r="E360" t="s">
        <v>1043</v>
      </c>
      <c r="F360" t="s">
        <v>19</v>
      </c>
      <c r="G360" s="5" t="s">
        <v>1044</v>
      </c>
      <c r="H360" t="s">
        <v>20</v>
      </c>
      <c r="I360" t="s">
        <v>21</v>
      </c>
      <c r="J360" s="1">
        <v>151</v>
      </c>
      <c r="K360" s="1">
        <v>3471</v>
      </c>
      <c r="L360" t="s">
        <v>23</v>
      </c>
      <c r="M360" s="1">
        <v>30</v>
      </c>
      <c r="N360" s="48">
        <v>30</v>
      </c>
      <c r="O360" s="1">
        <v>17</v>
      </c>
      <c r="P360" s="48">
        <v>17</v>
      </c>
      <c r="Q360" s="1">
        <v>0</v>
      </c>
      <c r="R360" s="1">
        <v>0</v>
      </c>
      <c r="S360" s="1">
        <v>2</v>
      </c>
      <c r="T360" s="1">
        <v>2</v>
      </c>
      <c r="U360" s="1">
        <v>0</v>
      </c>
      <c r="V360" s="1">
        <v>0</v>
      </c>
      <c r="W360" s="1">
        <v>0</v>
      </c>
      <c r="X360" s="1">
        <v>0</v>
      </c>
      <c r="Y360" s="1">
        <v>5</v>
      </c>
      <c r="Z360" s="3">
        <v>1.6556291390728477</v>
      </c>
      <c r="AA360" s="1">
        <v>7</v>
      </c>
      <c r="AB360" s="3">
        <v>4.6357615894039732</v>
      </c>
      <c r="AC360" s="1">
        <v>0</v>
      </c>
      <c r="AD360" s="3">
        <v>0</v>
      </c>
      <c r="AE360" s="1">
        <v>2</v>
      </c>
      <c r="AF360" s="3">
        <v>1.3245033112582782</v>
      </c>
      <c r="AG360" s="1">
        <v>9</v>
      </c>
      <c r="AH360" s="3">
        <v>5.9602649006622519</v>
      </c>
      <c r="AI360" s="1" t="s">
        <v>22</v>
      </c>
      <c r="AJ360" s="1">
        <v>5</v>
      </c>
      <c r="AK360" s="3">
        <v>3.3112582781456954</v>
      </c>
      <c r="AL360" s="1">
        <v>2</v>
      </c>
      <c r="AM360" s="3">
        <v>1.3245033112582782</v>
      </c>
      <c r="AN360" s="1" t="s">
        <v>22</v>
      </c>
      <c r="AO360" s="1">
        <v>10</v>
      </c>
      <c r="AP360" s="3">
        <v>6.6225165562913908</v>
      </c>
      <c r="AQ360" s="3">
        <v>1</v>
      </c>
      <c r="AR360" s="3">
        <v>0.66225165562913912</v>
      </c>
      <c r="AS360" s="1">
        <v>7</v>
      </c>
      <c r="AT360" s="3">
        <v>4.6357615894039732</v>
      </c>
      <c r="AU360" s="1">
        <v>3</v>
      </c>
      <c r="AV360" s="3">
        <v>1.9867549668874174</v>
      </c>
      <c r="AW360" s="1" t="s">
        <v>22</v>
      </c>
      <c r="AX360" s="1">
        <v>20</v>
      </c>
      <c r="AY360" s="1">
        <v>0</v>
      </c>
      <c r="AZ360" s="1">
        <v>0</v>
      </c>
      <c r="BA360" s="1">
        <v>40</v>
      </c>
      <c r="BB360" s="1">
        <v>0</v>
      </c>
      <c r="BC360" s="1">
        <v>0</v>
      </c>
      <c r="BD360" s="1">
        <v>2</v>
      </c>
      <c r="BE360" s="54">
        <v>1.3245033112582782</v>
      </c>
      <c r="BF360" s="6">
        <v>19</v>
      </c>
      <c r="BG360" s="6">
        <v>13</v>
      </c>
      <c r="BH360" s="1">
        <v>1</v>
      </c>
      <c r="BI360" s="6">
        <v>10</v>
      </c>
      <c r="BJ360" s="1" t="s">
        <v>22</v>
      </c>
      <c r="BK360" s="1" t="s">
        <v>22</v>
      </c>
      <c r="BL360" s="1" t="s">
        <v>22</v>
      </c>
      <c r="BM360" s="1" t="s">
        <v>22</v>
      </c>
      <c r="BN360" t="s">
        <v>24</v>
      </c>
      <c r="BO360">
        <v>1544</v>
      </c>
    </row>
    <row r="361" spans="1:67" x14ac:dyDescent="0.3">
      <c r="A361" s="4">
        <f>INT(Tabela1[[#This Row],[Data e Hora]])</f>
        <v>46308</v>
      </c>
      <c r="B361" s="4" t="str">
        <f>UPPER(TEXT(Tabela1[[#This Row],[Data Corrigida]],"MMM"))</f>
        <v>OUT</v>
      </c>
      <c r="C361" t="s">
        <v>1047</v>
      </c>
      <c r="D361" t="s">
        <v>1048</v>
      </c>
      <c r="E361" t="s">
        <v>1043</v>
      </c>
      <c r="F361" t="s">
        <v>19</v>
      </c>
      <c r="G361" s="5" t="s">
        <v>1044</v>
      </c>
      <c r="H361" t="s">
        <v>20</v>
      </c>
      <c r="I361" t="s">
        <v>21</v>
      </c>
      <c r="J361" s="1">
        <v>150</v>
      </c>
      <c r="K361" s="1">
        <v>3493</v>
      </c>
      <c r="L361" t="s">
        <v>23</v>
      </c>
      <c r="M361" s="1">
        <v>27</v>
      </c>
      <c r="N361" s="48">
        <v>27</v>
      </c>
      <c r="O361" s="1">
        <v>13</v>
      </c>
      <c r="P361" s="48">
        <v>13</v>
      </c>
      <c r="Q361" s="1">
        <v>0</v>
      </c>
      <c r="R361" s="1">
        <v>0</v>
      </c>
      <c r="S361" s="1">
        <v>2</v>
      </c>
      <c r="T361" s="1">
        <v>2</v>
      </c>
      <c r="U361" s="1">
        <v>1</v>
      </c>
      <c r="V361" s="1">
        <v>1</v>
      </c>
      <c r="W361" s="1">
        <v>0</v>
      </c>
      <c r="X361" s="1">
        <v>0</v>
      </c>
      <c r="Y361" s="1">
        <v>2</v>
      </c>
      <c r="Z361" s="3">
        <v>0.66666666666666674</v>
      </c>
      <c r="AA361" s="1">
        <v>6</v>
      </c>
      <c r="AB361" s="3">
        <v>4</v>
      </c>
      <c r="AC361" s="1">
        <v>0</v>
      </c>
      <c r="AD361" s="3">
        <v>0</v>
      </c>
      <c r="AE361" s="1">
        <v>2</v>
      </c>
      <c r="AF361" s="3">
        <v>1.3333333333333335</v>
      </c>
      <c r="AG361" s="1">
        <v>8</v>
      </c>
      <c r="AH361" s="3">
        <v>5.3333333333333339</v>
      </c>
      <c r="AI361" s="1" t="s">
        <v>22</v>
      </c>
      <c r="AJ361" s="1">
        <v>7</v>
      </c>
      <c r="AK361" s="3">
        <v>4.666666666666667</v>
      </c>
      <c r="AL361" s="1">
        <v>3</v>
      </c>
      <c r="AM361" s="3">
        <v>2</v>
      </c>
      <c r="AN361" s="1" t="s">
        <v>22</v>
      </c>
      <c r="AO361" s="1">
        <v>11</v>
      </c>
      <c r="AP361" s="3">
        <v>7.333333333333333</v>
      </c>
      <c r="AQ361" s="3">
        <v>2</v>
      </c>
      <c r="AR361" s="3">
        <v>1.3333333333333335</v>
      </c>
      <c r="AS361" s="1">
        <v>8</v>
      </c>
      <c r="AT361" s="3">
        <v>5.3333333333333339</v>
      </c>
      <c r="AU361" s="1">
        <v>3</v>
      </c>
      <c r="AV361" s="3">
        <v>2</v>
      </c>
      <c r="AW361" s="1" t="s">
        <v>22</v>
      </c>
      <c r="AX361" s="1">
        <v>21</v>
      </c>
      <c r="AY361" s="1">
        <v>0</v>
      </c>
      <c r="AZ361" s="1">
        <v>0</v>
      </c>
      <c r="BA361" s="1">
        <v>42</v>
      </c>
      <c r="BB361" s="1">
        <v>0</v>
      </c>
      <c r="BC361" s="1">
        <v>0</v>
      </c>
      <c r="BD361" s="1">
        <v>0</v>
      </c>
      <c r="BE361" s="54">
        <v>0</v>
      </c>
      <c r="BF361" s="6">
        <v>16</v>
      </c>
      <c r="BG361" s="6">
        <v>13</v>
      </c>
      <c r="BH361" s="1">
        <v>1</v>
      </c>
      <c r="BI361" s="6">
        <v>10</v>
      </c>
      <c r="BJ361" s="1" t="s">
        <v>22</v>
      </c>
      <c r="BK361" s="6">
        <v>1</v>
      </c>
      <c r="BL361" s="6">
        <v>0</v>
      </c>
      <c r="BM361" s="1">
        <v>2</v>
      </c>
      <c r="BN361" t="s">
        <v>24</v>
      </c>
      <c r="BO361">
        <v>2531</v>
      </c>
    </row>
    <row r="362" spans="1:67" x14ac:dyDescent="0.3">
      <c r="A362" s="4">
        <f>INT(Tabela1[[#This Row],[Data e Hora]])</f>
        <v>46308</v>
      </c>
      <c r="B362" s="4" t="str">
        <f>UPPER(TEXT(Tabela1[[#This Row],[Data Corrigida]],"MMM"))</f>
        <v>OUT</v>
      </c>
      <c r="C362" t="s">
        <v>1049</v>
      </c>
      <c r="D362" t="s">
        <v>1050</v>
      </c>
      <c r="E362" t="s">
        <v>1051</v>
      </c>
      <c r="F362" t="s">
        <v>19</v>
      </c>
      <c r="G362" s="5" t="s">
        <v>1044</v>
      </c>
      <c r="H362" t="s">
        <v>20</v>
      </c>
      <c r="I362" t="s">
        <v>21</v>
      </c>
      <c r="J362" s="1">
        <v>151</v>
      </c>
      <c r="K362" s="1">
        <v>3487</v>
      </c>
      <c r="L362" t="s">
        <v>23</v>
      </c>
      <c r="M362" s="1">
        <v>25</v>
      </c>
      <c r="N362" s="48">
        <v>25</v>
      </c>
      <c r="O362" s="1">
        <v>9</v>
      </c>
      <c r="P362" s="48">
        <v>9</v>
      </c>
      <c r="Q362" s="1">
        <v>0</v>
      </c>
      <c r="R362" s="1">
        <v>0</v>
      </c>
      <c r="S362" s="1">
        <v>3</v>
      </c>
      <c r="T362" s="1">
        <v>3</v>
      </c>
      <c r="U362" s="1">
        <v>1</v>
      </c>
      <c r="V362" s="1">
        <v>1</v>
      </c>
      <c r="W362" s="1">
        <v>0</v>
      </c>
      <c r="X362" s="1">
        <v>0</v>
      </c>
      <c r="Y362" s="1">
        <v>2</v>
      </c>
      <c r="Z362" s="3">
        <v>0.66225165562913912</v>
      </c>
      <c r="AA362" s="1">
        <v>10</v>
      </c>
      <c r="AB362" s="3">
        <v>6.6225165562913908</v>
      </c>
      <c r="AC362" s="1">
        <v>1</v>
      </c>
      <c r="AD362" s="3">
        <v>0.66225165562913912</v>
      </c>
      <c r="AE362" s="1">
        <v>3</v>
      </c>
      <c r="AF362" s="3">
        <v>1.9867549668874174</v>
      </c>
      <c r="AG362" s="1">
        <v>9</v>
      </c>
      <c r="AH362" s="3">
        <v>5.9602649006622519</v>
      </c>
      <c r="AI362" s="1" t="s">
        <v>22</v>
      </c>
      <c r="AJ362" s="1">
        <v>7</v>
      </c>
      <c r="AK362" s="3">
        <v>4.6357615894039732</v>
      </c>
      <c r="AL362" s="1">
        <v>3</v>
      </c>
      <c r="AM362" s="3">
        <v>1.9867549668874174</v>
      </c>
      <c r="AN362" s="1" t="s">
        <v>22</v>
      </c>
      <c r="AO362" s="1">
        <v>12</v>
      </c>
      <c r="AP362" s="3">
        <v>7.9470198675496695</v>
      </c>
      <c r="AQ362" s="3">
        <v>3</v>
      </c>
      <c r="AR362" s="3">
        <v>1.9867549668874174</v>
      </c>
      <c r="AS362" s="1">
        <v>9</v>
      </c>
      <c r="AT362" s="3">
        <v>5.9602649006622519</v>
      </c>
      <c r="AU362" s="1">
        <v>4</v>
      </c>
      <c r="AV362" s="3">
        <v>2.6490066225165565</v>
      </c>
      <c r="AW362" s="1" t="s">
        <v>22</v>
      </c>
      <c r="AX362" s="1">
        <v>22</v>
      </c>
      <c r="AY362" s="1">
        <v>0</v>
      </c>
      <c r="AZ362" s="1">
        <v>0</v>
      </c>
      <c r="BA362" s="1">
        <v>44</v>
      </c>
      <c r="BB362" s="1">
        <v>0</v>
      </c>
      <c r="BC362" s="1">
        <v>0</v>
      </c>
      <c r="BD362" s="1">
        <v>1</v>
      </c>
      <c r="BE362" s="54">
        <v>0.66225165562913912</v>
      </c>
      <c r="BF362" s="6">
        <v>15</v>
      </c>
      <c r="BG362" s="6">
        <v>9</v>
      </c>
      <c r="BH362" s="1">
        <v>1</v>
      </c>
      <c r="BI362" s="6">
        <v>10</v>
      </c>
      <c r="BJ362" s="1" t="s">
        <v>22</v>
      </c>
      <c r="BK362" s="1" t="s">
        <v>22</v>
      </c>
      <c r="BL362" s="1" t="s">
        <v>22</v>
      </c>
      <c r="BM362" s="1" t="s">
        <v>22</v>
      </c>
      <c r="BN362" t="s">
        <v>22</v>
      </c>
      <c r="BO362">
        <v>3013</v>
      </c>
    </row>
    <row r="363" spans="1:67" x14ac:dyDescent="0.3">
      <c r="A363" s="4">
        <f>INT(Tabela1[[#This Row],[Data e Hora]])</f>
        <v>46304</v>
      </c>
      <c r="B363" s="4" t="str">
        <f>UPPER(TEXT(Tabela1[[#This Row],[Data Corrigida]],"MMM"))</f>
        <v>OUT</v>
      </c>
      <c r="C363" t="s">
        <v>1052</v>
      </c>
      <c r="D363" t="s">
        <v>1053</v>
      </c>
      <c r="E363" t="s">
        <v>1054</v>
      </c>
      <c r="F363" t="s">
        <v>19</v>
      </c>
      <c r="G363" s="5" t="s">
        <v>1055</v>
      </c>
      <c r="H363" t="s">
        <v>20</v>
      </c>
      <c r="I363" t="s">
        <v>33</v>
      </c>
      <c r="J363" s="1">
        <v>150</v>
      </c>
      <c r="K363" s="1">
        <v>3060</v>
      </c>
      <c r="L363" t="s">
        <v>34</v>
      </c>
      <c r="M363" s="1">
        <v>10</v>
      </c>
      <c r="N363" s="48">
        <v>10</v>
      </c>
      <c r="O363" s="1">
        <v>4</v>
      </c>
      <c r="P363" s="48">
        <v>4</v>
      </c>
      <c r="Q363" s="1">
        <v>0</v>
      </c>
      <c r="R363" s="1">
        <v>0</v>
      </c>
      <c r="S363" s="1">
        <v>2</v>
      </c>
      <c r="T363" s="1">
        <v>2</v>
      </c>
      <c r="U363" s="1">
        <v>1</v>
      </c>
      <c r="V363" s="1">
        <v>1</v>
      </c>
      <c r="W363" s="1">
        <v>0</v>
      </c>
      <c r="X363" s="1">
        <v>0</v>
      </c>
      <c r="Y363" s="1">
        <v>3</v>
      </c>
      <c r="Z363" s="3">
        <v>1</v>
      </c>
      <c r="AA363" s="1">
        <v>4</v>
      </c>
      <c r="AB363" s="3">
        <v>2.666666666666667</v>
      </c>
      <c r="AC363" s="1">
        <v>0</v>
      </c>
      <c r="AD363" s="3">
        <v>0</v>
      </c>
      <c r="AE363" s="1">
        <v>2</v>
      </c>
      <c r="AF363" s="3">
        <v>1.3333333333333335</v>
      </c>
      <c r="AG363" s="1">
        <v>1</v>
      </c>
      <c r="AH363" s="3">
        <v>0.66666666666666674</v>
      </c>
      <c r="AI363" s="1" t="s">
        <v>22</v>
      </c>
      <c r="AJ363" s="1">
        <v>0</v>
      </c>
      <c r="AK363" s="3">
        <v>0</v>
      </c>
      <c r="AL363" s="1">
        <v>0</v>
      </c>
      <c r="AM363" s="3">
        <v>0</v>
      </c>
      <c r="AN363" s="1" t="s">
        <v>22</v>
      </c>
      <c r="AO363" s="1">
        <v>5</v>
      </c>
      <c r="AP363" s="3">
        <v>3.3333333333333335</v>
      </c>
      <c r="AQ363" s="3">
        <v>5</v>
      </c>
      <c r="AR363" s="3">
        <v>3.3333333333333335</v>
      </c>
      <c r="AS363" s="1">
        <v>5</v>
      </c>
      <c r="AT363" s="3">
        <v>3.3333333333333335</v>
      </c>
      <c r="AU363" s="1">
        <v>0</v>
      </c>
      <c r="AV363" s="3">
        <v>0</v>
      </c>
      <c r="AW363" s="1" t="s">
        <v>22</v>
      </c>
      <c r="AX363" s="1">
        <v>15</v>
      </c>
      <c r="AY363" s="1">
        <v>0</v>
      </c>
      <c r="AZ363" s="1">
        <v>0</v>
      </c>
      <c r="BA363" s="1">
        <v>30</v>
      </c>
      <c r="BB363" s="1">
        <v>0</v>
      </c>
      <c r="BC363" s="1">
        <v>0</v>
      </c>
      <c r="BD363" s="1">
        <v>0</v>
      </c>
      <c r="BE363" s="54">
        <v>0</v>
      </c>
      <c r="BF363" s="6">
        <v>20</v>
      </c>
      <c r="BG363" s="6">
        <v>16</v>
      </c>
      <c r="BH363" s="1">
        <v>0</v>
      </c>
      <c r="BI363" s="6">
        <v>0</v>
      </c>
      <c r="BJ363" s="1" t="s">
        <v>22</v>
      </c>
      <c r="BK363" s="6">
        <v>0</v>
      </c>
      <c r="BL363" s="6">
        <v>0</v>
      </c>
      <c r="BM363" s="1">
        <v>0</v>
      </c>
      <c r="BN363" t="s">
        <v>24</v>
      </c>
      <c r="BO363">
        <v>2456</v>
      </c>
    </row>
    <row r="364" spans="1:67" x14ac:dyDescent="0.3">
      <c r="A364" s="4">
        <f>INT(Tabela1[[#This Row],[Data e Hora]])</f>
        <v>46304</v>
      </c>
      <c r="B364" s="4" t="str">
        <f>UPPER(TEXT(Tabela1[[#This Row],[Data Corrigida]],"MMM"))</f>
        <v>OUT</v>
      </c>
      <c r="C364" t="s">
        <v>1056</v>
      </c>
      <c r="D364" t="s">
        <v>1057</v>
      </c>
      <c r="E364" t="s">
        <v>1054</v>
      </c>
      <c r="F364" t="s">
        <v>19</v>
      </c>
      <c r="G364" s="5" t="s">
        <v>1055</v>
      </c>
      <c r="H364" t="s">
        <v>20</v>
      </c>
      <c r="I364" t="s">
        <v>33</v>
      </c>
      <c r="J364" s="1">
        <v>161</v>
      </c>
      <c r="K364" s="1">
        <v>3231</v>
      </c>
      <c r="L364" t="s">
        <v>34</v>
      </c>
      <c r="M364" s="1">
        <v>11</v>
      </c>
      <c r="N364" s="48">
        <v>11</v>
      </c>
      <c r="O364" s="1">
        <v>5</v>
      </c>
      <c r="P364" s="48">
        <v>5</v>
      </c>
      <c r="Q364" s="1">
        <v>2</v>
      </c>
      <c r="R364" s="1">
        <v>20</v>
      </c>
      <c r="S364" s="1">
        <v>2</v>
      </c>
      <c r="T364" s="1">
        <v>2</v>
      </c>
      <c r="U364" s="1">
        <v>1</v>
      </c>
      <c r="V364" s="1">
        <v>1</v>
      </c>
      <c r="W364" s="1" t="s">
        <v>22</v>
      </c>
      <c r="X364" s="1" t="s">
        <v>22</v>
      </c>
      <c r="Y364" s="1">
        <v>6</v>
      </c>
      <c r="Z364" s="3">
        <v>1.8633540372670807</v>
      </c>
      <c r="AA364" s="1">
        <v>13</v>
      </c>
      <c r="AB364" s="3">
        <v>8.0745341614906838</v>
      </c>
      <c r="AC364" s="1">
        <v>0</v>
      </c>
      <c r="AD364" s="3">
        <v>0</v>
      </c>
      <c r="AE364" s="1">
        <v>2</v>
      </c>
      <c r="AF364" s="3">
        <v>1.2422360248447204</v>
      </c>
      <c r="AG364" s="1">
        <v>3</v>
      </c>
      <c r="AH364" s="3">
        <v>1.8633540372670807</v>
      </c>
      <c r="AI364" s="1" t="s">
        <v>22</v>
      </c>
      <c r="AJ364" s="1">
        <v>1</v>
      </c>
      <c r="AK364" s="3">
        <v>0.6211180124223602</v>
      </c>
      <c r="AL364" s="1">
        <v>0</v>
      </c>
      <c r="AM364" s="3">
        <v>0</v>
      </c>
      <c r="AN364" s="1" t="s">
        <v>22</v>
      </c>
      <c r="AO364" s="1">
        <v>10</v>
      </c>
      <c r="AP364" s="3">
        <v>6.2111801242236027</v>
      </c>
      <c r="AQ364" s="3">
        <v>5</v>
      </c>
      <c r="AR364" s="3">
        <v>3.1055900621118013</v>
      </c>
      <c r="AS364" s="1">
        <v>6</v>
      </c>
      <c r="AT364" s="3">
        <v>3.7267080745341614</v>
      </c>
      <c r="AU364" s="1">
        <v>0</v>
      </c>
      <c r="AV364" s="3">
        <v>0</v>
      </c>
      <c r="AW364" s="1" t="s">
        <v>22</v>
      </c>
      <c r="AX364" s="1">
        <v>16</v>
      </c>
      <c r="AY364" s="1">
        <v>0</v>
      </c>
      <c r="AZ364" s="1">
        <v>0</v>
      </c>
      <c r="BA364" s="1">
        <v>32</v>
      </c>
      <c r="BB364" s="1">
        <v>0</v>
      </c>
      <c r="BC364" s="1">
        <v>0</v>
      </c>
      <c r="BD364" s="1">
        <v>0</v>
      </c>
      <c r="BE364" s="54">
        <v>0</v>
      </c>
      <c r="BF364" s="6">
        <v>20</v>
      </c>
      <c r="BG364" s="6">
        <v>17</v>
      </c>
      <c r="BH364" s="1">
        <v>0</v>
      </c>
      <c r="BI364" s="6">
        <v>0</v>
      </c>
      <c r="BJ364" s="1" t="s">
        <v>22</v>
      </c>
      <c r="BK364" s="6">
        <v>0</v>
      </c>
      <c r="BL364" s="6">
        <v>0</v>
      </c>
      <c r="BM364" s="1">
        <v>0</v>
      </c>
      <c r="BN364" t="s">
        <v>24</v>
      </c>
      <c r="BO364">
        <v>6507</v>
      </c>
    </row>
    <row r="365" spans="1:67" x14ac:dyDescent="0.3">
      <c r="A365" s="4">
        <f>INT(Tabela1[[#This Row],[Data e Hora]])</f>
        <v>46304</v>
      </c>
      <c r="B365" s="4" t="str">
        <f>UPPER(TEXT(Tabela1[[#This Row],[Data Corrigida]],"MMM"))</f>
        <v>OUT</v>
      </c>
      <c r="C365" t="s">
        <v>1058</v>
      </c>
      <c r="D365" t="s">
        <v>1059</v>
      </c>
      <c r="E365" t="s">
        <v>1060</v>
      </c>
      <c r="F365" t="s">
        <v>19</v>
      </c>
      <c r="G365" s="5" t="s">
        <v>1055</v>
      </c>
      <c r="H365" t="s">
        <v>20</v>
      </c>
      <c r="I365" t="s">
        <v>33</v>
      </c>
      <c r="J365" s="1">
        <v>130</v>
      </c>
      <c r="K365" s="1">
        <v>2792</v>
      </c>
      <c r="L365" t="s">
        <v>34</v>
      </c>
      <c r="M365" s="1">
        <v>6</v>
      </c>
      <c r="N365" s="48">
        <v>6</v>
      </c>
      <c r="O365" s="1">
        <v>5</v>
      </c>
      <c r="P365" s="48">
        <v>5</v>
      </c>
      <c r="Q365" s="1">
        <v>1</v>
      </c>
      <c r="R365" s="1">
        <v>10</v>
      </c>
      <c r="S365" s="1">
        <v>2</v>
      </c>
      <c r="T365" s="1">
        <v>2</v>
      </c>
      <c r="U365" s="1">
        <v>1</v>
      </c>
      <c r="V365" s="1">
        <v>1</v>
      </c>
      <c r="W365" s="1">
        <v>0</v>
      </c>
      <c r="X365" s="1">
        <v>0</v>
      </c>
      <c r="Y365" s="1">
        <v>3</v>
      </c>
      <c r="Z365" s="3">
        <v>1.153846153846154</v>
      </c>
      <c r="AA365" s="1">
        <v>7</v>
      </c>
      <c r="AB365" s="3">
        <v>5.384615384615385</v>
      </c>
      <c r="AC365" s="1">
        <v>0</v>
      </c>
      <c r="AD365" s="3">
        <v>0</v>
      </c>
      <c r="AE365" s="1">
        <v>1</v>
      </c>
      <c r="AF365" s="3">
        <v>0.76923076923076927</v>
      </c>
      <c r="AG365" s="1">
        <v>1</v>
      </c>
      <c r="AH365" s="3">
        <v>0.76923076923076927</v>
      </c>
      <c r="AI365" s="1" t="s">
        <v>22</v>
      </c>
      <c r="AJ365" s="1">
        <v>0</v>
      </c>
      <c r="AK365" s="3">
        <v>0</v>
      </c>
      <c r="AL365" s="1">
        <v>0</v>
      </c>
      <c r="AM365" s="3">
        <v>0</v>
      </c>
      <c r="AN365" s="1" t="s">
        <v>22</v>
      </c>
      <c r="AO365" s="1">
        <v>6</v>
      </c>
      <c r="AP365" s="3">
        <v>4.6153846153846159</v>
      </c>
      <c r="AQ365" s="3">
        <v>5</v>
      </c>
      <c r="AR365" s="3">
        <v>3.8461538461538463</v>
      </c>
      <c r="AS365" s="1">
        <v>5</v>
      </c>
      <c r="AT365" s="3">
        <v>3.8461538461538463</v>
      </c>
      <c r="AU365" s="1">
        <v>0</v>
      </c>
      <c r="AV365" s="3">
        <v>0</v>
      </c>
      <c r="AW365" s="1" t="s">
        <v>22</v>
      </c>
      <c r="AX365" s="1">
        <v>16</v>
      </c>
      <c r="AY365" s="1">
        <v>0</v>
      </c>
      <c r="AZ365" s="1">
        <v>0</v>
      </c>
      <c r="BA365" s="1">
        <v>32</v>
      </c>
      <c r="BB365" s="1">
        <v>0</v>
      </c>
      <c r="BC365" s="1">
        <v>0</v>
      </c>
      <c r="BD365" s="1">
        <v>1</v>
      </c>
      <c r="BE365" s="54">
        <v>0.76923076923076927</v>
      </c>
      <c r="BF365" s="6">
        <v>21</v>
      </c>
      <c r="BG365" s="6">
        <v>17</v>
      </c>
      <c r="BH365" s="1">
        <v>0</v>
      </c>
      <c r="BI365" s="6">
        <v>0</v>
      </c>
      <c r="BJ365" s="1" t="s">
        <v>22</v>
      </c>
      <c r="BK365" s="6">
        <v>3</v>
      </c>
      <c r="BL365" s="6">
        <v>0</v>
      </c>
      <c r="BM365" s="1">
        <v>0</v>
      </c>
      <c r="BN365" t="s">
        <v>24</v>
      </c>
      <c r="BO365">
        <v>16112</v>
      </c>
    </row>
    <row r="366" spans="1:67" x14ac:dyDescent="0.3">
      <c r="A366" s="4">
        <f>INT(Tabela1[[#This Row],[Data e Hora]])</f>
        <v>46304</v>
      </c>
      <c r="B366" s="4" t="str">
        <f>UPPER(TEXT(Tabela1[[#This Row],[Data Corrigida]],"MMM"))</f>
        <v>OUT</v>
      </c>
      <c r="C366" t="s">
        <v>1061</v>
      </c>
      <c r="D366" t="s">
        <v>1062</v>
      </c>
      <c r="E366" t="s">
        <v>1063</v>
      </c>
      <c r="F366" t="s">
        <v>19</v>
      </c>
      <c r="G366" s="5" t="s">
        <v>1055</v>
      </c>
      <c r="H366" t="s">
        <v>20</v>
      </c>
      <c r="I366" t="s">
        <v>21</v>
      </c>
      <c r="J366" s="1">
        <v>161</v>
      </c>
      <c r="K366" s="1">
        <v>3047</v>
      </c>
      <c r="L366" t="s">
        <v>23</v>
      </c>
      <c r="M366" s="1">
        <v>27</v>
      </c>
      <c r="N366" s="48">
        <v>27</v>
      </c>
      <c r="O366" s="1">
        <v>12</v>
      </c>
      <c r="P366" s="48">
        <v>12</v>
      </c>
      <c r="Q366" s="1">
        <v>0</v>
      </c>
      <c r="R366" s="1">
        <v>0</v>
      </c>
      <c r="S366" s="1">
        <v>1</v>
      </c>
      <c r="T366" s="1">
        <v>1</v>
      </c>
      <c r="U366" s="1">
        <v>1</v>
      </c>
      <c r="V366" s="1">
        <v>1</v>
      </c>
      <c r="W366" s="1">
        <v>0</v>
      </c>
      <c r="X366" s="1">
        <v>0</v>
      </c>
      <c r="Y366" s="1">
        <v>2</v>
      </c>
      <c r="Z366" s="3">
        <v>0.6211180124223602</v>
      </c>
      <c r="AA366" s="1">
        <v>9</v>
      </c>
      <c r="AB366" s="3">
        <v>5.5900621118012426</v>
      </c>
      <c r="AC366" s="1">
        <v>0</v>
      </c>
      <c r="AD366" s="3">
        <v>0</v>
      </c>
      <c r="AE366" s="1">
        <v>2</v>
      </c>
      <c r="AF366" s="3">
        <v>1.2422360248447204</v>
      </c>
      <c r="AG366" s="1">
        <v>8</v>
      </c>
      <c r="AH366" s="3">
        <v>4.9689440993788816</v>
      </c>
      <c r="AI366" s="1" t="s">
        <v>22</v>
      </c>
      <c r="AJ366" s="1">
        <v>6</v>
      </c>
      <c r="AK366" s="3">
        <v>3.7267080745341614</v>
      </c>
      <c r="AL366" s="1">
        <v>3</v>
      </c>
      <c r="AM366" s="3">
        <v>1.8633540372670807</v>
      </c>
      <c r="AN366" s="1" t="s">
        <v>22</v>
      </c>
      <c r="AO366" s="1">
        <v>12</v>
      </c>
      <c r="AP366" s="3">
        <v>7.4534161490683228</v>
      </c>
      <c r="AQ366" s="3">
        <v>1</v>
      </c>
      <c r="AR366" s="3">
        <v>0.6211180124223602</v>
      </c>
      <c r="AS366" s="1">
        <v>7</v>
      </c>
      <c r="AT366" s="3">
        <v>4.3478260869565215</v>
      </c>
      <c r="AU366" s="1">
        <v>1</v>
      </c>
      <c r="AV366" s="3">
        <v>0.6211180124223602</v>
      </c>
      <c r="AW366" s="1" t="s">
        <v>22</v>
      </c>
      <c r="AX366" s="1">
        <v>21</v>
      </c>
      <c r="AY366" s="1">
        <v>0</v>
      </c>
      <c r="AZ366" s="1">
        <v>0</v>
      </c>
      <c r="BA366" s="1">
        <v>42</v>
      </c>
      <c r="BB366" s="1">
        <v>0</v>
      </c>
      <c r="BC366" s="1">
        <v>0</v>
      </c>
      <c r="BD366" s="1">
        <v>1</v>
      </c>
      <c r="BE366" s="54">
        <v>0.6211180124223602</v>
      </c>
      <c r="BF366" s="6">
        <v>20</v>
      </c>
      <c r="BG366" s="6">
        <v>23</v>
      </c>
      <c r="BH366" s="1">
        <v>1</v>
      </c>
      <c r="BI366" s="6">
        <v>10</v>
      </c>
      <c r="BJ366" s="1" t="s">
        <v>22</v>
      </c>
      <c r="BK366" s="1" t="s">
        <v>22</v>
      </c>
      <c r="BL366" s="1" t="s">
        <v>22</v>
      </c>
      <c r="BM366" s="1" t="s">
        <v>22</v>
      </c>
      <c r="BN366" t="s">
        <v>24</v>
      </c>
      <c r="BO366">
        <v>1105</v>
      </c>
    </row>
    <row r="367" spans="1:67" x14ac:dyDescent="0.3">
      <c r="A367" s="4">
        <f>INT(Tabela1[[#This Row],[Data e Hora]])</f>
        <v>46304</v>
      </c>
      <c r="B367" s="4" t="str">
        <f>UPPER(TEXT(Tabela1[[#This Row],[Data Corrigida]],"MMM"))</f>
        <v>OUT</v>
      </c>
      <c r="C367" t="s">
        <v>1064</v>
      </c>
      <c r="D367" t="s">
        <v>1065</v>
      </c>
      <c r="E367" t="s">
        <v>1066</v>
      </c>
      <c r="F367" t="s">
        <v>19</v>
      </c>
      <c r="G367" s="5" t="s">
        <v>1055</v>
      </c>
      <c r="H367" t="s">
        <v>20</v>
      </c>
      <c r="I367" t="s">
        <v>21</v>
      </c>
      <c r="J367" s="1">
        <v>161</v>
      </c>
      <c r="K367" s="1">
        <v>2667</v>
      </c>
      <c r="L367" t="s">
        <v>23</v>
      </c>
      <c r="M367" s="1">
        <v>35</v>
      </c>
      <c r="N367" s="48">
        <v>35</v>
      </c>
      <c r="O367" s="1">
        <v>15</v>
      </c>
      <c r="P367" s="48">
        <v>15</v>
      </c>
      <c r="Q367" s="1">
        <v>0</v>
      </c>
      <c r="R367" s="1">
        <v>0</v>
      </c>
      <c r="S367" s="1">
        <v>1</v>
      </c>
      <c r="T367" s="1">
        <v>1</v>
      </c>
      <c r="U367" s="1">
        <v>1</v>
      </c>
      <c r="V367" s="1">
        <v>1</v>
      </c>
      <c r="W367" s="1">
        <v>0</v>
      </c>
      <c r="X367" s="1">
        <v>0</v>
      </c>
      <c r="Y367" s="1">
        <v>1</v>
      </c>
      <c r="Z367" s="3">
        <v>0.3105590062111801</v>
      </c>
      <c r="AA367" s="1">
        <v>3</v>
      </c>
      <c r="AB367" s="3">
        <v>1.8633540372670807</v>
      </c>
      <c r="AC367" s="1">
        <v>0</v>
      </c>
      <c r="AD367" s="3">
        <v>0</v>
      </c>
      <c r="AE367" s="1">
        <v>3</v>
      </c>
      <c r="AF367" s="3">
        <v>1.8633540372670807</v>
      </c>
      <c r="AG367" s="1">
        <v>9</v>
      </c>
      <c r="AH367" s="3">
        <v>5.5900621118012426</v>
      </c>
      <c r="AI367" s="1" t="s">
        <v>22</v>
      </c>
      <c r="AJ367" s="1">
        <v>5</v>
      </c>
      <c r="AK367" s="3">
        <v>3.1055900621118013</v>
      </c>
      <c r="AL367" s="1">
        <v>3</v>
      </c>
      <c r="AM367" s="3">
        <v>1.8633540372670807</v>
      </c>
      <c r="AN367" s="1" t="s">
        <v>22</v>
      </c>
      <c r="AO367" s="1">
        <v>12</v>
      </c>
      <c r="AP367" s="3">
        <v>7.4534161490683228</v>
      </c>
      <c r="AQ367" s="3">
        <v>2</v>
      </c>
      <c r="AR367" s="3">
        <v>1.2422360248447204</v>
      </c>
      <c r="AS367" s="1">
        <v>8</v>
      </c>
      <c r="AT367" s="3">
        <v>4.9689440993788816</v>
      </c>
      <c r="AU367" s="1">
        <v>1</v>
      </c>
      <c r="AV367" s="3">
        <v>0.6211180124223602</v>
      </c>
      <c r="AW367" s="1" t="s">
        <v>22</v>
      </c>
      <c r="AX367" s="1">
        <v>18</v>
      </c>
      <c r="AY367" s="1">
        <v>0</v>
      </c>
      <c r="AZ367" s="1">
        <v>0</v>
      </c>
      <c r="BA367" s="1">
        <v>36</v>
      </c>
      <c r="BB367" s="1">
        <v>0</v>
      </c>
      <c r="BC367" s="1">
        <v>0</v>
      </c>
      <c r="BD367" s="1">
        <v>0</v>
      </c>
      <c r="BE367" s="54">
        <v>0</v>
      </c>
      <c r="BF367" s="6">
        <v>22</v>
      </c>
      <c r="BG367" s="6">
        <v>25</v>
      </c>
      <c r="BH367" s="1">
        <v>1</v>
      </c>
      <c r="BI367" s="6">
        <v>10</v>
      </c>
      <c r="BJ367" s="1" t="s">
        <v>22</v>
      </c>
      <c r="BK367" s="6">
        <v>2</v>
      </c>
      <c r="BL367" s="6">
        <v>0</v>
      </c>
      <c r="BM367" s="1">
        <v>1</v>
      </c>
      <c r="BN367" t="s">
        <v>24</v>
      </c>
      <c r="BO367">
        <v>1954</v>
      </c>
    </row>
    <row r="368" spans="1:67" x14ac:dyDescent="0.3">
      <c r="A368" s="4">
        <f>INT(Tabela1[[#This Row],[Data e Hora]])</f>
        <v>46304</v>
      </c>
      <c r="B368" s="4" t="str">
        <f>UPPER(TEXT(Tabela1[[#This Row],[Data Corrigida]],"MMM"))</f>
        <v>OUT</v>
      </c>
      <c r="C368" t="s">
        <v>1067</v>
      </c>
      <c r="D368" t="s">
        <v>1068</v>
      </c>
      <c r="E368" t="s">
        <v>1066</v>
      </c>
      <c r="F368" t="s">
        <v>19</v>
      </c>
      <c r="G368" s="5" t="s">
        <v>1055</v>
      </c>
      <c r="H368" t="s">
        <v>20</v>
      </c>
      <c r="I368" t="s">
        <v>21</v>
      </c>
      <c r="J368" s="1">
        <v>161</v>
      </c>
      <c r="K368" s="1">
        <v>2693</v>
      </c>
      <c r="L368" t="s">
        <v>23</v>
      </c>
      <c r="M368" s="1">
        <v>35</v>
      </c>
      <c r="N368" s="48">
        <v>35</v>
      </c>
      <c r="O368" s="1">
        <v>23</v>
      </c>
      <c r="P368" s="48">
        <v>23</v>
      </c>
      <c r="Q368" s="1">
        <v>0</v>
      </c>
      <c r="R368" s="1">
        <v>0</v>
      </c>
      <c r="S368" s="1">
        <v>1</v>
      </c>
      <c r="T368" s="1">
        <v>1</v>
      </c>
      <c r="U368" s="1">
        <v>1</v>
      </c>
      <c r="V368" s="1">
        <v>1</v>
      </c>
      <c r="W368" s="1">
        <v>0</v>
      </c>
      <c r="X368" s="1">
        <v>0</v>
      </c>
      <c r="Y368" s="1">
        <v>1</v>
      </c>
      <c r="Z368" s="3">
        <v>0.3105590062111801</v>
      </c>
      <c r="AA368" s="1">
        <v>3</v>
      </c>
      <c r="AB368" s="3">
        <v>1.8633540372670807</v>
      </c>
      <c r="AC368" s="1">
        <v>0</v>
      </c>
      <c r="AD368" s="3">
        <v>0</v>
      </c>
      <c r="AE368" s="1">
        <v>1</v>
      </c>
      <c r="AF368" s="3">
        <v>0.6211180124223602</v>
      </c>
      <c r="AG368" s="1">
        <v>6</v>
      </c>
      <c r="AH368" s="3">
        <v>3.7267080745341614</v>
      </c>
      <c r="AI368" s="1" t="s">
        <v>22</v>
      </c>
      <c r="AJ368" s="1">
        <v>3</v>
      </c>
      <c r="AK368" s="3">
        <v>1.8633540372670807</v>
      </c>
      <c r="AL368" s="1">
        <v>2</v>
      </c>
      <c r="AM368" s="3">
        <v>1.2422360248447204</v>
      </c>
      <c r="AN368" s="1" t="s">
        <v>22</v>
      </c>
      <c r="AO368" s="1">
        <v>8</v>
      </c>
      <c r="AP368" s="3">
        <v>4.9689440993788816</v>
      </c>
      <c r="AQ368" s="3">
        <v>1</v>
      </c>
      <c r="AR368" s="3">
        <v>0.6211180124223602</v>
      </c>
      <c r="AS368" s="1">
        <v>7</v>
      </c>
      <c r="AT368" s="3">
        <v>4.3478260869565215</v>
      </c>
      <c r="AU368" s="1">
        <v>1</v>
      </c>
      <c r="AV368" s="3">
        <v>0.6211180124223602</v>
      </c>
      <c r="AW368" s="1" t="s">
        <v>22</v>
      </c>
      <c r="AX368" s="1">
        <v>19</v>
      </c>
      <c r="AY368" s="1">
        <v>0</v>
      </c>
      <c r="AZ368" s="1">
        <v>0</v>
      </c>
      <c r="BA368" s="1">
        <v>38</v>
      </c>
      <c r="BB368" s="1">
        <v>0</v>
      </c>
      <c r="BC368" s="1">
        <v>0</v>
      </c>
      <c r="BD368" s="1">
        <v>1</v>
      </c>
      <c r="BE368" s="54">
        <v>0.6211180124223602</v>
      </c>
      <c r="BF368" s="6">
        <v>21</v>
      </c>
      <c r="BG368" s="6">
        <v>22</v>
      </c>
      <c r="BH368" s="1">
        <v>1</v>
      </c>
      <c r="BI368" s="6">
        <v>10</v>
      </c>
      <c r="BJ368" s="1" t="s">
        <v>22</v>
      </c>
      <c r="BK368" s="6">
        <v>1</v>
      </c>
      <c r="BL368" s="6">
        <v>0</v>
      </c>
      <c r="BM368" s="1">
        <v>1</v>
      </c>
      <c r="BN368" t="s">
        <v>24</v>
      </c>
      <c r="BO368">
        <v>2579</v>
      </c>
    </row>
    <row r="369" spans="1:67" x14ac:dyDescent="0.3">
      <c r="A369" s="4">
        <f>INT(Tabela1[[#This Row],[Data e Hora]])</f>
        <v>46304</v>
      </c>
      <c r="B369" s="4" t="str">
        <f>UPPER(TEXT(Tabela1[[#This Row],[Data Corrigida]],"MMM"))</f>
        <v>OUT</v>
      </c>
      <c r="C369" t="s">
        <v>1069</v>
      </c>
      <c r="D369" t="s">
        <v>1070</v>
      </c>
      <c r="E369" t="s">
        <v>1066</v>
      </c>
      <c r="F369" t="s">
        <v>19</v>
      </c>
      <c r="G369" s="5" t="s">
        <v>1055</v>
      </c>
      <c r="H369" t="s">
        <v>20</v>
      </c>
      <c r="I369" t="s">
        <v>21</v>
      </c>
      <c r="J369" s="1">
        <v>151</v>
      </c>
      <c r="K369" s="1">
        <v>2994</v>
      </c>
      <c r="L369" t="s">
        <v>23</v>
      </c>
      <c r="M369" s="1">
        <v>23</v>
      </c>
      <c r="N369" s="48">
        <v>23</v>
      </c>
      <c r="O369" s="1">
        <v>14</v>
      </c>
      <c r="P369" s="48">
        <v>14.000000000000002</v>
      </c>
      <c r="Q369" s="1">
        <v>0</v>
      </c>
      <c r="R369" s="1">
        <v>0</v>
      </c>
      <c r="S369" s="1">
        <v>2</v>
      </c>
      <c r="T369" s="1">
        <v>2</v>
      </c>
      <c r="U369" s="1">
        <v>0</v>
      </c>
      <c r="V369" s="1">
        <v>0</v>
      </c>
      <c r="W369" s="1">
        <v>0</v>
      </c>
      <c r="X369" s="1">
        <v>0</v>
      </c>
      <c r="Y369" s="1">
        <v>1</v>
      </c>
      <c r="Z369" s="3">
        <v>0.33112582781456956</v>
      </c>
      <c r="AA369" s="1">
        <v>3</v>
      </c>
      <c r="AB369" s="3">
        <v>1.9867549668874174</v>
      </c>
      <c r="AC369" s="1">
        <v>0</v>
      </c>
      <c r="AD369" s="3">
        <v>0</v>
      </c>
      <c r="AE369" s="1">
        <v>2</v>
      </c>
      <c r="AF369" s="3">
        <v>1.3245033112582782</v>
      </c>
      <c r="AG369" s="1">
        <v>8</v>
      </c>
      <c r="AH369" s="3">
        <v>5.298013245033113</v>
      </c>
      <c r="AI369" s="1" t="s">
        <v>22</v>
      </c>
      <c r="AJ369" s="1">
        <v>3</v>
      </c>
      <c r="AK369" s="3">
        <v>1.9867549668874174</v>
      </c>
      <c r="AL369" s="1">
        <v>2</v>
      </c>
      <c r="AM369" s="3">
        <v>1.3245033112582782</v>
      </c>
      <c r="AN369" s="1" t="s">
        <v>22</v>
      </c>
      <c r="AO369" s="1">
        <v>9</v>
      </c>
      <c r="AP369" s="3">
        <v>5.9602649006622519</v>
      </c>
      <c r="AQ369" s="3">
        <v>1</v>
      </c>
      <c r="AR369" s="3">
        <v>0.66225165562913912</v>
      </c>
      <c r="AS369" s="1">
        <v>8</v>
      </c>
      <c r="AT369" s="3">
        <v>5.298013245033113</v>
      </c>
      <c r="AU369" s="1">
        <v>1</v>
      </c>
      <c r="AV369" s="3">
        <v>0.66225165562913912</v>
      </c>
      <c r="AW369" s="1" t="s">
        <v>22</v>
      </c>
      <c r="AX369" s="1">
        <v>20</v>
      </c>
      <c r="AY369" s="1">
        <v>0</v>
      </c>
      <c r="AZ369" s="1">
        <v>0</v>
      </c>
      <c r="BA369" s="1">
        <v>40</v>
      </c>
      <c r="BB369" s="1">
        <v>0</v>
      </c>
      <c r="BC369" s="1">
        <v>0</v>
      </c>
      <c r="BD369" s="1">
        <v>0</v>
      </c>
      <c r="BE369" s="54">
        <v>0</v>
      </c>
      <c r="BF369" s="6">
        <v>25</v>
      </c>
      <c r="BG369" s="6">
        <v>18</v>
      </c>
      <c r="BH369" s="1">
        <v>1</v>
      </c>
      <c r="BI369" s="6">
        <v>10</v>
      </c>
      <c r="BJ369" s="1" t="s">
        <v>22</v>
      </c>
      <c r="BK369" s="1" t="s">
        <v>22</v>
      </c>
      <c r="BL369" s="1" t="s">
        <v>22</v>
      </c>
      <c r="BM369" s="1" t="s">
        <v>22</v>
      </c>
      <c r="BN369" t="s">
        <v>24</v>
      </c>
      <c r="BO369">
        <v>1731</v>
      </c>
    </row>
    <row r="370" spans="1:67" x14ac:dyDescent="0.3">
      <c r="A370" s="4">
        <f>INT(Tabela1[[#This Row],[Data e Hora]])</f>
        <v>46303</v>
      </c>
      <c r="B370" s="4" t="str">
        <f>UPPER(TEXT(Tabela1[[#This Row],[Data Corrigida]],"MMM"))</f>
        <v>OUT</v>
      </c>
      <c r="C370" t="s">
        <v>1071</v>
      </c>
      <c r="D370" t="s">
        <v>1072</v>
      </c>
      <c r="E370" t="s">
        <v>1073</v>
      </c>
      <c r="F370" t="s">
        <v>19</v>
      </c>
      <c r="G370" s="5" t="s">
        <v>994</v>
      </c>
      <c r="H370" t="s">
        <v>20</v>
      </c>
      <c r="I370" t="s">
        <v>33</v>
      </c>
      <c r="J370" s="1">
        <v>161</v>
      </c>
      <c r="K370" s="1">
        <v>3303</v>
      </c>
      <c r="L370" t="s">
        <v>34</v>
      </c>
      <c r="M370" s="1">
        <v>20</v>
      </c>
      <c r="N370" s="48">
        <v>20</v>
      </c>
      <c r="O370" s="1">
        <v>4</v>
      </c>
      <c r="P370" s="48">
        <v>4</v>
      </c>
      <c r="Q370" s="1">
        <v>0</v>
      </c>
      <c r="R370" s="1">
        <v>0</v>
      </c>
      <c r="S370" s="1">
        <v>2</v>
      </c>
      <c r="T370" s="1">
        <v>2</v>
      </c>
      <c r="U370" s="1">
        <v>0</v>
      </c>
      <c r="V370" s="1">
        <v>0</v>
      </c>
      <c r="W370" s="1">
        <v>0</v>
      </c>
      <c r="X370" s="1">
        <v>0</v>
      </c>
      <c r="Y370" s="1">
        <v>4</v>
      </c>
      <c r="Z370" s="3">
        <v>1.2422360248447204</v>
      </c>
      <c r="AA370" s="1">
        <v>4</v>
      </c>
      <c r="AB370" s="3">
        <v>2.4844720496894408</v>
      </c>
      <c r="AC370" s="1">
        <v>0</v>
      </c>
      <c r="AD370" s="3">
        <v>0</v>
      </c>
      <c r="AE370" s="1">
        <v>2</v>
      </c>
      <c r="AF370" s="3">
        <v>1.2422360248447204</v>
      </c>
      <c r="AG370" s="1">
        <v>3</v>
      </c>
      <c r="AH370" s="3">
        <v>1.8633540372670807</v>
      </c>
      <c r="AI370" s="1" t="s">
        <v>22</v>
      </c>
      <c r="AJ370" s="1">
        <v>0</v>
      </c>
      <c r="AK370" s="3">
        <v>0</v>
      </c>
      <c r="AL370" s="1">
        <v>0</v>
      </c>
      <c r="AM370" s="3">
        <v>0</v>
      </c>
      <c r="AN370" s="1" t="s">
        <v>22</v>
      </c>
      <c r="AO370" s="1">
        <v>6</v>
      </c>
      <c r="AP370" s="3">
        <v>3.7267080745341614</v>
      </c>
      <c r="AQ370" s="3">
        <v>5</v>
      </c>
      <c r="AR370" s="3">
        <v>3.1055900621118013</v>
      </c>
      <c r="AS370" s="1">
        <v>5</v>
      </c>
      <c r="AT370" s="3">
        <v>3.1055900621118013</v>
      </c>
      <c r="AU370" s="1">
        <v>0</v>
      </c>
      <c r="AV370" s="3">
        <v>0</v>
      </c>
      <c r="AW370" s="1" t="s">
        <v>22</v>
      </c>
      <c r="AX370" s="1">
        <v>16</v>
      </c>
      <c r="AY370" s="1">
        <v>0</v>
      </c>
      <c r="AZ370" s="1">
        <v>0</v>
      </c>
      <c r="BA370" s="1">
        <v>32</v>
      </c>
      <c r="BB370" s="1">
        <v>0</v>
      </c>
      <c r="BC370" s="1">
        <v>0</v>
      </c>
      <c r="BD370" s="1">
        <v>0</v>
      </c>
      <c r="BE370" s="54">
        <v>0</v>
      </c>
      <c r="BF370" s="6">
        <v>20</v>
      </c>
      <c r="BG370" s="6">
        <v>16</v>
      </c>
      <c r="BH370" s="1">
        <v>0</v>
      </c>
      <c r="BI370" s="6">
        <v>0</v>
      </c>
      <c r="BJ370" s="1" t="s">
        <v>22</v>
      </c>
      <c r="BK370" s="6">
        <v>3</v>
      </c>
      <c r="BL370" s="6">
        <v>0</v>
      </c>
      <c r="BM370" s="1">
        <v>0</v>
      </c>
      <c r="BN370" t="s">
        <v>24</v>
      </c>
      <c r="BO370">
        <v>4490</v>
      </c>
    </row>
    <row r="371" spans="1:67" x14ac:dyDescent="0.3">
      <c r="A371" s="4">
        <f>INT(Tabela1[[#This Row],[Data e Hora]])</f>
        <v>46303</v>
      </c>
      <c r="B371" s="4" t="str">
        <f>UPPER(TEXT(Tabela1[[#This Row],[Data Corrigida]],"MMM"))</f>
        <v>OUT</v>
      </c>
      <c r="C371" t="s">
        <v>1074</v>
      </c>
      <c r="D371" t="s">
        <v>1075</v>
      </c>
      <c r="E371" t="s">
        <v>1076</v>
      </c>
      <c r="F371" t="s">
        <v>19</v>
      </c>
      <c r="G371" s="5" t="s">
        <v>994</v>
      </c>
      <c r="H371" t="s">
        <v>20</v>
      </c>
      <c r="I371" t="s">
        <v>33</v>
      </c>
      <c r="J371" s="1">
        <v>161</v>
      </c>
      <c r="K371" s="1">
        <v>3137</v>
      </c>
      <c r="L371" t="s">
        <v>34</v>
      </c>
      <c r="M371" s="1">
        <v>19</v>
      </c>
      <c r="N371" s="48">
        <v>19</v>
      </c>
      <c r="O371" s="1">
        <v>5</v>
      </c>
      <c r="P371" s="48">
        <v>5</v>
      </c>
      <c r="Q371" s="1">
        <v>0</v>
      </c>
      <c r="R371" s="1">
        <v>0</v>
      </c>
      <c r="S371" s="1">
        <v>1</v>
      </c>
      <c r="T371" s="1">
        <v>1</v>
      </c>
      <c r="U371" s="1">
        <v>0</v>
      </c>
      <c r="V371" s="1">
        <v>0</v>
      </c>
      <c r="W371" s="1">
        <v>0</v>
      </c>
      <c r="X371" s="1">
        <v>0</v>
      </c>
      <c r="Y371" s="1">
        <v>4</v>
      </c>
      <c r="Z371" s="3">
        <v>1.2422360248447204</v>
      </c>
      <c r="AA371" s="1">
        <v>5</v>
      </c>
      <c r="AB371" s="3">
        <v>3.1055900621118013</v>
      </c>
      <c r="AC371" s="1">
        <v>0</v>
      </c>
      <c r="AD371" s="3">
        <v>0</v>
      </c>
      <c r="AE371" s="1">
        <v>1</v>
      </c>
      <c r="AF371" s="3">
        <v>0.6211180124223602</v>
      </c>
      <c r="AG371" s="1">
        <v>2</v>
      </c>
      <c r="AH371" s="3">
        <v>1.2422360248447204</v>
      </c>
      <c r="AI371" s="1" t="s">
        <v>22</v>
      </c>
      <c r="AJ371" s="1">
        <v>0</v>
      </c>
      <c r="AK371" s="3">
        <v>0</v>
      </c>
      <c r="AL371" s="1">
        <v>0</v>
      </c>
      <c r="AM371" s="3">
        <v>0</v>
      </c>
      <c r="AN371" s="1" t="s">
        <v>22</v>
      </c>
      <c r="AO371" s="1">
        <v>5</v>
      </c>
      <c r="AP371" s="3">
        <v>3.1055900621118013</v>
      </c>
      <c r="AQ371" s="3">
        <v>6</v>
      </c>
      <c r="AR371" s="3">
        <v>3.7267080745341614</v>
      </c>
      <c r="AS371" s="1">
        <v>4</v>
      </c>
      <c r="AT371" s="3">
        <v>2.4844720496894408</v>
      </c>
      <c r="AU371" s="1">
        <v>0</v>
      </c>
      <c r="AV371" s="3">
        <v>0</v>
      </c>
      <c r="AW371" s="1" t="s">
        <v>22</v>
      </c>
      <c r="AX371" s="1">
        <v>18</v>
      </c>
      <c r="AY371" s="1">
        <v>0</v>
      </c>
      <c r="AZ371" s="1">
        <v>0</v>
      </c>
      <c r="BA371" s="1">
        <v>36</v>
      </c>
      <c r="BB371" s="1">
        <v>0</v>
      </c>
      <c r="BC371" s="1">
        <v>0</v>
      </c>
      <c r="BD371" s="1">
        <v>0</v>
      </c>
      <c r="BE371" s="54">
        <v>0</v>
      </c>
      <c r="BF371" s="6">
        <v>22</v>
      </c>
      <c r="BG371" s="6">
        <v>18</v>
      </c>
      <c r="BH371" s="1">
        <v>1</v>
      </c>
      <c r="BI371" s="6">
        <v>10</v>
      </c>
      <c r="BJ371" s="1" t="s">
        <v>22</v>
      </c>
      <c r="BK371" s="6">
        <v>6</v>
      </c>
      <c r="BL371" s="6">
        <v>0</v>
      </c>
      <c r="BM371" s="1">
        <v>0</v>
      </c>
      <c r="BN371" t="s">
        <v>24</v>
      </c>
      <c r="BO371">
        <v>6538</v>
      </c>
    </row>
    <row r="372" spans="1:67" x14ac:dyDescent="0.3">
      <c r="A372" s="4">
        <f>INT(Tabela1[[#This Row],[Data e Hora]])</f>
        <v>46303</v>
      </c>
      <c r="B372" s="4" t="str">
        <f>UPPER(TEXT(Tabela1[[#This Row],[Data Corrigida]],"MMM"))</f>
        <v>OUT</v>
      </c>
      <c r="C372" t="s">
        <v>1077</v>
      </c>
      <c r="D372" t="s">
        <v>1078</v>
      </c>
      <c r="E372" t="s">
        <v>1076</v>
      </c>
      <c r="F372" t="s">
        <v>19</v>
      </c>
      <c r="G372" s="5" t="s">
        <v>994</v>
      </c>
      <c r="H372" t="s">
        <v>20</v>
      </c>
      <c r="I372" t="s">
        <v>33</v>
      </c>
      <c r="J372" s="1">
        <v>130</v>
      </c>
      <c r="K372" s="1">
        <v>3056</v>
      </c>
      <c r="L372" t="s">
        <v>34</v>
      </c>
      <c r="M372" s="1">
        <v>16</v>
      </c>
      <c r="N372" s="48">
        <v>16</v>
      </c>
      <c r="O372" s="1">
        <v>5</v>
      </c>
      <c r="P372" s="48">
        <v>5</v>
      </c>
      <c r="Q372" s="1">
        <v>0</v>
      </c>
      <c r="R372" s="1">
        <v>0</v>
      </c>
      <c r="S372" s="1">
        <v>1</v>
      </c>
      <c r="T372" s="1">
        <v>1</v>
      </c>
      <c r="U372" s="1">
        <v>0</v>
      </c>
      <c r="V372" s="1">
        <v>0</v>
      </c>
      <c r="W372" s="1">
        <v>0</v>
      </c>
      <c r="X372" s="1">
        <v>0</v>
      </c>
      <c r="Y372" s="1">
        <v>4</v>
      </c>
      <c r="Z372" s="3">
        <v>1.5384615384615385</v>
      </c>
      <c r="AA372" s="1">
        <v>7</v>
      </c>
      <c r="AB372" s="3">
        <v>5.384615384615385</v>
      </c>
      <c r="AC372" s="1">
        <v>0</v>
      </c>
      <c r="AD372" s="3">
        <v>0</v>
      </c>
      <c r="AE372" s="1">
        <v>2</v>
      </c>
      <c r="AF372" s="3">
        <v>1.5384615384615385</v>
      </c>
      <c r="AG372" s="1">
        <v>3</v>
      </c>
      <c r="AH372" s="3">
        <v>2.3076923076923079</v>
      </c>
      <c r="AI372" s="1" t="s">
        <v>22</v>
      </c>
      <c r="AJ372" s="1">
        <v>0</v>
      </c>
      <c r="AK372" s="3">
        <v>0</v>
      </c>
      <c r="AL372" s="1">
        <v>0</v>
      </c>
      <c r="AM372" s="3">
        <v>0</v>
      </c>
      <c r="AN372" s="1" t="s">
        <v>22</v>
      </c>
      <c r="AO372" s="1">
        <v>6</v>
      </c>
      <c r="AP372" s="3">
        <v>4.6153846153846159</v>
      </c>
      <c r="AQ372" s="3">
        <v>5</v>
      </c>
      <c r="AR372" s="3">
        <v>3.8461538461538463</v>
      </c>
      <c r="AS372" s="1">
        <v>5</v>
      </c>
      <c r="AT372" s="3">
        <v>3.8461538461538463</v>
      </c>
      <c r="AU372" s="1">
        <v>1</v>
      </c>
      <c r="AV372" s="3">
        <v>0.76923076923076927</v>
      </c>
      <c r="AW372" s="1" t="s">
        <v>22</v>
      </c>
      <c r="AX372" s="1">
        <v>16</v>
      </c>
      <c r="AY372" s="1">
        <v>0</v>
      </c>
      <c r="AZ372" s="1">
        <v>0</v>
      </c>
      <c r="BA372" s="1">
        <v>32</v>
      </c>
      <c r="BB372" s="1">
        <v>0</v>
      </c>
      <c r="BC372" s="1">
        <v>0</v>
      </c>
      <c r="BD372" s="1">
        <v>0</v>
      </c>
      <c r="BE372" s="54">
        <v>0</v>
      </c>
      <c r="BF372" s="6">
        <v>20</v>
      </c>
      <c r="BG372" s="6">
        <v>16</v>
      </c>
      <c r="BH372" s="1">
        <v>0</v>
      </c>
      <c r="BI372" s="6">
        <v>0</v>
      </c>
      <c r="BJ372" s="1" t="s">
        <v>22</v>
      </c>
      <c r="BK372" s="6">
        <v>3</v>
      </c>
      <c r="BL372" s="6">
        <v>0</v>
      </c>
      <c r="BM372" s="1">
        <v>0</v>
      </c>
      <c r="BN372" t="s">
        <v>24</v>
      </c>
      <c r="BO372">
        <v>10341</v>
      </c>
    </row>
  </sheetData>
  <pageMargins left="0.511811024" right="0.511811024" top="0.78740157499999996" bottom="0.78740157499999996" header="0.31496062000000002" footer="0.31496062000000002"/>
  <pageSetup paperSize="9" orientation="portrait" r:id="rId1"/>
  <ignoredErrors>
    <ignoredError sqref="N65:AA70 N77:W99 Z77:AL99 N100:X106 Z100:AD106 N107:Y113 Z107:Z113" calculatedColum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9"/>
  <sheetViews>
    <sheetView workbookViewId="0">
      <selection activeCell="B29" sqref="B29"/>
    </sheetView>
  </sheetViews>
  <sheetFormatPr defaultRowHeight="14.4" x14ac:dyDescent="0.3"/>
  <cols>
    <col min="1" max="1" width="41.5546875" bestFit="1" customWidth="1"/>
    <col min="2" max="2" width="20" customWidth="1"/>
  </cols>
  <sheetData>
    <row r="1" spans="1:2" x14ac:dyDescent="0.3">
      <c r="A1" t="s">
        <v>237</v>
      </c>
      <c r="B1" t="s">
        <v>238</v>
      </c>
    </row>
    <row r="2" spans="1:2" x14ac:dyDescent="0.3">
      <c r="A2" t="s">
        <v>193</v>
      </c>
      <c r="B2" t="s">
        <v>241</v>
      </c>
    </row>
    <row r="3" spans="1:2" x14ac:dyDescent="0.3">
      <c r="A3" t="s">
        <v>195</v>
      </c>
      <c r="B3" t="s">
        <v>241</v>
      </c>
    </row>
    <row r="4" spans="1:2" x14ac:dyDescent="0.3">
      <c r="A4" t="s">
        <v>190</v>
      </c>
      <c r="B4" t="s">
        <v>241</v>
      </c>
    </row>
    <row r="5" spans="1:2" x14ac:dyDescent="0.3">
      <c r="A5" t="s">
        <v>189</v>
      </c>
      <c r="B5" t="s">
        <v>241</v>
      </c>
    </row>
    <row r="6" spans="1:2" x14ac:dyDescent="0.3">
      <c r="A6" t="s">
        <v>191</v>
      </c>
      <c r="B6" t="s">
        <v>241</v>
      </c>
    </row>
    <row r="7" spans="1:2" x14ac:dyDescent="0.3">
      <c r="A7" t="s">
        <v>196</v>
      </c>
      <c r="B7" t="s">
        <v>241</v>
      </c>
    </row>
    <row r="8" spans="1:2" x14ac:dyDescent="0.3">
      <c r="A8" t="s">
        <v>197</v>
      </c>
      <c r="B8" t="s">
        <v>241</v>
      </c>
    </row>
    <row r="9" spans="1:2" x14ac:dyDescent="0.3">
      <c r="A9" t="s">
        <v>194</v>
      </c>
      <c r="B9" t="s">
        <v>241</v>
      </c>
    </row>
    <row r="10" spans="1:2" x14ac:dyDescent="0.3">
      <c r="A10" t="s">
        <v>192</v>
      </c>
      <c r="B10" t="s">
        <v>241</v>
      </c>
    </row>
    <row r="11" spans="1:2" x14ac:dyDescent="0.3">
      <c r="A11" t="s">
        <v>198</v>
      </c>
      <c r="B11" t="s">
        <v>241</v>
      </c>
    </row>
    <row r="12" spans="1:2" x14ac:dyDescent="0.3">
      <c r="A12" t="s">
        <v>186</v>
      </c>
      <c r="B12" t="s">
        <v>240</v>
      </c>
    </row>
    <row r="13" spans="1:2" x14ac:dyDescent="0.3">
      <c r="A13" t="s">
        <v>185</v>
      </c>
      <c r="B13" t="s">
        <v>240</v>
      </c>
    </row>
    <row r="14" spans="1:2" x14ac:dyDescent="0.3">
      <c r="A14" t="s">
        <v>236</v>
      </c>
      <c r="B14" t="s">
        <v>242</v>
      </c>
    </row>
    <row r="15" spans="1:2" x14ac:dyDescent="0.3">
      <c r="A15" t="s">
        <v>188</v>
      </c>
      <c r="B15" t="s">
        <v>241</v>
      </c>
    </row>
    <row r="16" spans="1:2" x14ac:dyDescent="0.3">
      <c r="A16" t="s">
        <v>199</v>
      </c>
      <c r="B16" t="s">
        <v>242</v>
      </c>
    </row>
    <row r="17" spans="1:2" x14ac:dyDescent="0.3">
      <c r="A17" t="s">
        <v>12</v>
      </c>
      <c r="B17" t="s">
        <v>242</v>
      </c>
    </row>
    <row r="18" spans="1:2" x14ac:dyDescent="0.3">
      <c r="A18" t="s">
        <v>216</v>
      </c>
      <c r="B18" t="s">
        <v>242</v>
      </c>
    </row>
    <row r="19" spans="1:2" x14ac:dyDescent="0.3">
      <c r="A19" t="s">
        <v>136</v>
      </c>
      <c r="B19" t="s">
        <v>240</v>
      </c>
    </row>
    <row r="20" spans="1:2" x14ac:dyDescent="0.3">
      <c r="A20" t="s">
        <v>261</v>
      </c>
      <c r="B20" t="s">
        <v>242</v>
      </c>
    </row>
    <row r="21" spans="1:2" x14ac:dyDescent="0.3">
      <c r="A21" t="s">
        <v>110</v>
      </c>
      <c r="B21" t="s">
        <v>240</v>
      </c>
    </row>
    <row r="22" spans="1:2" x14ac:dyDescent="0.3">
      <c r="A22" t="s">
        <v>234</v>
      </c>
      <c r="B22" t="s">
        <v>241</v>
      </c>
    </row>
    <row r="23" spans="1:2" x14ac:dyDescent="0.3">
      <c r="A23" t="s">
        <v>111</v>
      </c>
      <c r="B23" t="s">
        <v>240</v>
      </c>
    </row>
    <row r="24" spans="1:2" x14ac:dyDescent="0.3">
      <c r="A24" t="s">
        <v>260</v>
      </c>
      <c r="B24" t="s">
        <v>242</v>
      </c>
    </row>
    <row r="25" spans="1:2" x14ac:dyDescent="0.3">
      <c r="A25" t="s">
        <v>262</v>
      </c>
      <c r="B25" t="s">
        <v>242</v>
      </c>
    </row>
    <row r="26" spans="1:2" x14ac:dyDescent="0.3">
      <c r="A26" t="s">
        <v>113</v>
      </c>
      <c r="B26" t="s">
        <v>240</v>
      </c>
    </row>
    <row r="27" spans="1:2" x14ac:dyDescent="0.3">
      <c r="A27" t="s">
        <v>184</v>
      </c>
      <c r="B27" t="s">
        <v>239</v>
      </c>
    </row>
    <row r="28" spans="1:2" x14ac:dyDescent="0.3">
      <c r="A28" t="s">
        <v>187</v>
      </c>
      <c r="B28" t="s">
        <v>239</v>
      </c>
    </row>
    <row r="29" spans="1:2" x14ac:dyDescent="0.3">
      <c r="A29" t="s">
        <v>702</v>
      </c>
      <c r="B29" t="s">
        <v>242</v>
      </c>
    </row>
  </sheetData>
  <sortState ref="A1:A75">
    <sortCondition ref="A1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IC Quente</vt:lpstr>
      <vt:lpstr>BD - 022 Evisceração</vt:lpstr>
      <vt:lpstr>Apoio</vt:lpstr>
      <vt:lpstr>'IC Quente'!Area_de_impressao</vt:lpstr>
      <vt:lpstr>'IC Quente'!Titulos_de_impressao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Pereira Ferraz</dc:creator>
  <cp:lastModifiedBy>Henrique Pereira Ferraz</cp:lastModifiedBy>
  <cp:lastPrinted>2026-09-22T15:54:53Z</cp:lastPrinted>
  <dcterms:created xsi:type="dcterms:W3CDTF">2026-08-03T16:36:45Z</dcterms:created>
  <dcterms:modified xsi:type="dcterms:W3CDTF">2026-10-13T16:30:06Z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