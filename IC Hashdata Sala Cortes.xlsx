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218" i="1" l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16" i="1" l="1"/>
  <c r="A217" i="1"/>
  <c r="A208" i="1" l="1"/>
  <c r="A209" i="1"/>
  <c r="A210" i="1"/>
  <c r="A211" i="1"/>
  <c r="A212" i="1"/>
  <c r="A213" i="1"/>
  <c r="A214" i="1"/>
  <c r="A215" i="1"/>
  <c r="A200" i="1" l="1"/>
  <c r="A201" i="1"/>
  <c r="A202" i="1"/>
  <c r="A203" i="1"/>
  <c r="A204" i="1"/>
  <c r="A205" i="1"/>
  <c r="A206" i="1"/>
  <c r="A207" i="1"/>
  <c r="A193" i="1" l="1"/>
  <c r="A194" i="1"/>
  <c r="A195" i="1"/>
  <c r="A196" i="1"/>
  <c r="A197" i="1"/>
  <c r="A198" i="1"/>
  <c r="A199" i="1"/>
  <c r="A189" i="1" l="1"/>
  <c r="A190" i="1"/>
  <c r="A191" i="1"/>
  <c r="A192" i="1"/>
  <c r="A185" i="1" l="1"/>
  <c r="A186" i="1"/>
  <c r="A187" i="1"/>
  <c r="A188" i="1"/>
  <c r="A181" i="1" l="1"/>
  <c r="A182" i="1"/>
  <c r="A183" i="1"/>
  <c r="A184" i="1"/>
  <c r="A177" i="1" l="1"/>
  <c r="A178" i="1"/>
  <c r="A179" i="1"/>
  <c r="A180" i="1"/>
  <c r="A173" i="1" l="1"/>
  <c r="A174" i="1"/>
  <c r="A175" i="1"/>
  <c r="A176" i="1"/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C47" i="2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V31" i="2"/>
  <c r="AM25" i="2"/>
  <c r="K19" i="2"/>
  <c r="AR39" i="2"/>
  <c r="AB4" i="2"/>
  <c r="AK49" i="2"/>
  <c r="G7" i="2"/>
  <c r="AR13" i="2"/>
  <c r="AN38" i="2"/>
  <c r="V53" i="2"/>
  <c r="AL13" i="2"/>
  <c r="AO28" i="2"/>
  <c r="AR40" i="2"/>
  <c r="M54" i="2"/>
  <c r="AN5" i="2"/>
  <c r="H18" i="2"/>
  <c r="N23" i="2"/>
  <c r="G38" i="2"/>
  <c r="AM59" i="2"/>
  <c r="AR37" i="2"/>
  <c r="AD20" i="2"/>
  <c r="AH32" i="2"/>
  <c r="Z36" i="2"/>
  <c r="AF37" i="2"/>
  <c r="AR14" i="2"/>
  <c r="AH42" i="2"/>
  <c r="G49" i="2"/>
  <c r="O20" i="2"/>
  <c r="AL54" i="2"/>
  <c r="I5" i="2"/>
  <c r="AA39" i="2"/>
  <c r="AO4" i="2"/>
  <c r="AH38" i="2"/>
  <c r="AO47" i="2"/>
  <c r="AF55" i="2"/>
  <c r="AC58" i="2"/>
  <c r="AQ58" i="2"/>
  <c r="AH56" i="2"/>
  <c r="J8" i="2"/>
  <c r="AB24" i="2"/>
  <c r="J46" i="2"/>
  <c r="AN6" i="2"/>
  <c r="AH58" i="2"/>
  <c r="AF41" i="2"/>
  <c r="Q36" i="2"/>
  <c r="AG52" i="2"/>
  <c r="AA48" i="2"/>
  <c r="I44" i="2"/>
  <c r="G60" i="2"/>
  <c r="Z22" i="2"/>
  <c r="I50" i="2"/>
  <c r="R47" i="2"/>
  <c r="AD50" i="2"/>
  <c r="AJ45" i="2"/>
  <c r="AF15" i="2"/>
  <c r="K59" i="2"/>
  <c r="AJ8" i="2"/>
  <c r="Z35" i="2"/>
  <c r="L8" i="2"/>
  <c r="P41" i="2"/>
  <c r="V21" i="2"/>
  <c r="I30" i="2"/>
  <c r="Q49" i="2"/>
  <c r="AG32" i="2"/>
  <c r="O51" i="2"/>
  <c r="M15" i="2"/>
  <c r="J31" i="2"/>
  <c r="N15" i="2"/>
  <c r="AG5" i="2"/>
  <c r="K52" i="2"/>
  <c r="V36" i="2"/>
  <c r="O54" i="2"/>
  <c r="L16" i="2"/>
  <c r="AL57" i="2"/>
  <c r="Y14" i="2"/>
  <c r="P24" i="2"/>
  <c r="AC33" i="2"/>
  <c r="AM54" i="2"/>
  <c r="AF58" i="2"/>
  <c r="AO33" i="2"/>
  <c r="AP36" i="2"/>
  <c r="AR54" i="2"/>
  <c r="N20" i="2"/>
  <c r="N18" i="2"/>
  <c r="M33" i="2"/>
  <c r="O19" i="2"/>
  <c r="AK18" i="2"/>
  <c r="G55" i="2"/>
  <c r="P15" i="2"/>
  <c r="O56" i="2"/>
  <c r="AD25" i="2"/>
  <c r="G59" i="2"/>
  <c r="G35" i="2"/>
  <c r="AG27" i="2"/>
  <c r="Y49" i="2"/>
  <c r="AI18" i="2"/>
  <c r="AJ17" i="2"/>
  <c r="N8" i="2"/>
  <c r="K22" i="2"/>
  <c r="X44" i="2"/>
  <c r="AJ11" i="2"/>
  <c r="O44" i="2"/>
  <c r="Q4" i="2"/>
  <c r="X53" i="2"/>
  <c r="Z29" i="2"/>
  <c r="Z12" i="2"/>
  <c r="AP8" i="2"/>
  <c r="K44" i="2"/>
  <c r="AO58" i="2"/>
  <c r="AQ24" i="2"/>
  <c r="Q20" i="2"/>
  <c r="L37" i="2"/>
  <c r="G52" i="2"/>
  <c r="G10" i="2"/>
  <c r="Q13" i="2"/>
  <c r="W26" i="2"/>
  <c r="G18" i="2"/>
  <c r="AJ54" i="2"/>
  <c r="L7" i="2"/>
  <c r="AI20" i="2"/>
  <c r="U55" i="2"/>
  <c r="AG41" i="2"/>
  <c r="R24" i="2"/>
  <c r="N41" i="2"/>
  <c r="AA29" i="2"/>
  <c r="N10" i="2"/>
  <c r="AN34" i="2"/>
  <c r="W51" i="2"/>
  <c r="AR26" i="2"/>
  <c r="H35" i="2"/>
  <c r="AO29" i="2"/>
  <c r="P26" i="2"/>
  <c r="K49" i="2"/>
  <c r="AE32" i="2"/>
  <c r="AQ44" i="2"/>
  <c r="Y52" i="2"/>
  <c r="AA26" i="2"/>
  <c r="AQ49" i="2"/>
  <c r="AG46" i="2"/>
  <c r="AD22" i="2"/>
  <c r="M29" i="2"/>
  <c r="W60" i="2"/>
  <c r="AM10" i="2"/>
  <c r="AN19" i="2"/>
  <c r="L34" i="2"/>
  <c r="G41" i="2"/>
  <c r="AQ15" i="2"/>
  <c r="AJ28" i="2"/>
  <c r="Y13" i="2"/>
  <c r="AP20" i="2"/>
  <c r="K50" i="2"/>
  <c r="J48" i="2"/>
  <c r="X18" i="2"/>
  <c r="P20" i="2"/>
  <c r="L59" i="2"/>
  <c r="G24" i="2"/>
  <c r="J22" i="2"/>
  <c r="AH21" i="2"/>
  <c r="AH43" i="2"/>
  <c r="AP7" i="2"/>
  <c r="O14" i="2"/>
  <c r="AF7" i="2"/>
  <c r="AL60" i="2"/>
  <c r="P52" i="2"/>
  <c r="AI33" i="2"/>
  <c r="AE15" i="2"/>
  <c r="K13" i="2"/>
  <c r="AJ39" i="2"/>
  <c r="AM38" i="2"/>
  <c r="Z54" i="2"/>
  <c r="O58" i="2"/>
  <c r="AN20" i="2"/>
  <c r="V29" i="2"/>
  <c r="P7" i="2"/>
  <c r="U13" i="2"/>
  <c r="AQ41" i="2"/>
  <c r="R26" i="2"/>
  <c r="H5" i="2"/>
  <c r="Q48" i="2"/>
  <c r="Z5" i="2"/>
  <c r="Q15" i="2"/>
  <c r="V22" i="2"/>
  <c r="H17" i="2"/>
  <c r="Z6" i="2"/>
  <c r="V12" i="2"/>
  <c r="M7" i="2"/>
  <c r="AL28" i="2"/>
  <c r="AO59" i="2"/>
  <c r="AL20" i="2"/>
  <c r="K51" i="2"/>
  <c r="AK23" i="2"/>
  <c r="AD59" i="2"/>
  <c r="L46" i="2"/>
  <c r="M12" i="2"/>
  <c r="G21" i="2"/>
  <c r="AI50" i="2"/>
  <c r="AC46" i="2"/>
  <c r="AR59" i="2"/>
  <c r="G57" i="2"/>
  <c r="J60" i="2"/>
  <c r="AK13" i="2"/>
  <c r="AE47" i="2"/>
  <c r="AC10" i="2"/>
  <c r="AQ29" i="2"/>
  <c r="G25" i="2"/>
  <c r="AH33" i="2"/>
  <c r="AE8" i="2"/>
  <c r="AH48" i="2"/>
  <c r="AL12" i="2"/>
  <c r="U54" i="2"/>
  <c r="O49" i="2"/>
  <c r="K45" i="2"/>
  <c r="W52" i="2"/>
  <c r="AG35" i="2"/>
  <c r="AR46" i="2"/>
  <c r="P57" i="2"/>
  <c r="AK26" i="2"/>
  <c r="J47" i="2"/>
  <c r="U7" i="2"/>
  <c r="AE39" i="2"/>
  <c r="AF11" i="2"/>
  <c r="AR38" i="2"/>
  <c r="U44" i="2"/>
  <c r="P48" i="2"/>
  <c r="K53" i="2"/>
  <c r="AC19" i="2"/>
  <c r="AQ35" i="2"/>
  <c r="AK51" i="2"/>
  <c r="O60" i="2"/>
  <c r="AJ7" i="2"/>
  <c r="AL53" i="2"/>
  <c r="M49" i="2"/>
  <c r="AP29" i="2"/>
  <c r="U39" i="2"/>
  <c r="J49" i="2"/>
  <c r="AF51" i="2"/>
  <c r="AP43" i="2"/>
  <c r="Z42" i="2"/>
  <c r="AJ22" i="2"/>
  <c r="X11" i="2"/>
  <c r="I54" i="2"/>
  <c r="AR45" i="2"/>
  <c r="AM44" i="2"/>
  <c r="AR12" i="2"/>
  <c r="AI45" i="2"/>
  <c r="AN50" i="2"/>
  <c r="AP47" i="2"/>
  <c r="AI46" i="2"/>
  <c r="AL34" i="2"/>
  <c r="AK19" i="2"/>
  <c r="X60" i="2"/>
  <c r="AH47" i="2"/>
  <c r="Z19" i="2"/>
  <c r="I15" i="2"/>
  <c r="K7" i="2"/>
  <c r="AK24" i="2"/>
  <c r="X57" i="2"/>
  <c r="AI29" i="2"/>
  <c r="AO60" i="2"/>
  <c r="J57" i="2"/>
  <c r="L6" i="2"/>
  <c r="AJ53" i="2"/>
  <c r="AL46" i="2"/>
  <c r="J42" i="2"/>
  <c r="AH17" i="2"/>
  <c r="H32" i="2"/>
  <c r="N55" i="2"/>
  <c r="AK59" i="2"/>
  <c r="Q16" i="2"/>
  <c r="W50" i="2"/>
  <c r="AL26" i="2"/>
  <c r="AP60" i="2"/>
  <c r="AQ13" i="2"/>
  <c r="AQ11" i="2"/>
  <c r="AA28" i="2"/>
  <c r="AH46" i="2"/>
  <c r="AN18" i="2"/>
  <c r="O12" i="2"/>
  <c r="AN59" i="2"/>
  <c r="P19" i="2"/>
  <c r="AE9" i="2"/>
  <c r="AA7" i="2"/>
  <c r="P53" i="2"/>
  <c r="AJ31" i="2"/>
  <c r="K18" i="2"/>
  <c r="AC18" i="2"/>
  <c r="AP48" i="2"/>
  <c r="N9" i="2"/>
  <c r="AL39" i="2"/>
  <c r="AN33" i="2"/>
  <c r="AC20" i="2"/>
  <c r="M38" i="2"/>
  <c r="AJ4" i="2"/>
  <c r="AI36" i="2"/>
  <c r="Y30" i="2"/>
  <c r="W37" i="2"/>
  <c r="AO35" i="2"/>
  <c r="R25" i="2"/>
  <c r="AA8" i="2"/>
  <c r="V50" i="2"/>
  <c r="AD38" i="2"/>
  <c r="N14" i="2"/>
  <c r="W22" i="2"/>
  <c r="J7" i="2"/>
  <c r="V60" i="2"/>
  <c r="AP49" i="2"/>
  <c r="R17" i="2"/>
  <c r="Y59" i="2"/>
  <c r="M25" i="2"/>
  <c r="AE22" i="2"/>
  <c r="V32" i="2"/>
  <c r="AH27" i="2"/>
  <c r="W6" i="2"/>
  <c r="R54" i="2"/>
  <c r="R22" i="2"/>
  <c r="W24" i="2"/>
  <c r="O55" i="2"/>
  <c r="R4" i="2"/>
  <c r="W15" i="2"/>
  <c r="AJ33" i="2"/>
  <c r="AE33" i="2"/>
  <c r="U31" i="2"/>
  <c r="Q14" i="2"/>
  <c r="J20" i="2"/>
  <c r="AI15" i="2"/>
  <c r="X36" i="2"/>
  <c r="X19" i="2"/>
  <c r="U51" i="2"/>
  <c r="AI5" i="2"/>
  <c r="AR56" i="2"/>
  <c r="G6" i="2"/>
  <c r="Q18" i="2"/>
  <c r="AG43" i="2"/>
  <c r="AP40" i="2"/>
  <c r="AD51" i="2"/>
  <c r="X10" i="2"/>
  <c r="H22" i="2"/>
  <c r="AD45" i="2"/>
  <c r="AI43" i="2"/>
  <c r="Q24" i="2"/>
  <c r="AP27" i="2"/>
  <c r="Y50" i="2"/>
  <c r="L21" i="2"/>
  <c r="X17" i="2"/>
  <c r="V27" i="2"/>
  <c r="H11" i="2"/>
  <c r="O45" i="2"/>
  <c r="Y58" i="2"/>
  <c r="Y31" i="2"/>
  <c r="N50" i="2"/>
  <c r="AF59" i="2"/>
  <c r="AC14" i="2"/>
  <c r="AG59" i="2"/>
  <c r="AF39" i="2"/>
  <c r="H37" i="2"/>
  <c r="H23" i="2"/>
  <c r="AH22" i="2"/>
  <c r="K47" i="2"/>
  <c r="AC56" i="2"/>
  <c r="AP10" i="2"/>
  <c r="Y26" i="2"/>
  <c r="AA41" i="2"/>
  <c r="R36" i="2"/>
  <c r="H24" i="2"/>
  <c r="AD39" i="2"/>
  <c r="L52" i="2"/>
  <c r="V18" i="2"/>
  <c r="V14" i="2"/>
  <c r="AR34" i="2"/>
  <c r="K17" i="2"/>
  <c r="AN45" i="2"/>
  <c r="Y53" i="2"/>
  <c r="AJ29" i="2"/>
  <c r="U26" i="2"/>
  <c r="Z48" i="2"/>
  <c r="U30" i="2"/>
  <c r="AE24" i="2"/>
  <c r="AF22" i="2"/>
  <c r="P8" i="2"/>
  <c r="AG47" i="2"/>
  <c r="J37" i="2"/>
  <c r="N56" i="2"/>
  <c r="AL41" i="2"/>
  <c r="AL10" i="2"/>
  <c r="AK60" i="2"/>
  <c r="AO41" i="2"/>
  <c r="AH44" i="2"/>
  <c r="AP38" i="2"/>
  <c r="N33" i="2"/>
  <c r="AR23" i="2"/>
  <c r="AL32" i="2"/>
  <c r="AK22" i="2"/>
  <c r="AH37" i="2"/>
  <c r="M32" i="2"/>
  <c r="G28" i="2"/>
  <c r="R20" i="2"/>
  <c r="K28" i="2"/>
  <c r="AL11" i="2"/>
  <c r="X15" i="2"/>
  <c r="G4" i="2"/>
  <c r="AH41" i="2"/>
  <c r="M57" i="2"/>
  <c r="AJ21" i="2"/>
  <c r="AK31" i="2"/>
  <c r="V48" i="2"/>
  <c r="H6" i="2"/>
  <c r="AG39" i="2"/>
  <c r="R19" i="2"/>
  <c r="Z37" i="2"/>
  <c r="H33" i="2"/>
  <c r="AC30" i="2"/>
  <c r="X5" i="2"/>
  <c r="AD7" i="2"/>
  <c r="AM5" i="2"/>
  <c r="AI57" i="2"/>
  <c r="V59" i="2"/>
  <c r="AJ49" i="2"/>
  <c r="X24" i="2"/>
  <c r="AK35" i="2"/>
  <c r="AQ45" i="2"/>
  <c r="AF9" i="2"/>
  <c r="AJ50" i="2"/>
  <c r="L22" i="2"/>
  <c r="AJ55" i="2"/>
  <c r="AJ48" i="2"/>
  <c r="AD35" i="2"/>
  <c r="Q31" i="2"/>
  <c r="AD27" i="2"/>
  <c r="AG23" i="2"/>
  <c r="AQ10" i="2"/>
  <c r="O41" i="2"/>
  <c r="H39" i="2"/>
  <c r="I18" i="2"/>
  <c r="AH5" i="2"/>
  <c r="Y19" i="2"/>
  <c r="O24" i="2"/>
  <c r="P16" i="2"/>
  <c r="AB20" i="2"/>
  <c r="AE56" i="2"/>
  <c r="W33" i="2"/>
  <c r="AB42" i="2"/>
  <c r="N13" i="2"/>
  <c r="Y24" i="2"/>
  <c r="AN37" i="2"/>
  <c r="X51" i="2"/>
  <c r="Y28" i="2"/>
  <c r="O59" i="2"/>
  <c r="AA37" i="2"/>
  <c r="Q51" i="2"/>
  <c r="H15" i="2"/>
  <c r="AQ34" i="2"/>
  <c r="AE21" i="2"/>
  <c r="Q25" i="2"/>
  <c r="M20" i="2"/>
  <c r="AI27" i="2"/>
  <c r="Y60" i="2"/>
  <c r="AI55" i="2"/>
  <c r="AM52" i="2"/>
  <c r="K21" i="2"/>
  <c r="AP28" i="2"/>
  <c r="AG17" i="2"/>
  <c r="AO34" i="2"/>
  <c r="X56" i="2"/>
  <c r="K23" i="2"/>
  <c r="L30" i="2"/>
  <c r="I27" i="2"/>
  <c r="I10" i="2"/>
  <c r="AN46" i="2"/>
  <c r="AM46" i="2"/>
  <c r="N28" i="2"/>
  <c r="AI21" i="2"/>
  <c r="K15" i="2"/>
  <c r="AQ4" i="2"/>
  <c r="Y48" i="2"/>
  <c r="AD6" i="2"/>
  <c r="H10" i="2"/>
  <c r="AB52" i="2"/>
  <c r="O36" i="2"/>
  <c r="AP41" i="2"/>
  <c r="M31" i="2"/>
  <c r="AP55" i="2"/>
  <c r="AR48" i="2"/>
  <c r="P31" i="2"/>
  <c r="AL9" i="2"/>
  <c r="Q29" i="2"/>
  <c r="L41" i="2"/>
  <c r="AD60" i="2"/>
  <c r="H59" i="2"/>
  <c r="Z14" i="2"/>
  <c r="P12" i="2"/>
  <c r="AA20" i="2"/>
  <c r="AP46" i="2"/>
  <c r="AP32" i="2"/>
  <c r="AF60" i="2"/>
  <c r="H8" i="2"/>
  <c r="H47" i="2"/>
  <c r="V56" i="2"/>
  <c r="AC27" i="2"/>
  <c r="AQ48" i="2"/>
  <c r="AD33" i="2"/>
  <c r="Q10" i="2"/>
  <c r="AE48" i="2"/>
  <c r="AM58" i="2"/>
  <c r="AL19" i="2"/>
  <c r="Q12" i="2"/>
  <c r="AD47" i="2"/>
  <c r="AI32" i="2"/>
  <c r="J21" i="2"/>
  <c r="AF19" i="2"/>
  <c r="U40" i="2"/>
  <c r="AB28" i="2"/>
  <c r="R59" i="2"/>
  <c r="Y38" i="2"/>
  <c r="AK40" i="2"/>
  <c r="U52" i="2"/>
  <c r="AL29" i="2"/>
  <c r="AN41" i="2"/>
  <c r="AE30" i="2"/>
  <c r="Y42" i="2"/>
  <c r="K9" i="2"/>
  <c r="H40" i="2"/>
  <c r="R33" i="2"/>
  <c r="AB29" i="2"/>
  <c r="V46" i="2"/>
  <c r="Z9" i="2"/>
  <c r="AA58" i="2"/>
  <c r="R32" i="2"/>
  <c r="AC28" i="2"/>
  <c r="AI8" i="2"/>
  <c r="AC8" i="2"/>
  <c r="AR58" i="2"/>
  <c r="G14" i="2"/>
  <c r="AA17" i="2"/>
  <c r="AA47" i="2"/>
  <c r="L28" i="2"/>
  <c r="K39" i="2"/>
  <c r="AD46" i="2"/>
  <c r="AC55" i="2"/>
  <c r="AH18" i="2"/>
  <c r="L15" i="2"/>
  <c r="AK47" i="2"/>
  <c r="M37" i="2"/>
  <c r="J4" i="2"/>
  <c r="H29" i="2"/>
  <c r="Z57" i="2"/>
  <c r="AB46" i="2"/>
  <c r="AD8" i="2"/>
  <c r="AI51" i="2"/>
  <c r="P55" i="2"/>
  <c r="K24" i="2"/>
  <c r="I6" i="2"/>
  <c r="AO51" i="2"/>
  <c r="AJ43" i="2"/>
  <c r="W18" i="2"/>
  <c r="W42" i="2"/>
  <c r="AD9" i="2"/>
  <c r="AD57" i="2"/>
  <c r="AK15" i="2"/>
  <c r="AD12" i="2"/>
  <c r="AK43" i="2"/>
  <c r="O31" i="2"/>
  <c r="O22" i="2"/>
  <c r="AP37" i="2"/>
  <c r="AH15" i="2"/>
  <c r="AR30" i="2"/>
  <c r="AN35" i="2"/>
  <c r="I23" i="2"/>
  <c r="AP25" i="2"/>
  <c r="G11" i="2"/>
  <c r="K48" i="2"/>
  <c r="AQ46" i="2"/>
  <c r="AH9" i="2"/>
  <c r="AH30" i="2"/>
  <c r="P33" i="2"/>
  <c r="M24" i="2"/>
  <c r="J39" i="2"/>
  <c r="W58" i="2"/>
  <c r="AK30" i="2"/>
  <c r="L36" i="2"/>
  <c r="M5" i="2"/>
  <c r="W10" i="2"/>
  <c r="O8" i="2"/>
  <c r="AL18" i="2"/>
  <c r="O35" i="2"/>
  <c r="M43" i="2"/>
  <c r="N44" i="2"/>
  <c r="X21" i="2"/>
  <c r="Q32" i="2"/>
  <c r="AE38" i="2"/>
  <c r="AE58" i="2"/>
  <c r="M19" i="2"/>
  <c r="AD48" i="2"/>
  <c r="K58" i="2"/>
  <c r="I12" i="2"/>
  <c r="AF49" i="2"/>
  <c r="AN58" i="2"/>
  <c r="AQ7" i="2"/>
  <c r="N59" i="2"/>
  <c r="AD23" i="2"/>
  <c r="P56" i="2"/>
  <c r="AR32" i="2"/>
  <c r="Y43" i="2"/>
  <c r="I49" i="2"/>
  <c r="AA43" i="2"/>
  <c r="I22" i="2"/>
  <c r="AH24" i="2"/>
  <c r="AB49" i="2"/>
  <c r="AH16" i="2"/>
  <c r="V55" i="2"/>
  <c r="J12" i="2"/>
  <c r="J36" i="2"/>
  <c r="AR35" i="2"/>
  <c r="Q45" i="2"/>
  <c r="AB21" i="2"/>
  <c r="L50" i="2"/>
  <c r="AR15" i="2"/>
  <c r="H7" i="2"/>
  <c r="O39" i="2"/>
  <c r="Y32" i="2"/>
  <c r="W20" i="2"/>
  <c r="AE14" i="2"/>
  <c r="L38" i="2"/>
  <c r="AE31" i="2"/>
  <c r="AC53" i="2"/>
  <c r="Z40" i="2"/>
  <c r="AN7" i="2"/>
  <c r="Q7" i="2"/>
  <c r="R44" i="2"/>
  <c r="AQ19" i="2"/>
  <c r="AG31" i="2"/>
  <c r="AM32" i="2"/>
  <c r="I59" i="2"/>
  <c r="G58" i="2"/>
  <c r="Q17" i="2"/>
  <c r="N54" i="2"/>
  <c r="R11" i="2"/>
  <c r="W55" i="2"/>
  <c r="R46" i="2"/>
  <c r="X34" i="2"/>
  <c r="AL31" i="2"/>
  <c r="W25" i="2"/>
  <c r="AJ44" i="2"/>
  <c r="AQ21" i="2"/>
  <c r="L19" i="2"/>
  <c r="AO24" i="2"/>
  <c r="AM17" i="2"/>
  <c r="R58" i="2"/>
  <c r="AQ56" i="2"/>
  <c r="AJ10" i="2"/>
  <c r="X30" i="2"/>
  <c r="I34" i="2"/>
  <c r="W57" i="2"/>
  <c r="L45" i="2"/>
  <c r="R57" i="2"/>
  <c r="Z59" i="2"/>
  <c r="AJ59" i="2"/>
  <c r="AE34" i="2"/>
  <c r="J23" i="2"/>
  <c r="AC23" i="2"/>
  <c r="AG24" i="2"/>
  <c r="R55" i="2"/>
  <c r="V45" i="2"/>
  <c r="U50" i="2"/>
  <c r="V5" i="2"/>
  <c r="U29" i="2"/>
  <c r="AA15" i="2"/>
  <c r="W44" i="2"/>
  <c r="AE51" i="2"/>
  <c r="G12" i="2"/>
  <c r="AA44" i="2"/>
  <c r="AM13" i="2"/>
  <c r="M46" i="2"/>
  <c r="Z34" i="2"/>
  <c r="AR18" i="2"/>
  <c r="P27" i="2"/>
  <c r="I53" i="2"/>
  <c r="N48" i="2"/>
  <c r="P49" i="2"/>
  <c r="AR8" i="2"/>
  <c r="AI28" i="2"/>
  <c r="AF30" i="2"/>
  <c r="O27" i="2"/>
  <c r="L47" i="2"/>
  <c r="X4" i="2"/>
  <c r="Y12" i="2"/>
  <c r="P25" i="2"/>
  <c r="AA55" i="2"/>
  <c r="L57" i="2"/>
  <c r="AI52" i="2"/>
  <c r="AC49" i="2"/>
  <c r="AL58" i="2"/>
  <c r="H44" i="2"/>
  <c r="AM33" i="2"/>
  <c r="U57" i="2"/>
  <c r="R21" i="2"/>
  <c r="M59" i="2"/>
  <c r="J44" i="2"/>
  <c r="O57" i="2"/>
  <c r="AN55" i="2"/>
  <c r="AI9" i="2"/>
  <c r="N16" i="2"/>
  <c r="U20" i="2"/>
  <c r="AP53" i="2"/>
  <c r="W53" i="2"/>
  <c r="AL15" i="2"/>
  <c r="AC13" i="2"/>
  <c r="AN27" i="2"/>
  <c r="AK46" i="2"/>
  <c r="N6" i="2"/>
  <c r="AQ59" i="2"/>
  <c r="N25" i="2"/>
  <c r="K40" i="2"/>
  <c r="AD41" i="2"/>
  <c r="AG20" i="2"/>
  <c r="AQ28" i="2"/>
  <c r="H20" i="2"/>
  <c r="Q43" i="2"/>
  <c r="P37" i="2"/>
  <c r="V23" i="2"/>
  <c r="AH4" i="2"/>
  <c r="AH13" i="2"/>
  <c r="V6" i="2"/>
  <c r="AH60" i="2"/>
  <c r="U43" i="2"/>
  <c r="AF31" i="2"/>
  <c r="W54" i="2"/>
  <c r="AK39" i="2"/>
  <c r="AH10" i="2"/>
  <c r="I17" i="2"/>
  <c r="G34" i="2"/>
  <c r="AP6" i="2"/>
  <c r="AC12" i="2"/>
  <c r="N27" i="2"/>
  <c r="AQ20" i="2"/>
  <c r="V51" i="2"/>
  <c r="Z45" i="2"/>
  <c r="AE57" i="2"/>
  <c r="K11" i="2"/>
  <c r="P21" i="2"/>
  <c r="N21" i="2"/>
  <c r="U36" i="2"/>
  <c r="AL4" i="2"/>
  <c r="X39" i="2"/>
  <c r="AB40" i="2"/>
  <c r="AF10" i="2"/>
  <c r="AF57" i="2"/>
  <c r="Q19" i="2"/>
  <c r="G22" i="2"/>
  <c r="AN24" i="2"/>
  <c r="U28" i="2"/>
  <c r="I14" i="2"/>
  <c r="AL43" i="2"/>
  <c r="AN9" i="2"/>
  <c r="AG37" i="2"/>
  <c r="AC11" i="2"/>
  <c r="P34" i="2"/>
  <c r="AM12" i="2"/>
  <c r="AF16" i="2"/>
  <c r="AG44" i="2"/>
  <c r="AM18" i="2"/>
  <c r="AE50" i="2"/>
  <c r="X14" i="2"/>
  <c r="AN28" i="2"/>
  <c r="Q46" i="2"/>
  <c r="J15" i="2"/>
  <c r="AD55" i="2"/>
  <c r="AM34" i="2"/>
  <c r="Y40" i="2"/>
  <c r="AP34" i="2"/>
  <c r="AM31" i="2"/>
  <c r="AA11" i="2"/>
  <c r="U27" i="2"/>
  <c r="AP22" i="2"/>
  <c r="Y44" i="2"/>
  <c r="G44" i="2"/>
  <c r="AO14" i="2"/>
  <c r="N51" i="2"/>
  <c r="R18" i="2"/>
  <c r="J28" i="2"/>
  <c r="AL33" i="2"/>
  <c r="AC36" i="2"/>
  <c r="L25" i="2"/>
  <c r="H55" i="2"/>
  <c r="AI13" i="2"/>
  <c r="Q41" i="2"/>
  <c r="X52" i="2"/>
  <c r="AE16" i="2"/>
  <c r="G46" i="2"/>
  <c r="AB12" i="2"/>
  <c r="X7" i="2"/>
  <c r="Z50" i="2"/>
  <c r="AP16" i="2"/>
  <c r="AO44" i="2"/>
  <c r="AG15" i="2"/>
  <c r="P6" i="2"/>
  <c r="AO39" i="2"/>
  <c r="O52" i="2"/>
  <c r="AO37" i="2"/>
  <c r="AM8" i="2"/>
  <c r="AM29" i="2"/>
  <c r="AJ13" i="2"/>
  <c r="P29" i="2"/>
  <c r="AF14" i="2"/>
  <c r="Z17" i="2"/>
  <c r="I26" i="2"/>
  <c r="AB14" i="2"/>
  <c r="H9" i="2"/>
  <c r="Y21" i="2"/>
  <c r="N39" i="2"/>
  <c r="O28" i="2"/>
  <c r="AK55" i="2"/>
  <c r="J35" i="2"/>
  <c r="AG36" i="2"/>
  <c r="M52" i="2"/>
  <c r="AA14" i="2"/>
  <c r="I57" i="2"/>
  <c r="K12" i="2"/>
  <c r="Y47" i="2"/>
  <c r="Y39" i="2"/>
  <c r="AM37" i="2"/>
  <c r="Z15" i="2"/>
  <c r="AB33" i="2"/>
  <c r="AC54" i="2"/>
  <c r="Y10" i="2"/>
  <c r="AD37" i="2"/>
  <c r="H27" i="2"/>
  <c r="Z8" i="2"/>
  <c r="U32" i="2"/>
  <c r="P10" i="2"/>
  <c r="AD44" i="2"/>
  <c r="L27" i="2"/>
  <c r="W7" i="2"/>
  <c r="AR49" i="2"/>
  <c r="AE4" i="2"/>
  <c r="O10" i="2"/>
  <c r="O6" i="2"/>
  <c r="K37" i="2"/>
  <c r="AQ14" i="2"/>
  <c r="I43" i="2"/>
  <c r="AC48" i="2"/>
  <c r="W56" i="2"/>
  <c r="AE7" i="2"/>
  <c r="AD16" i="2"/>
  <c r="J16" i="2"/>
  <c r="AD36" i="2"/>
  <c r="M11" i="2"/>
  <c r="AM28" i="2"/>
  <c r="AP18" i="2"/>
  <c r="V20" i="2"/>
  <c r="U46" i="2"/>
  <c r="AP4" i="2"/>
  <c r="AD14" i="2"/>
  <c r="X49" i="2"/>
  <c r="AP21" i="2"/>
  <c r="H49" i="2"/>
  <c r="N22" i="2"/>
  <c r="X42" i="2"/>
  <c r="AB8" i="2"/>
  <c r="AN54" i="2"/>
  <c r="AN11" i="2"/>
  <c r="AN32" i="2"/>
  <c r="AM19" i="2"/>
  <c r="X29" i="2"/>
  <c r="H38" i="2"/>
  <c r="AC38" i="2"/>
  <c r="O5" i="2"/>
  <c r="AP39" i="2"/>
  <c r="AC34" i="2"/>
  <c r="AN53" i="2"/>
  <c r="AA53" i="2"/>
  <c r="U48" i="2"/>
  <c r="AP58" i="2"/>
  <c r="AG55" i="2"/>
  <c r="J54" i="2"/>
  <c r="H12" i="2"/>
  <c r="J53" i="2"/>
  <c r="U25" i="2"/>
  <c r="AI44" i="2"/>
  <c r="AH19" i="2"/>
  <c r="N52" i="2"/>
  <c r="AN25" i="2"/>
  <c r="W28" i="2"/>
  <c r="AA6" i="2"/>
  <c r="AO9" i="2"/>
  <c r="X38" i="2"/>
  <c r="U8" i="2"/>
  <c r="R29" i="2"/>
  <c r="O11" i="2"/>
  <c r="AR16" i="2"/>
  <c r="U59" i="2"/>
  <c r="AQ50" i="2"/>
  <c r="AN47" i="2"/>
  <c r="Z13" i="2"/>
  <c r="O13" i="2"/>
  <c r="AP50" i="2"/>
  <c r="AR4" i="2"/>
  <c r="AO30" i="2"/>
  <c r="O43" i="2"/>
  <c r="AK20" i="2"/>
  <c r="AG16" i="2"/>
  <c r="X33" i="2"/>
  <c r="AB48" i="2"/>
  <c r="K56" i="2"/>
  <c r="K4" i="2"/>
  <c r="AF34" i="2"/>
  <c r="H41" i="2"/>
  <c r="AO6" i="2"/>
  <c r="I29" i="2"/>
  <c r="Y5" i="2"/>
  <c r="AA13" i="2"/>
  <c r="L4" i="2"/>
  <c r="AD17" i="2"/>
  <c r="AN4" i="2"/>
  <c r="AJ27" i="2"/>
  <c r="AL44" i="2"/>
  <c r="Q28" i="2"/>
  <c r="Z49" i="2"/>
  <c r="V54" i="2"/>
  <c r="X48" i="2"/>
  <c r="AN14" i="2"/>
  <c r="AM30" i="2"/>
  <c r="L56" i="2"/>
  <c r="H45" i="2"/>
  <c r="AO16" i="2"/>
  <c r="Z30" i="2"/>
  <c r="V9" i="2"/>
  <c r="O48" i="2"/>
  <c r="AK44" i="2"/>
  <c r="AK12" i="2"/>
  <c r="N46" i="2"/>
  <c r="AQ26" i="2"/>
  <c r="AL7" i="2"/>
  <c r="K31" i="2"/>
  <c r="AB30" i="2"/>
  <c r="AO46" i="2"/>
  <c r="J38" i="2"/>
  <c r="L60" i="2"/>
  <c r="W46" i="2"/>
  <c r="AB35" i="2"/>
  <c r="Q57" i="2"/>
  <c r="AH14" i="2"/>
  <c r="V52" i="2"/>
  <c r="U58" i="2"/>
  <c r="AG57" i="2"/>
  <c r="AK58" i="2"/>
  <c r="L42" i="2"/>
  <c r="AR22" i="2"/>
  <c r="AL40" i="2"/>
  <c r="N11" i="2"/>
  <c r="AE59" i="2"/>
  <c r="R56" i="2"/>
  <c r="H50" i="2"/>
  <c r="AO40" i="2"/>
  <c r="AF17" i="2"/>
  <c r="X59" i="2"/>
  <c r="Y4" i="2"/>
  <c r="J30" i="2"/>
  <c r="Z55" i="2"/>
  <c r="H43" i="2"/>
  <c r="N29" i="2"/>
  <c r="P4" i="2"/>
  <c r="V47" i="2"/>
  <c r="Q35" i="2"/>
  <c r="W4" i="2"/>
  <c r="V34" i="2"/>
  <c r="AO15" i="2"/>
  <c r="AQ53" i="2"/>
  <c r="AI37" i="2"/>
  <c r="M39" i="2"/>
  <c r="AI11" i="2"/>
  <c r="X12" i="2"/>
  <c r="O26" i="2"/>
  <c r="M55" i="2"/>
  <c r="L23" i="2"/>
  <c r="W14" i="2"/>
  <c r="AO11" i="2"/>
  <c r="AP23" i="2"/>
  <c r="Z38" i="2"/>
  <c r="I40" i="2"/>
  <c r="R60" i="2"/>
  <c r="W47" i="2"/>
  <c r="R41" i="2"/>
  <c r="AJ34" i="2"/>
  <c r="AA52" i="2"/>
  <c r="AD15" i="2"/>
  <c r="AL56" i="2"/>
  <c r="AB57" i="2"/>
  <c r="J13" i="2"/>
  <c r="AB17" i="2"/>
  <c r="AH51" i="2"/>
  <c r="AJ18" i="2"/>
  <c r="AK27" i="2"/>
  <c r="AB41" i="2"/>
  <c r="AM14" i="2"/>
  <c r="N31" i="2"/>
  <c r="J14" i="2"/>
  <c r="AE46" i="2"/>
  <c r="AL52" i="2"/>
  <c r="W45" i="2"/>
  <c r="AQ38" i="2"/>
  <c r="H51" i="2"/>
  <c r="AL6" i="2"/>
  <c r="P58" i="2"/>
  <c r="AE54" i="2"/>
  <c r="AE25" i="2"/>
  <c r="Z18" i="2"/>
  <c r="W11" i="2"/>
  <c r="AO56" i="2"/>
  <c r="U19" i="2"/>
  <c r="AL49" i="2"/>
  <c r="R9" i="2"/>
  <c r="N58" i="2"/>
  <c r="AF42" i="2"/>
  <c r="AO38" i="2"/>
  <c r="N37" i="2"/>
  <c r="AQ40" i="2"/>
  <c r="AA22" i="2"/>
  <c r="AO7" i="2"/>
  <c r="M41" i="2"/>
  <c r="AB7" i="2"/>
  <c r="J52" i="2"/>
  <c r="I13" i="2"/>
  <c r="J32" i="2"/>
  <c r="AK16" i="2"/>
  <c r="K27" i="2"/>
  <c r="AR51" i="2"/>
  <c r="AI35" i="2"/>
  <c r="AA35" i="2"/>
  <c r="AK29" i="2"/>
  <c r="Z32" i="2"/>
  <c r="H28" i="2"/>
  <c r="AA12" i="2"/>
  <c r="V24" i="2"/>
  <c r="V44" i="2"/>
  <c r="AP33" i="2"/>
  <c r="Y34" i="2"/>
  <c r="J51" i="2"/>
  <c r="K42" i="2"/>
  <c r="N12" i="2"/>
  <c r="AM47" i="2"/>
  <c r="AO48" i="2"/>
  <c r="AN8" i="2"/>
  <c r="Q50" i="2"/>
  <c r="AM40" i="2"/>
  <c r="U41" i="2"/>
  <c r="I60" i="2"/>
  <c r="AA32" i="2"/>
  <c r="P39" i="2"/>
  <c r="I39" i="2"/>
  <c r="X32" i="2"/>
  <c r="Z58" i="2"/>
  <c r="U22" i="2"/>
  <c r="AM9" i="2"/>
  <c r="AK9" i="2"/>
  <c r="AG26" i="2"/>
  <c r="V57" i="2"/>
  <c r="AG53" i="2"/>
  <c r="L14" i="2"/>
  <c r="G17" i="2"/>
  <c r="L54" i="2"/>
  <c r="W31" i="2"/>
  <c r="U53" i="2"/>
  <c r="R53" i="2"/>
  <c r="AG19" i="2"/>
  <c r="AC42" i="2"/>
  <c r="AK4" i="2"/>
  <c r="AL25" i="2"/>
  <c r="AP12" i="2"/>
  <c r="AJ58" i="2"/>
  <c r="Q9" i="2"/>
  <c r="AI26" i="2"/>
  <c r="AN13" i="2"/>
  <c r="AE18" i="2"/>
  <c r="AI23" i="2"/>
  <c r="Y27" i="2"/>
  <c r="AE28" i="2"/>
  <c r="P32" i="2"/>
  <c r="J33" i="2"/>
  <c r="AF45" i="2"/>
  <c r="P23" i="2"/>
  <c r="AB5" i="2"/>
  <c r="AH52" i="2"/>
  <c r="AO20" i="2"/>
  <c r="AD31" i="2"/>
  <c r="G43" i="2"/>
  <c r="I19" i="2"/>
  <c r="AN42" i="2"/>
  <c r="AB37" i="2"/>
  <c r="V33" i="2"/>
  <c r="L10" i="2"/>
  <c r="AG48" i="2"/>
  <c r="AO31" i="2"/>
  <c r="X47" i="2"/>
  <c r="AE52" i="2"/>
  <c r="AE23" i="2"/>
  <c r="AI16" i="2"/>
  <c r="Z7" i="2"/>
  <c r="G20" i="2"/>
  <c r="Z24" i="2"/>
  <c r="AK52" i="2"/>
  <c r="AJ57" i="2"/>
  <c r="O9" i="2"/>
  <c r="Q22" i="2"/>
  <c r="AL35" i="2"/>
  <c r="J24" i="2"/>
  <c r="AD52" i="2"/>
  <c r="I37" i="2"/>
  <c r="U15" i="2"/>
  <c r="X54" i="2"/>
  <c r="G50" i="2"/>
  <c r="J45" i="2"/>
  <c r="AE10" i="2"/>
  <c r="R6" i="2"/>
  <c r="AL48" i="2"/>
  <c r="X23" i="2"/>
  <c r="W38" i="2"/>
  <c r="AQ55" i="2"/>
  <c r="I47" i="2"/>
  <c r="AP52" i="2"/>
  <c r="AI47" i="2"/>
  <c r="AL27" i="2"/>
  <c r="AH45" i="2"/>
  <c r="AI59" i="2"/>
  <c r="AJ36" i="2"/>
  <c r="M47" i="2"/>
  <c r="AI25" i="2"/>
  <c r="L13" i="2"/>
  <c r="M40" i="2"/>
  <c r="AB6" i="2"/>
  <c r="AK45" i="2"/>
  <c r="V39" i="2"/>
  <c r="K29" i="2"/>
  <c r="O37" i="2"/>
  <c r="AF18" i="2"/>
  <c r="AF8" i="2"/>
  <c r="G26" i="2"/>
  <c r="AB47" i="2"/>
  <c r="V11" i="2"/>
  <c r="U14" i="2"/>
  <c r="AN15" i="2"/>
  <c r="AQ9" i="2"/>
  <c r="Y18" i="2"/>
  <c r="AE6" i="2"/>
  <c r="M16" i="2"/>
  <c r="AH29" i="2"/>
  <c r="AG12" i="2"/>
  <c r="AJ35" i="2"/>
  <c r="AQ6" i="2"/>
  <c r="AO22" i="2"/>
  <c r="L48" i="2"/>
  <c r="AF38" i="2"/>
  <c r="AH26" i="2"/>
  <c r="M26" i="2"/>
  <c r="AP54" i="2"/>
  <c r="J41" i="2"/>
  <c r="I56" i="2"/>
  <c r="AO55" i="2"/>
  <c r="AH55" i="2"/>
  <c r="R49" i="2"/>
  <c r="G15" i="2"/>
  <c r="AJ25" i="2"/>
  <c r="Z26" i="2"/>
  <c r="AB16" i="2"/>
  <c r="AG58" i="2"/>
  <c r="L9" i="2"/>
  <c r="Z23" i="2"/>
  <c r="AN56" i="2"/>
  <c r="AF4" i="2"/>
  <c r="I16" i="2"/>
  <c r="AG50" i="2"/>
  <c r="AM20" i="2"/>
  <c r="AH40" i="2"/>
  <c r="J58" i="2"/>
  <c r="AR44" i="2"/>
  <c r="AA23" i="2"/>
  <c r="AP51" i="2"/>
  <c r="AF25" i="2"/>
  <c r="AD4" i="2"/>
  <c r="Q34" i="2"/>
  <c r="V26" i="2"/>
  <c r="R52" i="2"/>
  <c r="AG25" i="2"/>
  <c r="R12" i="2"/>
  <c r="AQ31" i="2"/>
  <c r="AM35" i="2"/>
  <c r="J56" i="2"/>
  <c r="AD5" i="2"/>
  <c r="P44" i="2"/>
  <c r="AE60" i="2"/>
  <c r="AG6" i="2"/>
  <c r="AH11" i="2"/>
  <c r="J19" i="2"/>
  <c r="G54" i="2"/>
  <c r="R38" i="2"/>
  <c r="AB54" i="2"/>
  <c r="K30" i="2"/>
  <c r="AJ60" i="2"/>
  <c r="O7" i="2"/>
  <c r="AP17" i="2"/>
  <c r="AM11" i="2"/>
  <c r="AA56" i="2"/>
  <c r="AC60" i="2"/>
  <c r="AH57" i="2"/>
  <c r="AE37" i="2"/>
  <c r="AL5" i="2"/>
  <c r="AR31" i="2"/>
  <c r="AG29" i="2"/>
  <c r="AP26" i="2"/>
  <c r="AF29" i="2"/>
  <c r="AC17" i="2"/>
  <c r="AF53" i="2"/>
  <c r="AK48" i="2"/>
  <c r="G5" i="2"/>
  <c r="K33" i="2"/>
  <c r="AM45" i="2"/>
  <c r="AL14" i="2"/>
  <c r="J43" i="2"/>
  <c r="W32" i="2"/>
  <c r="AB55" i="2"/>
  <c r="U5" i="2"/>
  <c r="AJ12" i="2"/>
  <c r="X37" i="2"/>
  <c r="H25" i="2"/>
  <c r="P54" i="2"/>
  <c r="O32" i="2"/>
  <c r="AQ36" i="2"/>
  <c r="AF13" i="2"/>
  <c r="N53" i="2"/>
  <c r="AB43" i="2"/>
  <c r="AJ20" i="2"/>
  <c r="AP13" i="2"/>
  <c r="H30" i="2"/>
  <c r="AF24" i="2"/>
  <c r="AA34" i="2"/>
  <c r="P40" i="2"/>
  <c r="AP24" i="2"/>
  <c r="K5" i="2"/>
  <c r="AC59" i="2"/>
  <c r="AE27" i="2"/>
  <c r="L39" i="2"/>
  <c r="AP11" i="2"/>
  <c r="AL22" i="2"/>
  <c r="Q58" i="2"/>
  <c r="AO12" i="2"/>
  <c r="Y6" i="2"/>
  <c r="AD18" i="2"/>
  <c r="AA19" i="2"/>
  <c r="AF52" i="2"/>
  <c r="AJ24" i="2"/>
  <c r="J10" i="2"/>
  <c r="U37" i="2"/>
  <c r="AF32" i="2"/>
  <c r="H34" i="2"/>
  <c r="AG34" i="2"/>
  <c r="AC39" i="2"/>
  <c r="P30" i="2"/>
  <c r="AO45" i="2"/>
  <c r="AC44" i="2"/>
  <c r="J6" i="2"/>
  <c r="AQ18" i="2"/>
  <c r="U6" i="2"/>
  <c r="I41" i="2"/>
  <c r="K26" i="2"/>
  <c r="AN43" i="2"/>
  <c r="AF40" i="2"/>
  <c r="AL21" i="2"/>
  <c r="AR28" i="2"/>
  <c r="H48" i="2"/>
  <c r="Q59" i="2"/>
  <c r="AH12" i="2"/>
  <c r="AG33" i="2"/>
  <c r="J27" i="2"/>
  <c r="W16" i="2"/>
  <c r="AJ6" i="2"/>
  <c r="AC40" i="2"/>
  <c r="AB27" i="2"/>
  <c r="AQ54" i="2"/>
  <c r="AP57" i="2"/>
  <c r="R43" i="2"/>
  <c r="AB38" i="2"/>
  <c r="V30" i="2"/>
  <c r="AN52" i="2"/>
  <c r="L53" i="2"/>
  <c r="AG21" i="2"/>
  <c r="AN31" i="2"/>
  <c r="R15" i="2"/>
  <c r="AN39" i="2"/>
  <c r="I51" i="2"/>
  <c r="AF44" i="2"/>
  <c r="P22" i="2"/>
  <c r="AN51" i="2"/>
  <c r="AD43" i="2"/>
  <c r="AB39" i="2"/>
  <c r="G29" i="2"/>
  <c r="AL37" i="2"/>
  <c r="AK21" i="2"/>
  <c r="AE12" i="2"/>
  <c r="M45" i="2"/>
  <c r="V7" i="2"/>
  <c r="AK41" i="2"/>
  <c r="U11" i="2"/>
  <c r="R5" i="2"/>
  <c r="AJ14" i="2"/>
  <c r="Q23" i="2"/>
  <c r="AA24" i="2"/>
  <c r="AR47" i="2"/>
  <c r="I8" i="2"/>
  <c r="I33" i="2"/>
  <c r="AE17" i="2"/>
  <c r="X8" i="2"/>
  <c r="H19" i="2"/>
  <c r="AL36" i="2"/>
  <c r="V16" i="2"/>
  <c r="K25" i="2"/>
  <c r="N34" i="2"/>
  <c r="AA21" i="2"/>
  <c r="AN30" i="2"/>
  <c r="AH31" i="2"/>
  <c r="AK38" i="2"/>
  <c r="AR50" i="2"/>
  <c r="AO52" i="2"/>
  <c r="AR25" i="2"/>
  <c r="AO57" i="2"/>
  <c r="AC35" i="2"/>
  <c r="O53" i="2"/>
  <c r="Z11" i="2"/>
  <c r="AB15" i="2"/>
  <c r="P13" i="2"/>
  <c r="AL50" i="2"/>
  <c r="AO53" i="2"/>
  <c r="AR11" i="2"/>
  <c r="AN21" i="2"/>
  <c r="AD42" i="2"/>
  <c r="AC7" i="2"/>
  <c r="AN23" i="2"/>
  <c r="J50" i="2"/>
  <c r="Z47" i="2"/>
  <c r="AM36" i="2"/>
  <c r="Y23" i="2"/>
  <c r="P50" i="2"/>
  <c r="AI40" i="2"/>
  <c r="H42" i="2"/>
  <c r="AB50" i="2"/>
  <c r="U35" i="2"/>
  <c r="P5" i="2"/>
  <c r="AM57" i="2"/>
  <c r="AK25" i="2"/>
  <c r="AE53" i="2"/>
  <c r="AD11" i="2"/>
  <c r="X20" i="2"/>
  <c r="L32" i="2"/>
  <c r="AG40" i="2"/>
  <c r="Z27" i="2"/>
  <c r="I28" i="2"/>
  <c r="Y57" i="2"/>
  <c r="K14" i="2"/>
  <c r="AB13" i="2"/>
  <c r="G23" i="2"/>
  <c r="Z43" i="2"/>
  <c r="AO10" i="2"/>
  <c r="X22" i="2"/>
  <c r="X9" i="2"/>
  <c r="M34" i="2"/>
  <c r="Z44" i="2"/>
  <c r="I11" i="2"/>
  <c r="Z28" i="2"/>
  <c r="AG4" i="2"/>
  <c r="V8" i="2"/>
  <c r="AE29" i="2"/>
  <c r="I36" i="2"/>
  <c r="V17" i="2"/>
  <c r="AC9" i="2"/>
  <c r="L18" i="2"/>
  <c r="AO5" i="2"/>
  <c r="X28" i="2"/>
  <c r="AC16" i="2"/>
  <c r="AF6" i="2"/>
  <c r="AP30" i="2"/>
  <c r="AA46" i="2"/>
  <c r="AI39" i="2"/>
  <c r="AN29" i="2"/>
  <c r="AA4" i="2"/>
  <c r="X43" i="2"/>
  <c r="AQ17" i="2"/>
  <c r="G19" i="2"/>
  <c r="U34" i="2"/>
  <c r="Z10" i="2"/>
  <c r="N47" i="2"/>
  <c r="Q30" i="2"/>
  <c r="AM27" i="2"/>
  <c r="N26" i="2"/>
  <c r="AR19" i="2"/>
  <c r="K20" i="2"/>
  <c r="AQ60" i="2"/>
  <c r="I46" i="2"/>
  <c r="X25" i="2"/>
  <c r="Z39" i="2"/>
  <c r="AP31" i="2"/>
  <c r="P28" i="2"/>
  <c r="W5" i="2"/>
  <c r="AC15" i="2"/>
  <c r="V4" i="2"/>
  <c r="AQ52" i="2"/>
  <c r="AB51" i="2"/>
  <c r="AN10" i="2"/>
  <c r="AD40" i="2"/>
  <c r="AJ19" i="2"/>
  <c r="N17" i="2"/>
  <c r="AK50" i="2"/>
  <c r="Y8" i="2"/>
  <c r="AJ56" i="2"/>
  <c r="AM55" i="2"/>
  <c r="R51" i="2"/>
  <c r="G47" i="2"/>
  <c r="J9" i="2"/>
  <c r="AR60" i="2"/>
  <c r="J26" i="2"/>
  <c r="P43" i="2"/>
  <c r="AM53" i="2"/>
  <c r="R35" i="2"/>
  <c r="AJ32" i="2"/>
  <c r="AM60" i="2"/>
  <c r="AJ42" i="2"/>
  <c r="H46" i="2"/>
  <c r="AC21" i="2"/>
  <c r="AB32" i="2"/>
  <c r="AQ22" i="2"/>
  <c r="AL30" i="2"/>
  <c r="AD26" i="2"/>
  <c r="K55" i="2"/>
  <c r="AP14" i="2"/>
  <c r="M10" i="2"/>
  <c r="I42" i="2"/>
  <c r="AH23" i="2"/>
  <c r="AJ38" i="2"/>
  <c r="Q8" i="2"/>
  <c r="G8" i="2"/>
  <c r="AI22" i="2"/>
  <c r="W35" i="2"/>
  <c r="Z41" i="2"/>
  <c r="V19" i="2"/>
  <c r="Q6" i="2"/>
  <c r="AQ37" i="2"/>
  <c r="AK14" i="2"/>
  <c r="AJ15" i="2"/>
  <c r="U56" i="2"/>
  <c r="AL45" i="2"/>
  <c r="AL59" i="2"/>
  <c r="AK37" i="2"/>
  <c r="V40" i="2"/>
  <c r="AI24" i="2"/>
  <c r="L5" i="2"/>
  <c r="W30" i="2"/>
  <c r="Y16" i="2"/>
  <c r="AL55" i="2"/>
  <c r="AK57" i="2"/>
  <c r="AK6" i="2"/>
  <c r="AD53" i="2"/>
  <c r="AI4" i="2"/>
  <c r="AO32" i="2"/>
  <c r="AK7" i="2"/>
  <c r="AQ23" i="2"/>
  <c r="AI14" i="2"/>
  <c r="AO43" i="2"/>
  <c r="G42" i="2"/>
  <c r="L44" i="2"/>
  <c r="I7" i="2"/>
  <c r="AR52" i="2"/>
  <c r="AC24" i="2"/>
  <c r="AA16" i="2"/>
  <c r="AR5" i="2"/>
  <c r="AE35" i="2"/>
  <c r="AK28" i="2"/>
  <c r="R10" i="2"/>
  <c r="AD56" i="2"/>
  <c r="V58" i="2"/>
  <c r="Y56" i="2"/>
  <c r="AH6" i="2"/>
  <c r="R39" i="2"/>
  <c r="L40" i="2"/>
  <c r="AK32" i="2"/>
  <c r="AN40" i="2"/>
  <c r="P9" i="2"/>
  <c r="N43" i="2"/>
  <c r="W13" i="2"/>
  <c r="O18" i="2"/>
  <c r="AJ5" i="2"/>
  <c r="X46" i="2"/>
  <c r="AM41" i="2"/>
  <c r="R40" i="2"/>
  <c r="G36" i="2"/>
  <c r="G39" i="2"/>
  <c r="AK8" i="2"/>
  <c r="AO23" i="2"/>
  <c r="K43" i="2"/>
  <c r="AM49" i="2"/>
  <c r="Q11" i="2"/>
  <c r="AL51" i="2"/>
  <c r="H60" i="2"/>
  <c r="AB36" i="2"/>
  <c r="G30" i="2"/>
  <c r="L31" i="2"/>
  <c r="L58" i="2"/>
  <c r="J34" i="2"/>
  <c r="O50" i="2"/>
  <c r="I25" i="2"/>
  <c r="AJ26" i="2"/>
  <c r="AC43" i="2"/>
  <c r="AN36" i="2"/>
  <c r="AC26" i="2"/>
  <c r="R28" i="2"/>
  <c r="AD10" i="2"/>
  <c r="Y7" i="2"/>
  <c r="AG9" i="2"/>
  <c r="R45" i="2"/>
  <c r="M9" i="2"/>
  <c r="AO49" i="2"/>
  <c r="Q60" i="2"/>
  <c r="G13" i="2"/>
  <c r="AD29" i="2"/>
  <c r="AQ16" i="2"/>
  <c r="U17" i="2"/>
  <c r="AP9" i="2"/>
  <c r="V25" i="2"/>
  <c r="M60" i="2"/>
  <c r="AF43" i="2"/>
  <c r="G27" i="2"/>
  <c r="M8" i="2"/>
  <c r="L12" i="2"/>
  <c r="V41" i="2"/>
  <c r="I48" i="2"/>
  <c r="U18" i="2"/>
  <c r="H57" i="2"/>
  <c r="AP59" i="2"/>
  <c r="AG14" i="2"/>
  <c r="K10" i="2"/>
  <c r="Q38" i="2"/>
  <c r="AA54" i="2"/>
  <c r="AF21" i="2"/>
  <c r="I45" i="2"/>
  <c r="G9" i="2"/>
  <c r="K8" i="2"/>
  <c r="AH53" i="2"/>
  <c r="AF26" i="2"/>
  <c r="P35" i="2"/>
  <c r="O21" i="2"/>
  <c r="AB22" i="2"/>
  <c r="AI41" i="2"/>
  <c r="X35" i="2"/>
  <c r="AI48" i="2"/>
  <c r="K46" i="2"/>
  <c r="AO13" i="2"/>
  <c r="N35" i="2"/>
  <c r="U9" i="2"/>
  <c r="AD13" i="2"/>
  <c r="AN17" i="2"/>
  <c r="AR42" i="2"/>
  <c r="X55" i="2"/>
  <c r="AR7" i="2"/>
  <c r="AF5" i="2"/>
  <c r="AG49" i="2"/>
  <c r="AR20" i="2"/>
  <c r="AK5" i="2"/>
  <c r="R30" i="2"/>
  <c r="Z4" i="2"/>
  <c r="M50" i="2"/>
  <c r="N60" i="2"/>
  <c r="L20" i="2"/>
  <c r="AO21" i="2"/>
  <c r="M17" i="2"/>
  <c r="H26" i="2"/>
  <c r="AH39" i="2"/>
  <c r="AF56" i="2"/>
  <c r="P47" i="2"/>
  <c r="U49" i="2"/>
  <c r="AI12" i="2"/>
  <c r="AP56" i="2"/>
  <c r="N36" i="2"/>
  <c r="AN26" i="2"/>
  <c r="J59" i="2"/>
  <c r="R16" i="2"/>
  <c r="I20" i="2"/>
  <c r="AH28" i="2"/>
  <c r="P36" i="2"/>
  <c r="AE26" i="2"/>
  <c r="AR41" i="2"/>
  <c r="AF48" i="2"/>
  <c r="AM7" i="2"/>
  <c r="V10" i="2"/>
  <c r="AA59" i="2"/>
  <c r="K6" i="2"/>
  <c r="AC51" i="2"/>
  <c r="I9" i="2"/>
  <c r="V35" i="2"/>
  <c r="Q53" i="2"/>
  <c r="AE44" i="2"/>
  <c r="R14" i="2"/>
  <c r="AE55" i="2"/>
  <c r="Z31" i="2"/>
  <c r="N24" i="2"/>
  <c r="AA10" i="2"/>
  <c r="AA42" i="2"/>
  <c r="O34" i="2"/>
  <c r="AD30" i="2"/>
  <c r="AR29" i="2"/>
  <c r="V15" i="2"/>
  <c r="K54" i="2"/>
  <c r="R7" i="2"/>
  <c r="AM26" i="2"/>
  <c r="V37" i="2"/>
  <c r="N38" i="2"/>
  <c r="AG10" i="2"/>
  <c r="U4" i="2"/>
  <c r="AD54" i="2"/>
  <c r="V42" i="2"/>
  <c r="H58" i="2"/>
  <c r="L24" i="2"/>
  <c r="N30" i="2"/>
  <c r="AE42" i="2"/>
  <c r="X27" i="2"/>
  <c r="AI60" i="2"/>
  <c r="AM50" i="2"/>
  <c r="M36" i="2"/>
  <c r="AD21" i="2"/>
  <c r="AQ12" i="2"/>
  <c r="AC31" i="2"/>
  <c r="M14" i="2"/>
  <c r="K16" i="2"/>
  <c r="P14" i="2"/>
  <c r="M51" i="2"/>
  <c r="AF28" i="2"/>
  <c r="R50" i="2"/>
  <c r="Q40" i="2"/>
  <c r="AI54" i="2"/>
  <c r="AL47" i="2"/>
  <c r="J11" i="2"/>
  <c r="M48" i="2"/>
  <c r="AC45" i="2"/>
  <c r="W49" i="2"/>
  <c r="AA49" i="2"/>
  <c r="Z20" i="2"/>
  <c r="AN44" i="2"/>
  <c r="AE5" i="2"/>
  <c r="AN57" i="2"/>
  <c r="Y55" i="2"/>
  <c r="AO19" i="2"/>
  <c r="AA36" i="2"/>
  <c r="AF23" i="2"/>
  <c r="AE19" i="2"/>
  <c r="I21" i="2"/>
  <c r="V13" i="2"/>
  <c r="AF50" i="2"/>
  <c r="P46" i="2"/>
  <c r="AB26" i="2"/>
  <c r="AK42" i="2"/>
  <c r="AO42" i="2"/>
  <c r="X41" i="2"/>
  <c r="AE40" i="2"/>
  <c r="AR57" i="2"/>
  <c r="I24" i="2"/>
  <c r="L51" i="2"/>
  <c r="L11" i="2"/>
  <c r="Y46" i="2"/>
  <c r="AL17" i="2"/>
  <c r="H31" i="2"/>
  <c r="M56" i="2"/>
  <c r="AD49" i="2"/>
  <c r="R27" i="2"/>
  <c r="AD58" i="2"/>
  <c r="AK17" i="2"/>
  <c r="AJ30" i="2"/>
  <c r="AK36" i="2"/>
  <c r="AC22" i="2"/>
  <c r="AA45" i="2"/>
  <c r="AI42" i="2"/>
  <c r="Q27" i="2"/>
  <c r="R48" i="2"/>
  <c r="AQ43" i="2"/>
  <c r="AE20" i="2"/>
  <c r="AJ23" i="2"/>
  <c r="AE11" i="2"/>
  <c r="AN60" i="2"/>
  <c r="Y20" i="2"/>
  <c r="W29" i="2"/>
  <c r="Y15" i="2"/>
  <c r="X16" i="2"/>
  <c r="AA9" i="2"/>
  <c r="AB59" i="2"/>
  <c r="L43" i="2"/>
  <c r="R42" i="2"/>
  <c r="L29" i="2"/>
  <c r="AG11" i="2"/>
  <c r="Q42" i="2"/>
  <c r="AC25" i="2"/>
  <c r="H56" i="2"/>
  <c r="AG38" i="2"/>
  <c r="AO18" i="2"/>
  <c r="U47" i="2"/>
  <c r="R34" i="2"/>
  <c r="AC32" i="2"/>
  <c r="AM4" i="2"/>
  <c r="AG7" i="2"/>
  <c r="AO50" i="2"/>
  <c r="AJ41" i="2"/>
  <c r="AG30" i="2"/>
  <c r="AP42" i="2"/>
  <c r="N49" i="2"/>
  <c r="AF33" i="2"/>
  <c r="I35" i="2"/>
  <c r="AP44" i="2"/>
  <c r="AI53" i="2"/>
  <c r="AR17" i="2"/>
  <c r="K34" i="2"/>
  <c r="AN48" i="2"/>
  <c r="I52" i="2"/>
  <c r="AH20" i="2"/>
  <c r="O15" i="2"/>
  <c r="AR6" i="2"/>
  <c r="AB34" i="2"/>
  <c r="V43" i="2"/>
  <c r="AJ16" i="2"/>
  <c r="AC5" i="2"/>
  <c r="AM24" i="2"/>
  <c r="X31" i="2"/>
  <c r="AG51" i="2"/>
  <c r="AG42" i="2"/>
  <c r="W40" i="2"/>
  <c r="G32" i="2"/>
  <c r="W9" i="2"/>
  <c r="M18" i="2"/>
  <c r="U10" i="2"/>
  <c r="X50" i="2"/>
  <c r="AL42" i="2"/>
  <c r="W21" i="2"/>
  <c r="AN12" i="2"/>
  <c r="AB31" i="2"/>
  <c r="AJ52" i="2"/>
  <c r="AQ30" i="2"/>
  <c r="L26" i="2"/>
  <c r="AB10" i="2"/>
  <c r="O42" i="2"/>
  <c r="AA51" i="2"/>
  <c r="AP45" i="2"/>
  <c r="V49" i="2"/>
  <c r="AQ33" i="2"/>
  <c r="AB53" i="2"/>
  <c r="AA30" i="2"/>
  <c r="AI34" i="2"/>
  <c r="AK11" i="2"/>
  <c r="M6" i="2"/>
  <c r="O29" i="2"/>
  <c r="J40" i="2"/>
  <c r="P51" i="2"/>
  <c r="N57" i="2"/>
  <c r="Z52" i="2"/>
  <c r="AA60" i="2"/>
  <c r="AE13" i="2"/>
  <c r="AK54" i="2"/>
  <c r="O25" i="2"/>
  <c r="Z51" i="2"/>
  <c r="L49" i="2"/>
  <c r="AG54" i="2"/>
  <c r="AF36" i="2"/>
  <c r="AG60" i="2"/>
  <c r="Q54" i="2"/>
  <c r="M44" i="2"/>
  <c r="L17" i="2"/>
  <c r="H53" i="2"/>
  <c r="AA40" i="2"/>
  <c r="N32" i="2"/>
  <c r="Y45" i="2"/>
  <c r="AD19" i="2"/>
  <c r="K57" i="2"/>
  <c r="AO54" i="2"/>
  <c r="AQ57" i="2"/>
  <c r="R23" i="2"/>
  <c r="X6" i="2"/>
  <c r="AR43" i="2"/>
  <c r="K35" i="2"/>
  <c r="G56" i="2"/>
  <c r="H4" i="2"/>
  <c r="AF12" i="2"/>
  <c r="AM23" i="2"/>
  <c r="G51" i="2"/>
  <c r="M27" i="2"/>
  <c r="O38" i="2"/>
  <c r="AH7" i="2"/>
  <c r="H54" i="2"/>
  <c r="AK56" i="2"/>
  <c r="AB23" i="2"/>
  <c r="W8" i="2"/>
  <c r="AD32" i="2"/>
  <c r="AB60" i="2"/>
  <c r="AE49" i="2"/>
  <c r="AD34" i="2"/>
  <c r="AC41" i="2"/>
  <c r="O17" i="2"/>
  <c r="AR36" i="2"/>
  <c r="AB44" i="2"/>
  <c r="AC57" i="2"/>
  <c r="AG8" i="2"/>
  <c r="Q52" i="2"/>
  <c r="Q47" i="2"/>
  <c r="AK53" i="2"/>
  <c r="Y11" i="2"/>
  <c r="AJ37" i="2"/>
  <c r="AH50" i="2"/>
  <c r="AA38" i="2"/>
  <c r="AL16" i="2"/>
  <c r="Z16" i="2"/>
  <c r="J29" i="2"/>
  <c r="AQ27" i="2"/>
  <c r="U21" i="2"/>
  <c r="AJ51" i="2"/>
  <c r="Y54" i="2"/>
  <c r="I32" i="2"/>
  <c r="AM51" i="2"/>
  <c r="AK10" i="2"/>
  <c r="X26" i="2"/>
  <c r="AM6" i="2"/>
  <c r="AG22" i="2"/>
  <c r="Y41" i="2"/>
  <c r="AH35" i="2"/>
  <c r="Z21" i="2"/>
  <c r="U16" i="2"/>
  <c r="Y51" i="2"/>
  <c r="AB9" i="2"/>
  <c r="K60" i="2"/>
  <c r="O47" i="2"/>
  <c r="M4" i="2"/>
  <c r="AM39" i="2"/>
  <c r="AM56" i="2"/>
  <c r="W36" i="2"/>
  <c r="AL24" i="2"/>
  <c r="I31" i="2"/>
  <c r="AF54" i="2"/>
  <c r="N45" i="2"/>
  <c r="H36" i="2"/>
  <c r="Y29" i="2"/>
  <c r="AR53" i="2"/>
  <c r="AQ39" i="2"/>
  <c r="AA18" i="2"/>
  <c r="R8" i="2"/>
  <c r="X45" i="2"/>
  <c r="AQ51" i="2"/>
  <c r="AE43" i="2"/>
  <c r="AI31" i="2"/>
  <c r="AC29" i="2"/>
  <c r="AB45" i="2"/>
  <c r="AM42" i="2"/>
  <c r="M58" i="2"/>
  <c r="R31" i="2"/>
  <c r="K41" i="2"/>
  <c r="H14" i="2"/>
  <c r="AI30" i="2"/>
  <c r="AF47" i="2"/>
  <c r="AC37" i="2"/>
  <c r="AE41" i="2"/>
  <c r="AL8" i="2"/>
  <c r="H13" i="2"/>
  <c r="G31" i="2"/>
  <c r="AL23" i="2"/>
  <c r="AF27" i="2"/>
  <c r="AQ47" i="2"/>
  <c r="AJ40" i="2"/>
  <c r="M42" i="2"/>
  <c r="AB18" i="2"/>
  <c r="N40" i="2"/>
  <c r="K32" i="2"/>
  <c r="Z60" i="2"/>
  <c r="Q55" i="2"/>
  <c r="AE45" i="2"/>
  <c r="AO36" i="2"/>
  <c r="Q56" i="2"/>
  <c r="AQ32" i="2"/>
  <c r="AN16" i="2"/>
  <c r="R37" i="2"/>
  <c r="J5" i="2"/>
  <c r="N42" i="2"/>
  <c r="P42" i="2"/>
  <c r="Z56" i="2"/>
  <c r="AH54" i="2"/>
  <c r="AB25" i="2"/>
  <c r="AN22" i="2"/>
  <c r="AB58" i="2"/>
  <c r="AH8" i="2"/>
  <c r="AK34" i="2"/>
  <c r="Y25" i="2"/>
  <c r="AR24" i="2"/>
  <c r="W12" i="2"/>
  <c r="AF20" i="2"/>
  <c r="AH59" i="2"/>
  <c r="H21" i="2"/>
  <c r="AM15" i="2"/>
  <c r="P45" i="2"/>
  <c r="AG56" i="2"/>
  <c r="AG28" i="2"/>
  <c r="U23" i="2"/>
  <c r="J25" i="2"/>
  <c r="AD24" i="2"/>
  <c r="Z33" i="2"/>
  <c r="W23" i="2"/>
  <c r="AO25" i="2"/>
  <c r="P38" i="2"/>
  <c r="AR55" i="2"/>
  <c r="W34" i="2"/>
  <c r="O16" i="2"/>
  <c r="AQ42" i="2"/>
  <c r="AH25" i="2"/>
  <c r="G53" i="2"/>
  <c r="L33" i="2"/>
  <c r="M21" i="2"/>
  <c r="M13" i="2"/>
  <c r="H16" i="2"/>
  <c r="W39" i="2"/>
  <c r="AO17" i="2"/>
  <c r="M53" i="2"/>
  <c r="AG13" i="2"/>
  <c r="G33" i="2"/>
  <c r="AB56" i="2"/>
  <c r="G45" i="2"/>
  <c r="X13" i="2"/>
  <c r="M30" i="2"/>
  <c r="AI19" i="2"/>
  <c r="U45" i="2"/>
  <c r="P59" i="2"/>
  <c r="AC4" i="2"/>
  <c r="J55" i="2"/>
  <c r="I38" i="2"/>
  <c r="AR9" i="2"/>
  <c r="AM48" i="2"/>
  <c r="I4" i="2"/>
  <c r="AI17" i="2"/>
  <c r="AP35" i="2"/>
  <c r="AA25" i="2"/>
  <c r="G37" i="2"/>
  <c r="O40" i="2"/>
  <c r="AB19" i="2"/>
  <c r="W17" i="2"/>
  <c r="I58" i="2"/>
  <c r="AQ25" i="2"/>
  <c r="AO8" i="2"/>
  <c r="Y37" i="2"/>
  <c r="K36" i="2"/>
  <c r="Y36" i="2"/>
  <c r="AR10" i="2"/>
  <c r="O46" i="2"/>
  <c r="M23" i="2"/>
  <c r="Y35" i="2"/>
  <c r="G16" i="2"/>
  <c r="X58" i="2"/>
  <c r="AM22" i="2"/>
  <c r="AA57" i="2"/>
  <c r="W43" i="2"/>
  <c r="AB11" i="2"/>
  <c r="AG18" i="2"/>
  <c r="Y33" i="2"/>
  <c r="W41" i="2"/>
  <c r="U38" i="2"/>
  <c r="AR33" i="2"/>
  <c r="AJ47" i="2"/>
  <c r="O33" i="2"/>
  <c r="U60" i="2"/>
  <c r="AM43" i="2"/>
  <c r="I55" i="2"/>
  <c r="U33" i="2"/>
  <c r="Q44" i="2"/>
  <c r="AI49" i="2"/>
  <c r="AL38" i="2"/>
  <c r="AF46" i="2"/>
  <c r="H52" i="2"/>
  <c r="P18" i="2"/>
  <c r="AI38" i="2"/>
  <c r="K38" i="2"/>
  <c r="L55" i="2"/>
  <c r="V28" i="2"/>
  <c r="P11" i="2"/>
  <c r="AO26" i="2"/>
  <c r="AM16" i="2"/>
  <c r="AM21" i="2"/>
  <c r="V38" i="2"/>
  <c r="AA33" i="2"/>
  <c r="W27" i="2"/>
  <c r="AA31" i="2"/>
  <c r="AP15" i="2"/>
  <c r="AP19" i="2"/>
  <c r="AA27" i="2"/>
  <c r="AC52" i="2"/>
  <c r="AG45" i="2"/>
  <c r="AI56" i="2"/>
  <c r="N5" i="2"/>
  <c r="G48" i="2"/>
  <c r="AQ8" i="2"/>
  <c r="O30" i="2"/>
  <c r="Y17" i="2"/>
  <c r="AR21" i="2"/>
  <c r="N19" i="2"/>
  <c r="G40" i="2"/>
  <c r="W19" i="2"/>
  <c r="Q5" i="2"/>
  <c r="Y9" i="2"/>
  <c r="AR27" i="2"/>
  <c r="AQ5" i="2"/>
  <c r="P17" i="2"/>
  <c r="N7" i="2"/>
  <c r="AK33" i="2"/>
  <c r="P60" i="2"/>
  <c r="AA50" i="2"/>
  <c r="Q26" i="2"/>
  <c r="AJ9" i="2"/>
  <c r="Q21" i="2"/>
  <c r="AC6" i="2"/>
  <c r="U42" i="2"/>
  <c r="Q39" i="2"/>
  <c r="AF35" i="2"/>
  <c r="X40" i="2"/>
  <c r="AH36" i="2"/>
  <c r="AI6" i="2"/>
  <c r="W48" i="2"/>
  <c r="Q37" i="2"/>
  <c r="Z46" i="2"/>
  <c r="AH34" i="2"/>
  <c r="M22" i="2"/>
  <c r="AI7" i="2"/>
  <c r="AJ46" i="2"/>
  <c r="Q33" i="2"/>
  <c r="J18" i="2"/>
  <c r="Z25" i="2"/>
  <c r="AH49" i="2"/>
  <c r="U12" i="2"/>
  <c r="AA5" i="2"/>
  <c r="AI10" i="2"/>
  <c r="AP5" i="2"/>
  <c r="AE36" i="2"/>
  <c r="W59" i="2"/>
  <c r="AD28" i="2"/>
  <c r="Z53" i="2"/>
  <c r="AO27" i="2"/>
  <c r="AI58" i="2"/>
  <c r="O23" i="2"/>
  <c r="R13" i="2"/>
  <c r="N4" i="2"/>
  <c r="L35" i="2"/>
  <c r="M28" i="2"/>
  <c r="AC50" i="2"/>
  <c r="Y22" i="2"/>
  <c r="M35" i="2"/>
  <c r="O4" i="2"/>
  <c r="U24" i="2"/>
  <c r="AN49" i="2"/>
  <c r="J17" i="2"/>
</calcChain>
</file>

<file path=xl/sharedStrings.xml><?xml version="1.0" encoding="utf-8"?>
<sst xmlns="http://schemas.openxmlformats.org/spreadsheetml/2006/main" count="2205" uniqueCount="662">
  <si>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</si>
  <si>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</si>
  <si>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</si>
  <si>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</si>
  <si>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</si>
  <si>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</si>
  <si>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</si>
  <si>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</si>
  <si>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</si>
  <si>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</si>
  <si>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</si>
  <si>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</si>
  <si>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</si>
  <si>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</si>
  <si>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</si>
  <si>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</si>
  <si>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</si>
  <si>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</si>
  <si>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</si>
  <si>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</si>
  <si>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</si>
  <si>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</si>
  <si>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</si>
  <si>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</si>
  <si>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</si>
  <si>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</si>
  <si>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</si>
  <si>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</si>
  <si>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</si>
  <si>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</si>
  <si>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</si>
  <si>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</si>
  <si>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</si>
  <si>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</si>
  <si>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</si>
  <si>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</si>
  <si>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</si>
  <si>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</si>
  <si>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</si>
  <si>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</si>
  <si>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</si>
  <si>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</si>
  <si>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</si>
  <si>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</si>
  <si>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</si>
  <si>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</si>
  <si>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</si>
  <si>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</si>
  <si>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</si>
  <si>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</si>
  <si>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</si>
  <si>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</si>
  <si>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</si>
  <si>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</si>
  <si>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</si>
  <si>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</si>
  <si>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</si>
  <si>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</si>
  <si>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</si>
  <si>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</si>
  <si>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</si>
  <si>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</si>
  <si>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</si>
  <si>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</si>
  <si>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</si>
  <si>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</si>
  <si>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</si>
  <si>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</si>
  <si>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</si>
  <si>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</si>
  <si>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</si>
  <si>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</si>
  <si>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</si>
  <si>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</si>
  <si>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</si>
  <si>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</si>
  <si>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</si>
  <si>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</si>
  <si>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</si>
  <si>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</si>
  <si>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</si>
  <si>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</si>
  <si>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</si>
  <si>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</si>
  <si>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</si>
  <si>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</si>
  <si>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</si>
  <si>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</si>
  <si>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</si>
  <si>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</si>
  <si>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</si>
  <si>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</si>
  <si>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</si>
  <si>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</si>
  <si>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</si>
  <si>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</si>
  <si>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</si>
  <si>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</si>
  <si>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</si>
  <si>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</si>
  <si>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</si>
  <si>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</si>
  <si>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</si>
  <si>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</si>
  <si>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</si>
  <si>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</si>
  <si>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</si>
  <si>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</si>
  <si>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</si>
  <si>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</si>
  <si>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</si>
  <si>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</si>
  <si>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</si>
  <si>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</si>
  <si>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</si>
  <si>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</si>
  <si>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</si>
  <si>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</si>
  <si>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</si>
  <si>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</si>
  <si>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</si>
  <si>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</si>
  <si>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</si>
  <si>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</si>
  <si>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</si>
  <si>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</si>
  <si>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</si>
  <si>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</si>
  <si>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</si>
  <si>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</si>
  <si>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</si>
  <si>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</si>
  <si>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</si>
  <si>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</si>
  <si>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</si>
  <si>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</si>
  <si>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</si>
  <si>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</si>
  <si>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</si>
  <si>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</si>
  <si>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</si>
  <si>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</si>
  <si>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</si>
  <si>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</si>
  <si>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</si>
  <si>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</si>
  <si>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</si>
  <si>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</si>
  <si>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</si>
  <si>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</si>
  <si>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</si>
  <si>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</si>
  <si>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</si>
  <si>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</si>
  <si>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</si>
  <si>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</si>
  <si>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</si>
  <si>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</si>
  <si>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</si>
  <si>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</si>
  <si>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</si>
  <si>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</si>
  <si>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</si>
  <si>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</si>
  <si>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</si>
  <si>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</si>
  <si>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</si>
  <si>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</si>
  <si>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</si>
  <si>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</si>
  <si>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</si>
  <si>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</si>
  <si>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</si>
  <si>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</si>
  <si>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</si>
  <si>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</si>
  <si>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</si>
  <si>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</si>
  <si>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</si>
  <si>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</si>
  <si>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</si>
  <si>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</si>
  <si>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</si>
  <si>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</si>
  <si>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</si>
  <si>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</si>
  <si>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</si>
  <si>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</si>
  <si>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</si>
  <si>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</si>
  <si>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</si>
  <si>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</si>
  <si>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</si>
  <si>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</si>
  <si>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</si>
  <si>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</si>
  <si>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</si>
  <si>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</si>
  <si>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</si>
  <si>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</si>
  <si>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</si>
  <si>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</si>
  <si>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</si>
  <si>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</si>
  <si>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</si>
  <si>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</si>
  <si>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</si>
  <si>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</si>
  <si>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</si>
  <si>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</si>
  <si>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</si>
  <si>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</si>
  <si>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</si>
  <si>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</si>
  <si>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</si>
  <si>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</si>
  <si>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</si>
  <si>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</si>
  <si>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</si>
  <si>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</si>
  <si>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</si>
  <si>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</si>
  <si>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</si>
  <si>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</si>
  <si>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</si>
  <si>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</si>
  <si>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</si>
  <si>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</si>
  <si>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</si>
  <si>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</si>
  <si>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</si>
  <si>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</si>
  <si>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</si>
  <si>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</si>
  <si>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</si>
  <si>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</si>
  <si>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</si>
  <si>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</si>
  <si>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</si>
  <si>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</si>
  <si>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</si>
  <si>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</si>
  <si>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</si>
  <si>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</si>
  <si>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</si>
  <si>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</si>
  <si>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</si>
  <si>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</si>
  <si>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</si>
  <si>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</si>
  <si>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</si>
  <si>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</si>
  <si>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</si>
  <si>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</si>
  <si>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</si>
  <si>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</si>
  <si>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</si>
  <si>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</si>
  <si>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</si>
  <si>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</si>
  <si>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</si>
  <si>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</si>
  <si>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</si>
  <si>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</si>
  <si>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</si>
  <si>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</si>
  <si>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</si>
  <si>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</si>
  <si>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</si>
  <si>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</si>
  <si>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</si>
  <si>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</si>
  <si>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</si>
  <si>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</si>
  <si>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</si>
  <si>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</si>
  <si>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</si>
  <si>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</si>
  <si>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</si>
  <si>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</si>
  <si>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</si>
  <si>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</si>
  <si>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</si>
  <si>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</si>
  <si>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</si>
  <si>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</si>
  <si>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</si>
  <si>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</si>
  <si>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</si>
  <si>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</si>
  <si>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</si>
  <si>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</si>
  <si>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</si>
  <si>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</si>
  <si>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</si>
  <si>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</si>
  <si>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</si>
  <si>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</si>
  <si>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</si>
  <si>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</si>
  <si>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</si>
  <si>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</si>
  <si>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</si>
  <si>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</si>
  <si>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</si>
  <si>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</si>
  <si>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</si>
  <si>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</si>
  <si>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</si>
  <si>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</si>
  <si>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</si>
  <si>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</si>
  <si>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</si>
  <si>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</si>
  <si>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</si>
  <si>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</si>
  <si>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</si>
  <si>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</si>
  <si>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</si>
  <si>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</si>
  <si>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</si>
  <si>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</si>
  <si>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</si>
  <si>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</si>
  <si>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</si>
  <si>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</si>
  <si>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</si>
  <si>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</si>
  <si>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</si>
  <si>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</si>
  <si>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</si>
  <si>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</si>
  <si>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</si>
  <si>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</si>
  <si>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</si>
  <si>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</si>
  <si>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</si>
  <si>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</si>
  <si>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</si>
  <si>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</si>
  <si>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</si>
  <si>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</si>
  <si>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</si>
  <si>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</si>
  <si>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</si>
  <si>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</si>
  <si>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</si>
  <si>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</si>
  <si>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</si>
  <si>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</si>
  <si>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</si>
  <si>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</si>
  <si>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</si>
  <si>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</si>
  <si>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</si>
  <si>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</si>
  <si>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</si>
  <si>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</si>
  <si>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</si>
  <si>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</si>
  <si>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</si>
  <si>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</si>
  <si>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</si>
  <si>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</si>
  <si>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</si>
  <si>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</si>
  <si>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</si>
  <si>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</si>
  <si>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</si>
  <si>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</si>
  <si>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</si>
  <si>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</si>
  <si>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</si>
  <si>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</si>
  <si>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</si>
  <si>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</si>
  <si>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</si>
  <si>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</si>
  <si>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</si>
  <si>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</si>
  <si>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</si>
  <si>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</si>
  <si>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</si>
  <si>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</si>
  <si>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</si>
  <si>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</si>
  <si>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</si>
  <si>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</si>
  <si>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</si>
  <si>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</si>
  <si>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</si>
  <si>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</si>
  <si>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</si>
  <si>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</si>
  <si>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</si>
  <si>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</si>
  <si>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</si>
  <si>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</si>
  <si>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</si>
  <si>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</si>
  <si>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</si>
  <si>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</si>
  <si>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</si>
  <si>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</si>
  <si>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</si>
  <si>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</si>
  <si>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</si>
  <si>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</si>
  <si>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</si>
  <si>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</si>
  <si>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</si>
  <si>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</si>
  <si>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</si>
  <si>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</si>
  <si>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</si>
  <si>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</si>
  <si>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</si>
  <si>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</si>
  <si>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</si>
  <si>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</si>
  <si>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</si>
  <si>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</si>
  <si>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</si>
  <si>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</si>
  <si>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</si>
  <si>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</si>
  <si>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</si>
  <si>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</si>
  <si>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</si>
  <si>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</si>
  <si>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</si>
  <si>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</si>
  <si>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</si>
  <si>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</si>
  <si>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</si>
  <si>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</si>
  <si>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</si>
  <si>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</si>
  <si>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</si>
  <si>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</si>
  <si>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</si>
  <si>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</si>
  <si>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</si>
  <si>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</si>
  <si>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</si>
  <si>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</si>
  <si>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</si>
  <si>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</si>
  <si>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</si>
  <si>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</si>
  <si>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</si>
  <si>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</si>
  <si>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</si>
  <si>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</si>
  <si>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</si>
  <si>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</si>
  <si>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</si>
  <si>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</si>
  <si>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</si>
  <si>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</si>
  <si>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</si>
  <si>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</si>
  <si>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</si>
  <si>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</si>
  <si>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</si>
  <si>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</si>
  <si>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</si>
  <si>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</si>
  <si>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</si>
  <si>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</si>
  <si>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</si>
  <si>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</si>
  <si>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</si>
  <si>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</si>
  <si>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</si>
  <si>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</si>
  <si>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</si>
  <si>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</si>
  <si>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</si>
  <si>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</si>
  <si>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</si>
  <si>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</si>
  <si>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</si>
  <si>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</si>
  <si>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</si>
  <si>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</si>
  <si>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</si>
  <si>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</si>
  <si>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</si>
  <si>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</si>
  <si>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</si>
  <si>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</si>
  <si>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</si>
  <si>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</si>
  <si>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</si>
  <si>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</si>
  <si>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</si>
  <si>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</si>
  <si>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</si>
  <si>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</si>
  <si>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</si>
  <si>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</si>
  <si>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</si>
  <si>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</si>
  <si>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</si>
  <si>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</si>
  <si>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</si>
  <si>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</si>
  <si>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</si>
  <si>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</si>
  <si>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</si>
  <si>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</si>
  <si>
    <t>6ab75082adfb4239b44a3df6</t>
  </si>
  <si>
    <t>25/09/2026 23:01:11</t>
  </si>
  <si>
    <t>26/09/2026 01:56:34</t>
  </si>
  <si>
    <t>25/09/2026</t>
  </si>
  <si>
    <t>Data  de validade e produção estão de acordo,
Selagem está conforme,
Caixa está sem rasgos e seca</t>
  </si>
  <si>
    <t>6ab75082adfb4239b44a3de4</t>
  </si>
  <si>
    <t>25/09/2026 21:28:25</t>
  </si>
  <si>
    <t>6ab75082adfb4239b44a3dcc</t>
  </si>
  <si>
    <t>25/09/2026 18:26:56</t>
  </si>
  <si>
    <t>Retirou a Cartilagem,
Usou o garfo na retirada de Sassami,
Riscou o Sassami em X</t>
  </si>
  <si>
    <t>6ab75081adfb4239b44a3d8e</t>
  </si>
  <si>
    <t>25/09/2026 16:42:15</t>
  </si>
  <si>
    <t>26/09/2026 01:56:33</t>
  </si>
  <si>
    <t>6abb47842d48c2171f434104</t>
  </si>
  <si>
    <t>28/09/2026 23:05:38</t>
  </si>
  <si>
    <t>29/09/2026 02:07:16</t>
  </si>
  <si>
    <t>28/09/2026</t>
  </si>
  <si>
    <t>6abb47842d48c2171f4340ce</t>
  </si>
  <si>
    <t>28/09/2026 21:34:08</t>
  </si>
  <si>
    <t>6abb47832d48c2171f4340b6</t>
  </si>
  <si>
    <t>28/09/2026 18:12:11</t>
  </si>
  <si>
    <t>29/09/2026 02:07:15</t>
  </si>
  <si>
    <t>6abb47832d48c2171f43408a</t>
  </si>
  <si>
    <t>28/09/2026 16:36:00</t>
  </si>
  <si>
    <t>6abc9cb798694d34bda8dde7</t>
  </si>
  <si>
    <t>29/09/2026 22:57:58</t>
  </si>
  <si>
    <t>30/09/2026 02:23:03</t>
  </si>
  <si>
    <t>29/09/2026</t>
  </si>
  <si>
    <t>6abc9cb798694d34bda8ddc7</t>
  </si>
  <si>
    <t>29/09/2026 21:29:21</t>
  </si>
  <si>
    <t>6abc9cb698694d34bda8dda3</t>
  </si>
  <si>
    <t>29/09/2026 18:25:22</t>
  </si>
  <si>
    <t>30/09/2026 02:23:02</t>
  </si>
  <si>
    <t>6abc9cb698694d34bda8dd6d</t>
  </si>
  <si>
    <t>29/09/2026 16:30:41</t>
  </si>
  <si>
    <t>6abdeedbfa7807c931a7e3da</t>
  </si>
  <si>
    <t>30/09/2026 22:49:18</t>
  </si>
  <si>
    <t>01/10/2026 02:25:47</t>
  </si>
  <si>
    <t>30/09/2026</t>
  </si>
  <si>
    <t>6abdeedbfa7807c931a7e3b6</t>
  </si>
  <si>
    <t>30/09/2026 21:38:27</t>
  </si>
  <si>
    <t>6abdeedafa7807c931a7e384</t>
  </si>
  <si>
    <t>30/09/2026 18:21:27</t>
  </si>
  <si>
    <t>01/10/2026 02:25:46</t>
  </si>
  <si>
    <t>6abdeed9fa7807c931a7e35a</t>
  </si>
  <si>
    <t>30/09/2026 16:17:37</t>
  </si>
  <si>
    <t>01/10/2026 02:25:45</t>
  </si>
  <si>
    <t>6abf3ad13cf16866fa6660ab</t>
  </si>
  <si>
    <t>01/10/2026 18:16:45</t>
  </si>
  <si>
    <t>02/10/2026 02:02:09</t>
  </si>
  <si>
    <t>01/10/2026</t>
  </si>
  <si>
    <t>Riscou o Sassami em X,
Retirou a Cartilagem,
Usou o garfo na retirada de Sassami</t>
  </si>
  <si>
    <t>6abf3abcfeff8ad157fab5a9</t>
  </si>
  <si>
    <t>01/10/2026 22:47:10</t>
  </si>
  <si>
    <t>02/10/2026 02:01:48</t>
  </si>
  <si>
    <t>6abf3abbfeff8ad157fab57f</t>
  </si>
  <si>
    <t>01/10/2026 21:19:14</t>
  </si>
  <si>
    <t>02/10/2026 02:01:47</t>
  </si>
  <si>
    <t>6abf3abbfeff8ad157fab53b</t>
  </si>
  <si>
    <t>01/10/2026 16:29:31</t>
  </si>
  <si>
    <t>6ac486f64854db7e48d93b2c</t>
  </si>
  <si>
    <t>05/10/2026 22:12:51</t>
  </si>
  <si>
    <t>06/10/2026 02:28:22</t>
  </si>
  <si>
    <t>05/10/2026</t>
  </si>
  <si>
    <t>6ac486f54854db7e48d93b26</t>
  </si>
  <si>
    <t>05/10/2026 21:29:15</t>
  </si>
  <si>
    <t>06/10/2026 02:28:21</t>
  </si>
  <si>
    <t>6ac486f54854db7e48d93ad0</t>
  </si>
  <si>
    <t>05/10/2026 16:07:05</t>
  </si>
  <si>
    <t>6ac093aadb68f2f72a0ff083</t>
  </si>
  <si>
    <t>02/10/2026 22:34:52</t>
  </si>
  <si>
    <t>03/10/2026 02:33:30</t>
  </si>
  <si>
    <t>02/10/2026</t>
  </si>
  <si>
    <t>6ac093aadb68f2f72a0ff053</t>
  </si>
  <si>
    <t>02/10/2026 20:46:53</t>
  </si>
  <si>
    <t>6ac093a9db68f2f72a0ff047</t>
  </si>
  <si>
    <t>02/10/2026 18:34:53</t>
  </si>
  <si>
    <t>03/10/2026 02:33:29</t>
  </si>
  <si>
    <t>6ac093a9db68f2f72a0ff01d</t>
  </si>
  <si>
    <t>02/10/2026 16:21:35</t>
  </si>
  <si>
    <t>6ac7793df6baa94e5914b017</t>
  </si>
  <si>
    <t>07/10/2026 21:53:55</t>
  </si>
  <si>
    <t>08/10/2026 08:06:37</t>
  </si>
  <si>
    <t>07/10/2026</t>
  </si>
  <si>
    <t>6ac7793cf6baa94e5914b011</t>
  </si>
  <si>
    <t>07/10/2026 17:30:47</t>
  </si>
  <si>
    <t>08/10/2026 08:06:36</t>
  </si>
  <si>
    <t>6ac77861486c261c1cacc928</t>
  </si>
  <si>
    <t>07/10/2026 20:40:30</t>
  </si>
  <si>
    <t>08/10/2026 08:02:57</t>
  </si>
  <si>
    <t>6ac77861486c261c1cacc916</t>
  </si>
  <si>
    <t>07/10/2026 16:21:03</t>
  </si>
  <si>
    <t>6ac5da49636e383ab3c2e97e</t>
  </si>
  <si>
    <t>06/10/2026 22:00:17</t>
  </si>
  <si>
    <t>07/10/2026 02:36:09</t>
  </si>
  <si>
    <t>06/10/2026</t>
  </si>
  <si>
    <t>6ac5da49636e383ab3c2e978</t>
  </si>
  <si>
    <t>06/10/2026 21:22:17</t>
  </si>
  <si>
    <t>6ac5da48636e383ab3c2e948</t>
  </si>
  <si>
    <t>06/10/2026 17:33:08</t>
  </si>
  <si>
    <t>07/10/2026 02:36:08</t>
  </si>
  <si>
    <t>6ac5da48636e383ab3c2e92a</t>
  </si>
  <si>
    <t>06/10/2026 16:22:08</t>
  </si>
  <si>
    <t>6ac9cdb20fd30db1b9055a0f</t>
  </si>
  <si>
    <t>09/10/2026 21:59:05</t>
  </si>
  <si>
    <t>10/10/2026 02:31:30</t>
  </si>
  <si>
    <t>09/10/2026</t>
  </si>
  <si>
    <t>6ac9cdb10fd30db1b90559c7</t>
  </si>
  <si>
    <t>09/10/2026 20:02:07</t>
  </si>
  <si>
    <t>10/10/2026 02:31:29</t>
  </si>
  <si>
    <t>6ac9cdb10fd30db1b90559c1</t>
  </si>
  <si>
    <t>09/10/2026 17:24:19</t>
  </si>
  <si>
    <t>6ac9cdb00fd30db1b90559af</t>
  </si>
  <si>
    <t>09/10/2026 16:19:11</t>
  </si>
  <si>
    <t>10/10/2026 02:31:28</t>
  </si>
  <si>
    <t>6ac877fc898c48a2f44ba6df</t>
  </si>
  <si>
    <t>08/10/2026 22:09:42</t>
  </si>
  <si>
    <t>09/10/2026 02:13:32</t>
  </si>
  <si>
    <t>08/10/2026</t>
  </si>
  <si>
    <t>6ac877fb898c48a2f44ba6d9</t>
  </si>
  <si>
    <t>08/10/2026 21:24:19</t>
  </si>
  <si>
    <t>09/10/2026 02:13:31</t>
  </si>
  <si>
    <t>6ac877fb898c48a2f44ba6b3</t>
  </si>
  <si>
    <t>08/10/2026 18:21:26</t>
  </si>
  <si>
    <t>6ac877fb898c48a2f44ba695</t>
  </si>
  <si>
    <t>08/10/2026 16:37:53</t>
  </si>
  <si>
    <t>6acf1420493a357f397acf4c</t>
  </si>
  <si>
    <t>13/10/2026 21:48:46</t>
  </si>
  <si>
    <t>14/10/2026 02:33:20</t>
  </si>
  <si>
    <t>13/10/2026</t>
  </si>
  <si>
    <t>6acf141f493a357f397acf34</t>
  </si>
  <si>
    <t>13/10/2026 16:31:23</t>
  </si>
  <si>
    <t>14/10/2026 02:33:19</t>
  </si>
  <si>
    <t>Selagem está conforme,
Data  de validade e produção estão de acordo,
Caixa está sem rasgos e seca,
Acomodação do produto está conforme especificação</t>
  </si>
  <si>
    <t>6ace77b3c20d59001b8d8559</t>
  </si>
  <si>
    <t>6aca909ad49d84f0cecb84c8</t>
  </si>
  <si>
    <t>6ac92f8578034b104e289a30</t>
  </si>
  <si>
    <t>6ac7dc6878034b104e266dae</t>
  </si>
  <si>
    <t>6ac68cbf9334db7c8a10c4f7</t>
  </si>
  <si>
    <t>6ac53b984854db7e48dab8aa</t>
  </si>
  <si>
    <t>6ac02b8f78034b104e192962</t>
  </si>
  <si>
    <t>6abfef87826700b8f0e31376</t>
  </si>
  <si>
    <t>6abea1ed748e9cff8cf2a1bb</t>
  </si>
  <si>
    <t>6abd5685a48ad3e47d9bed6e</t>
  </si>
  <si>
    <t>6abc05ee5255bb2a510525a1</t>
  </si>
  <si>
    <t>6abab652e92aaaa972c8c54e</t>
  </si>
  <si>
    <t>6ab6db490289b29ebe89060d</t>
  </si>
  <si>
    <t>6ab69fe35255bb2a51fe7559</t>
  </si>
  <si>
    <t>6ab58492e3b3b33e06ed3cf0</t>
  </si>
  <si>
    <t>24/09/2026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</si>
</sst>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9" fontId="5" fillId="6" borderId="3" xfId="0" applyNumberFormat="1" applyFont="1" applyFill="1" applyBorder="1" applyAlignment="1">
      <alignment horizontal="center" vertical="center"/>
    </xf>
    <xf numFmtId="0" fontId="0" fillId="0" borderId="0" xfId="0" pivotButton="1" applyAlignment="1">
      <alignment horizontal="center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309.44171712963" createdVersion="5" refreshedVersion="5" minRefreshableVersion="3" recordCount="231">
  <cacheSource type="worksheet">
    <worksheetSource name="Tabela1" r:id="rId2"/>
  </cacheSource>
  <cacheFields count="38">
    <cacheField name="Mês" numFmtId="0">
      <sharedItems count="10">
        <s v="JAN"/>
        <s v="FEV"/>
        <s v="MAR"/>
        <s v="ABR"/>
        <s v="MAI"/>
        <s v="JUN"/>
        <s v="JUL"/>
        <s v="AGO"/>
        <s v="SET"/>
        <s v="OU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54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  <s v="25/09/2026"/>
        <s v="28/09/2026"/>
        <s v="29/09/2026"/>
        <s v="30/09/2026"/>
        <s v="01/10/2026"/>
        <s v="05/10/2026"/>
        <s v="02/10/2026"/>
        <s v="07/10/2026"/>
        <s v="06/10/2026"/>
        <s v="09/10/2026"/>
        <s v="08/10/2026"/>
        <s v="13/10/2026"/>
        <s v="24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0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90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37"/>
    </cacheField>
    <cacheField name="Carne no Osso Perna Esquerda" numFmtId="0">
      <sharedItems containsBlank="1" containsMixedTypes="1" containsNumber="1" containsInteger="1" minValue="5" maxValue="58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  <r>
    <x v="8"/>
    <s v="6ab75082adfb4239b44a3df6"/>
    <s v="25/09/2026 23:01:11"/>
    <s v="26/09/2026 01:56:34"/>
    <s v="Ranieli"/>
    <x v="41"/>
    <n v="2"/>
    <s v=""/>
    <n v="7"/>
    <n v="7"/>
    <n v="5"/>
    <n v="37"/>
    <n v="75"/>
    <n v="63"/>
    <n v="25"/>
    <n v="7"/>
    <n v="7"/>
    <n v="7"/>
    <n v="7"/>
    <n v="7"/>
    <n v="5"/>
    <s v="Riscou o Sassami em X,_x000a_Usou o garfo na retirada de Sassami,_x000a_Retirou a Cartilagem"/>
    <s v=""/>
    <s v=""/>
    <s v=""/>
    <s v=""/>
    <n v="55"/>
    <n v="5"/>
    <n v="27.500000000000004"/>
    <n v="75"/>
    <n v="4"/>
    <n v="20"/>
    <n v="5"/>
    <n v="40762"/>
    <s v="Data  de validade e produção estão de acordo,_x000a_Selagem está conforme,_x000a_Caixa está sem rasgos e seca"/>
    <s v="assinatura"/>
    <s v="assinatura"/>
    <n v="6547"/>
  </r>
  <r>
    <x v="8"/>
    <s v="6ab75082adfb4239b44a3de4"/>
    <s v="25/09/2026 21:28:25"/>
    <s v="26/09/2026 01:56:34"/>
    <s v="Ranieli"/>
    <x v="41"/>
    <n v="2"/>
    <s v=""/>
    <n v="7"/>
    <n v="5"/>
    <n v="5"/>
    <n v="27"/>
    <n v="53"/>
    <n v="73"/>
    <n v="47"/>
    <n v="7"/>
    <n v="7"/>
    <n v="7"/>
    <n v="7"/>
    <n v="7"/>
    <n v="7"/>
    <s v="Riscou o Sassami em X,_x000a_Usou o garfo na retirada de Sassami,_x000a_Retirou a Cartilagem"/>
    <s v=""/>
    <s v=""/>
    <s v=""/>
    <s v=""/>
    <n v="47"/>
    <n v="4"/>
    <n v="23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678"/>
  </r>
  <r>
    <x v="8"/>
    <s v="6ab75082adfb4239b44a3dcc"/>
    <s v="25/09/2026 18:26:56"/>
    <s v="26/09/2026 01:56:34"/>
    <s v="Ranieli"/>
    <x v="41"/>
    <n v="2"/>
    <n v="7"/>
    <n v="7"/>
    <n v="7"/>
    <n v="5"/>
    <n v="19"/>
    <n v="52"/>
    <n v="81"/>
    <n v="48"/>
    <n v="5"/>
    <n v="7"/>
    <n v="7"/>
    <n v="7"/>
    <n v="7"/>
    <n v="5"/>
    <s v="Retirou a Cartilagem,_x000a_Usou o garfo na retirada de Sassami,_x000a_Riscou o Sassami em X"/>
    <s v=""/>
    <s v=""/>
    <s v=""/>
    <s v=""/>
    <n v="46"/>
    <n v="4"/>
    <n v="23"/>
    <n v="8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803"/>
  </r>
  <r>
    <x v="8"/>
    <s v="6ab75081adfb4239b44a3d8e"/>
    <s v="25/09/2026 16:42:15"/>
    <s v="26/09/2026 01:56:33"/>
    <s v="Ranieli"/>
    <x v="41"/>
    <n v="2"/>
    <n v="7"/>
    <n v="7"/>
    <n v="5"/>
    <n v="5"/>
    <n v="9"/>
    <n v="49"/>
    <n v="91"/>
    <n v="51"/>
    <n v="7"/>
    <n v="7"/>
    <n v="7"/>
    <n v="7"/>
    <n v="7"/>
    <n v="5"/>
    <s v="Riscou o Sassami em X,_x000a_Usou o garfo na retirada de Sassami,_x000a_Retirou a Cartilagem"/>
    <n v="5"/>
    <n v="7"/>
    <n v="65"/>
    <n v="32.5"/>
    <n v="46"/>
    <n v="6"/>
    <n v="23"/>
    <n v="70"/>
    <n v="5"/>
    <n v="25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814"/>
  </r>
  <r>
    <x v="8"/>
    <s v="6abb47842d48c2171f434104"/>
    <s v="28/09/2026 23:05:38"/>
    <s v="29/09/2026 02:07:16"/>
    <s v="Ranieli"/>
    <x v="42"/>
    <n v="2"/>
    <n v="7"/>
    <n v="7"/>
    <n v="7"/>
    <n v="5"/>
    <n v="38"/>
    <n v="27"/>
    <n v="62"/>
    <n v="73"/>
    <n v="7"/>
    <n v="7"/>
    <n v="7"/>
    <n v="7"/>
    <n v="7"/>
    <n v="7"/>
    <s v="Riscou o Sassami em X,_x000a_Retirou a Cartilagem"/>
    <n v="7"/>
    <n v="7"/>
    <n v="73"/>
    <n v="36.5"/>
    <n v="57"/>
    <n v="6"/>
    <n v="28.499999999999996"/>
    <n v="70"/>
    <n v="4"/>
    <n v="20"/>
    <s v=""/>
    <n v="992093"/>
    <s v="Acomodação do produto está conforme especificação,_x000a_Caixa está sem rasgos e seca,_x000a_Data  de validade e produção estão de acordo,_x000a_Selagem está conforme"/>
    <s v="assinatura"/>
    <s v="assinatura"/>
    <n v="6358"/>
  </r>
  <r>
    <x v="8"/>
    <s v="6abb47842d48c2171f4340ce"/>
    <s v="28/09/2026 21:34:08"/>
    <s v="29/09/2026 02:07:16"/>
    <s v="Ranieli"/>
    <x v="42"/>
    <n v="2"/>
    <n v="7"/>
    <n v="7"/>
    <n v="7"/>
    <n v="7"/>
    <n v="18"/>
    <n v="24"/>
    <n v="82"/>
    <n v="76"/>
    <n v="7"/>
    <n v="7"/>
    <n v="7"/>
    <n v="7"/>
    <n v="7"/>
    <n v="7"/>
    <s v="Riscou o Sassami em X,_x000a_Retirou a Cartilagem"/>
    <n v="7"/>
    <n v="7"/>
    <n v="70"/>
    <n v="35"/>
    <n v="38"/>
    <n v="5"/>
    <n v="19"/>
    <n v="75"/>
    <n v="5"/>
    <n v="25"/>
    <n v="7"/>
    <s v=""/>
    <s v="Caixa está sem rasgos e seca,_x000a_Data  de validade e produção estão de acordo,_x000a_Selagem está conforme"/>
    <s v="assinatura"/>
    <s v="assinatura"/>
    <n v="3221"/>
  </r>
  <r>
    <x v="8"/>
    <s v="6abb47832d48c2171f4340b6"/>
    <s v="28/09/2026 18:12:11"/>
    <s v="29/09/2026 02:07:15"/>
    <s v="Ranieli"/>
    <x v="42"/>
    <n v="2"/>
    <n v="7"/>
    <n v="7"/>
    <n v="7"/>
    <n v="5"/>
    <n v="28"/>
    <n v="14"/>
    <n v="72"/>
    <n v="86"/>
    <n v="7"/>
    <n v="7"/>
    <n v="7"/>
    <n v="7"/>
    <n v="7"/>
    <s v=""/>
    <s v="Riscou o Sassami em X,_x000a_Usou o garfo na retirada de Sassami,_x000a_Retirou a Cartilagem"/>
    <n v="7"/>
    <n v="7"/>
    <n v="55"/>
    <n v="27.500000000000004"/>
    <n v="44"/>
    <n v="4"/>
    <n v="22"/>
    <n v="80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211"/>
  </r>
  <r>
    <x v="8"/>
    <s v="6abb47832d48c2171f43408a"/>
    <s v="28/09/2026 16:36:00"/>
    <s v="29/09/2026 02:07:15"/>
    <s v="Ranieli"/>
    <x v="42"/>
    <n v="2"/>
    <n v="7"/>
    <n v="7"/>
    <n v="7"/>
    <n v="5"/>
    <n v="18"/>
    <n v="24"/>
    <n v="82"/>
    <n v="76"/>
    <n v="7"/>
    <n v="7"/>
    <n v="5"/>
    <n v="7"/>
    <n v="7"/>
    <n v="7"/>
    <s v="Riscou o Sassami em X,_x000a_Usou o garfo na retirada de Sassami,_x000a_Retirou a Cartilagem"/>
    <s v=""/>
    <s v=""/>
    <s v=""/>
    <s v=""/>
    <n v="37"/>
    <n v="6"/>
    <n v="18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926"/>
  </r>
  <r>
    <x v="8"/>
    <s v="6abc9cb798694d34bda8dde7"/>
    <s v="29/09/2026 22:57:58"/>
    <s v="30/09/2026 02:23:03"/>
    <s v="Ranieli"/>
    <x v="43"/>
    <n v="2"/>
    <n v="5"/>
    <n v="10"/>
    <n v="7"/>
    <n v="5"/>
    <n v="21"/>
    <n v="33"/>
    <n v="79"/>
    <n v="67"/>
    <n v="7"/>
    <n v="7"/>
    <n v="7"/>
    <n v="7"/>
    <n v="7"/>
    <n v="7"/>
    <s v="Riscou o Sassami em X,_x000a_Usou o garfo na retirada de Sassami,_x000a_Retirou a Cartilagem"/>
    <n v="7"/>
    <n v="7"/>
    <n v="45"/>
    <n v="22.5"/>
    <n v="44"/>
    <n v="8"/>
    <n v="22"/>
    <n v="60"/>
    <n v="4"/>
    <n v="20"/>
    <n v="5"/>
    <n v="42854"/>
    <s v="Caixa está sem rasgos e seca,_x000a_Data  de validade e produção estão de acordo,_x000a_Selagem está conforme"/>
    <s v="assinatura"/>
    <s v="assinatura"/>
    <n v="8964"/>
  </r>
  <r>
    <x v="8"/>
    <s v="6abc9cb798694d34bda8ddc7"/>
    <s v="29/09/2026 21:29:21"/>
    <s v="30/09/2026 02:23:03"/>
    <s v="Ranieli"/>
    <x v="43"/>
    <n v="2"/>
    <n v="5"/>
    <n v="10"/>
    <n v="7"/>
    <n v="5"/>
    <n v="29"/>
    <n v="70"/>
    <n v="71"/>
    <n v="30"/>
    <n v="7"/>
    <n v="7"/>
    <n v="7"/>
    <n v="7"/>
    <n v="7"/>
    <n v="5"/>
    <s v="Retirou a Cartilagem,_x000a_Usou o garfo na retirada de Sassami,_x000a_Riscou o Sassami em X"/>
    <n v="7"/>
    <n v="7"/>
    <n v="36"/>
    <n v="18"/>
    <n v="49"/>
    <n v="5"/>
    <n v="24.5"/>
    <n v="75"/>
    <n v="3"/>
    <n v="15"/>
    <n v="7"/>
    <n v="40762"/>
    <s v="Caixa está sem rasgos e seca,_x000a_Data  de validade e produção estão de acordo,_x000a_Selagem está conforme"/>
    <s v="assinatura"/>
    <s v="assinatura"/>
    <n v="14121"/>
  </r>
  <r>
    <x v="8"/>
    <s v="6abc9cb698694d34bda8dda3"/>
    <s v="29/09/2026 18:25:22"/>
    <s v="30/09/2026 02:23:02"/>
    <s v="Ranieli"/>
    <x v="43"/>
    <n v="2"/>
    <n v="7"/>
    <n v="10"/>
    <n v="7"/>
    <n v="5"/>
    <n v="19"/>
    <n v="31"/>
    <n v="81"/>
    <n v="69"/>
    <n v="5"/>
    <n v="7"/>
    <n v="7"/>
    <n v="7"/>
    <n v="7"/>
    <n v="7"/>
    <s v="Riscou o Sassami em X,_x000a_Retirou a Cartilagem"/>
    <s v=""/>
    <s v=""/>
    <n v="56"/>
    <n v="28.000000000000004"/>
    <n v="45"/>
    <n v="8"/>
    <n v="22.5"/>
    <n v="60"/>
    <n v="3"/>
    <n v="15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24877"/>
  </r>
  <r>
    <x v="8"/>
    <s v="6abc9cb698694d34bda8dd6d"/>
    <s v="29/09/2026 16:30:41"/>
    <s v="30/09/2026 02:23:02"/>
    <s v="Ranieli"/>
    <x v="43"/>
    <n v="2"/>
    <n v="7"/>
    <n v="10"/>
    <n v="5"/>
    <n v="5"/>
    <n v="43"/>
    <n v="14"/>
    <n v="57"/>
    <n v="86"/>
    <n v="7"/>
    <n v="7"/>
    <n v="7"/>
    <n v="7"/>
    <n v="7"/>
    <n v="7"/>
    <s v="Riscou o Sassami em X,_x000a_Usou o garfo na retirada de Sassami,_x000a_Retirou a Cartilagem"/>
    <n v="10"/>
    <n v="7"/>
    <n v="44"/>
    <n v="22"/>
    <n v="34"/>
    <n v="7"/>
    <n v="17"/>
    <n v="6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1477"/>
  </r>
  <r>
    <x v="8"/>
    <s v="6abdeedbfa7807c931a7e3da"/>
    <s v="30/09/2026 22:49:18"/>
    <s v="01/10/2026 02:25:47"/>
    <s v="Ranieli"/>
    <x v="44"/>
    <n v="2"/>
    <n v="7"/>
    <n v="7"/>
    <n v="7"/>
    <n v="5"/>
    <n v="29"/>
    <n v="38"/>
    <n v="71"/>
    <n v="62"/>
    <n v="7"/>
    <n v="7"/>
    <n v="7"/>
    <n v="7"/>
    <n v="7"/>
    <n v="7"/>
    <s v="Riscou o Sassami em X,_x000a_Retirou a Cartilagem"/>
    <n v="7"/>
    <n v="7"/>
    <n v="52"/>
    <n v="26"/>
    <n v="57"/>
    <n v="6"/>
    <n v="28.499999999999996"/>
    <n v="70"/>
    <n v="4"/>
    <n v="20"/>
    <n v="7"/>
    <n v="40762"/>
    <s v="Caixa está sem rasgos e seca,_x000a_Data  de validade e produção estão de acordo,_x000a_Selagem está conforme"/>
    <s v="assinatura"/>
    <s v="assinatura"/>
    <n v="8910"/>
  </r>
  <r>
    <x v="8"/>
    <s v="6abdeedbfa7807c931a7e3b6"/>
    <s v="30/09/2026 21:38:27"/>
    <s v="01/10/2026 02:25:47"/>
    <s v="Ranieli"/>
    <x v="44"/>
    <n v="2"/>
    <n v="7"/>
    <n v="7"/>
    <n v="7"/>
    <n v="5"/>
    <n v="25"/>
    <n v="46"/>
    <n v="75"/>
    <n v="54"/>
    <n v="5"/>
    <n v="7"/>
    <n v="7"/>
    <n v="7"/>
    <n v="7"/>
    <s v=""/>
    <s v="Riscou o Sassami em X,_x000a_Retirou a Cartilagem"/>
    <s v=""/>
    <s v=""/>
    <n v="60"/>
    <n v="30"/>
    <n v="46"/>
    <n v="4"/>
    <n v="23"/>
    <n v="80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3013"/>
  </r>
  <r>
    <x v="8"/>
    <s v="6abdeedafa7807c931a7e384"/>
    <s v="30/09/2026 18:21:27"/>
    <s v="01/10/2026 02:25:46"/>
    <s v="Ranieli"/>
    <x v="44"/>
    <n v="2"/>
    <n v="7"/>
    <n v="7"/>
    <n v="7"/>
    <n v="5"/>
    <n v="29"/>
    <n v="46"/>
    <n v="71"/>
    <n v="54"/>
    <n v="5"/>
    <n v="7"/>
    <n v="7"/>
    <n v="7"/>
    <n v="7"/>
    <n v="7"/>
    <s v="Riscou o Sassami em X,_x000a_Retirou a Cartilagem"/>
    <n v="7"/>
    <n v="7"/>
    <n v="47"/>
    <n v="23.5"/>
    <n v="44"/>
    <n v="5"/>
    <n v="22"/>
    <n v="75"/>
    <n v="4"/>
    <n v="20"/>
    <n v="7"/>
    <n v="42846"/>
    <s v="Caixa está sem rasgos e seca,_x000a_Data  de validade e produção estão de acordo,_x000a_Selagem está conforme"/>
    <s v="assinatura"/>
    <s v="assinatura"/>
    <n v="24684"/>
  </r>
  <r>
    <x v="8"/>
    <s v="6abdeed9fa7807c931a7e35a"/>
    <s v="30/09/2026 16:17:37"/>
    <s v="01/10/2026 02:25:45"/>
    <s v="Ranieli"/>
    <x v="44"/>
    <n v="2"/>
    <n v="7"/>
    <n v="10"/>
    <n v="5"/>
    <n v="5"/>
    <n v="22"/>
    <n v="53"/>
    <n v="78"/>
    <n v="47"/>
    <n v="5"/>
    <n v="7"/>
    <n v="7"/>
    <n v="7"/>
    <n v="7"/>
    <n v="7"/>
    <s v="Riscou o Sassami em X,_x000a_Retirou a Cartilagem"/>
    <n v="7"/>
    <n v="10"/>
    <n v="53"/>
    <n v="26.5"/>
    <n v="49"/>
    <n v="6"/>
    <n v="24.5"/>
    <n v="70"/>
    <n v="3"/>
    <n v="1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981"/>
  </r>
  <r>
    <x v="9"/>
    <s v="6abf3ad13cf16866fa6660ab"/>
    <s v="01/10/2026 18:16:45"/>
    <s v="02/10/2026 02:02:09"/>
    <s v="Ranieli"/>
    <x v="45"/>
    <n v="2"/>
    <n v="7"/>
    <n v="7"/>
    <n v="7"/>
    <n v="5"/>
    <n v="22"/>
    <n v="37"/>
    <n v="78"/>
    <n v="63"/>
    <n v="5"/>
    <n v="7"/>
    <n v="7"/>
    <n v="7"/>
    <n v="7"/>
    <n v="7"/>
    <s v="Riscou o Sassami em X,_x000a_Retirou a Cartilagem,_x000a_Usou o garfo na retirada de Sassami"/>
    <s v=""/>
    <s v=""/>
    <n v="45"/>
    <n v="22.5"/>
    <n v="53"/>
    <n v="6"/>
    <n v="26.5"/>
    <n v="70"/>
    <n v="2"/>
    <n v="1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7921"/>
  </r>
  <r>
    <x v="9"/>
    <s v="6abf3abcfeff8ad157fab5a9"/>
    <s v="01/10/2026 22:47:10"/>
    <s v="02/10/2026 02:01:48"/>
    <s v="Ranieli"/>
    <x v="45"/>
    <n v="2"/>
    <n v="7"/>
    <n v="10"/>
    <n v="7"/>
    <n v="5"/>
    <n v="14"/>
    <n v="10"/>
    <n v="86"/>
    <n v="90"/>
    <n v="5"/>
    <n v="10"/>
    <n v="7"/>
    <n v="7"/>
    <n v="7"/>
    <n v="7"/>
    <s v="Riscou o Sassami em X,_x000a_Retirou a Cartilagem"/>
    <n v="7"/>
    <n v="7"/>
    <n v="60"/>
    <n v="30"/>
    <n v="56"/>
    <n v="6"/>
    <n v="28.000000000000004"/>
    <n v="70"/>
    <n v="3"/>
    <n v="15"/>
    <n v="7"/>
    <n v="42846"/>
    <s v="Caixa está sem rasgos e seca,_x000a_Selagem está conforme"/>
    <s v="assinatura"/>
    <s v="assinatura"/>
    <n v="11519"/>
  </r>
  <r>
    <x v="9"/>
    <s v="6abf3abbfeff8ad157fab57f"/>
    <s v="01/10/2026 21:19:14"/>
    <s v="02/10/2026 02:01:47"/>
    <s v="Ranieli"/>
    <x v="45"/>
    <n v="2"/>
    <n v="7"/>
    <n v="10"/>
    <n v="7"/>
    <n v="7"/>
    <n v="22"/>
    <n v="19"/>
    <n v="78"/>
    <n v="81"/>
    <n v="7"/>
    <n v="7"/>
    <n v="7"/>
    <n v="7"/>
    <n v="7"/>
    <n v="5"/>
    <s v="Riscou o Sassami em X,_x000a_Retirou a Cartilagem"/>
    <n v="10"/>
    <n v="7"/>
    <n v="76"/>
    <n v="38"/>
    <n v="51"/>
    <n v="6"/>
    <n v="25.5"/>
    <n v="70"/>
    <n v="3"/>
    <n v="1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144"/>
  </r>
  <r>
    <x v="9"/>
    <s v="6abf3abbfeff8ad157fab53b"/>
    <s v="01/10/2026 16:29:31"/>
    <s v="02/10/2026 02:01:47"/>
    <s v="Ranieli"/>
    <x v="4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s v=""/>
    <s v=""/>
    <s v=""/>
    <s v=""/>
    <n v="51"/>
    <n v="8"/>
    <n v="25.5"/>
    <n v="60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4249"/>
  </r>
  <r>
    <x v="9"/>
    <s v="6ac486f64854db7e48d93b2c"/>
    <s v="05/10/2026 22:12:51"/>
    <s v="06/10/2026 02:28:22"/>
    <s v="Ranieli"/>
    <x v="46"/>
    <n v="2"/>
    <n v="7"/>
    <n v="7"/>
    <n v="7"/>
    <n v="5"/>
    <n v="22"/>
    <n v="19"/>
    <n v="78"/>
    <n v="81"/>
    <n v="7"/>
    <n v="7"/>
    <n v="7"/>
    <n v="7"/>
    <n v="7"/>
    <n v="7"/>
    <s v="Riscou o Sassami em X,_x000a_Usou o garfo na retirada de Sassami,_x000a_Retirou a Cartilagem"/>
    <n v="7"/>
    <n v="7"/>
    <n v="39"/>
    <n v="19.5"/>
    <n v="48"/>
    <n v="6"/>
    <n v="24"/>
    <n v="70"/>
    <n v="3"/>
    <n v="15"/>
    <n v="7"/>
    <n v="42641"/>
    <s v="Acomodação do produto está conforme especificação,_x000a_Selagem está conforme,_x000a_Data  de validade e produção estão de acordo,_x000a_Caixa está sem rasgos e seca"/>
    <s v="assinatura"/>
    <s v="assinatura"/>
    <n v="11403"/>
  </r>
  <r>
    <x v="9"/>
    <s v="6ac486f54854db7e48d93b26"/>
    <s v="05/10/2026 21:29:15"/>
    <s v="06/10/2026 02:28:21"/>
    <s v="Ranieli"/>
    <x v="46"/>
    <n v="2"/>
    <n v="7"/>
    <n v="7"/>
    <n v="7"/>
    <n v="5"/>
    <n v="10"/>
    <n v="17"/>
    <n v="90"/>
    <n v="83"/>
    <n v="7"/>
    <n v="7"/>
    <n v="7"/>
    <n v="7"/>
    <n v="7"/>
    <n v="7"/>
    <s v="Riscou o Sassami em X,_x000a_Usou o garfo na retirada de Sassami,_x000a_Retirou a Cartilagem"/>
    <n v="10"/>
    <n v="7"/>
    <n v="46"/>
    <n v="23"/>
    <n v="39"/>
    <n v="9"/>
    <n v="19.5"/>
    <n v="55"/>
    <n v="3"/>
    <n v="15"/>
    <n v="7"/>
    <n v="42862"/>
    <s v="Caixa está sem rasgos e seca,_x000a_Data  de validade e produção estão de acordo,_x000a_Selagem está conforme"/>
    <s v="assinatura"/>
    <s v="assinatura"/>
    <n v="13958"/>
  </r>
  <r>
    <x v="9"/>
    <s v="6ac486f54854db7e48d93ad0"/>
    <s v="05/10/2026 16:07:05"/>
    <s v="06/10/2026 02:28:21"/>
    <s v="Ranieli"/>
    <x v="46"/>
    <n v="2"/>
    <n v="7"/>
    <n v="7"/>
    <n v="7"/>
    <n v="5"/>
    <n v="16"/>
    <n v="13"/>
    <n v="84"/>
    <n v="87"/>
    <n v="5"/>
    <n v="7"/>
    <n v="7"/>
    <n v="5"/>
    <n v="7"/>
    <n v="5"/>
    <s v="Riscou o Sassami em X,_x000a_Retirou a Cartilagem"/>
    <n v="10"/>
    <n v="10"/>
    <n v="50"/>
    <n v="25"/>
    <n v="41"/>
    <n v="6"/>
    <n v="20.5"/>
    <n v="7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065"/>
  </r>
  <r>
    <x v="9"/>
    <s v="6ac093aadb68f2f72a0ff083"/>
    <s v="02/10/2026 22:34:52"/>
    <s v="03/10/2026 02:33:30"/>
    <s v="Ranieli"/>
    <x v="47"/>
    <n v="2"/>
    <n v="7"/>
    <n v="7"/>
    <n v="7"/>
    <n v="5"/>
    <n v="22"/>
    <n v="13"/>
    <n v="78"/>
    <n v="87"/>
    <n v="5"/>
    <n v="7"/>
    <n v="7"/>
    <n v="7"/>
    <n v="7"/>
    <n v="5"/>
    <s v="Riscou o Sassami em X,_x000a_Retirou a Cartilagem"/>
    <s v=""/>
    <s v=""/>
    <n v="49"/>
    <n v="24.5"/>
    <n v="49"/>
    <n v="6"/>
    <n v="24.5"/>
    <n v="70"/>
    <n v="4"/>
    <n v="20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2892"/>
  </r>
  <r>
    <x v="9"/>
    <s v="6ac093aadb68f2f72a0ff053"/>
    <s v="02/10/2026 20:46:53"/>
    <s v="03/10/2026 02:33:30"/>
    <s v="Ranieli"/>
    <x v="47"/>
    <n v="2"/>
    <n v="7"/>
    <n v="7"/>
    <n v="7"/>
    <n v="7"/>
    <n v="27"/>
    <n v="10"/>
    <n v="73"/>
    <n v="90"/>
    <n v="5"/>
    <n v="7"/>
    <n v="7"/>
    <n v="7"/>
    <n v="7"/>
    <n v="7"/>
    <s v="Riscou o Sassami em X,_x000a_Retirou a Cartilagem"/>
    <n v="7"/>
    <s v=""/>
    <n v="45"/>
    <n v="22.5"/>
    <n v="40"/>
    <n v="7"/>
    <n v="20"/>
    <n v="65"/>
    <n v="3"/>
    <n v="15"/>
    <n v="7"/>
    <n v="42838"/>
    <s v="Caixa está sem rasgos e seca,_x000a_Data  de validade e produção estão de acordo,_x000a_Selagem está conforme"/>
    <s v="assinatura"/>
    <s v="assinatura"/>
    <n v="19457"/>
  </r>
  <r>
    <x v="9"/>
    <s v="6ac093a9db68f2f72a0ff047"/>
    <s v="02/10/2026 18:34:53"/>
    <s v="03/10/2026 02:33:29"/>
    <s v="Ranieli"/>
    <x v="47"/>
    <n v="2"/>
    <n v="7"/>
    <n v="7"/>
    <n v="7"/>
    <n v="7"/>
    <n v="19"/>
    <n v="17"/>
    <n v="81"/>
    <n v="83"/>
    <n v="7"/>
    <n v="7"/>
    <n v="7"/>
    <n v="7"/>
    <n v="7"/>
    <n v="5"/>
    <s v="Riscou o Sassami em X,_x000a_Retirou a Cartilagem"/>
    <n v="7"/>
    <n v="7"/>
    <n v="43"/>
    <n v="21.5"/>
    <n v="65"/>
    <n v="7"/>
    <n v="32.5"/>
    <n v="65"/>
    <n v="2"/>
    <n v="1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044"/>
  </r>
  <r>
    <x v="9"/>
    <s v="6ac093a9db68f2f72a0ff01d"/>
    <s v="02/10/2026 16:21:35"/>
    <s v="03/10/2026 02:33:29"/>
    <s v="Ranieli"/>
    <x v="47"/>
    <n v="2"/>
    <n v="7"/>
    <n v="7"/>
    <n v="7"/>
    <n v="5"/>
    <n v="24"/>
    <n v="14"/>
    <n v="76"/>
    <n v="86"/>
    <n v="7"/>
    <n v="7"/>
    <n v="7"/>
    <n v="7"/>
    <n v="7"/>
    <s v=""/>
    <s v="Riscou o Sassami em X,_x000a_Retirou a Cartilagem"/>
    <n v="7"/>
    <n v="7"/>
    <n v="51"/>
    <n v="25.5"/>
    <n v="50"/>
    <n v="9"/>
    <n v="25"/>
    <n v="5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0073"/>
  </r>
  <r>
    <x v="9"/>
    <s v="6ac7793df6baa94e5914b017"/>
    <s v="07/10/2026 21:53:55"/>
    <s v="08/10/2026 08:06:37"/>
    <s v="Ranieli"/>
    <x v="48"/>
    <n v="2"/>
    <n v="7"/>
    <n v="7"/>
    <n v="7"/>
    <n v="5"/>
    <n v="37"/>
    <n v="22"/>
    <n v="63"/>
    <n v="78"/>
    <n v="7"/>
    <n v="7"/>
    <n v="7"/>
    <n v="7"/>
    <n v="7"/>
    <n v="7"/>
    <s v="Riscou o Sassami em X,_x000a_Usou o garfo na retirada de Sassami,_x000a_Retirou a Cartilagem"/>
    <s v=""/>
    <s v=""/>
    <n v="59"/>
    <n v="29.5"/>
    <n v="40"/>
    <n v="7"/>
    <n v="20"/>
    <n v="65"/>
    <n v="6"/>
    <n v="30"/>
    <n v="7"/>
    <n v="40762"/>
    <s v="Caixa está sem rasgos e seca,_x000a_Data  de validade e produção estão de acordo,_x000a_Selagem está conforme"/>
    <s v="assinatura"/>
    <s v="assinatura"/>
    <n v="15353"/>
  </r>
  <r>
    <x v="9"/>
    <s v="6ac7793cf6baa94e5914b011"/>
    <s v="07/10/2026 17:30:47"/>
    <s v="08/10/2026 08:06:36"/>
    <s v="Ranieli"/>
    <x v="48"/>
    <n v="2"/>
    <n v="7"/>
    <n v="7"/>
    <n v="7"/>
    <n v="5"/>
    <n v="36"/>
    <n v="27"/>
    <n v="64"/>
    <n v="73"/>
    <n v="7"/>
    <n v="7"/>
    <n v="7"/>
    <n v="7"/>
    <n v="7"/>
    <n v="7"/>
    <s v="Riscou o Sassami em X,_x000a_Usou o garfo na retirada de Sassami,_x000a_Retirou a Cartilagem"/>
    <n v="10"/>
    <n v="7"/>
    <n v="51"/>
    <n v="25.5"/>
    <n v="37"/>
    <n v="6"/>
    <n v="18.5"/>
    <n v="70"/>
    <n v="4"/>
    <n v="20"/>
    <n v="7"/>
    <n v="42862"/>
    <s v="Caixa está sem rasgos e seca,_x000a_Selagem está conforme,_x000a_Data  de validade e produção estão de acordo"/>
    <s v="assinatura"/>
    <s v="assinatura"/>
    <n v="11342"/>
  </r>
  <r>
    <x v="9"/>
    <s v="6ac77861486c261c1cacc928"/>
    <s v="07/10/2026 20:40:30"/>
    <s v="08/10/2026 08:02:57"/>
    <s v="Ranieli"/>
    <x v="48"/>
    <n v="2"/>
    <s v=""/>
    <n v="7"/>
    <n v="7"/>
    <n v="5"/>
    <n v="43"/>
    <n v="25"/>
    <n v="57"/>
    <n v="75"/>
    <n v="7"/>
    <n v="7"/>
    <n v="7"/>
    <n v="7"/>
    <n v="7"/>
    <n v="5"/>
    <s v="Riscou o Sassami em X,_x000a_Retirou a Cartilagem"/>
    <s v=""/>
    <s v=""/>
    <n v="31"/>
    <n v="15.5"/>
    <n v="44"/>
    <n v="7"/>
    <n v="22"/>
    <n v="65"/>
    <n v="5"/>
    <n v="25"/>
    <n v="10"/>
    <n v="992039"/>
    <s v="Acomodação do produto está conforme especificação,_x000a_Caixa está sem rasgos e seca,_x000a_Data  de validade e produção estão de acordo,_x000a_Selagem está conforme"/>
    <s v="assinatura"/>
    <s v="assinatura"/>
    <n v="4965"/>
  </r>
  <r>
    <x v="9"/>
    <s v="6ac77861486c261c1cacc916"/>
    <s v="07/10/2026 16:21:03"/>
    <s v="08/10/2026 08:02:57"/>
    <s v="Ranieli"/>
    <x v="48"/>
    <n v="2"/>
    <n v="7"/>
    <n v="7"/>
    <n v="7"/>
    <n v="5"/>
    <n v="29"/>
    <n v="21"/>
    <n v="71"/>
    <n v="79"/>
    <n v="7"/>
    <n v="7"/>
    <n v="7"/>
    <n v="7"/>
    <n v="7"/>
    <n v="7"/>
    <s v="Riscou o Sassami em X,_x000a_Usou o garfo na retirada de Sassami,_x000a_Retirou a Cartilagem"/>
    <n v="7"/>
    <n v="7"/>
    <n v="40"/>
    <n v="20"/>
    <n v="41"/>
    <n v="6"/>
    <n v="20.5"/>
    <n v="70"/>
    <n v="5"/>
    <n v="25"/>
    <n v="10"/>
    <n v="15105"/>
    <s v="Caixa está sem rasgos e seca,_x000a_Data  de validade e produção estão de acordo,_x000a_Selagem está conforme"/>
    <s v="assinatura"/>
    <s v="assinatura"/>
    <n v="35072"/>
  </r>
  <r>
    <x v="9"/>
    <s v="6ac5da49636e383ab3c2e97e"/>
    <s v="06/10/2026 22:00:17"/>
    <s v="07/10/2026 02:36:09"/>
    <s v="Ranieli"/>
    <x v="49"/>
    <n v="2"/>
    <n v="7"/>
    <n v="7"/>
    <n v="7"/>
    <n v="5"/>
    <n v="38"/>
    <n v="12"/>
    <n v="62"/>
    <n v="88"/>
    <n v="7"/>
    <n v="7"/>
    <n v="7"/>
    <n v="7"/>
    <n v="7"/>
    <n v="7"/>
    <s v="Riscou o Sassami em X,_x000a_Usou o garfo na retirada de Sassami,_x000a_Retirou a Cartilagem"/>
    <n v="10"/>
    <n v="7"/>
    <n v="37"/>
    <n v="18.5"/>
    <n v="47"/>
    <n v="6"/>
    <n v="23.5"/>
    <n v="70"/>
    <n v="4"/>
    <n v="20"/>
    <n v="7"/>
    <n v="40762"/>
    <s v="Caixa está sem rasgos e seca,_x000a_Data  de validade e produção estão de acordo,_x000a_Selagem está conforme"/>
    <s v="assinatura"/>
    <s v="assinatura"/>
    <n v="13753"/>
  </r>
  <r>
    <x v="9"/>
    <s v="6ac5da49636e383ab3c2e978"/>
    <s v="06/10/2026 21:22:17"/>
    <s v="07/10/2026 02:36:09"/>
    <s v="Ranieli"/>
    <x v="49"/>
    <n v="2"/>
    <n v="7"/>
    <n v="7"/>
    <n v="7"/>
    <n v="7"/>
    <n v="32"/>
    <n v="16"/>
    <n v="68"/>
    <n v="84"/>
    <n v="7"/>
    <n v="7"/>
    <n v="7"/>
    <n v="7"/>
    <n v="7"/>
    <n v="7"/>
    <s v="Riscou o Sassami em X,_x000a_Usou o garfo na retirada de Sassami,_x000a_Retirou a Cartilagem"/>
    <n v="7"/>
    <n v="7"/>
    <n v="48"/>
    <n v="24"/>
    <n v="44"/>
    <n v="8"/>
    <n v="22"/>
    <n v="60"/>
    <n v="5"/>
    <n v="2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15998"/>
  </r>
  <r>
    <x v="9"/>
    <s v="6ac5da48636e383ab3c2e948"/>
    <s v="06/10/2026 17:33:08"/>
    <s v="07/10/2026 02:36:08"/>
    <s v="Ranieli"/>
    <x v="49"/>
    <n v="2"/>
    <n v="7"/>
    <n v="7"/>
    <n v="7"/>
    <n v="5"/>
    <n v="37"/>
    <n v="24"/>
    <n v="63"/>
    <n v="76"/>
    <n v="7"/>
    <n v="7"/>
    <n v="7"/>
    <n v="7"/>
    <n v="7"/>
    <n v="7"/>
    <s v="Riscou o Sassami em X,_x000a_Usou o garfo na retirada de Sassami,_x000a_Retirou a Cartilagem"/>
    <s v=""/>
    <s v=""/>
    <n v="33"/>
    <n v="16.5"/>
    <n v="55"/>
    <n v="8"/>
    <n v="27.500000000000004"/>
    <n v="60"/>
    <n v="7"/>
    <n v="35"/>
    <n v="7"/>
    <n v="42838"/>
    <s v="Caixa está sem rasgos e seca,_x000a_Data  de validade e produção estão de acordo,_x000a_Selagem está conforme"/>
    <s v="assinatura"/>
    <s v="assinatura"/>
    <n v="29574"/>
  </r>
  <r>
    <x v="9"/>
    <s v="6ac5da48636e383ab3c2e92a"/>
    <s v="06/10/2026 16:22:08"/>
    <s v="07/10/2026 02:36:08"/>
    <s v="Ranieli"/>
    <x v="49"/>
    <n v="2"/>
    <n v="7"/>
    <n v="7"/>
    <n v="7"/>
    <n v="5"/>
    <n v="22"/>
    <n v="17"/>
    <n v="78"/>
    <n v="83"/>
    <n v="7"/>
    <n v="7"/>
    <n v="7"/>
    <n v="7"/>
    <n v="7"/>
    <n v="7"/>
    <s v="Riscou o Sassami em X,_x000a_Usou o garfo na retirada de Sassami,_x000a_Retirou a Cartilagem"/>
    <n v="10"/>
    <n v="7"/>
    <n v="57"/>
    <n v="28.499999999999996"/>
    <n v="38"/>
    <n v="7"/>
    <n v="19"/>
    <n v="65"/>
    <n v="2"/>
    <n v="1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762"/>
  </r>
  <r>
    <x v="9"/>
    <s v="6ac9cdb20fd30db1b9055a0f"/>
    <s v="09/10/2026 21:59:05"/>
    <s v="10/10/2026 02:31:30"/>
    <s v="Ranieli"/>
    <x v="50"/>
    <n v="2"/>
    <n v="7"/>
    <n v="7"/>
    <n v="7"/>
    <n v="7"/>
    <n v="22"/>
    <n v="19"/>
    <n v="78"/>
    <n v="81"/>
    <n v="7"/>
    <n v="7"/>
    <n v="7"/>
    <n v="7"/>
    <n v="7"/>
    <n v="7"/>
    <s v="Riscou o Sassami em X,_x000a_Usou o garfo na retirada de Sassami,_x000a_Retirou a Cartilagem"/>
    <n v="10"/>
    <s v=""/>
    <n v="49"/>
    <n v="24.5"/>
    <n v="57"/>
    <n v="7"/>
    <n v="28.499999999999996"/>
    <n v="65"/>
    <n v="6"/>
    <n v="30"/>
    <n v="7"/>
    <n v="40762"/>
    <s v="Caixa está sem rasgos e seca,_x000a_Data  de validade e produção estão de acordo,_x000a_Selagem está conforme"/>
    <s v="assinatura"/>
    <s v="assinatura"/>
    <n v="16087"/>
  </r>
  <r>
    <x v="9"/>
    <s v="6ac9cdb10fd30db1b90559c7"/>
    <s v="09/10/2026 20:02:07"/>
    <s v="10/10/2026 02:31:29"/>
    <s v="Ranieli"/>
    <x v="50"/>
    <n v="2"/>
    <n v="7"/>
    <n v="7"/>
    <n v="7"/>
    <n v="5"/>
    <n v="22"/>
    <n v="15"/>
    <n v="78"/>
    <n v="85"/>
    <n v="5"/>
    <n v="7"/>
    <n v="7"/>
    <n v="7"/>
    <n v="7"/>
    <n v="7"/>
    <s v="Riscou o Sassami em X,_x000a_Usou o garfo na retirada de Sassami,_x000a_Retirou a Cartilagem"/>
    <n v="7"/>
    <n v="7"/>
    <n v="49"/>
    <n v="24.5"/>
    <n v="61"/>
    <n v="7"/>
    <n v="30.5"/>
    <n v="6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2924"/>
  </r>
  <r>
    <x v="9"/>
    <s v="6ac9cdb10fd30db1b90559c1"/>
    <s v="09/10/2026 17:24:19"/>
    <s v="10/10/2026 02:31:29"/>
    <s v="Ranieli"/>
    <x v="50"/>
    <n v="2"/>
    <n v="7"/>
    <n v="7"/>
    <n v="7"/>
    <n v="5"/>
    <n v="38"/>
    <n v="23"/>
    <n v="62"/>
    <n v="77"/>
    <n v="7"/>
    <n v="7"/>
    <n v="7"/>
    <n v="7"/>
    <n v="7"/>
    <n v="7"/>
    <s v="Riscou o Sassami em X,_x000a_Usou o garfo na retirada de Sassami,_x000a_Retirou a Cartilagem"/>
    <s v=""/>
    <s v=""/>
    <n v="66"/>
    <n v="33"/>
    <n v="64"/>
    <n v="5"/>
    <n v="32"/>
    <n v="75"/>
    <n v="5"/>
    <n v="25"/>
    <n v="7"/>
    <n v="42854"/>
    <s v="Caixa está sem rasgos e seca,_x000a_Data  de validade e produção estão de acordo,_x000a_Selagem está conforme"/>
    <s v="assinatura"/>
    <s v="assinatura"/>
    <n v="32373"/>
  </r>
  <r>
    <x v="9"/>
    <s v="6ac9cdb00fd30db1b90559af"/>
    <s v="09/10/2026 16:19:11"/>
    <s v="10/10/2026 02:31:28"/>
    <s v="Ranieli"/>
    <x v="50"/>
    <n v="2"/>
    <n v="7"/>
    <n v="7"/>
    <n v="7"/>
    <n v="7"/>
    <n v="30"/>
    <n v="22"/>
    <n v="70"/>
    <n v="78"/>
    <n v="7"/>
    <n v="7"/>
    <n v="7"/>
    <n v="7"/>
    <n v="7"/>
    <n v="7"/>
    <s v="Riscou o Sassami em X,_x000a_Usou o garfo na retirada de Sassami,_x000a_Retirou a Cartilagem"/>
    <n v="7"/>
    <n v="7"/>
    <n v="49"/>
    <n v="24.5"/>
    <n v="61"/>
    <n v="5"/>
    <n v="30.5"/>
    <n v="7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6253"/>
  </r>
  <r>
    <x v="9"/>
    <s v="6ac877fc898c48a2f44ba6df"/>
    <s v="08/10/2026 22:09:42"/>
    <s v="09/10/2026 02:13:32"/>
    <s v="Ranieli"/>
    <x v="51"/>
    <n v="2"/>
    <n v="7"/>
    <n v="10"/>
    <n v="7"/>
    <n v="5"/>
    <n v="23"/>
    <n v="29"/>
    <n v="77"/>
    <n v="71"/>
    <n v="7"/>
    <n v="7"/>
    <n v="7"/>
    <n v="7"/>
    <n v="7"/>
    <s v=""/>
    <s v="Riscou o Sassami em X,_x000a_Usou o garfo na retirada de Sassami,_x000a_Retirou a Cartilagem"/>
    <n v="10"/>
    <n v="7"/>
    <n v="62"/>
    <n v="31"/>
    <n v="49"/>
    <n v="5"/>
    <n v="24.5"/>
    <n v="75"/>
    <n v="3"/>
    <n v="15"/>
    <n v="7"/>
    <n v="40762"/>
    <s v="Data  de validade e produção estão de acordo,_x000a_Caixa está sem rasgos e seca,_x000a_Selagem está conforme"/>
    <s v="assinatura"/>
    <s v="assinatura"/>
    <n v="13342"/>
  </r>
  <r>
    <x v="9"/>
    <s v="6ac877fb898c48a2f44ba6d9"/>
    <s v="08/10/2026 21:24:19"/>
    <s v="09/10/2026 02:13:31"/>
    <s v="Ranieli"/>
    <x v="51"/>
    <n v="2"/>
    <n v="7"/>
    <n v="7"/>
    <n v="7"/>
    <n v="7"/>
    <n v="22"/>
    <n v="23"/>
    <n v="78"/>
    <n v="77"/>
    <n v="7"/>
    <n v="7"/>
    <n v="7"/>
    <n v="7"/>
    <n v="7"/>
    <s v=""/>
    <s v="Riscou o Sassami em X,_x000a_Usou o garfo na retirada de Sassami,_x000a_Retirou a Cartilagem"/>
    <n v="10"/>
    <n v="10"/>
    <n v="42"/>
    <n v="21"/>
    <n v="47"/>
    <n v="8"/>
    <n v="23.5"/>
    <n v="60"/>
    <n v="4"/>
    <n v="20"/>
    <n v="7"/>
    <n v="42846"/>
    <s v="Caixa está sem rasgos e seca,_x000a_Data  de validade e produção estão de acordo,_x000a_Selagem está conforme"/>
    <s v="assinatura"/>
    <s v="assinatura"/>
    <n v="16090"/>
  </r>
  <r>
    <x v="9"/>
    <s v="6ac877fb898c48a2f44ba6b3"/>
    <s v="08/10/2026 18:21:26"/>
    <s v="09/10/2026 02:13:31"/>
    <s v="Ranieli"/>
    <x v="51"/>
    <n v="2"/>
    <n v="7"/>
    <n v="7"/>
    <n v="7"/>
    <n v="5"/>
    <n v="21"/>
    <n v="25"/>
    <n v="79"/>
    <n v="75"/>
    <n v="7"/>
    <n v="7"/>
    <n v="7"/>
    <n v="7"/>
    <n v="7"/>
    <s v=""/>
    <s v="Riscou o Sassami em X,_x000a_Retirou a Cartilagem"/>
    <s v=""/>
    <s v=""/>
    <n v="44"/>
    <n v="22"/>
    <n v="43"/>
    <n v="5"/>
    <n v="21.5"/>
    <n v="75"/>
    <n v="5"/>
    <n v="25"/>
    <n v="10"/>
    <n v="995638"/>
    <s v="Acomodação do produto está conforme especificação,_x000a_Data  de validade e produção estão de acordo,_x000a_Selagem está conforme,_x000a_Caixa está sem rasgos e seca"/>
    <s v="assinatura"/>
    <s v="assinatura"/>
    <n v="27178"/>
  </r>
  <r>
    <x v="9"/>
    <s v="6ac877fb898c48a2f44ba695"/>
    <s v="08/10/2026 16:37:53"/>
    <s v="09/10/2026 02:13:31"/>
    <s v="Ranieli"/>
    <x v="51"/>
    <n v="2"/>
    <n v="7"/>
    <n v="7"/>
    <n v="7"/>
    <n v="5"/>
    <n v="37"/>
    <n v="23"/>
    <n v="63"/>
    <n v="77"/>
    <n v="7"/>
    <n v="7"/>
    <n v="7"/>
    <n v="7"/>
    <n v="7"/>
    <n v="7"/>
    <s v="Riscou o Sassami em X,_x000a_Usou o garfo na retirada de Sassami,_x000a_Retirou a Cartilagem"/>
    <n v="10"/>
    <n v="7"/>
    <n v="56"/>
    <n v="28.000000000000004"/>
    <n v="50"/>
    <n v="4"/>
    <n v="2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"/>
    <s v=""/>
    <n v="34480"/>
  </r>
  <r>
    <x v="9"/>
    <s v="6acf1420493a357f397acf4c"/>
    <s v="13/10/2026 21:48:46"/>
    <s v="14/10/2026 02:33:20"/>
    <s v="Ranieli"/>
    <x v="52"/>
    <n v="2"/>
    <n v="7"/>
    <n v="10"/>
    <n v="7"/>
    <n v="5"/>
    <n v="32"/>
    <n v="33"/>
    <n v="68"/>
    <n v="67"/>
    <n v="7"/>
    <n v="7"/>
    <n v="7"/>
    <n v="7"/>
    <n v="7"/>
    <n v="5"/>
    <s v="Riscou o Sassami em X,_x000a_Retirou a Cartilagem"/>
    <n v="7"/>
    <n v="7"/>
    <n v="48"/>
    <n v="24"/>
    <n v="47"/>
    <n v="9"/>
    <n v="23.5"/>
    <n v="55"/>
    <n v="4"/>
    <n v="20"/>
    <n v="10"/>
    <n v="995638"/>
    <s v="Acomodação do produto está conforme especificação,_x000a_Data  de validade e produção estão de acordo,_x000a_Caixa está sem rasgos e seca,_x000a_Selagem está conforme"/>
    <s v="assinatura"/>
    <s v="assinatura"/>
    <n v="7341"/>
  </r>
  <r>
    <x v="9"/>
    <s v="6acf141f493a357f397acf34"/>
    <s v="13/10/2026 16:31:23"/>
    <s v="14/10/2026 02:33:19"/>
    <s v="Ranieli"/>
    <x v="52"/>
    <n v="2"/>
    <n v="7"/>
    <n v="10"/>
    <n v="10"/>
    <n v="7"/>
    <n v="33"/>
    <n v="39"/>
    <n v="67"/>
    <n v="61"/>
    <n v="5"/>
    <n v="7"/>
    <n v="7"/>
    <n v="7"/>
    <n v="7"/>
    <n v="7"/>
    <s v="Riscou o Sassami em X,_x000a_Retirou a Cartilagem"/>
    <n v="7"/>
    <n v="7"/>
    <n v="66"/>
    <n v="33"/>
    <n v="46"/>
    <n v="9"/>
    <n v="23"/>
    <n v="55"/>
    <n v="2"/>
    <n v="10"/>
    <n v="10"/>
    <n v="15105"/>
    <s v="Selagem está conforme,_x000a_Data  de validade e produção estão de acordo,_x000a_Caixa está sem rasgos e seca,_x000a_Acomodação do produto está conforme especificação"/>
    <s v="assinatura"/>
    <s v="assinatura"/>
    <n v="26271"/>
  </r>
  <r>
    <x v="9"/>
    <s v="6ace77b3c20d59001b8d8559"/>
    <m/>
    <m/>
    <s v="Alana"/>
    <x v="52"/>
    <n v="1"/>
    <n v="7"/>
    <n v="10"/>
    <n v="7"/>
    <n v="5"/>
    <n v="20"/>
    <n v="29"/>
    <n v="80"/>
    <n v="71"/>
    <n v="5"/>
    <n v="7"/>
    <n v="10"/>
    <n v="5"/>
    <n v="5"/>
    <n v="5"/>
    <m/>
    <s v=""/>
    <s v=""/>
    <n v="110"/>
    <n v="55.000000000000007"/>
    <n v="84"/>
    <n v="12"/>
    <n v="42"/>
    <n v="40"/>
    <n v="0"/>
    <n v="0"/>
    <m/>
    <m/>
    <m/>
    <m/>
    <m/>
    <m/>
  </r>
  <r>
    <x v="9"/>
    <s v="6aca909ad49d84f0cecb84c8"/>
    <m/>
    <m/>
    <s v="Alana"/>
    <x v="50"/>
    <n v="2"/>
    <n v="7"/>
    <n v="7"/>
    <n v="10"/>
    <n v="10"/>
    <n v="20"/>
    <n v="28"/>
    <n v="80"/>
    <n v="72"/>
    <n v="7"/>
    <n v="7"/>
    <n v="10"/>
    <n v="7"/>
    <n v="7"/>
    <n v="10"/>
    <m/>
    <s v=""/>
    <s v=""/>
    <n v="77"/>
    <n v="38.5"/>
    <n v="72"/>
    <n v="11"/>
    <n v="36"/>
    <n v="44.999999999999993"/>
    <n v="3"/>
    <n v="15"/>
    <m/>
    <m/>
    <m/>
    <m/>
    <m/>
    <m/>
  </r>
  <r>
    <x v="9"/>
    <s v="6ac92f8578034b104e289a30"/>
    <m/>
    <m/>
    <s v="Alana"/>
    <x v="50"/>
    <n v="1"/>
    <n v="10"/>
    <n v="5"/>
    <n v="10"/>
    <n v="7"/>
    <n v="19"/>
    <n v="32"/>
    <n v="81"/>
    <n v="68"/>
    <n v="5"/>
    <n v="7"/>
    <n v="10"/>
    <n v="7"/>
    <n v="7"/>
    <n v="7"/>
    <m/>
    <n v="20"/>
    <s v=""/>
    <n v="52"/>
    <n v="26"/>
    <n v="94"/>
    <n v="14"/>
    <n v="47"/>
    <n v="30"/>
    <n v="3"/>
    <n v="15"/>
    <m/>
    <m/>
    <m/>
    <m/>
    <m/>
    <m/>
  </r>
  <r>
    <x v="9"/>
    <s v="6ac7dc6878034b104e266dae"/>
    <m/>
    <m/>
    <s v="Alana"/>
    <x v="51"/>
    <n v="1"/>
    <n v="10"/>
    <n v="7"/>
    <n v="10"/>
    <n v="5"/>
    <n v="16"/>
    <n v="32"/>
    <n v="84"/>
    <n v="68"/>
    <n v="5"/>
    <n v="10"/>
    <n v="10"/>
    <n v="7"/>
    <n v="7"/>
    <n v="10"/>
    <m/>
    <s v=""/>
    <s v=""/>
    <n v="127"/>
    <n v="63.5"/>
    <n v="34"/>
    <n v="16"/>
    <n v="17"/>
    <n v="20"/>
    <n v="0"/>
    <n v="0"/>
    <m/>
    <m/>
    <m/>
    <m/>
    <m/>
    <m/>
  </r>
  <r>
    <x v="9"/>
    <s v="6ac68cbf9334db7c8a10c4f7"/>
    <m/>
    <m/>
    <s v="Alana"/>
    <x v="48"/>
    <n v="1"/>
    <n v="7"/>
    <n v="10"/>
    <n v="10"/>
    <n v="5"/>
    <n v="21"/>
    <n v="36"/>
    <n v="79"/>
    <n v="64"/>
    <n v="7"/>
    <n v="7"/>
    <n v="10"/>
    <n v="7"/>
    <n v="7"/>
    <n v="5"/>
    <m/>
    <s v=""/>
    <s v=""/>
    <n v="59"/>
    <n v="29.5"/>
    <n v="83"/>
    <n v="13"/>
    <n v="41.5"/>
    <n v="35"/>
    <n v="2"/>
    <n v="10"/>
    <m/>
    <m/>
    <m/>
    <m/>
    <m/>
    <m/>
  </r>
  <r>
    <x v="9"/>
    <s v="6ac53b984854db7e48dab8aa"/>
    <m/>
    <m/>
    <s v="Alana"/>
    <x v="49"/>
    <n v="1"/>
    <n v="10"/>
    <n v="5"/>
    <n v="7"/>
    <n v="7"/>
    <n v="17"/>
    <n v="29"/>
    <n v="83"/>
    <n v="71"/>
    <n v="5"/>
    <n v="7"/>
    <n v="10"/>
    <n v="5"/>
    <n v="7"/>
    <n v="5"/>
    <m/>
    <s v=""/>
    <s v=""/>
    <n v="95"/>
    <n v="47.5"/>
    <n v="95"/>
    <n v="9"/>
    <n v="47.5"/>
    <n v="55"/>
    <n v="0"/>
    <n v="0"/>
    <m/>
    <m/>
    <m/>
    <m/>
    <m/>
    <m/>
  </r>
  <r>
    <x v="9"/>
    <s v="6ac02b8f78034b104e192962"/>
    <m/>
    <m/>
    <s v="Alana"/>
    <x v="47"/>
    <n v="2"/>
    <n v="10"/>
    <n v="5"/>
    <n v="10"/>
    <n v="5"/>
    <n v="22"/>
    <n v="34"/>
    <n v="78"/>
    <n v="66"/>
    <n v="7"/>
    <n v="7"/>
    <n v="10"/>
    <n v="7"/>
    <n v="7"/>
    <n v="10"/>
    <m/>
    <n v="32"/>
    <n v="40"/>
    <n v="38"/>
    <n v="19"/>
    <n v="84"/>
    <n v="14"/>
    <n v="42"/>
    <n v="30"/>
    <n v="2"/>
    <n v="10"/>
    <m/>
    <m/>
    <m/>
    <m/>
    <m/>
    <m/>
  </r>
  <r>
    <x v="9"/>
    <s v="6abfef87826700b8f0e31376"/>
    <m/>
    <m/>
    <s v="Alana"/>
    <x v="47"/>
    <n v="1"/>
    <n v="10"/>
    <n v="7"/>
    <n v="7"/>
    <n v="5"/>
    <n v="17"/>
    <n v="24"/>
    <n v="83"/>
    <n v="76"/>
    <n v="5"/>
    <n v="7"/>
    <n v="7"/>
    <n v="7"/>
    <n v="7"/>
    <n v="5"/>
    <m/>
    <s v=""/>
    <s v=""/>
    <n v="74"/>
    <n v="37"/>
    <n v="37"/>
    <n v="14"/>
    <n v="18.5"/>
    <n v="30"/>
    <n v="5"/>
    <n v="25"/>
    <m/>
    <m/>
    <m/>
    <m/>
    <m/>
    <m/>
  </r>
  <r>
    <x v="9"/>
    <s v="6abea1ed748e9cff8cf2a1bb"/>
    <m/>
    <m/>
    <s v="Alana"/>
    <x v="45"/>
    <n v="1"/>
    <n v="10"/>
    <n v="5"/>
    <n v="10"/>
    <n v="5"/>
    <n v="16"/>
    <n v="28"/>
    <n v="84"/>
    <n v="72"/>
    <n v="10"/>
    <n v="10"/>
    <n v="10"/>
    <n v="7"/>
    <n v="7"/>
    <n v="7"/>
    <m/>
    <n v="34"/>
    <n v="48"/>
    <n v="28"/>
    <n v="14.000000000000002"/>
    <n v="60"/>
    <n v="11"/>
    <n v="30"/>
    <n v="44.999999999999993"/>
    <n v="1"/>
    <n v="5"/>
    <m/>
    <m/>
    <m/>
    <m/>
    <m/>
    <m/>
  </r>
  <r>
    <x v="8"/>
    <s v="6abd5685a48ad3e47d9bed6e"/>
    <m/>
    <m/>
    <s v="Alana"/>
    <x v="44"/>
    <n v="1"/>
    <n v="7"/>
    <n v="7"/>
    <n v="7"/>
    <s v=""/>
    <n v="19"/>
    <n v="26"/>
    <n v="81"/>
    <n v="74"/>
    <n v="7"/>
    <n v="7"/>
    <n v="10"/>
    <n v="7"/>
    <n v="7"/>
    <n v="10"/>
    <m/>
    <s v=""/>
    <s v=""/>
    <n v="91"/>
    <n v="45.5"/>
    <n v="74"/>
    <n v="13"/>
    <n v="37"/>
    <n v="35"/>
    <n v="1"/>
    <n v="5"/>
    <m/>
    <m/>
    <m/>
    <m/>
    <m/>
    <m/>
  </r>
  <r>
    <x v="8"/>
    <s v="6abc05ee5255bb2a510525a1"/>
    <m/>
    <m/>
    <s v="Alana"/>
    <x v="43"/>
    <n v="1"/>
    <n v="5"/>
    <n v="7"/>
    <n v="7"/>
    <n v="5"/>
    <n v="21"/>
    <n v="25"/>
    <n v="79"/>
    <n v="75"/>
    <n v="10"/>
    <n v="10"/>
    <n v="10"/>
    <n v="5"/>
    <n v="7"/>
    <n v="10"/>
    <m/>
    <n v="37"/>
    <n v="35"/>
    <n v="95"/>
    <n v="47.5"/>
    <n v="48"/>
    <n v="16"/>
    <n v="24"/>
    <n v="20"/>
    <n v="0"/>
    <n v="0"/>
    <m/>
    <m/>
    <m/>
    <m/>
    <m/>
    <m/>
  </r>
  <r>
    <x v="8"/>
    <s v="6abab652e92aaaa972c8c54e"/>
    <m/>
    <m/>
    <s v="Alana"/>
    <x v="42"/>
    <n v="1"/>
    <n v="5"/>
    <n v="10"/>
    <n v="10"/>
    <n v="7"/>
    <n v="19"/>
    <n v="32"/>
    <n v="81"/>
    <n v="68"/>
    <n v="5"/>
    <n v="10"/>
    <n v="10"/>
    <n v="7"/>
    <n v="10"/>
    <n v="7"/>
    <m/>
    <s v=""/>
    <s v=""/>
    <n v="87"/>
    <n v="43.5"/>
    <n v="28"/>
    <n v="10"/>
    <n v="14.000000000000002"/>
    <n v="50"/>
    <n v="0"/>
    <n v="0"/>
    <m/>
    <m/>
    <m/>
    <m/>
    <m/>
    <m/>
  </r>
  <r>
    <x v="8"/>
    <s v="6ab6db490289b29ebe89060d"/>
    <m/>
    <m/>
    <s v="Alana"/>
    <x v="41"/>
    <n v="2"/>
    <n v="7"/>
    <n v="7"/>
    <n v="7"/>
    <n v="5"/>
    <n v="10"/>
    <n v="56"/>
    <n v="90"/>
    <n v="44"/>
    <n v="7"/>
    <n v="10"/>
    <n v="10"/>
    <n v="7"/>
    <n v="7"/>
    <n v="10"/>
    <m/>
    <s v=""/>
    <s v=""/>
    <n v="41"/>
    <n v="20.5"/>
    <n v="52"/>
    <n v="13"/>
    <n v="26"/>
    <n v="35"/>
    <n v="0"/>
    <n v="0"/>
    <m/>
    <m/>
    <m/>
    <m/>
    <m/>
    <m/>
  </r>
  <r>
    <x v="8"/>
    <s v="6ab69fe35255bb2a51fe7559"/>
    <m/>
    <m/>
    <s v="Alana"/>
    <x v="41"/>
    <n v="1"/>
    <n v="7"/>
    <n v="7"/>
    <n v="10"/>
    <n v="5"/>
    <n v="18"/>
    <n v="36"/>
    <n v="82"/>
    <n v="64"/>
    <n v="7"/>
    <n v="7"/>
    <n v="10"/>
    <n v="7"/>
    <n v="7"/>
    <n v="7"/>
    <m/>
    <s v=""/>
    <n v="58"/>
    <n v="71"/>
    <n v="35.5"/>
    <n v="67"/>
    <n v="12"/>
    <n v="33.5"/>
    <n v="40"/>
    <n v="0"/>
    <n v="0"/>
    <m/>
    <m/>
    <m/>
    <m/>
    <m/>
    <m/>
  </r>
  <r>
    <x v="8"/>
    <s v="6ab58492e3b3b33e06ed3cf0"/>
    <m/>
    <m/>
    <s v="Alana"/>
    <x v="53"/>
    <n v="1"/>
    <n v="7"/>
    <n v="10"/>
    <n v="10"/>
    <n v="5"/>
    <n v="23"/>
    <n v="36"/>
    <n v="77"/>
    <n v="64"/>
    <n v="5"/>
    <n v="7"/>
    <n v="10"/>
    <n v="7"/>
    <n v="7"/>
    <n v="5"/>
    <m/>
    <s v=""/>
    <s v=""/>
    <n v="90"/>
    <n v="45"/>
    <n v="44"/>
    <n v="11"/>
    <n v="22"/>
    <n v="44.999999999999993"/>
    <n v="2"/>
    <n v="1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6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B118" firstHeaderRow="1" firstDataRow="2" firstDataCol="0"/>
  <pivotFields count="38">
    <pivotField showAll="0">
      <items count="11"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t="default"/>
      </items>
    </pivotField>
    <pivotField showAll="0"/>
    <pivotField showAll="0"/>
    <pivotField showAll="0"/>
    <pivotField showAll="0"/>
    <pivotField axis="axisCol" showAll="0" sortType="ascending">
      <items count="55">
        <item x="26"/>
        <item x="45"/>
        <item x="28"/>
        <item x="47"/>
        <item x="27"/>
        <item x="14"/>
        <item x="46"/>
        <item x="13"/>
        <item x="49"/>
        <item x="12"/>
        <item x="48"/>
        <item x="29"/>
        <item x="51"/>
        <item x="32"/>
        <item x="50"/>
        <item x="11"/>
        <item x="31"/>
        <item x="10"/>
        <item x="30"/>
        <item x="9"/>
        <item x="8"/>
        <item x="52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53"/>
        <item x="21"/>
        <item x="41"/>
        <item x="22"/>
        <item x="23"/>
        <item x="24"/>
        <item x="42"/>
        <item x="43"/>
        <item x="4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8">
    <i>
      <x v="1"/>
    </i>
    <i>
      <x v="3"/>
    </i>
    <i>
      <x v="6"/>
    </i>
    <i>
      <x v="8"/>
    </i>
    <i>
      <x v="10"/>
    </i>
    <i>
      <x v="12"/>
    </i>
    <i>
      <x v="14"/>
    </i>
    <i>
      <x v="21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10">
        <i x="0"/>
        <i x="1"/>
        <i x="2"/>
        <i x="3"/>
        <i x="4"/>
        <i x="5"/>
        <i x="6"/>
        <i x="7"/>
        <i x="8"/>
        <i x="9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232" totalsRowShown="0">
  <autoFilter ref="A1:AL232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29" activePane="bottomRight" state="frozen"/>
      <selection activeCell="E1" sqref="E1"/>
      <selection pane="topRight" activeCell="G1" sqref="G1"/>
      <selection pane="bottomLeft" activeCell="E4" sqref="E4"/>
      <selection pane="bottomRight" activeCell="Q20" sqref="Q20"/>
    </sheetView>
  </sheetViews>
  <sheetFormatPr defaultColWidth="9.85546875" defaultRowHeight="15" x14ac:dyDescent="0.25"/>
  <cols>
    <col min="1" max="2" width="9.85546875" style="22" hidden="1" customWidth="1"/>
    <col min="3" max="3" width="24.42578125" style="22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2" customWidth="1"/>
    <col min="19" max="19" width="9.140625" customWidth="1"/>
    <col min="20" max="20" width="1.7109375" customWidth="1"/>
    <col min="21" max="44" width="9.85546875" style="22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7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18" t="str">
        <f>IF(U118="","",U118)</f>
        <v>01/10/2026</v>
      </c>
      <c r="V3" s="18" t="str">
        <f t="shared" ref="V3:AR3" si="0">IF(V118="","",V118)</f>
        <v>02/10/2026</v>
      </c>
      <c r="W3" s="18" t="str">
        <f t="shared" si="0"/>
        <v>05/10/2026</v>
      </c>
      <c r="X3" s="18" t="str">
        <f t="shared" si="0"/>
        <v>06/10/2026</v>
      </c>
      <c r="Y3" s="18" t="str">
        <f t="shared" si="0"/>
        <v>07/10/2026</v>
      </c>
      <c r="Z3" s="18" t="str">
        <f t="shared" si="0"/>
        <v>08/10/2026</v>
      </c>
      <c r="AA3" s="18" t="str">
        <f t="shared" si="0"/>
        <v>09/10/2026</v>
      </c>
      <c r="AB3" s="18" t="str">
        <f t="shared" si="0"/>
        <v>13/10/2026</v>
      </c>
      <c r="AC3" s="18" t="str">
        <f t="shared" si="0"/>
        <v/>
      </c>
      <c r="AD3" s="18" t="str">
        <f t="shared" si="0"/>
        <v/>
      </c>
      <c r="AE3" s="18" t="str">
        <f t="shared" si="0"/>
        <v/>
      </c>
      <c r="AF3" s="18" t="str">
        <f t="shared" si="0"/>
        <v/>
      </c>
      <c r="AG3" s="18" t="str">
        <f t="shared" si="0"/>
        <v/>
      </c>
      <c r="AH3" s="18" t="str">
        <f t="shared" si="0"/>
        <v/>
      </c>
      <c r="AI3" s="18" t="str">
        <f t="shared" si="0"/>
        <v/>
      </c>
      <c r="AJ3" s="18" t="str">
        <f t="shared" si="0"/>
        <v/>
      </c>
      <c r="AK3" s="18" t="str">
        <f t="shared" si="0"/>
        <v/>
      </c>
      <c r="AL3" s="18" t="str">
        <f t="shared" si="0"/>
        <v/>
      </c>
      <c r="AM3" s="18" t="str">
        <f t="shared" si="0"/>
        <v/>
      </c>
      <c r="AN3" s="18" t="str">
        <f t="shared" si="0"/>
        <v/>
      </c>
      <c r="AO3" s="18" t="str">
        <f t="shared" si="0"/>
        <v/>
      </c>
      <c r="AP3" s="18" t="str">
        <f t="shared" si="0"/>
        <v/>
      </c>
      <c r="AQ3" s="18" t="str">
        <f t="shared" si="0"/>
        <v/>
      </c>
      <c r="AR3" s="18" t="str">
        <f t="shared" si="0"/>
        <v/>
      </c>
    </row>
    <row r="4" spans="1:44" ht="15.75" thickTop="1" x14ac:dyDescent="0.25">
      <c r="A4" s="22" t="s">
        <v>120</v>
      </c>
      <c r="B4" s="22">
        <f>F4</f>
        <v>1</v>
      </c>
      <c r="C4" s="22" t="s">
        <v>122</v>
      </c>
      <c r="D4" s="4" t="str">
        <f>IF(E4=0,D3,E4)</f>
        <v>Carne no Back</v>
      </c>
      <c r="E4" s="32" t="str">
        <f>Coleta!H1</f>
        <v>Carne no Back</v>
      </c>
      <c r="F4" s="19">
        <v>1</v>
      </c>
      <c r="G4" s="23" t="str">
        <f ca="1">IFERROR(AVERAGEIFS(INDIRECT("Tabela1["&amp;$D4&amp;"]"),Tabela1[Turno],$F4,Tabela1[Mês],G$3),"")</f>
        <v/>
      </c>
      <c r="H4" s="23" t="str">
        <f ca="1">IFERROR(AVERAGEIFS(INDIRECT("Tabela1["&amp;$D4&amp;"]"),Tabela1[Turno],$F4,Tabela1[Mês],H$3),"")</f>
        <v/>
      </c>
      <c r="I4" s="23" t="str">
        <f ca="1">IFERROR(AVERAGEIFS(INDIRECT("Tabela1["&amp;$D4&amp;"]"),Tabela1[Turno],$F4,Tabela1[Mês],I$3),"")</f>
        <v/>
      </c>
      <c r="J4" s="23" t="str">
        <f ca="1">IFERROR(AVERAGEIFS(INDIRECT("Tabela1["&amp;$D4&amp;"]"),Tabela1[Turno],$F4,Tabela1[Mês],J$3),"")</f>
        <v/>
      </c>
      <c r="K4" s="23" t="str">
        <f ca="1">IFERROR(AVERAGEIFS(INDIRECT("Tabela1["&amp;$D4&amp;"]"),Tabela1[Turno],$F4,Tabela1[Mês],K$3),"")</f>
        <v/>
      </c>
      <c r="L4" s="23" t="str">
        <f ca="1">IFERROR(AVERAGEIFS(INDIRECT("Tabela1["&amp;$D4&amp;"]"),Tabela1[Turno],$F4,Tabela1[Mês],L$3),"")</f>
        <v/>
      </c>
      <c r="M4" s="23" t="str">
        <f ca="1">IFERROR(AVERAGEIFS(INDIRECT("Tabela1["&amp;$D4&amp;"]"),Tabela1[Turno],$F4,Tabela1[Mês],M$3),"")</f>
        <v/>
      </c>
      <c r="N4" s="23">
        <f ca="1">IFERROR(AVERAGEIFS(INDIRECT("Tabela1["&amp;$D4&amp;"]"),Tabela1[Turno],$F4,Tabela1[Mês],N$3),"")</f>
        <v>8.4</v>
      </c>
      <c r="O4" s="23">
        <f ca="1">IFERROR(AVERAGEIFS(INDIRECT("Tabela1["&amp;$D4&amp;"]"),Tabela1[Turno],$F4,Tabela1[Mês],O$3),"")</f>
        <v>6.6</v>
      </c>
      <c r="P4" s="23">
        <f ca="1">IFERROR(AVERAGEIFS(INDIRECT("Tabela1["&amp;$D4&amp;"]"),Tabela1[Turno],$F4,Tabela1[Mês],P$3),"")</f>
        <v>9.1428571428571423</v>
      </c>
      <c r="Q4" s="23" t="str">
        <f ca="1">IFERROR(AVERAGEIFS(INDIRECT("Tabela1["&amp;$D4&amp;"]"),Tabela1[Turno],$F4,Tabela1[Mês],Q$3),"")</f>
        <v/>
      </c>
      <c r="R4" s="24" t="str">
        <f ca="1">IFERROR(AVERAGEIFS(INDIRECT("Tabela1["&amp;$D4&amp;"]"),Tabela1[Turno],$F4,Tabela1[Mês],R$3),"")</f>
        <v/>
      </c>
      <c r="S4" s="35">
        <v>10</v>
      </c>
      <c r="U4" s="23">
        <f ca="1">IFERROR(AVERAGEIFS(INDIRECT("Tabela1["&amp;$D4&amp;"]"),Tabela1[Turno],$F4,Tabela1[Data],U$3),"")</f>
        <v>10</v>
      </c>
      <c r="V4" s="23">
        <f ca="1">IFERROR(AVERAGEIFS(INDIRECT("Tabela1["&amp;$D4&amp;"]"),Tabela1[Turno],$F4,Tabela1[Data],V$3),"")</f>
        <v>10</v>
      </c>
      <c r="W4" s="23" t="str">
        <f ca="1">IFERROR(AVERAGEIFS(INDIRECT("Tabela1["&amp;$D4&amp;"]"),Tabela1[Turno],$F4,Tabela1[Data],W$3),"")</f>
        <v/>
      </c>
      <c r="X4" s="23">
        <f ca="1">IFERROR(AVERAGEIFS(INDIRECT("Tabela1["&amp;$D4&amp;"]"),Tabela1[Turno],$F4,Tabela1[Data],X$3),"")</f>
        <v>10</v>
      </c>
      <c r="Y4" s="23">
        <f ca="1">IFERROR(AVERAGEIFS(INDIRECT("Tabela1["&amp;$D4&amp;"]"),Tabela1[Turno],$F4,Tabela1[Data],Y$3),"")</f>
        <v>7</v>
      </c>
      <c r="Z4" s="23">
        <f ca="1">IFERROR(AVERAGEIFS(INDIRECT("Tabela1["&amp;$D4&amp;"]"),Tabela1[Turno],$F4,Tabela1[Data],Z$3),"")</f>
        <v>10</v>
      </c>
      <c r="AA4" s="23">
        <f ca="1">IFERROR(AVERAGEIFS(INDIRECT("Tabela1["&amp;$D4&amp;"]"),Tabela1[Turno],$F4,Tabela1[Data],AA$3),"")</f>
        <v>10</v>
      </c>
      <c r="AB4" s="23">
        <f ca="1">IFERROR(AVERAGEIFS(INDIRECT("Tabela1["&amp;$D4&amp;"]"),Tabela1[Turno],$F4,Tabela1[Data],AB$3),"")</f>
        <v>7</v>
      </c>
      <c r="AC4" s="23" t="str">
        <f ca="1">IFERROR(AVERAGEIFS(INDIRECT("Tabela1["&amp;$D4&amp;"]"),Tabela1[Turno],$F4,Tabela1[Data],AC$3),"")</f>
        <v/>
      </c>
      <c r="AD4" s="23" t="str">
        <f ca="1">IFERROR(AVERAGEIFS(INDIRECT("Tabela1["&amp;$D4&amp;"]"),Tabela1[Turno],$F4,Tabela1[Data],AD$3),"")</f>
        <v/>
      </c>
      <c r="AE4" s="23" t="str">
        <f ca="1">IFERROR(AVERAGEIFS(INDIRECT("Tabela1["&amp;$D4&amp;"]"),Tabela1[Turno],$F4,Tabela1[Data],AE$3),"")</f>
        <v/>
      </c>
      <c r="AF4" s="23" t="str">
        <f ca="1">IFERROR(AVERAGEIFS(INDIRECT("Tabela1["&amp;$D4&amp;"]"),Tabela1[Turno],$F4,Tabela1[Data],AF$3),"")</f>
        <v/>
      </c>
      <c r="AG4" s="23" t="str">
        <f ca="1">IFERROR(AVERAGEIFS(INDIRECT("Tabela1["&amp;$D4&amp;"]"),Tabela1[Turno],$F4,Tabela1[Data],AG$3),"")</f>
        <v/>
      </c>
      <c r="AH4" s="23" t="str">
        <f ca="1">IFERROR(AVERAGEIFS(INDIRECT("Tabela1["&amp;$D4&amp;"]"),Tabela1[Turno],$F4,Tabela1[Data],AH$3),"")</f>
        <v/>
      </c>
      <c r="AI4" s="23" t="str">
        <f ca="1">IFERROR(AVERAGEIFS(INDIRECT("Tabela1["&amp;$D4&amp;"]"),Tabela1[Turno],$F4,Tabela1[Data],AI$3),"")</f>
        <v/>
      </c>
      <c r="AJ4" s="23" t="str">
        <f ca="1">IFERROR(AVERAGEIFS(INDIRECT("Tabela1["&amp;$D4&amp;"]"),Tabela1[Turno],$F4,Tabela1[Data],AJ$3),"")</f>
        <v/>
      </c>
      <c r="AK4" s="23" t="str">
        <f ca="1">IFERROR(AVERAGEIFS(INDIRECT("Tabela1["&amp;$D4&amp;"]"),Tabela1[Turno],$F4,Tabela1[Data],AK$3),"")</f>
        <v/>
      </c>
      <c r="AL4" s="23" t="str">
        <f ca="1">IFERROR(AVERAGEIFS(INDIRECT("Tabela1["&amp;$D4&amp;"]"),Tabela1[Turno],$F4,Tabela1[Data],AL$3),"")</f>
        <v/>
      </c>
      <c r="AM4" s="23" t="str">
        <f ca="1">IFERROR(AVERAGEIFS(INDIRECT("Tabela1["&amp;$D4&amp;"]"),Tabela1[Turno],$F4,Tabela1[Data],AM$3),"")</f>
        <v/>
      </c>
      <c r="AN4" s="23" t="str">
        <f ca="1">IFERROR(AVERAGEIFS(INDIRECT("Tabela1["&amp;$D4&amp;"]"),Tabela1[Turno],$F4,Tabela1[Data],AN$3),"")</f>
        <v/>
      </c>
      <c r="AO4" s="23" t="str">
        <f ca="1">IFERROR(AVERAGEIFS(INDIRECT("Tabela1["&amp;$D4&amp;"]"),Tabela1[Turno],$F4,Tabela1[Data],AO$3),"")</f>
        <v/>
      </c>
      <c r="AP4" s="23" t="str">
        <f ca="1">IFERROR(AVERAGEIFS(INDIRECT("Tabela1["&amp;$D4&amp;"]"),Tabela1[Turno],$F4,Tabela1[Data],AP$3),"")</f>
        <v/>
      </c>
      <c r="AQ4" s="23" t="str">
        <f ca="1">IFERROR(AVERAGEIFS(INDIRECT("Tabela1["&amp;$D4&amp;"]"),Tabela1[Turno],$F4,Tabela1[Data],AQ$3),"")</f>
        <v/>
      </c>
      <c r="AR4" s="23" t="str">
        <f ca="1">IFERROR(AVERAGEIFS(INDIRECT("Tabela1["&amp;$D4&amp;"]"),Tabela1[Turno],$F4,Tabela1[Data],AR$3),"")</f>
        <v/>
      </c>
    </row>
    <row r="5" spans="1:44" x14ac:dyDescent="0.25">
      <c r="A5" s="22" t="s">
        <v>120</v>
      </c>
      <c r="B5" s="22">
        <f t="shared" ref="B5:B60" si="1">F5</f>
        <v>2</v>
      </c>
      <c r="C5" s="22" t="s">
        <v>122</v>
      </c>
      <c r="D5" s="4" t="str">
        <f>IF(E5=0,D4,E5)</f>
        <v>Carne no Back</v>
      </c>
      <c r="E5" s="33"/>
      <c r="F5" s="20">
        <v>2</v>
      </c>
      <c r="G5" s="11" t="str">
        <f ca="1">IFERROR(AVERAGEIFS(INDIRECT("Tabela1["&amp;$D5&amp;"]"),Tabela1[Turno],$F5,Tabela1[Mês],G$3),"")</f>
        <v/>
      </c>
      <c r="H5" s="11" t="str">
        <f ca="1">IFERROR(AVERAGEIFS(INDIRECT("Tabela1["&amp;$D5&amp;"]"),Tabela1[Turno],$F5,Tabela1[Mês],H$3),"")</f>
        <v/>
      </c>
      <c r="I5" s="11" t="str">
        <f ca="1">IFERROR(AVERAGEIFS(INDIRECT("Tabela1["&amp;$D5&amp;"]"),Tabela1[Turno],$F5,Tabela1[Mês],I$3),"")</f>
        <v/>
      </c>
      <c r="J5" s="11" t="str">
        <f ca="1">IFERROR(AVERAGEIFS(INDIRECT("Tabela1["&amp;$D5&amp;"]"),Tabela1[Turno],$F5,Tabela1[Mês],J$3),"")</f>
        <v/>
      </c>
      <c r="K5" s="11" t="str">
        <f ca="1">IFERROR(AVERAGEIFS(INDIRECT("Tabela1["&amp;$D5&amp;"]"),Tabela1[Turno],$F5,Tabela1[Mês],K$3),"")</f>
        <v/>
      </c>
      <c r="L5" s="11" t="str">
        <f ca="1">IFERROR(AVERAGEIFS(INDIRECT("Tabela1["&amp;$D5&amp;"]"),Tabela1[Turno],$F5,Tabela1[Mês],L$3),"")</f>
        <v/>
      </c>
      <c r="M5" s="11" t="str">
        <f ca="1">IFERROR(AVERAGEIFS(INDIRECT("Tabela1["&amp;$D5&amp;"]"),Tabela1[Turno],$F5,Tabela1[Mês],M$3),"")</f>
        <v/>
      </c>
      <c r="N5" s="11">
        <f ca="1">IFERROR(AVERAGEIFS(INDIRECT("Tabela1["&amp;$D5&amp;"]"),Tabela1[Turno],$F5,Tabela1[Mês],N$3),"")</f>
        <v>6.7058823529411766</v>
      </c>
      <c r="O5" s="11">
        <f ca="1">IFERROR(AVERAGEIFS(INDIRECT("Tabela1["&amp;$D5&amp;"]"),Tabela1[Turno],$F5,Tabela1[Mês],O$3),"")</f>
        <v>6.9146341463414638</v>
      </c>
      <c r="P5" s="11">
        <f ca="1">IFERROR(AVERAGEIFS(INDIRECT("Tabela1["&amp;$D5&amp;"]"),Tabela1[Turno],$F5,Tabela1[Mês],P$3),"")</f>
        <v>7.1</v>
      </c>
      <c r="Q5" s="11" t="str">
        <f ca="1">IFERROR(AVERAGEIFS(INDIRECT("Tabela1["&amp;$D5&amp;"]"),Tabela1[Turno],$F5,Tabela1[Mês],Q$3),"")</f>
        <v/>
      </c>
      <c r="R5" s="12" t="str">
        <f ca="1">IFERROR(AVERAGEIFS(INDIRECT("Tabela1["&amp;$D5&amp;"]"),Tabela1[Turno],$F5,Tabela1[Mês],R$3),"")</f>
        <v/>
      </c>
      <c r="S5" s="36"/>
      <c r="U5" s="11">
        <f ca="1">IFERROR(AVERAGEIFS(INDIRECT("Tabela1["&amp;$D5&amp;"]"),Tabela1[Turno],$F5,Tabela1[Data],U$3),"")</f>
        <v>7</v>
      </c>
      <c r="V5" s="11">
        <f ca="1">IFERROR(AVERAGEIFS(INDIRECT("Tabela1["&amp;$D5&amp;"]"),Tabela1[Turno],$F5,Tabela1[Data],V$3),"")</f>
        <v>7.6</v>
      </c>
      <c r="W5" s="11">
        <f ca="1">IFERROR(AVERAGEIFS(INDIRECT("Tabela1["&amp;$D5&amp;"]"),Tabela1[Turno],$F5,Tabela1[Data],W$3),"")</f>
        <v>7</v>
      </c>
      <c r="X5" s="11">
        <f ca="1">IFERROR(AVERAGEIFS(INDIRECT("Tabela1["&amp;$D5&amp;"]"),Tabela1[Turno],$F5,Tabela1[Data],X$3),"")</f>
        <v>7</v>
      </c>
      <c r="Y5" s="11">
        <f ca="1">IFERROR(AVERAGEIFS(INDIRECT("Tabela1["&amp;$D5&amp;"]"),Tabela1[Turno],$F5,Tabela1[Data],Y$3),"")</f>
        <v>7</v>
      </c>
      <c r="Z5" s="11">
        <f ca="1">IFERROR(AVERAGEIFS(INDIRECT("Tabela1["&amp;$D5&amp;"]"),Tabela1[Turno],$F5,Tabela1[Data],Z$3),"")</f>
        <v>7</v>
      </c>
      <c r="AA5" s="11">
        <f ca="1">IFERROR(AVERAGEIFS(INDIRECT("Tabela1["&amp;$D5&amp;"]"),Tabela1[Turno],$F5,Tabela1[Data],AA$3),"")</f>
        <v>7</v>
      </c>
      <c r="AB5" s="11">
        <f ca="1">IFERROR(AVERAGEIFS(INDIRECT("Tabela1["&amp;$D5&amp;"]"),Tabela1[Turno],$F5,Tabela1[Data],AB$3),"")</f>
        <v>7</v>
      </c>
      <c r="AC5" s="11" t="str">
        <f ca="1">IFERROR(AVERAGEIFS(INDIRECT("Tabela1["&amp;$D5&amp;"]"),Tabela1[Turno],$F5,Tabela1[Data],AC$3),"")</f>
        <v/>
      </c>
      <c r="AD5" s="11" t="str">
        <f ca="1">IFERROR(AVERAGEIFS(INDIRECT("Tabela1["&amp;$D5&amp;"]"),Tabela1[Turno],$F5,Tabela1[Data],AD$3),"")</f>
        <v/>
      </c>
      <c r="AE5" s="11" t="str">
        <f ca="1">IFERROR(AVERAGEIFS(INDIRECT("Tabela1["&amp;$D5&amp;"]"),Tabela1[Turno],$F5,Tabela1[Data],AE$3),"")</f>
        <v/>
      </c>
      <c r="AF5" s="11" t="str">
        <f ca="1">IFERROR(AVERAGEIFS(INDIRECT("Tabela1["&amp;$D5&amp;"]"),Tabela1[Turno],$F5,Tabela1[Data],AF$3),"")</f>
        <v/>
      </c>
      <c r="AG5" s="11" t="str">
        <f ca="1">IFERROR(AVERAGEIFS(INDIRECT("Tabela1["&amp;$D5&amp;"]"),Tabela1[Turno],$F5,Tabela1[Data],AG$3),"")</f>
        <v/>
      </c>
      <c r="AH5" s="11" t="str">
        <f ca="1">IFERROR(AVERAGEIFS(INDIRECT("Tabela1["&amp;$D5&amp;"]"),Tabela1[Turno],$F5,Tabela1[Data],AH$3),"")</f>
        <v/>
      </c>
      <c r="AI5" s="11" t="str">
        <f ca="1">IFERROR(AVERAGEIFS(INDIRECT("Tabela1["&amp;$D5&amp;"]"),Tabela1[Turno],$F5,Tabela1[Data],AI$3),"")</f>
        <v/>
      </c>
      <c r="AJ5" s="11" t="str">
        <f ca="1">IFERROR(AVERAGEIFS(INDIRECT("Tabela1["&amp;$D5&amp;"]"),Tabela1[Turno],$F5,Tabela1[Data],AJ$3),"")</f>
        <v/>
      </c>
      <c r="AK5" s="11" t="str">
        <f ca="1">IFERROR(AVERAGEIFS(INDIRECT("Tabela1["&amp;$D5&amp;"]"),Tabela1[Turno],$F5,Tabela1[Data],AK$3),"")</f>
        <v/>
      </c>
      <c r="AL5" s="11" t="str">
        <f ca="1">IFERROR(AVERAGEIFS(INDIRECT("Tabela1["&amp;$D5&amp;"]"),Tabela1[Turno],$F5,Tabela1[Data],AL$3),"")</f>
        <v/>
      </c>
      <c r="AM5" s="11" t="str">
        <f ca="1">IFERROR(AVERAGEIFS(INDIRECT("Tabela1["&amp;$D5&amp;"]"),Tabela1[Turno],$F5,Tabela1[Data],AM$3),"")</f>
        <v/>
      </c>
      <c r="AN5" s="11" t="str">
        <f ca="1">IFERROR(AVERAGEIFS(INDIRECT("Tabela1["&amp;$D5&amp;"]"),Tabela1[Turno],$F5,Tabela1[Data],AN$3),"")</f>
        <v/>
      </c>
      <c r="AO5" s="11" t="str">
        <f ca="1">IFERROR(AVERAGEIFS(INDIRECT("Tabela1["&amp;$D5&amp;"]"),Tabela1[Turno],$F5,Tabela1[Data],AO$3),"")</f>
        <v/>
      </c>
      <c r="AP5" s="11" t="str">
        <f ca="1">IFERROR(AVERAGEIFS(INDIRECT("Tabela1["&amp;$D5&amp;"]"),Tabela1[Turno],$F5,Tabela1[Data],AP$3),"")</f>
        <v/>
      </c>
      <c r="AQ5" s="11" t="str">
        <f ca="1">IFERROR(AVERAGEIFS(INDIRECT("Tabela1["&amp;$D5&amp;"]"),Tabela1[Turno],$F5,Tabela1[Data],AQ$3),"")</f>
        <v/>
      </c>
      <c r="AR5" s="11" t="str">
        <f ca="1">IFERROR(AVERAGEIFS(INDIRECT("Tabela1["&amp;$D5&amp;"]"),Tabela1[Turno],$F5,Tabela1[Data],AR$3),"")</f>
        <v/>
      </c>
    </row>
    <row r="6" spans="1:44" ht="15.75" thickBot="1" x14ac:dyDescent="0.3">
      <c r="A6" s="22" t="s">
        <v>120</v>
      </c>
      <c r="B6" s="22" t="str">
        <f t="shared" si="1"/>
        <v>Unidade</v>
      </c>
      <c r="C6" s="22" t="s">
        <v>122</v>
      </c>
      <c r="D6" s="4" t="str">
        <f>IF(E6=0,D5,E6)</f>
        <v>Carne no Back</v>
      </c>
      <c r="E6" s="34"/>
      <c r="F6" s="21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6.8659793814432986</v>
      </c>
      <c r="P6" s="9">
        <f ca="1">IFERROR(AVERAGEIFS(INDIRECT("Tabela1["&amp;$D6&amp;"]"),Tabela1[Mês],P$3),"")</f>
        <v>7.4864864864864868</v>
      </c>
      <c r="Q6" s="9" t="str">
        <f ca="1">IFERROR(AVERAGEIFS(INDIRECT("Tabela1["&amp;$D6&amp;"]"),Tabela1[Mês],Q$3),"")</f>
        <v/>
      </c>
      <c r="R6" s="13" t="str">
        <f ca="1">IFERROR(AVERAGEIFS(INDIRECT("Tabela1["&amp;$D6&amp;"]"),Tabela1[Mês],R$3),"")</f>
        <v/>
      </c>
      <c r="S6" s="37"/>
      <c r="U6" s="9">
        <f ca="1">IFERROR(AVERAGEIFS(INDIRECT("Tabela1["&amp;$D6&amp;"]"),Tabela1[Data],U$3),"")</f>
        <v>7.6</v>
      </c>
      <c r="V6" s="9">
        <f ca="1">IFERROR(AVERAGEIFS(INDIRECT("Tabela1["&amp;$D6&amp;"]"),Tabela1[Data],V$3),"")</f>
        <v>8</v>
      </c>
      <c r="W6" s="9">
        <f ca="1">IFERROR(AVERAGEIFS(INDIRECT("Tabela1["&amp;$D6&amp;"]"),Tabela1[Data],W$3),"")</f>
        <v>7</v>
      </c>
      <c r="X6" s="9">
        <f ca="1">IFERROR(AVERAGEIFS(INDIRECT("Tabela1["&amp;$D6&amp;"]"),Tabela1[Data],X$3),"")</f>
        <v>7.6</v>
      </c>
      <c r="Y6" s="9">
        <f ca="1">IFERROR(AVERAGEIFS(INDIRECT("Tabela1["&amp;$D6&amp;"]"),Tabela1[Data],Y$3),"")</f>
        <v>7</v>
      </c>
      <c r="Z6" s="9">
        <f ca="1">IFERROR(AVERAGEIFS(INDIRECT("Tabela1["&amp;$D6&amp;"]"),Tabela1[Data],Z$3),"")</f>
        <v>7.6</v>
      </c>
      <c r="AA6" s="9">
        <f ca="1">IFERROR(AVERAGEIFS(INDIRECT("Tabela1["&amp;$D6&amp;"]"),Tabela1[Data],AA$3),"")</f>
        <v>7.5</v>
      </c>
      <c r="AB6" s="9">
        <f ca="1">IFERROR(AVERAGEIFS(INDIRECT("Tabela1["&amp;$D6&amp;"]"),Tabela1[Data],AB$3),"")</f>
        <v>7</v>
      </c>
      <c r="AC6" s="9" t="str">
        <f ca="1">IFERROR(AVERAGEIFS(INDIRECT("Tabela1["&amp;$D6&amp;"]"),Tabela1[Data],AC$3),"")</f>
        <v/>
      </c>
      <c r="AD6" s="9" t="str">
        <f ca="1">IFERROR(AVERAGEIFS(INDIRECT("Tabela1["&amp;$D6&amp;"]"),Tabela1[Data],AD$3),"")</f>
        <v/>
      </c>
      <c r="AE6" s="9" t="str">
        <f ca="1">IFERROR(AVERAGEIFS(INDIRECT("Tabela1["&amp;$D6&amp;"]"),Tabela1[Data],AE$3),"")</f>
        <v/>
      </c>
      <c r="AF6" s="9" t="str">
        <f ca="1">IFERROR(AVERAGEIFS(INDIRECT("Tabela1["&amp;$D6&amp;"]"),Tabela1[Data],AF$3),"")</f>
        <v/>
      </c>
      <c r="AG6" s="9" t="str">
        <f ca="1">IFERROR(AVERAGEIFS(INDIRECT("Tabela1["&amp;$D6&amp;"]"),Tabela1[Data],AG$3),"")</f>
        <v/>
      </c>
      <c r="AH6" s="9" t="str">
        <f ca="1">IFERROR(AVERAGEIFS(INDIRECT("Tabela1["&amp;$D6&amp;"]"),Tabela1[Data],AH$3),"")</f>
        <v/>
      </c>
      <c r="AI6" s="9" t="str">
        <f ca="1">IFERROR(AVERAGEIFS(INDIRECT("Tabela1["&amp;$D6&amp;"]"),Tabela1[Data],AI$3),"")</f>
        <v/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2" t="s">
        <v>120</v>
      </c>
      <c r="B7" s="22">
        <f t="shared" si="1"/>
        <v>1</v>
      </c>
      <c r="C7" s="22" t="s">
        <v>123</v>
      </c>
      <c r="D7" s="4" t="str">
        <f>IF(E7=0,D6,E7)</f>
        <v>Peito na Asa Meyn</v>
      </c>
      <c r="E7" s="32" t="str">
        <f>Coleta!I1</f>
        <v>Peito na Asa Meyn</v>
      </c>
      <c r="F7" s="19">
        <v>1</v>
      </c>
      <c r="G7" s="23" t="str">
        <f ca="1">IFERROR(AVERAGEIFS(INDIRECT("Tabela1["&amp;$D7&amp;"]"),Tabela1[Turno],$F7,Tabela1[Mês],G$3),"")</f>
        <v/>
      </c>
      <c r="H7" s="23" t="str">
        <f ca="1">IFERROR(AVERAGEIFS(INDIRECT("Tabela1["&amp;$D7&amp;"]"),Tabela1[Turno],$F7,Tabela1[Mês],H$3),"")</f>
        <v/>
      </c>
      <c r="I7" s="23" t="str">
        <f ca="1">IFERROR(AVERAGEIFS(INDIRECT("Tabela1["&amp;$D7&amp;"]"),Tabela1[Turno],$F7,Tabela1[Mês],I$3),"")</f>
        <v/>
      </c>
      <c r="J7" s="23" t="str">
        <f ca="1">IFERROR(AVERAGEIFS(INDIRECT("Tabela1["&amp;$D7&amp;"]"),Tabela1[Turno],$F7,Tabela1[Mês],J$3),"")</f>
        <v/>
      </c>
      <c r="K7" s="23" t="str">
        <f ca="1">IFERROR(AVERAGEIFS(INDIRECT("Tabela1["&amp;$D7&amp;"]"),Tabela1[Turno],$F7,Tabela1[Mês],K$3),"")</f>
        <v/>
      </c>
      <c r="L7" s="23" t="str">
        <f ca="1">IFERROR(AVERAGEIFS(INDIRECT("Tabela1["&amp;$D7&amp;"]"),Tabela1[Turno],$F7,Tabela1[Mês],L$3),"")</f>
        <v/>
      </c>
      <c r="M7" s="23" t="str">
        <f ca="1">IFERROR(AVERAGEIFS(INDIRECT("Tabela1["&amp;$D7&amp;"]"),Tabela1[Turno],$F7,Tabela1[Mês],M$3),"")</f>
        <v/>
      </c>
      <c r="N7" s="23">
        <f ca="1">IFERROR(AVERAGEIFS(INDIRECT("Tabela1["&amp;$D7&amp;"]"),Tabela1[Turno],$F7,Tabela1[Mês],N$3),"")</f>
        <v>10</v>
      </c>
      <c r="O7" s="23">
        <f ca="1">IFERROR(AVERAGEIFS(INDIRECT("Tabela1["&amp;$D7&amp;"]"),Tabela1[Turno],$F7,Tabela1[Mês],O$3),"")</f>
        <v>8.1875</v>
      </c>
      <c r="P7" s="23">
        <f ca="1">IFERROR(AVERAGEIFS(INDIRECT("Tabela1["&amp;$D7&amp;"]"),Tabela1[Turno],$F7,Tabela1[Mês],P$3),"")</f>
        <v>7</v>
      </c>
      <c r="Q7" s="23" t="str">
        <f ca="1">IFERROR(AVERAGEIFS(INDIRECT("Tabela1["&amp;$D7&amp;"]"),Tabela1[Turno],$F7,Tabela1[Mês],Q$3),"")</f>
        <v/>
      </c>
      <c r="R7" s="24" t="str">
        <f ca="1">IFERROR(AVERAGEIFS(INDIRECT("Tabela1["&amp;$D7&amp;"]"),Tabela1[Turno],$F7,Tabela1[Mês],R$3),"")</f>
        <v/>
      </c>
      <c r="S7" s="35">
        <v>10</v>
      </c>
      <c r="U7" s="23">
        <f ca="1">IFERROR(AVERAGEIFS(INDIRECT("Tabela1["&amp;$D7&amp;"]"),Tabela1[Turno],$F7,Tabela1[Data],U$3),"")</f>
        <v>5</v>
      </c>
      <c r="V7" s="23">
        <f ca="1">IFERROR(AVERAGEIFS(INDIRECT("Tabela1["&amp;$D7&amp;"]"),Tabela1[Turno],$F7,Tabela1[Data],V$3),"")</f>
        <v>7</v>
      </c>
      <c r="W7" s="23" t="str">
        <f ca="1">IFERROR(AVERAGEIFS(INDIRECT("Tabela1["&amp;$D7&amp;"]"),Tabela1[Turno],$F7,Tabela1[Data],W$3),"")</f>
        <v/>
      </c>
      <c r="X7" s="23">
        <f ca="1">IFERROR(AVERAGEIFS(INDIRECT("Tabela1["&amp;$D7&amp;"]"),Tabela1[Turno],$F7,Tabela1[Data],X$3),"")</f>
        <v>5</v>
      </c>
      <c r="Y7" s="23">
        <f ca="1">IFERROR(AVERAGEIFS(INDIRECT("Tabela1["&amp;$D7&amp;"]"),Tabela1[Turno],$F7,Tabela1[Data],Y$3),"")</f>
        <v>10</v>
      </c>
      <c r="Z7" s="23">
        <f ca="1">IFERROR(AVERAGEIFS(INDIRECT("Tabela1["&amp;$D7&amp;"]"),Tabela1[Turno],$F7,Tabela1[Data],Z$3),"")</f>
        <v>7</v>
      </c>
      <c r="AA7" s="23">
        <f ca="1">IFERROR(AVERAGEIFS(INDIRECT("Tabela1["&amp;$D7&amp;"]"),Tabela1[Turno],$F7,Tabela1[Data],AA$3),"")</f>
        <v>5</v>
      </c>
      <c r="AB7" s="23">
        <f ca="1">IFERROR(AVERAGEIFS(INDIRECT("Tabela1["&amp;$D7&amp;"]"),Tabela1[Turno],$F7,Tabela1[Data],AB$3),"")</f>
        <v>10</v>
      </c>
      <c r="AC7" s="23" t="str">
        <f ca="1">IFERROR(AVERAGEIFS(INDIRECT("Tabela1["&amp;$D7&amp;"]"),Tabela1[Turno],$F7,Tabela1[Data],AC$3),"")</f>
        <v/>
      </c>
      <c r="AD7" s="23" t="str">
        <f ca="1">IFERROR(AVERAGEIFS(INDIRECT("Tabela1["&amp;$D7&amp;"]"),Tabela1[Turno],$F7,Tabela1[Data],AD$3),"")</f>
        <v/>
      </c>
      <c r="AE7" s="23" t="str">
        <f ca="1">IFERROR(AVERAGEIFS(INDIRECT("Tabela1["&amp;$D7&amp;"]"),Tabela1[Turno],$F7,Tabela1[Data],AE$3),"")</f>
        <v/>
      </c>
      <c r="AF7" s="23" t="str">
        <f ca="1">IFERROR(AVERAGEIFS(INDIRECT("Tabela1["&amp;$D7&amp;"]"),Tabela1[Turno],$F7,Tabela1[Data],AF$3),"")</f>
        <v/>
      </c>
      <c r="AG7" s="23" t="str">
        <f ca="1">IFERROR(AVERAGEIFS(INDIRECT("Tabela1["&amp;$D7&amp;"]"),Tabela1[Turno],$F7,Tabela1[Data],AG$3),"")</f>
        <v/>
      </c>
      <c r="AH7" s="23" t="str">
        <f ca="1">IFERROR(AVERAGEIFS(INDIRECT("Tabela1["&amp;$D7&amp;"]"),Tabela1[Turno],$F7,Tabela1[Data],AH$3),"")</f>
        <v/>
      </c>
      <c r="AI7" s="23" t="str">
        <f ca="1">IFERROR(AVERAGEIFS(INDIRECT("Tabela1["&amp;$D7&amp;"]"),Tabela1[Turno],$F7,Tabela1[Data],AI$3),"")</f>
        <v/>
      </c>
      <c r="AJ7" s="23" t="str">
        <f ca="1">IFERROR(AVERAGEIFS(INDIRECT("Tabela1["&amp;$D7&amp;"]"),Tabela1[Turno],$F7,Tabela1[Data],AJ$3),"")</f>
        <v/>
      </c>
      <c r="AK7" s="23" t="str">
        <f ca="1">IFERROR(AVERAGEIFS(INDIRECT("Tabela1["&amp;$D7&amp;"]"),Tabela1[Turno],$F7,Tabela1[Data],AK$3),"")</f>
        <v/>
      </c>
      <c r="AL7" s="23" t="str">
        <f ca="1">IFERROR(AVERAGEIFS(INDIRECT("Tabela1["&amp;$D7&amp;"]"),Tabela1[Turno],$F7,Tabela1[Data],AL$3),"")</f>
        <v/>
      </c>
      <c r="AM7" s="23" t="str">
        <f ca="1">IFERROR(AVERAGEIFS(INDIRECT("Tabela1["&amp;$D7&amp;"]"),Tabela1[Turno],$F7,Tabela1[Data],AM$3),"")</f>
        <v/>
      </c>
      <c r="AN7" s="23" t="str">
        <f ca="1">IFERROR(AVERAGEIFS(INDIRECT("Tabela1["&amp;$D7&amp;"]"),Tabela1[Turno],$F7,Tabela1[Data],AN$3),"")</f>
        <v/>
      </c>
      <c r="AO7" s="23" t="str">
        <f ca="1">IFERROR(AVERAGEIFS(INDIRECT("Tabela1["&amp;$D7&amp;"]"),Tabela1[Turno],$F7,Tabela1[Data],AO$3),"")</f>
        <v/>
      </c>
      <c r="AP7" s="23" t="str">
        <f ca="1">IFERROR(AVERAGEIFS(INDIRECT("Tabela1["&amp;$D7&amp;"]"),Tabela1[Turno],$F7,Tabela1[Data],AP$3),"")</f>
        <v/>
      </c>
      <c r="AQ7" s="23" t="str">
        <f ca="1">IFERROR(AVERAGEIFS(INDIRECT("Tabela1["&amp;$D7&amp;"]"),Tabela1[Turno],$F7,Tabela1[Data],AQ$3),"")</f>
        <v/>
      </c>
      <c r="AR7" s="23" t="str">
        <f ca="1">IFERROR(AVERAGEIFS(INDIRECT("Tabela1["&amp;$D7&amp;"]"),Tabela1[Turno],$F7,Tabela1[Data],AR$3),"")</f>
        <v/>
      </c>
    </row>
    <row r="8" spans="1:44" x14ac:dyDescent="0.25">
      <c r="A8" s="22" t="s">
        <v>120</v>
      </c>
      <c r="B8" s="22">
        <f t="shared" si="1"/>
        <v>2</v>
      </c>
      <c r="C8" s="22" t="s">
        <v>123</v>
      </c>
      <c r="D8" s="4" t="str">
        <f t="shared" ref="D8:D56" si="2">IF(E8=0,D7,E8)</f>
        <v>Peito na Asa Meyn</v>
      </c>
      <c r="E8" s="33"/>
      <c r="F8" s="20">
        <v>2</v>
      </c>
      <c r="G8" s="11" t="str">
        <f ca="1">IFERROR(AVERAGEIFS(INDIRECT("Tabela1["&amp;$D8&amp;"]"),Tabela1[Turno],$F8,Tabela1[Mês],G$3),"")</f>
        <v/>
      </c>
      <c r="H8" s="11" t="str">
        <f ca="1">IFERROR(AVERAGEIFS(INDIRECT("Tabela1["&amp;$D8&amp;"]"),Tabela1[Turno],$F8,Tabela1[Mês],H$3),"")</f>
        <v/>
      </c>
      <c r="I8" s="11" t="str">
        <f ca="1">IFERROR(AVERAGEIFS(INDIRECT("Tabela1["&amp;$D8&amp;"]"),Tabela1[Turno],$F8,Tabela1[Mês],I$3),"")</f>
        <v/>
      </c>
      <c r="J8" s="11" t="str">
        <f ca="1">IFERROR(AVERAGEIFS(INDIRECT("Tabela1["&amp;$D8&amp;"]"),Tabela1[Turno],$F8,Tabela1[Mês],J$3),"")</f>
        <v/>
      </c>
      <c r="K8" s="11" t="str">
        <f ca="1">IFERROR(AVERAGEIFS(INDIRECT("Tabela1["&amp;$D8&amp;"]"),Tabela1[Turno],$F8,Tabela1[Mês],K$3),"")</f>
        <v/>
      </c>
      <c r="L8" s="11" t="str">
        <f ca="1">IFERROR(AVERAGEIFS(INDIRECT("Tabela1["&amp;$D8&amp;"]"),Tabela1[Turno],$F8,Tabela1[Mês],L$3),"")</f>
        <v/>
      </c>
      <c r="M8" s="11" t="str">
        <f ca="1">IFERROR(AVERAGEIFS(INDIRECT("Tabela1["&amp;$D8&amp;"]"),Tabela1[Turno],$F8,Tabela1[Mês],M$3),"")</f>
        <v/>
      </c>
      <c r="N8" s="11">
        <f ca="1">IFERROR(AVERAGEIFS(INDIRECT("Tabela1["&amp;$D8&amp;"]"),Tabela1[Turno],$F8,Tabela1[Mês],N$3),"")</f>
        <v>7.3142857142857141</v>
      </c>
      <c r="O8" s="11">
        <f ca="1">IFERROR(AVERAGEIFS(INDIRECT("Tabela1["&amp;$D8&amp;"]"),Tabela1[Turno],$F8,Tabela1[Mês],O$3),"")</f>
        <v>7.2823529411764705</v>
      </c>
      <c r="P8" s="11">
        <f ca="1">IFERROR(AVERAGEIFS(INDIRECT("Tabela1["&amp;$D8&amp;"]"),Tabela1[Turno],$F8,Tabela1[Mês],P$3),"")</f>
        <v>7.419354838709677</v>
      </c>
      <c r="Q8" s="11" t="str">
        <f ca="1">IFERROR(AVERAGEIFS(INDIRECT("Tabela1["&amp;$D8&amp;"]"),Tabela1[Turno],$F8,Tabela1[Mês],Q$3),"")</f>
        <v/>
      </c>
      <c r="R8" s="12" t="str">
        <f ca="1">IFERROR(AVERAGEIFS(INDIRECT("Tabela1["&amp;$D8&amp;"]"),Tabela1[Turno],$F8,Tabela1[Mês],R$3),"")</f>
        <v/>
      </c>
      <c r="S8" s="36"/>
      <c r="U8" s="11">
        <f ca="1">IFERROR(AVERAGEIFS(INDIRECT("Tabela1["&amp;$D8&amp;"]"),Tabela1[Turno],$F8,Tabela1[Data],U$3),"")</f>
        <v>8.5</v>
      </c>
      <c r="V8" s="11">
        <f ca="1">IFERROR(AVERAGEIFS(INDIRECT("Tabela1["&amp;$D8&amp;"]"),Tabela1[Turno],$F8,Tabela1[Data],V$3),"")</f>
        <v>6.6</v>
      </c>
      <c r="W8" s="11">
        <f ca="1">IFERROR(AVERAGEIFS(INDIRECT("Tabela1["&amp;$D8&amp;"]"),Tabela1[Turno],$F8,Tabela1[Data],W$3),"")</f>
        <v>7</v>
      </c>
      <c r="X8" s="11">
        <f ca="1">IFERROR(AVERAGEIFS(INDIRECT("Tabela1["&amp;$D8&amp;"]"),Tabela1[Turno],$F8,Tabela1[Data],X$3),"")</f>
        <v>7</v>
      </c>
      <c r="Y8" s="11">
        <f ca="1">IFERROR(AVERAGEIFS(INDIRECT("Tabela1["&amp;$D8&amp;"]"),Tabela1[Turno],$F8,Tabela1[Data],Y$3),"")</f>
        <v>7</v>
      </c>
      <c r="Z8" s="11">
        <f ca="1">IFERROR(AVERAGEIFS(INDIRECT("Tabela1["&amp;$D8&amp;"]"),Tabela1[Turno],$F8,Tabela1[Data],Z$3),"")</f>
        <v>7.75</v>
      </c>
      <c r="AA8" s="11">
        <f ca="1">IFERROR(AVERAGEIFS(INDIRECT("Tabela1["&amp;$D8&amp;"]"),Tabela1[Turno],$F8,Tabela1[Data],AA$3),"")</f>
        <v>7</v>
      </c>
      <c r="AB8" s="11">
        <f ca="1">IFERROR(AVERAGEIFS(INDIRECT("Tabela1["&amp;$D8&amp;"]"),Tabela1[Turno],$F8,Tabela1[Data],AB$3),"")</f>
        <v>10</v>
      </c>
      <c r="AC8" s="11" t="str">
        <f ca="1">IFERROR(AVERAGEIFS(INDIRECT("Tabela1["&amp;$D8&amp;"]"),Tabela1[Turno],$F8,Tabela1[Data],AC$3),"")</f>
        <v/>
      </c>
      <c r="AD8" s="11" t="str">
        <f ca="1">IFERROR(AVERAGEIFS(INDIRECT("Tabela1["&amp;$D8&amp;"]"),Tabela1[Turno],$F8,Tabela1[Data],AD$3),"")</f>
        <v/>
      </c>
      <c r="AE8" s="11" t="str">
        <f ca="1">IFERROR(AVERAGEIFS(INDIRECT("Tabela1["&amp;$D8&amp;"]"),Tabela1[Turno],$F8,Tabela1[Data],AE$3),"")</f>
        <v/>
      </c>
      <c r="AF8" s="11" t="str">
        <f ca="1">IFERROR(AVERAGEIFS(INDIRECT("Tabela1["&amp;$D8&amp;"]"),Tabela1[Turno],$F8,Tabela1[Data],AF$3),"")</f>
        <v/>
      </c>
      <c r="AG8" s="11" t="str">
        <f ca="1">IFERROR(AVERAGEIFS(INDIRECT("Tabela1["&amp;$D8&amp;"]"),Tabela1[Turno],$F8,Tabela1[Data],AG$3),"")</f>
        <v/>
      </c>
      <c r="AH8" s="11" t="str">
        <f ca="1">IFERROR(AVERAGEIFS(INDIRECT("Tabela1["&amp;$D8&amp;"]"),Tabela1[Turno],$F8,Tabela1[Data],AH$3),"")</f>
        <v/>
      </c>
      <c r="AI8" s="11" t="str">
        <f ca="1">IFERROR(AVERAGEIFS(INDIRECT("Tabela1["&amp;$D8&amp;"]"),Tabela1[Turno],$F8,Tabela1[Data],AI$3),"")</f>
        <v/>
      </c>
      <c r="AJ8" s="11" t="str">
        <f ca="1">IFERROR(AVERAGEIFS(INDIRECT("Tabela1["&amp;$D8&amp;"]"),Tabela1[Turno],$F8,Tabela1[Data],AJ$3),"")</f>
        <v/>
      </c>
      <c r="AK8" s="11" t="str">
        <f ca="1">IFERROR(AVERAGEIFS(INDIRECT("Tabela1["&amp;$D8&amp;"]"),Tabela1[Turno],$F8,Tabela1[Data],AK$3),"")</f>
        <v/>
      </c>
      <c r="AL8" s="11" t="str">
        <f ca="1">IFERROR(AVERAGEIFS(INDIRECT("Tabela1["&amp;$D8&amp;"]"),Tabela1[Turno],$F8,Tabela1[Data],AL$3),"")</f>
        <v/>
      </c>
      <c r="AM8" s="11" t="str">
        <f ca="1">IFERROR(AVERAGEIFS(INDIRECT("Tabela1["&amp;$D8&amp;"]"),Tabela1[Turno],$F8,Tabela1[Data],AM$3),"")</f>
        <v/>
      </c>
      <c r="AN8" s="11" t="str">
        <f ca="1">IFERROR(AVERAGEIFS(INDIRECT("Tabela1["&amp;$D8&amp;"]"),Tabela1[Turno],$F8,Tabela1[Data],AN$3),"")</f>
        <v/>
      </c>
      <c r="AO8" s="11" t="str">
        <f ca="1">IFERROR(AVERAGEIFS(INDIRECT("Tabela1["&amp;$D8&amp;"]"),Tabela1[Turno],$F8,Tabela1[Data],AO$3),"")</f>
        <v/>
      </c>
      <c r="AP8" s="11" t="str">
        <f ca="1">IFERROR(AVERAGEIFS(INDIRECT("Tabela1["&amp;$D8&amp;"]"),Tabela1[Turno],$F8,Tabela1[Data],AP$3),"")</f>
        <v/>
      </c>
      <c r="AQ8" s="11" t="str">
        <f ca="1">IFERROR(AVERAGEIFS(INDIRECT("Tabela1["&amp;$D8&amp;"]"),Tabela1[Turno],$F8,Tabela1[Data],AQ$3),"")</f>
        <v/>
      </c>
      <c r="AR8" s="11" t="str">
        <f ca="1">IFERROR(AVERAGEIFS(INDIRECT("Tabela1["&amp;$D8&amp;"]"),Tabela1[Turno],$F8,Tabela1[Data],AR$3),"")</f>
        <v/>
      </c>
    </row>
    <row r="9" spans="1:44" ht="15.75" thickBot="1" x14ac:dyDescent="0.3">
      <c r="A9" s="22" t="s">
        <v>120</v>
      </c>
      <c r="B9" s="22" t="str">
        <f t="shared" si="1"/>
        <v>Unidade</v>
      </c>
      <c r="C9" s="22" t="s">
        <v>123</v>
      </c>
      <c r="D9" s="4" t="str">
        <f t="shared" si="2"/>
        <v>Peito na Asa Meyn</v>
      </c>
      <c r="E9" s="34"/>
      <c r="F9" s="21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7.4257425742574261</v>
      </c>
      <c r="P9" s="9">
        <f ca="1">IFERROR(AVERAGEIFS(INDIRECT("Tabela1["&amp;$D9&amp;"]"),Tabela1[Mês],P$3),"")</f>
        <v>7.3421052631578947</v>
      </c>
      <c r="Q9" s="9" t="str">
        <f ca="1">IFERROR(AVERAGEIFS(INDIRECT("Tabela1["&amp;$D9&amp;"]"),Tabela1[Mês],Q$3),"")</f>
        <v/>
      </c>
      <c r="R9" s="13" t="str">
        <f ca="1">IFERROR(AVERAGEIFS(INDIRECT("Tabela1["&amp;$D9&amp;"]"),Tabela1[Mês],R$3),"")</f>
        <v/>
      </c>
      <c r="S9" s="37"/>
      <c r="U9" s="9">
        <f ca="1">IFERROR(AVERAGEIFS(INDIRECT("Tabela1["&amp;$D9&amp;"]"),Tabela1[Data],U$3),"")</f>
        <v>7.8</v>
      </c>
      <c r="V9" s="9">
        <f ca="1">IFERROR(AVERAGEIFS(INDIRECT("Tabela1["&amp;$D9&amp;"]"),Tabela1[Data],V$3),"")</f>
        <v>6.666666666666667</v>
      </c>
      <c r="W9" s="9">
        <f ca="1">IFERROR(AVERAGEIFS(INDIRECT("Tabela1["&amp;$D9&amp;"]"),Tabela1[Data],W$3),"")</f>
        <v>7</v>
      </c>
      <c r="X9" s="9">
        <f ca="1">IFERROR(AVERAGEIFS(INDIRECT("Tabela1["&amp;$D9&amp;"]"),Tabela1[Data],X$3),"")</f>
        <v>6.6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7.6</v>
      </c>
      <c r="AA9" s="9">
        <f ca="1">IFERROR(AVERAGEIFS(INDIRECT("Tabela1["&amp;$D9&amp;"]"),Tabela1[Data],AA$3),"")</f>
        <v>6.666666666666667</v>
      </c>
      <c r="AB9" s="9">
        <f ca="1">IFERROR(AVERAGEIFS(INDIRECT("Tabela1["&amp;$D9&amp;"]"),Tabela1[Data],AB$3),"")</f>
        <v>10</v>
      </c>
      <c r="AC9" s="9" t="str">
        <f ca="1">IFERROR(AVERAGEIFS(INDIRECT("Tabela1["&amp;$D9&amp;"]"),Tabela1[Data],AC$3),"")</f>
        <v/>
      </c>
      <c r="AD9" s="9" t="str">
        <f ca="1">IFERROR(AVERAGEIFS(INDIRECT("Tabela1["&amp;$D9&amp;"]"),Tabela1[Data],AD$3),"")</f>
        <v/>
      </c>
      <c r="AE9" s="9" t="str">
        <f ca="1">IFERROR(AVERAGEIFS(INDIRECT("Tabela1["&amp;$D9&amp;"]"),Tabela1[Data],AE$3),"")</f>
        <v/>
      </c>
      <c r="AF9" s="9" t="str">
        <f ca="1">IFERROR(AVERAGEIFS(INDIRECT("Tabela1["&amp;$D9&amp;"]"),Tabela1[Data],AF$3),"")</f>
        <v/>
      </c>
      <c r="AG9" s="9" t="str">
        <f ca="1">IFERROR(AVERAGEIFS(INDIRECT("Tabela1["&amp;$D9&amp;"]"),Tabela1[Data],AG$3),"")</f>
        <v/>
      </c>
      <c r="AH9" s="9" t="str">
        <f ca="1">IFERROR(AVERAGEIFS(INDIRECT("Tabela1["&amp;$D9&amp;"]"),Tabela1[Data],AH$3),"")</f>
        <v/>
      </c>
      <c r="AI9" s="9" t="str">
        <f ca="1">IFERROR(AVERAGEIFS(INDIRECT("Tabela1["&amp;$D9&amp;"]"),Tabela1[Data],AI$3),"")</f>
        <v/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2" t="s">
        <v>120</v>
      </c>
      <c r="B10" s="22">
        <f t="shared" si="1"/>
        <v>1</v>
      </c>
      <c r="C10" s="22" t="s">
        <v>124</v>
      </c>
      <c r="D10" s="4" t="str">
        <f t="shared" si="2"/>
        <v>Medalhão na Asa Meyn</v>
      </c>
      <c r="E10" s="32" t="str">
        <f>Coleta!J1</f>
        <v>Medalhão na Asa Meyn</v>
      </c>
      <c r="F10" s="19">
        <v>1</v>
      </c>
      <c r="G10" s="23" t="str">
        <f ca="1">IFERROR(AVERAGEIFS(INDIRECT("Tabela1["&amp;$D10&amp;"]"),Tabela1[Turno],$F10,Tabela1[Mês],G$3),"")</f>
        <v/>
      </c>
      <c r="H10" s="23" t="str">
        <f ca="1">IFERROR(AVERAGEIFS(INDIRECT("Tabela1["&amp;$D10&amp;"]"),Tabela1[Turno],$F10,Tabela1[Mês],H$3),"")</f>
        <v/>
      </c>
      <c r="I10" s="23" t="str">
        <f ca="1">IFERROR(AVERAGEIFS(INDIRECT("Tabela1["&amp;$D10&amp;"]"),Tabela1[Turno],$F10,Tabela1[Mês],I$3),"")</f>
        <v/>
      </c>
      <c r="J10" s="23" t="str">
        <f ca="1">IFERROR(AVERAGEIFS(INDIRECT("Tabela1["&amp;$D10&amp;"]"),Tabela1[Turno],$F10,Tabela1[Mês],J$3),"")</f>
        <v/>
      </c>
      <c r="K10" s="23" t="str">
        <f ca="1">IFERROR(AVERAGEIFS(INDIRECT("Tabela1["&amp;$D10&amp;"]"),Tabela1[Turno],$F10,Tabela1[Mês],K$3),"")</f>
        <v/>
      </c>
      <c r="L10" s="23" t="str">
        <f ca="1">IFERROR(AVERAGEIFS(INDIRECT("Tabela1["&amp;$D10&amp;"]"),Tabela1[Turno],$F10,Tabela1[Mês],L$3),"")</f>
        <v/>
      </c>
      <c r="M10" s="23" t="str">
        <f ca="1">IFERROR(AVERAGEIFS(INDIRECT("Tabela1["&amp;$D10&amp;"]"),Tabela1[Turno],$F10,Tabela1[Mês],M$3),"")</f>
        <v/>
      </c>
      <c r="N10" s="23">
        <f ca="1">IFERROR(AVERAGEIFS(INDIRECT("Tabela1["&amp;$D10&amp;"]"),Tabela1[Turno],$F10,Tabela1[Mês],N$3),"")</f>
        <v>7</v>
      </c>
      <c r="O10" s="23">
        <f ca="1">IFERROR(AVERAGEIFS(INDIRECT("Tabela1["&amp;$D10&amp;"]"),Tabela1[Turno],$F10,Tabela1[Mês],O$3),"")</f>
        <v>8.5</v>
      </c>
      <c r="P10" s="23">
        <f ca="1">IFERROR(AVERAGEIFS(INDIRECT("Tabela1["&amp;$D10&amp;"]"),Tabela1[Turno],$F10,Tabela1[Mês],P$3),"")</f>
        <v>8.7142857142857135</v>
      </c>
      <c r="Q10" s="23" t="str">
        <f ca="1">IFERROR(AVERAGEIFS(INDIRECT("Tabela1["&amp;$D10&amp;"]"),Tabela1[Turno],$F10,Tabela1[Mês],Q$3),"")</f>
        <v/>
      </c>
      <c r="R10" s="24" t="str">
        <f ca="1">IFERROR(AVERAGEIFS(INDIRECT("Tabela1["&amp;$D10&amp;"]"),Tabela1[Turno],$F10,Tabela1[Mês],R$3),"")</f>
        <v/>
      </c>
      <c r="S10" s="35">
        <v>10</v>
      </c>
      <c r="U10" s="23">
        <f ca="1">IFERROR(AVERAGEIFS(INDIRECT("Tabela1["&amp;$D10&amp;"]"),Tabela1[Turno],$F10,Tabela1[Data],U$3),"")</f>
        <v>10</v>
      </c>
      <c r="V10" s="23">
        <f ca="1">IFERROR(AVERAGEIFS(INDIRECT("Tabela1["&amp;$D10&amp;"]"),Tabela1[Turno],$F10,Tabela1[Data],V$3),"")</f>
        <v>7</v>
      </c>
      <c r="W10" s="23" t="str">
        <f ca="1">IFERROR(AVERAGEIFS(INDIRECT("Tabela1["&amp;$D10&amp;"]"),Tabela1[Turno],$F10,Tabela1[Data],W$3),"")</f>
        <v/>
      </c>
      <c r="X10" s="23">
        <f ca="1">IFERROR(AVERAGEIFS(INDIRECT("Tabela1["&amp;$D10&amp;"]"),Tabela1[Turno],$F10,Tabela1[Data],X$3),"")</f>
        <v>7</v>
      </c>
      <c r="Y10" s="23">
        <f ca="1">IFERROR(AVERAGEIFS(INDIRECT("Tabela1["&amp;$D10&amp;"]"),Tabela1[Turno],$F10,Tabela1[Data],Y$3),"")</f>
        <v>10</v>
      </c>
      <c r="Z10" s="23">
        <f ca="1">IFERROR(AVERAGEIFS(INDIRECT("Tabela1["&amp;$D10&amp;"]"),Tabela1[Turno],$F10,Tabela1[Data],Z$3),"")</f>
        <v>10</v>
      </c>
      <c r="AA10" s="23">
        <f ca="1">IFERROR(AVERAGEIFS(INDIRECT("Tabela1["&amp;$D10&amp;"]"),Tabela1[Turno],$F10,Tabela1[Data],AA$3),"")</f>
        <v>10</v>
      </c>
      <c r="AB10" s="23">
        <f ca="1">IFERROR(AVERAGEIFS(INDIRECT("Tabela1["&amp;$D10&amp;"]"),Tabela1[Turno],$F10,Tabela1[Data],AB$3),"")</f>
        <v>7</v>
      </c>
      <c r="AC10" s="23" t="str">
        <f ca="1">IFERROR(AVERAGEIFS(INDIRECT("Tabela1["&amp;$D10&amp;"]"),Tabela1[Turno],$F10,Tabela1[Data],AC$3),"")</f>
        <v/>
      </c>
      <c r="AD10" s="23" t="str">
        <f ca="1">IFERROR(AVERAGEIFS(INDIRECT("Tabela1["&amp;$D10&amp;"]"),Tabela1[Turno],$F10,Tabela1[Data],AD$3),"")</f>
        <v/>
      </c>
      <c r="AE10" s="23" t="str">
        <f ca="1">IFERROR(AVERAGEIFS(INDIRECT("Tabela1["&amp;$D10&amp;"]"),Tabela1[Turno],$F10,Tabela1[Data],AE$3),"")</f>
        <v/>
      </c>
      <c r="AF10" s="23" t="str">
        <f ca="1">IFERROR(AVERAGEIFS(INDIRECT("Tabela1["&amp;$D10&amp;"]"),Tabela1[Turno],$F10,Tabela1[Data],AF$3),"")</f>
        <v/>
      </c>
      <c r="AG10" s="23" t="str">
        <f ca="1">IFERROR(AVERAGEIFS(INDIRECT("Tabela1["&amp;$D10&amp;"]"),Tabela1[Turno],$F10,Tabela1[Data],AG$3),"")</f>
        <v/>
      </c>
      <c r="AH10" s="23" t="str">
        <f ca="1">IFERROR(AVERAGEIFS(INDIRECT("Tabela1["&amp;$D10&amp;"]"),Tabela1[Turno],$F10,Tabela1[Data],AH$3),"")</f>
        <v/>
      </c>
      <c r="AI10" s="23" t="str">
        <f ca="1">IFERROR(AVERAGEIFS(INDIRECT("Tabela1["&amp;$D10&amp;"]"),Tabela1[Turno],$F10,Tabela1[Data],AI$3),"")</f>
        <v/>
      </c>
      <c r="AJ10" s="23" t="str">
        <f ca="1">IFERROR(AVERAGEIFS(INDIRECT("Tabela1["&amp;$D10&amp;"]"),Tabela1[Turno],$F10,Tabela1[Data],AJ$3),"")</f>
        <v/>
      </c>
      <c r="AK10" s="23" t="str">
        <f ca="1">IFERROR(AVERAGEIFS(INDIRECT("Tabela1["&amp;$D10&amp;"]"),Tabela1[Turno],$F10,Tabela1[Data],AK$3),"")</f>
        <v/>
      </c>
      <c r="AL10" s="23" t="str">
        <f ca="1">IFERROR(AVERAGEIFS(INDIRECT("Tabela1["&amp;$D10&amp;"]"),Tabela1[Turno],$F10,Tabela1[Data],AL$3),"")</f>
        <v/>
      </c>
      <c r="AM10" s="23" t="str">
        <f ca="1">IFERROR(AVERAGEIFS(INDIRECT("Tabela1["&amp;$D10&amp;"]"),Tabela1[Turno],$F10,Tabela1[Data],AM$3),"")</f>
        <v/>
      </c>
      <c r="AN10" s="23" t="str">
        <f ca="1">IFERROR(AVERAGEIFS(INDIRECT("Tabela1["&amp;$D10&amp;"]"),Tabela1[Turno],$F10,Tabela1[Data],AN$3),"")</f>
        <v/>
      </c>
      <c r="AO10" s="23" t="str">
        <f ca="1">IFERROR(AVERAGEIFS(INDIRECT("Tabela1["&amp;$D10&amp;"]"),Tabela1[Turno],$F10,Tabela1[Data],AO$3),"")</f>
        <v/>
      </c>
      <c r="AP10" s="23" t="str">
        <f ca="1">IFERROR(AVERAGEIFS(INDIRECT("Tabela1["&amp;$D10&amp;"]"),Tabela1[Turno],$F10,Tabela1[Data],AP$3),"")</f>
        <v/>
      </c>
      <c r="AQ10" s="23" t="str">
        <f ca="1">IFERROR(AVERAGEIFS(INDIRECT("Tabela1["&amp;$D10&amp;"]"),Tabela1[Turno],$F10,Tabela1[Data],AQ$3),"")</f>
        <v/>
      </c>
      <c r="AR10" s="23" t="str">
        <f ca="1">IFERROR(AVERAGEIFS(INDIRECT("Tabela1["&amp;$D10&amp;"]"),Tabela1[Turno],$F10,Tabela1[Data],AR$3),"")</f>
        <v/>
      </c>
    </row>
    <row r="11" spans="1:44" x14ac:dyDescent="0.25">
      <c r="A11" s="22" t="s">
        <v>120</v>
      </c>
      <c r="B11" s="22">
        <f t="shared" si="1"/>
        <v>2</v>
      </c>
      <c r="C11" s="22" t="s">
        <v>124</v>
      </c>
      <c r="D11" s="4" t="str">
        <f t="shared" si="2"/>
        <v>Medalhão na Asa Meyn</v>
      </c>
      <c r="E11" s="33"/>
      <c r="F11" s="20">
        <v>2</v>
      </c>
      <c r="G11" s="11" t="str">
        <f ca="1">IFERROR(AVERAGEIFS(INDIRECT("Tabela1["&amp;$D11&amp;"]"),Tabela1[Turno],$F11,Tabela1[Mês],G$3),"")</f>
        <v/>
      </c>
      <c r="H11" s="11" t="str">
        <f ca="1">IFERROR(AVERAGEIFS(INDIRECT("Tabela1["&amp;$D11&amp;"]"),Tabela1[Turno],$F11,Tabela1[Mês],H$3),"")</f>
        <v/>
      </c>
      <c r="I11" s="11" t="str">
        <f ca="1">IFERROR(AVERAGEIFS(INDIRECT("Tabela1["&amp;$D11&amp;"]"),Tabela1[Turno],$F11,Tabela1[Mês],I$3),"")</f>
        <v/>
      </c>
      <c r="J11" s="11" t="str">
        <f ca="1">IFERROR(AVERAGEIFS(INDIRECT("Tabela1["&amp;$D11&amp;"]"),Tabela1[Turno],$F11,Tabela1[Mês],J$3),"")</f>
        <v/>
      </c>
      <c r="K11" s="11" t="str">
        <f ca="1">IFERROR(AVERAGEIFS(INDIRECT("Tabela1["&amp;$D11&amp;"]"),Tabela1[Turno],$F11,Tabela1[Mês],K$3),"")</f>
        <v/>
      </c>
      <c r="L11" s="11" t="str">
        <f ca="1">IFERROR(AVERAGEIFS(INDIRECT("Tabela1["&amp;$D11&amp;"]"),Tabela1[Turno],$F11,Tabela1[Mês],L$3),"")</f>
        <v/>
      </c>
      <c r="M11" s="11" t="str">
        <f ca="1">IFERROR(AVERAGEIFS(INDIRECT("Tabela1["&amp;$D11&amp;"]"),Tabela1[Turno],$F11,Tabela1[Mês],M$3),"")</f>
        <v/>
      </c>
      <c r="N11" s="11">
        <f ca="1">IFERROR(AVERAGEIFS(INDIRECT("Tabela1["&amp;$D11&amp;"]"),Tabela1[Turno],$F11,Tabela1[Mês],N$3),"")</f>
        <v>6.8857142857142861</v>
      </c>
      <c r="O11" s="11">
        <f ca="1">IFERROR(AVERAGEIFS(INDIRECT("Tabela1["&amp;$D11&amp;"]"),Tabela1[Turno],$F11,Tabela1[Mês],O$3),"")</f>
        <v>6.9058823529411768</v>
      </c>
      <c r="P11" s="11">
        <f ca="1">IFERROR(AVERAGEIFS(INDIRECT("Tabela1["&amp;$D11&amp;"]"),Tabela1[Turno],$F11,Tabela1[Mês],P$3),"")</f>
        <v>7.290322580645161</v>
      </c>
      <c r="Q11" s="11" t="str">
        <f ca="1">IFERROR(AVERAGEIFS(INDIRECT("Tabela1["&amp;$D11&amp;"]"),Tabela1[Turno],$F11,Tabela1[Mês],Q$3),"")</f>
        <v/>
      </c>
      <c r="R11" s="12" t="str">
        <f ca="1">IFERROR(AVERAGEIFS(INDIRECT("Tabela1["&amp;$D11&amp;"]"),Tabela1[Turno],$F11,Tabela1[Mês],R$3),"")</f>
        <v/>
      </c>
      <c r="S11" s="36"/>
      <c r="U11" s="11">
        <f ca="1">IFERROR(AVERAGEIFS(INDIRECT("Tabela1["&amp;$D11&amp;"]"),Tabela1[Turno],$F11,Tabela1[Data],U$3),"")</f>
        <v>7</v>
      </c>
      <c r="V11" s="11">
        <f ca="1">IFERROR(AVERAGEIFS(INDIRECT("Tabela1["&amp;$D11&amp;"]"),Tabela1[Turno],$F11,Tabela1[Data],V$3),"")</f>
        <v>7.6</v>
      </c>
      <c r="W11" s="11">
        <f ca="1">IFERROR(AVERAGEIFS(INDIRECT("Tabela1["&amp;$D11&amp;"]"),Tabela1[Turno],$F11,Tabela1[Data],W$3),"")</f>
        <v>7</v>
      </c>
      <c r="X11" s="11">
        <f ca="1">IFERROR(AVERAGEIFS(INDIRECT("Tabela1["&amp;$D11&amp;"]"),Tabela1[Turno],$F11,Tabela1[Data],X$3),"")</f>
        <v>7</v>
      </c>
      <c r="Y11" s="11">
        <f ca="1">IFERROR(AVERAGEIFS(INDIRECT("Tabela1["&amp;$D11&amp;"]"),Tabela1[Turno],$F11,Tabela1[Data],Y$3),"")</f>
        <v>7</v>
      </c>
      <c r="Z11" s="11">
        <f ca="1">IFERROR(AVERAGEIFS(INDIRECT("Tabela1["&amp;$D11&amp;"]"),Tabela1[Turno],$F11,Tabela1[Data],Z$3),"")</f>
        <v>7</v>
      </c>
      <c r="AA11" s="11">
        <f ca="1">IFERROR(AVERAGEIFS(INDIRECT("Tabela1["&amp;$D11&amp;"]"),Tabela1[Turno],$F11,Tabela1[Data],AA$3),"")</f>
        <v>7.6</v>
      </c>
      <c r="AB11" s="11">
        <f ca="1">IFERROR(AVERAGEIFS(INDIRECT("Tabela1["&amp;$D11&amp;"]"),Tabela1[Turno],$F11,Tabela1[Data],AB$3),"")</f>
        <v>8.5</v>
      </c>
      <c r="AC11" s="11" t="str">
        <f ca="1">IFERROR(AVERAGEIFS(INDIRECT("Tabela1["&amp;$D11&amp;"]"),Tabela1[Turno],$F11,Tabela1[Data],AC$3),"")</f>
        <v/>
      </c>
      <c r="AD11" s="11" t="str">
        <f ca="1">IFERROR(AVERAGEIFS(INDIRECT("Tabela1["&amp;$D11&amp;"]"),Tabela1[Turno],$F11,Tabela1[Data],AD$3),"")</f>
        <v/>
      </c>
      <c r="AE11" s="11" t="str">
        <f ca="1">IFERROR(AVERAGEIFS(INDIRECT("Tabela1["&amp;$D11&amp;"]"),Tabela1[Turno],$F11,Tabela1[Data],AE$3),"")</f>
        <v/>
      </c>
      <c r="AF11" s="11" t="str">
        <f ca="1">IFERROR(AVERAGEIFS(INDIRECT("Tabela1["&amp;$D11&amp;"]"),Tabela1[Turno],$F11,Tabela1[Data],AF$3),"")</f>
        <v/>
      </c>
      <c r="AG11" s="11" t="str">
        <f ca="1">IFERROR(AVERAGEIFS(INDIRECT("Tabela1["&amp;$D11&amp;"]"),Tabela1[Turno],$F11,Tabela1[Data],AG$3),"")</f>
        <v/>
      </c>
      <c r="AH11" s="11" t="str">
        <f ca="1">IFERROR(AVERAGEIFS(INDIRECT("Tabela1["&amp;$D11&amp;"]"),Tabela1[Turno],$F11,Tabela1[Data],AH$3),"")</f>
        <v/>
      </c>
      <c r="AI11" s="11" t="str">
        <f ca="1">IFERROR(AVERAGEIFS(INDIRECT("Tabela1["&amp;$D11&amp;"]"),Tabela1[Turno],$F11,Tabela1[Data],AI$3),"")</f>
        <v/>
      </c>
      <c r="AJ11" s="11" t="str">
        <f ca="1">IFERROR(AVERAGEIFS(INDIRECT("Tabela1["&amp;$D11&amp;"]"),Tabela1[Turno],$F11,Tabela1[Data],AJ$3),"")</f>
        <v/>
      </c>
      <c r="AK11" s="11" t="str">
        <f ca="1">IFERROR(AVERAGEIFS(INDIRECT("Tabela1["&amp;$D11&amp;"]"),Tabela1[Turno],$F11,Tabela1[Data],AK$3),"")</f>
        <v/>
      </c>
      <c r="AL11" s="11" t="str">
        <f ca="1">IFERROR(AVERAGEIFS(INDIRECT("Tabela1["&amp;$D11&amp;"]"),Tabela1[Turno],$F11,Tabela1[Data],AL$3),"")</f>
        <v/>
      </c>
      <c r="AM11" s="11" t="str">
        <f ca="1">IFERROR(AVERAGEIFS(INDIRECT("Tabela1["&amp;$D11&amp;"]"),Tabela1[Turno],$F11,Tabela1[Data],AM$3),"")</f>
        <v/>
      </c>
      <c r="AN11" s="11" t="str">
        <f ca="1">IFERROR(AVERAGEIFS(INDIRECT("Tabela1["&amp;$D11&amp;"]"),Tabela1[Turno],$F11,Tabela1[Data],AN$3),"")</f>
        <v/>
      </c>
      <c r="AO11" s="11" t="str">
        <f ca="1">IFERROR(AVERAGEIFS(INDIRECT("Tabela1["&amp;$D11&amp;"]"),Tabela1[Turno],$F11,Tabela1[Data],AO$3),"")</f>
        <v/>
      </c>
      <c r="AP11" s="11" t="str">
        <f ca="1">IFERROR(AVERAGEIFS(INDIRECT("Tabela1["&amp;$D11&amp;"]"),Tabela1[Turno],$F11,Tabela1[Data],AP$3),"")</f>
        <v/>
      </c>
      <c r="AQ11" s="11" t="str">
        <f ca="1">IFERROR(AVERAGEIFS(INDIRECT("Tabela1["&amp;$D11&amp;"]"),Tabela1[Turno],$F11,Tabela1[Data],AQ$3),"")</f>
        <v/>
      </c>
      <c r="AR11" s="11" t="str">
        <f ca="1">IFERROR(AVERAGEIFS(INDIRECT("Tabela1["&amp;$D11&amp;"]"),Tabela1[Turno],$F11,Tabela1[Data],AR$3),"")</f>
        <v/>
      </c>
    </row>
    <row r="12" spans="1:44" ht="15.75" thickBot="1" x14ac:dyDescent="0.3">
      <c r="A12" s="22" t="s">
        <v>120</v>
      </c>
      <c r="B12" s="22" t="str">
        <f t="shared" si="1"/>
        <v>Unidade</v>
      </c>
      <c r="C12" s="22" t="s">
        <v>124</v>
      </c>
      <c r="D12" s="4" t="str">
        <f t="shared" si="2"/>
        <v>Medalhão na Asa Meyn</v>
      </c>
      <c r="E12" s="34"/>
      <c r="F12" s="21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7.1584158415841586</v>
      </c>
      <c r="P12" s="9">
        <f ca="1">IFERROR(AVERAGEIFS(INDIRECT("Tabela1["&amp;$D12&amp;"]"),Tabela1[Mês],P$3),"")</f>
        <v>7.5526315789473681</v>
      </c>
      <c r="Q12" s="9" t="str">
        <f ca="1">IFERROR(AVERAGEIFS(INDIRECT("Tabela1["&amp;$D12&amp;"]"),Tabela1[Mês],Q$3),"")</f>
        <v/>
      </c>
      <c r="R12" s="13" t="str">
        <f ca="1">IFERROR(AVERAGEIFS(INDIRECT("Tabela1["&amp;$D12&amp;"]"),Tabela1[Mês],R$3),"")</f>
        <v/>
      </c>
      <c r="S12" s="37"/>
      <c r="U12" s="9">
        <f ca="1">IFERROR(AVERAGEIFS(INDIRECT("Tabela1["&amp;$D12&amp;"]"),Tabela1[Data],U$3),"")</f>
        <v>7.6</v>
      </c>
      <c r="V12" s="9">
        <f ca="1">IFERROR(AVERAGEIFS(INDIRECT("Tabela1["&amp;$D12&amp;"]"),Tabela1[Data],V$3),"")</f>
        <v>7.5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7.6</v>
      </c>
      <c r="Z12" s="9">
        <f ca="1">IFERROR(AVERAGEIFS(INDIRECT("Tabela1["&amp;$D12&amp;"]"),Tabela1[Data],Z$3),"")</f>
        <v>7.6</v>
      </c>
      <c r="AA12" s="9">
        <f ca="1">IFERROR(AVERAGEIFS(INDIRECT("Tabela1["&amp;$D12&amp;"]"),Tabela1[Data],AA$3),"")</f>
        <v>8</v>
      </c>
      <c r="AB12" s="9">
        <f ca="1">IFERROR(AVERAGEIFS(INDIRECT("Tabela1["&amp;$D12&amp;"]"),Tabela1[Data],AB$3),"")</f>
        <v>8</v>
      </c>
      <c r="AC12" s="9" t="str">
        <f ca="1">IFERROR(AVERAGEIFS(INDIRECT("Tabela1["&amp;$D12&amp;"]"),Tabela1[Data],AC$3),"")</f>
        <v/>
      </c>
      <c r="AD12" s="9" t="str">
        <f ca="1">IFERROR(AVERAGEIFS(INDIRECT("Tabela1["&amp;$D12&amp;"]"),Tabela1[Data],AD$3),"")</f>
        <v/>
      </c>
      <c r="AE12" s="9" t="str">
        <f ca="1">IFERROR(AVERAGEIFS(INDIRECT("Tabela1["&amp;$D12&amp;"]"),Tabela1[Data],AE$3),"")</f>
        <v/>
      </c>
      <c r="AF12" s="9" t="str">
        <f ca="1">IFERROR(AVERAGEIFS(INDIRECT("Tabela1["&amp;$D12&amp;"]"),Tabela1[Data],AF$3),"")</f>
        <v/>
      </c>
      <c r="AG12" s="9" t="str">
        <f ca="1">IFERROR(AVERAGEIFS(INDIRECT("Tabela1["&amp;$D12&amp;"]"),Tabela1[Data],AG$3),"")</f>
        <v/>
      </c>
      <c r="AH12" s="9" t="str">
        <f ca="1">IFERROR(AVERAGEIFS(INDIRECT("Tabela1["&amp;$D12&amp;"]"),Tabela1[Data],AH$3),"")</f>
        <v/>
      </c>
      <c r="AI12" s="9" t="str">
        <f ca="1">IFERROR(AVERAGEIFS(INDIRECT("Tabela1["&amp;$D12&amp;"]"),Tabela1[Data],AI$3),"")</f>
        <v/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2" t="s">
        <v>120</v>
      </c>
      <c r="B13" s="22">
        <f t="shared" si="1"/>
        <v>1</v>
      </c>
      <c r="C13" s="22" t="s">
        <v>123</v>
      </c>
      <c r="D13" s="4" t="str">
        <f t="shared" si="2"/>
        <v>Carne no Front</v>
      </c>
      <c r="E13" s="32" t="str">
        <f>Coleta!K1</f>
        <v>Carne no Front</v>
      </c>
      <c r="F13" s="19">
        <v>1</v>
      </c>
      <c r="G13" s="23" t="str">
        <f ca="1">IFERROR(AVERAGEIFS(INDIRECT("Tabela1["&amp;$D13&amp;"]"),Tabela1[Turno],$F13,Tabela1[Mês],G$3),"")</f>
        <v/>
      </c>
      <c r="H13" s="23" t="str">
        <f ca="1">IFERROR(AVERAGEIFS(INDIRECT("Tabela1["&amp;$D13&amp;"]"),Tabela1[Turno],$F13,Tabela1[Mês],H$3),"")</f>
        <v/>
      </c>
      <c r="I13" s="23" t="str">
        <f ca="1">IFERROR(AVERAGEIFS(INDIRECT("Tabela1["&amp;$D13&amp;"]"),Tabela1[Turno],$F13,Tabela1[Mês],I$3),"")</f>
        <v/>
      </c>
      <c r="J13" s="23" t="str">
        <f ca="1">IFERROR(AVERAGEIFS(INDIRECT("Tabela1["&amp;$D13&amp;"]"),Tabela1[Turno],$F13,Tabela1[Mês],J$3),"")</f>
        <v/>
      </c>
      <c r="K13" s="23" t="str">
        <f ca="1">IFERROR(AVERAGEIFS(INDIRECT("Tabela1["&amp;$D13&amp;"]"),Tabela1[Turno],$F13,Tabela1[Mês],K$3),"")</f>
        <v/>
      </c>
      <c r="L13" s="23" t="str">
        <f ca="1">IFERROR(AVERAGEIFS(INDIRECT("Tabela1["&amp;$D13&amp;"]"),Tabela1[Turno],$F13,Tabela1[Mês],L$3),"")</f>
        <v/>
      </c>
      <c r="M13" s="23" t="str">
        <f ca="1">IFERROR(AVERAGEIFS(INDIRECT("Tabela1["&amp;$D13&amp;"]"),Tabela1[Turno],$F13,Tabela1[Mês],M$3),"")</f>
        <v/>
      </c>
      <c r="N13" s="23">
        <f ca="1">IFERROR(AVERAGEIFS(INDIRECT("Tabela1["&amp;$D13&amp;"]"),Tabela1[Turno],$F13,Tabela1[Mês],N$3),"")</f>
        <v>6.4</v>
      </c>
      <c r="O13" s="23">
        <f ca="1">IFERROR(AVERAGEIFS(INDIRECT("Tabela1["&amp;$D13&amp;"]"),Tabela1[Turno],$F13,Tabela1[Mês],O$3),"")</f>
        <v>6.2666666666666666</v>
      </c>
      <c r="P13" s="23">
        <f ca="1">IFERROR(AVERAGEIFS(INDIRECT("Tabela1["&amp;$D13&amp;"]"),Tabela1[Turno],$F13,Tabela1[Mês],P$3),"")</f>
        <v>5.5714285714285712</v>
      </c>
      <c r="Q13" s="23" t="str">
        <f ca="1">IFERROR(AVERAGEIFS(INDIRECT("Tabela1["&amp;$D13&amp;"]"),Tabela1[Turno],$F13,Tabela1[Mês],Q$3),"")</f>
        <v/>
      </c>
      <c r="R13" s="24" t="str">
        <f ca="1">IFERROR(AVERAGEIFS(INDIRECT("Tabela1["&amp;$D13&amp;"]"),Tabela1[Turno],$F13,Tabela1[Mês],R$3),"")</f>
        <v/>
      </c>
      <c r="S13" s="35">
        <v>10</v>
      </c>
      <c r="U13" s="23">
        <f ca="1">IFERROR(AVERAGEIFS(INDIRECT("Tabela1["&amp;$D13&amp;"]"),Tabela1[Turno],$F13,Tabela1[Data],U$3),"")</f>
        <v>5</v>
      </c>
      <c r="V13" s="23">
        <f ca="1">IFERROR(AVERAGEIFS(INDIRECT("Tabela1["&amp;$D13&amp;"]"),Tabela1[Turno],$F13,Tabela1[Data],V$3),"")</f>
        <v>5</v>
      </c>
      <c r="W13" s="23" t="str">
        <f ca="1">IFERROR(AVERAGEIFS(INDIRECT("Tabela1["&amp;$D13&amp;"]"),Tabela1[Turno],$F13,Tabela1[Data],W$3),"")</f>
        <v/>
      </c>
      <c r="X13" s="23">
        <f ca="1">IFERROR(AVERAGEIFS(INDIRECT("Tabela1["&amp;$D13&amp;"]"),Tabela1[Turno],$F13,Tabela1[Data],X$3),"")</f>
        <v>7</v>
      </c>
      <c r="Y13" s="23">
        <f ca="1">IFERROR(AVERAGEIFS(INDIRECT("Tabela1["&amp;$D13&amp;"]"),Tabela1[Turno],$F13,Tabela1[Data],Y$3),"")</f>
        <v>5</v>
      </c>
      <c r="Z13" s="23">
        <f ca="1">IFERROR(AVERAGEIFS(INDIRECT("Tabela1["&amp;$D13&amp;"]"),Tabela1[Turno],$F13,Tabela1[Data],Z$3),"")</f>
        <v>5</v>
      </c>
      <c r="AA13" s="23">
        <f ca="1">IFERROR(AVERAGEIFS(INDIRECT("Tabela1["&amp;$D13&amp;"]"),Tabela1[Turno],$F13,Tabela1[Data],AA$3),"")</f>
        <v>7</v>
      </c>
      <c r="AB13" s="23">
        <f ca="1">IFERROR(AVERAGEIFS(INDIRECT("Tabela1["&amp;$D13&amp;"]"),Tabela1[Turno],$F13,Tabela1[Data],AB$3),"")</f>
        <v>5</v>
      </c>
      <c r="AC13" s="23" t="str">
        <f ca="1">IFERROR(AVERAGEIFS(INDIRECT("Tabela1["&amp;$D13&amp;"]"),Tabela1[Turno],$F13,Tabela1[Data],AC$3),"")</f>
        <v/>
      </c>
      <c r="AD13" s="23" t="str">
        <f ca="1">IFERROR(AVERAGEIFS(INDIRECT("Tabela1["&amp;$D13&amp;"]"),Tabela1[Turno],$F13,Tabela1[Data],AD$3),"")</f>
        <v/>
      </c>
      <c r="AE13" s="23" t="str">
        <f ca="1">IFERROR(AVERAGEIFS(INDIRECT("Tabela1["&amp;$D13&amp;"]"),Tabela1[Turno],$F13,Tabela1[Data],AE$3),"")</f>
        <v/>
      </c>
      <c r="AF13" s="23" t="str">
        <f ca="1">IFERROR(AVERAGEIFS(INDIRECT("Tabela1["&amp;$D13&amp;"]"),Tabela1[Turno],$F13,Tabela1[Data],AF$3),"")</f>
        <v/>
      </c>
      <c r="AG13" s="23" t="str">
        <f ca="1">IFERROR(AVERAGEIFS(INDIRECT("Tabela1["&amp;$D13&amp;"]"),Tabela1[Turno],$F13,Tabela1[Data],AG$3),"")</f>
        <v/>
      </c>
      <c r="AH13" s="23" t="str">
        <f ca="1">IFERROR(AVERAGEIFS(INDIRECT("Tabela1["&amp;$D13&amp;"]"),Tabela1[Turno],$F13,Tabela1[Data],AH$3),"")</f>
        <v/>
      </c>
      <c r="AI13" s="23" t="str">
        <f ca="1">IFERROR(AVERAGEIFS(INDIRECT("Tabela1["&amp;$D13&amp;"]"),Tabela1[Turno],$F13,Tabela1[Data],AI$3),"")</f>
        <v/>
      </c>
      <c r="AJ13" s="23" t="str">
        <f ca="1">IFERROR(AVERAGEIFS(INDIRECT("Tabela1["&amp;$D13&amp;"]"),Tabela1[Turno],$F13,Tabela1[Data],AJ$3),"")</f>
        <v/>
      </c>
      <c r="AK13" s="23" t="str">
        <f ca="1">IFERROR(AVERAGEIFS(INDIRECT("Tabela1["&amp;$D13&amp;"]"),Tabela1[Turno],$F13,Tabela1[Data],AK$3),"")</f>
        <v/>
      </c>
      <c r="AL13" s="23" t="str">
        <f ca="1">IFERROR(AVERAGEIFS(INDIRECT("Tabela1["&amp;$D13&amp;"]"),Tabela1[Turno],$F13,Tabela1[Data],AL$3),"")</f>
        <v/>
      </c>
      <c r="AM13" s="23" t="str">
        <f ca="1">IFERROR(AVERAGEIFS(INDIRECT("Tabela1["&amp;$D13&amp;"]"),Tabela1[Turno],$F13,Tabela1[Data],AM$3),"")</f>
        <v/>
      </c>
      <c r="AN13" s="23" t="str">
        <f ca="1">IFERROR(AVERAGEIFS(INDIRECT("Tabela1["&amp;$D13&amp;"]"),Tabela1[Turno],$F13,Tabela1[Data],AN$3),"")</f>
        <v/>
      </c>
      <c r="AO13" s="23" t="str">
        <f ca="1">IFERROR(AVERAGEIFS(INDIRECT("Tabela1["&amp;$D13&amp;"]"),Tabela1[Turno],$F13,Tabela1[Data],AO$3),"")</f>
        <v/>
      </c>
      <c r="AP13" s="23" t="str">
        <f ca="1">IFERROR(AVERAGEIFS(INDIRECT("Tabela1["&amp;$D13&amp;"]"),Tabela1[Turno],$F13,Tabela1[Data],AP$3),"")</f>
        <v/>
      </c>
      <c r="AQ13" s="23" t="str">
        <f ca="1">IFERROR(AVERAGEIFS(INDIRECT("Tabela1["&amp;$D13&amp;"]"),Tabela1[Turno],$F13,Tabela1[Data],AQ$3),"")</f>
        <v/>
      </c>
      <c r="AR13" s="23" t="str">
        <f ca="1">IFERROR(AVERAGEIFS(INDIRECT("Tabela1["&amp;$D13&amp;"]"),Tabela1[Turno],$F13,Tabela1[Data],AR$3),"")</f>
        <v/>
      </c>
    </row>
    <row r="14" spans="1:44" x14ac:dyDescent="0.25">
      <c r="A14" s="22" t="s">
        <v>120</v>
      </c>
      <c r="B14" s="22">
        <f t="shared" si="1"/>
        <v>2</v>
      </c>
      <c r="C14" s="22" t="s">
        <v>123</v>
      </c>
      <c r="D14" s="4" t="str">
        <f t="shared" si="2"/>
        <v>Carne no Front</v>
      </c>
      <c r="E14" s="33"/>
      <c r="F14" s="20">
        <v>2</v>
      </c>
      <c r="G14" s="11" t="str">
        <f ca="1">IFERROR(AVERAGEIFS(INDIRECT("Tabela1["&amp;$D14&amp;"]"),Tabela1[Turno],$F14,Tabela1[Mês],G$3),"")</f>
        <v/>
      </c>
      <c r="H14" s="11" t="str">
        <f ca="1">IFERROR(AVERAGEIFS(INDIRECT("Tabela1["&amp;$D14&amp;"]"),Tabela1[Turno],$F14,Tabela1[Mês],H$3),"")</f>
        <v/>
      </c>
      <c r="I14" s="11" t="str">
        <f ca="1">IFERROR(AVERAGEIFS(INDIRECT("Tabela1["&amp;$D14&amp;"]"),Tabela1[Turno],$F14,Tabela1[Mês],I$3),"")</f>
        <v/>
      </c>
      <c r="J14" s="11" t="str">
        <f ca="1">IFERROR(AVERAGEIFS(INDIRECT("Tabela1["&amp;$D14&amp;"]"),Tabela1[Turno],$F14,Tabela1[Mês],J$3),"")</f>
        <v/>
      </c>
      <c r="K14" s="11" t="str">
        <f ca="1">IFERROR(AVERAGEIFS(INDIRECT("Tabela1["&amp;$D14&amp;"]"),Tabela1[Turno],$F14,Tabela1[Mês],K$3),"")</f>
        <v/>
      </c>
      <c r="L14" s="11" t="str">
        <f ca="1">IFERROR(AVERAGEIFS(INDIRECT("Tabela1["&amp;$D14&amp;"]"),Tabela1[Turno],$F14,Tabela1[Mês],L$3),"")</f>
        <v/>
      </c>
      <c r="M14" s="11" t="str">
        <f ca="1">IFERROR(AVERAGEIFS(INDIRECT("Tabela1["&amp;$D14&amp;"]"),Tabela1[Turno],$F14,Tabela1[Mês],M$3),"")</f>
        <v/>
      </c>
      <c r="N14" s="11">
        <f ca="1">IFERROR(AVERAGEIFS(INDIRECT("Tabela1["&amp;$D14&amp;"]"),Tabela1[Turno],$F14,Tabela1[Mês],N$3),"")</f>
        <v>5.2647058823529411</v>
      </c>
      <c r="O14" s="11">
        <f ca="1">IFERROR(AVERAGEIFS(INDIRECT("Tabela1["&amp;$D14&amp;"]"),Tabela1[Turno],$F14,Tabela1[Mês],O$3),"")</f>
        <v>5.3294117647058821</v>
      </c>
      <c r="P14" s="11">
        <f ca="1">IFERROR(AVERAGEIFS(INDIRECT("Tabela1["&amp;$D14&amp;"]"),Tabela1[Turno],$F14,Tabela1[Mês],P$3),"")</f>
        <v>5.67741935483871</v>
      </c>
      <c r="Q14" s="11" t="str">
        <f ca="1">IFERROR(AVERAGEIFS(INDIRECT("Tabela1["&amp;$D14&amp;"]"),Tabela1[Turno],$F14,Tabela1[Mês],Q$3),"")</f>
        <v/>
      </c>
      <c r="R14" s="12" t="str">
        <f ca="1">IFERROR(AVERAGEIFS(INDIRECT("Tabela1["&amp;$D14&amp;"]"),Tabela1[Turno],$F14,Tabela1[Mês],R$3),"")</f>
        <v/>
      </c>
      <c r="S14" s="36"/>
      <c r="U14" s="11">
        <f ca="1">IFERROR(AVERAGEIFS(INDIRECT("Tabela1["&amp;$D14&amp;"]"),Tabela1[Turno],$F14,Tabela1[Data],U$3),"")</f>
        <v>5.5</v>
      </c>
      <c r="V14" s="11">
        <f ca="1">IFERROR(AVERAGEIFS(INDIRECT("Tabela1["&amp;$D14&amp;"]"),Tabela1[Turno],$F14,Tabela1[Data],V$3),"")</f>
        <v>5.8</v>
      </c>
      <c r="W14" s="11">
        <f ca="1">IFERROR(AVERAGEIFS(INDIRECT("Tabela1["&amp;$D14&amp;"]"),Tabela1[Turno],$F14,Tabela1[Data],W$3),"")</f>
        <v>5</v>
      </c>
      <c r="X14" s="11">
        <f ca="1">IFERROR(AVERAGEIFS(INDIRECT("Tabela1["&amp;$D14&amp;"]"),Tabela1[Turno],$F14,Tabela1[Data],X$3),"")</f>
        <v>5.5</v>
      </c>
      <c r="Y14" s="11">
        <f ca="1">IFERROR(AVERAGEIFS(INDIRECT("Tabela1["&amp;$D14&amp;"]"),Tabela1[Turno],$F14,Tabela1[Data],Y$3),"")</f>
        <v>5</v>
      </c>
      <c r="Z14" s="11">
        <f ca="1">IFERROR(AVERAGEIFS(INDIRECT("Tabela1["&amp;$D14&amp;"]"),Tabela1[Turno],$F14,Tabela1[Data],Z$3),"")</f>
        <v>5.5</v>
      </c>
      <c r="AA14" s="11">
        <f ca="1">IFERROR(AVERAGEIFS(INDIRECT("Tabela1["&amp;$D14&amp;"]"),Tabela1[Turno],$F14,Tabela1[Data],AA$3),"")</f>
        <v>6.8</v>
      </c>
      <c r="AB14" s="11">
        <f ca="1">IFERROR(AVERAGEIFS(INDIRECT("Tabela1["&amp;$D14&amp;"]"),Tabela1[Turno],$F14,Tabela1[Data],AB$3),"")</f>
        <v>6</v>
      </c>
      <c r="AC14" s="11" t="str">
        <f ca="1">IFERROR(AVERAGEIFS(INDIRECT("Tabela1["&amp;$D14&amp;"]"),Tabela1[Turno],$F14,Tabela1[Data],AC$3),"")</f>
        <v/>
      </c>
      <c r="AD14" s="11" t="str">
        <f ca="1">IFERROR(AVERAGEIFS(INDIRECT("Tabela1["&amp;$D14&amp;"]"),Tabela1[Turno],$F14,Tabela1[Data],AD$3),"")</f>
        <v/>
      </c>
      <c r="AE14" s="11" t="str">
        <f ca="1">IFERROR(AVERAGEIFS(INDIRECT("Tabela1["&amp;$D14&amp;"]"),Tabela1[Turno],$F14,Tabela1[Data],AE$3),"")</f>
        <v/>
      </c>
      <c r="AF14" s="11" t="str">
        <f ca="1">IFERROR(AVERAGEIFS(INDIRECT("Tabela1["&amp;$D14&amp;"]"),Tabela1[Turno],$F14,Tabela1[Data],AF$3),"")</f>
        <v/>
      </c>
      <c r="AG14" s="11" t="str">
        <f ca="1">IFERROR(AVERAGEIFS(INDIRECT("Tabela1["&amp;$D14&amp;"]"),Tabela1[Turno],$F14,Tabela1[Data],AG$3),"")</f>
        <v/>
      </c>
      <c r="AH14" s="11" t="str">
        <f ca="1">IFERROR(AVERAGEIFS(INDIRECT("Tabela1["&amp;$D14&amp;"]"),Tabela1[Turno],$F14,Tabela1[Data],AH$3),"")</f>
        <v/>
      </c>
      <c r="AI14" s="11" t="str">
        <f ca="1">IFERROR(AVERAGEIFS(INDIRECT("Tabela1["&amp;$D14&amp;"]"),Tabela1[Turno],$F14,Tabela1[Data],AI$3),"")</f>
        <v/>
      </c>
      <c r="AJ14" s="11" t="str">
        <f ca="1">IFERROR(AVERAGEIFS(INDIRECT("Tabela1["&amp;$D14&amp;"]"),Tabela1[Turno],$F14,Tabela1[Data],AJ$3),"")</f>
        <v/>
      </c>
      <c r="AK14" s="11" t="str">
        <f ca="1">IFERROR(AVERAGEIFS(INDIRECT("Tabela1["&amp;$D14&amp;"]"),Tabela1[Turno],$F14,Tabela1[Data],AK$3),"")</f>
        <v/>
      </c>
      <c r="AL14" s="11" t="str">
        <f ca="1">IFERROR(AVERAGEIFS(INDIRECT("Tabela1["&amp;$D14&amp;"]"),Tabela1[Turno],$F14,Tabela1[Data],AL$3),"")</f>
        <v/>
      </c>
      <c r="AM14" s="11" t="str">
        <f ca="1">IFERROR(AVERAGEIFS(INDIRECT("Tabela1["&amp;$D14&amp;"]"),Tabela1[Turno],$F14,Tabela1[Data],AM$3),"")</f>
        <v/>
      </c>
      <c r="AN14" s="11" t="str">
        <f ca="1">IFERROR(AVERAGEIFS(INDIRECT("Tabela1["&amp;$D14&amp;"]"),Tabela1[Turno],$F14,Tabela1[Data],AN$3),"")</f>
        <v/>
      </c>
      <c r="AO14" s="11" t="str">
        <f ca="1">IFERROR(AVERAGEIFS(INDIRECT("Tabela1["&amp;$D14&amp;"]"),Tabela1[Turno],$F14,Tabela1[Data],AO$3),"")</f>
        <v/>
      </c>
      <c r="AP14" s="11" t="str">
        <f ca="1">IFERROR(AVERAGEIFS(INDIRECT("Tabela1["&amp;$D14&amp;"]"),Tabela1[Turno],$F14,Tabela1[Data],AP$3),"")</f>
        <v/>
      </c>
      <c r="AQ14" s="11" t="str">
        <f ca="1">IFERROR(AVERAGEIFS(INDIRECT("Tabela1["&amp;$D14&amp;"]"),Tabela1[Turno],$F14,Tabela1[Data],AQ$3),"")</f>
        <v/>
      </c>
      <c r="AR14" s="11" t="str">
        <f ca="1">IFERROR(AVERAGEIFS(INDIRECT("Tabela1["&amp;$D14&amp;"]"),Tabela1[Turno],$F14,Tabela1[Data],AR$3),"")</f>
        <v/>
      </c>
    </row>
    <row r="15" spans="1:44" ht="15.75" thickBot="1" x14ac:dyDescent="0.3">
      <c r="A15" s="22" t="s">
        <v>120</v>
      </c>
      <c r="B15" s="22" t="str">
        <f t="shared" si="1"/>
        <v>Unidade</v>
      </c>
      <c r="C15" s="22" t="s">
        <v>123</v>
      </c>
      <c r="D15" s="4" t="str">
        <f t="shared" si="2"/>
        <v>Carne no Front</v>
      </c>
      <c r="E15" s="34"/>
      <c r="F15" s="21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5.47</v>
      </c>
      <c r="P15" s="9">
        <f ca="1">IFERROR(AVERAGEIFS(INDIRECT("Tabela1["&amp;$D15&amp;"]"),Tabela1[Mês],P$3),"")</f>
        <v>5.6578947368421053</v>
      </c>
      <c r="Q15" s="9" t="str">
        <f ca="1">IFERROR(AVERAGEIFS(INDIRECT("Tabela1["&amp;$D15&amp;"]"),Tabela1[Mês],Q$3),"")</f>
        <v/>
      </c>
      <c r="R15" s="13" t="str">
        <f ca="1">IFERROR(AVERAGEIFS(INDIRECT("Tabela1["&amp;$D15&amp;"]"),Tabela1[Mês],R$3),"")</f>
        <v/>
      </c>
      <c r="S15" s="37"/>
      <c r="U15" s="9">
        <f ca="1">IFERROR(AVERAGEIFS(INDIRECT("Tabela1["&amp;$D15&amp;"]"),Tabela1[Data],U$3),"")</f>
        <v>5.4</v>
      </c>
      <c r="V15" s="9">
        <f ca="1">IFERROR(AVERAGEIFS(INDIRECT("Tabela1["&amp;$D15&amp;"]"),Tabela1[Data],V$3),"")</f>
        <v>5.666666666666667</v>
      </c>
      <c r="W15" s="9">
        <f ca="1">IFERROR(AVERAGEIFS(INDIRECT("Tabela1["&amp;$D15&amp;"]"),Tabela1[Data],W$3),"")</f>
        <v>5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</v>
      </c>
      <c r="Z15" s="9">
        <f ca="1">IFERROR(AVERAGEIFS(INDIRECT("Tabela1["&amp;$D15&amp;"]"),Tabela1[Data],Z$3),"")</f>
        <v>5.4</v>
      </c>
      <c r="AA15" s="9">
        <f ca="1">IFERROR(AVERAGEIFS(INDIRECT("Tabela1["&amp;$D15&amp;"]"),Tabela1[Data],AA$3),"")</f>
        <v>6.833333333333333</v>
      </c>
      <c r="AB15" s="9">
        <f ca="1">IFERROR(AVERAGEIFS(INDIRECT("Tabela1["&amp;$D15&amp;"]"),Tabela1[Data],AB$3),"")</f>
        <v>5.666666666666667</v>
      </c>
      <c r="AC15" s="9" t="str">
        <f ca="1">IFERROR(AVERAGEIFS(INDIRECT("Tabela1["&amp;$D15&amp;"]"),Tabela1[Data],AC$3),"")</f>
        <v/>
      </c>
      <c r="AD15" s="9" t="str">
        <f ca="1">IFERROR(AVERAGEIFS(INDIRECT("Tabela1["&amp;$D15&amp;"]"),Tabela1[Data],AD$3),"")</f>
        <v/>
      </c>
      <c r="AE15" s="9" t="str">
        <f ca="1">IFERROR(AVERAGEIFS(INDIRECT("Tabela1["&amp;$D15&amp;"]"),Tabela1[Data],AE$3),"")</f>
        <v/>
      </c>
      <c r="AF15" s="9" t="str">
        <f ca="1">IFERROR(AVERAGEIFS(INDIRECT("Tabela1["&amp;$D15&amp;"]"),Tabela1[Data],AF$3),"")</f>
        <v/>
      </c>
      <c r="AG15" s="9" t="str">
        <f ca="1">IFERROR(AVERAGEIFS(INDIRECT("Tabela1["&amp;$D15&amp;"]"),Tabela1[Data],AG$3),"")</f>
        <v/>
      </c>
      <c r="AH15" s="9" t="str">
        <f ca="1">IFERROR(AVERAGEIFS(INDIRECT("Tabela1["&amp;$D15&amp;"]"),Tabela1[Data],AH$3),"")</f>
        <v/>
      </c>
      <c r="AI15" s="9" t="str">
        <f ca="1">IFERROR(AVERAGEIFS(INDIRECT("Tabela1["&amp;$D15&amp;"]"),Tabela1[Data],AI$3),"")</f>
        <v/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2" t="s">
        <v>120</v>
      </c>
      <c r="B16" s="22">
        <f t="shared" si="1"/>
        <v>1</v>
      </c>
      <c r="C16" s="22" t="s">
        <v>162</v>
      </c>
      <c r="D16" s="4" t="str">
        <f>IF(E16=0,#REF!,E16)</f>
        <v>% Eficiência da Pinçagem</v>
      </c>
      <c r="E16" s="32" t="str">
        <f>Coleta!N1</f>
        <v>% Eficiência da Pinçagem</v>
      </c>
      <c r="F16" s="19">
        <v>1</v>
      </c>
      <c r="G16" s="25">
        <f ca="1">IFERROR(AVERAGEIFS(INDIRECT("Tabela1["&amp;$D16&amp;"]"),Tabela1[Turno],$F16,Tabela1[Mês],G$3)/100,"")</f>
        <v>0.6</v>
      </c>
      <c r="H16" s="25">
        <f ca="1">IFERROR(AVERAGEIFS(INDIRECT("Tabela1["&amp;$D16&amp;"]"),Tabela1[Turno],$F16,Tabela1[Mês],H$3)/100,"")</f>
        <v>0.53</v>
      </c>
      <c r="I16" s="25">
        <f ca="1">IFERROR(AVERAGEIFS(INDIRECT("Tabela1["&amp;$D16&amp;"]"),Tabela1[Turno],$F16,Tabela1[Mês],I$3)/100,"")</f>
        <v>0.44</v>
      </c>
      <c r="J16" s="25">
        <f ca="1">IFERROR(AVERAGEIFS(INDIRECT("Tabela1["&amp;$D16&amp;"]"),Tabela1[Turno],$F16,Tabela1[Mês],J$3)/100,"")</f>
        <v>0.23</v>
      </c>
      <c r="K16" s="25">
        <f ca="1">IFERROR(AVERAGEIFS(INDIRECT("Tabela1["&amp;$D16&amp;"]"),Tabela1[Turno],$F16,Tabela1[Mês],K$3)/100,"")</f>
        <v>0.49</v>
      </c>
      <c r="L16" s="25">
        <f ca="1">IFERROR(AVERAGEIFS(INDIRECT("Tabela1["&amp;$D16&amp;"]"),Tabela1[Turno],$F16,Tabela1[Mês],L$3)/100,"")</f>
        <v>0.64</v>
      </c>
      <c r="M16" s="25">
        <f ca="1">IFERROR(AVERAGEIFS(INDIRECT("Tabela1["&amp;$D16&amp;"]"),Tabela1[Turno],$F16,Tabela1[Mês],M$3)/100,"")</f>
        <v>0.54</v>
      </c>
      <c r="N16" s="25">
        <f ca="1">IFERROR(AVERAGEIFS(INDIRECT("Tabela1["&amp;$D16&amp;"]"),Tabela1[Turno],$F16,Tabela1[Mês],N$3)/100,"")</f>
        <v>0.84400000000000008</v>
      </c>
      <c r="O16" s="25">
        <f ca="1">IFERROR(AVERAGEIFS(INDIRECT("Tabela1["&amp;$D16&amp;"]"),Tabela1[Turno],$F16,Tabela1[Mês],O$3)/100,"")</f>
        <v>0.79874999999999996</v>
      </c>
      <c r="P16" s="25">
        <f ca="1">IFERROR(AVERAGEIFS(INDIRECT("Tabela1["&amp;$D16&amp;"]"),Tabela1[Turno],$F16,Tabela1[Mês],P$3)/100,"")</f>
        <v>0.82</v>
      </c>
      <c r="Q16" s="25" t="str">
        <f ca="1">IFERROR(AVERAGEIFS(INDIRECT("Tabela1["&amp;$D16&amp;"]"),Tabela1[Turno],$F16,Tabela1[Mês],Q$3)/100,"")</f>
        <v/>
      </c>
      <c r="R16" s="26" t="str">
        <f ca="1">IFERROR(AVERAGEIFS(INDIRECT("Tabela1["&amp;$D16&amp;"]"),Tabela1[Turno],$F16,Tabela1[Mês],R$3)/100,"")</f>
        <v/>
      </c>
      <c r="S16" s="38">
        <v>0.95</v>
      </c>
      <c r="U16" s="25">
        <f ca="1">IFERROR(AVERAGEIFS(INDIRECT("Tabela1["&amp;$D16&amp;"]"),Tabela1[Turno],$F16,Tabela1[Data],U$3)/100,"")</f>
        <v>0.84</v>
      </c>
      <c r="V16" s="25">
        <f ca="1">IFERROR(AVERAGEIFS(INDIRECT("Tabela1["&amp;$D16&amp;"]"),Tabela1[Turno],$F16,Tabela1[Data],V$3)/100,"")</f>
        <v>0.83</v>
      </c>
      <c r="W16" s="25" t="str">
        <f ca="1">IFERROR(AVERAGEIFS(INDIRECT("Tabela1["&amp;$D16&amp;"]"),Tabela1[Turno],$F16,Tabela1[Data],W$3)/100,"")</f>
        <v/>
      </c>
      <c r="X16" s="25">
        <f ca="1">IFERROR(AVERAGEIFS(INDIRECT("Tabela1["&amp;$D16&amp;"]"),Tabela1[Turno],$F16,Tabela1[Data],X$3)/100,"")</f>
        <v>0.83</v>
      </c>
      <c r="Y16" s="25">
        <f ca="1">IFERROR(AVERAGEIFS(INDIRECT("Tabela1["&amp;$D16&amp;"]"),Tabela1[Turno],$F16,Tabela1[Data],Y$3)/100,"")</f>
        <v>0.79</v>
      </c>
      <c r="Z16" s="25">
        <f ca="1">IFERROR(AVERAGEIFS(INDIRECT("Tabela1["&amp;$D16&amp;"]"),Tabela1[Turno],$F16,Tabela1[Data],Z$3)/100,"")</f>
        <v>0.84</v>
      </c>
      <c r="AA16" s="25">
        <f ca="1">IFERROR(AVERAGEIFS(INDIRECT("Tabela1["&amp;$D16&amp;"]"),Tabela1[Turno],$F16,Tabela1[Data],AA$3)/100,"")</f>
        <v>0.81</v>
      </c>
      <c r="AB16" s="25">
        <f ca="1">IFERROR(AVERAGEIFS(INDIRECT("Tabela1["&amp;$D16&amp;"]"),Tabela1[Turno],$F16,Tabela1[Data],AB$3)/100,"")</f>
        <v>0.8</v>
      </c>
      <c r="AC16" s="25" t="str">
        <f ca="1">IFERROR(AVERAGEIFS(INDIRECT("Tabela1["&amp;$D16&amp;"]"),Tabela1[Turno],$F16,Tabela1[Data],AC$3)/100,"")</f>
        <v/>
      </c>
      <c r="AD16" s="25" t="str">
        <f ca="1">IFERROR(AVERAGEIFS(INDIRECT("Tabela1["&amp;$D16&amp;"]"),Tabela1[Turno],$F16,Tabela1[Data],AD$3)/100,"")</f>
        <v/>
      </c>
      <c r="AE16" s="25" t="str">
        <f ca="1">IFERROR(AVERAGEIFS(INDIRECT("Tabela1["&amp;$D16&amp;"]"),Tabela1[Turno],$F16,Tabela1[Data],AE$3)/100,"")</f>
        <v/>
      </c>
      <c r="AF16" s="25" t="str">
        <f ca="1">IFERROR(AVERAGEIFS(INDIRECT("Tabela1["&amp;$D16&amp;"]"),Tabela1[Turno],$F16,Tabela1[Data],AF$3)/100,"")</f>
        <v/>
      </c>
      <c r="AG16" s="25" t="str">
        <f ca="1">IFERROR(AVERAGEIFS(INDIRECT("Tabela1["&amp;$D16&amp;"]"),Tabela1[Turno],$F16,Tabela1[Data],AG$3)/100,"")</f>
        <v/>
      </c>
      <c r="AH16" s="25" t="str">
        <f ca="1">IFERROR(AVERAGEIFS(INDIRECT("Tabela1["&amp;$D16&amp;"]"),Tabela1[Turno],$F16,Tabela1[Data],AH$3)/100,"")</f>
        <v/>
      </c>
      <c r="AI16" s="25" t="str">
        <f ca="1">IFERROR(AVERAGEIFS(INDIRECT("Tabela1["&amp;$D16&amp;"]"),Tabela1[Turno],$F16,Tabela1[Data],AI$3)/100,"")</f>
        <v/>
      </c>
      <c r="AJ16" s="25" t="str">
        <f ca="1">IFERROR(AVERAGEIFS(INDIRECT("Tabela1["&amp;$D16&amp;"]"),Tabela1[Turno],$F16,Tabela1[Data],AJ$3)/100,"")</f>
        <v/>
      </c>
      <c r="AK16" s="25" t="str">
        <f ca="1">IFERROR(AVERAGEIFS(INDIRECT("Tabela1["&amp;$D16&amp;"]"),Tabela1[Turno],$F16,Tabela1[Data],AK$3)/100,"")</f>
        <v/>
      </c>
      <c r="AL16" s="25" t="str">
        <f ca="1">IFERROR(AVERAGEIFS(INDIRECT("Tabela1["&amp;$D16&amp;"]"),Tabela1[Turno],$F16,Tabela1[Data],AL$3)/100,"")</f>
        <v/>
      </c>
      <c r="AM16" s="25" t="str">
        <f ca="1">IFERROR(AVERAGEIFS(INDIRECT("Tabela1["&amp;$D16&amp;"]"),Tabela1[Turno],$F16,Tabela1[Data],AM$3)/100,"")</f>
        <v/>
      </c>
      <c r="AN16" s="25" t="str">
        <f ca="1">IFERROR(AVERAGEIFS(INDIRECT("Tabela1["&amp;$D16&amp;"]"),Tabela1[Turno],$F16,Tabela1[Data],AN$3)/100,"")</f>
        <v/>
      </c>
      <c r="AO16" s="25" t="str">
        <f ca="1">IFERROR(AVERAGEIFS(INDIRECT("Tabela1["&amp;$D16&amp;"]"),Tabela1[Turno],$F16,Tabela1[Data],AO$3)/100,"")</f>
        <v/>
      </c>
      <c r="AP16" s="25" t="str">
        <f ca="1">IFERROR(AVERAGEIFS(INDIRECT("Tabela1["&amp;$D16&amp;"]"),Tabela1[Turno],$F16,Tabela1[Data],AP$3)/100,"")</f>
        <v/>
      </c>
      <c r="AQ16" s="25" t="str">
        <f ca="1">IFERROR(AVERAGEIFS(INDIRECT("Tabela1["&amp;$D16&amp;"]"),Tabela1[Turno],$F16,Tabela1[Data],AQ$3)/100,"")</f>
        <v/>
      </c>
      <c r="AR16" s="25" t="str">
        <f ca="1">IFERROR(AVERAGEIFS(INDIRECT("Tabela1["&amp;$D16&amp;"]"),Tabela1[Turno],$F16,Tabela1[Data],AR$3)/100,"")</f>
        <v/>
      </c>
    </row>
    <row r="17" spans="1:44" x14ac:dyDescent="0.25">
      <c r="A17" s="22" t="s">
        <v>120</v>
      </c>
      <c r="B17" s="22">
        <f t="shared" si="1"/>
        <v>2</v>
      </c>
      <c r="C17" s="22" t="s">
        <v>162</v>
      </c>
      <c r="D17" s="4" t="str">
        <f t="shared" si="2"/>
        <v>% Eficiência da Pinçagem</v>
      </c>
      <c r="E17" s="33"/>
      <c r="F17" s="20">
        <v>2</v>
      </c>
      <c r="G17" s="14">
        <f ca="1">IFERROR(AVERAGEIFS(INDIRECT("Tabela1["&amp;$D17&amp;"]"),Tabela1[Turno],$F17,Tabela1[Mês],G$3)/100,"")</f>
        <v>0.57999999999999996</v>
      </c>
      <c r="H17" s="14">
        <f ca="1">IFERROR(AVERAGEIFS(INDIRECT("Tabela1["&amp;$D17&amp;"]"),Tabela1[Turno],$F17,Tabela1[Mês],H$3)/100,"")</f>
        <v>0.56000000000000005</v>
      </c>
      <c r="I17" s="14">
        <f ca="1">IFERROR(AVERAGEIFS(INDIRECT("Tabela1["&amp;$D17&amp;"]"),Tabela1[Turno],$F17,Tabela1[Mês],I$3)/100,"")</f>
        <v>0.44</v>
      </c>
      <c r="J17" s="14">
        <f ca="1">IFERROR(AVERAGEIFS(INDIRECT("Tabela1["&amp;$D17&amp;"]"),Tabela1[Turno],$F17,Tabela1[Mês],J$3)/100,"")</f>
        <v>0.19</v>
      </c>
      <c r="K17" s="14">
        <f ca="1">IFERROR(AVERAGEIFS(INDIRECT("Tabela1["&amp;$D17&amp;"]"),Tabela1[Turno],$F17,Tabela1[Mês],K$3)/100,"")</f>
        <v>0.56999999999999995</v>
      </c>
      <c r="L17" s="14">
        <f ca="1">IFERROR(AVERAGEIFS(INDIRECT("Tabela1["&amp;$D17&amp;"]"),Tabela1[Turno],$F17,Tabela1[Mês],L$3)/100,"")</f>
        <v>0.6</v>
      </c>
      <c r="M17" s="14">
        <f ca="1">IFERROR(AVERAGEIFS(INDIRECT("Tabela1["&amp;$D17&amp;"]"),Tabela1[Turno],$F17,Tabela1[Mês],M$3)/100,"")</f>
        <v>0.66</v>
      </c>
      <c r="N17" s="14">
        <f ca="1">IFERROR(AVERAGEIFS(INDIRECT("Tabela1["&amp;$D17&amp;"]"),Tabela1[Turno],$F17,Tabela1[Mês],N$3)/100,"")</f>
        <v>0.74628571428571433</v>
      </c>
      <c r="O17" s="14">
        <f ca="1">IFERROR(AVERAGEIFS(INDIRECT("Tabela1["&amp;$D17&amp;"]"),Tabela1[Turno],$F17,Tabela1[Mês],O$3)/100,"")</f>
        <v>0.80141176470588238</v>
      </c>
      <c r="P17" s="14">
        <f ca="1">IFERROR(AVERAGEIFS(INDIRECT("Tabela1["&amp;$D17&amp;"]"),Tabela1[Turno],$F17,Tabela1[Mês],P$3)/100,"")</f>
        <v>0.73774193548387101</v>
      </c>
      <c r="Q17" s="14" t="str">
        <f ca="1">IFERROR(AVERAGEIFS(INDIRECT("Tabela1["&amp;$D17&amp;"]"),Tabela1[Turno],$F17,Tabela1[Mês],Q$3)/100,"")</f>
        <v/>
      </c>
      <c r="R17" s="15" t="str">
        <f ca="1">IFERROR(AVERAGEIFS(INDIRECT("Tabela1["&amp;$D17&amp;"]"),Tabela1[Turno],$F17,Tabela1[Mês],R$3)/100,"")</f>
        <v/>
      </c>
      <c r="S17" s="36"/>
      <c r="U17" s="14">
        <f ca="1">IFERROR(AVERAGEIFS(INDIRECT("Tabela1["&amp;$D17&amp;"]"),Tabela1[Turno],$F17,Tabela1[Data],U$3)/100,"")</f>
        <v>0.8075</v>
      </c>
      <c r="V17" s="14">
        <f ca="1">IFERROR(AVERAGEIFS(INDIRECT("Tabela1["&amp;$D17&amp;"]"),Tabela1[Turno],$F17,Tabela1[Data],V$3)/100,"")</f>
        <v>0.77200000000000002</v>
      </c>
      <c r="W17" s="14">
        <f ca="1">IFERROR(AVERAGEIFS(INDIRECT("Tabela1["&amp;$D17&amp;"]"),Tabela1[Turno],$F17,Tabela1[Data],W$3)/100,"")</f>
        <v>0.84</v>
      </c>
      <c r="X17" s="14">
        <f ca="1">IFERROR(AVERAGEIFS(INDIRECT("Tabela1["&amp;$D17&amp;"]"),Tabela1[Turno],$F17,Tabela1[Data],X$3)/100,"")</f>
        <v>0.67749999999999999</v>
      </c>
      <c r="Y17" s="14">
        <f ca="1">IFERROR(AVERAGEIFS(INDIRECT("Tabela1["&amp;$D17&amp;"]"),Tabela1[Turno],$F17,Tabela1[Data],Y$3)/100,"")</f>
        <v>0.63749999999999996</v>
      </c>
      <c r="Z17" s="14">
        <f ca="1">IFERROR(AVERAGEIFS(INDIRECT("Tabela1["&amp;$D17&amp;"]"),Tabela1[Turno],$F17,Tabela1[Data],Z$3)/100,"")</f>
        <v>0.74250000000000005</v>
      </c>
      <c r="AA17" s="14">
        <f ca="1">IFERROR(AVERAGEIFS(INDIRECT("Tabela1["&amp;$D17&amp;"]"),Tabela1[Turno],$F17,Tabela1[Data],AA$3)/100,"")</f>
        <v>0.73599999999999999</v>
      </c>
      <c r="AB17" s="14">
        <f ca="1">IFERROR(AVERAGEIFS(INDIRECT("Tabela1["&amp;$D17&amp;"]"),Tabela1[Turno],$F17,Tabela1[Data],AB$3)/100,"")</f>
        <v>0.67500000000000004</v>
      </c>
      <c r="AC17" s="14" t="str">
        <f ca="1">IFERROR(AVERAGEIFS(INDIRECT("Tabela1["&amp;$D17&amp;"]"),Tabela1[Turno],$F17,Tabela1[Data],AC$3)/100,"")</f>
        <v/>
      </c>
      <c r="AD17" s="14" t="str">
        <f ca="1">IFERROR(AVERAGEIFS(INDIRECT("Tabela1["&amp;$D17&amp;"]"),Tabela1[Turno],$F17,Tabela1[Data],AD$3)/100,"")</f>
        <v/>
      </c>
      <c r="AE17" s="14" t="str">
        <f ca="1">IFERROR(AVERAGEIFS(INDIRECT("Tabela1["&amp;$D17&amp;"]"),Tabela1[Turno],$F17,Tabela1[Data],AE$3)/100,"")</f>
        <v/>
      </c>
      <c r="AF17" s="14" t="str">
        <f ca="1">IFERROR(AVERAGEIFS(INDIRECT("Tabela1["&amp;$D17&amp;"]"),Tabela1[Turno],$F17,Tabela1[Data],AF$3)/100,"")</f>
        <v/>
      </c>
      <c r="AG17" s="14" t="str">
        <f ca="1">IFERROR(AVERAGEIFS(INDIRECT("Tabela1["&amp;$D17&amp;"]"),Tabela1[Turno],$F17,Tabela1[Data],AG$3)/100,"")</f>
        <v/>
      </c>
      <c r="AH17" s="14" t="str">
        <f ca="1">IFERROR(AVERAGEIFS(INDIRECT("Tabela1["&amp;$D17&amp;"]"),Tabela1[Turno],$F17,Tabela1[Data],AH$3)/100,"")</f>
        <v/>
      </c>
      <c r="AI17" s="14" t="str">
        <f ca="1">IFERROR(AVERAGEIFS(INDIRECT("Tabela1["&amp;$D17&amp;"]"),Tabela1[Turno],$F17,Tabela1[Data],AI$3)/100,"")</f>
        <v/>
      </c>
      <c r="AJ17" s="14" t="str">
        <f ca="1">IFERROR(AVERAGEIFS(INDIRECT("Tabela1["&amp;$D17&amp;"]"),Tabela1[Turno],$F17,Tabela1[Data],AJ$3)/100,"")</f>
        <v/>
      </c>
      <c r="AK17" s="14" t="str">
        <f ca="1">IFERROR(AVERAGEIFS(INDIRECT("Tabela1["&amp;$D17&amp;"]"),Tabela1[Turno],$F17,Tabela1[Data],AK$3)/100,"")</f>
        <v/>
      </c>
      <c r="AL17" s="14" t="str">
        <f ca="1">IFERROR(AVERAGEIFS(INDIRECT("Tabela1["&amp;$D17&amp;"]"),Tabela1[Turno],$F17,Tabela1[Data],AL$3)/100,"")</f>
        <v/>
      </c>
      <c r="AM17" s="14" t="str">
        <f ca="1">IFERROR(AVERAGEIFS(INDIRECT("Tabela1["&amp;$D17&amp;"]"),Tabela1[Turno],$F17,Tabela1[Data],AM$3)/100,"")</f>
        <v/>
      </c>
      <c r="AN17" s="14" t="str">
        <f ca="1">IFERROR(AVERAGEIFS(INDIRECT("Tabela1["&amp;$D17&amp;"]"),Tabela1[Turno],$F17,Tabela1[Data],AN$3)/100,"")</f>
        <v/>
      </c>
      <c r="AO17" s="14" t="str">
        <f ca="1">IFERROR(AVERAGEIFS(INDIRECT("Tabela1["&amp;$D17&amp;"]"),Tabela1[Turno],$F17,Tabela1[Data],AO$3)/100,"")</f>
        <v/>
      </c>
      <c r="AP17" s="14" t="str">
        <f ca="1">IFERROR(AVERAGEIFS(INDIRECT("Tabela1["&amp;$D17&amp;"]"),Tabela1[Turno],$F17,Tabela1[Data],AP$3)/100,"")</f>
        <v/>
      </c>
      <c r="AQ17" s="14" t="str">
        <f ca="1">IFERROR(AVERAGEIFS(INDIRECT("Tabela1["&amp;$D17&amp;"]"),Tabela1[Turno],$F17,Tabela1[Data],AQ$3)/100,"")</f>
        <v/>
      </c>
      <c r="AR17" s="14" t="str">
        <f ca="1">IFERROR(AVERAGEIFS(INDIRECT("Tabela1["&amp;$D17&amp;"]"),Tabela1[Turno],$F17,Tabela1[Data],AR$3)/100,"")</f>
        <v/>
      </c>
    </row>
    <row r="18" spans="1:44" ht="15.75" thickBot="1" x14ac:dyDescent="0.3">
      <c r="A18" s="22" t="s">
        <v>120</v>
      </c>
      <c r="B18" s="22" t="str">
        <f t="shared" si="1"/>
        <v>Unidade</v>
      </c>
      <c r="C18" s="22" t="s">
        <v>162</v>
      </c>
      <c r="D18" s="4" t="str">
        <f t="shared" si="2"/>
        <v>% Eficiência da Pinçagem</v>
      </c>
      <c r="E18" s="34"/>
      <c r="F18" s="21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0.80099009900990092</v>
      </c>
      <c r="P18" s="10">
        <f ca="1">IFERROR(AVERAGEIFS(INDIRECT("Tabela1["&amp;$D18&amp;"]"),Tabela1[Mês],P$3)/100,"")</f>
        <v>0.75289473684210517</v>
      </c>
      <c r="Q18" s="10" t="str">
        <f ca="1">IFERROR(AVERAGEIFS(INDIRECT("Tabela1["&amp;$D18&amp;"]"),Tabela1[Mês],Q$3)/100,"")</f>
        <v/>
      </c>
      <c r="R18" s="16" t="str">
        <f ca="1">IFERROR(AVERAGEIFS(INDIRECT("Tabela1["&amp;$D18&amp;"]"),Tabela1[Mês],R$3)/100,"")</f>
        <v/>
      </c>
      <c r="S18" s="37"/>
      <c r="U18" s="10">
        <f ca="1">IFERROR(AVERAGEIFS(INDIRECT("Tabela1["&amp;$D18&amp;"]"),Tabela1[Data],U$3)/100,"")</f>
        <v>0.81400000000000006</v>
      </c>
      <c r="V18" s="10">
        <f ca="1">IFERROR(AVERAGEIFS(INDIRECT("Tabela1["&amp;$D18&amp;"]"),Tabela1[Data],V$3)/100,"")</f>
        <v>0.78166666666666673</v>
      </c>
      <c r="W18" s="10">
        <f ca="1">IFERROR(AVERAGEIFS(INDIRECT("Tabela1["&amp;$D18&amp;"]"),Tabela1[Data],W$3)/100,"")</f>
        <v>0.84</v>
      </c>
      <c r="X18" s="10">
        <f ca="1">IFERROR(AVERAGEIFS(INDIRECT("Tabela1["&amp;$D18&amp;"]"),Tabela1[Data],X$3)/100,"")</f>
        <v>0.70799999999999996</v>
      </c>
      <c r="Y18" s="10">
        <f ca="1">IFERROR(AVERAGEIFS(INDIRECT("Tabela1["&amp;$D18&amp;"]"),Tabela1[Data],Y$3)/100,"")</f>
        <v>0.66799999999999993</v>
      </c>
      <c r="Z18" s="10">
        <f ca="1">IFERROR(AVERAGEIFS(INDIRECT("Tabela1["&amp;$D18&amp;"]"),Tabela1[Data],Z$3)/100,"")</f>
        <v>0.76200000000000001</v>
      </c>
      <c r="AA18" s="10">
        <f ca="1">IFERROR(AVERAGEIFS(INDIRECT("Tabela1["&amp;$D18&amp;"]"),Tabela1[Data],AA$3)/100,"")</f>
        <v>0.74833333333333329</v>
      </c>
      <c r="AB18" s="10">
        <f ca="1">IFERROR(AVERAGEIFS(INDIRECT("Tabela1["&amp;$D18&amp;"]"),Tabela1[Data],AB$3)/100,"")</f>
        <v>0.71666666666666667</v>
      </c>
      <c r="AC18" s="10" t="str">
        <f ca="1">IFERROR(AVERAGEIFS(INDIRECT("Tabela1["&amp;$D18&amp;"]"),Tabela1[Data],AC$3)/100,"")</f>
        <v/>
      </c>
      <c r="AD18" s="10" t="str">
        <f ca="1">IFERROR(AVERAGEIFS(INDIRECT("Tabela1["&amp;$D18&amp;"]"),Tabela1[Data],AD$3)/100,"")</f>
        <v/>
      </c>
      <c r="AE18" s="10" t="str">
        <f ca="1">IFERROR(AVERAGEIFS(INDIRECT("Tabela1["&amp;$D18&amp;"]"),Tabela1[Data],AE$3)/100,"")</f>
        <v/>
      </c>
      <c r="AF18" s="10" t="str">
        <f ca="1">IFERROR(AVERAGEIFS(INDIRECT("Tabela1["&amp;$D18&amp;"]"),Tabela1[Data],AF$3)/100,"")</f>
        <v/>
      </c>
      <c r="AG18" s="10" t="str">
        <f ca="1">IFERROR(AVERAGEIFS(INDIRECT("Tabela1["&amp;$D18&amp;"]"),Tabela1[Data],AG$3)/100,"")</f>
        <v/>
      </c>
      <c r="AH18" s="10" t="str">
        <f ca="1">IFERROR(AVERAGEIFS(INDIRECT("Tabela1["&amp;$D18&amp;"]"),Tabela1[Data],AH$3)/100,"")</f>
        <v/>
      </c>
      <c r="AI18" s="10" t="str">
        <f ca="1">IFERROR(AVERAGEIFS(INDIRECT("Tabela1["&amp;$D18&amp;"]"),Tabela1[Data],AI$3)/100,"")</f>
        <v/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2" t="s">
        <v>120</v>
      </c>
      <c r="B19" s="22">
        <f t="shared" si="1"/>
        <v>1</v>
      </c>
      <c r="C19" s="22" t="s">
        <v>163</v>
      </c>
      <c r="D19" s="4" t="str">
        <f t="shared" si="2"/>
        <v>% Eficiência remoção cartilagem</v>
      </c>
      <c r="E19" s="32" t="str">
        <f>Coleta!O1</f>
        <v>% Eficiência remoção cartilagem</v>
      </c>
      <c r="F19" s="19">
        <v>1</v>
      </c>
      <c r="G19" s="25" t="str">
        <f ca="1">IFERROR(AVERAGEIFS(INDIRECT("Tabela1["&amp;$D19&amp;"]"),Tabela1[Turno],$F19,Tabela1[Mês],G$3)/100,"")</f>
        <v/>
      </c>
      <c r="H19" s="25" t="str">
        <f ca="1">IFERROR(AVERAGEIFS(INDIRECT("Tabela1["&amp;$D19&amp;"]"),Tabela1[Turno],$F19,Tabela1[Mês],H$3)/100,"")</f>
        <v/>
      </c>
      <c r="I19" s="25" t="str">
        <f ca="1">IFERROR(AVERAGEIFS(INDIRECT("Tabela1["&amp;$D19&amp;"]"),Tabela1[Turno],$F19,Tabela1[Mês],I$3)/100,"")</f>
        <v/>
      </c>
      <c r="J19" s="25" t="str">
        <f ca="1">IFERROR(AVERAGEIFS(INDIRECT("Tabela1["&amp;$D19&amp;"]"),Tabela1[Turno],$F19,Tabela1[Mês],J$3)/100,"")</f>
        <v/>
      </c>
      <c r="K19" s="25" t="str">
        <f ca="1">IFERROR(AVERAGEIFS(INDIRECT("Tabela1["&amp;$D19&amp;"]"),Tabela1[Turno],$F19,Tabela1[Mês],K$3)/100,"")</f>
        <v/>
      </c>
      <c r="L19" s="25" t="str">
        <f ca="1">IFERROR(AVERAGEIFS(INDIRECT("Tabela1["&amp;$D19&amp;"]"),Tabela1[Turno],$F19,Tabela1[Mês],L$3)/100,"")</f>
        <v/>
      </c>
      <c r="M19" s="25" t="str">
        <f ca="1">IFERROR(AVERAGEIFS(INDIRECT("Tabela1["&amp;$D19&amp;"]"),Tabela1[Turno],$F19,Tabela1[Mês],M$3)/100,"")</f>
        <v/>
      </c>
      <c r="N19" s="25">
        <f ca="1">IFERROR(AVERAGEIFS(INDIRECT("Tabela1["&amp;$D19&amp;"]"),Tabela1[Turno],$F19,Tabela1[Mês],N$3)/100,"")</f>
        <v>0.67599999999999993</v>
      </c>
      <c r="O19" s="25">
        <f ca="1">IFERROR(AVERAGEIFS(INDIRECT("Tabela1["&amp;$D19&amp;"]"),Tabela1[Turno],$F19,Tabela1[Mês],O$3)/100,"")</f>
        <v>0.66625000000000001</v>
      </c>
      <c r="P19" s="25">
        <f ca="1">IFERROR(AVERAGEIFS(INDIRECT("Tabela1["&amp;$D19&amp;"]"),Tabela1[Turno],$F19,Tabela1[Mês],P$3)/100,"")</f>
        <v>0.7</v>
      </c>
      <c r="Q19" s="25" t="str">
        <f ca="1">IFERROR(AVERAGEIFS(INDIRECT("Tabela1["&amp;$D19&amp;"]"),Tabela1[Turno],$F19,Tabela1[Mês],Q$3)/100,"")</f>
        <v/>
      </c>
      <c r="R19" s="26" t="str">
        <f ca="1">IFERROR(AVERAGEIFS(INDIRECT("Tabela1["&amp;$D19&amp;"]"),Tabela1[Turno],$F19,Tabela1[Mês],R$3)/100,"")</f>
        <v/>
      </c>
      <c r="S19" s="38">
        <v>0.95</v>
      </c>
      <c r="U19" s="25">
        <f ca="1">IFERROR(AVERAGEIFS(INDIRECT("Tabela1["&amp;$D19&amp;"]"),Tabela1[Turno],$F19,Tabela1[Data],U$3)/100,"")</f>
        <v>0.72</v>
      </c>
      <c r="V19" s="25">
        <f ca="1">IFERROR(AVERAGEIFS(INDIRECT("Tabela1["&amp;$D19&amp;"]"),Tabela1[Turno],$F19,Tabela1[Data],V$3)/100,"")</f>
        <v>0.76</v>
      </c>
      <c r="W19" s="25" t="str">
        <f ca="1">IFERROR(AVERAGEIFS(INDIRECT("Tabela1["&amp;$D19&amp;"]"),Tabela1[Turno],$F19,Tabela1[Data],W$3)/100,"")</f>
        <v/>
      </c>
      <c r="X19" s="25">
        <f ca="1">IFERROR(AVERAGEIFS(INDIRECT("Tabela1["&amp;$D19&amp;"]"),Tabela1[Turno],$F19,Tabela1[Data],X$3)/100,"")</f>
        <v>0.71</v>
      </c>
      <c r="Y19" s="25">
        <f ca="1">IFERROR(AVERAGEIFS(INDIRECT("Tabela1["&amp;$D19&amp;"]"),Tabela1[Turno],$F19,Tabela1[Data],Y$3)/100,"")</f>
        <v>0.64</v>
      </c>
      <c r="Z19" s="25">
        <f ca="1">IFERROR(AVERAGEIFS(INDIRECT("Tabela1["&amp;$D19&amp;"]"),Tabela1[Turno],$F19,Tabela1[Data],Z$3)/100,"")</f>
        <v>0.68</v>
      </c>
      <c r="AA19" s="25">
        <f ca="1">IFERROR(AVERAGEIFS(INDIRECT("Tabela1["&amp;$D19&amp;"]"),Tabela1[Turno],$F19,Tabela1[Data],AA$3)/100,"")</f>
        <v>0.68</v>
      </c>
      <c r="AB19" s="25">
        <f ca="1">IFERROR(AVERAGEIFS(INDIRECT("Tabela1["&amp;$D19&amp;"]"),Tabela1[Turno],$F19,Tabela1[Data],AB$3)/100,"")</f>
        <v>0.71</v>
      </c>
      <c r="AC19" s="25" t="str">
        <f ca="1">IFERROR(AVERAGEIFS(INDIRECT("Tabela1["&amp;$D19&amp;"]"),Tabela1[Turno],$F19,Tabela1[Data],AC$3)/100,"")</f>
        <v/>
      </c>
      <c r="AD19" s="25" t="str">
        <f ca="1">IFERROR(AVERAGEIFS(INDIRECT("Tabela1["&amp;$D19&amp;"]"),Tabela1[Turno],$F19,Tabela1[Data],AD$3)/100,"")</f>
        <v/>
      </c>
      <c r="AE19" s="25" t="str">
        <f ca="1">IFERROR(AVERAGEIFS(INDIRECT("Tabela1["&amp;$D19&amp;"]"),Tabela1[Turno],$F19,Tabela1[Data],AE$3)/100,"")</f>
        <v/>
      </c>
      <c r="AF19" s="25" t="str">
        <f ca="1">IFERROR(AVERAGEIFS(INDIRECT("Tabela1["&amp;$D19&amp;"]"),Tabela1[Turno],$F19,Tabela1[Data],AF$3)/100,"")</f>
        <v/>
      </c>
      <c r="AG19" s="25" t="str">
        <f ca="1">IFERROR(AVERAGEIFS(INDIRECT("Tabela1["&amp;$D19&amp;"]"),Tabela1[Turno],$F19,Tabela1[Data],AG$3)/100,"")</f>
        <v/>
      </c>
      <c r="AH19" s="25" t="str">
        <f ca="1">IFERROR(AVERAGEIFS(INDIRECT("Tabela1["&amp;$D19&amp;"]"),Tabela1[Turno],$F19,Tabela1[Data],AH$3)/100,"")</f>
        <v/>
      </c>
      <c r="AI19" s="25" t="str">
        <f ca="1">IFERROR(AVERAGEIFS(INDIRECT("Tabela1["&amp;$D19&amp;"]"),Tabela1[Turno],$F19,Tabela1[Data],AI$3)/100,"")</f>
        <v/>
      </c>
      <c r="AJ19" s="25" t="str">
        <f ca="1">IFERROR(AVERAGEIFS(INDIRECT("Tabela1["&amp;$D19&amp;"]"),Tabela1[Turno],$F19,Tabela1[Data],AJ$3)/100,"")</f>
        <v/>
      </c>
      <c r="AK19" s="25" t="str">
        <f ca="1">IFERROR(AVERAGEIFS(INDIRECT("Tabela1["&amp;$D19&amp;"]"),Tabela1[Turno],$F19,Tabela1[Data],AK$3)/100,"")</f>
        <v/>
      </c>
      <c r="AL19" s="25" t="str">
        <f ca="1">IFERROR(AVERAGEIFS(INDIRECT("Tabela1["&amp;$D19&amp;"]"),Tabela1[Turno],$F19,Tabela1[Data],AL$3)/100,"")</f>
        <v/>
      </c>
      <c r="AM19" s="25" t="str">
        <f ca="1">IFERROR(AVERAGEIFS(INDIRECT("Tabela1["&amp;$D19&amp;"]"),Tabela1[Turno],$F19,Tabela1[Data],AM$3)/100,"")</f>
        <v/>
      </c>
      <c r="AN19" s="25" t="str">
        <f ca="1">IFERROR(AVERAGEIFS(INDIRECT("Tabela1["&amp;$D19&amp;"]"),Tabela1[Turno],$F19,Tabela1[Data],AN$3)/100,"")</f>
        <v/>
      </c>
      <c r="AO19" s="25" t="str">
        <f ca="1">IFERROR(AVERAGEIFS(INDIRECT("Tabela1["&amp;$D19&amp;"]"),Tabela1[Turno],$F19,Tabela1[Data],AO$3)/100,"")</f>
        <v/>
      </c>
      <c r="AP19" s="25" t="str">
        <f ca="1">IFERROR(AVERAGEIFS(INDIRECT("Tabela1["&amp;$D19&amp;"]"),Tabela1[Turno],$F19,Tabela1[Data],AP$3)/100,"")</f>
        <v/>
      </c>
      <c r="AQ19" s="25" t="str">
        <f ca="1">IFERROR(AVERAGEIFS(INDIRECT("Tabela1["&amp;$D19&amp;"]"),Tabela1[Turno],$F19,Tabela1[Data],AQ$3)/100,"")</f>
        <v/>
      </c>
      <c r="AR19" s="25" t="str">
        <f ca="1">IFERROR(AVERAGEIFS(INDIRECT("Tabela1["&amp;$D19&amp;"]"),Tabela1[Turno],$F19,Tabela1[Data],AR$3)/100,"")</f>
        <v/>
      </c>
    </row>
    <row r="20" spans="1:44" ht="15" customHeight="1" x14ac:dyDescent="0.25">
      <c r="A20" s="22" t="s">
        <v>120</v>
      </c>
      <c r="B20" s="22">
        <f t="shared" si="1"/>
        <v>2</v>
      </c>
      <c r="C20" s="22" t="s">
        <v>163</v>
      </c>
      <c r="D20" s="4" t="str">
        <f t="shared" si="2"/>
        <v>% Eficiência remoção cartilagem</v>
      </c>
      <c r="E20" s="33"/>
      <c r="F20" s="20">
        <v>2</v>
      </c>
      <c r="G20" s="14" t="str">
        <f ca="1">IFERROR(AVERAGEIFS(INDIRECT("Tabela1["&amp;$D20&amp;"]"),Tabela1[Turno],$F20,Tabela1[Mês],G$3)/100,"")</f>
        <v/>
      </c>
      <c r="H20" s="14" t="str">
        <f ca="1">IFERROR(AVERAGEIFS(INDIRECT("Tabela1["&amp;$D20&amp;"]"),Tabela1[Turno],$F20,Tabela1[Mês],H$3)/100,"")</f>
        <v/>
      </c>
      <c r="I20" s="14" t="str">
        <f ca="1">IFERROR(AVERAGEIFS(INDIRECT("Tabela1["&amp;$D20&amp;"]"),Tabela1[Turno],$F20,Tabela1[Mês],I$3)/100,"")</f>
        <v/>
      </c>
      <c r="J20" s="14" t="str">
        <f ca="1">IFERROR(AVERAGEIFS(INDIRECT("Tabela1["&amp;$D20&amp;"]"),Tabela1[Turno],$F20,Tabela1[Mês],J$3)/100,"")</f>
        <v/>
      </c>
      <c r="K20" s="14" t="str">
        <f ca="1">IFERROR(AVERAGEIFS(INDIRECT("Tabela1["&amp;$D20&amp;"]"),Tabela1[Turno],$F20,Tabela1[Mês],K$3)/100,"")</f>
        <v/>
      </c>
      <c r="L20" s="14" t="str">
        <f ca="1">IFERROR(AVERAGEIFS(INDIRECT("Tabela1["&amp;$D20&amp;"]"),Tabela1[Turno],$F20,Tabela1[Mês],L$3)/100,"")</f>
        <v/>
      </c>
      <c r="M20" s="14" t="str">
        <f ca="1">IFERROR(AVERAGEIFS(INDIRECT("Tabela1["&amp;$D20&amp;"]"),Tabela1[Turno],$F20,Tabela1[Mês],M$3)/100,"")</f>
        <v/>
      </c>
      <c r="N20" s="14">
        <f ca="1">IFERROR(AVERAGEIFS(INDIRECT("Tabela1["&amp;$D20&amp;"]"),Tabela1[Turno],$F20,Tabela1[Mês],N$3)/100,"")</f>
        <v>0.68457142857142861</v>
      </c>
      <c r="O20" s="14">
        <f ca="1">IFERROR(AVERAGEIFS(INDIRECT("Tabela1["&amp;$D20&amp;"]"),Tabela1[Turno],$F20,Tabela1[Mês],O$3)/100,"")</f>
        <v>0.62847058823529411</v>
      </c>
      <c r="P20" s="14">
        <f ca="1">IFERROR(AVERAGEIFS(INDIRECT("Tabela1["&amp;$D20&amp;"]"),Tabela1[Turno],$F20,Tabela1[Mês],P$3)/100,"")</f>
        <v>0.78096774193548379</v>
      </c>
      <c r="Q20" s="14" t="str">
        <f ca="1">IFERROR(AVERAGEIFS(INDIRECT("Tabela1["&amp;$D20&amp;"]"),Tabela1[Turno],$F20,Tabela1[Mês],Q$3)/100,"")</f>
        <v/>
      </c>
      <c r="R20" s="15" t="str">
        <f ca="1">IFERROR(AVERAGEIFS(INDIRECT("Tabela1["&amp;$D20&amp;"]"),Tabela1[Turno],$F20,Tabela1[Mês],R$3)/100,"")</f>
        <v/>
      </c>
      <c r="S20" s="36"/>
      <c r="U20" s="14">
        <f ca="1">IFERROR(AVERAGEIFS(INDIRECT("Tabela1["&amp;$D20&amp;"]"),Tabela1[Turno],$F20,Tabela1[Data],U$3)/100,"")</f>
        <v>0.75249999999999995</v>
      </c>
      <c r="V20" s="14">
        <f ca="1">IFERROR(AVERAGEIFS(INDIRECT("Tabela1["&amp;$D20&amp;"]"),Tabela1[Turno],$F20,Tabela1[Data],V$3)/100,"")</f>
        <v>0.82400000000000007</v>
      </c>
      <c r="W20" s="14">
        <f ca="1">IFERROR(AVERAGEIFS(INDIRECT("Tabela1["&amp;$D20&amp;"]"),Tabela1[Turno],$F20,Tabela1[Data],W$3)/100,"")</f>
        <v>0.83666666666666667</v>
      </c>
      <c r="X20" s="14">
        <f ca="1">IFERROR(AVERAGEIFS(INDIRECT("Tabela1["&amp;$D20&amp;"]"),Tabela1[Turno],$F20,Tabela1[Data],X$3)/100,"")</f>
        <v>0.82750000000000001</v>
      </c>
      <c r="Y20" s="14">
        <f ca="1">IFERROR(AVERAGEIFS(INDIRECT("Tabela1["&amp;$D20&amp;"]"),Tabela1[Turno],$F20,Tabela1[Data],Y$3)/100,"")</f>
        <v>0.76249999999999996</v>
      </c>
      <c r="Z20" s="14">
        <f ca="1">IFERROR(AVERAGEIFS(INDIRECT("Tabela1["&amp;$D20&amp;"]"),Tabela1[Turno],$F20,Tabela1[Data],Z$3)/100,"")</f>
        <v>0.75</v>
      </c>
      <c r="AA20" s="14">
        <f ca="1">IFERROR(AVERAGEIFS(INDIRECT("Tabela1["&amp;$D20&amp;"]"),Tabela1[Turno],$F20,Tabela1[Data],AA$3)/100,"")</f>
        <v>0.78599999999999992</v>
      </c>
      <c r="AB20" s="14">
        <f ca="1">IFERROR(AVERAGEIFS(INDIRECT("Tabela1["&amp;$D20&amp;"]"),Tabela1[Turno],$F20,Tabela1[Data],AB$3)/100,"")</f>
        <v>0.64</v>
      </c>
      <c r="AC20" s="14" t="str">
        <f ca="1">IFERROR(AVERAGEIFS(INDIRECT("Tabela1["&amp;$D20&amp;"]"),Tabela1[Turno],$F20,Tabela1[Data],AC$3)/100,"")</f>
        <v/>
      </c>
      <c r="AD20" s="14" t="str">
        <f ca="1">IFERROR(AVERAGEIFS(INDIRECT("Tabela1["&amp;$D20&amp;"]"),Tabela1[Turno],$F20,Tabela1[Data],AD$3)/100,"")</f>
        <v/>
      </c>
      <c r="AE20" s="14" t="str">
        <f ca="1">IFERROR(AVERAGEIFS(INDIRECT("Tabela1["&amp;$D20&amp;"]"),Tabela1[Turno],$F20,Tabela1[Data],AE$3)/100,"")</f>
        <v/>
      </c>
      <c r="AF20" s="14" t="str">
        <f ca="1">IFERROR(AVERAGEIFS(INDIRECT("Tabela1["&amp;$D20&amp;"]"),Tabela1[Turno],$F20,Tabela1[Data],AF$3)/100,"")</f>
        <v/>
      </c>
      <c r="AG20" s="14" t="str">
        <f ca="1">IFERROR(AVERAGEIFS(INDIRECT("Tabela1["&amp;$D20&amp;"]"),Tabela1[Turno],$F20,Tabela1[Data],AG$3)/100,"")</f>
        <v/>
      </c>
      <c r="AH20" s="14" t="str">
        <f ca="1">IFERROR(AVERAGEIFS(INDIRECT("Tabela1["&amp;$D20&amp;"]"),Tabela1[Turno],$F20,Tabela1[Data],AH$3)/100,"")</f>
        <v/>
      </c>
      <c r="AI20" s="14" t="str">
        <f ca="1">IFERROR(AVERAGEIFS(INDIRECT("Tabela1["&amp;$D20&amp;"]"),Tabela1[Turno],$F20,Tabela1[Data],AI$3)/100,"")</f>
        <v/>
      </c>
      <c r="AJ20" s="14" t="str">
        <f ca="1">IFERROR(AVERAGEIFS(INDIRECT("Tabela1["&amp;$D20&amp;"]"),Tabela1[Turno],$F20,Tabela1[Data],AJ$3)/100,"")</f>
        <v/>
      </c>
      <c r="AK20" s="14" t="str">
        <f ca="1">IFERROR(AVERAGEIFS(INDIRECT("Tabela1["&amp;$D20&amp;"]"),Tabela1[Turno],$F20,Tabela1[Data],AK$3)/100,"")</f>
        <v/>
      </c>
      <c r="AL20" s="14" t="str">
        <f ca="1">IFERROR(AVERAGEIFS(INDIRECT("Tabela1["&amp;$D20&amp;"]"),Tabela1[Turno],$F20,Tabela1[Data],AL$3)/100,"")</f>
        <v/>
      </c>
      <c r="AM20" s="14" t="str">
        <f ca="1">IFERROR(AVERAGEIFS(INDIRECT("Tabela1["&amp;$D20&amp;"]"),Tabela1[Turno],$F20,Tabela1[Data],AM$3)/100,"")</f>
        <v/>
      </c>
      <c r="AN20" s="14" t="str">
        <f ca="1">IFERROR(AVERAGEIFS(INDIRECT("Tabela1["&amp;$D20&amp;"]"),Tabela1[Turno],$F20,Tabela1[Data],AN$3)/100,"")</f>
        <v/>
      </c>
      <c r="AO20" s="14" t="str">
        <f ca="1">IFERROR(AVERAGEIFS(INDIRECT("Tabela1["&amp;$D20&amp;"]"),Tabela1[Turno],$F20,Tabela1[Data],AO$3)/100,"")</f>
        <v/>
      </c>
      <c r="AP20" s="14" t="str">
        <f ca="1">IFERROR(AVERAGEIFS(INDIRECT("Tabela1["&amp;$D20&amp;"]"),Tabela1[Turno],$F20,Tabela1[Data],AP$3)/100,"")</f>
        <v/>
      </c>
      <c r="AQ20" s="14" t="str">
        <f ca="1">IFERROR(AVERAGEIFS(INDIRECT("Tabela1["&amp;$D20&amp;"]"),Tabela1[Turno],$F20,Tabela1[Data],AQ$3)/100,"")</f>
        <v/>
      </c>
      <c r="AR20" s="14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2" t="s">
        <v>120</v>
      </c>
      <c r="B21" s="22" t="str">
        <f t="shared" si="1"/>
        <v>Unidade</v>
      </c>
      <c r="C21" s="22" t="s">
        <v>163</v>
      </c>
      <c r="D21" s="4" t="str">
        <f t="shared" si="2"/>
        <v>% Eficiência remoção cartilagem</v>
      </c>
      <c r="E21" s="34"/>
      <c r="F21" s="21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0.63445544554455446</v>
      </c>
      <c r="P21" s="10">
        <f ca="1">IFERROR(AVERAGEIFS(INDIRECT("Tabela1["&amp;$D21&amp;"]"),Tabela1[Mês],P$3)/100,"")</f>
        <v>0.76605263157894743</v>
      </c>
      <c r="Q21" s="10" t="str">
        <f ca="1">IFERROR(AVERAGEIFS(INDIRECT("Tabela1["&amp;$D21&amp;"]"),Tabela1[Mês],Q$3)/100,"")</f>
        <v/>
      </c>
      <c r="R21" s="16" t="str">
        <f ca="1">IFERROR(AVERAGEIFS(INDIRECT("Tabela1["&amp;$D21&amp;"]"),Tabela1[Mês],R$3)/100,"")</f>
        <v/>
      </c>
      <c r="S21" s="37"/>
      <c r="U21" s="10">
        <f ca="1">IFERROR(AVERAGEIFS(INDIRECT("Tabela1["&amp;$D21&amp;"]"),Tabela1[Data],U$3)/100,"")</f>
        <v>0.746</v>
      </c>
      <c r="V21" s="10">
        <f ca="1">IFERROR(AVERAGEIFS(INDIRECT("Tabela1["&amp;$D21&amp;"]"),Tabela1[Data],V$3)/100,"")</f>
        <v>0.81333333333333324</v>
      </c>
      <c r="W21" s="10">
        <f ca="1">IFERROR(AVERAGEIFS(INDIRECT("Tabela1["&amp;$D21&amp;"]"),Tabela1[Data],W$3)/100,"")</f>
        <v>0.83666666666666667</v>
      </c>
      <c r="X21" s="10">
        <f ca="1">IFERROR(AVERAGEIFS(INDIRECT("Tabela1["&amp;$D21&amp;"]"),Tabela1[Data],X$3)/100,"")</f>
        <v>0.80400000000000005</v>
      </c>
      <c r="Y21" s="10">
        <f ca="1">IFERROR(AVERAGEIFS(INDIRECT("Tabela1["&amp;$D21&amp;"]"),Tabela1[Data],Y$3)/100,"")</f>
        <v>0.73799999999999999</v>
      </c>
      <c r="Z21" s="10">
        <f ca="1">IFERROR(AVERAGEIFS(INDIRECT("Tabela1["&amp;$D21&amp;"]"),Tabela1[Data],Z$3)/100,"")</f>
        <v>0.73599999999999999</v>
      </c>
      <c r="AA21" s="10">
        <f ca="1">IFERROR(AVERAGEIFS(INDIRECT("Tabela1["&amp;$D21&amp;"]"),Tabela1[Data],AA$3)/100,"")</f>
        <v>0.76833333333333331</v>
      </c>
      <c r="AB21" s="10">
        <f ca="1">IFERROR(AVERAGEIFS(INDIRECT("Tabela1["&amp;$D21&amp;"]"),Tabela1[Data],AB$3)/100,"")</f>
        <v>0.66333333333333333</v>
      </c>
      <c r="AC21" s="10" t="str">
        <f ca="1">IFERROR(AVERAGEIFS(INDIRECT("Tabela1["&amp;$D21&amp;"]"),Tabela1[Data],AC$3)/100,"")</f>
        <v/>
      </c>
      <c r="AD21" s="10" t="str">
        <f ca="1">IFERROR(AVERAGEIFS(INDIRECT("Tabela1["&amp;$D21&amp;"]"),Tabela1[Data],AD$3)/100,"")</f>
        <v/>
      </c>
      <c r="AE21" s="10" t="str">
        <f ca="1">IFERROR(AVERAGEIFS(INDIRECT("Tabela1["&amp;$D21&amp;"]"),Tabela1[Data],AE$3)/100,"")</f>
        <v/>
      </c>
      <c r="AF21" s="10" t="str">
        <f ca="1">IFERROR(AVERAGEIFS(INDIRECT("Tabela1["&amp;$D21&amp;"]"),Tabela1[Data],AF$3)/100,"")</f>
        <v/>
      </c>
      <c r="AG21" s="10" t="str">
        <f ca="1">IFERROR(AVERAGEIFS(INDIRECT("Tabela1["&amp;$D21&amp;"]"),Tabela1[Data],AG$3)/100,"")</f>
        <v/>
      </c>
      <c r="AH21" s="10" t="str">
        <f ca="1">IFERROR(AVERAGEIFS(INDIRECT("Tabela1["&amp;$D21&amp;"]"),Tabela1[Data],AH$3)/100,"")</f>
        <v/>
      </c>
      <c r="AI21" s="10" t="str">
        <f ca="1">IFERROR(AVERAGEIFS(INDIRECT("Tabela1["&amp;$D21&amp;"]"),Tabela1[Data],AI$3)/100,"")</f>
        <v/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2" t="s">
        <v>121</v>
      </c>
      <c r="B22" s="22">
        <f t="shared" si="1"/>
        <v>1</v>
      </c>
      <c r="C22" s="22" t="s">
        <v>122</v>
      </c>
      <c r="D22" s="4" t="str">
        <f t="shared" si="2"/>
        <v>Corte Perna Cone</v>
      </c>
      <c r="E22" s="32" t="str">
        <f>Coleta!P1</f>
        <v>Corte Perna Cone</v>
      </c>
      <c r="F22" s="19">
        <v>1</v>
      </c>
      <c r="G22" s="23" t="str">
        <f ca="1">IFERROR(AVERAGEIFS(INDIRECT("Tabela1["&amp;$D22&amp;"]"),Tabela1[Turno],$F22,Tabela1[Mês],G$3),"")</f>
        <v/>
      </c>
      <c r="H22" s="23" t="str">
        <f ca="1">IFERROR(AVERAGEIFS(INDIRECT("Tabela1["&amp;$D22&amp;"]"),Tabela1[Turno],$F22,Tabela1[Mês],H$3),"")</f>
        <v/>
      </c>
      <c r="I22" s="23" t="str">
        <f ca="1">IFERROR(AVERAGEIFS(INDIRECT("Tabela1["&amp;$D22&amp;"]"),Tabela1[Turno],$F22,Tabela1[Mês],I$3),"")</f>
        <v/>
      </c>
      <c r="J22" s="23" t="str">
        <f ca="1">IFERROR(AVERAGEIFS(INDIRECT("Tabela1["&amp;$D22&amp;"]"),Tabela1[Turno],$F22,Tabela1[Mês],J$3),"")</f>
        <v/>
      </c>
      <c r="K22" s="23" t="str">
        <f ca="1">IFERROR(AVERAGEIFS(INDIRECT("Tabela1["&amp;$D22&amp;"]"),Tabela1[Turno],$F22,Tabela1[Mês],K$3),"")</f>
        <v/>
      </c>
      <c r="L22" s="23" t="str">
        <f ca="1">IFERROR(AVERAGEIFS(INDIRECT("Tabela1["&amp;$D22&amp;"]"),Tabela1[Turno],$F22,Tabela1[Mês],L$3),"")</f>
        <v/>
      </c>
      <c r="M22" s="23" t="str">
        <f ca="1">IFERROR(AVERAGEIFS(INDIRECT("Tabela1["&amp;$D22&amp;"]"),Tabela1[Turno],$F22,Tabela1[Mês],M$3),"")</f>
        <v/>
      </c>
      <c r="N22" s="23">
        <f ca="1">IFERROR(AVERAGEIFS(INDIRECT("Tabela1["&amp;$D22&amp;"]"),Tabela1[Turno],$F22,Tabela1[Mês],N$3),"")</f>
        <v>8.1999999999999993</v>
      </c>
      <c r="O22" s="23">
        <f ca="1">IFERROR(AVERAGEIFS(INDIRECT("Tabela1["&amp;$D22&amp;"]"),Tabela1[Turno],$F22,Tabela1[Mês],O$3),"")</f>
        <v>7.125</v>
      </c>
      <c r="P22" s="23">
        <f ca="1">IFERROR(AVERAGEIFS(INDIRECT("Tabela1["&amp;$D22&amp;"]"),Tabela1[Turno],$F22,Tabela1[Mês],P$3),"")</f>
        <v>6</v>
      </c>
      <c r="Q22" s="23" t="str">
        <f ca="1">IFERROR(AVERAGEIFS(INDIRECT("Tabela1["&amp;$D22&amp;"]"),Tabela1[Turno],$F22,Tabela1[Mês],Q$3),"")</f>
        <v/>
      </c>
      <c r="R22" s="24" t="str">
        <f ca="1">IFERROR(AVERAGEIFS(INDIRECT("Tabela1["&amp;$D22&amp;"]"),Tabela1[Turno],$F22,Tabela1[Mês],R$3),"")</f>
        <v/>
      </c>
      <c r="S22" s="35">
        <v>10</v>
      </c>
      <c r="U22" s="23">
        <f ca="1">IFERROR(AVERAGEIFS(INDIRECT("Tabela1["&amp;$D22&amp;"]"),Tabela1[Turno],$F22,Tabela1[Data],U$3),"")</f>
        <v>10</v>
      </c>
      <c r="V22" s="23">
        <f ca="1">IFERROR(AVERAGEIFS(INDIRECT("Tabela1["&amp;$D22&amp;"]"),Tabela1[Turno],$F22,Tabela1[Data],V$3),"")</f>
        <v>5</v>
      </c>
      <c r="W22" s="23" t="str">
        <f ca="1">IFERROR(AVERAGEIFS(INDIRECT("Tabela1["&amp;$D22&amp;"]"),Tabela1[Turno],$F22,Tabela1[Data],W$3),"")</f>
        <v/>
      </c>
      <c r="X22" s="23">
        <f ca="1">IFERROR(AVERAGEIFS(INDIRECT("Tabela1["&amp;$D22&amp;"]"),Tabela1[Turno],$F22,Tabela1[Data],X$3),"")</f>
        <v>5</v>
      </c>
      <c r="Y22" s="23">
        <f ca="1">IFERROR(AVERAGEIFS(INDIRECT("Tabela1["&amp;$D22&amp;"]"),Tabela1[Turno],$F22,Tabela1[Data],Y$3),"")</f>
        <v>7</v>
      </c>
      <c r="Z22" s="23">
        <f ca="1">IFERROR(AVERAGEIFS(INDIRECT("Tabela1["&amp;$D22&amp;"]"),Tabela1[Turno],$F22,Tabela1[Data],Z$3),"")</f>
        <v>5</v>
      </c>
      <c r="AA22" s="23">
        <f ca="1">IFERROR(AVERAGEIFS(INDIRECT("Tabela1["&amp;$D22&amp;"]"),Tabela1[Turno],$F22,Tabela1[Data],AA$3),"")</f>
        <v>5</v>
      </c>
      <c r="AB22" s="23">
        <f ca="1">IFERROR(AVERAGEIFS(INDIRECT("Tabela1["&amp;$D22&amp;"]"),Tabela1[Turno],$F22,Tabela1[Data],AB$3),"")</f>
        <v>5</v>
      </c>
      <c r="AC22" s="23" t="str">
        <f ca="1">IFERROR(AVERAGEIFS(INDIRECT("Tabela1["&amp;$D22&amp;"]"),Tabela1[Turno],$F22,Tabela1[Data],AC$3),"")</f>
        <v/>
      </c>
      <c r="AD22" s="23" t="str">
        <f ca="1">IFERROR(AVERAGEIFS(INDIRECT("Tabela1["&amp;$D22&amp;"]"),Tabela1[Turno],$F22,Tabela1[Data],AD$3),"")</f>
        <v/>
      </c>
      <c r="AE22" s="23" t="str">
        <f ca="1">IFERROR(AVERAGEIFS(INDIRECT("Tabela1["&amp;$D22&amp;"]"),Tabela1[Turno],$F22,Tabela1[Data],AE$3),"")</f>
        <v/>
      </c>
      <c r="AF22" s="23" t="str">
        <f ca="1">IFERROR(AVERAGEIFS(INDIRECT("Tabela1["&amp;$D22&amp;"]"),Tabela1[Turno],$F22,Tabela1[Data],AF$3),"")</f>
        <v/>
      </c>
      <c r="AG22" s="23" t="str">
        <f ca="1">IFERROR(AVERAGEIFS(INDIRECT("Tabela1["&amp;$D22&amp;"]"),Tabela1[Turno],$F22,Tabela1[Data],AG$3),"")</f>
        <v/>
      </c>
      <c r="AH22" s="23" t="str">
        <f ca="1">IFERROR(AVERAGEIFS(INDIRECT("Tabela1["&amp;$D22&amp;"]"),Tabela1[Turno],$F22,Tabela1[Data],AH$3),"")</f>
        <v/>
      </c>
      <c r="AI22" s="23" t="str">
        <f ca="1">IFERROR(AVERAGEIFS(INDIRECT("Tabela1["&amp;$D22&amp;"]"),Tabela1[Turno],$F22,Tabela1[Data],AI$3),"")</f>
        <v/>
      </c>
      <c r="AJ22" s="23" t="str">
        <f ca="1">IFERROR(AVERAGEIFS(INDIRECT("Tabela1["&amp;$D22&amp;"]"),Tabela1[Turno],$F22,Tabela1[Data],AJ$3),"")</f>
        <v/>
      </c>
      <c r="AK22" s="23" t="str">
        <f ca="1">IFERROR(AVERAGEIFS(INDIRECT("Tabela1["&amp;$D22&amp;"]"),Tabela1[Turno],$F22,Tabela1[Data],AK$3),"")</f>
        <v/>
      </c>
      <c r="AL22" s="23" t="str">
        <f ca="1">IFERROR(AVERAGEIFS(INDIRECT("Tabela1["&amp;$D22&amp;"]"),Tabela1[Turno],$F22,Tabela1[Data],AL$3),"")</f>
        <v/>
      </c>
      <c r="AM22" s="23" t="str">
        <f ca="1">IFERROR(AVERAGEIFS(INDIRECT("Tabela1["&amp;$D22&amp;"]"),Tabela1[Turno],$F22,Tabela1[Data],AM$3),"")</f>
        <v/>
      </c>
      <c r="AN22" s="23" t="str">
        <f ca="1">IFERROR(AVERAGEIFS(INDIRECT("Tabela1["&amp;$D22&amp;"]"),Tabela1[Turno],$F22,Tabela1[Data],AN$3),"")</f>
        <v/>
      </c>
      <c r="AO22" s="23" t="str">
        <f ca="1">IFERROR(AVERAGEIFS(INDIRECT("Tabela1["&amp;$D22&amp;"]"),Tabela1[Turno],$F22,Tabela1[Data],AO$3),"")</f>
        <v/>
      </c>
      <c r="AP22" s="23" t="str">
        <f ca="1">IFERROR(AVERAGEIFS(INDIRECT("Tabela1["&amp;$D22&amp;"]"),Tabela1[Turno],$F22,Tabela1[Data],AP$3),"")</f>
        <v/>
      </c>
      <c r="AQ22" s="23" t="str">
        <f ca="1">IFERROR(AVERAGEIFS(INDIRECT("Tabela1["&amp;$D22&amp;"]"),Tabela1[Turno],$F22,Tabela1[Data],AQ$3),"")</f>
        <v/>
      </c>
      <c r="AR22" s="23" t="str">
        <f ca="1">IFERROR(AVERAGEIFS(INDIRECT("Tabela1["&amp;$D22&amp;"]"),Tabela1[Turno],$F22,Tabela1[Data],AR$3),"")</f>
        <v/>
      </c>
    </row>
    <row r="23" spans="1:44" x14ac:dyDescent="0.25">
      <c r="A23" s="22" t="s">
        <v>121</v>
      </c>
      <c r="B23" s="22">
        <f t="shared" si="1"/>
        <v>2</v>
      </c>
      <c r="C23" s="22" t="s">
        <v>122</v>
      </c>
      <c r="D23" s="4" t="str">
        <f t="shared" si="2"/>
        <v>Corte Perna Cone</v>
      </c>
      <c r="E23" s="33"/>
      <c r="F23" s="20">
        <v>2</v>
      </c>
      <c r="G23" s="11" t="str">
        <f ca="1">IFERROR(AVERAGEIFS(INDIRECT("Tabela1["&amp;$D23&amp;"]"),Tabela1[Turno],$F23,Tabela1[Mês],G$3),"")</f>
        <v/>
      </c>
      <c r="H23" s="11" t="str">
        <f ca="1">IFERROR(AVERAGEIFS(INDIRECT("Tabela1["&amp;$D23&amp;"]"),Tabela1[Turno],$F23,Tabela1[Mês],H$3),"")</f>
        <v/>
      </c>
      <c r="I23" s="11" t="str">
        <f ca="1">IFERROR(AVERAGEIFS(INDIRECT("Tabela1["&amp;$D23&amp;"]"),Tabela1[Turno],$F23,Tabela1[Mês],I$3),"")</f>
        <v/>
      </c>
      <c r="J23" s="11" t="str">
        <f ca="1">IFERROR(AVERAGEIFS(INDIRECT("Tabela1["&amp;$D23&amp;"]"),Tabela1[Turno],$F23,Tabela1[Mês],J$3),"")</f>
        <v/>
      </c>
      <c r="K23" s="11" t="str">
        <f ca="1">IFERROR(AVERAGEIFS(INDIRECT("Tabela1["&amp;$D23&amp;"]"),Tabela1[Turno],$F23,Tabela1[Mês],K$3),"")</f>
        <v/>
      </c>
      <c r="L23" s="11" t="str">
        <f ca="1">IFERROR(AVERAGEIFS(INDIRECT("Tabela1["&amp;$D23&amp;"]"),Tabela1[Turno],$F23,Tabela1[Mês],L$3),"")</f>
        <v/>
      </c>
      <c r="M23" s="11" t="str">
        <f ca="1">IFERROR(AVERAGEIFS(INDIRECT("Tabela1["&amp;$D23&amp;"]"),Tabela1[Turno],$F23,Tabela1[Mês],M$3),"")</f>
        <v/>
      </c>
      <c r="N23" s="11">
        <f ca="1">IFERROR(AVERAGEIFS(INDIRECT("Tabela1["&amp;$D23&amp;"]"),Tabela1[Turno],$F23,Tabela1[Mês],N$3),"")</f>
        <v>6.5072463768115938</v>
      </c>
      <c r="O23" s="11">
        <f ca="1">IFERROR(AVERAGEIFS(INDIRECT("Tabela1["&amp;$D23&amp;"]"),Tabela1[Turno],$F23,Tabela1[Mês],O$3),"")</f>
        <v>6.6470588235294121</v>
      </c>
      <c r="P23" s="11">
        <f ca="1">IFERROR(AVERAGEIFS(INDIRECT("Tabela1["&amp;$D23&amp;"]"),Tabela1[Turno],$F23,Tabela1[Mês],P$3),"")</f>
        <v>6.5483870967741939</v>
      </c>
      <c r="Q23" s="11" t="str">
        <f ca="1">IFERROR(AVERAGEIFS(INDIRECT("Tabela1["&amp;$D23&amp;"]"),Tabela1[Turno],$F23,Tabela1[Mês],Q$3),"")</f>
        <v/>
      </c>
      <c r="R23" s="12" t="str">
        <f ca="1">IFERROR(AVERAGEIFS(INDIRECT("Tabela1["&amp;$D23&amp;"]"),Tabela1[Turno],$F23,Tabela1[Mês],R$3),"")</f>
        <v/>
      </c>
      <c r="S23" s="36"/>
      <c r="U23" s="11">
        <f ca="1">IFERROR(AVERAGEIFS(INDIRECT("Tabela1["&amp;$D23&amp;"]"),Tabela1[Turno],$F23,Tabela1[Data],U$3),"")</f>
        <v>6</v>
      </c>
      <c r="V23" s="11">
        <f ca="1">IFERROR(AVERAGEIFS(INDIRECT("Tabela1["&amp;$D23&amp;"]"),Tabela1[Turno],$F23,Tabela1[Data],V$3),"")</f>
        <v>6.2</v>
      </c>
      <c r="W23" s="11">
        <f ca="1">IFERROR(AVERAGEIFS(INDIRECT("Tabela1["&amp;$D23&amp;"]"),Tabela1[Turno],$F23,Tabela1[Data],W$3),"")</f>
        <v>6.333333333333333</v>
      </c>
      <c r="X23" s="11">
        <f ca="1">IFERROR(AVERAGEIFS(INDIRECT("Tabela1["&amp;$D23&amp;"]"),Tabela1[Turno],$F23,Tabela1[Data],X$3),"")</f>
        <v>7</v>
      </c>
      <c r="Y23" s="11">
        <f ca="1">IFERROR(AVERAGEIFS(INDIRECT("Tabela1["&amp;$D23&amp;"]"),Tabela1[Turno],$F23,Tabela1[Data],Y$3),"")</f>
        <v>7</v>
      </c>
      <c r="Z23" s="11">
        <f ca="1">IFERROR(AVERAGEIFS(INDIRECT("Tabela1["&amp;$D23&amp;"]"),Tabela1[Turno],$F23,Tabela1[Data],Z$3),"")</f>
        <v>7</v>
      </c>
      <c r="AA23" s="11">
        <f ca="1">IFERROR(AVERAGEIFS(INDIRECT("Tabela1["&amp;$D23&amp;"]"),Tabela1[Turno],$F23,Tabela1[Data],AA$3),"")</f>
        <v>6.6</v>
      </c>
      <c r="AB23" s="11">
        <f ca="1">IFERROR(AVERAGEIFS(INDIRECT("Tabela1["&amp;$D23&amp;"]"),Tabela1[Turno],$F23,Tabela1[Data],AB$3),"")</f>
        <v>6</v>
      </c>
      <c r="AC23" s="11" t="str">
        <f ca="1">IFERROR(AVERAGEIFS(INDIRECT("Tabela1["&amp;$D23&amp;"]"),Tabela1[Turno],$F23,Tabela1[Data],AC$3),"")</f>
        <v/>
      </c>
      <c r="AD23" s="11" t="str">
        <f ca="1">IFERROR(AVERAGEIFS(INDIRECT("Tabela1["&amp;$D23&amp;"]"),Tabela1[Turno],$F23,Tabela1[Data],AD$3),"")</f>
        <v/>
      </c>
      <c r="AE23" s="11" t="str">
        <f ca="1">IFERROR(AVERAGEIFS(INDIRECT("Tabela1["&amp;$D23&amp;"]"),Tabela1[Turno],$F23,Tabela1[Data],AE$3),"")</f>
        <v/>
      </c>
      <c r="AF23" s="11" t="str">
        <f ca="1">IFERROR(AVERAGEIFS(INDIRECT("Tabela1["&amp;$D23&amp;"]"),Tabela1[Turno],$F23,Tabela1[Data],AF$3),"")</f>
        <v/>
      </c>
      <c r="AG23" s="11" t="str">
        <f ca="1">IFERROR(AVERAGEIFS(INDIRECT("Tabela1["&amp;$D23&amp;"]"),Tabela1[Turno],$F23,Tabela1[Data],AG$3),"")</f>
        <v/>
      </c>
      <c r="AH23" s="11" t="str">
        <f ca="1">IFERROR(AVERAGEIFS(INDIRECT("Tabela1["&amp;$D23&amp;"]"),Tabela1[Turno],$F23,Tabela1[Data],AH$3),"")</f>
        <v/>
      </c>
      <c r="AI23" s="11" t="str">
        <f ca="1">IFERROR(AVERAGEIFS(INDIRECT("Tabela1["&amp;$D23&amp;"]"),Tabela1[Turno],$F23,Tabela1[Data],AI$3),"")</f>
        <v/>
      </c>
      <c r="AJ23" s="11" t="str">
        <f ca="1">IFERROR(AVERAGEIFS(INDIRECT("Tabela1["&amp;$D23&amp;"]"),Tabela1[Turno],$F23,Tabela1[Data],AJ$3),"")</f>
        <v/>
      </c>
      <c r="AK23" s="11" t="str">
        <f ca="1">IFERROR(AVERAGEIFS(INDIRECT("Tabela1["&amp;$D23&amp;"]"),Tabela1[Turno],$F23,Tabela1[Data],AK$3),"")</f>
        <v/>
      </c>
      <c r="AL23" s="11" t="str">
        <f ca="1">IFERROR(AVERAGEIFS(INDIRECT("Tabela1["&amp;$D23&amp;"]"),Tabela1[Turno],$F23,Tabela1[Data],AL$3),"")</f>
        <v/>
      </c>
      <c r="AM23" s="11" t="str">
        <f ca="1">IFERROR(AVERAGEIFS(INDIRECT("Tabela1["&amp;$D23&amp;"]"),Tabela1[Turno],$F23,Tabela1[Data],AM$3),"")</f>
        <v/>
      </c>
      <c r="AN23" s="11" t="str">
        <f ca="1">IFERROR(AVERAGEIFS(INDIRECT("Tabela1["&amp;$D23&amp;"]"),Tabela1[Turno],$F23,Tabela1[Data],AN$3),"")</f>
        <v/>
      </c>
      <c r="AO23" s="11" t="str">
        <f ca="1">IFERROR(AVERAGEIFS(INDIRECT("Tabela1["&amp;$D23&amp;"]"),Tabela1[Turno],$F23,Tabela1[Data],AO$3),"")</f>
        <v/>
      </c>
      <c r="AP23" s="11" t="str">
        <f ca="1">IFERROR(AVERAGEIFS(INDIRECT("Tabela1["&amp;$D23&amp;"]"),Tabela1[Turno],$F23,Tabela1[Data],AP$3),"")</f>
        <v/>
      </c>
      <c r="AQ23" s="11" t="str">
        <f ca="1">IFERROR(AVERAGEIFS(INDIRECT("Tabela1["&amp;$D23&amp;"]"),Tabela1[Turno],$F23,Tabela1[Data],AQ$3),"")</f>
        <v/>
      </c>
      <c r="AR23" s="11" t="str">
        <f ca="1">IFERROR(AVERAGEIFS(INDIRECT("Tabela1["&amp;$D23&amp;"]"),Tabela1[Turno],$F23,Tabela1[Data],AR$3),"")</f>
        <v/>
      </c>
    </row>
    <row r="24" spans="1:44" ht="15.75" thickBot="1" x14ac:dyDescent="0.3">
      <c r="A24" s="22" t="s">
        <v>121</v>
      </c>
      <c r="B24" s="22" t="str">
        <f t="shared" si="1"/>
        <v>Unidade</v>
      </c>
      <c r="C24" s="22" t="s">
        <v>122</v>
      </c>
      <c r="D24" s="4" t="str">
        <f t="shared" si="2"/>
        <v>Corte Perna Cone</v>
      </c>
      <c r="E24" s="34"/>
      <c r="F24" s="21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6.7227722772277225</v>
      </c>
      <c r="P24" s="9">
        <f ca="1">IFERROR(AVERAGEIFS(INDIRECT("Tabela1["&amp;$D24&amp;"]"),Tabela1[Mês],P$3),"")</f>
        <v>6.4473684210526319</v>
      </c>
      <c r="Q24" s="9" t="str">
        <f ca="1">IFERROR(AVERAGEIFS(INDIRECT("Tabela1["&amp;$D24&amp;"]"),Tabela1[Mês],Q$3),"")</f>
        <v/>
      </c>
      <c r="R24" s="13" t="str">
        <f ca="1">IFERROR(AVERAGEIFS(INDIRECT("Tabela1["&amp;$D24&amp;"]"),Tabela1[Mês],R$3),"")</f>
        <v/>
      </c>
      <c r="S24" s="37"/>
      <c r="U24" s="9">
        <f ca="1">IFERROR(AVERAGEIFS(INDIRECT("Tabela1["&amp;$D24&amp;"]"),Tabela1[Data],U$3),"")</f>
        <v>6.8</v>
      </c>
      <c r="V24" s="9">
        <f ca="1">IFERROR(AVERAGEIFS(INDIRECT("Tabela1["&amp;$D24&amp;"]"),Tabela1[Data],V$3),"")</f>
        <v>6</v>
      </c>
      <c r="W24" s="9">
        <f ca="1">IFERROR(AVERAGEIFS(INDIRECT("Tabela1["&amp;$D24&amp;"]"),Tabela1[Data],W$3),"")</f>
        <v>6.333333333333333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7</v>
      </c>
      <c r="Z24" s="9">
        <f ca="1">IFERROR(AVERAGEIFS(INDIRECT("Tabela1["&amp;$D24&amp;"]"),Tabela1[Data],Z$3),"")</f>
        <v>6.6</v>
      </c>
      <c r="AA24" s="9">
        <f ca="1">IFERROR(AVERAGEIFS(INDIRECT("Tabela1["&amp;$D24&amp;"]"),Tabela1[Data],AA$3),"")</f>
        <v>6.333333333333333</v>
      </c>
      <c r="AB24" s="9">
        <f ca="1">IFERROR(AVERAGEIFS(INDIRECT("Tabela1["&amp;$D24&amp;"]"),Tabela1[Data],AB$3),"")</f>
        <v>5.666666666666667</v>
      </c>
      <c r="AC24" s="9" t="str">
        <f ca="1">IFERROR(AVERAGEIFS(INDIRECT("Tabela1["&amp;$D24&amp;"]"),Tabela1[Data],AC$3),"")</f>
        <v/>
      </c>
      <c r="AD24" s="9" t="str">
        <f ca="1">IFERROR(AVERAGEIFS(INDIRECT("Tabela1["&amp;$D24&amp;"]"),Tabela1[Data],AD$3),"")</f>
        <v/>
      </c>
      <c r="AE24" s="9" t="str">
        <f ca="1">IFERROR(AVERAGEIFS(INDIRECT("Tabela1["&amp;$D24&amp;"]"),Tabela1[Data],AE$3),"")</f>
        <v/>
      </c>
      <c r="AF24" s="9" t="str">
        <f ca="1">IFERROR(AVERAGEIFS(INDIRECT("Tabela1["&amp;$D24&amp;"]"),Tabela1[Data],AF$3),"")</f>
        <v/>
      </c>
      <c r="AG24" s="9" t="str">
        <f ca="1">IFERROR(AVERAGEIFS(INDIRECT("Tabela1["&amp;$D24&amp;"]"),Tabela1[Data],AG$3),"")</f>
        <v/>
      </c>
      <c r="AH24" s="9" t="str">
        <f ca="1">IFERROR(AVERAGEIFS(INDIRECT("Tabela1["&amp;$D24&amp;"]"),Tabela1[Data],AH$3),"")</f>
        <v/>
      </c>
      <c r="AI24" s="9" t="str">
        <f ca="1">IFERROR(AVERAGEIFS(INDIRECT("Tabela1["&amp;$D24&amp;"]"),Tabela1[Data],AI$3),"")</f>
        <v/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2" t="s">
        <v>121</v>
      </c>
      <c r="B25" s="22">
        <f t="shared" si="1"/>
        <v>1</v>
      </c>
      <c r="C25" s="22" t="s">
        <v>123</v>
      </c>
      <c r="D25" s="4" t="str">
        <f t="shared" si="2"/>
        <v>Peito na Asa Cone</v>
      </c>
      <c r="E25" s="32" t="str">
        <f>Coleta!Q1</f>
        <v>Peito na Asa Cone</v>
      </c>
      <c r="F25" s="19">
        <v>1</v>
      </c>
      <c r="G25" s="23" t="str">
        <f ca="1">IFERROR(AVERAGEIFS(INDIRECT("Tabela1["&amp;$D25&amp;"]"),Tabela1[Turno],$F25,Tabela1[Mês],G$3),"")</f>
        <v/>
      </c>
      <c r="H25" s="23" t="str">
        <f ca="1">IFERROR(AVERAGEIFS(INDIRECT("Tabela1["&amp;$D25&amp;"]"),Tabela1[Turno],$F25,Tabela1[Mês],H$3),"")</f>
        <v/>
      </c>
      <c r="I25" s="23" t="str">
        <f ca="1">IFERROR(AVERAGEIFS(INDIRECT("Tabela1["&amp;$D25&amp;"]"),Tabela1[Turno],$F25,Tabela1[Mês],I$3),"")</f>
        <v/>
      </c>
      <c r="J25" s="23" t="str">
        <f ca="1">IFERROR(AVERAGEIFS(INDIRECT("Tabela1["&amp;$D25&amp;"]"),Tabela1[Turno],$F25,Tabela1[Mês],J$3),"")</f>
        <v/>
      </c>
      <c r="K25" s="23" t="str">
        <f ca="1">IFERROR(AVERAGEIFS(INDIRECT("Tabela1["&amp;$D25&amp;"]"),Tabela1[Turno],$F25,Tabela1[Mês],K$3),"")</f>
        <v/>
      </c>
      <c r="L25" s="23" t="str">
        <f ca="1">IFERROR(AVERAGEIFS(INDIRECT("Tabela1["&amp;$D25&amp;"]"),Tabela1[Turno],$F25,Tabela1[Mês],L$3),"")</f>
        <v/>
      </c>
      <c r="M25" s="23" t="str">
        <f ca="1">IFERROR(AVERAGEIFS(INDIRECT("Tabela1["&amp;$D25&amp;"]"),Tabela1[Turno],$F25,Tabela1[Mês],M$3),"")</f>
        <v/>
      </c>
      <c r="N25" s="23">
        <f ca="1">IFERROR(AVERAGEIFS(INDIRECT("Tabela1["&amp;$D25&amp;"]"),Tabela1[Turno],$F25,Tabela1[Mês],N$3),"")</f>
        <v>9.4</v>
      </c>
      <c r="O25" s="23">
        <f ca="1">IFERROR(AVERAGEIFS(INDIRECT("Tabela1["&amp;$D25&amp;"]"),Tabela1[Turno],$F25,Tabela1[Mês],O$3),"")</f>
        <v>9.0625</v>
      </c>
      <c r="P25" s="23">
        <f ca="1">IFERROR(AVERAGEIFS(INDIRECT("Tabela1["&amp;$D25&amp;"]"),Tabela1[Turno],$F25,Tabela1[Mês],P$3),"")</f>
        <v>7.8571428571428568</v>
      </c>
      <c r="Q25" s="23" t="str">
        <f ca="1">IFERROR(AVERAGEIFS(INDIRECT("Tabela1["&amp;$D25&amp;"]"),Tabela1[Turno],$F25,Tabela1[Mês],Q$3),"")</f>
        <v/>
      </c>
      <c r="R25" s="24" t="str">
        <f ca="1">IFERROR(AVERAGEIFS(INDIRECT("Tabela1["&amp;$D25&amp;"]"),Tabela1[Turno],$F25,Tabela1[Mês],R$3),"")</f>
        <v/>
      </c>
      <c r="S25" s="35">
        <v>10</v>
      </c>
      <c r="U25" s="23">
        <f ca="1">IFERROR(AVERAGEIFS(INDIRECT("Tabela1["&amp;$D25&amp;"]"),Tabela1[Turno],$F25,Tabela1[Data],U$3),"")</f>
        <v>10</v>
      </c>
      <c r="V25" s="23">
        <f ca="1">IFERROR(AVERAGEIFS(INDIRECT("Tabela1["&amp;$D25&amp;"]"),Tabela1[Turno],$F25,Tabela1[Data],V$3),"")</f>
        <v>7</v>
      </c>
      <c r="W25" s="23" t="str">
        <f ca="1">IFERROR(AVERAGEIFS(INDIRECT("Tabela1["&amp;$D25&amp;"]"),Tabela1[Turno],$F25,Tabela1[Data],W$3),"")</f>
        <v/>
      </c>
      <c r="X25" s="23">
        <f ca="1">IFERROR(AVERAGEIFS(INDIRECT("Tabela1["&amp;$D25&amp;"]"),Tabela1[Turno],$F25,Tabela1[Data],X$3),"")</f>
        <v>7</v>
      </c>
      <c r="Y25" s="23">
        <f ca="1">IFERROR(AVERAGEIFS(INDIRECT("Tabela1["&amp;$D25&amp;"]"),Tabela1[Turno],$F25,Tabela1[Data],Y$3),"")</f>
        <v>7</v>
      </c>
      <c r="Z25" s="23">
        <f ca="1">IFERROR(AVERAGEIFS(INDIRECT("Tabela1["&amp;$D25&amp;"]"),Tabela1[Turno],$F25,Tabela1[Data],Z$3),"")</f>
        <v>10</v>
      </c>
      <c r="AA25" s="23">
        <f ca="1">IFERROR(AVERAGEIFS(INDIRECT("Tabela1["&amp;$D25&amp;"]"),Tabela1[Turno],$F25,Tabela1[Data],AA$3),"")</f>
        <v>7</v>
      </c>
      <c r="AB25" s="23">
        <f ca="1">IFERROR(AVERAGEIFS(INDIRECT("Tabela1["&amp;$D25&amp;"]"),Tabela1[Turno],$F25,Tabela1[Data],AB$3),"")</f>
        <v>7</v>
      </c>
      <c r="AC25" s="23" t="str">
        <f ca="1">IFERROR(AVERAGEIFS(INDIRECT("Tabela1["&amp;$D25&amp;"]"),Tabela1[Turno],$F25,Tabela1[Data],AC$3),"")</f>
        <v/>
      </c>
      <c r="AD25" s="23" t="str">
        <f ca="1">IFERROR(AVERAGEIFS(INDIRECT("Tabela1["&amp;$D25&amp;"]"),Tabela1[Turno],$F25,Tabela1[Data],AD$3),"")</f>
        <v/>
      </c>
      <c r="AE25" s="23" t="str">
        <f ca="1">IFERROR(AVERAGEIFS(INDIRECT("Tabela1["&amp;$D25&amp;"]"),Tabela1[Turno],$F25,Tabela1[Data],AE$3),"")</f>
        <v/>
      </c>
      <c r="AF25" s="23" t="str">
        <f ca="1">IFERROR(AVERAGEIFS(INDIRECT("Tabela1["&amp;$D25&amp;"]"),Tabela1[Turno],$F25,Tabela1[Data],AF$3),"")</f>
        <v/>
      </c>
      <c r="AG25" s="23" t="str">
        <f ca="1">IFERROR(AVERAGEIFS(INDIRECT("Tabela1["&amp;$D25&amp;"]"),Tabela1[Turno],$F25,Tabela1[Data],AG$3),"")</f>
        <v/>
      </c>
      <c r="AH25" s="23" t="str">
        <f ca="1">IFERROR(AVERAGEIFS(INDIRECT("Tabela1["&amp;$D25&amp;"]"),Tabela1[Turno],$F25,Tabela1[Data],AH$3),"")</f>
        <v/>
      </c>
      <c r="AI25" s="23" t="str">
        <f ca="1">IFERROR(AVERAGEIFS(INDIRECT("Tabela1["&amp;$D25&amp;"]"),Tabela1[Turno],$F25,Tabela1[Data],AI$3),"")</f>
        <v/>
      </c>
      <c r="AJ25" s="23" t="str">
        <f ca="1">IFERROR(AVERAGEIFS(INDIRECT("Tabela1["&amp;$D25&amp;"]"),Tabela1[Turno],$F25,Tabela1[Data],AJ$3),"")</f>
        <v/>
      </c>
      <c r="AK25" s="23" t="str">
        <f ca="1">IFERROR(AVERAGEIFS(INDIRECT("Tabela1["&amp;$D25&amp;"]"),Tabela1[Turno],$F25,Tabela1[Data],AK$3),"")</f>
        <v/>
      </c>
      <c r="AL25" s="23" t="str">
        <f ca="1">IFERROR(AVERAGEIFS(INDIRECT("Tabela1["&amp;$D25&amp;"]"),Tabela1[Turno],$F25,Tabela1[Data],AL$3),"")</f>
        <v/>
      </c>
      <c r="AM25" s="23" t="str">
        <f ca="1">IFERROR(AVERAGEIFS(INDIRECT("Tabela1["&amp;$D25&amp;"]"),Tabela1[Turno],$F25,Tabela1[Data],AM$3),"")</f>
        <v/>
      </c>
      <c r="AN25" s="23" t="str">
        <f ca="1">IFERROR(AVERAGEIFS(INDIRECT("Tabela1["&amp;$D25&amp;"]"),Tabela1[Turno],$F25,Tabela1[Data],AN$3),"")</f>
        <v/>
      </c>
      <c r="AO25" s="23" t="str">
        <f ca="1">IFERROR(AVERAGEIFS(INDIRECT("Tabela1["&amp;$D25&amp;"]"),Tabela1[Turno],$F25,Tabela1[Data],AO$3),"")</f>
        <v/>
      </c>
      <c r="AP25" s="23" t="str">
        <f ca="1">IFERROR(AVERAGEIFS(INDIRECT("Tabela1["&amp;$D25&amp;"]"),Tabela1[Turno],$F25,Tabela1[Data],AP$3),"")</f>
        <v/>
      </c>
      <c r="AQ25" s="23" t="str">
        <f ca="1">IFERROR(AVERAGEIFS(INDIRECT("Tabela1["&amp;$D25&amp;"]"),Tabela1[Turno],$F25,Tabela1[Data],AQ$3),"")</f>
        <v/>
      </c>
      <c r="AR25" s="23" t="str">
        <f ca="1">IFERROR(AVERAGEIFS(INDIRECT("Tabela1["&amp;$D25&amp;"]"),Tabela1[Turno],$F25,Tabela1[Data],AR$3),"")</f>
        <v/>
      </c>
    </row>
    <row r="26" spans="1:44" x14ac:dyDescent="0.25">
      <c r="A26" s="22" t="s">
        <v>121</v>
      </c>
      <c r="B26" s="22">
        <f t="shared" si="1"/>
        <v>2</v>
      </c>
      <c r="C26" s="22" t="s">
        <v>123</v>
      </c>
      <c r="D26" s="4" t="str">
        <f t="shared" si="2"/>
        <v>Peito na Asa Cone</v>
      </c>
      <c r="E26" s="33"/>
      <c r="F26" s="20">
        <v>2</v>
      </c>
      <c r="G26" s="11" t="str">
        <f ca="1">IFERROR(AVERAGEIFS(INDIRECT("Tabela1["&amp;$D26&amp;"]"),Tabela1[Turno],$F26,Tabela1[Mês],G$3),"")</f>
        <v/>
      </c>
      <c r="H26" s="11" t="str">
        <f ca="1">IFERROR(AVERAGEIFS(INDIRECT("Tabela1["&amp;$D26&amp;"]"),Tabela1[Turno],$F26,Tabela1[Mês],H$3),"")</f>
        <v/>
      </c>
      <c r="I26" s="11" t="str">
        <f ca="1">IFERROR(AVERAGEIFS(INDIRECT("Tabela1["&amp;$D26&amp;"]"),Tabela1[Turno],$F26,Tabela1[Mês],I$3),"")</f>
        <v/>
      </c>
      <c r="J26" s="11" t="str">
        <f ca="1">IFERROR(AVERAGEIFS(INDIRECT("Tabela1["&amp;$D26&amp;"]"),Tabela1[Turno],$F26,Tabela1[Mês],J$3),"")</f>
        <v/>
      </c>
      <c r="K26" s="11" t="str">
        <f ca="1">IFERROR(AVERAGEIFS(INDIRECT("Tabela1["&amp;$D26&amp;"]"),Tabela1[Turno],$F26,Tabela1[Mês],K$3),"")</f>
        <v/>
      </c>
      <c r="L26" s="11" t="str">
        <f ca="1">IFERROR(AVERAGEIFS(INDIRECT("Tabela1["&amp;$D26&amp;"]"),Tabela1[Turno],$F26,Tabela1[Mês],L$3),"")</f>
        <v/>
      </c>
      <c r="M26" s="11" t="str">
        <f ca="1">IFERROR(AVERAGEIFS(INDIRECT("Tabela1["&amp;$D26&amp;"]"),Tabela1[Turno],$F26,Tabela1[Mês],M$3),"")</f>
        <v/>
      </c>
      <c r="N26" s="11">
        <f ca="1">IFERROR(AVERAGEIFS(INDIRECT("Tabela1["&amp;$D26&amp;"]"),Tabela1[Turno],$F26,Tabela1[Mês],N$3),"")</f>
        <v>6.6029411764705879</v>
      </c>
      <c r="O26" s="11">
        <f ca="1">IFERROR(AVERAGEIFS(INDIRECT("Tabela1["&amp;$D26&amp;"]"),Tabela1[Turno],$F26,Tabela1[Mês],O$3),"")</f>
        <v>6.9523809523809526</v>
      </c>
      <c r="P26" s="11">
        <f ca="1">IFERROR(AVERAGEIFS(INDIRECT("Tabela1["&amp;$D26&amp;"]"),Tabela1[Turno],$F26,Tabela1[Mês],P$3),"")</f>
        <v>7.096774193548387</v>
      </c>
      <c r="Q26" s="11" t="str">
        <f ca="1">IFERROR(AVERAGEIFS(INDIRECT("Tabela1["&amp;$D26&amp;"]"),Tabela1[Turno],$F26,Tabela1[Mês],Q$3),"")</f>
        <v/>
      </c>
      <c r="R26" s="12" t="str">
        <f ca="1">IFERROR(AVERAGEIFS(INDIRECT("Tabela1["&amp;$D26&amp;"]"),Tabela1[Turno],$F26,Tabela1[Mês],R$3),"")</f>
        <v/>
      </c>
      <c r="S26" s="36"/>
      <c r="U26" s="11">
        <f ca="1">IFERROR(AVERAGEIFS(INDIRECT("Tabela1["&amp;$D26&amp;"]"),Tabela1[Turno],$F26,Tabela1[Data],U$3),"")</f>
        <v>7.75</v>
      </c>
      <c r="V26" s="11">
        <f ca="1">IFERROR(AVERAGEIFS(INDIRECT("Tabela1["&amp;$D26&amp;"]"),Tabela1[Turno],$F26,Tabela1[Data],V$3),"")</f>
        <v>7</v>
      </c>
      <c r="W26" s="11">
        <f ca="1">IFERROR(AVERAGEIFS(INDIRECT("Tabela1["&amp;$D26&amp;"]"),Tabela1[Turno],$F26,Tabela1[Data],W$3),"")</f>
        <v>7</v>
      </c>
      <c r="X26" s="11">
        <f ca="1">IFERROR(AVERAGEIFS(INDIRECT("Tabela1["&amp;$D26&amp;"]"),Tabela1[Turno],$F26,Tabela1[Data],X$3),"")</f>
        <v>7</v>
      </c>
      <c r="Y26" s="11">
        <f ca="1">IFERROR(AVERAGEIFS(INDIRECT("Tabela1["&amp;$D26&amp;"]"),Tabela1[Turno],$F26,Tabela1[Data],Y$3),"")</f>
        <v>7</v>
      </c>
      <c r="Z26" s="11">
        <f ca="1">IFERROR(AVERAGEIFS(INDIRECT("Tabela1["&amp;$D26&amp;"]"),Tabela1[Turno],$F26,Tabela1[Data],Z$3),"")</f>
        <v>7</v>
      </c>
      <c r="AA26" s="11">
        <f ca="1">IFERROR(AVERAGEIFS(INDIRECT("Tabela1["&amp;$D26&amp;"]"),Tabela1[Turno],$F26,Tabela1[Data],AA$3),"")</f>
        <v>7</v>
      </c>
      <c r="AB26" s="11">
        <f ca="1">IFERROR(AVERAGEIFS(INDIRECT("Tabela1["&amp;$D26&amp;"]"),Tabela1[Turno],$F26,Tabela1[Data],AB$3),"")</f>
        <v>7</v>
      </c>
      <c r="AC26" s="11" t="str">
        <f ca="1">IFERROR(AVERAGEIFS(INDIRECT("Tabela1["&amp;$D26&amp;"]"),Tabela1[Turno],$F26,Tabela1[Data],AC$3),"")</f>
        <v/>
      </c>
      <c r="AD26" s="11" t="str">
        <f ca="1">IFERROR(AVERAGEIFS(INDIRECT("Tabela1["&amp;$D26&amp;"]"),Tabela1[Turno],$F26,Tabela1[Data],AD$3),"")</f>
        <v/>
      </c>
      <c r="AE26" s="11" t="str">
        <f ca="1">IFERROR(AVERAGEIFS(INDIRECT("Tabela1["&amp;$D26&amp;"]"),Tabela1[Turno],$F26,Tabela1[Data],AE$3),"")</f>
        <v/>
      </c>
      <c r="AF26" s="11" t="str">
        <f ca="1">IFERROR(AVERAGEIFS(INDIRECT("Tabela1["&amp;$D26&amp;"]"),Tabela1[Turno],$F26,Tabela1[Data],AF$3),"")</f>
        <v/>
      </c>
      <c r="AG26" s="11" t="str">
        <f ca="1">IFERROR(AVERAGEIFS(INDIRECT("Tabela1["&amp;$D26&amp;"]"),Tabela1[Turno],$F26,Tabela1[Data],AG$3),"")</f>
        <v/>
      </c>
      <c r="AH26" s="11" t="str">
        <f ca="1">IFERROR(AVERAGEIFS(INDIRECT("Tabela1["&amp;$D26&amp;"]"),Tabela1[Turno],$F26,Tabela1[Data],AH$3),"")</f>
        <v/>
      </c>
      <c r="AI26" s="11" t="str">
        <f ca="1">IFERROR(AVERAGEIFS(INDIRECT("Tabela1["&amp;$D26&amp;"]"),Tabela1[Turno],$F26,Tabela1[Data],AI$3),"")</f>
        <v/>
      </c>
      <c r="AJ26" s="11" t="str">
        <f ca="1">IFERROR(AVERAGEIFS(INDIRECT("Tabela1["&amp;$D26&amp;"]"),Tabela1[Turno],$F26,Tabela1[Data],AJ$3),"")</f>
        <v/>
      </c>
      <c r="AK26" s="11" t="str">
        <f ca="1">IFERROR(AVERAGEIFS(INDIRECT("Tabela1["&amp;$D26&amp;"]"),Tabela1[Turno],$F26,Tabela1[Data],AK$3),"")</f>
        <v/>
      </c>
      <c r="AL26" s="11" t="str">
        <f ca="1">IFERROR(AVERAGEIFS(INDIRECT("Tabela1["&amp;$D26&amp;"]"),Tabela1[Turno],$F26,Tabela1[Data],AL$3),"")</f>
        <v/>
      </c>
      <c r="AM26" s="11" t="str">
        <f ca="1">IFERROR(AVERAGEIFS(INDIRECT("Tabela1["&amp;$D26&amp;"]"),Tabela1[Turno],$F26,Tabela1[Data],AM$3),"")</f>
        <v/>
      </c>
      <c r="AN26" s="11" t="str">
        <f ca="1">IFERROR(AVERAGEIFS(INDIRECT("Tabela1["&amp;$D26&amp;"]"),Tabela1[Turno],$F26,Tabela1[Data],AN$3),"")</f>
        <v/>
      </c>
      <c r="AO26" s="11" t="str">
        <f ca="1">IFERROR(AVERAGEIFS(INDIRECT("Tabela1["&amp;$D26&amp;"]"),Tabela1[Turno],$F26,Tabela1[Data],AO$3),"")</f>
        <v/>
      </c>
      <c r="AP26" s="11" t="str">
        <f ca="1">IFERROR(AVERAGEIFS(INDIRECT("Tabela1["&amp;$D26&amp;"]"),Tabela1[Turno],$F26,Tabela1[Data],AP$3),"")</f>
        <v/>
      </c>
      <c r="AQ26" s="11" t="str">
        <f ca="1">IFERROR(AVERAGEIFS(INDIRECT("Tabela1["&amp;$D26&amp;"]"),Tabela1[Turno],$F26,Tabela1[Data],AQ$3),"")</f>
        <v/>
      </c>
      <c r="AR26" s="11" t="str">
        <f ca="1">IFERROR(AVERAGEIFS(INDIRECT("Tabela1["&amp;$D26&amp;"]"),Tabela1[Turno],$F26,Tabela1[Data],AR$3),"")</f>
        <v/>
      </c>
    </row>
    <row r="27" spans="1:44" ht="15.75" thickBot="1" x14ac:dyDescent="0.3">
      <c r="A27" s="22" t="s">
        <v>121</v>
      </c>
      <c r="B27" s="22" t="str">
        <f t="shared" si="1"/>
        <v>Unidade</v>
      </c>
      <c r="C27" s="22" t="s">
        <v>123</v>
      </c>
      <c r="D27" s="4" t="str">
        <f t="shared" si="2"/>
        <v>Peito na Asa Cone</v>
      </c>
      <c r="E27" s="34"/>
      <c r="F27" s="21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7.29</v>
      </c>
      <c r="P27" s="9">
        <f ca="1">IFERROR(AVERAGEIFS(INDIRECT("Tabela1["&amp;$D27&amp;"]"),Tabela1[Mês],P$3),"")</f>
        <v>7.2368421052631575</v>
      </c>
      <c r="Q27" s="9" t="str">
        <f ca="1">IFERROR(AVERAGEIFS(INDIRECT("Tabela1["&amp;$D27&amp;"]"),Tabela1[Mês],Q$3),"")</f>
        <v/>
      </c>
      <c r="R27" s="13" t="str">
        <f ca="1">IFERROR(AVERAGEIFS(INDIRECT("Tabela1["&amp;$D27&amp;"]"),Tabela1[Mês],R$3),"")</f>
        <v/>
      </c>
      <c r="S27" s="37"/>
      <c r="U27" s="9">
        <f ca="1">IFERROR(AVERAGEIFS(INDIRECT("Tabela1["&amp;$D27&amp;"]"),Tabela1[Data],U$3),"")</f>
        <v>8.1999999999999993</v>
      </c>
      <c r="V27" s="9">
        <f ca="1">IFERROR(AVERAGEIFS(INDIRECT("Tabela1["&amp;$D27&amp;"]"),Tabela1[Data],V$3),"")</f>
        <v>7</v>
      </c>
      <c r="W27" s="9">
        <f ca="1">IFERROR(AVERAGEIFS(INDIRECT("Tabela1["&amp;$D27&amp;"]"),Tabela1[Data],W$3),"")</f>
        <v>7</v>
      </c>
      <c r="X27" s="9">
        <f ca="1">IFERROR(AVERAGEIFS(INDIRECT("Tabela1["&amp;$D27&amp;"]"),Tabela1[Data],X$3),"")</f>
        <v>7</v>
      </c>
      <c r="Y27" s="9">
        <f ca="1">IFERROR(AVERAGEIFS(INDIRECT("Tabela1["&amp;$D27&amp;"]"),Tabela1[Data],Y$3),"")</f>
        <v>7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 t="str">
        <f ca="1">IFERROR(AVERAGEIFS(INDIRECT("Tabela1["&amp;$D27&amp;"]"),Tabela1[Data],AC$3),"")</f>
        <v/>
      </c>
      <c r="AD27" s="9" t="str">
        <f ca="1">IFERROR(AVERAGEIFS(INDIRECT("Tabela1["&amp;$D27&amp;"]"),Tabela1[Data],AD$3),"")</f>
        <v/>
      </c>
      <c r="AE27" s="9" t="str">
        <f ca="1">IFERROR(AVERAGEIFS(INDIRECT("Tabela1["&amp;$D27&amp;"]"),Tabela1[Data],AE$3),"")</f>
        <v/>
      </c>
      <c r="AF27" s="9" t="str">
        <f ca="1">IFERROR(AVERAGEIFS(INDIRECT("Tabela1["&amp;$D27&amp;"]"),Tabela1[Data],AF$3),"")</f>
        <v/>
      </c>
      <c r="AG27" s="9" t="str">
        <f ca="1">IFERROR(AVERAGEIFS(INDIRECT("Tabela1["&amp;$D27&amp;"]"),Tabela1[Data],AG$3),"")</f>
        <v/>
      </c>
      <c r="AH27" s="9" t="str">
        <f ca="1">IFERROR(AVERAGEIFS(INDIRECT("Tabela1["&amp;$D27&amp;"]"),Tabela1[Data],AH$3),"")</f>
        <v/>
      </c>
      <c r="AI27" s="9" t="str">
        <f ca="1">IFERROR(AVERAGEIFS(INDIRECT("Tabela1["&amp;$D27&amp;"]"),Tabela1[Data],AI$3),"")</f>
        <v/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2" t="s">
        <v>121</v>
      </c>
      <c r="B28" s="22">
        <f t="shared" si="1"/>
        <v>1</v>
      </c>
      <c r="C28" s="22" t="s">
        <v>124</v>
      </c>
      <c r="D28" s="4" t="str">
        <f t="shared" si="2"/>
        <v>Medalhão na Asa Cone</v>
      </c>
      <c r="E28" s="32" t="str">
        <f>Coleta!R1</f>
        <v>Medalhão na Asa Cone</v>
      </c>
      <c r="F28" s="19">
        <v>1</v>
      </c>
      <c r="G28" s="23" t="str">
        <f ca="1">IFERROR(AVERAGEIFS(INDIRECT("Tabela1["&amp;$D28&amp;"]"),Tabela1[Turno],$F28,Tabela1[Mês],G$3),"")</f>
        <v/>
      </c>
      <c r="H28" s="23" t="str">
        <f ca="1">IFERROR(AVERAGEIFS(INDIRECT("Tabela1["&amp;$D28&amp;"]"),Tabela1[Turno],$F28,Tabela1[Mês],H$3),"")</f>
        <v/>
      </c>
      <c r="I28" s="23" t="str">
        <f ca="1">IFERROR(AVERAGEIFS(INDIRECT("Tabela1["&amp;$D28&amp;"]"),Tabela1[Turno],$F28,Tabela1[Mês],I$3),"")</f>
        <v/>
      </c>
      <c r="J28" s="23" t="str">
        <f ca="1">IFERROR(AVERAGEIFS(INDIRECT("Tabela1["&amp;$D28&amp;"]"),Tabela1[Turno],$F28,Tabela1[Mês],J$3),"")</f>
        <v/>
      </c>
      <c r="K28" s="23" t="str">
        <f ca="1">IFERROR(AVERAGEIFS(INDIRECT("Tabela1["&amp;$D28&amp;"]"),Tabela1[Turno],$F28,Tabela1[Mês],K$3),"")</f>
        <v/>
      </c>
      <c r="L28" s="23" t="str">
        <f ca="1">IFERROR(AVERAGEIFS(INDIRECT("Tabela1["&amp;$D28&amp;"]"),Tabela1[Turno],$F28,Tabela1[Mês],L$3),"")</f>
        <v/>
      </c>
      <c r="M28" s="23" t="str">
        <f ca="1">IFERROR(AVERAGEIFS(INDIRECT("Tabela1["&amp;$D28&amp;"]"),Tabela1[Turno],$F28,Tabela1[Mês],M$3),"")</f>
        <v/>
      </c>
      <c r="N28" s="23">
        <f ca="1">IFERROR(AVERAGEIFS(INDIRECT("Tabela1["&amp;$D28&amp;"]"),Tabela1[Turno],$F28,Tabela1[Mês],N$3),"")</f>
        <v>8.1999999999999993</v>
      </c>
      <c r="O28" s="23">
        <f ca="1">IFERROR(AVERAGEIFS(INDIRECT("Tabela1["&amp;$D28&amp;"]"),Tabela1[Turno],$F28,Tabela1[Mês],O$3),"")</f>
        <v>10</v>
      </c>
      <c r="P28" s="23">
        <f ca="1">IFERROR(AVERAGEIFS(INDIRECT("Tabela1["&amp;$D28&amp;"]"),Tabela1[Turno],$F28,Tabela1[Mês],P$3),"")</f>
        <v>9.5714285714285712</v>
      </c>
      <c r="Q28" s="23" t="str">
        <f ca="1">IFERROR(AVERAGEIFS(INDIRECT("Tabela1["&amp;$D28&amp;"]"),Tabela1[Turno],$F28,Tabela1[Mês],Q$3),"")</f>
        <v/>
      </c>
      <c r="R28" s="24" t="str">
        <f ca="1">IFERROR(AVERAGEIFS(INDIRECT("Tabela1["&amp;$D28&amp;"]"),Tabela1[Turno],$F28,Tabela1[Mês],R$3),"")</f>
        <v/>
      </c>
      <c r="S28" s="35">
        <v>10</v>
      </c>
      <c r="U28" s="23">
        <f ca="1">IFERROR(AVERAGEIFS(INDIRECT("Tabela1["&amp;$D28&amp;"]"),Tabela1[Turno],$F28,Tabela1[Data],U$3),"")</f>
        <v>10</v>
      </c>
      <c r="V28" s="23">
        <f ca="1">IFERROR(AVERAGEIFS(INDIRECT("Tabela1["&amp;$D28&amp;"]"),Tabela1[Turno],$F28,Tabela1[Data],V$3),"")</f>
        <v>7</v>
      </c>
      <c r="W28" s="23" t="str">
        <f ca="1">IFERROR(AVERAGEIFS(INDIRECT("Tabela1["&amp;$D28&amp;"]"),Tabela1[Turno],$F28,Tabela1[Data],W$3),"")</f>
        <v/>
      </c>
      <c r="X28" s="23">
        <f ca="1">IFERROR(AVERAGEIFS(INDIRECT("Tabela1["&amp;$D28&amp;"]"),Tabela1[Turno],$F28,Tabela1[Data],X$3),"")</f>
        <v>10</v>
      </c>
      <c r="Y28" s="23">
        <f ca="1">IFERROR(AVERAGEIFS(INDIRECT("Tabela1["&amp;$D28&amp;"]"),Tabela1[Turno],$F28,Tabela1[Data],Y$3),"")</f>
        <v>10</v>
      </c>
      <c r="Z28" s="23">
        <f ca="1">IFERROR(AVERAGEIFS(INDIRECT("Tabela1["&amp;$D28&amp;"]"),Tabela1[Turno],$F28,Tabela1[Data],Z$3),"")</f>
        <v>10</v>
      </c>
      <c r="AA28" s="23">
        <f ca="1">IFERROR(AVERAGEIFS(INDIRECT("Tabela1["&amp;$D28&amp;"]"),Tabela1[Turno],$F28,Tabela1[Data],AA$3),"")</f>
        <v>10</v>
      </c>
      <c r="AB28" s="23">
        <f ca="1">IFERROR(AVERAGEIFS(INDIRECT("Tabela1["&amp;$D28&amp;"]"),Tabela1[Turno],$F28,Tabela1[Data],AB$3),"")</f>
        <v>10</v>
      </c>
      <c r="AC28" s="23" t="str">
        <f ca="1">IFERROR(AVERAGEIFS(INDIRECT("Tabela1["&amp;$D28&amp;"]"),Tabela1[Turno],$F28,Tabela1[Data],AC$3),"")</f>
        <v/>
      </c>
      <c r="AD28" s="23" t="str">
        <f ca="1">IFERROR(AVERAGEIFS(INDIRECT("Tabela1["&amp;$D28&amp;"]"),Tabela1[Turno],$F28,Tabela1[Data],AD$3),"")</f>
        <v/>
      </c>
      <c r="AE28" s="23" t="str">
        <f ca="1">IFERROR(AVERAGEIFS(INDIRECT("Tabela1["&amp;$D28&amp;"]"),Tabela1[Turno],$F28,Tabela1[Data],AE$3),"")</f>
        <v/>
      </c>
      <c r="AF28" s="23" t="str">
        <f ca="1">IFERROR(AVERAGEIFS(INDIRECT("Tabela1["&amp;$D28&amp;"]"),Tabela1[Turno],$F28,Tabela1[Data],AF$3),"")</f>
        <v/>
      </c>
      <c r="AG28" s="23" t="str">
        <f ca="1">IFERROR(AVERAGEIFS(INDIRECT("Tabela1["&amp;$D28&amp;"]"),Tabela1[Turno],$F28,Tabela1[Data],AG$3),"")</f>
        <v/>
      </c>
      <c r="AH28" s="23" t="str">
        <f ca="1">IFERROR(AVERAGEIFS(INDIRECT("Tabela1["&amp;$D28&amp;"]"),Tabela1[Turno],$F28,Tabela1[Data],AH$3),"")</f>
        <v/>
      </c>
      <c r="AI28" s="23" t="str">
        <f ca="1">IFERROR(AVERAGEIFS(INDIRECT("Tabela1["&amp;$D28&amp;"]"),Tabela1[Turno],$F28,Tabela1[Data],AI$3),"")</f>
        <v/>
      </c>
      <c r="AJ28" s="23" t="str">
        <f ca="1">IFERROR(AVERAGEIFS(INDIRECT("Tabela1["&amp;$D28&amp;"]"),Tabela1[Turno],$F28,Tabela1[Data],AJ$3),"")</f>
        <v/>
      </c>
      <c r="AK28" s="23" t="str">
        <f ca="1">IFERROR(AVERAGEIFS(INDIRECT("Tabela1["&amp;$D28&amp;"]"),Tabela1[Turno],$F28,Tabela1[Data],AK$3),"")</f>
        <v/>
      </c>
      <c r="AL28" s="23" t="str">
        <f ca="1">IFERROR(AVERAGEIFS(INDIRECT("Tabela1["&amp;$D28&amp;"]"),Tabela1[Turno],$F28,Tabela1[Data],AL$3),"")</f>
        <v/>
      </c>
      <c r="AM28" s="23" t="str">
        <f ca="1">IFERROR(AVERAGEIFS(INDIRECT("Tabela1["&amp;$D28&amp;"]"),Tabela1[Turno],$F28,Tabela1[Data],AM$3),"")</f>
        <v/>
      </c>
      <c r="AN28" s="23" t="str">
        <f ca="1">IFERROR(AVERAGEIFS(INDIRECT("Tabela1["&amp;$D28&amp;"]"),Tabela1[Turno],$F28,Tabela1[Data],AN$3),"")</f>
        <v/>
      </c>
      <c r="AO28" s="23" t="str">
        <f ca="1">IFERROR(AVERAGEIFS(INDIRECT("Tabela1["&amp;$D28&amp;"]"),Tabela1[Turno],$F28,Tabela1[Data],AO$3),"")</f>
        <v/>
      </c>
      <c r="AP28" s="23" t="str">
        <f ca="1">IFERROR(AVERAGEIFS(INDIRECT("Tabela1["&amp;$D28&amp;"]"),Tabela1[Turno],$F28,Tabela1[Data],AP$3),"")</f>
        <v/>
      </c>
      <c r="AQ28" s="23" t="str">
        <f ca="1">IFERROR(AVERAGEIFS(INDIRECT("Tabela1["&amp;$D28&amp;"]"),Tabela1[Turno],$F28,Tabela1[Data],AQ$3),"")</f>
        <v/>
      </c>
      <c r="AR28" s="23" t="str">
        <f ca="1">IFERROR(AVERAGEIFS(INDIRECT("Tabela1["&amp;$D28&amp;"]"),Tabela1[Turno],$F28,Tabela1[Data],AR$3),"")</f>
        <v/>
      </c>
    </row>
    <row r="29" spans="1:44" x14ac:dyDescent="0.25">
      <c r="A29" s="22" t="s">
        <v>121</v>
      </c>
      <c r="B29" s="22">
        <f t="shared" si="1"/>
        <v>2</v>
      </c>
      <c r="C29" s="22" t="s">
        <v>124</v>
      </c>
      <c r="D29" s="4" t="str">
        <f t="shared" si="2"/>
        <v>Medalhão na Asa Cone</v>
      </c>
      <c r="E29" s="33"/>
      <c r="F29" s="20">
        <v>2</v>
      </c>
      <c r="G29" s="11" t="str">
        <f ca="1">IFERROR(AVERAGEIFS(INDIRECT("Tabela1["&amp;$D29&amp;"]"),Tabela1[Turno],$F29,Tabela1[Mês],G$3),"")</f>
        <v/>
      </c>
      <c r="H29" s="11" t="str">
        <f ca="1">IFERROR(AVERAGEIFS(INDIRECT("Tabela1["&amp;$D29&amp;"]"),Tabela1[Turno],$F29,Tabela1[Mês],H$3),"")</f>
        <v/>
      </c>
      <c r="I29" s="11" t="str">
        <f ca="1">IFERROR(AVERAGEIFS(INDIRECT("Tabela1["&amp;$D29&amp;"]"),Tabela1[Turno],$F29,Tabela1[Mês],I$3),"")</f>
        <v/>
      </c>
      <c r="J29" s="11" t="str">
        <f ca="1">IFERROR(AVERAGEIFS(INDIRECT("Tabela1["&amp;$D29&amp;"]"),Tabela1[Turno],$F29,Tabela1[Mês],J$3),"")</f>
        <v/>
      </c>
      <c r="K29" s="11" t="str">
        <f ca="1">IFERROR(AVERAGEIFS(INDIRECT("Tabela1["&amp;$D29&amp;"]"),Tabela1[Turno],$F29,Tabela1[Mês],K$3),"")</f>
        <v/>
      </c>
      <c r="L29" s="11" t="str">
        <f ca="1">IFERROR(AVERAGEIFS(INDIRECT("Tabela1["&amp;$D29&amp;"]"),Tabela1[Turno],$F29,Tabela1[Mês],L$3),"")</f>
        <v/>
      </c>
      <c r="M29" s="11" t="str">
        <f ca="1">IFERROR(AVERAGEIFS(INDIRECT("Tabela1["&amp;$D29&amp;"]"),Tabela1[Turno],$F29,Tabela1[Mês],M$3),"")</f>
        <v/>
      </c>
      <c r="N29" s="11">
        <f ca="1">IFERROR(AVERAGEIFS(INDIRECT("Tabela1["&amp;$D29&amp;"]"),Tabela1[Turno],$F29,Tabela1[Mês],N$3),"")</f>
        <v>6.9285714285714288</v>
      </c>
      <c r="O29" s="11">
        <f ca="1">IFERROR(AVERAGEIFS(INDIRECT("Tabela1["&amp;$D29&amp;"]"),Tabela1[Turno],$F29,Tabela1[Mês],O$3),"")</f>
        <v>7.0117647058823529</v>
      </c>
      <c r="P29" s="11">
        <f ca="1">IFERROR(AVERAGEIFS(INDIRECT("Tabela1["&amp;$D29&amp;"]"),Tabela1[Turno],$F29,Tabela1[Mês],P$3),"")</f>
        <v>7.193548387096774</v>
      </c>
      <c r="Q29" s="11" t="str">
        <f ca="1">IFERROR(AVERAGEIFS(INDIRECT("Tabela1["&amp;$D29&amp;"]"),Tabela1[Turno],$F29,Tabela1[Mês],Q$3),"")</f>
        <v/>
      </c>
      <c r="R29" s="12" t="str">
        <f ca="1">IFERROR(AVERAGEIFS(INDIRECT("Tabela1["&amp;$D29&amp;"]"),Tabela1[Turno],$F29,Tabela1[Mês],R$3),"")</f>
        <v/>
      </c>
      <c r="S29" s="36"/>
      <c r="U29" s="11">
        <f ca="1">IFERROR(AVERAGEIFS(INDIRECT("Tabela1["&amp;$D29&amp;"]"),Tabela1[Turno],$F29,Tabela1[Data],U$3),"")</f>
        <v>7</v>
      </c>
      <c r="V29" s="11">
        <f ca="1">IFERROR(AVERAGEIFS(INDIRECT("Tabela1["&amp;$D29&amp;"]"),Tabela1[Turno],$F29,Tabela1[Data],V$3),"")</f>
        <v>7.6</v>
      </c>
      <c r="W29" s="11">
        <f ca="1">IFERROR(AVERAGEIFS(INDIRECT("Tabela1["&amp;$D29&amp;"]"),Tabela1[Turno],$F29,Tabela1[Data],W$3),"")</f>
        <v>7</v>
      </c>
      <c r="X29" s="11">
        <f ca="1">IFERROR(AVERAGEIFS(INDIRECT("Tabela1["&amp;$D29&amp;"]"),Tabela1[Turno],$F29,Tabela1[Data],X$3),"")</f>
        <v>7</v>
      </c>
      <c r="Y29" s="11">
        <f ca="1">IFERROR(AVERAGEIFS(INDIRECT("Tabela1["&amp;$D29&amp;"]"),Tabela1[Turno],$F29,Tabela1[Data],Y$3),"")</f>
        <v>7</v>
      </c>
      <c r="Z29" s="11">
        <f ca="1">IFERROR(AVERAGEIFS(INDIRECT("Tabela1["&amp;$D29&amp;"]"),Tabela1[Turno],$F29,Tabela1[Data],Z$3),"")</f>
        <v>7</v>
      </c>
      <c r="AA29" s="11">
        <f ca="1">IFERROR(AVERAGEIFS(INDIRECT("Tabela1["&amp;$D29&amp;"]"),Tabela1[Turno],$F29,Tabela1[Data],AA$3),"")</f>
        <v>7.6</v>
      </c>
      <c r="AB29" s="11">
        <f ca="1">IFERROR(AVERAGEIFS(INDIRECT("Tabela1["&amp;$D29&amp;"]"),Tabela1[Turno],$F29,Tabela1[Data],AB$3),"")</f>
        <v>7</v>
      </c>
      <c r="AC29" s="11" t="str">
        <f ca="1">IFERROR(AVERAGEIFS(INDIRECT("Tabela1["&amp;$D29&amp;"]"),Tabela1[Turno],$F29,Tabela1[Data],AC$3),"")</f>
        <v/>
      </c>
      <c r="AD29" s="11" t="str">
        <f ca="1">IFERROR(AVERAGEIFS(INDIRECT("Tabela1["&amp;$D29&amp;"]"),Tabela1[Turno],$F29,Tabela1[Data],AD$3),"")</f>
        <v/>
      </c>
      <c r="AE29" s="11" t="str">
        <f ca="1">IFERROR(AVERAGEIFS(INDIRECT("Tabela1["&amp;$D29&amp;"]"),Tabela1[Turno],$F29,Tabela1[Data],AE$3),"")</f>
        <v/>
      </c>
      <c r="AF29" s="11" t="str">
        <f ca="1">IFERROR(AVERAGEIFS(INDIRECT("Tabela1["&amp;$D29&amp;"]"),Tabela1[Turno],$F29,Tabela1[Data],AF$3),"")</f>
        <v/>
      </c>
      <c r="AG29" s="11" t="str">
        <f ca="1">IFERROR(AVERAGEIFS(INDIRECT("Tabela1["&amp;$D29&amp;"]"),Tabela1[Turno],$F29,Tabela1[Data],AG$3),"")</f>
        <v/>
      </c>
      <c r="AH29" s="11" t="str">
        <f ca="1">IFERROR(AVERAGEIFS(INDIRECT("Tabela1["&amp;$D29&amp;"]"),Tabela1[Turno],$F29,Tabela1[Data],AH$3),"")</f>
        <v/>
      </c>
      <c r="AI29" s="11" t="str">
        <f ca="1">IFERROR(AVERAGEIFS(INDIRECT("Tabela1["&amp;$D29&amp;"]"),Tabela1[Turno],$F29,Tabela1[Data],AI$3),"")</f>
        <v/>
      </c>
      <c r="AJ29" s="11" t="str">
        <f ca="1">IFERROR(AVERAGEIFS(INDIRECT("Tabela1["&amp;$D29&amp;"]"),Tabela1[Turno],$F29,Tabela1[Data],AJ$3),"")</f>
        <v/>
      </c>
      <c r="AK29" s="11" t="str">
        <f ca="1">IFERROR(AVERAGEIFS(INDIRECT("Tabela1["&amp;$D29&amp;"]"),Tabela1[Turno],$F29,Tabela1[Data],AK$3),"")</f>
        <v/>
      </c>
      <c r="AL29" s="11" t="str">
        <f ca="1">IFERROR(AVERAGEIFS(INDIRECT("Tabela1["&amp;$D29&amp;"]"),Tabela1[Turno],$F29,Tabela1[Data],AL$3),"")</f>
        <v/>
      </c>
      <c r="AM29" s="11" t="str">
        <f ca="1">IFERROR(AVERAGEIFS(INDIRECT("Tabela1["&amp;$D29&amp;"]"),Tabela1[Turno],$F29,Tabela1[Data],AM$3),"")</f>
        <v/>
      </c>
      <c r="AN29" s="11" t="str">
        <f ca="1">IFERROR(AVERAGEIFS(INDIRECT("Tabela1["&amp;$D29&amp;"]"),Tabela1[Turno],$F29,Tabela1[Data],AN$3),"")</f>
        <v/>
      </c>
      <c r="AO29" s="11" t="str">
        <f ca="1">IFERROR(AVERAGEIFS(INDIRECT("Tabela1["&amp;$D29&amp;"]"),Tabela1[Turno],$F29,Tabela1[Data],AO$3),"")</f>
        <v/>
      </c>
      <c r="AP29" s="11" t="str">
        <f ca="1">IFERROR(AVERAGEIFS(INDIRECT("Tabela1["&amp;$D29&amp;"]"),Tabela1[Turno],$F29,Tabela1[Data],AP$3),"")</f>
        <v/>
      </c>
      <c r="AQ29" s="11" t="str">
        <f ca="1">IFERROR(AVERAGEIFS(INDIRECT("Tabela1["&amp;$D29&amp;"]"),Tabela1[Turno],$F29,Tabela1[Data],AQ$3),"")</f>
        <v/>
      </c>
      <c r="AR29" s="11" t="str">
        <f ca="1">IFERROR(AVERAGEIFS(INDIRECT("Tabela1["&amp;$D29&amp;"]"),Tabela1[Turno],$F29,Tabela1[Data],AR$3),"")</f>
        <v/>
      </c>
    </row>
    <row r="30" spans="1:44" ht="15.75" thickBot="1" x14ac:dyDescent="0.3">
      <c r="A30" s="22" t="s">
        <v>121</v>
      </c>
      <c r="B30" s="22" t="str">
        <f t="shared" si="1"/>
        <v>Unidade</v>
      </c>
      <c r="C30" s="22" t="s">
        <v>124</v>
      </c>
      <c r="D30" s="4" t="str">
        <f t="shared" si="2"/>
        <v>Medalhão na Asa Cone</v>
      </c>
      <c r="E30" s="34"/>
      <c r="F30" s="21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7.4851485148514856</v>
      </c>
      <c r="P30" s="9">
        <f ca="1">IFERROR(AVERAGEIFS(INDIRECT("Tabela1["&amp;$D30&amp;"]"),Tabela1[Mês],P$3),"")</f>
        <v>7.6315789473684212</v>
      </c>
      <c r="Q30" s="9" t="str">
        <f ca="1">IFERROR(AVERAGEIFS(INDIRECT("Tabela1["&amp;$D30&amp;"]"),Tabela1[Mês],Q$3),"")</f>
        <v/>
      </c>
      <c r="R30" s="13" t="str">
        <f ca="1">IFERROR(AVERAGEIFS(INDIRECT("Tabela1["&amp;$D30&amp;"]"),Tabela1[Mês],R$3),"")</f>
        <v/>
      </c>
      <c r="S30" s="37"/>
      <c r="U30" s="9">
        <f ca="1">IFERROR(AVERAGEIFS(INDIRECT("Tabela1["&amp;$D30&amp;"]"),Tabela1[Data],U$3),"")</f>
        <v>7.6</v>
      </c>
      <c r="V30" s="9">
        <f ca="1">IFERROR(AVERAGEIFS(INDIRECT("Tabela1["&amp;$D30&amp;"]"),Tabela1[Data],V$3),"")</f>
        <v>7.5</v>
      </c>
      <c r="W30" s="9">
        <f ca="1">IFERROR(AVERAGEIFS(INDIRECT("Tabela1["&amp;$D30&amp;"]"),Tabela1[Data],W$3),"")</f>
        <v>7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8</v>
      </c>
      <c r="AB30" s="9">
        <f ca="1">IFERROR(AVERAGEIFS(INDIRECT("Tabela1["&amp;$D30&amp;"]"),Tabela1[Data],AB$3),"")</f>
        <v>8</v>
      </c>
      <c r="AC30" s="9" t="str">
        <f ca="1">IFERROR(AVERAGEIFS(INDIRECT("Tabela1["&amp;$D30&amp;"]"),Tabela1[Data],AC$3),"")</f>
        <v/>
      </c>
      <c r="AD30" s="9" t="str">
        <f ca="1">IFERROR(AVERAGEIFS(INDIRECT("Tabela1["&amp;$D30&amp;"]"),Tabela1[Data],AD$3),"")</f>
        <v/>
      </c>
      <c r="AE30" s="9" t="str">
        <f ca="1">IFERROR(AVERAGEIFS(INDIRECT("Tabela1["&amp;$D30&amp;"]"),Tabela1[Data],AE$3),"")</f>
        <v/>
      </c>
      <c r="AF30" s="9" t="str">
        <f ca="1">IFERROR(AVERAGEIFS(INDIRECT("Tabela1["&amp;$D30&amp;"]"),Tabela1[Data],AF$3),"")</f>
        <v/>
      </c>
      <c r="AG30" s="9" t="str">
        <f ca="1">IFERROR(AVERAGEIFS(INDIRECT("Tabela1["&amp;$D30&amp;"]"),Tabela1[Data],AG$3),"")</f>
        <v/>
      </c>
      <c r="AH30" s="9" t="str">
        <f ca="1">IFERROR(AVERAGEIFS(INDIRECT("Tabela1["&amp;$D30&amp;"]"),Tabela1[Data],AH$3),"")</f>
        <v/>
      </c>
      <c r="AI30" s="9" t="str">
        <f ca="1">IFERROR(AVERAGEIFS(INDIRECT("Tabela1["&amp;$D30&amp;"]"),Tabela1[Data],AI$3),"")</f>
        <v/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2" t="s">
        <v>121</v>
      </c>
      <c r="B31" s="22">
        <f t="shared" si="1"/>
        <v>1</v>
      </c>
      <c r="C31" s="22" t="s">
        <v>123</v>
      </c>
      <c r="D31" s="4" t="str">
        <f t="shared" si="2"/>
        <v>Corte Peito Cone</v>
      </c>
      <c r="E31" s="32" t="str">
        <f>Coleta!S1</f>
        <v>Corte Peito Cone</v>
      </c>
      <c r="F31" s="19">
        <v>1</v>
      </c>
      <c r="G31" s="23" t="str">
        <f ca="1">IFERROR(AVERAGEIFS(INDIRECT("Tabela1["&amp;$D31&amp;"]"),Tabela1[Turno],$F31,Tabela1[Mês],G$3),"")</f>
        <v/>
      </c>
      <c r="H31" s="23" t="str">
        <f ca="1">IFERROR(AVERAGEIFS(INDIRECT("Tabela1["&amp;$D31&amp;"]"),Tabela1[Turno],$F31,Tabela1[Mês],H$3),"")</f>
        <v/>
      </c>
      <c r="I31" s="23" t="str">
        <f ca="1">IFERROR(AVERAGEIFS(INDIRECT("Tabela1["&amp;$D31&amp;"]"),Tabela1[Turno],$F31,Tabela1[Mês],I$3),"")</f>
        <v/>
      </c>
      <c r="J31" s="23" t="str">
        <f ca="1">IFERROR(AVERAGEIFS(INDIRECT("Tabela1["&amp;$D31&amp;"]"),Tabela1[Turno],$F31,Tabela1[Mês],J$3),"")</f>
        <v/>
      </c>
      <c r="K31" s="23" t="str">
        <f ca="1">IFERROR(AVERAGEIFS(INDIRECT("Tabela1["&amp;$D31&amp;"]"),Tabela1[Turno],$F31,Tabela1[Mês],K$3),"")</f>
        <v/>
      </c>
      <c r="L31" s="23" t="str">
        <f ca="1">IFERROR(AVERAGEIFS(INDIRECT("Tabela1["&amp;$D31&amp;"]"),Tabela1[Turno],$F31,Tabela1[Mês],L$3),"")</f>
        <v/>
      </c>
      <c r="M31" s="23" t="str">
        <f ca="1">IFERROR(AVERAGEIFS(INDIRECT("Tabela1["&amp;$D31&amp;"]"),Tabela1[Turno],$F31,Tabela1[Mês],M$3),"")</f>
        <v/>
      </c>
      <c r="N31" s="23">
        <f ca="1">IFERROR(AVERAGEIFS(INDIRECT("Tabela1["&amp;$D31&amp;"]"),Tabela1[Turno],$F31,Tabela1[Mês],N$3),"")</f>
        <v>7.8</v>
      </c>
      <c r="O31" s="23">
        <f ca="1">IFERROR(AVERAGEIFS(INDIRECT("Tabela1["&amp;$D31&amp;"]"),Tabela1[Turno],$F31,Tabela1[Mês],O$3),"")</f>
        <v>7.625</v>
      </c>
      <c r="P31" s="23">
        <f ca="1">IFERROR(AVERAGEIFS(INDIRECT("Tabela1["&amp;$D31&amp;"]"),Tabela1[Turno],$F31,Tabela1[Mês],P$3),"")</f>
        <v>6.4285714285714288</v>
      </c>
      <c r="Q31" s="23" t="str">
        <f ca="1">IFERROR(AVERAGEIFS(INDIRECT("Tabela1["&amp;$D31&amp;"]"),Tabela1[Turno],$F31,Tabela1[Mês],Q$3),"")</f>
        <v/>
      </c>
      <c r="R31" s="24" t="str">
        <f ca="1">IFERROR(AVERAGEIFS(INDIRECT("Tabela1["&amp;$D31&amp;"]"),Tabela1[Turno],$F31,Tabela1[Mês],R$3),"")</f>
        <v/>
      </c>
      <c r="S31" s="35">
        <v>10</v>
      </c>
      <c r="U31" s="23">
        <f ca="1">IFERROR(AVERAGEIFS(INDIRECT("Tabela1["&amp;$D31&amp;"]"),Tabela1[Turno],$F31,Tabela1[Data],U$3),"")</f>
        <v>7</v>
      </c>
      <c r="V31" s="23">
        <f ca="1">IFERROR(AVERAGEIFS(INDIRECT("Tabela1["&amp;$D31&amp;"]"),Tabela1[Turno],$F31,Tabela1[Data],V$3),"")</f>
        <v>7</v>
      </c>
      <c r="W31" s="23" t="str">
        <f ca="1">IFERROR(AVERAGEIFS(INDIRECT("Tabela1["&amp;$D31&amp;"]"),Tabela1[Turno],$F31,Tabela1[Data],W$3),"")</f>
        <v/>
      </c>
      <c r="X31" s="23">
        <f ca="1">IFERROR(AVERAGEIFS(INDIRECT("Tabela1["&amp;$D31&amp;"]"),Tabela1[Turno],$F31,Tabela1[Data],X$3),"")</f>
        <v>5</v>
      </c>
      <c r="Y31" s="23">
        <f ca="1">IFERROR(AVERAGEIFS(INDIRECT("Tabela1["&amp;$D31&amp;"]"),Tabela1[Turno],$F31,Tabela1[Data],Y$3),"")</f>
        <v>7</v>
      </c>
      <c r="Z31" s="23">
        <f ca="1">IFERROR(AVERAGEIFS(INDIRECT("Tabela1["&amp;$D31&amp;"]"),Tabela1[Turno],$F31,Tabela1[Data],Z$3),"")</f>
        <v>7</v>
      </c>
      <c r="AA31" s="23">
        <f ca="1">IFERROR(AVERAGEIFS(INDIRECT("Tabela1["&amp;$D31&amp;"]"),Tabela1[Turno],$F31,Tabela1[Data],AA$3),"")</f>
        <v>7</v>
      </c>
      <c r="AB31" s="23">
        <f ca="1">IFERROR(AVERAGEIFS(INDIRECT("Tabela1["&amp;$D31&amp;"]"),Tabela1[Turno],$F31,Tabela1[Data],AB$3),"")</f>
        <v>5</v>
      </c>
      <c r="AC31" s="23" t="str">
        <f ca="1">IFERROR(AVERAGEIFS(INDIRECT("Tabela1["&amp;$D31&amp;"]"),Tabela1[Turno],$F31,Tabela1[Data],AC$3),"")</f>
        <v/>
      </c>
      <c r="AD31" s="23" t="str">
        <f ca="1">IFERROR(AVERAGEIFS(INDIRECT("Tabela1["&amp;$D31&amp;"]"),Tabela1[Turno],$F31,Tabela1[Data],AD$3),"")</f>
        <v/>
      </c>
      <c r="AE31" s="23" t="str">
        <f ca="1">IFERROR(AVERAGEIFS(INDIRECT("Tabela1["&amp;$D31&amp;"]"),Tabela1[Turno],$F31,Tabela1[Data],AE$3),"")</f>
        <v/>
      </c>
      <c r="AF31" s="23" t="str">
        <f ca="1">IFERROR(AVERAGEIFS(INDIRECT("Tabela1["&amp;$D31&amp;"]"),Tabela1[Turno],$F31,Tabela1[Data],AF$3),"")</f>
        <v/>
      </c>
      <c r="AG31" s="23" t="str">
        <f ca="1">IFERROR(AVERAGEIFS(INDIRECT("Tabela1["&amp;$D31&amp;"]"),Tabela1[Turno],$F31,Tabela1[Data],AG$3),"")</f>
        <v/>
      </c>
      <c r="AH31" s="23" t="str">
        <f ca="1">IFERROR(AVERAGEIFS(INDIRECT("Tabela1["&amp;$D31&amp;"]"),Tabela1[Turno],$F31,Tabela1[Data],AH$3),"")</f>
        <v/>
      </c>
      <c r="AI31" s="23" t="str">
        <f ca="1">IFERROR(AVERAGEIFS(INDIRECT("Tabela1["&amp;$D31&amp;"]"),Tabela1[Turno],$F31,Tabela1[Data],AI$3),"")</f>
        <v/>
      </c>
      <c r="AJ31" s="23" t="str">
        <f ca="1">IFERROR(AVERAGEIFS(INDIRECT("Tabela1["&amp;$D31&amp;"]"),Tabela1[Turno],$F31,Tabela1[Data],AJ$3),"")</f>
        <v/>
      </c>
      <c r="AK31" s="23" t="str">
        <f ca="1">IFERROR(AVERAGEIFS(INDIRECT("Tabela1["&amp;$D31&amp;"]"),Tabela1[Turno],$F31,Tabela1[Data],AK$3),"")</f>
        <v/>
      </c>
      <c r="AL31" s="23" t="str">
        <f ca="1">IFERROR(AVERAGEIFS(INDIRECT("Tabela1["&amp;$D31&amp;"]"),Tabela1[Turno],$F31,Tabela1[Data],AL$3),"")</f>
        <v/>
      </c>
      <c r="AM31" s="23" t="str">
        <f ca="1">IFERROR(AVERAGEIFS(INDIRECT("Tabela1["&amp;$D31&amp;"]"),Tabela1[Turno],$F31,Tabela1[Data],AM$3),"")</f>
        <v/>
      </c>
      <c r="AN31" s="23" t="str">
        <f ca="1">IFERROR(AVERAGEIFS(INDIRECT("Tabela1["&amp;$D31&amp;"]"),Tabela1[Turno],$F31,Tabela1[Data],AN$3),"")</f>
        <v/>
      </c>
      <c r="AO31" s="23" t="str">
        <f ca="1">IFERROR(AVERAGEIFS(INDIRECT("Tabela1["&amp;$D31&amp;"]"),Tabela1[Turno],$F31,Tabela1[Data],AO$3),"")</f>
        <v/>
      </c>
      <c r="AP31" s="23" t="str">
        <f ca="1">IFERROR(AVERAGEIFS(INDIRECT("Tabela1["&amp;$D31&amp;"]"),Tabela1[Turno],$F31,Tabela1[Data],AP$3),"")</f>
        <v/>
      </c>
      <c r="AQ31" s="23" t="str">
        <f ca="1">IFERROR(AVERAGEIFS(INDIRECT("Tabela1["&amp;$D31&amp;"]"),Tabela1[Turno],$F31,Tabela1[Data],AQ$3),"")</f>
        <v/>
      </c>
      <c r="AR31" s="23" t="str">
        <f ca="1">IFERROR(AVERAGEIFS(INDIRECT("Tabela1["&amp;$D31&amp;"]"),Tabela1[Turno],$F31,Tabela1[Data],AR$3),"")</f>
        <v/>
      </c>
    </row>
    <row r="32" spans="1:44" x14ac:dyDescent="0.25">
      <c r="A32" s="22" t="s">
        <v>121</v>
      </c>
      <c r="B32" s="22">
        <f t="shared" si="1"/>
        <v>2</v>
      </c>
      <c r="C32" s="22" t="s">
        <v>123</v>
      </c>
      <c r="D32" s="4" t="str">
        <f t="shared" si="2"/>
        <v>Corte Peito Cone</v>
      </c>
      <c r="E32" s="33"/>
      <c r="F32" s="20">
        <v>2</v>
      </c>
      <c r="G32" s="11" t="str">
        <f ca="1">IFERROR(AVERAGEIFS(INDIRECT("Tabela1["&amp;$D32&amp;"]"),Tabela1[Turno],$F32,Tabela1[Mês],G$3),"")</f>
        <v/>
      </c>
      <c r="H32" s="11" t="str">
        <f ca="1">IFERROR(AVERAGEIFS(INDIRECT("Tabela1["&amp;$D32&amp;"]"),Tabela1[Turno],$F32,Tabela1[Mês],H$3),"")</f>
        <v/>
      </c>
      <c r="I32" s="11" t="str">
        <f ca="1">IFERROR(AVERAGEIFS(INDIRECT("Tabela1["&amp;$D32&amp;"]"),Tabela1[Turno],$F32,Tabela1[Mês],I$3),"")</f>
        <v/>
      </c>
      <c r="J32" s="11" t="str">
        <f ca="1">IFERROR(AVERAGEIFS(INDIRECT("Tabela1["&amp;$D32&amp;"]"),Tabela1[Turno],$F32,Tabela1[Mês],J$3),"")</f>
        <v/>
      </c>
      <c r="K32" s="11" t="str">
        <f ca="1">IFERROR(AVERAGEIFS(INDIRECT("Tabela1["&amp;$D32&amp;"]"),Tabela1[Turno],$F32,Tabela1[Mês],K$3),"")</f>
        <v/>
      </c>
      <c r="L32" s="11" t="str">
        <f ca="1">IFERROR(AVERAGEIFS(INDIRECT("Tabela1["&amp;$D32&amp;"]"),Tabela1[Turno],$F32,Tabela1[Mês],L$3),"")</f>
        <v/>
      </c>
      <c r="M32" s="11" t="str">
        <f ca="1">IFERROR(AVERAGEIFS(INDIRECT("Tabela1["&amp;$D32&amp;"]"),Tabela1[Turno],$F32,Tabela1[Mês],M$3),"")</f>
        <v/>
      </c>
      <c r="N32" s="11">
        <f ca="1">IFERROR(AVERAGEIFS(INDIRECT("Tabela1["&amp;$D32&amp;"]"),Tabela1[Turno],$F32,Tabela1[Mês],N$3),"")</f>
        <v>6.9275362318840576</v>
      </c>
      <c r="O32" s="11">
        <f ca="1">IFERROR(AVERAGEIFS(INDIRECT("Tabela1["&amp;$D32&amp;"]"),Tabela1[Turno],$F32,Tabela1[Mês],O$3),"")</f>
        <v>6.9294117647058826</v>
      </c>
      <c r="P32" s="11">
        <f ca="1">IFERROR(AVERAGEIFS(INDIRECT("Tabela1["&amp;$D32&amp;"]"),Tabela1[Turno],$F32,Tabela1[Mês],P$3),"")</f>
        <v>6.935483870967742</v>
      </c>
      <c r="Q32" s="11" t="str">
        <f ca="1">IFERROR(AVERAGEIFS(INDIRECT("Tabela1["&amp;$D32&amp;"]"),Tabela1[Turno],$F32,Tabela1[Mês],Q$3),"")</f>
        <v/>
      </c>
      <c r="R32" s="12" t="str">
        <f ca="1">IFERROR(AVERAGEIFS(INDIRECT("Tabela1["&amp;$D32&amp;"]"),Tabela1[Turno],$F32,Tabela1[Mês],R$3),"")</f>
        <v/>
      </c>
      <c r="S32" s="36"/>
      <c r="U32" s="11">
        <f ca="1">IFERROR(AVERAGEIFS(INDIRECT("Tabela1["&amp;$D32&amp;"]"),Tabela1[Turno],$F32,Tabela1[Data],U$3),"")</f>
        <v>7</v>
      </c>
      <c r="V32" s="11">
        <f ca="1">IFERROR(AVERAGEIFS(INDIRECT("Tabela1["&amp;$D32&amp;"]"),Tabela1[Turno],$F32,Tabela1[Data],V$3),"")</f>
        <v>7</v>
      </c>
      <c r="W32" s="11">
        <f ca="1">IFERROR(AVERAGEIFS(INDIRECT("Tabela1["&amp;$D32&amp;"]"),Tabela1[Turno],$F32,Tabela1[Data],W$3),"")</f>
        <v>6.333333333333333</v>
      </c>
      <c r="X32" s="11">
        <f ca="1">IFERROR(AVERAGEIFS(INDIRECT("Tabela1["&amp;$D32&amp;"]"),Tabela1[Turno],$F32,Tabela1[Data],X$3),"")</f>
        <v>7</v>
      </c>
      <c r="Y32" s="11">
        <f ca="1">IFERROR(AVERAGEIFS(INDIRECT("Tabela1["&amp;$D32&amp;"]"),Tabela1[Turno],$F32,Tabela1[Data],Y$3),"")</f>
        <v>7</v>
      </c>
      <c r="Z32" s="11">
        <f ca="1">IFERROR(AVERAGEIFS(INDIRECT("Tabela1["&amp;$D32&amp;"]"),Tabela1[Turno],$F32,Tabela1[Data],Z$3),"")</f>
        <v>7</v>
      </c>
      <c r="AA32" s="11">
        <f ca="1">IFERROR(AVERAGEIFS(INDIRECT("Tabela1["&amp;$D32&amp;"]"),Tabela1[Turno],$F32,Tabela1[Data],AA$3),"")</f>
        <v>7</v>
      </c>
      <c r="AB32" s="11">
        <f ca="1">IFERROR(AVERAGEIFS(INDIRECT("Tabela1["&amp;$D32&amp;"]"),Tabela1[Turno],$F32,Tabela1[Data],AB$3),"")</f>
        <v>7</v>
      </c>
      <c r="AC32" s="11" t="str">
        <f ca="1">IFERROR(AVERAGEIFS(INDIRECT("Tabela1["&amp;$D32&amp;"]"),Tabela1[Turno],$F32,Tabela1[Data],AC$3),"")</f>
        <v/>
      </c>
      <c r="AD32" s="11" t="str">
        <f ca="1">IFERROR(AVERAGEIFS(INDIRECT("Tabela1["&amp;$D32&amp;"]"),Tabela1[Turno],$F32,Tabela1[Data],AD$3),"")</f>
        <v/>
      </c>
      <c r="AE32" s="11" t="str">
        <f ca="1">IFERROR(AVERAGEIFS(INDIRECT("Tabela1["&amp;$D32&amp;"]"),Tabela1[Turno],$F32,Tabela1[Data],AE$3),"")</f>
        <v/>
      </c>
      <c r="AF32" s="11" t="str">
        <f ca="1">IFERROR(AVERAGEIFS(INDIRECT("Tabela1["&amp;$D32&amp;"]"),Tabela1[Turno],$F32,Tabela1[Data],AF$3),"")</f>
        <v/>
      </c>
      <c r="AG32" s="11" t="str">
        <f ca="1">IFERROR(AVERAGEIFS(INDIRECT("Tabela1["&amp;$D32&amp;"]"),Tabela1[Turno],$F32,Tabela1[Data],AG$3),"")</f>
        <v/>
      </c>
      <c r="AH32" s="11" t="str">
        <f ca="1">IFERROR(AVERAGEIFS(INDIRECT("Tabela1["&amp;$D32&amp;"]"),Tabela1[Turno],$F32,Tabela1[Data],AH$3),"")</f>
        <v/>
      </c>
      <c r="AI32" s="11" t="str">
        <f ca="1">IFERROR(AVERAGEIFS(INDIRECT("Tabela1["&amp;$D32&amp;"]"),Tabela1[Turno],$F32,Tabela1[Data],AI$3),"")</f>
        <v/>
      </c>
      <c r="AJ32" s="11" t="str">
        <f ca="1">IFERROR(AVERAGEIFS(INDIRECT("Tabela1["&amp;$D32&amp;"]"),Tabela1[Turno],$F32,Tabela1[Data],AJ$3),"")</f>
        <v/>
      </c>
      <c r="AK32" s="11" t="str">
        <f ca="1">IFERROR(AVERAGEIFS(INDIRECT("Tabela1["&amp;$D32&amp;"]"),Tabela1[Turno],$F32,Tabela1[Data],AK$3),"")</f>
        <v/>
      </c>
      <c r="AL32" s="11" t="str">
        <f ca="1">IFERROR(AVERAGEIFS(INDIRECT("Tabela1["&amp;$D32&amp;"]"),Tabela1[Turno],$F32,Tabela1[Data],AL$3),"")</f>
        <v/>
      </c>
      <c r="AM32" s="11" t="str">
        <f ca="1">IFERROR(AVERAGEIFS(INDIRECT("Tabela1["&amp;$D32&amp;"]"),Tabela1[Turno],$F32,Tabela1[Data],AM$3),"")</f>
        <v/>
      </c>
      <c r="AN32" s="11" t="str">
        <f ca="1">IFERROR(AVERAGEIFS(INDIRECT("Tabela1["&amp;$D32&amp;"]"),Tabela1[Turno],$F32,Tabela1[Data],AN$3),"")</f>
        <v/>
      </c>
      <c r="AO32" s="11" t="str">
        <f ca="1">IFERROR(AVERAGEIFS(INDIRECT("Tabela1["&amp;$D32&amp;"]"),Tabela1[Turno],$F32,Tabela1[Data],AO$3),"")</f>
        <v/>
      </c>
      <c r="AP32" s="11" t="str">
        <f ca="1">IFERROR(AVERAGEIFS(INDIRECT("Tabela1["&amp;$D32&amp;"]"),Tabela1[Turno],$F32,Tabela1[Data],AP$3),"")</f>
        <v/>
      </c>
      <c r="AQ32" s="11" t="str">
        <f ca="1">IFERROR(AVERAGEIFS(INDIRECT("Tabela1["&amp;$D32&amp;"]"),Tabela1[Turno],$F32,Tabela1[Data],AQ$3),"")</f>
        <v/>
      </c>
      <c r="AR32" s="11" t="str">
        <f ca="1">IFERROR(AVERAGEIFS(INDIRECT("Tabela1["&amp;$D32&amp;"]"),Tabela1[Turno],$F32,Tabela1[Data],AR$3),"")</f>
        <v/>
      </c>
    </row>
    <row r="33" spans="1:44" ht="15.75" thickBot="1" x14ac:dyDescent="0.3">
      <c r="A33" s="22" t="s">
        <v>121</v>
      </c>
      <c r="B33" s="22" t="str">
        <f t="shared" si="1"/>
        <v>Unidade</v>
      </c>
      <c r="C33" s="22" t="s">
        <v>123</v>
      </c>
      <c r="D33" s="4" t="str">
        <f t="shared" si="2"/>
        <v>Corte Peito Cone</v>
      </c>
      <c r="E33" s="34"/>
      <c r="F33" s="21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7.0396039603960396</v>
      </c>
      <c r="P33" s="9">
        <f ca="1">IFERROR(AVERAGEIFS(INDIRECT("Tabela1["&amp;$D33&amp;"]"),Tabela1[Mês],P$3),"")</f>
        <v>6.8421052631578947</v>
      </c>
      <c r="Q33" s="9" t="str">
        <f ca="1">IFERROR(AVERAGEIFS(INDIRECT("Tabela1["&amp;$D33&amp;"]"),Tabela1[Mês],Q$3),"")</f>
        <v/>
      </c>
      <c r="R33" s="13" t="str">
        <f ca="1">IFERROR(AVERAGEIFS(INDIRECT("Tabela1["&amp;$D33&amp;"]"),Tabela1[Mês],R$3),"")</f>
        <v/>
      </c>
      <c r="S33" s="37"/>
      <c r="U33" s="9">
        <f ca="1">IFERROR(AVERAGEIFS(INDIRECT("Tabela1["&amp;$D33&amp;"]"),Tabela1[Data],U$3),"")</f>
        <v>7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6.333333333333333</v>
      </c>
      <c r="X33" s="9">
        <f ca="1">IFERROR(AVERAGEIFS(INDIRECT("Tabela1["&amp;$D33&amp;"]"),Tabela1[Data],X$3),"")</f>
        <v>6.6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</v>
      </c>
      <c r="AA33" s="9">
        <f ca="1">IFERROR(AVERAGEIFS(INDIRECT("Tabela1["&amp;$D33&amp;"]"),Tabela1[Data],AA$3),"")</f>
        <v>7</v>
      </c>
      <c r="AB33" s="9">
        <f ca="1">IFERROR(AVERAGEIFS(INDIRECT("Tabela1["&amp;$D33&amp;"]"),Tabela1[Data],AB$3),"")</f>
        <v>6.333333333333333</v>
      </c>
      <c r="AC33" s="9" t="str">
        <f ca="1">IFERROR(AVERAGEIFS(INDIRECT("Tabela1["&amp;$D33&amp;"]"),Tabela1[Data],AC$3),"")</f>
        <v/>
      </c>
      <c r="AD33" s="9" t="str">
        <f ca="1">IFERROR(AVERAGEIFS(INDIRECT("Tabela1["&amp;$D33&amp;"]"),Tabela1[Data],AD$3),"")</f>
        <v/>
      </c>
      <c r="AE33" s="9" t="str">
        <f ca="1">IFERROR(AVERAGEIFS(INDIRECT("Tabela1["&amp;$D33&amp;"]"),Tabela1[Data],AE$3),"")</f>
        <v/>
      </c>
      <c r="AF33" s="9" t="str">
        <f ca="1">IFERROR(AVERAGEIFS(INDIRECT("Tabela1["&amp;$D33&amp;"]"),Tabela1[Data],AF$3),"")</f>
        <v/>
      </c>
      <c r="AG33" s="9" t="str">
        <f ca="1">IFERROR(AVERAGEIFS(INDIRECT("Tabela1["&amp;$D33&amp;"]"),Tabela1[Data],AG$3),"")</f>
        <v/>
      </c>
      <c r="AH33" s="9" t="str">
        <f ca="1">IFERROR(AVERAGEIFS(INDIRECT("Tabela1["&amp;$D33&amp;"]"),Tabela1[Data],AH$3),"")</f>
        <v/>
      </c>
      <c r="AI33" s="9" t="str">
        <f ca="1">IFERROR(AVERAGEIFS(INDIRECT("Tabela1["&amp;$D33&amp;"]"),Tabela1[Data],AI$3),"")</f>
        <v/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2" t="s">
        <v>121</v>
      </c>
      <c r="B34" s="22">
        <f t="shared" si="1"/>
        <v>1</v>
      </c>
      <c r="C34" s="22" t="s">
        <v>162</v>
      </c>
      <c r="D34" s="4" t="str">
        <f t="shared" si="2"/>
        <v>Corte Sassami Cone</v>
      </c>
      <c r="E34" s="32" t="str">
        <f>Coleta!T1</f>
        <v>Corte Sassami Cone</v>
      </c>
      <c r="F34" s="19">
        <v>1</v>
      </c>
      <c r="G34" s="23" t="str">
        <f ca="1">IFERROR(AVERAGEIFS(INDIRECT("Tabela1["&amp;$D34&amp;"]"),Tabela1[Turno],$F34,Tabela1[Mês],G$3),"")</f>
        <v/>
      </c>
      <c r="H34" s="23" t="str">
        <f ca="1">IFERROR(AVERAGEIFS(INDIRECT("Tabela1["&amp;$D34&amp;"]"),Tabela1[Turno],$F34,Tabela1[Mês],H$3),"")</f>
        <v/>
      </c>
      <c r="I34" s="23" t="str">
        <f ca="1">IFERROR(AVERAGEIFS(INDIRECT("Tabela1["&amp;$D34&amp;"]"),Tabela1[Turno],$F34,Tabela1[Mês],I$3),"")</f>
        <v/>
      </c>
      <c r="J34" s="23" t="str">
        <f ca="1">IFERROR(AVERAGEIFS(INDIRECT("Tabela1["&amp;$D34&amp;"]"),Tabela1[Turno],$F34,Tabela1[Mês],J$3),"")</f>
        <v/>
      </c>
      <c r="K34" s="23" t="str">
        <f ca="1">IFERROR(AVERAGEIFS(INDIRECT("Tabela1["&amp;$D34&amp;"]"),Tabela1[Turno],$F34,Tabela1[Mês],K$3),"")</f>
        <v/>
      </c>
      <c r="L34" s="23" t="str">
        <f ca="1">IFERROR(AVERAGEIFS(INDIRECT("Tabela1["&amp;$D34&amp;"]"),Tabela1[Turno],$F34,Tabela1[Mês],L$3),"")</f>
        <v/>
      </c>
      <c r="M34" s="23" t="str">
        <f ca="1">IFERROR(AVERAGEIFS(INDIRECT("Tabela1["&amp;$D34&amp;"]"),Tabela1[Turno],$F34,Tabela1[Mês],M$3),"")</f>
        <v/>
      </c>
      <c r="N34" s="23">
        <f ca="1">IFERROR(AVERAGEIFS(INDIRECT("Tabela1["&amp;$D34&amp;"]"),Tabela1[Turno],$F34,Tabela1[Mês],N$3),"")</f>
        <v>7.2</v>
      </c>
      <c r="O34" s="23">
        <f ca="1">IFERROR(AVERAGEIFS(INDIRECT("Tabela1["&amp;$D34&amp;"]"),Tabela1[Turno],$F34,Tabela1[Mês],O$3),"")</f>
        <v>7.9375</v>
      </c>
      <c r="P34" s="23">
        <f ca="1">IFERROR(AVERAGEIFS(INDIRECT("Tabela1["&amp;$D34&amp;"]"),Tabela1[Turno],$F34,Tabela1[Mês],P$3),"")</f>
        <v>6.7142857142857144</v>
      </c>
      <c r="Q34" s="23" t="str">
        <f ca="1">IFERROR(AVERAGEIFS(INDIRECT("Tabela1["&amp;$D34&amp;"]"),Tabela1[Turno],$F34,Tabela1[Mês],Q$3),"")</f>
        <v/>
      </c>
      <c r="R34" s="24" t="str">
        <f ca="1">IFERROR(AVERAGEIFS(INDIRECT("Tabela1["&amp;$D34&amp;"]"),Tabela1[Turno],$F34,Tabela1[Mês],R$3),"")</f>
        <v/>
      </c>
      <c r="S34" s="35">
        <v>10</v>
      </c>
      <c r="U34" s="23">
        <f ca="1">IFERROR(AVERAGEIFS(INDIRECT("Tabela1["&amp;$D34&amp;"]"),Tabela1[Turno],$F34,Tabela1[Data],U$3),"")</f>
        <v>7</v>
      </c>
      <c r="V34" s="23">
        <f ca="1">IFERROR(AVERAGEIFS(INDIRECT("Tabela1["&amp;$D34&amp;"]"),Tabela1[Turno],$F34,Tabela1[Data],V$3),"")</f>
        <v>7</v>
      </c>
      <c r="W34" s="23" t="str">
        <f ca="1">IFERROR(AVERAGEIFS(INDIRECT("Tabela1["&amp;$D34&amp;"]"),Tabela1[Turno],$F34,Tabela1[Data],W$3),"")</f>
        <v/>
      </c>
      <c r="X34" s="23">
        <f ca="1">IFERROR(AVERAGEIFS(INDIRECT("Tabela1["&amp;$D34&amp;"]"),Tabela1[Turno],$F34,Tabela1[Data],X$3),"")</f>
        <v>7</v>
      </c>
      <c r="Y34" s="23">
        <f ca="1">IFERROR(AVERAGEIFS(INDIRECT("Tabela1["&amp;$D34&amp;"]"),Tabela1[Turno],$F34,Tabela1[Data],Y$3),"")</f>
        <v>7</v>
      </c>
      <c r="Z34" s="23">
        <f ca="1">IFERROR(AVERAGEIFS(INDIRECT("Tabela1["&amp;$D34&amp;"]"),Tabela1[Turno],$F34,Tabela1[Data],Z$3),"")</f>
        <v>7</v>
      </c>
      <c r="AA34" s="23">
        <f ca="1">IFERROR(AVERAGEIFS(INDIRECT("Tabela1["&amp;$D34&amp;"]"),Tabela1[Turno],$F34,Tabela1[Data],AA$3),"")</f>
        <v>7</v>
      </c>
      <c r="AB34" s="23">
        <f ca="1">IFERROR(AVERAGEIFS(INDIRECT("Tabela1["&amp;$D34&amp;"]"),Tabela1[Turno],$F34,Tabela1[Data],AB$3),"")</f>
        <v>5</v>
      </c>
      <c r="AC34" s="23" t="str">
        <f ca="1">IFERROR(AVERAGEIFS(INDIRECT("Tabela1["&amp;$D34&amp;"]"),Tabela1[Turno],$F34,Tabela1[Data],AC$3),"")</f>
        <v/>
      </c>
      <c r="AD34" s="23" t="str">
        <f ca="1">IFERROR(AVERAGEIFS(INDIRECT("Tabela1["&amp;$D34&amp;"]"),Tabela1[Turno],$F34,Tabela1[Data],AD$3),"")</f>
        <v/>
      </c>
      <c r="AE34" s="23" t="str">
        <f ca="1">IFERROR(AVERAGEIFS(INDIRECT("Tabela1["&amp;$D34&amp;"]"),Tabela1[Turno],$F34,Tabela1[Data],AE$3),"")</f>
        <v/>
      </c>
      <c r="AF34" s="23" t="str">
        <f ca="1">IFERROR(AVERAGEIFS(INDIRECT("Tabela1["&amp;$D34&amp;"]"),Tabela1[Turno],$F34,Tabela1[Data],AF$3),"")</f>
        <v/>
      </c>
      <c r="AG34" s="23" t="str">
        <f ca="1">IFERROR(AVERAGEIFS(INDIRECT("Tabela1["&amp;$D34&amp;"]"),Tabela1[Turno],$F34,Tabela1[Data],AG$3),"")</f>
        <v/>
      </c>
      <c r="AH34" s="23" t="str">
        <f ca="1">IFERROR(AVERAGEIFS(INDIRECT("Tabela1["&amp;$D34&amp;"]"),Tabela1[Turno],$F34,Tabela1[Data],AH$3),"")</f>
        <v/>
      </c>
      <c r="AI34" s="23" t="str">
        <f ca="1">IFERROR(AVERAGEIFS(INDIRECT("Tabela1["&amp;$D34&amp;"]"),Tabela1[Turno],$F34,Tabela1[Data],AI$3),"")</f>
        <v/>
      </c>
      <c r="AJ34" s="23" t="str">
        <f ca="1">IFERROR(AVERAGEIFS(INDIRECT("Tabela1["&amp;$D34&amp;"]"),Tabela1[Turno],$F34,Tabela1[Data],AJ$3),"")</f>
        <v/>
      </c>
      <c r="AK34" s="23" t="str">
        <f ca="1">IFERROR(AVERAGEIFS(INDIRECT("Tabela1["&amp;$D34&amp;"]"),Tabela1[Turno],$F34,Tabela1[Data],AK$3),"")</f>
        <v/>
      </c>
      <c r="AL34" s="23" t="str">
        <f ca="1">IFERROR(AVERAGEIFS(INDIRECT("Tabela1["&amp;$D34&amp;"]"),Tabela1[Turno],$F34,Tabela1[Data],AL$3),"")</f>
        <v/>
      </c>
      <c r="AM34" s="23" t="str">
        <f ca="1">IFERROR(AVERAGEIFS(INDIRECT("Tabela1["&amp;$D34&amp;"]"),Tabela1[Turno],$F34,Tabela1[Data],AM$3),"")</f>
        <v/>
      </c>
      <c r="AN34" s="23" t="str">
        <f ca="1">IFERROR(AVERAGEIFS(INDIRECT("Tabela1["&amp;$D34&amp;"]"),Tabela1[Turno],$F34,Tabela1[Data],AN$3),"")</f>
        <v/>
      </c>
      <c r="AO34" s="23" t="str">
        <f ca="1">IFERROR(AVERAGEIFS(INDIRECT("Tabela1["&amp;$D34&amp;"]"),Tabela1[Turno],$F34,Tabela1[Data],AO$3),"")</f>
        <v/>
      </c>
      <c r="AP34" s="23" t="str">
        <f ca="1">IFERROR(AVERAGEIFS(INDIRECT("Tabela1["&amp;$D34&amp;"]"),Tabela1[Turno],$F34,Tabela1[Data],AP$3),"")</f>
        <v/>
      </c>
      <c r="AQ34" s="23" t="str">
        <f ca="1">IFERROR(AVERAGEIFS(INDIRECT("Tabela1["&amp;$D34&amp;"]"),Tabela1[Turno],$F34,Tabela1[Data],AQ$3),"")</f>
        <v/>
      </c>
      <c r="AR34" s="23" t="str">
        <f ca="1">IFERROR(AVERAGEIFS(INDIRECT("Tabela1["&amp;$D34&amp;"]"),Tabela1[Turno],$F34,Tabela1[Data],AR$3),"")</f>
        <v/>
      </c>
    </row>
    <row r="35" spans="1:44" x14ac:dyDescent="0.25">
      <c r="A35" s="22" t="s">
        <v>121</v>
      </c>
      <c r="B35" s="22">
        <f t="shared" si="1"/>
        <v>2</v>
      </c>
      <c r="C35" s="22" t="s">
        <v>162</v>
      </c>
      <c r="D35" s="4" t="str">
        <f t="shared" si="2"/>
        <v>Corte Sassami Cone</v>
      </c>
      <c r="E35" s="33"/>
      <c r="F35" s="20">
        <v>2</v>
      </c>
      <c r="G35" s="11" t="str">
        <f ca="1">IFERROR(AVERAGEIFS(INDIRECT("Tabela1["&amp;$D35&amp;"]"),Tabela1[Turno],$F35,Tabela1[Mês],G$3),"")</f>
        <v/>
      </c>
      <c r="H35" s="11" t="str">
        <f ca="1">IFERROR(AVERAGEIFS(INDIRECT("Tabela1["&amp;$D35&amp;"]"),Tabela1[Turno],$F35,Tabela1[Mês],H$3),"")</f>
        <v/>
      </c>
      <c r="I35" s="11" t="str">
        <f ca="1">IFERROR(AVERAGEIFS(INDIRECT("Tabela1["&amp;$D35&amp;"]"),Tabela1[Turno],$F35,Tabela1[Mês],I$3),"")</f>
        <v/>
      </c>
      <c r="J35" s="11" t="str">
        <f ca="1">IFERROR(AVERAGEIFS(INDIRECT("Tabela1["&amp;$D35&amp;"]"),Tabela1[Turno],$F35,Tabela1[Mês],J$3),"")</f>
        <v/>
      </c>
      <c r="K35" s="11" t="str">
        <f ca="1">IFERROR(AVERAGEIFS(INDIRECT("Tabela1["&amp;$D35&amp;"]"),Tabela1[Turno],$F35,Tabela1[Mês],K$3),"")</f>
        <v/>
      </c>
      <c r="L35" s="11" t="str">
        <f ca="1">IFERROR(AVERAGEIFS(INDIRECT("Tabela1["&amp;$D35&amp;"]"),Tabela1[Turno],$F35,Tabela1[Mês],L$3),"")</f>
        <v/>
      </c>
      <c r="M35" s="11" t="str">
        <f ca="1">IFERROR(AVERAGEIFS(INDIRECT("Tabela1["&amp;$D35&amp;"]"),Tabela1[Turno],$F35,Tabela1[Mês],M$3),"")</f>
        <v/>
      </c>
      <c r="N35" s="11">
        <f ca="1">IFERROR(AVERAGEIFS(INDIRECT("Tabela1["&amp;$D35&amp;"]"),Tabela1[Turno],$F35,Tabela1[Mês],N$3),"")</f>
        <v>6.9714285714285715</v>
      </c>
      <c r="O35" s="11">
        <f ca="1">IFERROR(AVERAGEIFS(INDIRECT("Tabela1["&amp;$D35&amp;"]"),Tabela1[Turno],$F35,Tabela1[Mês],O$3),"")</f>
        <v>7.0352941176470587</v>
      </c>
      <c r="P35" s="11">
        <f ca="1">IFERROR(AVERAGEIFS(INDIRECT("Tabela1["&amp;$D35&amp;"]"),Tabela1[Turno],$F35,Tabela1[Mês],P$3),"")</f>
        <v>7</v>
      </c>
      <c r="Q35" s="11" t="str">
        <f ca="1">IFERROR(AVERAGEIFS(INDIRECT("Tabela1["&amp;$D35&amp;"]"),Tabela1[Turno],$F35,Tabela1[Mês],Q$3),"")</f>
        <v/>
      </c>
      <c r="R35" s="12" t="str">
        <f ca="1">IFERROR(AVERAGEIFS(INDIRECT("Tabela1["&amp;$D35&amp;"]"),Tabela1[Turno],$F35,Tabela1[Mês],R$3),"")</f>
        <v/>
      </c>
      <c r="S35" s="36"/>
      <c r="U35" s="11">
        <f ca="1">IFERROR(AVERAGEIFS(INDIRECT("Tabela1["&amp;$D35&amp;"]"),Tabela1[Turno],$F35,Tabela1[Data],U$3),"")</f>
        <v>7</v>
      </c>
      <c r="V35" s="11">
        <f ca="1">IFERROR(AVERAGEIFS(INDIRECT("Tabela1["&amp;$D35&amp;"]"),Tabela1[Turno],$F35,Tabela1[Data],V$3),"")</f>
        <v>7</v>
      </c>
      <c r="W35" s="11">
        <f ca="1">IFERROR(AVERAGEIFS(INDIRECT("Tabela1["&amp;$D35&amp;"]"),Tabela1[Turno],$F35,Tabela1[Data],W$3),"")</f>
        <v>7</v>
      </c>
      <c r="X35" s="11">
        <f ca="1">IFERROR(AVERAGEIFS(INDIRECT("Tabela1["&amp;$D35&amp;"]"),Tabela1[Turno],$F35,Tabela1[Data],X$3),"")</f>
        <v>7</v>
      </c>
      <c r="Y35" s="11">
        <f ca="1">IFERROR(AVERAGEIFS(INDIRECT("Tabela1["&amp;$D35&amp;"]"),Tabela1[Turno],$F35,Tabela1[Data],Y$3),"")</f>
        <v>7</v>
      </c>
      <c r="Z35" s="11">
        <f ca="1">IFERROR(AVERAGEIFS(INDIRECT("Tabela1["&amp;$D35&amp;"]"),Tabela1[Turno],$F35,Tabela1[Data],Z$3),"")</f>
        <v>7</v>
      </c>
      <c r="AA35" s="11">
        <f ca="1">IFERROR(AVERAGEIFS(INDIRECT("Tabela1["&amp;$D35&amp;"]"),Tabela1[Turno],$F35,Tabela1[Data],AA$3),"")</f>
        <v>7</v>
      </c>
      <c r="AB35" s="11">
        <f ca="1">IFERROR(AVERAGEIFS(INDIRECT("Tabela1["&amp;$D35&amp;"]"),Tabela1[Turno],$F35,Tabela1[Data],AB$3),"")</f>
        <v>7</v>
      </c>
      <c r="AC35" s="11" t="str">
        <f ca="1">IFERROR(AVERAGEIFS(INDIRECT("Tabela1["&amp;$D35&amp;"]"),Tabela1[Turno],$F35,Tabela1[Data],AC$3),"")</f>
        <v/>
      </c>
      <c r="AD35" s="11" t="str">
        <f ca="1">IFERROR(AVERAGEIFS(INDIRECT("Tabela1["&amp;$D35&amp;"]"),Tabela1[Turno],$F35,Tabela1[Data],AD$3),"")</f>
        <v/>
      </c>
      <c r="AE35" s="11" t="str">
        <f ca="1">IFERROR(AVERAGEIFS(INDIRECT("Tabela1["&amp;$D35&amp;"]"),Tabela1[Turno],$F35,Tabela1[Data],AE$3),"")</f>
        <v/>
      </c>
      <c r="AF35" s="11" t="str">
        <f ca="1">IFERROR(AVERAGEIFS(INDIRECT("Tabela1["&amp;$D35&amp;"]"),Tabela1[Turno],$F35,Tabela1[Data],AF$3),"")</f>
        <v/>
      </c>
      <c r="AG35" s="11" t="str">
        <f ca="1">IFERROR(AVERAGEIFS(INDIRECT("Tabela1["&amp;$D35&amp;"]"),Tabela1[Turno],$F35,Tabela1[Data],AG$3),"")</f>
        <v/>
      </c>
      <c r="AH35" s="11" t="str">
        <f ca="1">IFERROR(AVERAGEIFS(INDIRECT("Tabela1["&amp;$D35&amp;"]"),Tabela1[Turno],$F35,Tabela1[Data],AH$3),"")</f>
        <v/>
      </c>
      <c r="AI35" s="11" t="str">
        <f ca="1">IFERROR(AVERAGEIFS(INDIRECT("Tabela1["&amp;$D35&amp;"]"),Tabela1[Turno],$F35,Tabela1[Data],AI$3),"")</f>
        <v/>
      </c>
      <c r="AJ35" s="11" t="str">
        <f ca="1">IFERROR(AVERAGEIFS(INDIRECT("Tabela1["&amp;$D35&amp;"]"),Tabela1[Turno],$F35,Tabela1[Data],AJ$3),"")</f>
        <v/>
      </c>
      <c r="AK35" s="11" t="str">
        <f ca="1">IFERROR(AVERAGEIFS(INDIRECT("Tabela1["&amp;$D35&amp;"]"),Tabela1[Turno],$F35,Tabela1[Data],AK$3),"")</f>
        <v/>
      </c>
      <c r="AL35" s="11" t="str">
        <f ca="1">IFERROR(AVERAGEIFS(INDIRECT("Tabela1["&amp;$D35&amp;"]"),Tabela1[Turno],$F35,Tabela1[Data],AL$3),"")</f>
        <v/>
      </c>
      <c r="AM35" s="11" t="str">
        <f ca="1">IFERROR(AVERAGEIFS(INDIRECT("Tabela1["&amp;$D35&amp;"]"),Tabela1[Turno],$F35,Tabela1[Data],AM$3),"")</f>
        <v/>
      </c>
      <c r="AN35" s="11" t="str">
        <f ca="1">IFERROR(AVERAGEIFS(INDIRECT("Tabela1["&amp;$D35&amp;"]"),Tabela1[Turno],$F35,Tabela1[Data],AN$3),"")</f>
        <v/>
      </c>
      <c r="AO35" s="11" t="str">
        <f ca="1">IFERROR(AVERAGEIFS(INDIRECT("Tabela1["&amp;$D35&amp;"]"),Tabela1[Turno],$F35,Tabela1[Data],AO$3),"")</f>
        <v/>
      </c>
      <c r="AP35" s="11" t="str">
        <f ca="1">IFERROR(AVERAGEIFS(INDIRECT("Tabela1["&amp;$D35&amp;"]"),Tabela1[Turno],$F35,Tabela1[Data],AP$3),"")</f>
        <v/>
      </c>
      <c r="AQ35" s="11" t="str">
        <f ca="1">IFERROR(AVERAGEIFS(INDIRECT("Tabela1["&amp;$D35&amp;"]"),Tabela1[Turno],$F35,Tabela1[Data],AQ$3),"")</f>
        <v/>
      </c>
      <c r="AR35" s="11" t="str">
        <f ca="1">IFERROR(AVERAGEIFS(INDIRECT("Tabela1["&amp;$D35&amp;"]"),Tabela1[Turno],$F35,Tabela1[Data],AR$3),"")</f>
        <v/>
      </c>
    </row>
    <row r="36" spans="1:44" ht="15.75" thickBot="1" x14ac:dyDescent="0.3">
      <c r="A36" s="22" t="s">
        <v>121</v>
      </c>
      <c r="B36" s="22" t="str">
        <f t="shared" si="1"/>
        <v>Unidade</v>
      </c>
      <c r="C36" s="22" t="s">
        <v>162</v>
      </c>
      <c r="D36" s="4" t="str">
        <f t="shared" si="2"/>
        <v>Corte Sassami Cone</v>
      </c>
      <c r="E36" s="34"/>
      <c r="F36" s="21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7.1782178217821784</v>
      </c>
      <c r="P36" s="9">
        <f ca="1">IFERROR(AVERAGEIFS(INDIRECT("Tabela1["&amp;$D36&amp;"]"),Tabela1[Mês],P$3),"")</f>
        <v>6.9473684210526319</v>
      </c>
      <c r="Q36" s="9" t="str">
        <f ca="1">IFERROR(AVERAGEIFS(INDIRECT("Tabela1["&amp;$D36&amp;"]"),Tabela1[Mês],Q$3),"")</f>
        <v/>
      </c>
      <c r="R36" s="13" t="str">
        <f ca="1">IFERROR(AVERAGEIFS(INDIRECT("Tabela1["&amp;$D36&amp;"]"),Tabela1[Mês],R$3),"")</f>
        <v/>
      </c>
      <c r="S36" s="37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</v>
      </c>
      <c r="Z36" s="9">
        <f ca="1">IFERROR(AVERAGEIFS(INDIRECT("Tabela1["&amp;$D36&amp;"]"),Tabela1[Data],Z$3),"")</f>
        <v>7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6.333333333333333</v>
      </c>
      <c r="AC36" s="9" t="str">
        <f ca="1">IFERROR(AVERAGEIFS(INDIRECT("Tabela1["&amp;$D36&amp;"]"),Tabela1[Data],AC$3),"")</f>
        <v/>
      </c>
      <c r="AD36" s="9" t="str">
        <f ca="1">IFERROR(AVERAGEIFS(INDIRECT("Tabela1["&amp;$D36&amp;"]"),Tabela1[Data],AD$3),"")</f>
        <v/>
      </c>
      <c r="AE36" s="9" t="str">
        <f ca="1">IFERROR(AVERAGEIFS(INDIRECT("Tabela1["&amp;$D36&amp;"]"),Tabela1[Data],AE$3),"")</f>
        <v/>
      </c>
      <c r="AF36" s="9" t="str">
        <f ca="1">IFERROR(AVERAGEIFS(INDIRECT("Tabela1["&amp;$D36&amp;"]"),Tabela1[Data],AF$3),"")</f>
        <v/>
      </c>
      <c r="AG36" s="9" t="str">
        <f ca="1">IFERROR(AVERAGEIFS(INDIRECT("Tabela1["&amp;$D36&amp;"]"),Tabela1[Data],AG$3),"")</f>
        <v/>
      </c>
      <c r="AH36" s="9" t="str">
        <f ca="1">IFERROR(AVERAGEIFS(INDIRECT("Tabela1["&amp;$D36&amp;"]"),Tabela1[Data],AH$3),"")</f>
        <v/>
      </c>
      <c r="AI36" s="9" t="str">
        <f ca="1">IFERROR(AVERAGEIFS(INDIRECT("Tabela1["&amp;$D36&amp;"]"),Tabela1[Data],AI$3),"")</f>
        <v/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2" t="s">
        <v>121</v>
      </c>
      <c r="B37" s="22">
        <f t="shared" si="1"/>
        <v>1</v>
      </c>
      <c r="C37" s="22" t="s">
        <v>163</v>
      </c>
      <c r="D37" s="4" t="str">
        <f t="shared" si="2"/>
        <v>Corte Cartilagem Cone</v>
      </c>
      <c r="E37" s="32" t="str">
        <f>Coleta!U1</f>
        <v>Corte Cartilagem Cone</v>
      </c>
      <c r="F37" s="19">
        <v>1</v>
      </c>
      <c r="G37" s="23" t="str">
        <f ca="1">IFERROR(AVERAGEIFS(INDIRECT("Tabela1["&amp;$D37&amp;"]"),Tabela1[Turno],$F37,Tabela1[Mês],G$3),"")</f>
        <v/>
      </c>
      <c r="H37" s="23" t="str">
        <f ca="1">IFERROR(AVERAGEIFS(INDIRECT("Tabela1["&amp;$D37&amp;"]"),Tabela1[Turno],$F37,Tabela1[Mês],H$3),"")</f>
        <v/>
      </c>
      <c r="I37" s="23" t="str">
        <f ca="1">IFERROR(AVERAGEIFS(INDIRECT("Tabela1["&amp;$D37&amp;"]"),Tabela1[Turno],$F37,Tabela1[Mês],I$3),"")</f>
        <v/>
      </c>
      <c r="J37" s="23" t="str">
        <f ca="1">IFERROR(AVERAGEIFS(INDIRECT("Tabela1["&amp;$D37&amp;"]"),Tabela1[Turno],$F37,Tabela1[Mês],J$3),"")</f>
        <v/>
      </c>
      <c r="K37" s="23" t="str">
        <f ca="1">IFERROR(AVERAGEIFS(INDIRECT("Tabela1["&amp;$D37&amp;"]"),Tabela1[Turno],$F37,Tabela1[Mês],K$3),"")</f>
        <v/>
      </c>
      <c r="L37" s="23" t="str">
        <f ca="1">IFERROR(AVERAGEIFS(INDIRECT("Tabela1["&amp;$D37&amp;"]"),Tabela1[Turno],$F37,Tabela1[Mês],L$3),"")</f>
        <v/>
      </c>
      <c r="M37" s="23" t="str">
        <f ca="1">IFERROR(AVERAGEIFS(INDIRECT("Tabela1["&amp;$D37&amp;"]"),Tabela1[Turno],$F37,Tabela1[Mês],M$3),"")</f>
        <v/>
      </c>
      <c r="N37" s="23">
        <f ca="1">IFERROR(AVERAGEIFS(INDIRECT("Tabela1["&amp;$D37&amp;"]"),Tabela1[Turno],$F37,Tabela1[Mês],N$3),"")</f>
        <v>6.4</v>
      </c>
      <c r="O37" s="23">
        <f ca="1">IFERROR(AVERAGEIFS(INDIRECT("Tabela1["&amp;$D37&amp;"]"),Tabela1[Turno],$F37,Tabela1[Mês],O$3),"")</f>
        <v>7.25</v>
      </c>
      <c r="P37" s="23">
        <f ca="1">IFERROR(AVERAGEIFS(INDIRECT("Tabela1["&amp;$D37&amp;"]"),Tabela1[Turno],$F37,Tabela1[Mês],P$3),"")</f>
        <v>6.2857142857142856</v>
      </c>
      <c r="Q37" s="23" t="str">
        <f ca="1">IFERROR(AVERAGEIFS(INDIRECT("Tabela1["&amp;$D37&amp;"]"),Tabela1[Turno],$F37,Tabela1[Mês],Q$3),"")</f>
        <v/>
      </c>
      <c r="R37" s="24" t="str">
        <f ca="1">IFERROR(AVERAGEIFS(INDIRECT("Tabela1["&amp;$D37&amp;"]"),Tabela1[Turno],$F37,Tabela1[Mês],R$3),"")</f>
        <v/>
      </c>
      <c r="S37" s="35">
        <v>10</v>
      </c>
      <c r="U37" s="23">
        <f ca="1">IFERROR(AVERAGEIFS(INDIRECT("Tabela1["&amp;$D37&amp;"]"),Tabela1[Turno],$F37,Tabela1[Data],U$3),"")</f>
        <v>7</v>
      </c>
      <c r="V37" s="23">
        <f ca="1">IFERROR(AVERAGEIFS(INDIRECT("Tabela1["&amp;$D37&amp;"]"),Tabela1[Turno],$F37,Tabela1[Data],V$3),"")</f>
        <v>5</v>
      </c>
      <c r="W37" s="23" t="str">
        <f ca="1">IFERROR(AVERAGEIFS(INDIRECT("Tabela1["&amp;$D37&amp;"]"),Tabela1[Turno],$F37,Tabela1[Data],W$3),"")</f>
        <v/>
      </c>
      <c r="X37" s="23">
        <f ca="1">IFERROR(AVERAGEIFS(INDIRECT("Tabela1["&amp;$D37&amp;"]"),Tabela1[Turno],$F37,Tabela1[Data],X$3),"")</f>
        <v>5</v>
      </c>
      <c r="Y37" s="23">
        <f ca="1">IFERROR(AVERAGEIFS(INDIRECT("Tabela1["&amp;$D37&amp;"]"),Tabela1[Turno],$F37,Tabela1[Data],Y$3),"")</f>
        <v>5</v>
      </c>
      <c r="Z37" s="23">
        <f ca="1">IFERROR(AVERAGEIFS(INDIRECT("Tabela1["&amp;$D37&amp;"]"),Tabela1[Turno],$F37,Tabela1[Data],Z$3),"")</f>
        <v>10</v>
      </c>
      <c r="AA37" s="23">
        <f ca="1">IFERROR(AVERAGEIFS(INDIRECT("Tabela1["&amp;$D37&amp;"]"),Tabela1[Turno],$F37,Tabela1[Data],AA$3),"")</f>
        <v>7</v>
      </c>
      <c r="AB37" s="23">
        <f ca="1">IFERROR(AVERAGEIFS(INDIRECT("Tabela1["&amp;$D37&amp;"]"),Tabela1[Turno],$F37,Tabela1[Data],AB$3),"")</f>
        <v>5</v>
      </c>
      <c r="AC37" s="23" t="str">
        <f ca="1">IFERROR(AVERAGEIFS(INDIRECT("Tabela1["&amp;$D37&amp;"]"),Tabela1[Turno],$F37,Tabela1[Data],AC$3),"")</f>
        <v/>
      </c>
      <c r="AD37" s="23" t="str">
        <f ca="1">IFERROR(AVERAGEIFS(INDIRECT("Tabela1["&amp;$D37&amp;"]"),Tabela1[Turno],$F37,Tabela1[Data],AD$3),"")</f>
        <v/>
      </c>
      <c r="AE37" s="23" t="str">
        <f ca="1">IFERROR(AVERAGEIFS(INDIRECT("Tabela1["&amp;$D37&amp;"]"),Tabela1[Turno],$F37,Tabela1[Data],AE$3),"")</f>
        <v/>
      </c>
      <c r="AF37" s="23" t="str">
        <f ca="1">IFERROR(AVERAGEIFS(INDIRECT("Tabela1["&amp;$D37&amp;"]"),Tabela1[Turno],$F37,Tabela1[Data],AF$3),"")</f>
        <v/>
      </c>
      <c r="AG37" s="23" t="str">
        <f ca="1">IFERROR(AVERAGEIFS(INDIRECT("Tabela1["&amp;$D37&amp;"]"),Tabela1[Turno],$F37,Tabela1[Data],AG$3),"")</f>
        <v/>
      </c>
      <c r="AH37" s="23" t="str">
        <f ca="1">IFERROR(AVERAGEIFS(INDIRECT("Tabela1["&amp;$D37&amp;"]"),Tabela1[Turno],$F37,Tabela1[Data],AH$3),"")</f>
        <v/>
      </c>
      <c r="AI37" s="23" t="str">
        <f ca="1">IFERROR(AVERAGEIFS(INDIRECT("Tabela1["&amp;$D37&amp;"]"),Tabela1[Turno],$F37,Tabela1[Data],AI$3),"")</f>
        <v/>
      </c>
      <c r="AJ37" s="23" t="str">
        <f ca="1">IFERROR(AVERAGEIFS(INDIRECT("Tabela1["&amp;$D37&amp;"]"),Tabela1[Turno],$F37,Tabela1[Data],AJ$3),"")</f>
        <v/>
      </c>
      <c r="AK37" s="23" t="str">
        <f ca="1">IFERROR(AVERAGEIFS(INDIRECT("Tabela1["&amp;$D37&amp;"]"),Tabela1[Turno],$F37,Tabela1[Data],AK$3),"")</f>
        <v/>
      </c>
      <c r="AL37" s="23" t="str">
        <f ca="1">IFERROR(AVERAGEIFS(INDIRECT("Tabela1["&amp;$D37&amp;"]"),Tabela1[Turno],$F37,Tabela1[Data],AL$3),"")</f>
        <v/>
      </c>
      <c r="AM37" s="23" t="str">
        <f ca="1">IFERROR(AVERAGEIFS(INDIRECT("Tabela1["&amp;$D37&amp;"]"),Tabela1[Turno],$F37,Tabela1[Data],AM$3),"")</f>
        <v/>
      </c>
      <c r="AN37" s="23" t="str">
        <f ca="1">IFERROR(AVERAGEIFS(INDIRECT("Tabela1["&amp;$D37&amp;"]"),Tabela1[Turno],$F37,Tabela1[Data],AN$3),"")</f>
        <v/>
      </c>
      <c r="AO37" s="23" t="str">
        <f ca="1">IFERROR(AVERAGEIFS(INDIRECT("Tabela1["&amp;$D37&amp;"]"),Tabela1[Turno],$F37,Tabela1[Data],AO$3),"")</f>
        <v/>
      </c>
      <c r="AP37" s="23" t="str">
        <f ca="1">IFERROR(AVERAGEIFS(INDIRECT("Tabela1["&amp;$D37&amp;"]"),Tabela1[Turno],$F37,Tabela1[Data],AP$3),"")</f>
        <v/>
      </c>
      <c r="AQ37" s="23" t="str">
        <f ca="1">IFERROR(AVERAGEIFS(INDIRECT("Tabela1["&amp;$D37&amp;"]"),Tabela1[Turno],$F37,Tabela1[Data],AQ$3),"")</f>
        <v/>
      </c>
      <c r="AR37" s="23" t="str">
        <f ca="1">IFERROR(AVERAGEIFS(INDIRECT("Tabela1["&amp;$D37&amp;"]"),Tabela1[Turno],$F37,Tabela1[Data],AR$3),"")</f>
        <v/>
      </c>
    </row>
    <row r="38" spans="1:44" x14ac:dyDescent="0.25">
      <c r="A38" s="22" t="s">
        <v>121</v>
      </c>
      <c r="B38" s="22">
        <f t="shared" si="1"/>
        <v>2</v>
      </c>
      <c r="C38" s="22" t="s">
        <v>163</v>
      </c>
      <c r="D38" s="4" t="str">
        <f t="shared" si="2"/>
        <v>Corte Cartilagem Cone</v>
      </c>
      <c r="E38" s="33"/>
      <c r="F38" s="20">
        <v>2</v>
      </c>
      <c r="G38" s="11" t="str">
        <f ca="1">IFERROR(AVERAGEIFS(INDIRECT("Tabela1["&amp;$D38&amp;"]"),Tabela1[Turno],$F38,Tabela1[Mês],G$3),"")</f>
        <v/>
      </c>
      <c r="H38" s="11" t="str">
        <f ca="1">IFERROR(AVERAGEIFS(INDIRECT("Tabela1["&amp;$D38&amp;"]"),Tabela1[Turno],$F38,Tabela1[Mês],H$3),"")</f>
        <v/>
      </c>
      <c r="I38" s="11" t="str">
        <f ca="1">IFERROR(AVERAGEIFS(INDIRECT("Tabela1["&amp;$D38&amp;"]"),Tabela1[Turno],$F38,Tabela1[Mês],I$3),"")</f>
        <v/>
      </c>
      <c r="J38" s="11" t="str">
        <f ca="1">IFERROR(AVERAGEIFS(INDIRECT("Tabela1["&amp;$D38&amp;"]"),Tabela1[Turno],$F38,Tabela1[Mês],J$3),"")</f>
        <v/>
      </c>
      <c r="K38" s="11" t="str">
        <f ca="1">IFERROR(AVERAGEIFS(INDIRECT("Tabela1["&amp;$D38&amp;"]"),Tabela1[Turno],$F38,Tabela1[Mês],K$3),"")</f>
        <v/>
      </c>
      <c r="L38" s="11" t="str">
        <f ca="1">IFERROR(AVERAGEIFS(INDIRECT("Tabela1["&amp;$D38&amp;"]"),Tabela1[Turno],$F38,Tabela1[Mês],L$3),"")</f>
        <v/>
      </c>
      <c r="M38" s="11" t="str">
        <f ca="1">IFERROR(AVERAGEIFS(INDIRECT("Tabela1["&amp;$D38&amp;"]"),Tabela1[Turno],$F38,Tabela1[Mês],M$3),"")</f>
        <v/>
      </c>
      <c r="N38" s="11">
        <f ca="1">IFERROR(AVERAGEIFS(INDIRECT("Tabela1["&amp;$D38&amp;"]"),Tabela1[Turno],$F38,Tabela1[Mês],N$3),"")</f>
        <v>6.2</v>
      </c>
      <c r="O38" s="11">
        <f ca="1">IFERROR(AVERAGEIFS(INDIRECT("Tabela1["&amp;$D38&amp;"]"),Tabela1[Turno],$F38,Tabela1[Mês],O$3),"")</f>
        <v>6.4102564102564106</v>
      </c>
      <c r="P38" s="11">
        <f ca="1">IFERROR(AVERAGEIFS(INDIRECT("Tabela1["&amp;$D38&amp;"]"),Tabela1[Turno],$F38,Tabela1[Mês],P$3),"")</f>
        <v>6.7777777777777777</v>
      </c>
      <c r="Q38" s="11" t="str">
        <f ca="1">IFERROR(AVERAGEIFS(INDIRECT("Tabela1["&amp;$D38&amp;"]"),Tabela1[Turno],$F38,Tabela1[Mês],Q$3),"")</f>
        <v/>
      </c>
      <c r="R38" s="12" t="str">
        <f ca="1">IFERROR(AVERAGEIFS(INDIRECT("Tabela1["&amp;$D38&amp;"]"),Tabela1[Turno],$F38,Tabela1[Mês],R$3),"")</f>
        <v/>
      </c>
      <c r="S38" s="36"/>
      <c r="U38" s="11">
        <f ca="1">IFERROR(AVERAGEIFS(INDIRECT("Tabela1["&amp;$D38&amp;"]"),Tabela1[Turno],$F38,Tabela1[Data],U$3),"")</f>
        <v>6.5</v>
      </c>
      <c r="V38" s="11">
        <f ca="1">IFERROR(AVERAGEIFS(INDIRECT("Tabela1["&amp;$D38&amp;"]"),Tabela1[Turno],$F38,Tabela1[Data],V$3),"")</f>
        <v>6.75</v>
      </c>
      <c r="W38" s="11">
        <f ca="1">IFERROR(AVERAGEIFS(INDIRECT("Tabela1["&amp;$D38&amp;"]"),Tabela1[Turno],$F38,Tabela1[Data],W$3),"")</f>
        <v>6.333333333333333</v>
      </c>
      <c r="X38" s="11">
        <f ca="1">IFERROR(AVERAGEIFS(INDIRECT("Tabela1["&amp;$D38&amp;"]"),Tabela1[Turno],$F38,Tabela1[Data],X$3),"")</f>
        <v>7</v>
      </c>
      <c r="Y38" s="11">
        <f ca="1">IFERROR(AVERAGEIFS(INDIRECT("Tabela1["&amp;$D38&amp;"]"),Tabela1[Turno],$F38,Tabela1[Data],Y$3),"")</f>
        <v>6.5</v>
      </c>
      <c r="Z38" s="11">
        <f ca="1">IFERROR(AVERAGEIFS(INDIRECT("Tabela1["&amp;$D38&amp;"]"),Tabela1[Turno],$F38,Tabela1[Data],Z$3),"")</f>
        <v>7</v>
      </c>
      <c r="AA38" s="11">
        <f ca="1">IFERROR(AVERAGEIFS(INDIRECT("Tabela1["&amp;$D38&amp;"]"),Tabela1[Turno],$F38,Tabela1[Data],AA$3),"")</f>
        <v>7.6</v>
      </c>
      <c r="AB38" s="11">
        <f ca="1">IFERROR(AVERAGEIFS(INDIRECT("Tabela1["&amp;$D38&amp;"]"),Tabela1[Turno],$F38,Tabela1[Data],AB$3),"")</f>
        <v>6</v>
      </c>
      <c r="AC38" s="11" t="str">
        <f ca="1">IFERROR(AVERAGEIFS(INDIRECT("Tabela1["&amp;$D38&amp;"]"),Tabela1[Turno],$F38,Tabela1[Data],AC$3),"")</f>
        <v/>
      </c>
      <c r="AD38" s="11" t="str">
        <f ca="1">IFERROR(AVERAGEIFS(INDIRECT("Tabela1["&amp;$D38&amp;"]"),Tabela1[Turno],$F38,Tabela1[Data],AD$3),"")</f>
        <v/>
      </c>
      <c r="AE38" s="11" t="str">
        <f ca="1">IFERROR(AVERAGEIFS(INDIRECT("Tabela1["&amp;$D38&amp;"]"),Tabela1[Turno],$F38,Tabela1[Data],AE$3),"")</f>
        <v/>
      </c>
      <c r="AF38" s="11" t="str">
        <f ca="1">IFERROR(AVERAGEIFS(INDIRECT("Tabela1["&amp;$D38&amp;"]"),Tabela1[Turno],$F38,Tabela1[Data],AF$3),"")</f>
        <v/>
      </c>
      <c r="AG38" s="11" t="str">
        <f ca="1">IFERROR(AVERAGEIFS(INDIRECT("Tabela1["&amp;$D38&amp;"]"),Tabela1[Turno],$F38,Tabela1[Data],AG$3),"")</f>
        <v/>
      </c>
      <c r="AH38" s="11" t="str">
        <f ca="1">IFERROR(AVERAGEIFS(INDIRECT("Tabela1["&amp;$D38&amp;"]"),Tabela1[Turno],$F38,Tabela1[Data],AH$3),"")</f>
        <v/>
      </c>
      <c r="AI38" s="11" t="str">
        <f ca="1">IFERROR(AVERAGEIFS(INDIRECT("Tabela1["&amp;$D38&amp;"]"),Tabela1[Turno],$F38,Tabela1[Data],AI$3),"")</f>
        <v/>
      </c>
      <c r="AJ38" s="11" t="str">
        <f ca="1">IFERROR(AVERAGEIFS(INDIRECT("Tabela1["&amp;$D38&amp;"]"),Tabela1[Turno],$F38,Tabela1[Data],AJ$3),"")</f>
        <v/>
      </c>
      <c r="AK38" s="11" t="str">
        <f ca="1">IFERROR(AVERAGEIFS(INDIRECT("Tabela1["&amp;$D38&amp;"]"),Tabela1[Turno],$F38,Tabela1[Data],AK$3),"")</f>
        <v/>
      </c>
      <c r="AL38" s="11" t="str">
        <f ca="1">IFERROR(AVERAGEIFS(INDIRECT("Tabela1["&amp;$D38&amp;"]"),Tabela1[Turno],$F38,Tabela1[Data],AL$3),"")</f>
        <v/>
      </c>
      <c r="AM38" s="11" t="str">
        <f ca="1">IFERROR(AVERAGEIFS(INDIRECT("Tabela1["&amp;$D38&amp;"]"),Tabela1[Turno],$F38,Tabela1[Data],AM$3),"")</f>
        <v/>
      </c>
      <c r="AN38" s="11" t="str">
        <f ca="1">IFERROR(AVERAGEIFS(INDIRECT("Tabela1["&amp;$D38&amp;"]"),Tabela1[Turno],$F38,Tabela1[Data],AN$3),"")</f>
        <v/>
      </c>
      <c r="AO38" s="11" t="str">
        <f ca="1">IFERROR(AVERAGEIFS(INDIRECT("Tabela1["&amp;$D38&amp;"]"),Tabela1[Turno],$F38,Tabela1[Data],AO$3),"")</f>
        <v/>
      </c>
      <c r="AP38" s="11" t="str">
        <f ca="1">IFERROR(AVERAGEIFS(INDIRECT("Tabela1["&amp;$D38&amp;"]"),Tabela1[Turno],$F38,Tabela1[Data],AP$3),"")</f>
        <v/>
      </c>
      <c r="AQ38" s="11" t="str">
        <f ca="1">IFERROR(AVERAGEIFS(INDIRECT("Tabela1["&amp;$D38&amp;"]"),Tabela1[Turno],$F38,Tabela1[Data],AQ$3),"")</f>
        <v/>
      </c>
      <c r="AR38" s="11" t="str">
        <f ca="1">IFERROR(AVERAGEIFS(INDIRECT("Tabela1["&amp;$D38&amp;"]"),Tabela1[Turno],$F38,Tabela1[Data],AR$3),"")</f>
        <v/>
      </c>
    </row>
    <row r="39" spans="1:44" ht="15.75" thickBot="1" x14ac:dyDescent="0.3">
      <c r="A39" s="22" t="s">
        <v>121</v>
      </c>
      <c r="B39" s="22" t="str">
        <f t="shared" si="1"/>
        <v>Unidade</v>
      </c>
      <c r="C39" s="22" t="s">
        <v>163</v>
      </c>
      <c r="D39" s="4" t="str">
        <f t="shared" si="2"/>
        <v>Corte Cartilagem Cone</v>
      </c>
      <c r="E39" s="34"/>
      <c r="F39" s="21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6.5531914893617023</v>
      </c>
      <c r="P39" s="9">
        <f ca="1">IFERROR(AVERAGEIFS(INDIRECT("Tabela1["&amp;$D39&amp;"]"),Tabela1[Mês],P$3),"")</f>
        <v>6.6764705882352944</v>
      </c>
      <c r="Q39" s="9" t="str">
        <f ca="1">IFERROR(AVERAGEIFS(INDIRECT("Tabela1["&amp;$D39&amp;"]"),Tabela1[Mês],Q$3),"")</f>
        <v/>
      </c>
      <c r="R39" s="13" t="str">
        <f ca="1">IFERROR(AVERAGEIFS(INDIRECT("Tabela1["&amp;$D39&amp;"]"),Tabela1[Mês],R$3),"")</f>
        <v/>
      </c>
      <c r="S39" s="37"/>
      <c r="U39" s="9">
        <f ca="1">IFERROR(AVERAGEIFS(INDIRECT("Tabela1["&amp;$D39&amp;"]"),Tabela1[Data],U$3),"")</f>
        <v>6.6</v>
      </c>
      <c r="V39" s="9">
        <f ca="1">IFERROR(AVERAGEIFS(INDIRECT("Tabela1["&amp;$D39&amp;"]"),Tabela1[Data],V$3),"")</f>
        <v>6.4</v>
      </c>
      <c r="W39" s="9">
        <f ca="1">IFERROR(AVERAGEIFS(INDIRECT("Tabela1["&amp;$D39&amp;"]"),Tabela1[Data],W$3),"")</f>
        <v>6.333333333333333</v>
      </c>
      <c r="X39" s="9">
        <f ca="1">IFERROR(AVERAGEIFS(INDIRECT("Tabela1["&amp;$D39&amp;"]"),Tabela1[Data],X$3),"")</f>
        <v>6.6</v>
      </c>
      <c r="Y39" s="9">
        <f ca="1">IFERROR(AVERAGEIFS(INDIRECT("Tabela1["&amp;$D39&amp;"]"),Tabela1[Data],Y$3),"")</f>
        <v>6.2</v>
      </c>
      <c r="Z39" s="9">
        <f ca="1">IFERROR(AVERAGEIFS(INDIRECT("Tabela1["&amp;$D39&amp;"]"),Tabela1[Data],Z$3),"")</f>
        <v>8.5</v>
      </c>
      <c r="AA39" s="9">
        <f ca="1">IFERROR(AVERAGEIFS(INDIRECT("Tabela1["&amp;$D39&amp;"]"),Tabela1[Data],AA$3),"")</f>
        <v>7.5</v>
      </c>
      <c r="AB39" s="9">
        <f ca="1">IFERROR(AVERAGEIFS(INDIRECT("Tabela1["&amp;$D39&amp;"]"),Tabela1[Data],AB$3),"")</f>
        <v>5.666666666666667</v>
      </c>
      <c r="AC39" s="9" t="str">
        <f ca="1">IFERROR(AVERAGEIFS(INDIRECT("Tabela1["&amp;$D39&amp;"]"),Tabela1[Data],AC$3),"")</f>
        <v/>
      </c>
      <c r="AD39" s="9" t="str">
        <f ca="1">IFERROR(AVERAGEIFS(INDIRECT("Tabela1["&amp;$D39&amp;"]"),Tabela1[Data],AD$3),"")</f>
        <v/>
      </c>
      <c r="AE39" s="9" t="str">
        <f ca="1">IFERROR(AVERAGEIFS(INDIRECT("Tabela1["&amp;$D39&amp;"]"),Tabela1[Data],AE$3),"")</f>
        <v/>
      </c>
      <c r="AF39" s="9" t="str">
        <f ca="1">IFERROR(AVERAGEIFS(INDIRECT("Tabela1["&amp;$D39&amp;"]"),Tabela1[Data],AF$3),"")</f>
        <v/>
      </c>
      <c r="AG39" s="9" t="str">
        <f ca="1">IFERROR(AVERAGEIFS(INDIRECT("Tabela1["&amp;$D39&amp;"]"),Tabela1[Data],AG$3),"")</f>
        <v/>
      </c>
      <c r="AH39" s="9" t="str">
        <f ca="1">IFERROR(AVERAGEIFS(INDIRECT("Tabela1["&amp;$D39&amp;"]"),Tabela1[Data],AH$3),"")</f>
        <v/>
      </c>
      <c r="AI39" s="9" t="str">
        <f ca="1">IFERROR(AVERAGEIFS(INDIRECT("Tabela1["&amp;$D39&amp;"]"),Tabela1[Data],AI$3),"")</f>
        <v/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2" t="s">
        <v>122</v>
      </c>
      <c r="B40" s="22">
        <f t="shared" si="1"/>
        <v>1</v>
      </c>
      <c r="C40" s="22" t="s">
        <v>122</v>
      </c>
      <c r="D40" s="4" t="str">
        <f t="shared" si="2"/>
        <v>Carne no Osso Perna Direita</v>
      </c>
      <c r="E40" s="32" t="str">
        <f>Coleta!W1</f>
        <v>Carne no Osso Perna Direita</v>
      </c>
      <c r="F40" s="19">
        <v>1</v>
      </c>
      <c r="G40" s="23" t="str">
        <f ca="1">IFERROR(AVERAGEIFS(INDIRECT("Tabela1["&amp;$D40&amp;"]"),Tabela1[Turno],$F40,Tabela1[Mês],G$3),"")</f>
        <v/>
      </c>
      <c r="H40" s="23" t="str">
        <f ca="1">IFERROR(AVERAGEIFS(INDIRECT("Tabela1["&amp;$D40&amp;"]"),Tabela1[Turno],$F40,Tabela1[Mês],H$3),"")</f>
        <v/>
      </c>
      <c r="I40" s="23" t="str">
        <f ca="1">IFERROR(AVERAGEIFS(INDIRECT("Tabela1["&amp;$D40&amp;"]"),Tabela1[Turno],$F40,Tabela1[Mês],I$3),"")</f>
        <v/>
      </c>
      <c r="J40" s="23" t="str">
        <f ca="1">IFERROR(AVERAGEIFS(INDIRECT("Tabela1["&amp;$D40&amp;"]"),Tabela1[Turno],$F40,Tabela1[Mês],J$3),"")</f>
        <v/>
      </c>
      <c r="K40" s="23" t="str">
        <f ca="1">IFERROR(AVERAGEIFS(INDIRECT("Tabela1["&amp;$D40&amp;"]"),Tabela1[Turno],$F40,Tabela1[Mês],K$3),"")</f>
        <v/>
      </c>
      <c r="L40" s="23" t="str">
        <f ca="1">IFERROR(AVERAGEIFS(INDIRECT("Tabela1["&amp;$D40&amp;"]"),Tabela1[Turno],$F40,Tabela1[Mês],L$3),"")</f>
        <v/>
      </c>
      <c r="M40" s="23" t="str">
        <f ca="1">IFERROR(AVERAGEIFS(INDIRECT("Tabela1["&amp;$D40&amp;"]"),Tabela1[Turno],$F40,Tabela1[Mês],M$3),"")</f>
        <v/>
      </c>
      <c r="N40" s="23">
        <f ca="1">IFERROR(AVERAGEIFS(INDIRECT("Tabela1["&amp;$D40&amp;"]"),Tabela1[Turno],$F40,Tabela1[Mês],N$3),"")</f>
        <v>8.8000000000000007</v>
      </c>
      <c r="O40" s="23">
        <f ca="1">IFERROR(AVERAGEIFS(INDIRECT("Tabela1["&amp;$D40&amp;"]"),Tabela1[Turno],$F40,Tabela1[Mês],O$3),"")</f>
        <v>7.8181818181818183</v>
      </c>
      <c r="P40" s="23">
        <f ca="1">IFERROR(AVERAGEIFS(INDIRECT("Tabela1["&amp;$D40&amp;"]"),Tabela1[Turno],$F40,Tabela1[Mês],P$3),"")</f>
        <v>8.4285714285714288</v>
      </c>
      <c r="Q40" s="23" t="str">
        <f ca="1">IFERROR(AVERAGEIFS(INDIRECT("Tabela1["&amp;$D40&amp;"]"),Tabela1[Turno],$F40,Tabela1[Mês],Q$3),"")</f>
        <v/>
      </c>
      <c r="R40" s="24" t="str">
        <f ca="1">IFERROR(AVERAGEIFS(INDIRECT("Tabela1["&amp;$D40&amp;"]"),Tabela1[Turno],$F40,Tabela1[Mês],R$3),"")</f>
        <v/>
      </c>
      <c r="S40" s="35">
        <v>10</v>
      </c>
      <c r="U40" s="23">
        <f ca="1">IFERROR(AVERAGEIFS(INDIRECT("Tabela1["&amp;$D40&amp;"]"),Tabela1[Turno],$F40,Tabela1[Data],U$3),"")</f>
        <v>7</v>
      </c>
      <c r="V40" s="23">
        <f ca="1">IFERROR(AVERAGEIFS(INDIRECT("Tabela1["&amp;$D40&amp;"]"),Tabela1[Turno],$F40,Tabela1[Data],V$3),"")</f>
        <v>10</v>
      </c>
      <c r="W40" s="23" t="str">
        <f ca="1">IFERROR(AVERAGEIFS(INDIRECT("Tabela1["&amp;$D40&amp;"]"),Tabela1[Turno],$F40,Tabela1[Data],W$3),"")</f>
        <v/>
      </c>
      <c r="X40" s="23">
        <f ca="1">IFERROR(AVERAGEIFS(INDIRECT("Tabela1["&amp;$D40&amp;"]"),Tabela1[Turno],$F40,Tabela1[Data],X$3),"")</f>
        <v>10</v>
      </c>
      <c r="Y40" s="23">
        <f ca="1">IFERROR(AVERAGEIFS(INDIRECT("Tabela1["&amp;$D40&amp;"]"),Tabela1[Turno],$F40,Tabela1[Data],Y$3),"")</f>
        <v>7</v>
      </c>
      <c r="Z40" s="23">
        <f ca="1">IFERROR(AVERAGEIFS(INDIRECT("Tabela1["&amp;$D40&amp;"]"),Tabela1[Turno],$F40,Tabela1[Data],Z$3),"")</f>
        <v>10</v>
      </c>
      <c r="AA40" s="23">
        <f ca="1">IFERROR(AVERAGEIFS(INDIRECT("Tabela1["&amp;$D40&amp;"]"),Tabela1[Turno],$F40,Tabela1[Data],AA$3),"")</f>
        <v>10</v>
      </c>
      <c r="AB40" s="23">
        <f ca="1">IFERROR(AVERAGEIFS(INDIRECT("Tabela1["&amp;$D40&amp;"]"),Tabela1[Turno],$F40,Tabela1[Data],AB$3),"")</f>
        <v>5</v>
      </c>
      <c r="AC40" s="23" t="str">
        <f ca="1">IFERROR(AVERAGEIFS(INDIRECT("Tabela1["&amp;$D40&amp;"]"),Tabela1[Turno],$F40,Tabela1[Data],AC$3),"")</f>
        <v/>
      </c>
      <c r="AD40" s="23" t="str">
        <f ca="1">IFERROR(AVERAGEIFS(INDIRECT("Tabela1["&amp;$D40&amp;"]"),Tabela1[Turno],$F40,Tabela1[Data],AD$3),"")</f>
        <v/>
      </c>
      <c r="AE40" s="23" t="str">
        <f ca="1">IFERROR(AVERAGEIFS(INDIRECT("Tabela1["&amp;$D40&amp;"]"),Tabela1[Turno],$F40,Tabela1[Data],AE$3),"")</f>
        <v/>
      </c>
      <c r="AF40" s="23" t="str">
        <f ca="1">IFERROR(AVERAGEIFS(INDIRECT("Tabela1["&amp;$D40&amp;"]"),Tabela1[Turno],$F40,Tabela1[Data],AF$3),"")</f>
        <v/>
      </c>
      <c r="AG40" s="23" t="str">
        <f ca="1">IFERROR(AVERAGEIFS(INDIRECT("Tabela1["&amp;$D40&amp;"]"),Tabela1[Turno],$F40,Tabela1[Data],AG$3),"")</f>
        <v/>
      </c>
      <c r="AH40" s="23" t="str">
        <f ca="1">IFERROR(AVERAGEIFS(INDIRECT("Tabela1["&amp;$D40&amp;"]"),Tabela1[Turno],$F40,Tabela1[Data],AH$3),"")</f>
        <v/>
      </c>
      <c r="AI40" s="23" t="str">
        <f ca="1">IFERROR(AVERAGEIFS(INDIRECT("Tabela1["&amp;$D40&amp;"]"),Tabela1[Turno],$F40,Tabela1[Data],AI$3),"")</f>
        <v/>
      </c>
      <c r="AJ40" s="23" t="str">
        <f ca="1">IFERROR(AVERAGEIFS(INDIRECT("Tabela1["&amp;$D40&amp;"]"),Tabela1[Turno],$F40,Tabela1[Data],AJ$3),"")</f>
        <v/>
      </c>
      <c r="AK40" s="23" t="str">
        <f ca="1">IFERROR(AVERAGEIFS(INDIRECT("Tabela1["&amp;$D40&amp;"]"),Tabela1[Turno],$F40,Tabela1[Data],AK$3),"")</f>
        <v/>
      </c>
      <c r="AL40" s="23" t="str">
        <f ca="1">IFERROR(AVERAGEIFS(INDIRECT("Tabela1["&amp;$D40&amp;"]"),Tabela1[Turno],$F40,Tabela1[Data],AL$3),"")</f>
        <v/>
      </c>
      <c r="AM40" s="23" t="str">
        <f ca="1">IFERROR(AVERAGEIFS(INDIRECT("Tabela1["&amp;$D40&amp;"]"),Tabela1[Turno],$F40,Tabela1[Data],AM$3),"")</f>
        <v/>
      </c>
      <c r="AN40" s="23" t="str">
        <f ca="1">IFERROR(AVERAGEIFS(INDIRECT("Tabela1["&amp;$D40&amp;"]"),Tabela1[Turno],$F40,Tabela1[Data],AN$3),"")</f>
        <v/>
      </c>
      <c r="AO40" s="23" t="str">
        <f ca="1">IFERROR(AVERAGEIFS(INDIRECT("Tabela1["&amp;$D40&amp;"]"),Tabela1[Turno],$F40,Tabela1[Data],AO$3),"")</f>
        <v/>
      </c>
      <c r="AP40" s="23" t="str">
        <f ca="1">IFERROR(AVERAGEIFS(INDIRECT("Tabela1["&amp;$D40&amp;"]"),Tabela1[Turno],$F40,Tabela1[Data],AP$3),"")</f>
        <v/>
      </c>
      <c r="AQ40" s="23" t="str">
        <f ca="1">IFERROR(AVERAGEIFS(INDIRECT("Tabela1["&amp;$D40&amp;"]"),Tabela1[Turno],$F40,Tabela1[Data],AQ$3),"")</f>
        <v/>
      </c>
      <c r="AR40" s="23" t="str">
        <f ca="1">IFERROR(AVERAGEIFS(INDIRECT("Tabela1["&amp;$D40&amp;"]"),Tabela1[Turno],$F40,Tabela1[Data],AR$3),"")</f>
        <v/>
      </c>
    </row>
    <row r="41" spans="1:44" x14ac:dyDescent="0.25">
      <c r="A41" s="22" t="s">
        <v>122</v>
      </c>
      <c r="B41" s="22">
        <f t="shared" si="1"/>
        <v>2</v>
      </c>
      <c r="C41" s="22" t="s">
        <v>122</v>
      </c>
      <c r="D41" s="4" t="str">
        <f t="shared" si="2"/>
        <v>Carne no Osso Perna Direita</v>
      </c>
      <c r="E41" s="33"/>
      <c r="F41" s="20">
        <v>2</v>
      </c>
      <c r="G41" s="11" t="str">
        <f ca="1">IFERROR(AVERAGEIFS(INDIRECT("Tabela1["&amp;$D41&amp;"]"),Tabela1[Turno],$F41,Tabela1[Mês],G$3),"")</f>
        <v/>
      </c>
      <c r="H41" s="11" t="str">
        <f ca="1">IFERROR(AVERAGEIFS(INDIRECT("Tabela1["&amp;$D41&amp;"]"),Tabela1[Turno],$F41,Tabela1[Mês],H$3),"")</f>
        <v/>
      </c>
      <c r="I41" s="11" t="str">
        <f ca="1">IFERROR(AVERAGEIFS(INDIRECT("Tabela1["&amp;$D41&amp;"]"),Tabela1[Turno],$F41,Tabela1[Mês],I$3),"")</f>
        <v/>
      </c>
      <c r="J41" s="11" t="str">
        <f ca="1">IFERROR(AVERAGEIFS(INDIRECT("Tabela1["&amp;$D41&amp;"]"),Tabela1[Turno],$F41,Tabela1[Mês],J$3),"")</f>
        <v/>
      </c>
      <c r="K41" s="11" t="str">
        <f ca="1">IFERROR(AVERAGEIFS(INDIRECT("Tabela1["&amp;$D41&amp;"]"),Tabela1[Turno],$F41,Tabela1[Mês],K$3),"")</f>
        <v/>
      </c>
      <c r="L41" s="11" t="str">
        <f ca="1">IFERROR(AVERAGEIFS(INDIRECT("Tabela1["&amp;$D41&amp;"]"),Tabela1[Turno],$F41,Tabela1[Mês],L$3),"")</f>
        <v/>
      </c>
      <c r="M41" s="11" t="str">
        <f ca="1">IFERROR(AVERAGEIFS(INDIRECT("Tabela1["&amp;$D41&amp;"]"),Tabela1[Turno],$F41,Tabela1[Mês],M$3),"")</f>
        <v/>
      </c>
      <c r="N41" s="11">
        <f ca="1">IFERROR(AVERAGEIFS(INDIRECT("Tabela1["&amp;$D41&amp;"]"),Tabela1[Turno],$F41,Tabela1[Mês],N$3),"")</f>
        <v>8.4696969696969688</v>
      </c>
      <c r="O41" s="11">
        <f ca="1">IFERROR(AVERAGEIFS(INDIRECT("Tabela1["&amp;$D41&amp;"]"),Tabela1[Turno],$F41,Tabela1[Mês],O$3),"")</f>
        <v>8.203125</v>
      </c>
      <c r="P41" s="11">
        <f ca="1">IFERROR(AVERAGEIFS(INDIRECT("Tabela1["&amp;$D41&amp;"]"),Tabela1[Turno],$F41,Tabela1[Mês],P$3),"")</f>
        <v>8.3636363636363633</v>
      </c>
      <c r="Q41" s="11" t="str">
        <f ca="1">IFERROR(AVERAGEIFS(INDIRECT("Tabela1["&amp;$D41&amp;"]"),Tabela1[Turno],$F41,Tabela1[Mês],Q$3),"")</f>
        <v/>
      </c>
      <c r="R41" s="12" t="str">
        <f ca="1">IFERROR(AVERAGEIFS(INDIRECT("Tabela1["&amp;$D41&amp;"]"),Tabela1[Turno],$F41,Tabela1[Mês],R$3),"")</f>
        <v/>
      </c>
      <c r="S41" s="36"/>
      <c r="U41" s="11">
        <f ca="1">IFERROR(AVERAGEIFS(INDIRECT("Tabela1["&amp;$D41&amp;"]"),Tabela1[Turno],$F41,Tabela1[Data],U$3),"")</f>
        <v>8.5</v>
      </c>
      <c r="V41" s="11">
        <f ca="1">IFERROR(AVERAGEIFS(INDIRECT("Tabela1["&amp;$D41&amp;"]"),Tabela1[Turno],$F41,Tabela1[Data],V$3),"")</f>
        <v>7</v>
      </c>
      <c r="W41" s="11">
        <f ca="1">IFERROR(AVERAGEIFS(INDIRECT("Tabela1["&amp;$D41&amp;"]"),Tabela1[Turno],$F41,Tabela1[Data],W$3),"")</f>
        <v>9</v>
      </c>
      <c r="X41" s="11">
        <f ca="1">IFERROR(AVERAGEIFS(INDIRECT("Tabela1["&amp;$D41&amp;"]"),Tabela1[Turno],$F41,Tabela1[Data],X$3),"")</f>
        <v>9</v>
      </c>
      <c r="Y41" s="11">
        <f ca="1">IFERROR(AVERAGEIFS(INDIRECT("Tabela1["&amp;$D41&amp;"]"),Tabela1[Turno],$F41,Tabela1[Data],Y$3),"")</f>
        <v>8.5</v>
      </c>
      <c r="Z41" s="11">
        <f ca="1">IFERROR(AVERAGEIFS(INDIRECT("Tabela1["&amp;$D41&amp;"]"),Tabela1[Turno],$F41,Tabela1[Data],Z$3),"")</f>
        <v>10</v>
      </c>
      <c r="AA41" s="11">
        <f ca="1">IFERROR(AVERAGEIFS(INDIRECT("Tabela1["&amp;$D41&amp;"]"),Tabela1[Turno],$F41,Tabela1[Data],AA$3),"")</f>
        <v>8</v>
      </c>
      <c r="AB41" s="11">
        <f ca="1">IFERROR(AVERAGEIFS(INDIRECT("Tabela1["&amp;$D41&amp;"]"),Tabela1[Turno],$F41,Tabela1[Data],AB$3),"")</f>
        <v>7</v>
      </c>
      <c r="AC41" s="11" t="str">
        <f ca="1">IFERROR(AVERAGEIFS(INDIRECT("Tabela1["&amp;$D41&amp;"]"),Tabela1[Turno],$F41,Tabela1[Data],AC$3),"")</f>
        <v/>
      </c>
      <c r="AD41" s="11" t="str">
        <f ca="1">IFERROR(AVERAGEIFS(INDIRECT("Tabela1["&amp;$D41&amp;"]"),Tabela1[Turno],$F41,Tabela1[Data],AD$3),"")</f>
        <v/>
      </c>
      <c r="AE41" s="11" t="str">
        <f ca="1">IFERROR(AVERAGEIFS(INDIRECT("Tabela1["&amp;$D41&amp;"]"),Tabela1[Turno],$F41,Tabela1[Data],AE$3),"")</f>
        <v/>
      </c>
      <c r="AF41" s="11" t="str">
        <f ca="1">IFERROR(AVERAGEIFS(INDIRECT("Tabela1["&amp;$D41&amp;"]"),Tabela1[Turno],$F41,Tabela1[Data],AF$3),"")</f>
        <v/>
      </c>
      <c r="AG41" s="11" t="str">
        <f ca="1">IFERROR(AVERAGEIFS(INDIRECT("Tabela1["&amp;$D41&amp;"]"),Tabela1[Turno],$F41,Tabela1[Data],AG$3),"")</f>
        <v/>
      </c>
      <c r="AH41" s="11" t="str">
        <f ca="1">IFERROR(AVERAGEIFS(INDIRECT("Tabela1["&amp;$D41&amp;"]"),Tabela1[Turno],$F41,Tabela1[Data],AH$3),"")</f>
        <v/>
      </c>
      <c r="AI41" s="11" t="str">
        <f ca="1">IFERROR(AVERAGEIFS(INDIRECT("Tabela1["&amp;$D41&amp;"]"),Tabela1[Turno],$F41,Tabela1[Data],AI$3),"")</f>
        <v/>
      </c>
      <c r="AJ41" s="11" t="str">
        <f ca="1">IFERROR(AVERAGEIFS(INDIRECT("Tabela1["&amp;$D41&amp;"]"),Tabela1[Turno],$F41,Tabela1[Data],AJ$3),"")</f>
        <v/>
      </c>
      <c r="AK41" s="11" t="str">
        <f ca="1">IFERROR(AVERAGEIFS(INDIRECT("Tabela1["&amp;$D41&amp;"]"),Tabela1[Turno],$F41,Tabela1[Data],AK$3),"")</f>
        <v/>
      </c>
      <c r="AL41" s="11" t="str">
        <f ca="1">IFERROR(AVERAGEIFS(INDIRECT("Tabela1["&amp;$D41&amp;"]"),Tabela1[Turno],$F41,Tabela1[Data],AL$3),"")</f>
        <v/>
      </c>
      <c r="AM41" s="11" t="str">
        <f ca="1">IFERROR(AVERAGEIFS(INDIRECT("Tabela1["&amp;$D41&amp;"]"),Tabela1[Turno],$F41,Tabela1[Data],AM$3),"")</f>
        <v/>
      </c>
      <c r="AN41" s="11" t="str">
        <f ca="1">IFERROR(AVERAGEIFS(INDIRECT("Tabela1["&amp;$D41&amp;"]"),Tabela1[Turno],$F41,Tabela1[Data],AN$3),"")</f>
        <v/>
      </c>
      <c r="AO41" s="11" t="str">
        <f ca="1">IFERROR(AVERAGEIFS(INDIRECT("Tabela1["&amp;$D41&amp;"]"),Tabela1[Turno],$F41,Tabela1[Data],AO$3),"")</f>
        <v/>
      </c>
      <c r="AP41" s="11" t="str">
        <f ca="1">IFERROR(AVERAGEIFS(INDIRECT("Tabela1["&amp;$D41&amp;"]"),Tabela1[Turno],$F41,Tabela1[Data],AP$3),"")</f>
        <v/>
      </c>
      <c r="AQ41" s="11" t="str">
        <f ca="1">IFERROR(AVERAGEIFS(INDIRECT("Tabela1["&amp;$D41&amp;"]"),Tabela1[Turno],$F41,Tabela1[Data],AQ$3),"")</f>
        <v/>
      </c>
      <c r="AR41" s="11" t="str">
        <f ca="1">IFERROR(AVERAGEIFS(INDIRECT("Tabela1["&amp;$D41&amp;"]"),Tabela1[Turno],$F41,Tabela1[Data],AR$3),"")</f>
        <v/>
      </c>
    </row>
    <row r="42" spans="1:44" ht="15.75" thickBot="1" x14ac:dyDescent="0.3">
      <c r="A42" s="22" t="s">
        <v>122</v>
      </c>
      <c r="B42" s="22" t="str">
        <f t="shared" si="1"/>
        <v>Unidade</v>
      </c>
      <c r="C42" s="22" t="s">
        <v>122</v>
      </c>
      <c r="D42" s="4" t="str">
        <f t="shared" si="2"/>
        <v>Carne no Osso Perna Direita</v>
      </c>
      <c r="E42" s="34"/>
      <c r="F42" s="21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8.1466666666666665</v>
      </c>
      <c r="P42" s="9">
        <f ca="1">IFERROR(AVERAGEIFS(INDIRECT("Tabela1["&amp;$D42&amp;"]"),Tabela1[Mês],P$3),"")</f>
        <v>8.3793103448275854</v>
      </c>
      <c r="Q42" s="9" t="str">
        <f ca="1">IFERROR(AVERAGEIFS(INDIRECT("Tabela1["&amp;$D42&amp;"]"),Tabela1[Mês],Q$3),"")</f>
        <v/>
      </c>
      <c r="R42" s="13" t="str">
        <f ca="1">IFERROR(AVERAGEIFS(INDIRECT("Tabela1["&amp;$D42&amp;"]"),Tabela1[Mês],R$3),"")</f>
        <v/>
      </c>
      <c r="S42" s="37"/>
      <c r="U42" s="9">
        <f ca="1">IFERROR(AVERAGEIFS(INDIRECT("Tabela1["&amp;$D42&amp;"]"),Tabela1[Data],U$3),"")</f>
        <v>8</v>
      </c>
      <c r="V42" s="9">
        <f ca="1">IFERROR(AVERAGEIFS(INDIRECT("Tabela1["&amp;$D42&amp;"]"),Tabela1[Data],V$3),"")</f>
        <v>7.6</v>
      </c>
      <c r="W42" s="9">
        <f ca="1">IFERROR(AVERAGEIFS(INDIRECT("Tabela1["&amp;$D42&amp;"]"),Tabela1[Data],W$3),"")</f>
        <v>9</v>
      </c>
      <c r="X42" s="9">
        <f ca="1">IFERROR(AVERAGEIFS(INDIRECT("Tabela1["&amp;$D42&amp;"]"),Tabela1[Data],X$3),"")</f>
        <v>9.25</v>
      </c>
      <c r="Y42" s="9">
        <f ca="1">IFERROR(AVERAGEIFS(INDIRECT("Tabela1["&amp;$D42&amp;"]"),Tabela1[Data],Y$3),"")</f>
        <v>8</v>
      </c>
      <c r="Z42" s="9">
        <f ca="1">IFERROR(AVERAGEIFS(INDIRECT("Tabela1["&amp;$D42&amp;"]"),Tabela1[Data],Z$3),"")</f>
        <v>10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6.333333333333333</v>
      </c>
      <c r="AC42" s="9" t="str">
        <f ca="1">IFERROR(AVERAGEIFS(INDIRECT("Tabela1["&amp;$D42&amp;"]"),Tabela1[Data],AC$3),"")</f>
        <v/>
      </c>
      <c r="AD42" s="9" t="str">
        <f ca="1">IFERROR(AVERAGEIFS(INDIRECT("Tabela1["&amp;$D42&amp;"]"),Tabela1[Data],AD$3),"")</f>
        <v/>
      </c>
      <c r="AE42" s="9" t="str">
        <f ca="1">IFERROR(AVERAGEIFS(INDIRECT("Tabela1["&amp;$D42&amp;"]"),Tabela1[Data],AE$3),"")</f>
        <v/>
      </c>
      <c r="AF42" s="9" t="str">
        <f ca="1">IFERROR(AVERAGEIFS(INDIRECT("Tabela1["&amp;$D42&amp;"]"),Tabela1[Data],AF$3),"")</f>
        <v/>
      </c>
      <c r="AG42" s="9" t="str">
        <f ca="1">IFERROR(AVERAGEIFS(INDIRECT("Tabela1["&amp;$D42&amp;"]"),Tabela1[Data],AG$3),"")</f>
        <v/>
      </c>
      <c r="AH42" s="9" t="str">
        <f ca="1">IFERROR(AVERAGEIFS(INDIRECT("Tabela1["&amp;$D42&amp;"]"),Tabela1[Data],AH$3),"")</f>
        <v/>
      </c>
      <c r="AI42" s="9" t="str">
        <f ca="1">IFERROR(AVERAGEIFS(INDIRECT("Tabela1["&amp;$D42&amp;"]"),Tabela1[Data],AI$3),"")</f>
        <v/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2" t="s">
        <v>122</v>
      </c>
      <c r="B43" s="22">
        <f t="shared" ref="B43:B45" si="3">F43</f>
        <v>1</v>
      </c>
      <c r="C43" s="22" t="s">
        <v>122</v>
      </c>
      <c r="D43" s="31" t="str">
        <f t="shared" ref="D43:D45" si="4">IF(E43=0,D42,E43)</f>
        <v>Carne no Osso Perna Esquerda</v>
      </c>
      <c r="E43" s="32" t="str">
        <f>Coleta!X1</f>
        <v>Carne no Osso Perna Esquerda</v>
      </c>
      <c r="F43" s="19">
        <v>1</v>
      </c>
      <c r="G43" s="23" t="str">
        <f ca="1">IFERROR(AVERAGEIFS(INDIRECT("Tabela1["&amp;$D43&amp;"]"),Tabela1[Turno],$F43,Tabela1[Mês],G$3),"")</f>
        <v/>
      </c>
      <c r="H43" s="23" t="str">
        <f ca="1">IFERROR(AVERAGEIFS(INDIRECT("Tabela1["&amp;$D43&amp;"]"),Tabela1[Turno],$F43,Tabela1[Mês],H$3),"")</f>
        <v/>
      </c>
      <c r="I43" s="23" t="str">
        <f ca="1">IFERROR(AVERAGEIFS(INDIRECT("Tabela1["&amp;$D43&amp;"]"),Tabela1[Turno],$F43,Tabela1[Mês],I$3),"")</f>
        <v/>
      </c>
      <c r="J43" s="23" t="str">
        <f ca="1">IFERROR(AVERAGEIFS(INDIRECT("Tabela1["&amp;$D43&amp;"]"),Tabela1[Turno],$F43,Tabela1[Mês],J$3),"")</f>
        <v/>
      </c>
      <c r="K43" s="23" t="str">
        <f ca="1">IFERROR(AVERAGEIFS(INDIRECT("Tabela1["&amp;$D43&amp;"]"),Tabela1[Turno],$F43,Tabela1[Mês],K$3),"")</f>
        <v/>
      </c>
      <c r="L43" s="23" t="str">
        <f ca="1">IFERROR(AVERAGEIFS(INDIRECT("Tabela1["&amp;$D43&amp;"]"),Tabela1[Turno],$F43,Tabela1[Mês],L$3),"")</f>
        <v/>
      </c>
      <c r="M43" s="23" t="str">
        <f ca="1">IFERROR(AVERAGEIFS(INDIRECT("Tabela1["&amp;$D43&amp;"]"),Tabela1[Turno],$F43,Tabela1[Mês],M$3),"")</f>
        <v/>
      </c>
      <c r="N43" s="23">
        <f ca="1">IFERROR(AVERAGEIFS(INDIRECT("Tabela1["&amp;$D43&amp;"]"),Tabela1[Turno],$F43,Tabela1[Mês],N$3),"")</f>
        <v>8.8000000000000007</v>
      </c>
      <c r="O43" s="23">
        <f ca="1">IFERROR(AVERAGEIFS(INDIRECT("Tabela1["&amp;$D43&amp;"]"),Tabela1[Turno],$F43,Tabela1[Mês],O$3),"")</f>
        <v>8</v>
      </c>
      <c r="P43" s="23">
        <f ca="1">IFERROR(AVERAGEIFS(INDIRECT("Tabela1["&amp;$D43&amp;"]"),Tabela1[Turno],$F43,Tabela1[Mês],P$3),"")</f>
        <v>8.5</v>
      </c>
      <c r="Q43" s="23" t="str">
        <f ca="1">IFERROR(AVERAGEIFS(INDIRECT("Tabela1["&amp;$D43&amp;"]"),Tabela1[Turno],$F43,Tabela1[Mês],Q$3),"")</f>
        <v/>
      </c>
      <c r="R43" s="24" t="str">
        <f ca="1">IFERROR(AVERAGEIFS(INDIRECT("Tabela1["&amp;$D43&amp;"]"),Tabela1[Turno],$F43,Tabela1[Mês],R$3),"")</f>
        <v/>
      </c>
      <c r="S43" s="35">
        <v>10</v>
      </c>
      <c r="U43" s="23">
        <f ca="1">IFERROR(AVERAGEIFS(INDIRECT("Tabela1["&amp;$D43&amp;"]"),Tabela1[Turno],$F43,Tabela1[Data],U$3),"")</f>
        <v>7</v>
      </c>
      <c r="V43" s="23" t="str">
        <f ca="1">IFERROR(AVERAGEIFS(INDIRECT("Tabela1["&amp;$D43&amp;"]"),Tabela1[Turno],$F43,Tabela1[Data],V$3),"")</f>
        <v/>
      </c>
      <c r="W43" s="23" t="str">
        <f ca="1">IFERROR(AVERAGEIFS(INDIRECT("Tabela1["&amp;$D43&amp;"]"),Tabela1[Turno],$F43,Tabela1[Data],W$3),"")</f>
        <v/>
      </c>
      <c r="X43" s="23" t="str">
        <f ca="1">IFERROR(AVERAGEIFS(INDIRECT("Tabela1["&amp;$D43&amp;"]"),Tabela1[Turno],$F43,Tabela1[Data],X$3),"")</f>
        <v/>
      </c>
      <c r="Y43" s="23" t="str">
        <f ca="1">IFERROR(AVERAGEIFS(INDIRECT("Tabela1["&amp;$D43&amp;"]"),Tabela1[Turno],$F43,Tabela1[Data],Y$3),"")</f>
        <v/>
      </c>
      <c r="Z43" s="23" t="str">
        <f ca="1">IFERROR(AVERAGEIFS(INDIRECT("Tabela1["&amp;$D43&amp;"]"),Tabela1[Turno],$F43,Tabela1[Data],Z$3),"")</f>
        <v/>
      </c>
      <c r="AA43" s="23">
        <f ca="1">IFERROR(AVERAGEIFS(INDIRECT("Tabela1["&amp;$D43&amp;"]"),Tabela1[Turno],$F43,Tabela1[Data],AA$3),"")</f>
        <v>10</v>
      </c>
      <c r="AB43" s="23" t="str">
        <f ca="1">IFERROR(AVERAGEIFS(INDIRECT("Tabela1["&amp;$D43&amp;"]"),Tabela1[Turno],$F43,Tabela1[Data],AB$3),"")</f>
        <v/>
      </c>
      <c r="AC43" s="23" t="str">
        <f ca="1">IFERROR(AVERAGEIFS(INDIRECT("Tabela1["&amp;$D43&amp;"]"),Tabela1[Turno],$F43,Tabela1[Data],AC$3),"")</f>
        <v/>
      </c>
      <c r="AD43" s="23" t="str">
        <f ca="1">IFERROR(AVERAGEIFS(INDIRECT("Tabela1["&amp;$D43&amp;"]"),Tabela1[Turno],$F43,Tabela1[Data],AD$3),"")</f>
        <v/>
      </c>
      <c r="AE43" s="23" t="str">
        <f ca="1">IFERROR(AVERAGEIFS(INDIRECT("Tabela1["&amp;$D43&amp;"]"),Tabela1[Turno],$F43,Tabela1[Data],AE$3),"")</f>
        <v/>
      </c>
      <c r="AF43" s="23" t="str">
        <f ca="1">IFERROR(AVERAGEIFS(INDIRECT("Tabela1["&amp;$D43&amp;"]"),Tabela1[Turno],$F43,Tabela1[Data],AF$3),"")</f>
        <v/>
      </c>
      <c r="AG43" s="23" t="str">
        <f ca="1">IFERROR(AVERAGEIFS(INDIRECT("Tabela1["&amp;$D43&amp;"]"),Tabela1[Turno],$F43,Tabela1[Data],AG$3),"")</f>
        <v/>
      </c>
      <c r="AH43" s="23" t="str">
        <f ca="1">IFERROR(AVERAGEIFS(INDIRECT("Tabela1["&amp;$D43&amp;"]"),Tabela1[Turno],$F43,Tabela1[Data],AH$3),"")</f>
        <v/>
      </c>
      <c r="AI43" s="23" t="str">
        <f ca="1">IFERROR(AVERAGEIFS(INDIRECT("Tabela1["&amp;$D43&amp;"]"),Tabela1[Turno],$F43,Tabela1[Data],AI$3),"")</f>
        <v/>
      </c>
      <c r="AJ43" s="23" t="str">
        <f ca="1">IFERROR(AVERAGEIFS(INDIRECT("Tabela1["&amp;$D43&amp;"]"),Tabela1[Turno],$F43,Tabela1[Data],AJ$3),"")</f>
        <v/>
      </c>
      <c r="AK43" s="23" t="str">
        <f ca="1">IFERROR(AVERAGEIFS(INDIRECT("Tabela1["&amp;$D43&amp;"]"),Tabela1[Turno],$F43,Tabela1[Data],AK$3),"")</f>
        <v/>
      </c>
      <c r="AL43" s="23" t="str">
        <f ca="1">IFERROR(AVERAGEIFS(INDIRECT("Tabela1["&amp;$D43&amp;"]"),Tabela1[Turno],$F43,Tabela1[Data],AL$3),"")</f>
        <v/>
      </c>
      <c r="AM43" s="23" t="str">
        <f ca="1">IFERROR(AVERAGEIFS(INDIRECT("Tabela1["&amp;$D43&amp;"]"),Tabela1[Turno],$F43,Tabela1[Data],AM$3),"")</f>
        <v/>
      </c>
      <c r="AN43" s="23" t="str">
        <f ca="1">IFERROR(AVERAGEIFS(INDIRECT("Tabela1["&amp;$D43&amp;"]"),Tabela1[Turno],$F43,Tabela1[Data],AN$3),"")</f>
        <v/>
      </c>
      <c r="AO43" s="23" t="str">
        <f ca="1">IFERROR(AVERAGEIFS(INDIRECT("Tabela1["&amp;$D43&amp;"]"),Tabela1[Turno],$F43,Tabela1[Data],AO$3),"")</f>
        <v/>
      </c>
      <c r="AP43" s="23" t="str">
        <f ca="1">IFERROR(AVERAGEIFS(INDIRECT("Tabela1["&amp;$D43&amp;"]"),Tabela1[Turno],$F43,Tabela1[Data],AP$3),"")</f>
        <v/>
      </c>
      <c r="AQ43" s="23" t="str">
        <f ca="1">IFERROR(AVERAGEIFS(INDIRECT("Tabela1["&amp;$D43&amp;"]"),Tabela1[Turno],$F43,Tabela1[Data],AQ$3),"")</f>
        <v/>
      </c>
      <c r="AR43" s="23" t="str">
        <f ca="1">IFERROR(AVERAGEIFS(INDIRECT("Tabela1["&amp;$D43&amp;"]"),Tabela1[Turno],$F43,Tabela1[Data],AR$3),"")</f>
        <v/>
      </c>
    </row>
    <row r="44" spans="1:44" x14ac:dyDescent="0.25">
      <c r="A44" s="22" t="s">
        <v>122</v>
      </c>
      <c r="B44" s="22">
        <f t="shared" si="3"/>
        <v>2</v>
      </c>
      <c r="C44" s="22" t="s">
        <v>122</v>
      </c>
      <c r="D44" s="31" t="str">
        <f t="shared" si="4"/>
        <v>Carne no Osso Perna Esquerda</v>
      </c>
      <c r="E44" s="33"/>
      <c r="F44" s="20">
        <v>2</v>
      </c>
      <c r="G44" s="11" t="str">
        <f ca="1">IFERROR(AVERAGEIFS(INDIRECT("Tabela1["&amp;$D44&amp;"]"),Tabela1[Turno],$F44,Tabela1[Mês],G$3),"")</f>
        <v/>
      </c>
      <c r="H44" s="11" t="str">
        <f ca="1">IFERROR(AVERAGEIFS(INDIRECT("Tabela1["&amp;$D44&amp;"]"),Tabela1[Turno],$F44,Tabela1[Mês],H$3),"")</f>
        <v/>
      </c>
      <c r="I44" s="11" t="str">
        <f ca="1">IFERROR(AVERAGEIFS(INDIRECT("Tabela1["&amp;$D44&amp;"]"),Tabela1[Turno],$F44,Tabela1[Mês],I$3),"")</f>
        <v/>
      </c>
      <c r="J44" s="11" t="str">
        <f ca="1">IFERROR(AVERAGEIFS(INDIRECT("Tabela1["&amp;$D44&amp;"]"),Tabela1[Turno],$F44,Tabela1[Mês],J$3),"")</f>
        <v/>
      </c>
      <c r="K44" s="11" t="str">
        <f ca="1">IFERROR(AVERAGEIFS(INDIRECT("Tabela1["&amp;$D44&amp;"]"),Tabela1[Turno],$F44,Tabela1[Mês],K$3),"")</f>
        <v/>
      </c>
      <c r="L44" s="11" t="str">
        <f ca="1">IFERROR(AVERAGEIFS(INDIRECT("Tabela1["&amp;$D44&amp;"]"),Tabela1[Turno],$F44,Tabela1[Mês],L$3),"")</f>
        <v/>
      </c>
      <c r="M44" s="11" t="str">
        <f ca="1">IFERROR(AVERAGEIFS(INDIRECT("Tabela1["&amp;$D44&amp;"]"),Tabela1[Turno],$F44,Tabela1[Mês],M$3),"")</f>
        <v/>
      </c>
      <c r="N44" s="11">
        <f ca="1">IFERROR(AVERAGEIFS(INDIRECT("Tabela1["&amp;$D44&amp;"]"),Tabela1[Turno],$F44,Tabela1[Mês],N$3),"")</f>
        <v>8.4696969696969688</v>
      </c>
      <c r="O44" s="11">
        <f ca="1">IFERROR(AVERAGEIFS(INDIRECT("Tabela1["&amp;$D44&amp;"]"),Tabela1[Turno],$F44,Tabela1[Mês],O$3),"")</f>
        <v>8.2698412698412707</v>
      </c>
      <c r="P44" s="11">
        <f ca="1">IFERROR(AVERAGEIFS(INDIRECT("Tabela1["&amp;$D44&amp;"]"),Tabela1[Turno],$F44,Tabela1[Mês],P$3),"")</f>
        <v>7.3</v>
      </c>
      <c r="Q44" s="11" t="str">
        <f ca="1">IFERROR(AVERAGEIFS(INDIRECT("Tabela1["&amp;$D44&amp;"]"),Tabela1[Turno],$F44,Tabela1[Mês],Q$3),"")</f>
        <v/>
      </c>
      <c r="R44" s="12" t="str">
        <f ca="1">IFERROR(AVERAGEIFS(INDIRECT("Tabela1["&amp;$D44&amp;"]"),Tabela1[Turno],$F44,Tabela1[Mês],R$3),"")</f>
        <v/>
      </c>
      <c r="S44" s="36"/>
      <c r="U44" s="11">
        <f ca="1">IFERROR(AVERAGEIFS(INDIRECT("Tabela1["&amp;$D44&amp;"]"),Tabela1[Turno],$F44,Tabela1[Data],U$3),"")</f>
        <v>7</v>
      </c>
      <c r="V44" s="11">
        <f ca="1">IFERROR(AVERAGEIFS(INDIRECT("Tabela1["&amp;$D44&amp;"]"),Tabela1[Turno],$F44,Tabela1[Data],V$3),"")</f>
        <v>7</v>
      </c>
      <c r="W44" s="11">
        <f ca="1">IFERROR(AVERAGEIFS(INDIRECT("Tabela1["&amp;$D44&amp;"]"),Tabela1[Turno],$F44,Tabela1[Data],W$3),"")</f>
        <v>8</v>
      </c>
      <c r="X44" s="11">
        <f ca="1">IFERROR(AVERAGEIFS(INDIRECT("Tabela1["&amp;$D44&amp;"]"),Tabela1[Turno],$F44,Tabela1[Data],X$3),"")</f>
        <v>7</v>
      </c>
      <c r="Y44" s="11">
        <f ca="1">IFERROR(AVERAGEIFS(INDIRECT("Tabela1["&amp;$D44&amp;"]"),Tabela1[Turno],$F44,Tabela1[Data],Y$3),"")</f>
        <v>7</v>
      </c>
      <c r="Z44" s="11">
        <f ca="1">IFERROR(AVERAGEIFS(INDIRECT("Tabela1["&amp;$D44&amp;"]"),Tabela1[Turno],$F44,Tabela1[Data],Z$3),"")</f>
        <v>8</v>
      </c>
      <c r="AA44" s="11">
        <f ca="1">IFERROR(AVERAGEIFS(INDIRECT("Tabela1["&amp;$D44&amp;"]"),Tabela1[Turno],$F44,Tabela1[Data],AA$3),"")</f>
        <v>7</v>
      </c>
      <c r="AB44" s="11">
        <f ca="1">IFERROR(AVERAGEIFS(INDIRECT("Tabela1["&amp;$D44&amp;"]"),Tabela1[Turno],$F44,Tabela1[Data],AB$3),"")</f>
        <v>7</v>
      </c>
      <c r="AC44" s="11" t="str">
        <f ca="1">IFERROR(AVERAGEIFS(INDIRECT("Tabela1["&amp;$D44&amp;"]"),Tabela1[Turno],$F44,Tabela1[Data],AC$3),"")</f>
        <v/>
      </c>
      <c r="AD44" s="11" t="str">
        <f ca="1">IFERROR(AVERAGEIFS(INDIRECT("Tabela1["&amp;$D44&amp;"]"),Tabela1[Turno],$F44,Tabela1[Data],AD$3),"")</f>
        <v/>
      </c>
      <c r="AE44" s="11" t="str">
        <f ca="1">IFERROR(AVERAGEIFS(INDIRECT("Tabela1["&amp;$D44&amp;"]"),Tabela1[Turno],$F44,Tabela1[Data],AE$3),"")</f>
        <v/>
      </c>
      <c r="AF44" s="11" t="str">
        <f ca="1">IFERROR(AVERAGEIFS(INDIRECT("Tabela1["&amp;$D44&amp;"]"),Tabela1[Turno],$F44,Tabela1[Data],AF$3),"")</f>
        <v/>
      </c>
      <c r="AG44" s="11" t="str">
        <f ca="1">IFERROR(AVERAGEIFS(INDIRECT("Tabela1["&amp;$D44&amp;"]"),Tabela1[Turno],$F44,Tabela1[Data],AG$3),"")</f>
        <v/>
      </c>
      <c r="AH44" s="11" t="str">
        <f ca="1">IFERROR(AVERAGEIFS(INDIRECT("Tabela1["&amp;$D44&amp;"]"),Tabela1[Turno],$F44,Tabela1[Data],AH$3),"")</f>
        <v/>
      </c>
      <c r="AI44" s="11" t="str">
        <f ca="1">IFERROR(AVERAGEIFS(INDIRECT("Tabela1["&amp;$D44&amp;"]"),Tabela1[Turno],$F44,Tabela1[Data],AI$3),"")</f>
        <v/>
      </c>
      <c r="AJ44" s="11" t="str">
        <f ca="1">IFERROR(AVERAGEIFS(INDIRECT("Tabela1["&amp;$D44&amp;"]"),Tabela1[Turno],$F44,Tabela1[Data],AJ$3),"")</f>
        <v/>
      </c>
      <c r="AK44" s="11" t="str">
        <f ca="1">IFERROR(AVERAGEIFS(INDIRECT("Tabela1["&amp;$D44&amp;"]"),Tabela1[Turno],$F44,Tabela1[Data],AK$3),"")</f>
        <v/>
      </c>
      <c r="AL44" s="11" t="str">
        <f ca="1">IFERROR(AVERAGEIFS(INDIRECT("Tabela1["&amp;$D44&amp;"]"),Tabela1[Turno],$F44,Tabela1[Data],AL$3),"")</f>
        <v/>
      </c>
      <c r="AM44" s="11" t="str">
        <f ca="1">IFERROR(AVERAGEIFS(INDIRECT("Tabela1["&amp;$D44&amp;"]"),Tabela1[Turno],$F44,Tabela1[Data],AM$3),"")</f>
        <v/>
      </c>
      <c r="AN44" s="11" t="str">
        <f ca="1">IFERROR(AVERAGEIFS(INDIRECT("Tabela1["&amp;$D44&amp;"]"),Tabela1[Turno],$F44,Tabela1[Data],AN$3),"")</f>
        <v/>
      </c>
      <c r="AO44" s="11" t="str">
        <f ca="1">IFERROR(AVERAGEIFS(INDIRECT("Tabela1["&amp;$D44&amp;"]"),Tabela1[Turno],$F44,Tabela1[Data],AO$3),"")</f>
        <v/>
      </c>
      <c r="AP44" s="11" t="str">
        <f ca="1">IFERROR(AVERAGEIFS(INDIRECT("Tabela1["&amp;$D44&amp;"]"),Tabela1[Turno],$F44,Tabela1[Data],AP$3),"")</f>
        <v/>
      </c>
      <c r="AQ44" s="11" t="str">
        <f ca="1">IFERROR(AVERAGEIFS(INDIRECT("Tabela1["&amp;$D44&amp;"]"),Tabela1[Turno],$F44,Tabela1[Data],AQ$3),"")</f>
        <v/>
      </c>
      <c r="AR44" s="11" t="str">
        <f ca="1">IFERROR(AVERAGEIFS(INDIRECT("Tabela1["&amp;$D44&amp;"]"),Tabela1[Turno],$F44,Tabela1[Data],AR$3),"")</f>
        <v/>
      </c>
    </row>
    <row r="45" spans="1:44" ht="15.75" thickBot="1" x14ac:dyDescent="0.3">
      <c r="A45" s="22" t="s">
        <v>122</v>
      </c>
      <c r="B45" s="22" t="str">
        <f t="shared" si="3"/>
        <v>Unidade</v>
      </c>
      <c r="C45" s="22" t="s">
        <v>122</v>
      </c>
      <c r="D45" s="31" t="str">
        <f t="shared" si="4"/>
        <v>Carne no Osso Perna Esquerda</v>
      </c>
      <c r="E45" s="34"/>
      <c r="F45" s="21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8.2575757575757578</v>
      </c>
      <c r="P45" s="9">
        <f ca="1">IFERROR(AVERAGEIFS(INDIRECT("Tabela1["&amp;$D45&amp;"]"),Tabela1[Mês],P$3),"")</f>
        <v>7.4090909090909092</v>
      </c>
      <c r="Q45" s="9" t="str">
        <f ca="1">IFERROR(AVERAGEIFS(INDIRECT("Tabela1["&amp;$D45&amp;"]"),Tabela1[Mês],Q$3),"")</f>
        <v/>
      </c>
      <c r="R45" s="13" t="str">
        <f ca="1">IFERROR(AVERAGEIFS(INDIRECT("Tabela1["&amp;$D45&amp;"]"),Tabela1[Mês],R$3),"")</f>
        <v/>
      </c>
      <c r="S45" s="37"/>
      <c r="U45" s="9">
        <f ca="1">IFERROR(AVERAGEIFS(INDIRECT("Tabela1["&amp;$D45&amp;"]"),Tabela1[Data],U$3),"")</f>
        <v>7</v>
      </c>
      <c r="V45" s="9">
        <f ca="1">IFERROR(AVERAGEIFS(INDIRECT("Tabela1["&amp;$D45&amp;"]"),Tabela1[Data],V$3),"")</f>
        <v>7</v>
      </c>
      <c r="W45" s="9">
        <f ca="1">IFERROR(AVERAGEIFS(INDIRECT("Tabela1["&amp;$D45&amp;"]"),Tabela1[Data],W$3),"")</f>
        <v>8</v>
      </c>
      <c r="X45" s="9">
        <f ca="1">IFERROR(AVERAGEIFS(INDIRECT("Tabela1["&amp;$D45&amp;"]"),Tabela1[Data],X$3),"")</f>
        <v>7</v>
      </c>
      <c r="Y45" s="9">
        <f ca="1">IFERROR(AVERAGEIFS(INDIRECT("Tabela1["&amp;$D45&amp;"]"),Tabela1[Data],Y$3),"")</f>
        <v>7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8</v>
      </c>
      <c r="AB45" s="9">
        <f ca="1">IFERROR(AVERAGEIFS(INDIRECT("Tabela1["&amp;$D45&amp;"]"),Tabela1[Data],AB$3),"")</f>
        <v>7</v>
      </c>
      <c r="AC45" s="9" t="str">
        <f ca="1">IFERROR(AVERAGEIFS(INDIRECT("Tabela1["&amp;$D45&amp;"]"),Tabela1[Data],AC$3),"")</f>
        <v/>
      </c>
      <c r="AD45" s="9" t="str">
        <f ca="1">IFERROR(AVERAGEIFS(INDIRECT("Tabela1["&amp;$D45&amp;"]"),Tabela1[Data],AD$3),"")</f>
        <v/>
      </c>
      <c r="AE45" s="9" t="str">
        <f ca="1">IFERROR(AVERAGEIFS(INDIRECT("Tabela1["&amp;$D45&amp;"]"),Tabela1[Data],AE$3),"")</f>
        <v/>
      </c>
      <c r="AF45" s="9" t="str">
        <f ca="1">IFERROR(AVERAGEIFS(INDIRECT("Tabela1["&amp;$D45&amp;"]"),Tabela1[Data],AF$3),"")</f>
        <v/>
      </c>
      <c r="AG45" s="9" t="str">
        <f ca="1">IFERROR(AVERAGEIFS(INDIRECT("Tabela1["&amp;$D45&amp;"]"),Tabela1[Data],AG$3),"")</f>
        <v/>
      </c>
      <c r="AH45" s="9" t="str">
        <f ca="1">IFERROR(AVERAGEIFS(INDIRECT("Tabela1["&amp;$D45&amp;"]"),Tabela1[Data],AH$3),"")</f>
        <v/>
      </c>
      <c r="AI45" s="9" t="str">
        <f ca="1">IFERROR(AVERAGEIFS(INDIRECT("Tabela1["&amp;$D45&amp;"]"),Tabela1[Data],AI$3),"")</f>
        <v/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2" customFormat="1" ht="15.75" thickTop="1" x14ac:dyDescent="0.25">
      <c r="A46" s="22" t="s">
        <v>122</v>
      </c>
      <c r="B46" s="22">
        <f t="shared" si="1"/>
        <v>1</v>
      </c>
      <c r="C46" s="22" t="s">
        <v>122</v>
      </c>
      <c r="D46" s="27" t="str">
        <f>IF(E46=0,#REF!,E46)</f>
        <v>% Carne Refile Perna</v>
      </c>
      <c r="E46" s="32" t="str">
        <f>Coleta!Z1</f>
        <v>% Carne Refile Perna</v>
      </c>
      <c r="F46" s="19">
        <v>1</v>
      </c>
      <c r="G46" s="25">
        <f ca="1">IFERROR(AVERAGEIFS(INDIRECT("Tabela1["&amp;$D46&amp;"]"),Tabela1[Turno],$F46,Tabela1[Mês],G$3)/100,"")</f>
        <v>0.42</v>
      </c>
      <c r="H46" s="25">
        <f ca="1">IFERROR(AVERAGEIFS(INDIRECT("Tabela1["&amp;$D46&amp;"]"),Tabela1[Turno],$F46,Tabela1[Mês],H$3)/100,"")</f>
        <v>0.315</v>
      </c>
      <c r="I46" s="25">
        <f ca="1">IFERROR(AVERAGEIFS(INDIRECT("Tabela1["&amp;$D46&amp;"]"),Tabela1[Turno],$F46,Tabela1[Mês],I$3)/100,"")</f>
        <v>0.28999999999999998</v>
      </c>
      <c r="J46" s="25">
        <f ca="1">IFERROR(AVERAGEIFS(INDIRECT("Tabela1["&amp;$D46&amp;"]"),Tabela1[Turno],$F46,Tabela1[Mês],J$3)/100,"")</f>
        <v>0.24719999999999998</v>
      </c>
      <c r="K46" s="25">
        <f ca="1">IFERROR(AVERAGEIFS(INDIRECT("Tabela1["&amp;$D46&amp;"]"),Tabela1[Turno],$F46,Tabela1[Mês],K$3)/100,"")</f>
        <v>0.25259999999999999</v>
      </c>
      <c r="L46" s="25">
        <f ca="1">IFERROR(AVERAGEIFS(INDIRECT("Tabela1["&amp;$D46&amp;"]"),Tabela1[Turno],$F46,Tabela1[Mês],L$3)/100,"")</f>
        <v>0.24359999999999998</v>
      </c>
      <c r="M46" s="25">
        <f ca="1">IFERROR(AVERAGEIFS(INDIRECT("Tabela1["&amp;$D46&amp;"]"),Tabela1[Turno],$F46,Tabela1[Mês],M$3)/100,"")</f>
        <v>0.2913</v>
      </c>
      <c r="N46" s="25">
        <f ca="1">IFERROR(AVERAGEIFS(INDIRECT("Tabela1["&amp;$D46&amp;"]"),Tabela1[Turno],$F46,Tabela1[Mês],N$3)/100,"")</f>
        <v>0.31374999999999997</v>
      </c>
      <c r="O46" s="25">
        <f ca="1">IFERROR(AVERAGEIFS(INDIRECT("Tabela1["&amp;$D46&amp;"]"),Tabela1[Turno],$F46,Tabela1[Mês],O$3)/100,"")</f>
        <v>0.48218749999999999</v>
      </c>
      <c r="P46" s="25">
        <f ca="1">IFERROR(AVERAGEIFS(INDIRECT("Tabela1["&amp;$D46&amp;"]"),Tabela1[Turno],$F46,Tabela1[Mês],P$3)/100,"")</f>
        <v>0.38928571428571429</v>
      </c>
      <c r="Q46" s="25" t="str">
        <f ca="1">IFERROR(AVERAGEIFS(INDIRECT("Tabela1["&amp;$D46&amp;"]"),Tabela1[Turno],$F46,Tabela1[Mês],Q$3)/100,"")</f>
        <v/>
      </c>
      <c r="R46" s="26" t="str">
        <f ca="1">IFERROR(AVERAGEIFS(INDIRECT("Tabela1["&amp;$D46&amp;"]"),Tabela1[Turno],$F46,Tabela1[Mês],R$3)/100,"")</f>
        <v/>
      </c>
      <c r="S46" s="38">
        <v>0.2</v>
      </c>
      <c r="U46" s="25">
        <f ca="1">IFERROR(AVERAGEIFS(INDIRECT("Tabela1["&amp;$D46&amp;"]"),Tabela1[Turno],$F46,Tabela1[Data],U$3)/100,"")</f>
        <v>0.14000000000000001</v>
      </c>
      <c r="V46" s="25">
        <f ca="1">IFERROR(AVERAGEIFS(INDIRECT("Tabela1["&amp;$D46&amp;"]"),Tabela1[Turno],$F46,Tabela1[Data],V$3)/100,"")</f>
        <v>0.37</v>
      </c>
      <c r="W46" s="25" t="str">
        <f ca="1">IFERROR(AVERAGEIFS(INDIRECT("Tabela1["&amp;$D46&amp;"]"),Tabela1[Turno],$F46,Tabela1[Data],W$3)/100,"")</f>
        <v/>
      </c>
      <c r="X46" s="25">
        <f ca="1">IFERROR(AVERAGEIFS(INDIRECT("Tabela1["&amp;$D46&amp;"]"),Tabela1[Turno],$F46,Tabela1[Data],X$3)/100,"")</f>
        <v>0.47499999999999998</v>
      </c>
      <c r="Y46" s="25">
        <f ca="1">IFERROR(AVERAGEIFS(INDIRECT("Tabela1["&amp;$D46&amp;"]"),Tabela1[Turno],$F46,Tabela1[Data],Y$3)/100,"")</f>
        <v>0.29499999999999998</v>
      </c>
      <c r="Z46" s="25">
        <f ca="1">IFERROR(AVERAGEIFS(INDIRECT("Tabela1["&amp;$D46&amp;"]"),Tabela1[Turno],$F46,Tabela1[Data],Z$3)/100,"")</f>
        <v>0.63500000000000001</v>
      </c>
      <c r="AA46" s="25">
        <f ca="1">IFERROR(AVERAGEIFS(INDIRECT("Tabela1["&amp;$D46&amp;"]"),Tabela1[Turno],$F46,Tabela1[Data],AA$3)/100,"")</f>
        <v>0.26</v>
      </c>
      <c r="AB46" s="25">
        <f ca="1">IFERROR(AVERAGEIFS(INDIRECT("Tabela1["&amp;$D46&amp;"]"),Tabela1[Turno],$F46,Tabela1[Data],AB$3)/100,"")</f>
        <v>0.55000000000000004</v>
      </c>
      <c r="AC46" s="25" t="str">
        <f ca="1">IFERROR(AVERAGEIFS(INDIRECT("Tabela1["&amp;$D46&amp;"]"),Tabela1[Turno],$F46,Tabela1[Data],AC$3)/100,"")</f>
        <v/>
      </c>
      <c r="AD46" s="25" t="str">
        <f ca="1">IFERROR(AVERAGEIFS(INDIRECT("Tabela1["&amp;$D46&amp;"]"),Tabela1[Turno],$F46,Tabela1[Data],AD$3)/100,"")</f>
        <v/>
      </c>
      <c r="AE46" s="25" t="str">
        <f ca="1">IFERROR(AVERAGEIFS(INDIRECT("Tabela1["&amp;$D46&amp;"]"),Tabela1[Turno],$F46,Tabela1[Data],AE$3)/100,"")</f>
        <v/>
      </c>
      <c r="AF46" s="25" t="str">
        <f ca="1">IFERROR(AVERAGEIFS(INDIRECT("Tabela1["&amp;$D46&amp;"]"),Tabela1[Turno],$F46,Tabela1[Data],AF$3)/100,"")</f>
        <v/>
      </c>
      <c r="AG46" s="25" t="str">
        <f ca="1">IFERROR(AVERAGEIFS(INDIRECT("Tabela1["&amp;$D46&amp;"]"),Tabela1[Turno],$F46,Tabela1[Data],AG$3)/100,"")</f>
        <v/>
      </c>
      <c r="AH46" s="25" t="str">
        <f ca="1">IFERROR(AVERAGEIFS(INDIRECT("Tabela1["&amp;$D46&amp;"]"),Tabela1[Turno],$F46,Tabela1[Data],AH$3)/100,"")</f>
        <v/>
      </c>
      <c r="AI46" s="25" t="str">
        <f ca="1">IFERROR(AVERAGEIFS(INDIRECT("Tabela1["&amp;$D46&amp;"]"),Tabela1[Turno],$F46,Tabela1[Data],AI$3)/100,"")</f>
        <v/>
      </c>
      <c r="AJ46" s="25" t="str">
        <f ca="1">IFERROR(AVERAGEIFS(INDIRECT("Tabela1["&amp;$D46&amp;"]"),Tabela1[Turno],$F46,Tabela1[Data],AJ$3)/100,"")</f>
        <v/>
      </c>
      <c r="AK46" s="25" t="str">
        <f ca="1">IFERROR(AVERAGEIFS(INDIRECT("Tabela1["&amp;$D46&amp;"]"),Tabela1[Turno],$F46,Tabela1[Data],AK$3)/100,"")</f>
        <v/>
      </c>
      <c r="AL46" s="25" t="str">
        <f ca="1">IFERROR(AVERAGEIFS(INDIRECT("Tabela1["&amp;$D46&amp;"]"),Tabela1[Turno],$F46,Tabela1[Data],AL$3)/100,"")</f>
        <v/>
      </c>
      <c r="AM46" s="25" t="str">
        <f ca="1">IFERROR(AVERAGEIFS(INDIRECT("Tabela1["&amp;$D46&amp;"]"),Tabela1[Turno],$F46,Tabela1[Data],AM$3)/100,"")</f>
        <v/>
      </c>
      <c r="AN46" s="25" t="str">
        <f ca="1">IFERROR(AVERAGEIFS(INDIRECT("Tabela1["&amp;$D46&amp;"]"),Tabela1[Turno],$F46,Tabela1[Data],AN$3)/100,"")</f>
        <v/>
      </c>
      <c r="AO46" s="25" t="str">
        <f ca="1">IFERROR(AVERAGEIFS(INDIRECT("Tabela1["&amp;$D46&amp;"]"),Tabela1[Turno],$F46,Tabela1[Data],AO$3)/100,"")</f>
        <v/>
      </c>
      <c r="AP46" s="25" t="str">
        <f ca="1">IFERROR(AVERAGEIFS(INDIRECT("Tabela1["&amp;$D46&amp;"]"),Tabela1[Turno],$F46,Tabela1[Data],AP$3)/100,"")</f>
        <v/>
      </c>
      <c r="AQ46" s="25" t="str">
        <f ca="1">IFERROR(AVERAGEIFS(INDIRECT("Tabela1["&amp;$D46&amp;"]"),Tabela1[Turno],$F46,Tabela1[Data],AQ$3)/100,"")</f>
        <v/>
      </c>
      <c r="AR46" s="25" t="str">
        <f ca="1">IFERROR(AVERAGEIFS(INDIRECT("Tabela1["&amp;$D46&amp;"]"),Tabela1[Turno],$F46,Tabela1[Data],AR$3)/100,"")</f>
        <v/>
      </c>
    </row>
    <row r="47" spans="1:44" x14ac:dyDescent="0.25">
      <c r="A47" s="22" t="s">
        <v>122</v>
      </c>
      <c r="B47" s="22">
        <f t="shared" si="1"/>
        <v>2</v>
      </c>
      <c r="C47" s="22" t="s">
        <v>122</v>
      </c>
      <c r="D47" s="4" t="str">
        <f t="shared" si="2"/>
        <v>% Carne Refile Perna</v>
      </c>
      <c r="E47" s="33"/>
      <c r="F47" s="20">
        <v>2</v>
      </c>
      <c r="G47" s="14">
        <f ca="1">IFERROR(AVERAGEIFS(INDIRECT("Tabela1["&amp;$D47&amp;"]"),Tabela1[Turno],$F47,Tabela1[Mês],G$3)/100,"")</f>
        <v>0.45</v>
      </c>
      <c r="H47" s="14">
        <f ca="1">IFERROR(AVERAGEIFS(INDIRECT("Tabela1["&amp;$D47&amp;"]"),Tabela1[Turno],$F47,Tabela1[Mês],H$3)/100,"")</f>
        <v>0.42399999999999999</v>
      </c>
      <c r="I47" s="14">
        <f ca="1">IFERROR(AVERAGEIFS(INDIRECT("Tabela1["&amp;$D47&amp;"]"),Tabela1[Turno],$F47,Tabela1[Mês],I$3)/100,"")</f>
        <v>0.45500000000000002</v>
      </c>
      <c r="J47" s="14">
        <f ca="1">IFERROR(AVERAGEIFS(INDIRECT("Tabela1["&amp;$D47&amp;"]"),Tabela1[Turno],$F47,Tabela1[Mês],J$3)/100,"")</f>
        <v>0.3911</v>
      </c>
      <c r="K47" s="14">
        <f ca="1">IFERROR(AVERAGEIFS(INDIRECT("Tabela1["&amp;$D47&amp;"]"),Tabela1[Turno],$F47,Tabela1[Mês],K$3)/100,"")</f>
        <v>0.36719999999999997</v>
      </c>
      <c r="L47" s="14">
        <f ca="1">IFERROR(AVERAGEIFS(INDIRECT("Tabela1["&amp;$D47&amp;"]"),Tabela1[Turno],$F47,Tabela1[Mês],L$3)/100,"")</f>
        <v>0.27910000000000001</v>
      </c>
      <c r="M47" s="14">
        <f ca="1">IFERROR(AVERAGEIFS(INDIRECT("Tabela1["&amp;$D47&amp;"]"),Tabela1[Turno],$F47,Tabela1[Mês],M$3)/100,"")</f>
        <v>0.2475</v>
      </c>
      <c r="N47" s="14">
        <f ca="1">IFERROR(AVERAGEIFS(INDIRECT("Tabela1["&amp;$D47&amp;"]"),Tabela1[Turno],$F47,Tabela1[Mês],N$3)/100,"")</f>
        <v>0.21214285714285716</v>
      </c>
      <c r="O47" s="14">
        <f ca="1">IFERROR(AVERAGEIFS(INDIRECT("Tabela1["&amp;$D47&amp;"]"),Tabela1[Turno],$F47,Tabela1[Mês],O$3)/100,"")</f>
        <v>0.24923076923076923</v>
      </c>
      <c r="P47" s="14">
        <f ca="1">IFERROR(AVERAGEIFS(INDIRECT("Tabela1["&amp;$D47&amp;"]"),Tabela1[Turno],$F47,Tabela1[Mês],P$3)/100,"")</f>
        <v>0.251</v>
      </c>
      <c r="Q47" s="14" t="str">
        <f ca="1">IFERROR(AVERAGEIFS(INDIRECT("Tabela1["&amp;$D47&amp;"]"),Tabela1[Turno],$F47,Tabela1[Mês],Q$3)/100,"")</f>
        <v/>
      </c>
      <c r="R47" s="15" t="str">
        <f ca="1">IFERROR(AVERAGEIFS(INDIRECT("Tabela1["&amp;$D47&amp;"]"),Tabela1[Turno],$F47,Tabela1[Mês],R$3)/100,"")</f>
        <v/>
      </c>
      <c r="S47" s="36"/>
      <c r="U47" s="14">
        <f ca="1">IFERROR(AVERAGEIFS(INDIRECT("Tabela1["&amp;$D47&amp;"]"),Tabela1[Turno],$F47,Tabela1[Data],U$3)/100,"")</f>
        <v>0.30166666666666669</v>
      </c>
      <c r="V47" s="14">
        <f ca="1">IFERROR(AVERAGEIFS(INDIRECT("Tabela1["&amp;$D47&amp;"]"),Tabela1[Turno],$F47,Tabela1[Data],V$3)/100,"")</f>
        <v>0.22600000000000001</v>
      </c>
      <c r="W47" s="14">
        <f ca="1">IFERROR(AVERAGEIFS(INDIRECT("Tabela1["&amp;$D47&amp;"]"),Tabela1[Turno],$F47,Tabela1[Data],W$3)/100,"")</f>
        <v>0.22500000000000001</v>
      </c>
      <c r="X47" s="14">
        <f ca="1">IFERROR(AVERAGEIFS(INDIRECT("Tabela1["&amp;$D47&amp;"]"),Tabela1[Turno],$F47,Tabela1[Data],X$3)/100,"")</f>
        <v>0.21875</v>
      </c>
      <c r="Y47" s="14">
        <f ca="1">IFERROR(AVERAGEIFS(INDIRECT("Tabela1["&amp;$D47&amp;"]"),Tabela1[Turno],$F47,Tabela1[Data],Y$3)/100,"")</f>
        <v>0.22625000000000001</v>
      </c>
      <c r="Z47" s="14">
        <f ca="1">IFERROR(AVERAGEIFS(INDIRECT("Tabela1["&amp;$D47&amp;"]"),Tabela1[Turno],$F47,Tabela1[Data],Z$3)/100,"")</f>
        <v>0.255</v>
      </c>
      <c r="AA47" s="14">
        <f ca="1">IFERROR(AVERAGEIFS(INDIRECT("Tabela1["&amp;$D47&amp;"]"),Tabela1[Turno],$F47,Tabela1[Data],AA$3)/100,"")</f>
        <v>0.28999999999999998</v>
      </c>
      <c r="AB47" s="14">
        <f ca="1">IFERROR(AVERAGEIFS(INDIRECT("Tabela1["&amp;$D47&amp;"]"),Tabela1[Turno],$F47,Tabela1[Data],AB$3)/100,"")</f>
        <v>0.28499999999999998</v>
      </c>
      <c r="AC47" s="14" t="str">
        <f ca="1">IFERROR(AVERAGEIFS(INDIRECT("Tabela1["&amp;$D47&amp;"]"),Tabela1[Turno],$F47,Tabela1[Data],AC$3)/100,"")</f>
        <v/>
      </c>
      <c r="AD47" s="14" t="str">
        <f ca="1">IFERROR(AVERAGEIFS(INDIRECT("Tabela1["&amp;$D47&amp;"]"),Tabela1[Turno],$F47,Tabela1[Data],AD$3)/100,"")</f>
        <v/>
      </c>
      <c r="AE47" s="14" t="str">
        <f ca="1">IFERROR(AVERAGEIFS(INDIRECT("Tabela1["&amp;$D47&amp;"]"),Tabela1[Turno],$F47,Tabela1[Data],AE$3)/100,"")</f>
        <v/>
      </c>
      <c r="AF47" s="14" t="str">
        <f ca="1">IFERROR(AVERAGEIFS(INDIRECT("Tabela1["&amp;$D47&amp;"]"),Tabela1[Turno],$F47,Tabela1[Data],AF$3)/100,"")</f>
        <v/>
      </c>
      <c r="AG47" s="14" t="str">
        <f ca="1">IFERROR(AVERAGEIFS(INDIRECT("Tabela1["&amp;$D47&amp;"]"),Tabela1[Turno],$F47,Tabela1[Data],AG$3)/100,"")</f>
        <v/>
      </c>
      <c r="AH47" s="14" t="str">
        <f ca="1">IFERROR(AVERAGEIFS(INDIRECT("Tabela1["&amp;$D47&amp;"]"),Tabela1[Turno],$F47,Tabela1[Data],AH$3)/100,"")</f>
        <v/>
      </c>
      <c r="AI47" s="14" t="str">
        <f ca="1">IFERROR(AVERAGEIFS(INDIRECT("Tabela1["&amp;$D47&amp;"]"),Tabela1[Turno],$F47,Tabela1[Data],AI$3)/100,"")</f>
        <v/>
      </c>
      <c r="AJ47" s="14" t="str">
        <f ca="1">IFERROR(AVERAGEIFS(INDIRECT("Tabela1["&amp;$D47&amp;"]"),Tabela1[Turno],$F47,Tabela1[Data],AJ$3)/100,"")</f>
        <v/>
      </c>
      <c r="AK47" s="14" t="str">
        <f ca="1">IFERROR(AVERAGEIFS(INDIRECT("Tabela1["&amp;$D47&amp;"]"),Tabela1[Turno],$F47,Tabela1[Data],AK$3)/100,"")</f>
        <v/>
      </c>
      <c r="AL47" s="14" t="str">
        <f ca="1">IFERROR(AVERAGEIFS(INDIRECT("Tabela1["&amp;$D47&amp;"]"),Tabela1[Turno],$F47,Tabela1[Data],AL$3)/100,"")</f>
        <v/>
      </c>
      <c r="AM47" s="14" t="str">
        <f ca="1">IFERROR(AVERAGEIFS(INDIRECT("Tabela1["&amp;$D47&amp;"]"),Tabela1[Turno],$F47,Tabela1[Data],AM$3)/100,"")</f>
        <v/>
      </c>
      <c r="AN47" s="14" t="str">
        <f ca="1">IFERROR(AVERAGEIFS(INDIRECT("Tabela1["&amp;$D47&amp;"]"),Tabela1[Turno],$F47,Tabela1[Data],AN$3)/100,"")</f>
        <v/>
      </c>
      <c r="AO47" s="14" t="str">
        <f ca="1">IFERROR(AVERAGEIFS(INDIRECT("Tabela1["&amp;$D47&amp;"]"),Tabela1[Turno],$F47,Tabela1[Data],AO$3)/100,"")</f>
        <v/>
      </c>
      <c r="AP47" s="14" t="str">
        <f ca="1">IFERROR(AVERAGEIFS(INDIRECT("Tabela1["&amp;$D47&amp;"]"),Tabela1[Turno],$F47,Tabela1[Data],AP$3)/100,"")</f>
        <v/>
      </c>
      <c r="AQ47" s="14" t="str">
        <f ca="1">IFERROR(AVERAGEIFS(INDIRECT("Tabela1["&amp;$D47&amp;"]"),Tabela1[Turno],$F47,Tabela1[Data],AQ$3)/100,"")</f>
        <v/>
      </c>
      <c r="AR47" s="14" t="str">
        <f ca="1">IFERROR(AVERAGEIFS(INDIRECT("Tabela1["&amp;$D47&amp;"]"),Tabela1[Turno],$F47,Tabela1[Data],AR$3)/100,"")</f>
        <v/>
      </c>
    </row>
    <row r="48" spans="1:44" ht="15.75" thickBot="1" x14ac:dyDescent="0.3">
      <c r="A48" s="22" t="s">
        <v>122</v>
      </c>
      <c r="B48" s="22" t="str">
        <f t="shared" si="1"/>
        <v>Unidade</v>
      </c>
      <c r="C48" s="22" t="s">
        <v>122</v>
      </c>
      <c r="D48" s="4" t="str">
        <f t="shared" si="2"/>
        <v>% Carne Refile Perna</v>
      </c>
      <c r="E48" s="34"/>
      <c r="F48" s="21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0.28888297872340429</v>
      </c>
      <c r="P48" s="10">
        <f ca="1">IFERROR(AVERAGEIFS(INDIRECT("Tabela1["&amp;$D48&amp;"]"),Tabela1[Mês],P$3)/100,"")</f>
        <v>0.27716216216216216</v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37"/>
      <c r="U48" s="10">
        <f ca="1">IFERROR(AVERAGEIFS(INDIRECT("Tabela1["&amp;$D48&amp;"]"),Tabela1[Data],U$3)/100,"")</f>
        <v>0.26124999999999998</v>
      </c>
      <c r="V48" s="10">
        <f ca="1">IFERROR(AVERAGEIFS(INDIRECT("Tabela1["&amp;$D48&amp;"]"),Tabela1[Data],V$3)/100,"")</f>
        <v>0.25</v>
      </c>
      <c r="W48" s="10">
        <f ca="1">IFERROR(AVERAGEIFS(INDIRECT("Tabela1["&amp;$D48&amp;"]"),Tabela1[Data],W$3)/100,"")</f>
        <v>0.22500000000000001</v>
      </c>
      <c r="X48" s="10">
        <f ca="1">IFERROR(AVERAGEIFS(INDIRECT("Tabela1["&amp;$D48&amp;"]"),Tabela1[Data],X$3)/100,"")</f>
        <v>0.27</v>
      </c>
      <c r="Y48" s="10">
        <f ca="1">IFERROR(AVERAGEIFS(INDIRECT("Tabela1["&amp;$D48&amp;"]"),Tabela1[Data],Y$3)/100,"")</f>
        <v>0.24</v>
      </c>
      <c r="Z48" s="10">
        <f ca="1">IFERROR(AVERAGEIFS(INDIRECT("Tabela1["&amp;$D48&amp;"]"),Tabela1[Data],Z$3)/100,"")</f>
        <v>0.33100000000000002</v>
      </c>
      <c r="AA48" s="10">
        <f ca="1">IFERROR(AVERAGEIFS(INDIRECT("Tabela1["&amp;$D48&amp;"]"),Tabela1[Data],AA$3)/100,"")</f>
        <v>0.28499999999999998</v>
      </c>
      <c r="AB48" s="10">
        <f ca="1">IFERROR(AVERAGEIFS(INDIRECT("Tabela1["&amp;$D48&amp;"]"),Tabela1[Data],AB$3)/100,"")</f>
        <v>0.37333333333333335</v>
      </c>
      <c r="AC48" s="10" t="str">
        <f ca="1">IFERROR(AVERAGEIFS(INDIRECT("Tabela1["&amp;$D48&amp;"]"),Tabela1[Data],AC$3)/100,"")</f>
        <v/>
      </c>
      <c r="AD48" s="10" t="str">
        <f ca="1">IFERROR(AVERAGEIFS(INDIRECT("Tabela1["&amp;$D48&amp;"]"),Tabela1[Data],AD$3)/100,"")</f>
        <v/>
      </c>
      <c r="AE48" s="10" t="str">
        <f ca="1">IFERROR(AVERAGEIFS(INDIRECT("Tabela1["&amp;$D48&amp;"]"),Tabela1[Data],AE$3)/100,"")</f>
        <v/>
      </c>
      <c r="AF48" s="10" t="str">
        <f ca="1">IFERROR(AVERAGEIFS(INDIRECT("Tabela1["&amp;$D48&amp;"]"),Tabela1[Data],AF$3)/100,"")</f>
        <v/>
      </c>
      <c r="AG48" s="10" t="str">
        <f ca="1">IFERROR(AVERAGEIFS(INDIRECT("Tabela1["&amp;$D48&amp;"]"),Tabela1[Data],AG$3)/100,"")</f>
        <v/>
      </c>
      <c r="AH48" s="10" t="str">
        <f ca="1">IFERROR(AVERAGEIFS(INDIRECT("Tabela1["&amp;$D48&amp;"]"),Tabela1[Data],AH$3)/100,"")</f>
        <v/>
      </c>
      <c r="AI48" s="10" t="str">
        <f ca="1">IFERROR(AVERAGEIFS(INDIRECT("Tabela1["&amp;$D48&amp;"]"),Tabela1[Data],AI$3)/100,"")</f>
        <v/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2" t="s">
        <v>123</v>
      </c>
      <c r="B49" s="22">
        <f t="shared" si="1"/>
        <v>1</v>
      </c>
      <c r="C49" s="22" t="s">
        <v>123</v>
      </c>
      <c r="D49" s="4" t="str">
        <f>IF(E49=0,#REF!,E49)</f>
        <v>% Carne Refile Peito</v>
      </c>
      <c r="E49" s="32" t="str">
        <f>Coleta!AC1</f>
        <v>% Carne Refile Peito</v>
      </c>
      <c r="F49" s="19">
        <v>1</v>
      </c>
      <c r="G49" s="25">
        <f ca="1">IFERROR(AVERAGEIFS(INDIRECT("Tabela1["&amp;$D49&amp;"]"),Tabela1[Turno],$F49,Tabela1[Mês],G$3)/100,"")</f>
        <v>0.56999999999999995</v>
      </c>
      <c r="H49" s="25">
        <f ca="1">IFERROR(AVERAGEIFS(INDIRECT("Tabela1["&amp;$D49&amp;"]"),Tabela1[Turno],$F49,Tabela1[Mês],H$3)/100,"")</f>
        <v>0.56000000000000005</v>
      </c>
      <c r="I49" s="25">
        <f ca="1">IFERROR(AVERAGEIFS(INDIRECT("Tabela1["&amp;$D49&amp;"]"),Tabela1[Turno],$F49,Tabela1[Mês],I$3)/100,"")</f>
        <v>0.54</v>
      </c>
      <c r="J49" s="25">
        <f ca="1">IFERROR(AVERAGEIFS(INDIRECT("Tabela1["&amp;$D49&amp;"]"),Tabela1[Turno],$F49,Tabela1[Mês],J$3)/100,"")</f>
        <v>0.39</v>
      </c>
      <c r="K49" s="25">
        <f ca="1">IFERROR(AVERAGEIFS(INDIRECT("Tabela1["&amp;$D49&amp;"]"),Tabela1[Turno],$F49,Tabela1[Mês],K$3)/100,"")</f>
        <v>0.39</v>
      </c>
      <c r="L49" s="25">
        <f ca="1">IFERROR(AVERAGEIFS(INDIRECT("Tabela1["&amp;$D49&amp;"]"),Tabela1[Turno],$F49,Tabela1[Mês],L$3)/100,"")</f>
        <v>0.31</v>
      </c>
      <c r="M49" s="25">
        <f ca="1">IFERROR(AVERAGEIFS(INDIRECT("Tabela1["&amp;$D49&amp;"]"),Tabela1[Turno],$F49,Tabela1[Mês],M$3)/100,"")</f>
        <v>0.23</v>
      </c>
      <c r="N49" s="25">
        <f ca="1">IFERROR(AVERAGEIFS(INDIRECT("Tabela1["&amp;$D49&amp;"]"),Tabela1[Turno],$F49,Tabela1[Mês],N$3)/100,"")</f>
        <v>0.29666666666666669</v>
      </c>
      <c r="O49" s="25">
        <f ca="1">IFERROR(AVERAGEIFS(INDIRECT("Tabela1["&amp;$D49&amp;"]"),Tabela1[Turno],$F49,Tabela1[Mês],O$3)/100,"")</f>
        <v>0.26933333333333331</v>
      </c>
      <c r="P49" s="25">
        <f ca="1">IFERROR(AVERAGEIFS(INDIRECT("Tabela1["&amp;$D49&amp;"]"),Tabela1[Turno],$F49,Tabela1[Mês],P$3)/100,"")</f>
        <v>0.34785714285714286</v>
      </c>
      <c r="Q49" s="25" t="str">
        <f ca="1">IFERROR(AVERAGEIFS(INDIRECT("Tabela1["&amp;$D49&amp;"]"),Tabela1[Turno],$F49,Tabela1[Mês],Q$3)/100,"")</f>
        <v/>
      </c>
      <c r="R49" s="26" t="str">
        <f ca="1">IFERROR(AVERAGEIFS(INDIRECT("Tabela1["&amp;$D49&amp;"]"),Tabela1[Turno],$F49,Tabela1[Mês],R$3)/100,"")</f>
        <v/>
      </c>
      <c r="S49" s="38">
        <v>0.15</v>
      </c>
      <c r="U49" s="25">
        <f ca="1">IFERROR(AVERAGEIFS(INDIRECT("Tabela1["&amp;$D49&amp;"]"),Tabela1[Turno],$F49,Tabela1[Data],U$3)/100,"")</f>
        <v>0.3</v>
      </c>
      <c r="V49" s="25">
        <f ca="1">IFERROR(AVERAGEIFS(INDIRECT("Tabela1["&amp;$D49&amp;"]"),Tabela1[Turno],$F49,Tabela1[Data],V$3)/100,"")</f>
        <v>0.185</v>
      </c>
      <c r="W49" s="25" t="str">
        <f ca="1">IFERROR(AVERAGEIFS(INDIRECT("Tabela1["&amp;$D49&amp;"]"),Tabela1[Turno],$F49,Tabela1[Data],W$3)/100,"")</f>
        <v/>
      </c>
      <c r="X49" s="25">
        <f ca="1">IFERROR(AVERAGEIFS(INDIRECT("Tabela1["&amp;$D49&amp;"]"),Tabela1[Turno],$F49,Tabela1[Data],X$3)/100,"")</f>
        <v>0.47499999999999998</v>
      </c>
      <c r="Y49" s="25">
        <f ca="1">IFERROR(AVERAGEIFS(INDIRECT("Tabela1["&amp;$D49&amp;"]"),Tabela1[Turno],$F49,Tabela1[Data],Y$3)/100,"")</f>
        <v>0.41499999999999998</v>
      </c>
      <c r="Z49" s="25">
        <f ca="1">IFERROR(AVERAGEIFS(INDIRECT("Tabela1["&amp;$D49&amp;"]"),Tabela1[Turno],$F49,Tabela1[Data],Z$3)/100,"")</f>
        <v>0.17</v>
      </c>
      <c r="AA49" s="25">
        <f ca="1">IFERROR(AVERAGEIFS(INDIRECT("Tabela1["&amp;$D49&amp;"]"),Tabela1[Turno],$F49,Tabela1[Data],AA$3)/100,"")</f>
        <v>0.47</v>
      </c>
      <c r="AB49" s="25">
        <f ca="1">IFERROR(AVERAGEIFS(INDIRECT("Tabela1["&amp;$D49&amp;"]"),Tabela1[Turno],$F49,Tabela1[Data],AB$3)/100,"")</f>
        <v>0.42</v>
      </c>
      <c r="AC49" s="25" t="str">
        <f ca="1">IFERROR(AVERAGEIFS(INDIRECT("Tabela1["&amp;$D49&amp;"]"),Tabela1[Turno],$F49,Tabela1[Data],AC$3)/100,"")</f>
        <v/>
      </c>
      <c r="AD49" s="25" t="str">
        <f ca="1">IFERROR(AVERAGEIFS(INDIRECT("Tabela1["&amp;$D49&amp;"]"),Tabela1[Turno],$F49,Tabela1[Data],AD$3)/100,"")</f>
        <v/>
      </c>
      <c r="AE49" s="25" t="str">
        <f ca="1">IFERROR(AVERAGEIFS(INDIRECT("Tabela1["&amp;$D49&amp;"]"),Tabela1[Turno],$F49,Tabela1[Data],AE$3)/100,"")</f>
        <v/>
      </c>
      <c r="AF49" s="25" t="str">
        <f ca="1">IFERROR(AVERAGEIFS(INDIRECT("Tabela1["&amp;$D49&amp;"]"),Tabela1[Turno],$F49,Tabela1[Data],AF$3)/100,"")</f>
        <v/>
      </c>
      <c r="AG49" s="25" t="str">
        <f ca="1">IFERROR(AVERAGEIFS(INDIRECT("Tabela1["&amp;$D49&amp;"]"),Tabela1[Turno],$F49,Tabela1[Data],AG$3)/100,"")</f>
        <v/>
      </c>
      <c r="AH49" s="25" t="str">
        <f ca="1">IFERROR(AVERAGEIFS(INDIRECT("Tabela1["&amp;$D49&amp;"]"),Tabela1[Turno],$F49,Tabela1[Data],AH$3)/100,"")</f>
        <v/>
      </c>
      <c r="AI49" s="25" t="str">
        <f ca="1">IFERROR(AVERAGEIFS(INDIRECT("Tabela1["&amp;$D49&amp;"]"),Tabela1[Turno],$F49,Tabela1[Data],AI$3)/100,"")</f>
        <v/>
      </c>
      <c r="AJ49" s="25" t="str">
        <f ca="1">IFERROR(AVERAGEIFS(INDIRECT("Tabela1["&amp;$D49&amp;"]"),Tabela1[Turno],$F49,Tabela1[Data],AJ$3)/100,"")</f>
        <v/>
      </c>
      <c r="AK49" s="25" t="str">
        <f ca="1">IFERROR(AVERAGEIFS(INDIRECT("Tabela1["&amp;$D49&amp;"]"),Tabela1[Turno],$F49,Tabela1[Data],AK$3)/100,"")</f>
        <v/>
      </c>
      <c r="AL49" s="25" t="str">
        <f ca="1">IFERROR(AVERAGEIFS(INDIRECT("Tabela1["&amp;$D49&amp;"]"),Tabela1[Turno],$F49,Tabela1[Data],AL$3)/100,"")</f>
        <v/>
      </c>
      <c r="AM49" s="25" t="str">
        <f ca="1">IFERROR(AVERAGEIFS(INDIRECT("Tabela1["&amp;$D49&amp;"]"),Tabela1[Turno],$F49,Tabela1[Data],AM$3)/100,"")</f>
        <v/>
      </c>
      <c r="AN49" s="25" t="str">
        <f ca="1">IFERROR(AVERAGEIFS(INDIRECT("Tabela1["&amp;$D49&amp;"]"),Tabela1[Turno],$F49,Tabela1[Data],AN$3)/100,"")</f>
        <v/>
      </c>
      <c r="AO49" s="25" t="str">
        <f ca="1">IFERROR(AVERAGEIFS(INDIRECT("Tabela1["&amp;$D49&amp;"]"),Tabela1[Turno],$F49,Tabela1[Data],AO$3)/100,"")</f>
        <v/>
      </c>
      <c r="AP49" s="25" t="str">
        <f ca="1">IFERROR(AVERAGEIFS(INDIRECT("Tabela1["&amp;$D49&amp;"]"),Tabela1[Turno],$F49,Tabela1[Data],AP$3)/100,"")</f>
        <v/>
      </c>
      <c r="AQ49" s="25" t="str">
        <f ca="1">IFERROR(AVERAGEIFS(INDIRECT("Tabela1["&amp;$D49&amp;"]"),Tabela1[Turno],$F49,Tabela1[Data],AQ$3)/100,"")</f>
        <v/>
      </c>
      <c r="AR49" s="25" t="str">
        <f ca="1">IFERROR(AVERAGEIFS(INDIRECT("Tabela1["&amp;$D49&amp;"]"),Tabela1[Turno],$F49,Tabela1[Data],AR$3)/100,"")</f>
        <v/>
      </c>
    </row>
    <row r="50" spans="1:44" x14ac:dyDescent="0.25">
      <c r="A50" s="22" t="s">
        <v>123</v>
      </c>
      <c r="B50" s="22">
        <f t="shared" si="1"/>
        <v>2</v>
      </c>
      <c r="C50" s="22" t="s">
        <v>123</v>
      </c>
      <c r="D50" s="4" t="str">
        <f t="shared" si="2"/>
        <v>% Carne Refile Peito</v>
      </c>
      <c r="E50" s="33"/>
      <c r="F50" s="20">
        <v>2</v>
      </c>
      <c r="G50" s="14">
        <f ca="1">IFERROR(AVERAGEIFS(INDIRECT("Tabela1["&amp;$D50&amp;"]"),Tabela1[Turno],$F50,Tabela1[Mês],G$3)/100,"")</f>
        <v>0.52</v>
      </c>
      <c r="H50" s="14">
        <f ca="1">IFERROR(AVERAGEIFS(INDIRECT("Tabela1["&amp;$D50&amp;"]"),Tabela1[Turno],$F50,Tabela1[Mês],H$3)/100,"")</f>
        <v>0.56000000000000005</v>
      </c>
      <c r="I50" s="14">
        <f ca="1">IFERROR(AVERAGEIFS(INDIRECT("Tabela1["&amp;$D50&amp;"]"),Tabela1[Turno],$F50,Tabela1[Mês],I$3)/100,"")</f>
        <v>0.57999999999999996</v>
      </c>
      <c r="J50" s="14">
        <f ca="1">IFERROR(AVERAGEIFS(INDIRECT("Tabela1["&amp;$D50&amp;"]"),Tabela1[Turno],$F50,Tabela1[Mês],J$3)/100,"")</f>
        <v>0.48</v>
      </c>
      <c r="K50" s="14">
        <f ca="1">IFERROR(AVERAGEIFS(INDIRECT("Tabela1["&amp;$D50&amp;"]"),Tabela1[Turno],$F50,Tabela1[Mês],K$3)/100,"")</f>
        <v>0.43</v>
      </c>
      <c r="L50" s="14">
        <f ca="1">IFERROR(AVERAGEIFS(INDIRECT("Tabela1["&amp;$D50&amp;"]"),Tabela1[Turno],$F50,Tabela1[Mês],L$3)/100,"")</f>
        <v>0.3</v>
      </c>
      <c r="M50" s="14">
        <f ca="1">IFERROR(AVERAGEIFS(INDIRECT("Tabela1["&amp;$D50&amp;"]"),Tabela1[Turno],$F50,Tabela1[Mês],M$3)/100,"")</f>
        <v>0.2</v>
      </c>
      <c r="N50" s="14">
        <f ca="1">IFERROR(AVERAGEIFS(INDIRECT("Tabela1["&amp;$D50&amp;"]"),Tabela1[Turno],$F50,Tabela1[Mês],N$3)/100,"")</f>
        <v>0.22246478873239436</v>
      </c>
      <c r="O50" s="14">
        <f ca="1">IFERROR(AVERAGEIFS(INDIRECT("Tabela1["&amp;$D50&amp;"]"),Tabela1[Turno],$F50,Tabela1[Mês],O$3)/100,"")</f>
        <v>0.20088235294117648</v>
      </c>
      <c r="P50" s="14">
        <f ca="1">IFERROR(AVERAGEIFS(INDIRECT("Tabela1["&amp;$D50&amp;"]"),Tabela1[Turno],$F50,Tabela1[Mês],P$3)/100,"")</f>
        <v>0.25322580645161291</v>
      </c>
      <c r="Q50" s="14" t="str">
        <f ca="1">IFERROR(AVERAGEIFS(INDIRECT("Tabela1["&amp;$D50&amp;"]"),Tabela1[Turno],$F50,Tabela1[Mês],Q$3)/100,"")</f>
        <v/>
      </c>
      <c r="R50" s="15" t="str">
        <f ca="1">IFERROR(AVERAGEIFS(INDIRECT("Tabela1["&amp;$D50&amp;"]"),Tabela1[Turno],$F50,Tabela1[Mês],R$3)/100,"")</f>
        <v/>
      </c>
      <c r="S50" s="36"/>
      <c r="U50" s="14">
        <f ca="1">IFERROR(AVERAGEIFS(INDIRECT("Tabela1["&amp;$D50&amp;"]"),Tabela1[Turno],$F50,Tabela1[Data],U$3)/100,"")</f>
        <v>0.26374999999999998</v>
      </c>
      <c r="V50" s="14">
        <f ca="1">IFERROR(AVERAGEIFS(INDIRECT("Tabela1["&amp;$D50&amp;"]"),Tabela1[Turno],$F50,Tabela1[Data],V$3)/100,"")</f>
        <v>0.28800000000000003</v>
      </c>
      <c r="W50" s="14">
        <f ca="1">IFERROR(AVERAGEIFS(INDIRECT("Tabela1["&amp;$D50&amp;"]"),Tabela1[Turno],$F50,Tabela1[Data],W$3)/100,"")</f>
        <v>0.21333333333333332</v>
      </c>
      <c r="X50" s="14">
        <f ca="1">IFERROR(AVERAGEIFS(INDIRECT("Tabela1["&amp;$D50&amp;"]"),Tabela1[Turno],$F50,Tabela1[Data],X$3)/100,"")</f>
        <v>0.23</v>
      </c>
      <c r="Y50" s="14">
        <f ca="1">IFERROR(AVERAGEIFS(INDIRECT("Tabela1["&amp;$D50&amp;"]"),Tabela1[Turno],$F50,Tabela1[Data],Y$3)/100,"")</f>
        <v>0.20250000000000001</v>
      </c>
      <c r="Z50" s="14">
        <f ca="1">IFERROR(AVERAGEIFS(INDIRECT("Tabela1["&amp;$D50&amp;"]"),Tabela1[Turno],$F50,Tabela1[Data],Z$3)/100,"")</f>
        <v>0.23624999999999999</v>
      </c>
      <c r="AA50" s="14">
        <f ca="1">IFERROR(AVERAGEIFS(INDIRECT("Tabela1["&amp;$D50&amp;"]"),Tabela1[Turno],$F50,Tabela1[Data],AA$3)/100,"")</f>
        <v>0.315</v>
      </c>
      <c r="AB50" s="14">
        <f ca="1">IFERROR(AVERAGEIFS(INDIRECT("Tabela1["&amp;$D50&amp;"]"),Tabela1[Turno],$F50,Tabela1[Data],AB$3)/100,"")</f>
        <v>0.23250000000000001</v>
      </c>
      <c r="AC50" s="14" t="str">
        <f ca="1">IFERROR(AVERAGEIFS(INDIRECT("Tabela1["&amp;$D50&amp;"]"),Tabela1[Turno],$F50,Tabela1[Data],AC$3)/100,"")</f>
        <v/>
      </c>
      <c r="AD50" s="14" t="str">
        <f ca="1">IFERROR(AVERAGEIFS(INDIRECT("Tabela1["&amp;$D50&amp;"]"),Tabela1[Turno],$F50,Tabela1[Data],AD$3)/100,"")</f>
        <v/>
      </c>
      <c r="AE50" s="14" t="str">
        <f ca="1">IFERROR(AVERAGEIFS(INDIRECT("Tabela1["&amp;$D50&amp;"]"),Tabela1[Turno],$F50,Tabela1[Data],AE$3)/100,"")</f>
        <v/>
      </c>
      <c r="AF50" s="14" t="str">
        <f ca="1">IFERROR(AVERAGEIFS(INDIRECT("Tabela1["&amp;$D50&amp;"]"),Tabela1[Turno],$F50,Tabela1[Data],AF$3)/100,"")</f>
        <v/>
      </c>
      <c r="AG50" s="14" t="str">
        <f ca="1">IFERROR(AVERAGEIFS(INDIRECT("Tabela1["&amp;$D50&amp;"]"),Tabela1[Turno],$F50,Tabela1[Data],AG$3)/100,"")</f>
        <v/>
      </c>
      <c r="AH50" s="14" t="str">
        <f ca="1">IFERROR(AVERAGEIFS(INDIRECT("Tabela1["&amp;$D50&amp;"]"),Tabela1[Turno],$F50,Tabela1[Data],AH$3)/100,"")</f>
        <v/>
      </c>
      <c r="AI50" s="14" t="str">
        <f ca="1">IFERROR(AVERAGEIFS(INDIRECT("Tabela1["&amp;$D50&amp;"]"),Tabela1[Turno],$F50,Tabela1[Data],AI$3)/100,"")</f>
        <v/>
      </c>
      <c r="AJ50" s="14" t="str">
        <f ca="1">IFERROR(AVERAGEIFS(INDIRECT("Tabela1["&amp;$D50&amp;"]"),Tabela1[Turno],$F50,Tabela1[Data],AJ$3)/100,"")</f>
        <v/>
      </c>
      <c r="AK50" s="14" t="str">
        <f ca="1">IFERROR(AVERAGEIFS(INDIRECT("Tabela1["&amp;$D50&amp;"]"),Tabela1[Turno],$F50,Tabela1[Data],AK$3)/100,"")</f>
        <v/>
      </c>
      <c r="AL50" s="14" t="str">
        <f ca="1">IFERROR(AVERAGEIFS(INDIRECT("Tabela1["&amp;$D50&amp;"]"),Tabela1[Turno],$F50,Tabela1[Data],AL$3)/100,"")</f>
        <v/>
      </c>
      <c r="AM50" s="14" t="str">
        <f ca="1">IFERROR(AVERAGEIFS(INDIRECT("Tabela1["&amp;$D50&amp;"]"),Tabela1[Turno],$F50,Tabela1[Data],AM$3)/100,"")</f>
        <v/>
      </c>
      <c r="AN50" s="14" t="str">
        <f ca="1">IFERROR(AVERAGEIFS(INDIRECT("Tabela1["&amp;$D50&amp;"]"),Tabela1[Turno],$F50,Tabela1[Data],AN$3)/100,"")</f>
        <v/>
      </c>
      <c r="AO50" s="14" t="str">
        <f ca="1">IFERROR(AVERAGEIFS(INDIRECT("Tabela1["&amp;$D50&amp;"]"),Tabela1[Turno],$F50,Tabela1[Data],AO$3)/100,"")</f>
        <v/>
      </c>
      <c r="AP50" s="14" t="str">
        <f ca="1">IFERROR(AVERAGEIFS(INDIRECT("Tabela1["&amp;$D50&amp;"]"),Tabela1[Turno],$F50,Tabela1[Data],AP$3)/100,"")</f>
        <v/>
      </c>
      <c r="AQ50" s="14" t="str">
        <f ca="1">IFERROR(AVERAGEIFS(INDIRECT("Tabela1["&amp;$D50&amp;"]"),Tabela1[Turno],$F50,Tabela1[Data],AQ$3)/100,"")</f>
        <v/>
      </c>
      <c r="AR50" s="14" t="str">
        <f ca="1">IFERROR(AVERAGEIFS(INDIRECT("Tabela1["&amp;$D50&amp;"]"),Tabela1[Turno],$F50,Tabela1[Data],AR$3)/100,"")</f>
        <v/>
      </c>
    </row>
    <row r="51" spans="1:44" ht="15.75" thickBot="1" x14ac:dyDescent="0.3">
      <c r="A51" s="22" t="s">
        <v>123</v>
      </c>
      <c r="B51" s="22" t="str">
        <f t="shared" si="1"/>
        <v>Unidade</v>
      </c>
      <c r="C51" s="22" t="s">
        <v>123</v>
      </c>
      <c r="D51" s="4" t="str">
        <f t="shared" si="2"/>
        <v>% Carne Refile Peito</v>
      </c>
      <c r="E51" s="34"/>
      <c r="F51" s="21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0.21114999999999998</v>
      </c>
      <c r="P51" s="10">
        <f ca="1">IFERROR(AVERAGEIFS(INDIRECT("Tabela1["&amp;$D51&amp;"]"),Tabela1[Mês],P$3)/100,"")</f>
        <v>0.2706578947368421</v>
      </c>
      <c r="Q51" s="10" t="str">
        <f ca="1">IFERROR(AVERAGEIFS(INDIRECT("Tabela1["&amp;$D51&amp;"]"),Tabela1[Mês],Q$3)/100,"")</f>
        <v/>
      </c>
      <c r="R51" s="16" t="str">
        <f ca="1">IFERROR(AVERAGEIFS(INDIRECT("Tabela1["&amp;$D51&amp;"]"),Tabela1[Mês],R$3)/100,"")</f>
        <v/>
      </c>
      <c r="S51" s="37"/>
      <c r="U51" s="10">
        <f ca="1">IFERROR(AVERAGEIFS(INDIRECT("Tabela1["&amp;$D51&amp;"]"),Tabela1[Data],U$3)/100,"")</f>
        <v>0.27100000000000002</v>
      </c>
      <c r="V51" s="10">
        <f ca="1">IFERROR(AVERAGEIFS(INDIRECT("Tabela1["&amp;$D51&amp;"]"),Tabela1[Data],V$3)/100,"")</f>
        <v>0.27083333333333331</v>
      </c>
      <c r="W51" s="10">
        <f ca="1">IFERROR(AVERAGEIFS(INDIRECT("Tabela1["&amp;$D51&amp;"]"),Tabela1[Data],W$3)/100,"")</f>
        <v>0.21333333333333332</v>
      </c>
      <c r="X51" s="10">
        <f ca="1">IFERROR(AVERAGEIFS(INDIRECT("Tabela1["&amp;$D51&amp;"]"),Tabela1[Data],X$3)/100,"")</f>
        <v>0.27899999999999997</v>
      </c>
      <c r="Y51" s="10">
        <f ca="1">IFERROR(AVERAGEIFS(INDIRECT("Tabela1["&amp;$D51&amp;"]"),Tabela1[Data],Y$3)/100,"")</f>
        <v>0.245</v>
      </c>
      <c r="Z51" s="10">
        <f ca="1">IFERROR(AVERAGEIFS(INDIRECT("Tabela1["&amp;$D51&amp;"]"),Tabela1[Data],Z$3)/100,"")</f>
        <v>0.223</v>
      </c>
      <c r="AA51" s="10">
        <f ca="1">IFERROR(AVERAGEIFS(INDIRECT("Tabela1["&amp;$D51&amp;"]"),Tabela1[Data],AA$3)/100,"")</f>
        <v>0.34083333333333338</v>
      </c>
      <c r="AB51" s="10">
        <f ca="1">IFERROR(AVERAGEIFS(INDIRECT("Tabela1["&amp;$D51&amp;"]"),Tabela1[Data],AB$3)/100,"")</f>
        <v>0.29499999999999998</v>
      </c>
      <c r="AC51" s="10" t="str">
        <f ca="1">IFERROR(AVERAGEIFS(INDIRECT("Tabela1["&amp;$D51&amp;"]"),Tabela1[Data],AC$3)/100,"")</f>
        <v/>
      </c>
      <c r="AD51" s="10" t="str">
        <f ca="1">IFERROR(AVERAGEIFS(INDIRECT("Tabela1["&amp;$D51&amp;"]"),Tabela1[Data],AD$3)/100,"")</f>
        <v/>
      </c>
      <c r="AE51" s="10" t="str">
        <f ca="1">IFERROR(AVERAGEIFS(INDIRECT("Tabela1["&amp;$D51&amp;"]"),Tabela1[Data],AE$3)/100,"")</f>
        <v/>
      </c>
      <c r="AF51" s="10" t="str">
        <f ca="1">IFERROR(AVERAGEIFS(INDIRECT("Tabela1["&amp;$D51&amp;"]"),Tabela1[Data],AF$3)/100,"")</f>
        <v/>
      </c>
      <c r="AG51" s="10" t="str">
        <f ca="1">IFERROR(AVERAGEIFS(INDIRECT("Tabela1["&amp;$D51&amp;"]"),Tabela1[Data],AG$3)/100,"")</f>
        <v/>
      </c>
      <c r="AH51" s="10" t="str">
        <f ca="1">IFERROR(AVERAGEIFS(INDIRECT("Tabela1["&amp;$D51&amp;"]"),Tabela1[Data],AH$3)/100,"")</f>
        <v/>
      </c>
      <c r="AI51" s="10" t="str">
        <f ca="1">IFERROR(AVERAGEIFS(INDIRECT("Tabela1["&amp;$D51&amp;"]"),Tabela1[Data],AI$3)/100,"")</f>
        <v/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2" t="s">
        <v>123</v>
      </c>
      <c r="B52" s="22">
        <f t="shared" si="1"/>
        <v>1</v>
      </c>
      <c r="C52" s="22" t="s">
        <v>123</v>
      </c>
      <c r="D52" s="4" t="str">
        <f t="shared" si="2"/>
        <v>% Peito Limpo na esteira</v>
      </c>
      <c r="E52" s="32" t="str">
        <f>Coleta!AD1</f>
        <v>% Peito Limpo na esteira</v>
      </c>
      <c r="F52" s="19">
        <v>1</v>
      </c>
      <c r="G52" s="25">
        <f ca="1">IFERROR(AVERAGEIFS(INDIRECT("Tabela1["&amp;$D52&amp;"]"),Tabela1[Turno],$F52,Tabela1[Mês],G$3)/100,"")</f>
        <v>0.66</v>
      </c>
      <c r="H52" s="25">
        <f ca="1">IFERROR(AVERAGEIFS(INDIRECT("Tabela1["&amp;$D52&amp;"]"),Tabela1[Turno],$F52,Tabela1[Mês],H$3)/100,"")</f>
        <v>0.73</v>
      </c>
      <c r="I52" s="25">
        <f ca="1">IFERROR(AVERAGEIFS(INDIRECT("Tabela1["&amp;$D52&amp;"]"),Tabela1[Turno],$F52,Tabela1[Mês],I$3)/100,"")</f>
        <v>0.65</v>
      </c>
      <c r="J52" s="25">
        <f ca="1">IFERROR(AVERAGEIFS(INDIRECT("Tabela1["&amp;$D52&amp;"]"),Tabela1[Turno],$F52,Tabela1[Mês],J$3)/100,"")</f>
        <v>0.67</v>
      </c>
      <c r="K52" s="25">
        <f ca="1">IFERROR(AVERAGEIFS(INDIRECT("Tabela1["&amp;$D52&amp;"]"),Tabela1[Turno],$F52,Tabela1[Mês],K$3)/100,"")</f>
        <v>0.69</v>
      </c>
      <c r="L52" s="25">
        <f ca="1">IFERROR(AVERAGEIFS(INDIRECT("Tabela1["&amp;$D52&amp;"]"),Tabela1[Turno],$F52,Tabela1[Mês],L$3)/100,"")</f>
        <v>0.72</v>
      </c>
      <c r="M52" s="25">
        <f ca="1">IFERROR(AVERAGEIFS(INDIRECT("Tabela1["&amp;$D52&amp;"]"),Tabela1[Turno],$F52,Tabela1[Mês],M$3)/100,"")</f>
        <v>0.7</v>
      </c>
      <c r="N52" s="25">
        <f ca="1">IFERROR(AVERAGEIFS(INDIRECT("Tabela1["&amp;$D52&amp;"]"),Tabela1[Turno],$F52,Tabela1[Mês],N$3)/100,"")</f>
        <v>0.47</v>
      </c>
      <c r="O52" s="25">
        <f ca="1">IFERROR(AVERAGEIFS(INDIRECT("Tabela1["&amp;$D52&amp;"]"),Tabela1[Turno],$F52,Tabela1[Mês],O$3)/100,"")</f>
        <v>0.36363636363636365</v>
      </c>
      <c r="P52" s="25">
        <f ca="1">IFERROR(AVERAGEIFS(INDIRECT("Tabela1["&amp;$D52&amp;"]"),Tabela1[Turno],$F52,Tabela1[Mês],P$3)/100,"")</f>
        <v>0.36428571428571432</v>
      </c>
      <c r="Q52" s="25" t="str">
        <f ca="1">IFERROR(AVERAGEIFS(INDIRECT("Tabela1["&amp;$D52&amp;"]"),Tabela1[Turno],$F52,Tabela1[Mês],Q$3)/100,"")</f>
        <v/>
      </c>
      <c r="R52" s="26" t="str">
        <f ca="1">IFERROR(AVERAGEIFS(INDIRECT("Tabela1["&amp;$D52&amp;"]"),Tabela1[Turno],$F52,Tabela1[Mês],R$3)/100,"")</f>
        <v/>
      </c>
      <c r="S52" s="38">
        <v>0.7</v>
      </c>
      <c r="U52" s="25">
        <f ca="1">IFERROR(AVERAGEIFS(INDIRECT("Tabela1["&amp;$D52&amp;"]"),Tabela1[Turno],$F52,Tabela1[Data],U$3)/100,"")</f>
        <v>0.44999999999999996</v>
      </c>
      <c r="V52" s="25">
        <f ca="1">IFERROR(AVERAGEIFS(INDIRECT("Tabela1["&amp;$D52&amp;"]"),Tabela1[Turno],$F52,Tabela1[Data],V$3)/100,"")</f>
        <v>0.3</v>
      </c>
      <c r="W52" s="25" t="str">
        <f ca="1">IFERROR(AVERAGEIFS(INDIRECT("Tabela1["&amp;$D52&amp;"]"),Tabela1[Turno],$F52,Tabela1[Data],W$3)/100,"")</f>
        <v/>
      </c>
      <c r="X52" s="25">
        <f ca="1">IFERROR(AVERAGEIFS(INDIRECT("Tabela1["&amp;$D52&amp;"]"),Tabela1[Turno],$F52,Tabela1[Data],X$3)/100,"")</f>
        <v>0.55000000000000004</v>
      </c>
      <c r="Y52" s="25">
        <f ca="1">IFERROR(AVERAGEIFS(INDIRECT("Tabela1["&amp;$D52&amp;"]"),Tabela1[Turno],$F52,Tabela1[Data],Y$3)/100,"")</f>
        <v>0.35</v>
      </c>
      <c r="Z52" s="25">
        <f ca="1">IFERROR(AVERAGEIFS(INDIRECT("Tabela1["&amp;$D52&amp;"]"),Tabela1[Turno],$F52,Tabela1[Data],Z$3)/100,"")</f>
        <v>0.2</v>
      </c>
      <c r="AA52" s="25">
        <f ca="1">IFERROR(AVERAGEIFS(INDIRECT("Tabela1["&amp;$D52&amp;"]"),Tabela1[Turno],$F52,Tabela1[Data],AA$3)/100,"")</f>
        <v>0.3</v>
      </c>
      <c r="AB52" s="25">
        <f ca="1">IFERROR(AVERAGEIFS(INDIRECT("Tabela1["&amp;$D52&amp;"]"),Tabela1[Turno],$F52,Tabela1[Data],AB$3)/100,"")</f>
        <v>0.4</v>
      </c>
      <c r="AC52" s="25" t="str">
        <f ca="1">IFERROR(AVERAGEIFS(INDIRECT("Tabela1["&amp;$D52&amp;"]"),Tabela1[Turno],$F52,Tabela1[Data],AC$3)/100,"")</f>
        <v/>
      </c>
      <c r="AD52" s="25" t="str">
        <f ca="1">IFERROR(AVERAGEIFS(INDIRECT("Tabela1["&amp;$D52&amp;"]"),Tabela1[Turno],$F52,Tabela1[Data],AD$3)/100,"")</f>
        <v/>
      </c>
      <c r="AE52" s="25" t="str">
        <f ca="1">IFERROR(AVERAGEIFS(INDIRECT("Tabela1["&amp;$D52&amp;"]"),Tabela1[Turno],$F52,Tabela1[Data],AE$3)/100,"")</f>
        <v/>
      </c>
      <c r="AF52" s="25" t="str">
        <f ca="1">IFERROR(AVERAGEIFS(INDIRECT("Tabela1["&amp;$D52&amp;"]"),Tabela1[Turno],$F52,Tabela1[Data],AF$3)/100,"")</f>
        <v/>
      </c>
      <c r="AG52" s="25" t="str">
        <f ca="1">IFERROR(AVERAGEIFS(INDIRECT("Tabela1["&amp;$D52&amp;"]"),Tabela1[Turno],$F52,Tabela1[Data],AG$3)/100,"")</f>
        <v/>
      </c>
      <c r="AH52" s="25" t="str">
        <f ca="1">IFERROR(AVERAGEIFS(INDIRECT("Tabela1["&amp;$D52&amp;"]"),Tabela1[Turno],$F52,Tabela1[Data],AH$3)/100,"")</f>
        <v/>
      </c>
      <c r="AI52" s="25" t="str">
        <f ca="1">IFERROR(AVERAGEIFS(INDIRECT("Tabela1["&amp;$D52&amp;"]"),Tabela1[Turno],$F52,Tabela1[Data],AI$3)/100,"")</f>
        <v/>
      </c>
      <c r="AJ52" s="25" t="str">
        <f ca="1">IFERROR(AVERAGEIFS(INDIRECT("Tabela1["&amp;$D52&amp;"]"),Tabela1[Turno],$F52,Tabela1[Data],AJ$3)/100,"")</f>
        <v/>
      </c>
      <c r="AK52" s="25" t="str">
        <f ca="1">IFERROR(AVERAGEIFS(INDIRECT("Tabela1["&amp;$D52&amp;"]"),Tabela1[Turno],$F52,Tabela1[Data],AK$3)/100,"")</f>
        <v/>
      </c>
      <c r="AL52" s="25" t="str">
        <f ca="1">IFERROR(AVERAGEIFS(INDIRECT("Tabela1["&amp;$D52&amp;"]"),Tabela1[Turno],$F52,Tabela1[Data],AL$3)/100,"")</f>
        <v/>
      </c>
      <c r="AM52" s="25" t="str">
        <f ca="1">IFERROR(AVERAGEIFS(INDIRECT("Tabela1["&amp;$D52&amp;"]"),Tabela1[Turno],$F52,Tabela1[Data],AM$3)/100,"")</f>
        <v/>
      </c>
      <c r="AN52" s="25" t="str">
        <f ca="1">IFERROR(AVERAGEIFS(INDIRECT("Tabela1["&amp;$D52&amp;"]"),Tabela1[Turno],$F52,Tabela1[Data],AN$3)/100,"")</f>
        <v/>
      </c>
      <c r="AO52" s="25" t="str">
        <f ca="1">IFERROR(AVERAGEIFS(INDIRECT("Tabela1["&amp;$D52&amp;"]"),Tabela1[Turno],$F52,Tabela1[Data],AO$3)/100,"")</f>
        <v/>
      </c>
      <c r="AP52" s="25" t="str">
        <f ca="1">IFERROR(AVERAGEIFS(INDIRECT("Tabela1["&amp;$D52&amp;"]"),Tabela1[Turno],$F52,Tabela1[Data],AP$3)/100,"")</f>
        <v/>
      </c>
      <c r="AQ52" s="25" t="str">
        <f ca="1">IFERROR(AVERAGEIFS(INDIRECT("Tabela1["&amp;$D52&amp;"]"),Tabela1[Turno],$F52,Tabela1[Data],AQ$3)/100,"")</f>
        <v/>
      </c>
      <c r="AR52" s="25" t="str">
        <f ca="1">IFERROR(AVERAGEIFS(INDIRECT("Tabela1["&amp;$D52&amp;"]"),Tabela1[Turno],$F52,Tabela1[Data],AR$3)/100,"")</f>
        <v/>
      </c>
    </row>
    <row r="53" spans="1:44" x14ac:dyDescent="0.25">
      <c r="A53" s="22" t="s">
        <v>123</v>
      </c>
      <c r="B53" s="22">
        <f t="shared" si="1"/>
        <v>2</v>
      </c>
      <c r="C53" s="22" t="s">
        <v>123</v>
      </c>
      <c r="D53" s="4" t="str">
        <f t="shared" si="2"/>
        <v>% Peito Limpo na esteira</v>
      </c>
      <c r="E53" s="33"/>
      <c r="F53" s="20">
        <v>2</v>
      </c>
      <c r="G53" s="14">
        <f ca="1">IFERROR(AVERAGEIFS(INDIRECT("Tabela1["&amp;$D53&amp;"]"),Tabela1[Turno],$F53,Tabela1[Mês],G$3)/100,"")</f>
        <v>0.64</v>
      </c>
      <c r="H53" s="14">
        <f ca="1">IFERROR(AVERAGEIFS(INDIRECT("Tabela1["&amp;$D53&amp;"]"),Tabela1[Turno],$F53,Tabela1[Mês],H$3)/100,"")</f>
        <v>0.79</v>
      </c>
      <c r="I53" s="14">
        <f ca="1">IFERROR(AVERAGEIFS(INDIRECT("Tabela1["&amp;$D53&amp;"]"),Tabela1[Turno],$F53,Tabela1[Mês],I$3)/100,"")</f>
        <v>0.68</v>
      </c>
      <c r="J53" s="14">
        <f ca="1">IFERROR(AVERAGEIFS(INDIRECT("Tabela1["&amp;$D53&amp;"]"),Tabela1[Turno],$F53,Tabela1[Mês],J$3)/100,"")</f>
        <v>0.56999999999999995</v>
      </c>
      <c r="K53" s="14">
        <f ca="1">IFERROR(AVERAGEIFS(INDIRECT("Tabela1["&amp;$D53&amp;"]"),Tabela1[Turno],$F53,Tabela1[Mês],K$3)/100,"")</f>
        <v>0.55000000000000004</v>
      </c>
      <c r="L53" s="14">
        <f ca="1">IFERROR(AVERAGEIFS(INDIRECT("Tabela1["&amp;$D53&amp;"]"),Tabela1[Turno],$F53,Tabela1[Mês],L$3)/100,"")</f>
        <v>0.66</v>
      </c>
      <c r="M53" s="14">
        <f ca="1">IFERROR(AVERAGEIFS(INDIRECT("Tabela1["&amp;$D53&amp;"]"),Tabela1[Turno],$F53,Tabela1[Mês],M$3)/100,"")</f>
        <v>0.7</v>
      </c>
      <c r="N53" s="14">
        <f ca="1">IFERROR(AVERAGEIFS(INDIRECT("Tabela1["&amp;$D53&amp;"]"),Tabela1[Turno],$F53,Tabela1[Mês],N$3)/100,"")</f>
        <v>0.75</v>
      </c>
      <c r="O53" s="14">
        <f ca="1">IFERROR(AVERAGEIFS(INDIRECT("Tabela1["&amp;$D53&amp;"]"),Tabela1[Turno],$F53,Tabela1[Mês],O$3)/100,"")</f>
        <v>0.74880952380952381</v>
      </c>
      <c r="P53" s="14">
        <f ca="1">IFERROR(AVERAGEIFS(INDIRECT("Tabela1["&amp;$D53&amp;"]"),Tabela1[Turno],$F53,Tabela1[Mês],P$3)/100,"")</f>
        <v>0.64516129032258063</v>
      </c>
      <c r="Q53" s="14" t="str">
        <f ca="1">IFERROR(AVERAGEIFS(INDIRECT("Tabela1["&amp;$D53&amp;"]"),Tabela1[Turno],$F53,Tabela1[Mês],Q$3)/100,"")</f>
        <v/>
      </c>
      <c r="R53" s="15" t="str">
        <f ca="1">IFERROR(AVERAGEIFS(INDIRECT("Tabela1["&amp;$D53&amp;"]"),Tabela1[Turno],$F53,Tabela1[Mês],R$3)/100,"")</f>
        <v/>
      </c>
      <c r="S53" s="36"/>
      <c r="U53" s="14">
        <f ca="1">IFERROR(AVERAGEIFS(INDIRECT("Tabela1["&amp;$D53&amp;"]"),Tabela1[Turno],$F53,Tabela1[Data],U$3)/100,"")</f>
        <v>0.67500000000000004</v>
      </c>
      <c r="V53" s="14">
        <f ca="1">IFERROR(AVERAGEIFS(INDIRECT("Tabela1["&amp;$D53&amp;"]"),Tabela1[Turno],$F53,Tabela1[Data],V$3)/100,"")</f>
        <v>0.56999999999999995</v>
      </c>
      <c r="W53" s="14">
        <f ca="1">IFERROR(AVERAGEIFS(INDIRECT("Tabela1["&amp;$D53&amp;"]"),Tabela1[Turno],$F53,Tabela1[Data],W$3)/100,"")</f>
        <v>0.65</v>
      </c>
      <c r="X53" s="14">
        <f ca="1">IFERROR(AVERAGEIFS(INDIRECT("Tabela1["&amp;$D53&amp;"]"),Tabela1[Turno],$F53,Tabela1[Data],X$3)/100,"")</f>
        <v>0.63749999999999996</v>
      </c>
      <c r="Y53" s="14">
        <f ca="1">IFERROR(AVERAGEIFS(INDIRECT("Tabela1["&amp;$D53&amp;"]"),Tabela1[Turno],$F53,Tabela1[Data],Y$3)/100,"")</f>
        <v>0.67500000000000004</v>
      </c>
      <c r="Z53" s="14">
        <f ca="1">IFERROR(AVERAGEIFS(INDIRECT("Tabela1["&amp;$D53&amp;"]"),Tabela1[Turno],$F53,Tabela1[Data],Z$3)/100,"")</f>
        <v>0.72499999999999998</v>
      </c>
      <c r="AA53" s="14">
        <f ca="1">IFERROR(AVERAGEIFS(INDIRECT("Tabela1["&amp;$D53&amp;"]"),Tabela1[Turno],$F53,Tabela1[Data],AA$3)/100,"")</f>
        <v>0.65</v>
      </c>
      <c r="AB53" s="14">
        <f ca="1">IFERROR(AVERAGEIFS(INDIRECT("Tabela1["&amp;$D53&amp;"]"),Tabela1[Turno],$F53,Tabela1[Data],AB$3)/100,"")</f>
        <v>0.55000000000000004</v>
      </c>
      <c r="AC53" s="14" t="str">
        <f ca="1">IFERROR(AVERAGEIFS(INDIRECT("Tabela1["&amp;$D53&amp;"]"),Tabela1[Turno],$F53,Tabela1[Data],AC$3)/100,"")</f>
        <v/>
      </c>
      <c r="AD53" s="14" t="str">
        <f ca="1">IFERROR(AVERAGEIFS(INDIRECT("Tabela1["&amp;$D53&amp;"]"),Tabela1[Turno],$F53,Tabela1[Data],AD$3)/100,"")</f>
        <v/>
      </c>
      <c r="AE53" s="14" t="str">
        <f ca="1">IFERROR(AVERAGEIFS(INDIRECT("Tabela1["&amp;$D53&amp;"]"),Tabela1[Turno],$F53,Tabela1[Data],AE$3)/100,"")</f>
        <v/>
      </c>
      <c r="AF53" s="14" t="str">
        <f ca="1">IFERROR(AVERAGEIFS(INDIRECT("Tabela1["&amp;$D53&amp;"]"),Tabela1[Turno],$F53,Tabela1[Data],AF$3)/100,"")</f>
        <v/>
      </c>
      <c r="AG53" s="14" t="str">
        <f ca="1">IFERROR(AVERAGEIFS(INDIRECT("Tabela1["&amp;$D53&amp;"]"),Tabela1[Turno],$F53,Tabela1[Data],AG$3)/100,"")</f>
        <v/>
      </c>
      <c r="AH53" s="14" t="str">
        <f ca="1">IFERROR(AVERAGEIFS(INDIRECT("Tabela1["&amp;$D53&amp;"]"),Tabela1[Turno],$F53,Tabela1[Data],AH$3)/100,"")</f>
        <v/>
      </c>
      <c r="AI53" s="14" t="str">
        <f ca="1">IFERROR(AVERAGEIFS(INDIRECT("Tabela1["&amp;$D53&amp;"]"),Tabela1[Turno],$F53,Tabela1[Data],AI$3)/100,"")</f>
        <v/>
      </c>
      <c r="AJ53" s="14" t="str">
        <f ca="1">IFERROR(AVERAGEIFS(INDIRECT("Tabela1["&amp;$D53&amp;"]"),Tabela1[Turno],$F53,Tabela1[Data],AJ$3)/100,"")</f>
        <v/>
      </c>
      <c r="AK53" s="14" t="str">
        <f ca="1">IFERROR(AVERAGEIFS(INDIRECT("Tabela1["&amp;$D53&amp;"]"),Tabela1[Turno],$F53,Tabela1[Data],AK$3)/100,"")</f>
        <v/>
      </c>
      <c r="AL53" s="14" t="str">
        <f ca="1">IFERROR(AVERAGEIFS(INDIRECT("Tabela1["&amp;$D53&amp;"]"),Tabela1[Turno],$F53,Tabela1[Data],AL$3)/100,"")</f>
        <v/>
      </c>
      <c r="AM53" s="14" t="str">
        <f ca="1">IFERROR(AVERAGEIFS(INDIRECT("Tabela1["&amp;$D53&amp;"]"),Tabela1[Turno],$F53,Tabela1[Data],AM$3)/100,"")</f>
        <v/>
      </c>
      <c r="AN53" s="14" t="str">
        <f ca="1">IFERROR(AVERAGEIFS(INDIRECT("Tabela1["&amp;$D53&amp;"]"),Tabela1[Turno],$F53,Tabela1[Data],AN$3)/100,"")</f>
        <v/>
      </c>
      <c r="AO53" s="14" t="str">
        <f ca="1">IFERROR(AVERAGEIFS(INDIRECT("Tabela1["&amp;$D53&amp;"]"),Tabela1[Turno],$F53,Tabela1[Data],AO$3)/100,"")</f>
        <v/>
      </c>
      <c r="AP53" s="14" t="str">
        <f ca="1">IFERROR(AVERAGEIFS(INDIRECT("Tabela1["&amp;$D53&amp;"]"),Tabela1[Turno],$F53,Tabela1[Data],AP$3)/100,"")</f>
        <v/>
      </c>
      <c r="AQ53" s="14" t="str">
        <f ca="1">IFERROR(AVERAGEIFS(INDIRECT("Tabela1["&amp;$D53&amp;"]"),Tabela1[Turno],$F53,Tabela1[Data],AQ$3)/100,"")</f>
        <v/>
      </c>
      <c r="AR53" s="14" t="str">
        <f ca="1">IFERROR(AVERAGEIFS(INDIRECT("Tabela1["&amp;$D53&amp;"]"),Tabela1[Turno],$F53,Tabela1[Data],AR$3)/100,"")</f>
        <v/>
      </c>
    </row>
    <row r="54" spans="1:44" ht="15.75" thickBot="1" x14ac:dyDescent="0.3">
      <c r="A54" s="22" t="s">
        <v>123</v>
      </c>
      <c r="B54" s="22" t="str">
        <f t="shared" si="1"/>
        <v>Unidade</v>
      </c>
      <c r="C54" s="22" t="s">
        <v>123</v>
      </c>
      <c r="D54" s="4" t="str">
        <f t="shared" si="2"/>
        <v>% Peito Limpo na esteira</v>
      </c>
      <c r="E54" s="34"/>
      <c r="F54" s="21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0.7042105263157894</v>
      </c>
      <c r="P54" s="10">
        <f ca="1">IFERROR(AVERAGEIFS(INDIRECT("Tabela1["&amp;$D54&amp;"]"),Tabela1[Mês],P$3)/100,"")</f>
        <v>0.59342105263157896</v>
      </c>
      <c r="Q54" s="10" t="str">
        <f ca="1">IFERROR(AVERAGEIFS(INDIRECT("Tabela1["&amp;$D54&amp;"]"),Tabela1[Mês],Q$3)/100,"")</f>
        <v/>
      </c>
      <c r="R54" s="16" t="str">
        <f ca="1">IFERROR(AVERAGEIFS(INDIRECT("Tabela1["&amp;$D54&amp;"]"),Tabela1[Mês],R$3)/100,"")</f>
        <v/>
      </c>
      <c r="S54" s="37"/>
      <c r="U54" s="10">
        <f ca="1">IFERROR(AVERAGEIFS(INDIRECT("Tabela1["&amp;$D54&amp;"]"),Tabela1[Data],U$3)/100,"")</f>
        <v>0.63</v>
      </c>
      <c r="V54" s="10">
        <f ca="1">IFERROR(AVERAGEIFS(INDIRECT("Tabela1["&amp;$D54&amp;"]"),Tabela1[Data],V$3)/100,"")</f>
        <v>0.52500000000000002</v>
      </c>
      <c r="W54" s="10">
        <f ca="1">IFERROR(AVERAGEIFS(INDIRECT("Tabela1["&amp;$D54&amp;"]"),Tabela1[Data],W$3)/100,"")</f>
        <v>0.65</v>
      </c>
      <c r="X54" s="10">
        <f ca="1">IFERROR(AVERAGEIFS(INDIRECT("Tabela1["&amp;$D54&amp;"]"),Tabela1[Data],X$3)/100,"")</f>
        <v>0.62</v>
      </c>
      <c r="Y54" s="10">
        <f ca="1">IFERROR(AVERAGEIFS(INDIRECT("Tabela1["&amp;$D54&amp;"]"),Tabela1[Data],Y$3)/100,"")</f>
        <v>0.61</v>
      </c>
      <c r="Z54" s="10">
        <f ca="1">IFERROR(AVERAGEIFS(INDIRECT("Tabela1["&amp;$D54&amp;"]"),Tabela1[Data],Z$3)/100,"")</f>
        <v>0.62</v>
      </c>
      <c r="AA54" s="10">
        <f ca="1">IFERROR(AVERAGEIFS(INDIRECT("Tabela1["&amp;$D54&amp;"]"),Tabela1[Data],AA$3)/100,"")</f>
        <v>0.59166666666666667</v>
      </c>
      <c r="AB54" s="10">
        <f ca="1">IFERROR(AVERAGEIFS(INDIRECT("Tabela1["&amp;$D54&amp;"]"),Tabela1[Data],AB$3)/100,"")</f>
        <v>0.5</v>
      </c>
      <c r="AC54" s="10" t="str">
        <f ca="1">IFERROR(AVERAGEIFS(INDIRECT("Tabela1["&amp;$D54&amp;"]"),Tabela1[Data],AC$3)/100,"")</f>
        <v/>
      </c>
      <c r="AD54" s="10" t="str">
        <f ca="1">IFERROR(AVERAGEIFS(INDIRECT("Tabela1["&amp;$D54&amp;"]"),Tabela1[Data],AD$3)/100,"")</f>
        <v/>
      </c>
      <c r="AE54" s="10" t="str">
        <f ca="1">IFERROR(AVERAGEIFS(INDIRECT("Tabela1["&amp;$D54&amp;"]"),Tabela1[Data],AE$3)/100,"")</f>
        <v/>
      </c>
      <c r="AF54" s="10" t="str">
        <f ca="1">IFERROR(AVERAGEIFS(INDIRECT("Tabela1["&amp;$D54&amp;"]"),Tabela1[Data],AF$3)/100,"")</f>
        <v/>
      </c>
      <c r="AG54" s="10" t="str">
        <f ca="1">IFERROR(AVERAGEIFS(INDIRECT("Tabela1["&amp;$D54&amp;"]"),Tabela1[Data],AG$3)/100,"")</f>
        <v/>
      </c>
      <c r="AH54" s="10" t="str">
        <f ca="1">IFERROR(AVERAGEIFS(INDIRECT("Tabela1["&amp;$D54&amp;"]"),Tabela1[Data],AH$3)/100,"")</f>
        <v/>
      </c>
      <c r="AI54" s="10" t="str">
        <f ca="1">IFERROR(AVERAGEIFS(INDIRECT("Tabela1["&amp;$D54&amp;"]"),Tabela1[Data],AI$3)/100,"")</f>
        <v/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2" t="s">
        <v>124</v>
      </c>
      <c r="B55" s="22">
        <f t="shared" si="1"/>
        <v>1</v>
      </c>
      <c r="C55" s="22" t="s">
        <v>124</v>
      </c>
      <c r="D55" s="4" t="str">
        <f>IF(E55=0,#REF!,E55)</f>
        <v>% Erro de Corte da Porcionadora</v>
      </c>
      <c r="E55" s="32" t="str">
        <f>Coleta!AF1</f>
        <v>% Erro de Corte da Porcionadora</v>
      </c>
      <c r="F55" s="19">
        <v>1</v>
      </c>
      <c r="G55" s="25">
        <f ca="1">IFERROR(AVERAGEIFS(INDIRECT("Tabela1["&amp;$D55&amp;"]"),Tabela1[Turno],$F55,Tabela1[Mês],G$3)/100,"")</f>
        <v>0.05</v>
      </c>
      <c r="H55" s="25">
        <f ca="1">IFERROR(AVERAGEIFS(INDIRECT("Tabela1["&amp;$D55&amp;"]"),Tabela1[Turno],$F55,Tabela1[Mês],H$3)/100,"")</f>
        <v>7.17E-2</v>
      </c>
      <c r="I55" s="25">
        <f ca="1">IFERROR(AVERAGEIFS(INDIRECT("Tabela1["&amp;$D55&amp;"]"),Tabela1[Turno],$F55,Tabela1[Mês],I$3)/100,"")</f>
        <v>0.19</v>
      </c>
      <c r="J55" s="25">
        <f ca="1">IFERROR(AVERAGEIFS(INDIRECT("Tabela1["&amp;$D55&amp;"]"),Tabela1[Turno],$F55,Tabela1[Mês],J$3)/100,"")</f>
        <v>0.21</v>
      </c>
      <c r="K55" s="25">
        <f ca="1">IFERROR(AVERAGEIFS(INDIRECT("Tabela1["&amp;$D55&amp;"]"),Tabela1[Turno],$F55,Tabela1[Mês],K$3)/100,"")</f>
        <v>0.21</v>
      </c>
      <c r="L55" s="25">
        <f ca="1">IFERROR(AVERAGEIFS(INDIRECT("Tabela1["&amp;$D55&amp;"]"),Tabela1[Turno],$F55,Tabela1[Mês],L$3)/100,"")</f>
        <v>0.25</v>
      </c>
      <c r="M55" s="25">
        <f ca="1">IFERROR(AVERAGEIFS(INDIRECT("Tabela1["&amp;$D55&amp;"]"),Tabela1[Turno],$F55,Tabela1[Mês],M$3)/100,"")</f>
        <v>0.16</v>
      </c>
      <c r="N55" s="25">
        <f ca="1">IFERROR(AVERAGEIFS(INDIRECT("Tabela1["&amp;$D55&amp;"]"),Tabela1[Turno],$F55,Tabela1[Mês],N$3)/100,"")</f>
        <v>0.1</v>
      </c>
      <c r="O55" s="25">
        <f ca="1">IFERROR(AVERAGEIFS(INDIRECT("Tabela1["&amp;$D55&amp;"]"),Tabela1[Turno],$F55,Tabela1[Mês],O$3)/100,"")</f>
        <v>5.5555555555555552E-2</v>
      </c>
      <c r="P55" s="25">
        <f ca="1">IFERROR(AVERAGEIFS(INDIRECT("Tabela1["&amp;$D55&amp;"]"),Tabela1[Turno],$F55,Tabela1[Mês],P$3)/100,"")</f>
        <v>7.857142857142857E-2</v>
      </c>
      <c r="Q55" s="25" t="str">
        <f ca="1">IFERROR(AVERAGEIFS(INDIRECT("Tabela1["&amp;$D55&amp;"]"),Tabela1[Turno],$F55,Tabela1[Mês],Q$3)/100,"")</f>
        <v/>
      </c>
      <c r="R55" s="26" t="str">
        <f ca="1">IFERROR(AVERAGEIFS(INDIRECT("Tabela1["&amp;$D55&amp;"]"),Tabela1[Turno],$F55,Tabela1[Mês],R$3)/100,"")</f>
        <v/>
      </c>
      <c r="S55" s="38">
        <v>0.05</v>
      </c>
      <c r="U55" s="25">
        <f ca="1">IFERROR(AVERAGEIFS(INDIRECT("Tabela1["&amp;$D55&amp;"]"),Tabela1[Turno],$F55,Tabela1[Data],U$3)/100,"")</f>
        <v>0.05</v>
      </c>
      <c r="V55" s="25">
        <f ca="1">IFERROR(AVERAGEIFS(INDIRECT("Tabela1["&amp;$D55&amp;"]"),Tabela1[Turno],$F55,Tabela1[Data],V$3)/100,"")</f>
        <v>0.25</v>
      </c>
      <c r="W55" s="25" t="str">
        <f ca="1">IFERROR(AVERAGEIFS(INDIRECT("Tabela1["&amp;$D55&amp;"]"),Tabela1[Turno],$F55,Tabela1[Data],W$3)/100,"")</f>
        <v/>
      </c>
      <c r="X55" s="25">
        <f ca="1">IFERROR(AVERAGEIFS(INDIRECT("Tabela1["&amp;$D55&amp;"]"),Tabela1[Turno],$F55,Tabela1[Data],X$3)/100,"")</f>
        <v>0</v>
      </c>
      <c r="Y55" s="25">
        <f ca="1">IFERROR(AVERAGEIFS(INDIRECT("Tabela1["&amp;$D55&amp;"]"),Tabela1[Turno],$F55,Tabela1[Data],Y$3)/100,"")</f>
        <v>0.1</v>
      </c>
      <c r="Z55" s="25">
        <f ca="1">IFERROR(AVERAGEIFS(INDIRECT("Tabela1["&amp;$D55&amp;"]"),Tabela1[Turno],$F55,Tabela1[Data],Z$3)/100,"")</f>
        <v>0</v>
      </c>
      <c r="AA55" s="25">
        <f ca="1">IFERROR(AVERAGEIFS(INDIRECT("Tabela1["&amp;$D55&amp;"]"),Tabela1[Turno],$F55,Tabela1[Data],AA$3)/100,"")</f>
        <v>0.15</v>
      </c>
      <c r="AB55" s="25">
        <f ca="1">IFERROR(AVERAGEIFS(INDIRECT("Tabela1["&amp;$D55&amp;"]"),Tabela1[Turno],$F55,Tabela1[Data],AB$3)/100,"")</f>
        <v>0</v>
      </c>
      <c r="AC55" s="25" t="str">
        <f ca="1">IFERROR(AVERAGEIFS(INDIRECT("Tabela1["&amp;$D55&amp;"]"),Tabela1[Turno],$F55,Tabela1[Data],AC$3)/100,"")</f>
        <v/>
      </c>
      <c r="AD55" s="25" t="str">
        <f ca="1">IFERROR(AVERAGEIFS(INDIRECT("Tabela1["&amp;$D55&amp;"]"),Tabela1[Turno],$F55,Tabela1[Data],AD$3)/100,"")</f>
        <v/>
      </c>
      <c r="AE55" s="25" t="str">
        <f ca="1">IFERROR(AVERAGEIFS(INDIRECT("Tabela1["&amp;$D55&amp;"]"),Tabela1[Turno],$F55,Tabela1[Data],AE$3)/100,"")</f>
        <v/>
      </c>
      <c r="AF55" s="25" t="str">
        <f ca="1">IFERROR(AVERAGEIFS(INDIRECT("Tabela1["&amp;$D55&amp;"]"),Tabela1[Turno],$F55,Tabela1[Data],AF$3)/100,"")</f>
        <v/>
      </c>
      <c r="AG55" s="25" t="str">
        <f ca="1">IFERROR(AVERAGEIFS(INDIRECT("Tabela1["&amp;$D55&amp;"]"),Tabela1[Turno],$F55,Tabela1[Data],AG$3)/100,"")</f>
        <v/>
      </c>
      <c r="AH55" s="25" t="str">
        <f ca="1">IFERROR(AVERAGEIFS(INDIRECT("Tabela1["&amp;$D55&amp;"]"),Tabela1[Turno],$F55,Tabela1[Data],AH$3)/100,"")</f>
        <v/>
      </c>
      <c r="AI55" s="25" t="str">
        <f ca="1">IFERROR(AVERAGEIFS(INDIRECT("Tabela1["&amp;$D55&amp;"]"),Tabela1[Turno],$F55,Tabela1[Data],AI$3)/100,"")</f>
        <v/>
      </c>
      <c r="AJ55" s="25" t="str">
        <f ca="1">IFERROR(AVERAGEIFS(INDIRECT("Tabela1["&amp;$D55&amp;"]"),Tabela1[Turno],$F55,Tabela1[Data],AJ$3)/100,"")</f>
        <v/>
      </c>
      <c r="AK55" s="25" t="str">
        <f ca="1">IFERROR(AVERAGEIFS(INDIRECT("Tabela1["&amp;$D55&amp;"]"),Tabela1[Turno],$F55,Tabela1[Data],AK$3)/100,"")</f>
        <v/>
      </c>
      <c r="AL55" s="25" t="str">
        <f ca="1">IFERROR(AVERAGEIFS(INDIRECT("Tabela1["&amp;$D55&amp;"]"),Tabela1[Turno],$F55,Tabela1[Data],AL$3)/100,"")</f>
        <v/>
      </c>
      <c r="AM55" s="25" t="str">
        <f ca="1">IFERROR(AVERAGEIFS(INDIRECT("Tabela1["&amp;$D55&amp;"]"),Tabela1[Turno],$F55,Tabela1[Data],AM$3)/100,"")</f>
        <v/>
      </c>
      <c r="AN55" s="25" t="str">
        <f ca="1">IFERROR(AVERAGEIFS(INDIRECT("Tabela1["&amp;$D55&amp;"]"),Tabela1[Turno],$F55,Tabela1[Data],AN$3)/100,"")</f>
        <v/>
      </c>
      <c r="AO55" s="25" t="str">
        <f ca="1">IFERROR(AVERAGEIFS(INDIRECT("Tabela1["&amp;$D55&amp;"]"),Tabela1[Turno],$F55,Tabela1[Data],AO$3)/100,"")</f>
        <v/>
      </c>
      <c r="AP55" s="25" t="str">
        <f ca="1">IFERROR(AVERAGEIFS(INDIRECT("Tabela1["&amp;$D55&amp;"]"),Tabela1[Turno],$F55,Tabela1[Data],AP$3)/100,"")</f>
        <v/>
      </c>
      <c r="AQ55" s="25" t="str">
        <f ca="1">IFERROR(AVERAGEIFS(INDIRECT("Tabela1["&amp;$D55&amp;"]"),Tabela1[Turno],$F55,Tabela1[Data],AQ$3)/100,"")</f>
        <v/>
      </c>
      <c r="AR55" s="25" t="str">
        <f ca="1">IFERROR(AVERAGEIFS(INDIRECT("Tabela1["&amp;$D55&amp;"]"),Tabela1[Turno],$F55,Tabela1[Data],AR$3)/100,"")</f>
        <v/>
      </c>
    </row>
    <row r="56" spans="1:44" x14ac:dyDescent="0.25">
      <c r="A56" s="22" t="s">
        <v>124</v>
      </c>
      <c r="B56" s="22">
        <f t="shared" si="1"/>
        <v>2</v>
      </c>
      <c r="C56" s="22" t="s">
        <v>124</v>
      </c>
      <c r="D56" s="4" t="str">
        <f t="shared" si="2"/>
        <v>% Erro de Corte da Porcionadora</v>
      </c>
      <c r="E56" s="33"/>
      <c r="F56" s="20">
        <v>2</v>
      </c>
      <c r="G56" s="14">
        <f ca="1">IFERROR(AVERAGEIFS(INDIRECT("Tabela1["&amp;$D56&amp;"]"),Tabela1[Turno],$F56,Tabela1[Mês],G$3)/100,"")</f>
        <v>0.08</v>
      </c>
      <c r="H56" s="14">
        <f ca="1">IFERROR(AVERAGEIFS(INDIRECT("Tabela1["&amp;$D56&amp;"]"),Tabela1[Turno],$F56,Tabela1[Mês],H$3)/100,"")</f>
        <v>0.13570000000000002</v>
      </c>
      <c r="I56" s="14">
        <f ca="1">IFERROR(AVERAGEIFS(INDIRECT("Tabela1["&amp;$D56&amp;"]"),Tabela1[Turno],$F56,Tabela1[Mês],I$3)/100,"")</f>
        <v>0.35</v>
      </c>
      <c r="J56" s="14">
        <f ca="1">IFERROR(AVERAGEIFS(INDIRECT("Tabela1["&amp;$D56&amp;"]"),Tabela1[Turno],$F56,Tabela1[Mês],J$3)/100,"")</f>
        <v>0.5</v>
      </c>
      <c r="K56" s="14">
        <f ca="1">IFERROR(AVERAGEIFS(INDIRECT("Tabela1["&amp;$D56&amp;"]"),Tabela1[Turno],$F56,Tabela1[Mês],K$3)/100,"")</f>
        <v>0.46</v>
      </c>
      <c r="L56" s="14">
        <f ca="1">IFERROR(AVERAGEIFS(INDIRECT("Tabela1["&amp;$D56&amp;"]"),Tabela1[Turno],$F56,Tabela1[Mês],L$3)/100,"")</f>
        <v>0.38</v>
      </c>
      <c r="M56" s="14">
        <f ca="1">IFERROR(AVERAGEIFS(INDIRECT("Tabela1["&amp;$D56&amp;"]"),Tabela1[Turno],$F56,Tabela1[Mês],M$3)/100,"")</f>
        <v>0.24</v>
      </c>
      <c r="N56" s="14">
        <f ca="1">IFERROR(AVERAGEIFS(INDIRECT("Tabela1["&amp;$D56&amp;"]"),Tabela1[Turno],$F56,Tabela1[Mês],N$3)/100,"")</f>
        <v>0.27714285714285714</v>
      </c>
      <c r="O56" s="14">
        <f ca="1">IFERROR(AVERAGEIFS(INDIRECT("Tabela1["&amp;$D56&amp;"]"),Tabela1[Turno],$F56,Tabela1[Mês],O$3)/100,"")</f>
        <v>0.27058823529411763</v>
      </c>
      <c r="P56" s="14">
        <f ca="1">IFERROR(AVERAGEIFS(INDIRECT("Tabela1["&amp;$D56&amp;"]"),Tabela1[Turno],$F56,Tabela1[Mês],P$3)/100,"")</f>
        <v>0.18870967741935485</v>
      </c>
      <c r="Q56" s="14" t="str">
        <f ca="1">IFERROR(AVERAGEIFS(INDIRECT("Tabela1["&amp;$D56&amp;"]"),Tabela1[Turno],$F56,Tabela1[Mês],Q$3)/100,"")</f>
        <v/>
      </c>
      <c r="R56" s="15" t="str">
        <f ca="1">IFERROR(AVERAGEIFS(INDIRECT("Tabela1["&amp;$D56&amp;"]"),Tabela1[Turno],$F56,Tabela1[Mês],R$3)/100,"")</f>
        <v/>
      </c>
      <c r="S56" s="36"/>
      <c r="U56" s="14">
        <f ca="1">IFERROR(AVERAGEIFS(INDIRECT("Tabela1["&amp;$D56&amp;"]"),Tabela1[Turno],$F56,Tabela1[Data],U$3)/100,"")</f>
        <v>0.15</v>
      </c>
      <c r="V56" s="14">
        <f ca="1">IFERROR(AVERAGEIFS(INDIRECT("Tabela1["&amp;$D56&amp;"]"),Tabela1[Turno],$F56,Tabela1[Data],V$3)/100,"")</f>
        <v>0.13</v>
      </c>
      <c r="W56" s="14">
        <f ca="1">IFERROR(AVERAGEIFS(INDIRECT("Tabela1["&amp;$D56&amp;"]"),Tabela1[Turno],$F56,Tabela1[Data],W$3)/100,"")</f>
        <v>0.15</v>
      </c>
      <c r="X56" s="14">
        <f ca="1">IFERROR(AVERAGEIFS(INDIRECT("Tabela1["&amp;$D56&amp;"]"),Tabela1[Turno],$F56,Tabela1[Data],X$3)/100,"")</f>
        <v>0.22500000000000001</v>
      </c>
      <c r="Y56" s="14">
        <f ca="1">IFERROR(AVERAGEIFS(INDIRECT("Tabela1["&amp;$D56&amp;"]"),Tabela1[Turno],$F56,Tabela1[Data],Y$3)/100,"")</f>
        <v>0.25</v>
      </c>
      <c r="Z56" s="14">
        <f ca="1">IFERROR(AVERAGEIFS(INDIRECT("Tabela1["&amp;$D56&amp;"]"),Tabela1[Turno],$F56,Tabela1[Data],Z$3)/100,"")</f>
        <v>0.21249999999999999</v>
      </c>
      <c r="AA56" s="14">
        <f ca="1">IFERROR(AVERAGEIFS(INDIRECT("Tabela1["&amp;$D56&amp;"]"),Tabela1[Turno],$F56,Tabela1[Data],AA$3)/100,"")</f>
        <v>0.22</v>
      </c>
      <c r="AB56" s="14">
        <f ca="1">IFERROR(AVERAGEIFS(INDIRECT("Tabela1["&amp;$D56&amp;"]"),Tabela1[Turno],$F56,Tabela1[Data],AB$3)/100,"")</f>
        <v>0.15</v>
      </c>
      <c r="AC56" s="14" t="str">
        <f ca="1">IFERROR(AVERAGEIFS(INDIRECT("Tabela1["&amp;$D56&amp;"]"),Tabela1[Turno],$F56,Tabela1[Data],AC$3)/100,"")</f>
        <v/>
      </c>
      <c r="AD56" s="14" t="str">
        <f ca="1">IFERROR(AVERAGEIFS(INDIRECT("Tabela1["&amp;$D56&amp;"]"),Tabela1[Turno],$F56,Tabela1[Data],AD$3)/100,"")</f>
        <v/>
      </c>
      <c r="AE56" s="14" t="str">
        <f ca="1">IFERROR(AVERAGEIFS(INDIRECT("Tabela1["&amp;$D56&amp;"]"),Tabela1[Turno],$F56,Tabela1[Data],AE$3)/100,"")</f>
        <v/>
      </c>
      <c r="AF56" s="14" t="str">
        <f ca="1">IFERROR(AVERAGEIFS(INDIRECT("Tabela1["&amp;$D56&amp;"]"),Tabela1[Turno],$F56,Tabela1[Data],AF$3)/100,"")</f>
        <v/>
      </c>
      <c r="AG56" s="14" t="str">
        <f ca="1">IFERROR(AVERAGEIFS(INDIRECT("Tabela1["&amp;$D56&amp;"]"),Tabela1[Turno],$F56,Tabela1[Data],AG$3)/100,"")</f>
        <v/>
      </c>
      <c r="AH56" s="14" t="str">
        <f ca="1">IFERROR(AVERAGEIFS(INDIRECT("Tabela1["&amp;$D56&amp;"]"),Tabela1[Turno],$F56,Tabela1[Data],AH$3)/100,"")</f>
        <v/>
      </c>
      <c r="AI56" s="14" t="str">
        <f ca="1">IFERROR(AVERAGEIFS(INDIRECT("Tabela1["&amp;$D56&amp;"]"),Tabela1[Turno],$F56,Tabela1[Data],AI$3)/100,"")</f>
        <v/>
      </c>
      <c r="AJ56" s="14" t="str">
        <f ca="1">IFERROR(AVERAGEIFS(INDIRECT("Tabela1["&amp;$D56&amp;"]"),Tabela1[Turno],$F56,Tabela1[Data],AJ$3)/100,"")</f>
        <v/>
      </c>
      <c r="AK56" s="14" t="str">
        <f ca="1">IFERROR(AVERAGEIFS(INDIRECT("Tabela1["&amp;$D56&amp;"]"),Tabela1[Turno],$F56,Tabela1[Data],AK$3)/100,"")</f>
        <v/>
      </c>
      <c r="AL56" s="14" t="str">
        <f ca="1">IFERROR(AVERAGEIFS(INDIRECT("Tabela1["&amp;$D56&amp;"]"),Tabela1[Turno],$F56,Tabela1[Data],AL$3)/100,"")</f>
        <v/>
      </c>
      <c r="AM56" s="14" t="str">
        <f ca="1">IFERROR(AVERAGEIFS(INDIRECT("Tabela1["&amp;$D56&amp;"]"),Tabela1[Turno],$F56,Tabela1[Data],AM$3)/100,"")</f>
        <v/>
      </c>
      <c r="AN56" s="14" t="str">
        <f ca="1">IFERROR(AVERAGEIFS(INDIRECT("Tabela1["&amp;$D56&amp;"]"),Tabela1[Turno],$F56,Tabela1[Data],AN$3)/100,"")</f>
        <v/>
      </c>
      <c r="AO56" s="14" t="str">
        <f ca="1">IFERROR(AVERAGEIFS(INDIRECT("Tabela1["&amp;$D56&amp;"]"),Tabela1[Turno],$F56,Tabela1[Data],AO$3)/100,"")</f>
        <v/>
      </c>
      <c r="AP56" s="14" t="str">
        <f ca="1">IFERROR(AVERAGEIFS(INDIRECT("Tabela1["&amp;$D56&amp;"]"),Tabela1[Turno],$F56,Tabela1[Data],AP$3)/100,"")</f>
        <v/>
      </c>
      <c r="AQ56" s="14" t="str">
        <f ca="1">IFERROR(AVERAGEIFS(INDIRECT("Tabela1["&amp;$D56&amp;"]"),Tabela1[Turno],$F56,Tabela1[Data],AQ$3)/100,"")</f>
        <v/>
      </c>
      <c r="AR56" s="14" t="str">
        <f ca="1">IFERROR(AVERAGEIFS(INDIRECT("Tabela1["&amp;$D56&amp;"]"),Tabela1[Turno],$F56,Tabela1[Data],AR$3)/100,"")</f>
        <v/>
      </c>
    </row>
    <row r="57" spans="1:44" ht="15.75" thickBot="1" x14ac:dyDescent="0.3">
      <c r="A57" s="22" t="s">
        <v>124</v>
      </c>
      <c r="B57" s="22" t="str">
        <f t="shared" si="1"/>
        <v>Unidade</v>
      </c>
      <c r="C57" s="22" t="s">
        <v>124</v>
      </c>
      <c r="D57" s="4" t="str">
        <f t="shared" ref="D57:D60" si="5">IF(E57=0,D56,E57)</f>
        <v>% Erro de Corte da Porcionadora</v>
      </c>
      <c r="E57" s="34"/>
      <c r="F57" s="21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0.25</v>
      </c>
      <c r="P57" s="10">
        <f ca="1">IFERROR(AVERAGEIFS(INDIRECT("Tabela1["&amp;$D57&amp;"]"),Tabela1[Mês],P$3)/100,"")</f>
        <v>0.16842105263157894</v>
      </c>
      <c r="Q57" s="10" t="str">
        <f ca="1">IFERROR(AVERAGEIFS(INDIRECT("Tabela1["&amp;$D57&amp;"]"),Tabela1[Mês],Q$3)/100,"")</f>
        <v/>
      </c>
      <c r="R57" s="16" t="str">
        <f ca="1">IFERROR(AVERAGEIFS(INDIRECT("Tabela1["&amp;$D57&amp;"]"),Tabela1[Mês],R$3)/100,"")</f>
        <v/>
      </c>
      <c r="S57" s="37"/>
      <c r="U57" s="10">
        <f ca="1">IFERROR(AVERAGEIFS(INDIRECT("Tabela1["&amp;$D57&amp;"]"),Tabela1[Data],U$3)/100,"")</f>
        <v>0.13</v>
      </c>
      <c r="V57" s="10">
        <f ca="1">IFERROR(AVERAGEIFS(INDIRECT("Tabela1["&amp;$D57&amp;"]"),Tabela1[Data],V$3)/100,"")</f>
        <v>0.15</v>
      </c>
      <c r="W57" s="10">
        <f ca="1">IFERROR(AVERAGEIFS(INDIRECT("Tabela1["&amp;$D57&amp;"]"),Tabela1[Data],W$3)/100,"")</f>
        <v>0.15</v>
      </c>
      <c r="X57" s="10">
        <f ca="1">IFERROR(AVERAGEIFS(INDIRECT("Tabela1["&amp;$D57&amp;"]"),Tabela1[Data],X$3)/100,"")</f>
        <v>0.18</v>
      </c>
      <c r="Y57" s="10">
        <f ca="1">IFERROR(AVERAGEIFS(INDIRECT("Tabela1["&amp;$D57&amp;"]"),Tabela1[Data],Y$3)/100,"")</f>
        <v>0.22</v>
      </c>
      <c r="Z57" s="10">
        <f ca="1">IFERROR(AVERAGEIFS(INDIRECT("Tabela1["&amp;$D57&amp;"]"),Tabela1[Data],Z$3)/100,"")</f>
        <v>0.17</v>
      </c>
      <c r="AA57" s="10">
        <f ca="1">IFERROR(AVERAGEIFS(INDIRECT("Tabela1["&amp;$D57&amp;"]"),Tabela1[Data],AA$3)/100,"")</f>
        <v>0.20833333333333331</v>
      </c>
      <c r="AB57" s="10">
        <f ca="1">IFERROR(AVERAGEIFS(INDIRECT("Tabela1["&amp;$D57&amp;"]"),Tabela1[Data],AB$3)/100,"")</f>
        <v>0.1</v>
      </c>
      <c r="AC57" s="10" t="str">
        <f ca="1">IFERROR(AVERAGEIFS(INDIRECT("Tabela1["&amp;$D57&amp;"]"),Tabela1[Data],AC$3)/100,"")</f>
        <v/>
      </c>
      <c r="AD57" s="10" t="str">
        <f ca="1">IFERROR(AVERAGEIFS(INDIRECT("Tabela1["&amp;$D57&amp;"]"),Tabela1[Data],AD$3)/100,"")</f>
        <v/>
      </c>
      <c r="AE57" s="10" t="str">
        <f ca="1">IFERROR(AVERAGEIFS(INDIRECT("Tabela1["&amp;$D57&amp;"]"),Tabela1[Data],AE$3)/100,"")</f>
        <v/>
      </c>
      <c r="AF57" s="10" t="str">
        <f ca="1">IFERROR(AVERAGEIFS(INDIRECT("Tabela1["&amp;$D57&amp;"]"),Tabela1[Data],AF$3)/100,"")</f>
        <v/>
      </c>
      <c r="AG57" s="10" t="str">
        <f ca="1">IFERROR(AVERAGEIFS(INDIRECT("Tabela1["&amp;$D57&amp;"]"),Tabela1[Data],AG$3)/100,"")</f>
        <v/>
      </c>
      <c r="AH57" s="10" t="str">
        <f ca="1">IFERROR(AVERAGEIFS(INDIRECT("Tabela1["&amp;$D57&amp;"]"),Tabela1[Data],AH$3)/100,"")</f>
        <v/>
      </c>
      <c r="AI57" s="10" t="str">
        <f ca="1">IFERROR(AVERAGEIFS(INDIRECT("Tabela1["&amp;$D57&amp;"]"),Tabela1[Data],AI$3)/100,"")</f>
        <v/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2" t="s">
        <v>125</v>
      </c>
      <c r="B58" s="22">
        <f t="shared" si="1"/>
        <v>1</v>
      </c>
      <c r="C58" s="22" t="s">
        <v>125</v>
      </c>
      <c r="D58" s="4" t="str">
        <f t="shared" si="5"/>
        <v>Qualidade Acomodação</v>
      </c>
      <c r="E58" s="32" t="str">
        <f>Coleta!AG1</f>
        <v>Qualidade Acomodação</v>
      </c>
      <c r="F58" s="19">
        <v>1</v>
      </c>
      <c r="G58" s="23" t="str">
        <f ca="1">IFERROR(AVERAGEIFS(INDIRECT("Tabela1["&amp;$D58&amp;"]"),Tabela1[Turno],$F58,Tabela1[Mês],G$3),"")</f>
        <v/>
      </c>
      <c r="H58" s="23" t="str">
        <f ca="1">IFERROR(AVERAGEIFS(INDIRECT("Tabela1["&amp;$D58&amp;"]"),Tabela1[Turno],$F58,Tabela1[Mês],H$3),"")</f>
        <v/>
      </c>
      <c r="I58" s="23" t="str">
        <f ca="1">IFERROR(AVERAGEIFS(INDIRECT("Tabela1["&amp;$D58&amp;"]"),Tabela1[Turno],$F58,Tabela1[Mês],I$3),"")</f>
        <v/>
      </c>
      <c r="J58" s="23" t="str">
        <f ca="1">IFERROR(AVERAGEIFS(INDIRECT("Tabela1["&amp;$D58&amp;"]"),Tabela1[Turno],$F58,Tabela1[Mês],J$3),"")</f>
        <v/>
      </c>
      <c r="K58" s="23" t="str">
        <f ca="1">IFERROR(AVERAGEIFS(INDIRECT("Tabela1["&amp;$D58&amp;"]"),Tabela1[Turno],$F58,Tabela1[Mês],K$3),"")</f>
        <v/>
      </c>
      <c r="L58" s="23" t="str">
        <f ca="1">IFERROR(AVERAGEIFS(INDIRECT("Tabela1["&amp;$D58&amp;"]"),Tabela1[Turno],$F58,Tabela1[Mês],L$3),"")</f>
        <v/>
      </c>
      <c r="M58" s="23" t="str">
        <f ca="1">IFERROR(AVERAGEIFS(INDIRECT("Tabela1["&amp;$D58&amp;"]"),Tabela1[Turno],$F58,Tabela1[Mês],M$3),"")</f>
        <v/>
      </c>
      <c r="N58" s="23" t="str">
        <f ca="1">IFERROR(AVERAGEIFS(INDIRECT("Tabela1["&amp;$D58&amp;"]"),Tabela1[Turno],$F58,Tabela1[Mês],N$3),"")</f>
        <v/>
      </c>
      <c r="O58" s="23" t="str">
        <f ca="1">IFERROR(AVERAGEIFS(INDIRECT("Tabela1["&amp;$D58&amp;"]"),Tabela1[Turno],$F58,Tabela1[Mês],O$3),"")</f>
        <v/>
      </c>
      <c r="P58" s="23" t="str">
        <f ca="1">IFERROR(AVERAGEIFS(INDIRECT("Tabela1["&amp;$D58&amp;"]"),Tabela1[Turno],$F58,Tabela1[Mês],P$3),"")</f>
        <v/>
      </c>
      <c r="Q58" s="23" t="str">
        <f ca="1">IFERROR(AVERAGEIFS(INDIRECT("Tabela1["&amp;$D58&amp;"]"),Tabela1[Turno],$F58,Tabela1[Mês],Q$3),"")</f>
        <v/>
      </c>
      <c r="R58" s="24" t="str">
        <f ca="1">IFERROR(AVERAGEIFS(INDIRECT("Tabela1["&amp;$D58&amp;"]"),Tabela1[Turno],$F58,Tabela1[Mês],R$3),"")</f>
        <v/>
      </c>
      <c r="S58" s="35">
        <v>10</v>
      </c>
      <c r="U58" s="23" t="str">
        <f ca="1">IFERROR(AVERAGEIFS(INDIRECT("Tabela1["&amp;$D58&amp;"]"),Tabela1[Turno],$F58,Tabela1[Data],U$3),"")</f>
        <v/>
      </c>
      <c r="V58" s="23" t="str">
        <f ca="1">IFERROR(AVERAGEIFS(INDIRECT("Tabela1["&amp;$D58&amp;"]"),Tabela1[Turno],$F58,Tabela1[Data],V$3),"")</f>
        <v/>
      </c>
      <c r="W58" s="23" t="str">
        <f ca="1">IFERROR(AVERAGEIFS(INDIRECT("Tabela1["&amp;$D58&amp;"]"),Tabela1[Turno],$F58,Tabela1[Data],W$3),"")</f>
        <v/>
      </c>
      <c r="X58" s="23" t="str">
        <f ca="1">IFERROR(AVERAGEIFS(INDIRECT("Tabela1["&amp;$D58&amp;"]"),Tabela1[Turno],$F58,Tabela1[Data],X$3),"")</f>
        <v/>
      </c>
      <c r="Y58" s="23" t="str">
        <f ca="1">IFERROR(AVERAGEIFS(INDIRECT("Tabela1["&amp;$D58&amp;"]"),Tabela1[Turno],$F58,Tabela1[Data],Y$3),"")</f>
        <v/>
      </c>
      <c r="Z58" s="23" t="str">
        <f ca="1">IFERROR(AVERAGEIFS(INDIRECT("Tabela1["&amp;$D58&amp;"]"),Tabela1[Turno],$F58,Tabela1[Data],Z$3),"")</f>
        <v/>
      </c>
      <c r="AA58" s="23" t="str">
        <f ca="1">IFERROR(AVERAGEIFS(INDIRECT("Tabela1["&amp;$D58&amp;"]"),Tabela1[Turno],$F58,Tabela1[Data],AA$3),"")</f>
        <v/>
      </c>
      <c r="AB58" s="23" t="str">
        <f ca="1">IFERROR(AVERAGEIFS(INDIRECT("Tabela1["&amp;$D58&amp;"]"),Tabela1[Turno],$F58,Tabela1[Data],AB$3),"")</f>
        <v/>
      </c>
      <c r="AC58" s="23" t="str">
        <f ca="1">IFERROR(AVERAGEIFS(INDIRECT("Tabela1["&amp;$D58&amp;"]"),Tabela1[Turno],$F58,Tabela1[Data],AC$3),"")</f>
        <v/>
      </c>
      <c r="AD58" s="23" t="str">
        <f ca="1">IFERROR(AVERAGEIFS(INDIRECT("Tabela1["&amp;$D58&amp;"]"),Tabela1[Turno],$F58,Tabela1[Data],AD$3),"")</f>
        <v/>
      </c>
      <c r="AE58" s="23" t="str">
        <f ca="1">IFERROR(AVERAGEIFS(INDIRECT("Tabela1["&amp;$D58&amp;"]"),Tabela1[Turno],$F58,Tabela1[Data],AE$3),"")</f>
        <v/>
      </c>
      <c r="AF58" s="23" t="str">
        <f ca="1">IFERROR(AVERAGEIFS(INDIRECT("Tabela1["&amp;$D58&amp;"]"),Tabela1[Turno],$F58,Tabela1[Data],AF$3),"")</f>
        <v/>
      </c>
      <c r="AG58" s="23" t="str">
        <f ca="1">IFERROR(AVERAGEIFS(INDIRECT("Tabela1["&amp;$D58&amp;"]"),Tabela1[Turno],$F58,Tabela1[Data],AG$3),"")</f>
        <v/>
      </c>
      <c r="AH58" s="23" t="str">
        <f ca="1">IFERROR(AVERAGEIFS(INDIRECT("Tabela1["&amp;$D58&amp;"]"),Tabela1[Turno],$F58,Tabela1[Data],AH$3),"")</f>
        <v/>
      </c>
      <c r="AI58" s="23" t="str">
        <f ca="1">IFERROR(AVERAGEIFS(INDIRECT("Tabela1["&amp;$D58&amp;"]"),Tabela1[Turno],$F58,Tabela1[Data],AI$3),"")</f>
        <v/>
      </c>
      <c r="AJ58" s="23" t="str">
        <f ca="1">IFERROR(AVERAGEIFS(INDIRECT("Tabela1["&amp;$D58&amp;"]"),Tabela1[Turno],$F58,Tabela1[Data],AJ$3),"")</f>
        <v/>
      </c>
      <c r="AK58" s="23" t="str">
        <f ca="1">IFERROR(AVERAGEIFS(INDIRECT("Tabela1["&amp;$D58&amp;"]"),Tabela1[Turno],$F58,Tabela1[Data],AK$3),"")</f>
        <v/>
      </c>
      <c r="AL58" s="23" t="str">
        <f ca="1">IFERROR(AVERAGEIFS(INDIRECT("Tabela1["&amp;$D58&amp;"]"),Tabela1[Turno],$F58,Tabela1[Data],AL$3),"")</f>
        <v/>
      </c>
      <c r="AM58" s="23" t="str">
        <f ca="1">IFERROR(AVERAGEIFS(INDIRECT("Tabela1["&amp;$D58&amp;"]"),Tabela1[Turno],$F58,Tabela1[Data],AM$3),"")</f>
        <v/>
      </c>
      <c r="AN58" s="23" t="str">
        <f ca="1">IFERROR(AVERAGEIFS(INDIRECT("Tabela1["&amp;$D58&amp;"]"),Tabela1[Turno],$F58,Tabela1[Data],AN$3),"")</f>
        <v/>
      </c>
      <c r="AO58" s="23" t="str">
        <f ca="1">IFERROR(AVERAGEIFS(INDIRECT("Tabela1["&amp;$D58&amp;"]"),Tabela1[Turno],$F58,Tabela1[Data],AO$3),"")</f>
        <v/>
      </c>
      <c r="AP58" s="23" t="str">
        <f ca="1">IFERROR(AVERAGEIFS(INDIRECT("Tabela1["&amp;$D58&amp;"]"),Tabela1[Turno],$F58,Tabela1[Data],AP$3),"")</f>
        <v/>
      </c>
      <c r="AQ58" s="23" t="str">
        <f ca="1">IFERROR(AVERAGEIFS(INDIRECT("Tabela1["&amp;$D58&amp;"]"),Tabela1[Turno],$F58,Tabela1[Data],AQ$3),"")</f>
        <v/>
      </c>
      <c r="AR58" s="23" t="str">
        <f ca="1">IFERROR(AVERAGEIFS(INDIRECT("Tabela1["&amp;$D58&amp;"]"),Tabela1[Turno],$F58,Tabela1[Data],AR$3),"")</f>
        <v/>
      </c>
    </row>
    <row r="59" spans="1:44" x14ac:dyDescent="0.25">
      <c r="A59" s="22" t="s">
        <v>125</v>
      </c>
      <c r="B59" s="22">
        <f t="shared" si="1"/>
        <v>2</v>
      </c>
      <c r="C59" s="22" t="s">
        <v>125</v>
      </c>
      <c r="D59" s="4" t="str">
        <f t="shared" si="5"/>
        <v>Qualidade Acomodação</v>
      </c>
      <c r="E59" s="33"/>
      <c r="F59" s="20">
        <v>2</v>
      </c>
      <c r="G59" s="11" t="str">
        <f ca="1">IFERROR(AVERAGEIFS(INDIRECT("Tabela1["&amp;$D59&amp;"]"),Tabela1[Turno],$F59,Tabela1[Mês],G$3),"")</f>
        <v/>
      </c>
      <c r="H59" s="11" t="str">
        <f ca="1">IFERROR(AVERAGEIFS(INDIRECT("Tabela1["&amp;$D59&amp;"]"),Tabela1[Turno],$F59,Tabela1[Mês],H$3),"")</f>
        <v/>
      </c>
      <c r="I59" s="11" t="str">
        <f ca="1">IFERROR(AVERAGEIFS(INDIRECT("Tabela1["&amp;$D59&amp;"]"),Tabela1[Turno],$F59,Tabela1[Mês],I$3),"")</f>
        <v/>
      </c>
      <c r="J59" s="11" t="str">
        <f ca="1">IFERROR(AVERAGEIFS(INDIRECT("Tabela1["&amp;$D59&amp;"]"),Tabela1[Turno],$F59,Tabela1[Mês],J$3),"")</f>
        <v/>
      </c>
      <c r="K59" s="11" t="str">
        <f ca="1">IFERROR(AVERAGEIFS(INDIRECT("Tabela1["&amp;$D59&amp;"]"),Tabela1[Turno],$F59,Tabela1[Mês],K$3),"")</f>
        <v/>
      </c>
      <c r="L59" s="11" t="str">
        <f ca="1">IFERROR(AVERAGEIFS(INDIRECT("Tabela1["&amp;$D59&amp;"]"),Tabela1[Turno],$F59,Tabela1[Mês],L$3),"")</f>
        <v/>
      </c>
      <c r="M59" s="11" t="str">
        <f ca="1">IFERROR(AVERAGEIFS(INDIRECT("Tabela1["&amp;$D59&amp;"]"),Tabela1[Turno],$F59,Tabela1[Mês],M$3),"")</f>
        <v/>
      </c>
      <c r="N59" s="11">
        <f ca="1">IFERROR(AVERAGEIFS(INDIRECT("Tabela1["&amp;$D59&amp;"]"),Tabela1[Turno],$F59,Tabela1[Mês],N$3),"")</f>
        <v>6.9230769230769234</v>
      </c>
      <c r="O59" s="11">
        <f ca="1">IFERROR(AVERAGEIFS(INDIRECT("Tabela1["&amp;$D59&amp;"]"),Tabela1[Turno],$F59,Tabela1[Mês],O$3),"")</f>
        <v>8.3125</v>
      </c>
      <c r="P59" s="11">
        <f ca="1">IFERROR(AVERAGEIFS(INDIRECT("Tabela1["&amp;$D59&amp;"]"),Tabela1[Turno],$F59,Tabela1[Mês],P$3),"")</f>
        <v>8.7142857142857135</v>
      </c>
      <c r="Q59" s="11" t="str">
        <f ca="1">IFERROR(AVERAGEIFS(INDIRECT("Tabela1["&amp;$D59&amp;"]"),Tabela1[Turno],$F59,Tabela1[Mês],Q$3),"")</f>
        <v/>
      </c>
      <c r="R59" s="12" t="str">
        <f ca="1">IFERROR(AVERAGEIFS(INDIRECT("Tabela1["&amp;$D59&amp;"]"),Tabela1[Turno],$F59,Tabela1[Mês],R$3),"")</f>
        <v/>
      </c>
      <c r="S59" s="36"/>
      <c r="U59" s="11">
        <f ca="1">IFERROR(AVERAGEIFS(INDIRECT("Tabela1["&amp;$D59&amp;"]"),Tabela1[Turno],$F59,Tabela1[Data],U$3),"")</f>
        <v>9</v>
      </c>
      <c r="V59" s="11">
        <f ca="1">IFERROR(AVERAGEIFS(INDIRECT("Tabela1["&amp;$D59&amp;"]"),Tabela1[Turno],$F59,Tabela1[Data],V$3),"")</f>
        <v>9.25</v>
      </c>
      <c r="W59" s="11">
        <f ca="1">IFERROR(AVERAGEIFS(INDIRECT("Tabela1["&amp;$D59&amp;"]"),Tabela1[Turno],$F59,Tabela1[Data],W$3),"")</f>
        <v>8</v>
      </c>
      <c r="X59" s="11">
        <f ca="1">IFERROR(AVERAGEIFS(INDIRECT("Tabela1["&amp;$D59&amp;"]"),Tabela1[Turno],$F59,Tabela1[Data],X$3),"")</f>
        <v>8.5</v>
      </c>
      <c r="Y59" s="11">
        <f ca="1">IFERROR(AVERAGEIFS(INDIRECT("Tabela1["&amp;$D59&amp;"]"),Tabela1[Turno],$F59,Tabela1[Data],Y$3),"")</f>
        <v>8.5</v>
      </c>
      <c r="Z59" s="11">
        <f ca="1">IFERROR(AVERAGEIFS(INDIRECT("Tabela1["&amp;$D59&amp;"]"),Tabela1[Turno],$F59,Tabela1[Data],Z$3),"")</f>
        <v>8.5</v>
      </c>
      <c r="AA59" s="11">
        <f ca="1">IFERROR(AVERAGEIFS(INDIRECT("Tabela1["&amp;$D59&amp;"]"),Tabela1[Turno],$F59,Tabela1[Data],AA$3),"")</f>
        <v>8.5</v>
      </c>
      <c r="AB59" s="11">
        <f ca="1">IFERROR(AVERAGEIFS(INDIRECT("Tabela1["&amp;$D59&amp;"]"),Tabela1[Turno],$F59,Tabela1[Data],AB$3),"")</f>
        <v>10</v>
      </c>
      <c r="AC59" s="11" t="str">
        <f ca="1">IFERROR(AVERAGEIFS(INDIRECT("Tabela1["&amp;$D59&amp;"]"),Tabela1[Turno],$F59,Tabela1[Data],AC$3),"")</f>
        <v/>
      </c>
      <c r="AD59" s="11" t="str">
        <f ca="1">IFERROR(AVERAGEIFS(INDIRECT("Tabela1["&amp;$D59&amp;"]"),Tabela1[Turno],$F59,Tabela1[Data],AD$3),"")</f>
        <v/>
      </c>
      <c r="AE59" s="11" t="str">
        <f ca="1">IFERROR(AVERAGEIFS(INDIRECT("Tabela1["&amp;$D59&amp;"]"),Tabela1[Turno],$F59,Tabela1[Data],AE$3),"")</f>
        <v/>
      </c>
      <c r="AF59" s="11" t="str">
        <f ca="1">IFERROR(AVERAGEIFS(INDIRECT("Tabela1["&amp;$D59&amp;"]"),Tabela1[Turno],$F59,Tabela1[Data],AF$3),"")</f>
        <v/>
      </c>
      <c r="AG59" s="11" t="str">
        <f ca="1">IFERROR(AVERAGEIFS(INDIRECT("Tabela1["&amp;$D59&amp;"]"),Tabela1[Turno],$F59,Tabela1[Data],AG$3),"")</f>
        <v/>
      </c>
      <c r="AH59" s="11" t="str">
        <f ca="1">IFERROR(AVERAGEIFS(INDIRECT("Tabela1["&amp;$D59&amp;"]"),Tabela1[Turno],$F59,Tabela1[Data],AH$3),"")</f>
        <v/>
      </c>
      <c r="AI59" s="11" t="str">
        <f ca="1">IFERROR(AVERAGEIFS(INDIRECT("Tabela1["&amp;$D59&amp;"]"),Tabela1[Turno],$F59,Tabela1[Data],AI$3),"")</f>
        <v/>
      </c>
      <c r="AJ59" s="11" t="str">
        <f ca="1">IFERROR(AVERAGEIFS(INDIRECT("Tabela1["&amp;$D59&amp;"]"),Tabela1[Turno],$F59,Tabela1[Data],AJ$3),"")</f>
        <v/>
      </c>
      <c r="AK59" s="11" t="str">
        <f ca="1">IFERROR(AVERAGEIFS(INDIRECT("Tabela1["&amp;$D59&amp;"]"),Tabela1[Turno],$F59,Tabela1[Data],AK$3),"")</f>
        <v/>
      </c>
      <c r="AL59" s="11" t="str">
        <f ca="1">IFERROR(AVERAGEIFS(INDIRECT("Tabela1["&amp;$D59&amp;"]"),Tabela1[Turno],$F59,Tabela1[Data],AL$3),"")</f>
        <v/>
      </c>
      <c r="AM59" s="11" t="str">
        <f ca="1">IFERROR(AVERAGEIFS(INDIRECT("Tabela1["&amp;$D59&amp;"]"),Tabela1[Turno],$F59,Tabela1[Data],AM$3),"")</f>
        <v/>
      </c>
      <c r="AN59" s="11" t="str">
        <f ca="1">IFERROR(AVERAGEIFS(INDIRECT("Tabela1["&amp;$D59&amp;"]"),Tabela1[Turno],$F59,Tabela1[Data],AN$3),"")</f>
        <v/>
      </c>
      <c r="AO59" s="11" t="str">
        <f ca="1">IFERROR(AVERAGEIFS(INDIRECT("Tabela1["&amp;$D59&amp;"]"),Tabela1[Turno],$F59,Tabela1[Data],AO$3),"")</f>
        <v/>
      </c>
      <c r="AP59" s="11" t="str">
        <f ca="1">IFERROR(AVERAGEIFS(INDIRECT("Tabela1["&amp;$D59&amp;"]"),Tabela1[Turno],$F59,Tabela1[Data],AP$3),"")</f>
        <v/>
      </c>
      <c r="AQ59" s="11" t="str">
        <f ca="1">IFERROR(AVERAGEIFS(INDIRECT("Tabela1["&amp;$D59&amp;"]"),Tabela1[Turno],$F59,Tabela1[Data],AQ$3),"")</f>
        <v/>
      </c>
      <c r="AR59" s="11" t="str">
        <f ca="1">IFERROR(AVERAGEIFS(INDIRECT("Tabela1["&amp;$D59&amp;"]"),Tabela1[Turno],$F59,Tabela1[Data],AR$3),"")</f>
        <v/>
      </c>
    </row>
    <row r="60" spans="1:44" ht="15.75" thickBot="1" x14ac:dyDescent="0.3">
      <c r="A60" s="22" t="s">
        <v>125</v>
      </c>
      <c r="B60" s="22" t="str">
        <f t="shared" si="1"/>
        <v>Unidade</v>
      </c>
      <c r="C60" s="22" t="s">
        <v>125</v>
      </c>
      <c r="D60" s="4" t="str">
        <f t="shared" si="5"/>
        <v>Qualidade Acomodação</v>
      </c>
      <c r="E60" s="34"/>
      <c r="F60" s="21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8.3125</v>
      </c>
      <c r="P60" s="9">
        <f ca="1">IFERROR(AVERAGEIFS(INDIRECT("Tabela1["&amp;$D60&amp;"]"),Tabela1[Mês],P$3),"")</f>
        <v>8.7142857142857135</v>
      </c>
      <c r="Q60" s="9" t="str">
        <f ca="1">IFERROR(AVERAGEIFS(INDIRECT("Tabela1["&amp;$D60&amp;"]"),Tabela1[Mês],Q$3),"")</f>
        <v/>
      </c>
      <c r="R60" s="13" t="str">
        <f ca="1">IFERROR(AVERAGEIFS(INDIRECT("Tabela1["&amp;$D60&amp;"]"),Tabela1[Mês],R$3),"")</f>
        <v/>
      </c>
      <c r="S60" s="37"/>
      <c r="U60" s="9">
        <f ca="1">IFERROR(AVERAGEIFS(INDIRECT("Tabela1["&amp;$D60&amp;"]"),Tabela1[Data],U$3),"")</f>
        <v>9</v>
      </c>
      <c r="V60" s="9">
        <f ca="1">IFERROR(AVERAGEIFS(INDIRECT("Tabela1["&amp;$D60&amp;"]"),Tabela1[Data],V$3),"")</f>
        <v>9.25</v>
      </c>
      <c r="W60" s="9">
        <f ca="1">IFERROR(AVERAGEIFS(INDIRECT("Tabela1["&amp;$D60&amp;"]"),Tabela1[Data],W$3),"")</f>
        <v>8</v>
      </c>
      <c r="X60" s="9">
        <f ca="1">IFERROR(AVERAGEIFS(INDIRECT("Tabela1["&amp;$D60&amp;"]"),Tabela1[Data],X$3),"")</f>
        <v>8.5</v>
      </c>
      <c r="Y60" s="9">
        <f ca="1">IFERROR(AVERAGEIFS(INDIRECT("Tabela1["&amp;$D60&amp;"]"),Tabela1[Data],Y$3),"")</f>
        <v>8.5</v>
      </c>
      <c r="Z60" s="9">
        <f ca="1">IFERROR(AVERAGEIFS(INDIRECT("Tabela1["&amp;$D60&amp;"]"),Tabela1[Data],Z$3),"")</f>
        <v>8.5</v>
      </c>
      <c r="AA60" s="9">
        <f ca="1">IFERROR(AVERAGEIFS(INDIRECT("Tabela1["&amp;$D60&amp;"]"),Tabela1[Data],AA$3),"")</f>
        <v>8.5</v>
      </c>
      <c r="AB60" s="9">
        <f ca="1">IFERROR(AVERAGEIFS(INDIRECT("Tabela1["&amp;$D60&amp;"]"),Tabela1[Data],AB$3),"")</f>
        <v>10</v>
      </c>
      <c r="AC60" s="9" t="str">
        <f ca="1">IFERROR(AVERAGEIFS(INDIRECT("Tabela1["&amp;$D60&amp;"]"),Tabela1[Data],AC$3),"")</f>
        <v/>
      </c>
      <c r="AD60" s="9" t="str">
        <f ca="1">IFERROR(AVERAGEIFS(INDIRECT("Tabela1["&amp;$D60&amp;"]"),Tabela1[Data],AD$3),"")</f>
        <v/>
      </c>
      <c r="AE60" s="9" t="str">
        <f ca="1">IFERROR(AVERAGEIFS(INDIRECT("Tabela1["&amp;$D60&amp;"]"),Tabela1[Data],AE$3),"")</f>
        <v/>
      </c>
      <c r="AF60" s="9" t="str">
        <f ca="1">IFERROR(AVERAGEIFS(INDIRECT("Tabela1["&amp;$D60&amp;"]"),Tabela1[Data],AF$3),"")</f>
        <v/>
      </c>
      <c r="AG60" s="9" t="str">
        <f ca="1">IFERROR(AVERAGEIFS(INDIRECT("Tabela1["&amp;$D60&amp;"]"),Tabela1[Data],AG$3),"")</f>
        <v/>
      </c>
      <c r="AH60" s="9" t="str">
        <f ca="1">IFERROR(AVERAGEIFS(INDIRECT("Tabela1["&amp;$D60&amp;"]"),Tabela1[Data],AH$3),"")</f>
        <v/>
      </c>
      <c r="AI60" s="9" t="str">
        <f ca="1">IFERROR(AVERAGEIFS(INDIRECT("Tabela1["&amp;$D60&amp;"]"),Tabela1[Data],AI$3),"")</f>
        <v/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29"/>
    </row>
    <row r="70" spans="12:15" x14ac:dyDescent="0.25">
      <c r="L70" s="29"/>
      <c r="O70" s="29"/>
    </row>
    <row r="71" spans="12:15" x14ac:dyDescent="0.25">
      <c r="L71" s="29"/>
      <c r="O71" s="29"/>
    </row>
    <row r="72" spans="12:15" x14ac:dyDescent="0.25">
      <c r="L72" s="29"/>
      <c r="O72" s="29"/>
    </row>
    <row r="74" spans="12:15" x14ac:dyDescent="0.25">
      <c r="L74" s="28"/>
      <c r="O74" s="29"/>
    </row>
    <row r="117" spans="21:28" x14ac:dyDescent="0.25">
      <c r="U117" s="39" t="s">
        <v>155</v>
      </c>
    </row>
    <row r="118" spans="21:28" x14ac:dyDescent="0.25">
      <c r="U118" s="22" t="s">
        <v>562</v>
      </c>
      <c r="V118" s="22" t="s">
        <v>584</v>
      </c>
      <c r="W118" s="22" t="s">
        <v>575</v>
      </c>
      <c r="X118" s="22" t="s">
        <v>607</v>
      </c>
      <c r="Y118" s="22" t="s">
        <v>595</v>
      </c>
      <c r="Z118" s="22" t="s">
        <v>630</v>
      </c>
      <c r="AA118" s="22" t="s">
        <v>618</v>
      </c>
      <c r="AB118" s="22" t="s">
        <v>641</v>
      </c>
    </row>
  </sheetData>
  <mergeCells count="38"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E46:E48"/>
    <mergeCell ref="E19:E21"/>
    <mergeCell ref="E16:E18"/>
    <mergeCell ref="E22:E24"/>
    <mergeCell ref="E25:E27"/>
    <mergeCell ref="E28:E30"/>
    <mergeCell ref="E43:E45"/>
    <mergeCell ref="E4:E6"/>
    <mergeCell ref="E7:E9"/>
    <mergeCell ref="E10:E12"/>
    <mergeCell ref="E13:E15"/>
    <mergeCell ref="E40:E42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32"/>
  <sheetViews>
    <sheetView topLeftCell="R1" workbookViewId="0">
      <selection activeCell="Z18" sqref="Z18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483</v>
      </c>
      <c r="O1" t="s">
        <v>484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0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0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0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0" t="s">
        <v>423</v>
      </c>
      <c r="C140" s="1" t="s">
        <v>424</v>
      </c>
      <c r="D140" s="1" t="s">
        <v>425</v>
      </c>
      <c r="E140" t="s">
        <v>18</v>
      </c>
      <c r="F140" s="2" t="s">
        <v>426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427</v>
      </c>
      <c r="C141" s="1" t="s">
        <v>428</v>
      </c>
      <c r="D141" s="1" t="s">
        <v>429</v>
      </c>
      <c r="E141" t="s">
        <v>18</v>
      </c>
      <c r="F141" s="2" t="s">
        <v>426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430</v>
      </c>
      <c r="C142" s="1" t="s">
        <v>431</v>
      </c>
      <c r="D142" s="1" t="s">
        <v>429</v>
      </c>
      <c r="E142" t="s">
        <v>18</v>
      </c>
      <c r="F142" s="2" t="s">
        <v>426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432</v>
      </c>
      <c r="C143" s="1" t="s">
        <v>433</v>
      </c>
      <c r="D143" s="1" t="s">
        <v>434</v>
      </c>
      <c r="E143" t="s">
        <v>18</v>
      </c>
      <c r="F143" s="2" t="s">
        <v>426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0" t="s">
        <v>435</v>
      </c>
      <c r="C148" s="1" t="s">
        <v>436</v>
      </c>
      <c r="D148" s="1" t="s">
        <v>437</v>
      </c>
      <c r="E148" t="s">
        <v>18</v>
      </c>
      <c r="F148" s="2" t="s">
        <v>438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439</v>
      </c>
      <c r="C149" s="1" t="s">
        <v>440</v>
      </c>
      <c r="D149" s="1" t="s">
        <v>437</v>
      </c>
      <c r="E149" t="s">
        <v>18</v>
      </c>
      <c r="F149" s="2" t="s">
        <v>438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441</v>
      </c>
      <c r="C150" s="1" t="s">
        <v>442</v>
      </c>
      <c r="D150" s="1" t="s">
        <v>443</v>
      </c>
      <c r="E150" t="s">
        <v>18</v>
      </c>
      <c r="F150" s="2" t="s">
        <v>438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444</v>
      </c>
      <c r="C151" s="1" t="s">
        <v>445</v>
      </c>
      <c r="D151" s="1" t="s">
        <v>443</v>
      </c>
      <c r="E151" t="s">
        <v>18</v>
      </c>
      <c r="F151" s="2" t="s">
        <v>438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446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447</v>
      </c>
      <c r="C152" s="1" t="s">
        <v>448</v>
      </c>
      <c r="D152" s="1" t="s">
        <v>449</v>
      </c>
      <c r="E152" t="s">
        <v>18</v>
      </c>
      <c r="F152" s="2" t="s">
        <v>450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451</v>
      </c>
      <c r="C153" s="1" t="s">
        <v>452</v>
      </c>
      <c r="D153" s="1" t="s">
        <v>449</v>
      </c>
      <c r="E153" t="s">
        <v>18</v>
      </c>
      <c r="F153" s="2" t="s">
        <v>450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453</v>
      </c>
      <c r="C154" s="1" t="s">
        <v>454</v>
      </c>
      <c r="D154" s="1" t="s">
        <v>455</v>
      </c>
      <c r="E154" t="s">
        <v>18</v>
      </c>
      <c r="F154" s="2" t="s">
        <v>450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456</v>
      </c>
      <c r="C155" s="1" t="s">
        <v>457</v>
      </c>
      <c r="D155" s="1" t="s">
        <v>455</v>
      </c>
      <c r="E155" t="s">
        <v>18</v>
      </c>
      <c r="F155" s="2" t="s">
        <v>450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0" t="s">
        <v>458</v>
      </c>
      <c r="C156" s="1" t="s">
        <v>459</v>
      </c>
      <c r="D156" s="1" t="s">
        <v>460</v>
      </c>
      <c r="E156" t="s">
        <v>18</v>
      </c>
      <c r="F156" s="2" t="s">
        <v>461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462</v>
      </c>
      <c r="C157" s="1" t="s">
        <v>463</v>
      </c>
      <c r="D157" s="1" t="s">
        <v>464</v>
      </c>
      <c r="E157" t="s">
        <v>18</v>
      </c>
      <c r="F157" s="2" t="s">
        <v>461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465</v>
      </c>
      <c r="C158" s="1" t="s">
        <v>466</v>
      </c>
      <c r="D158" s="1" t="s">
        <v>464</v>
      </c>
      <c r="E158" t="s">
        <v>18</v>
      </c>
      <c r="F158" s="2" t="s">
        <v>461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467</v>
      </c>
      <c r="C159" s="1" t="s">
        <v>468</v>
      </c>
      <c r="D159" s="1" t="s">
        <v>469</v>
      </c>
      <c r="E159" t="s">
        <v>18</v>
      </c>
      <c r="F159" s="2" t="s">
        <v>461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0" t="s">
        <v>470</v>
      </c>
      <c r="C160" s="1" t="s">
        <v>471</v>
      </c>
      <c r="D160" s="1" t="s">
        <v>472</v>
      </c>
      <c r="E160" t="s">
        <v>18</v>
      </c>
      <c r="F160" s="2" t="s">
        <v>473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474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475</v>
      </c>
      <c r="C161" s="1" t="s">
        <v>476</v>
      </c>
      <c r="D161" s="1" t="s">
        <v>477</v>
      </c>
      <c r="E161" t="s">
        <v>18</v>
      </c>
      <c r="F161" s="2" t="s">
        <v>473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478</v>
      </c>
      <c r="C162" s="1" t="s">
        <v>479</v>
      </c>
      <c r="D162" s="1" t="s">
        <v>477</v>
      </c>
      <c r="E162" t="s">
        <v>18</v>
      </c>
      <c r="F162" s="2" t="s">
        <v>473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480</v>
      </c>
      <c r="C163" s="1" t="s">
        <v>481</v>
      </c>
      <c r="D163" s="1" t="s">
        <v>482</v>
      </c>
      <c r="E163" t="s">
        <v>18</v>
      </c>
      <c r="F163" s="2" t="s">
        <v>473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0" t="s">
        <v>485</v>
      </c>
      <c r="C164" s="1" t="s">
        <v>486</v>
      </c>
      <c r="D164" s="1" t="s">
        <v>487</v>
      </c>
      <c r="E164" t="s">
        <v>18</v>
      </c>
      <c r="F164" s="2" t="s">
        <v>488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489</v>
      </c>
      <c r="C165" s="1" t="s">
        <v>490</v>
      </c>
      <c r="D165" s="1" t="s">
        <v>491</v>
      </c>
      <c r="E165" t="s">
        <v>18</v>
      </c>
      <c r="F165" s="2" t="s">
        <v>488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492</v>
      </c>
      <c r="C166" s="1" t="s">
        <v>493</v>
      </c>
      <c r="D166" s="1" t="s">
        <v>491</v>
      </c>
      <c r="E166" t="s">
        <v>18</v>
      </c>
      <c r="F166" s="2" t="s">
        <v>488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494</v>
      </c>
      <c r="C167" s="1" t="s">
        <v>495</v>
      </c>
      <c r="D167" s="1" t="s">
        <v>496</v>
      </c>
      <c r="E167" t="s">
        <v>18</v>
      </c>
      <c r="F167" s="2" t="s">
        <v>488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497</v>
      </c>
      <c r="C168" s="1" t="s">
        <v>498</v>
      </c>
      <c r="D168" s="1" t="s">
        <v>499</v>
      </c>
      <c r="E168" t="s">
        <v>299</v>
      </c>
      <c r="F168" s="2" t="s">
        <v>488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500</v>
      </c>
      <c r="C169" s="1" t="s">
        <v>501</v>
      </c>
      <c r="D169" s="1" t="s">
        <v>502</v>
      </c>
      <c r="E169" t="s">
        <v>299</v>
      </c>
      <c r="F169" s="2" t="s">
        <v>473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503</v>
      </c>
      <c r="C170" s="1" t="s">
        <v>504</v>
      </c>
      <c r="D170" s="1" t="s">
        <v>505</v>
      </c>
      <c r="E170" t="s">
        <v>299</v>
      </c>
      <c r="F170" s="2" t="s">
        <v>461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506</v>
      </c>
      <c r="C171" s="1" t="s">
        <v>507</v>
      </c>
      <c r="D171" s="1" t="s">
        <v>508</v>
      </c>
      <c r="E171" t="s">
        <v>299</v>
      </c>
      <c r="F171" s="2" t="s">
        <v>450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509</v>
      </c>
      <c r="C172" s="1" t="s">
        <v>510</v>
      </c>
      <c r="D172" s="1" t="s">
        <v>511</v>
      </c>
      <c r="E172" t="s">
        <v>299</v>
      </c>
      <c r="F172" s="2" t="s">
        <v>426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  <row r="173" spans="1:38" x14ac:dyDescent="0.25">
      <c r="A173" s="3" t="str">
        <f>UPPER(TEXT(Tabela1[[#This Row],[Data]],"MMM"))</f>
        <v>SET</v>
      </c>
      <c r="B173" s="30" t="s">
        <v>512</v>
      </c>
      <c r="C173" s="1" t="s">
        <v>513</v>
      </c>
      <c r="D173" s="1" t="s">
        <v>514</v>
      </c>
      <c r="E173" t="s">
        <v>18</v>
      </c>
      <c r="F173" s="2" t="s">
        <v>515</v>
      </c>
      <c r="G173" s="3">
        <v>2</v>
      </c>
      <c r="H173" s="3" t="s">
        <v>28</v>
      </c>
      <c r="I173" s="3">
        <v>7</v>
      </c>
      <c r="J173" s="3">
        <v>7</v>
      </c>
      <c r="K173" s="3">
        <v>5</v>
      </c>
      <c r="L173">
        <v>37</v>
      </c>
      <c r="M173">
        <v>75</v>
      </c>
      <c r="N173">
        <v>63</v>
      </c>
      <c r="O173">
        <v>25</v>
      </c>
      <c r="P173" s="3">
        <v>7</v>
      </c>
      <c r="Q173" s="3">
        <v>7</v>
      </c>
      <c r="R173" s="3">
        <v>7</v>
      </c>
      <c r="S173" s="3">
        <v>7</v>
      </c>
      <c r="T173" s="3">
        <v>7</v>
      </c>
      <c r="U173" s="3">
        <v>5</v>
      </c>
      <c r="V173" t="s">
        <v>169</v>
      </c>
      <c r="W173" s="3" t="s">
        <v>28</v>
      </c>
      <c r="X173" s="3" t="s">
        <v>28</v>
      </c>
      <c r="Y173" t="s">
        <v>28</v>
      </c>
      <c r="Z173" t="s">
        <v>28</v>
      </c>
      <c r="AA173">
        <v>55</v>
      </c>
      <c r="AB173">
        <v>5</v>
      </c>
      <c r="AC173">
        <v>27.500000000000004</v>
      </c>
      <c r="AD173">
        <v>75</v>
      </c>
      <c r="AE173">
        <v>4</v>
      </c>
      <c r="AF173">
        <v>20</v>
      </c>
      <c r="AG173" s="3">
        <v>5</v>
      </c>
      <c r="AH173" s="3">
        <v>40762</v>
      </c>
      <c r="AI173" t="s">
        <v>516</v>
      </c>
      <c r="AJ173" t="s">
        <v>22</v>
      </c>
      <c r="AK173" t="s">
        <v>22</v>
      </c>
      <c r="AL173">
        <v>6547</v>
      </c>
    </row>
    <row r="174" spans="1:38" x14ac:dyDescent="0.25">
      <c r="A174" s="3" t="str">
        <f>UPPER(TEXT(Tabela1[[#This Row],[Data]],"MMM"))</f>
        <v>SET</v>
      </c>
      <c r="B174" t="s">
        <v>517</v>
      </c>
      <c r="C174" s="1" t="s">
        <v>518</v>
      </c>
      <c r="D174" s="1" t="s">
        <v>514</v>
      </c>
      <c r="E174" t="s">
        <v>18</v>
      </c>
      <c r="F174" s="2" t="s">
        <v>515</v>
      </c>
      <c r="G174" s="3">
        <v>2</v>
      </c>
      <c r="H174" s="3" t="s">
        <v>28</v>
      </c>
      <c r="I174" s="3">
        <v>7</v>
      </c>
      <c r="J174" s="3">
        <v>5</v>
      </c>
      <c r="K174" s="3">
        <v>5</v>
      </c>
      <c r="L174">
        <v>27</v>
      </c>
      <c r="M174">
        <v>53</v>
      </c>
      <c r="N174">
        <v>73</v>
      </c>
      <c r="O174">
        <v>47</v>
      </c>
      <c r="P174" s="3">
        <v>7</v>
      </c>
      <c r="Q174" s="3">
        <v>7</v>
      </c>
      <c r="R174" s="3">
        <v>7</v>
      </c>
      <c r="S174" s="3">
        <v>7</v>
      </c>
      <c r="T174" s="3">
        <v>7</v>
      </c>
      <c r="U174" s="3">
        <v>7</v>
      </c>
      <c r="V174" t="s">
        <v>169</v>
      </c>
      <c r="W174" s="3" t="s">
        <v>28</v>
      </c>
      <c r="X174" s="3" t="s">
        <v>28</v>
      </c>
      <c r="Y174" t="s">
        <v>28</v>
      </c>
      <c r="Z174" t="s">
        <v>28</v>
      </c>
      <c r="AA174">
        <v>47</v>
      </c>
      <c r="AB174">
        <v>4</v>
      </c>
      <c r="AC174">
        <v>23.5</v>
      </c>
      <c r="AD174">
        <v>80</v>
      </c>
      <c r="AE174">
        <v>5</v>
      </c>
      <c r="AF174">
        <v>25</v>
      </c>
      <c r="AG174" s="3">
        <v>10</v>
      </c>
      <c r="AH174" s="3">
        <v>992093</v>
      </c>
      <c r="AI174" t="s">
        <v>63</v>
      </c>
      <c r="AJ174" t="s">
        <v>22</v>
      </c>
      <c r="AK174" t="s">
        <v>22</v>
      </c>
      <c r="AL174">
        <v>2678</v>
      </c>
    </row>
    <row r="175" spans="1:38" x14ac:dyDescent="0.25">
      <c r="A175" s="3" t="str">
        <f>UPPER(TEXT(Tabela1[[#This Row],[Data]],"MMM"))</f>
        <v>SET</v>
      </c>
      <c r="B175" t="s">
        <v>519</v>
      </c>
      <c r="C175" s="1" t="s">
        <v>520</v>
      </c>
      <c r="D175" s="1" t="s">
        <v>514</v>
      </c>
      <c r="E175" t="s">
        <v>18</v>
      </c>
      <c r="F175" s="2" t="s">
        <v>515</v>
      </c>
      <c r="G175" s="3">
        <v>2</v>
      </c>
      <c r="H175" s="3">
        <v>7</v>
      </c>
      <c r="I175" s="3">
        <v>7</v>
      </c>
      <c r="J175" s="3">
        <v>7</v>
      </c>
      <c r="K175" s="3">
        <v>5</v>
      </c>
      <c r="L175">
        <v>19</v>
      </c>
      <c r="M175">
        <v>52</v>
      </c>
      <c r="N175">
        <v>81</v>
      </c>
      <c r="O175">
        <v>48</v>
      </c>
      <c r="P175" s="3">
        <v>5</v>
      </c>
      <c r="Q175" s="3">
        <v>7</v>
      </c>
      <c r="R175" s="3">
        <v>7</v>
      </c>
      <c r="S175" s="3">
        <v>7</v>
      </c>
      <c r="T175" s="3">
        <v>7</v>
      </c>
      <c r="U175" s="3">
        <v>5</v>
      </c>
      <c r="V175" t="s">
        <v>521</v>
      </c>
      <c r="W175" s="3" t="s">
        <v>28</v>
      </c>
      <c r="X175" s="3" t="s">
        <v>28</v>
      </c>
      <c r="Y175" t="s">
        <v>28</v>
      </c>
      <c r="Z175" t="s">
        <v>28</v>
      </c>
      <c r="AA175">
        <v>46</v>
      </c>
      <c r="AB175">
        <v>4</v>
      </c>
      <c r="AC175">
        <v>23</v>
      </c>
      <c r="AD175">
        <v>80</v>
      </c>
      <c r="AE175">
        <v>4</v>
      </c>
      <c r="AF175">
        <v>20</v>
      </c>
      <c r="AG175" s="3">
        <v>10</v>
      </c>
      <c r="AH175" s="3">
        <v>15105</v>
      </c>
      <c r="AI175" t="s">
        <v>63</v>
      </c>
      <c r="AJ175" t="s">
        <v>22</v>
      </c>
      <c r="AK175" t="s">
        <v>22</v>
      </c>
      <c r="AL175">
        <v>5803</v>
      </c>
    </row>
    <row r="176" spans="1:38" x14ac:dyDescent="0.25">
      <c r="A176" s="3" t="str">
        <f>UPPER(TEXT(Tabela1[[#This Row],[Data]],"MMM"))</f>
        <v>SET</v>
      </c>
      <c r="B176" t="s">
        <v>522</v>
      </c>
      <c r="C176" s="1" t="s">
        <v>523</v>
      </c>
      <c r="D176" s="1" t="s">
        <v>524</v>
      </c>
      <c r="E176" t="s">
        <v>18</v>
      </c>
      <c r="F176" s="2" t="s">
        <v>515</v>
      </c>
      <c r="G176" s="3">
        <v>2</v>
      </c>
      <c r="H176" s="3">
        <v>7</v>
      </c>
      <c r="I176" s="3">
        <v>7</v>
      </c>
      <c r="J176" s="3">
        <v>5</v>
      </c>
      <c r="K176" s="3">
        <v>5</v>
      </c>
      <c r="L176">
        <v>9</v>
      </c>
      <c r="M176">
        <v>49</v>
      </c>
      <c r="N176">
        <v>91</v>
      </c>
      <c r="O176">
        <v>51</v>
      </c>
      <c r="P176" s="3">
        <v>7</v>
      </c>
      <c r="Q176" s="3">
        <v>7</v>
      </c>
      <c r="R176" s="3">
        <v>7</v>
      </c>
      <c r="S176" s="3">
        <v>7</v>
      </c>
      <c r="T176" s="3">
        <v>7</v>
      </c>
      <c r="U176" s="3">
        <v>5</v>
      </c>
      <c r="V176" t="s">
        <v>169</v>
      </c>
      <c r="W176" s="3">
        <v>5</v>
      </c>
      <c r="X176" s="3">
        <v>7</v>
      </c>
      <c r="Y176">
        <v>65</v>
      </c>
      <c r="Z176">
        <v>32.5</v>
      </c>
      <c r="AA176">
        <v>46</v>
      </c>
      <c r="AB176">
        <v>6</v>
      </c>
      <c r="AC176">
        <v>23</v>
      </c>
      <c r="AD176">
        <v>70</v>
      </c>
      <c r="AE176">
        <v>5</v>
      </c>
      <c r="AF176">
        <v>25</v>
      </c>
      <c r="AG176" t="s">
        <v>28</v>
      </c>
      <c r="AH176" s="3">
        <v>15105</v>
      </c>
      <c r="AI176" t="s">
        <v>63</v>
      </c>
      <c r="AJ176" t="s">
        <v>22</v>
      </c>
      <c r="AK176" t="s">
        <v>22</v>
      </c>
      <c r="AL176">
        <v>2814</v>
      </c>
    </row>
    <row r="177" spans="1:38" x14ac:dyDescent="0.25">
      <c r="A177" s="3" t="str">
        <f>UPPER(TEXT(Tabela1[[#This Row],[Data]],"MMM"))</f>
        <v>SET</v>
      </c>
      <c r="B177" s="30" t="s">
        <v>525</v>
      </c>
      <c r="C177" s="1" t="s">
        <v>526</v>
      </c>
      <c r="D177" s="1" t="s">
        <v>527</v>
      </c>
      <c r="E177" t="s">
        <v>18</v>
      </c>
      <c r="F177" s="2" t="s">
        <v>528</v>
      </c>
      <c r="G177" s="3">
        <v>2</v>
      </c>
      <c r="H177" s="3">
        <v>7</v>
      </c>
      <c r="I177" s="3">
        <v>7</v>
      </c>
      <c r="J177" s="3">
        <v>7</v>
      </c>
      <c r="K177" s="3">
        <v>5</v>
      </c>
      <c r="L177">
        <v>38</v>
      </c>
      <c r="M177">
        <v>27</v>
      </c>
      <c r="N177">
        <v>62</v>
      </c>
      <c r="O177">
        <v>73</v>
      </c>
      <c r="P177" s="3">
        <v>7</v>
      </c>
      <c r="Q177" s="3">
        <v>7</v>
      </c>
      <c r="R177" s="3">
        <v>7</v>
      </c>
      <c r="S177" s="3">
        <v>7</v>
      </c>
      <c r="T177" s="3">
        <v>7</v>
      </c>
      <c r="U177" s="3">
        <v>7</v>
      </c>
      <c r="V177" t="s">
        <v>20</v>
      </c>
      <c r="W177" s="3">
        <v>7</v>
      </c>
      <c r="X177" s="3">
        <v>7</v>
      </c>
      <c r="Y177">
        <v>73</v>
      </c>
      <c r="Z177">
        <v>36.5</v>
      </c>
      <c r="AA177">
        <v>57</v>
      </c>
      <c r="AB177">
        <v>6</v>
      </c>
      <c r="AC177">
        <v>28.499999999999996</v>
      </c>
      <c r="AD177">
        <v>70</v>
      </c>
      <c r="AE177">
        <v>4</v>
      </c>
      <c r="AF177">
        <v>20</v>
      </c>
      <c r="AG177" t="s">
        <v>28</v>
      </c>
      <c r="AH177" s="3">
        <v>992093</v>
      </c>
      <c r="AI177" t="s">
        <v>63</v>
      </c>
      <c r="AJ177" t="s">
        <v>22</v>
      </c>
      <c r="AK177" t="s">
        <v>22</v>
      </c>
      <c r="AL177">
        <v>6358</v>
      </c>
    </row>
    <row r="178" spans="1:38" x14ac:dyDescent="0.25">
      <c r="A178" s="3" t="str">
        <f>UPPER(TEXT(Tabela1[[#This Row],[Data]],"MMM"))</f>
        <v>SET</v>
      </c>
      <c r="B178" t="s">
        <v>529</v>
      </c>
      <c r="C178" s="1" t="s">
        <v>530</v>
      </c>
      <c r="D178" s="1" t="s">
        <v>527</v>
      </c>
      <c r="E178" t="s">
        <v>18</v>
      </c>
      <c r="F178" s="2" t="s">
        <v>528</v>
      </c>
      <c r="G178" s="3">
        <v>2</v>
      </c>
      <c r="H178" s="3">
        <v>7</v>
      </c>
      <c r="I178" s="3">
        <v>7</v>
      </c>
      <c r="J178" s="3">
        <v>7</v>
      </c>
      <c r="K178" s="3">
        <v>7</v>
      </c>
      <c r="L178">
        <v>18</v>
      </c>
      <c r="M178">
        <v>24</v>
      </c>
      <c r="N178">
        <v>82</v>
      </c>
      <c r="O178">
        <v>76</v>
      </c>
      <c r="P178" s="3">
        <v>7</v>
      </c>
      <c r="Q178" s="3">
        <v>7</v>
      </c>
      <c r="R178" s="3">
        <v>7</v>
      </c>
      <c r="S178" s="3">
        <v>7</v>
      </c>
      <c r="T178" s="3">
        <v>7</v>
      </c>
      <c r="U178" s="3">
        <v>7</v>
      </c>
      <c r="V178" t="s">
        <v>20</v>
      </c>
      <c r="W178" s="3">
        <v>7</v>
      </c>
      <c r="X178" s="3">
        <v>7</v>
      </c>
      <c r="Y178">
        <v>70</v>
      </c>
      <c r="Z178">
        <v>35</v>
      </c>
      <c r="AA178">
        <v>38</v>
      </c>
      <c r="AB178">
        <v>5</v>
      </c>
      <c r="AC178">
        <v>19</v>
      </c>
      <c r="AD178">
        <v>75</v>
      </c>
      <c r="AE178">
        <v>5</v>
      </c>
      <c r="AF178">
        <v>25</v>
      </c>
      <c r="AG178" s="3">
        <v>7</v>
      </c>
      <c r="AH178" t="s">
        <v>28</v>
      </c>
      <c r="AI178" t="s">
        <v>36</v>
      </c>
      <c r="AJ178" t="s">
        <v>22</v>
      </c>
      <c r="AK178" t="s">
        <v>22</v>
      </c>
      <c r="AL178">
        <v>3221</v>
      </c>
    </row>
    <row r="179" spans="1:38" x14ac:dyDescent="0.25">
      <c r="A179" s="3" t="str">
        <f>UPPER(TEXT(Tabela1[[#This Row],[Data]],"MMM"))</f>
        <v>SET</v>
      </c>
      <c r="B179" t="s">
        <v>531</v>
      </c>
      <c r="C179" s="1" t="s">
        <v>532</v>
      </c>
      <c r="D179" s="1" t="s">
        <v>533</v>
      </c>
      <c r="E179" t="s">
        <v>18</v>
      </c>
      <c r="F179" s="2" t="s">
        <v>528</v>
      </c>
      <c r="G179" s="3">
        <v>2</v>
      </c>
      <c r="H179" s="3">
        <v>7</v>
      </c>
      <c r="I179" s="3">
        <v>7</v>
      </c>
      <c r="J179" s="3">
        <v>7</v>
      </c>
      <c r="K179" s="3">
        <v>5</v>
      </c>
      <c r="L179">
        <v>28</v>
      </c>
      <c r="M179">
        <v>14</v>
      </c>
      <c r="N179">
        <v>72</v>
      </c>
      <c r="O179">
        <v>86</v>
      </c>
      <c r="P179" s="3">
        <v>7</v>
      </c>
      <c r="Q179" s="3">
        <v>7</v>
      </c>
      <c r="R179" s="3">
        <v>7</v>
      </c>
      <c r="S179" s="3">
        <v>7</v>
      </c>
      <c r="T179" s="3">
        <v>7</v>
      </c>
      <c r="U179" s="3" t="s">
        <v>28</v>
      </c>
      <c r="V179" t="s">
        <v>169</v>
      </c>
      <c r="W179" s="3">
        <v>7</v>
      </c>
      <c r="X179" s="3">
        <v>7</v>
      </c>
      <c r="Y179">
        <v>55</v>
      </c>
      <c r="Z179">
        <v>27.500000000000004</v>
      </c>
      <c r="AA179">
        <v>44</v>
      </c>
      <c r="AB179">
        <v>4</v>
      </c>
      <c r="AC179">
        <v>22</v>
      </c>
      <c r="AD179">
        <v>80</v>
      </c>
      <c r="AE179">
        <v>5</v>
      </c>
      <c r="AF179">
        <v>25</v>
      </c>
      <c r="AG179" s="3">
        <v>10</v>
      </c>
      <c r="AH179" s="3">
        <v>13188</v>
      </c>
      <c r="AI179" t="s">
        <v>63</v>
      </c>
      <c r="AJ179" t="s">
        <v>22</v>
      </c>
      <c r="AK179" t="s">
        <v>22</v>
      </c>
      <c r="AL179">
        <v>3211</v>
      </c>
    </row>
    <row r="180" spans="1:38" x14ac:dyDescent="0.25">
      <c r="A180" s="3" t="str">
        <f>UPPER(TEXT(Tabela1[[#This Row],[Data]],"MMM"))</f>
        <v>SET</v>
      </c>
      <c r="B180" t="s">
        <v>534</v>
      </c>
      <c r="C180" s="1" t="s">
        <v>535</v>
      </c>
      <c r="D180" s="1" t="s">
        <v>533</v>
      </c>
      <c r="E180" t="s">
        <v>18</v>
      </c>
      <c r="F180" s="2" t="s">
        <v>528</v>
      </c>
      <c r="G180" s="3">
        <v>2</v>
      </c>
      <c r="H180" s="3">
        <v>7</v>
      </c>
      <c r="I180" s="3">
        <v>7</v>
      </c>
      <c r="J180" s="3">
        <v>7</v>
      </c>
      <c r="K180" s="3">
        <v>5</v>
      </c>
      <c r="L180">
        <v>18</v>
      </c>
      <c r="M180">
        <v>24</v>
      </c>
      <c r="N180">
        <v>82</v>
      </c>
      <c r="O180">
        <v>76</v>
      </c>
      <c r="P180" s="3">
        <v>7</v>
      </c>
      <c r="Q180" s="3">
        <v>7</v>
      </c>
      <c r="R180" s="3">
        <v>5</v>
      </c>
      <c r="S180" s="3">
        <v>7</v>
      </c>
      <c r="T180" s="3">
        <v>7</v>
      </c>
      <c r="U180" s="3">
        <v>7</v>
      </c>
      <c r="V180" t="s">
        <v>169</v>
      </c>
      <c r="W180" s="3" t="s">
        <v>28</v>
      </c>
      <c r="X180" s="3" t="s">
        <v>28</v>
      </c>
      <c r="Y180" t="s">
        <v>28</v>
      </c>
      <c r="Z180" t="s">
        <v>28</v>
      </c>
      <c r="AA180">
        <v>37</v>
      </c>
      <c r="AB180">
        <v>6</v>
      </c>
      <c r="AC180">
        <v>18.5</v>
      </c>
      <c r="AD180">
        <v>70</v>
      </c>
      <c r="AE180">
        <v>3</v>
      </c>
      <c r="AF180">
        <v>15</v>
      </c>
      <c r="AG180" s="3">
        <v>10</v>
      </c>
      <c r="AH180" s="3">
        <v>15105</v>
      </c>
      <c r="AI180" t="s">
        <v>63</v>
      </c>
      <c r="AJ180" t="s">
        <v>22</v>
      </c>
      <c r="AK180" t="s">
        <v>22</v>
      </c>
      <c r="AL180">
        <v>4926</v>
      </c>
    </row>
    <row r="181" spans="1:38" x14ac:dyDescent="0.25">
      <c r="A181" s="3" t="str">
        <f>UPPER(TEXT(Tabela1[[#This Row],[Data]],"MMM"))</f>
        <v>SET</v>
      </c>
      <c r="B181" s="30" t="s">
        <v>536</v>
      </c>
      <c r="C181" s="1" t="s">
        <v>537</v>
      </c>
      <c r="D181" s="1" t="s">
        <v>538</v>
      </c>
      <c r="E181" t="s">
        <v>18</v>
      </c>
      <c r="F181" s="2" t="s">
        <v>539</v>
      </c>
      <c r="G181" s="3">
        <v>2</v>
      </c>
      <c r="H181" s="3">
        <v>5</v>
      </c>
      <c r="I181" s="3">
        <v>10</v>
      </c>
      <c r="J181" s="3">
        <v>7</v>
      </c>
      <c r="K181" s="3">
        <v>5</v>
      </c>
      <c r="L181">
        <v>21</v>
      </c>
      <c r="M181">
        <v>33</v>
      </c>
      <c r="N181">
        <v>79</v>
      </c>
      <c r="O181">
        <v>67</v>
      </c>
      <c r="P181" s="3">
        <v>7</v>
      </c>
      <c r="Q181" s="3">
        <v>7</v>
      </c>
      <c r="R181" s="3">
        <v>7</v>
      </c>
      <c r="S181" s="3">
        <v>7</v>
      </c>
      <c r="T181" s="3">
        <v>7</v>
      </c>
      <c r="U181" s="3">
        <v>7</v>
      </c>
      <c r="V181" t="s">
        <v>169</v>
      </c>
      <c r="W181" s="3">
        <v>7</v>
      </c>
      <c r="X181" s="3">
        <v>7</v>
      </c>
      <c r="Y181">
        <v>45</v>
      </c>
      <c r="Z181">
        <v>22.5</v>
      </c>
      <c r="AA181">
        <v>44</v>
      </c>
      <c r="AB181">
        <v>8</v>
      </c>
      <c r="AC181">
        <v>22</v>
      </c>
      <c r="AD181">
        <v>60</v>
      </c>
      <c r="AE181">
        <v>4</v>
      </c>
      <c r="AF181">
        <v>20</v>
      </c>
      <c r="AG181" s="3">
        <v>5</v>
      </c>
      <c r="AH181" s="3">
        <v>42854</v>
      </c>
      <c r="AI181" t="s">
        <v>36</v>
      </c>
      <c r="AJ181" t="s">
        <v>22</v>
      </c>
      <c r="AK181" t="s">
        <v>22</v>
      </c>
      <c r="AL181">
        <v>8964</v>
      </c>
    </row>
    <row r="182" spans="1:38" x14ac:dyDescent="0.25">
      <c r="A182" s="3" t="str">
        <f>UPPER(TEXT(Tabela1[[#This Row],[Data]],"MMM"))</f>
        <v>SET</v>
      </c>
      <c r="B182" t="s">
        <v>540</v>
      </c>
      <c r="C182" s="1" t="s">
        <v>541</v>
      </c>
      <c r="D182" s="1" t="s">
        <v>538</v>
      </c>
      <c r="E182" t="s">
        <v>18</v>
      </c>
      <c r="F182" s="2" t="s">
        <v>539</v>
      </c>
      <c r="G182" s="3">
        <v>2</v>
      </c>
      <c r="H182" s="3">
        <v>5</v>
      </c>
      <c r="I182" s="3">
        <v>10</v>
      </c>
      <c r="J182" s="3">
        <v>7</v>
      </c>
      <c r="K182" s="3">
        <v>5</v>
      </c>
      <c r="L182">
        <v>29</v>
      </c>
      <c r="M182">
        <v>70</v>
      </c>
      <c r="N182">
        <v>71</v>
      </c>
      <c r="O182">
        <v>30</v>
      </c>
      <c r="P182" s="3">
        <v>7</v>
      </c>
      <c r="Q182" s="3">
        <v>7</v>
      </c>
      <c r="R182" s="3">
        <v>7</v>
      </c>
      <c r="S182" s="3">
        <v>7</v>
      </c>
      <c r="T182" s="3">
        <v>7</v>
      </c>
      <c r="U182" s="3">
        <v>5</v>
      </c>
      <c r="V182" t="s">
        <v>521</v>
      </c>
      <c r="W182" s="3">
        <v>7</v>
      </c>
      <c r="X182" s="3">
        <v>7</v>
      </c>
      <c r="Y182">
        <v>36</v>
      </c>
      <c r="Z182">
        <v>18</v>
      </c>
      <c r="AA182">
        <v>49</v>
      </c>
      <c r="AB182">
        <v>5</v>
      </c>
      <c r="AC182">
        <v>24.5</v>
      </c>
      <c r="AD182">
        <v>75</v>
      </c>
      <c r="AE182">
        <v>3</v>
      </c>
      <c r="AF182">
        <v>15</v>
      </c>
      <c r="AG182" s="3">
        <v>7</v>
      </c>
      <c r="AH182" s="3">
        <v>40762</v>
      </c>
      <c r="AI182" t="s">
        <v>36</v>
      </c>
      <c r="AJ182" t="s">
        <v>22</v>
      </c>
      <c r="AK182" t="s">
        <v>22</v>
      </c>
      <c r="AL182">
        <v>14121</v>
      </c>
    </row>
    <row r="183" spans="1:38" x14ac:dyDescent="0.25">
      <c r="A183" s="3" t="str">
        <f>UPPER(TEXT(Tabela1[[#This Row],[Data]],"MMM"))</f>
        <v>SET</v>
      </c>
      <c r="B183" t="s">
        <v>542</v>
      </c>
      <c r="C183" s="1" t="s">
        <v>543</v>
      </c>
      <c r="D183" s="1" t="s">
        <v>544</v>
      </c>
      <c r="E183" t="s">
        <v>18</v>
      </c>
      <c r="F183" s="2" t="s">
        <v>539</v>
      </c>
      <c r="G183" s="3">
        <v>2</v>
      </c>
      <c r="H183" s="3">
        <v>7</v>
      </c>
      <c r="I183" s="3">
        <v>10</v>
      </c>
      <c r="J183" s="3">
        <v>7</v>
      </c>
      <c r="K183" s="3">
        <v>5</v>
      </c>
      <c r="L183">
        <v>19</v>
      </c>
      <c r="M183">
        <v>31</v>
      </c>
      <c r="N183">
        <v>81</v>
      </c>
      <c r="O183">
        <v>69</v>
      </c>
      <c r="P183" s="3">
        <v>5</v>
      </c>
      <c r="Q183" s="3">
        <v>7</v>
      </c>
      <c r="R183" s="3">
        <v>7</v>
      </c>
      <c r="S183" s="3">
        <v>7</v>
      </c>
      <c r="T183" s="3">
        <v>7</v>
      </c>
      <c r="U183" s="3">
        <v>7</v>
      </c>
      <c r="V183" t="s">
        <v>20</v>
      </c>
      <c r="W183" s="3" t="s">
        <v>28</v>
      </c>
      <c r="X183" s="3" t="s">
        <v>28</v>
      </c>
      <c r="Y183">
        <v>56</v>
      </c>
      <c r="Z183">
        <v>28.000000000000004</v>
      </c>
      <c r="AA183">
        <v>45</v>
      </c>
      <c r="AB183">
        <v>8</v>
      </c>
      <c r="AC183">
        <v>22.5</v>
      </c>
      <c r="AD183">
        <v>60</v>
      </c>
      <c r="AE183">
        <v>3</v>
      </c>
      <c r="AF183">
        <v>15</v>
      </c>
      <c r="AG183" s="3">
        <v>7</v>
      </c>
      <c r="AH183" s="3">
        <v>42846</v>
      </c>
      <c r="AI183" t="s">
        <v>63</v>
      </c>
      <c r="AJ183" t="s">
        <v>22</v>
      </c>
      <c r="AK183" t="s">
        <v>22</v>
      </c>
      <c r="AL183">
        <v>24877</v>
      </c>
    </row>
    <row r="184" spans="1:38" x14ac:dyDescent="0.25">
      <c r="A184" s="3" t="str">
        <f>UPPER(TEXT(Tabela1[[#This Row],[Data]],"MMM"))</f>
        <v>SET</v>
      </c>
      <c r="B184" t="s">
        <v>545</v>
      </c>
      <c r="C184" s="1" t="s">
        <v>546</v>
      </c>
      <c r="D184" s="1" t="s">
        <v>544</v>
      </c>
      <c r="E184" t="s">
        <v>18</v>
      </c>
      <c r="F184" s="2" t="s">
        <v>539</v>
      </c>
      <c r="G184" s="3">
        <v>2</v>
      </c>
      <c r="H184" s="3">
        <v>7</v>
      </c>
      <c r="I184" s="3">
        <v>10</v>
      </c>
      <c r="J184" s="3">
        <v>5</v>
      </c>
      <c r="K184" s="3">
        <v>5</v>
      </c>
      <c r="L184">
        <v>43</v>
      </c>
      <c r="M184">
        <v>14</v>
      </c>
      <c r="N184">
        <v>57</v>
      </c>
      <c r="O184">
        <v>86</v>
      </c>
      <c r="P184" s="3">
        <v>7</v>
      </c>
      <c r="Q184" s="3">
        <v>7</v>
      </c>
      <c r="R184" s="3">
        <v>7</v>
      </c>
      <c r="S184" s="3">
        <v>7</v>
      </c>
      <c r="T184" s="3">
        <v>7</v>
      </c>
      <c r="U184" s="3">
        <v>7</v>
      </c>
      <c r="V184" t="s">
        <v>169</v>
      </c>
      <c r="W184" s="3">
        <v>10</v>
      </c>
      <c r="X184" s="3">
        <v>7</v>
      </c>
      <c r="Y184">
        <v>44</v>
      </c>
      <c r="Z184">
        <v>22</v>
      </c>
      <c r="AA184">
        <v>34</v>
      </c>
      <c r="AB184">
        <v>7</v>
      </c>
      <c r="AC184">
        <v>17</v>
      </c>
      <c r="AD184">
        <v>65</v>
      </c>
      <c r="AE184">
        <v>4</v>
      </c>
      <c r="AF184">
        <v>20</v>
      </c>
      <c r="AG184" s="3">
        <v>10</v>
      </c>
      <c r="AH184" s="3">
        <v>15105</v>
      </c>
      <c r="AI184" t="s">
        <v>63</v>
      </c>
      <c r="AJ184" t="s">
        <v>22</v>
      </c>
      <c r="AK184" t="s">
        <v>22</v>
      </c>
      <c r="AL184">
        <v>31477</v>
      </c>
    </row>
    <row r="185" spans="1:38" x14ac:dyDescent="0.25">
      <c r="A185" s="3" t="str">
        <f>UPPER(TEXT(Tabela1[[#This Row],[Data]],"MMM"))</f>
        <v>SET</v>
      </c>
      <c r="B185" s="30" t="s">
        <v>547</v>
      </c>
      <c r="C185" s="1" t="s">
        <v>548</v>
      </c>
      <c r="D185" s="1" t="s">
        <v>549</v>
      </c>
      <c r="E185" t="s">
        <v>18</v>
      </c>
      <c r="F185" s="2" t="s">
        <v>550</v>
      </c>
      <c r="G185" s="3">
        <v>2</v>
      </c>
      <c r="H185" s="3">
        <v>7</v>
      </c>
      <c r="I185" s="3">
        <v>7</v>
      </c>
      <c r="J185" s="3">
        <v>7</v>
      </c>
      <c r="K185" s="3">
        <v>5</v>
      </c>
      <c r="L185">
        <v>29</v>
      </c>
      <c r="M185">
        <v>38</v>
      </c>
      <c r="N185">
        <v>71</v>
      </c>
      <c r="O185">
        <v>62</v>
      </c>
      <c r="P185" s="3">
        <v>7</v>
      </c>
      <c r="Q185" s="3">
        <v>7</v>
      </c>
      <c r="R185" s="3">
        <v>7</v>
      </c>
      <c r="S185" s="3">
        <v>7</v>
      </c>
      <c r="T185" s="3">
        <v>7</v>
      </c>
      <c r="U185" s="3">
        <v>7</v>
      </c>
      <c r="V185" t="s">
        <v>20</v>
      </c>
      <c r="W185" s="3">
        <v>7</v>
      </c>
      <c r="X185" s="3">
        <v>7</v>
      </c>
      <c r="Y185">
        <v>52</v>
      </c>
      <c r="Z185">
        <v>26</v>
      </c>
      <c r="AA185">
        <v>57</v>
      </c>
      <c r="AB185">
        <v>6</v>
      </c>
      <c r="AC185">
        <v>28.499999999999996</v>
      </c>
      <c r="AD185">
        <v>70</v>
      </c>
      <c r="AE185">
        <v>4</v>
      </c>
      <c r="AF185">
        <v>20</v>
      </c>
      <c r="AG185" s="3">
        <v>7</v>
      </c>
      <c r="AH185" s="3">
        <v>40762</v>
      </c>
      <c r="AI185" t="s">
        <v>36</v>
      </c>
      <c r="AJ185" t="s">
        <v>22</v>
      </c>
      <c r="AK185" t="s">
        <v>22</v>
      </c>
      <c r="AL185">
        <v>8910</v>
      </c>
    </row>
    <row r="186" spans="1:38" x14ac:dyDescent="0.25">
      <c r="A186" s="3" t="str">
        <f>UPPER(TEXT(Tabela1[[#This Row],[Data]],"MMM"))</f>
        <v>SET</v>
      </c>
      <c r="B186" t="s">
        <v>551</v>
      </c>
      <c r="C186" s="1" t="s">
        <v>552</v>
      </c>
      <c r="D186" s="1" t="s">
        <v>549</v>
      </c>
      <c r="E186" t="s">
        <v>18</v>
      </c>
      <c r="F186" s="2" t="s">
        <v>550</v>
      </c>
      <c r="G186" s="3">
        <v>2</v>
      </c>
      <c r="H186" s="3">
        <v>7</v>
      </c>
      <c r="I186" s="3">
        <v>7</v>
      </c>
      <c r="J186" s="3">
        <v>7</v>
      </c>
      <c r="K186" s="3">
        <v>5</v>
      </c>
      <c r="L186">
        <v>25</v>
      </c>
      <c r="M186">
        <v>46</v>
      </c>
      <c r="N186">
        <v>75</v>
      </c>
      <c r="O186">
        <v>54</v>
      </c>
      <c r="P186" s="3">
        <v>5</v>
      </c>
      <c r="Q186" s="3">
        <v>7</v>
      </c>
      <c r="R186" s="3">
        <v>7</v>
      </c>
      <c r="S186" s="3">
        <v>7</v>
      </c>
      <c r="T186" s="3">
        <v>7</v>
      </c>
      <c r="U186" s="3" t="s">
        <v>28</v>
      </c>
      <c r="V186" t="s">
        <v>20</v>
      </c>
      <c r="W186" s="3" t="s">
        <v>28</v>
      </c>
      <c r="X186" s="3" t="s">
        <v>28</v>
      </c>
      <c r="Y186">
        <v>60</v>
      </c>
      <c r="Z186">
        <v>30</v>
      </c>
      <c r="AA186">
        <v>46</v>
      </c>
      <c r="AB186">
        <v>4</v>
      </c>
      <c r="AC186">
        <v>23</v>
      </c>
      <c r="AD186">
        <v>80</v>
      </c>
      <c r="AE186">
        <v>3</v>
      </c>
      <c r="AF186">
        <v>15</v>
      </c>
      <c r="AG186" s="3">
        <v>10</v>
      </c>
      <c r="AH186" s="3">
        <v>13188</v>
      </c>
      <c r="AI186" t="s">
        <v>63</v>
      </c>
      <c r="AJ186" t="s">
        <v>22</v>
      </c>
      <c r="AK186" t="s">
        <v>22</v>
      </c>
      <c r="AL186">
        <v>13013</v>
      </c>
    </row>
    <row r="187" spans="1:38" x14ac:dyDescent="0.25">
      <c r="A187" s="3" t="str">
        <f>UPPER(TEXT(Tabela1[[#This Row],[Data]],"MMM"))</f>
        <v>SET</v>
      </c>
      <c r="B187" t="s">
        <v>553</v>
      </c>
      <c r="C187" s="1" t="s">
        <v>554</v>
      </c>
      <c r="D187" s="1" t="s">
        <v>555</v>
      </c>
      <c r="E187" t="s">
        <v>18</v>
      </c>
      <c r="F187" s="2" t="s">
        <v>550</v>
      </c>
      <c r="G187" s="3">
        <v>2</v>
      </c>
      <c r="H187" s="3">
        <v>7</v>
      </c>
      <c r="I187" s="3">
        <v>7</v>
      </c>
      <c r="J187" s="3">
        <v>7</v>
      </c>
      <c r="K187" s="3">
        <v>5</v>
      </c>
      <c r="L187">
        <v>29</v>
      </c>
      <c r="M187">
        <v>46</v>
      </c>
      <c r="N187">
        <v>71</v>
      </c>
      <c r="O187">
        <v>54</v>
      </c>
      <c r="P187" s="3">
        <v>5</v>
      </c>
      <c r="Q187" s="3">
        <v>7</v>
      </c>
      <c r="R187" s="3">
        <v>7</v>
      </c>
      <c r="S187" s="3">
        <v>7</v>
      </c>
      <c r="T187" s="3">
        <v>7</v>
      </c>
      <c r="U187" s="3">
        <v>7</v>
      </c>
      <c r="V187" t="s">
        <v>20</v>
      </c>
      <c r="W187" s="3">
        <v>7</v>
      </c>
      <c r="X187" s="3">
        <v>7</v>
      </c>
      <c r="Y187">
        <v>47</v>
      </c>
      <c r="Z187">
        <v>23.5</v>
      </c>
      <c r="AA187">
        <v>44</v>
      </c>
      <c r="AB187">
        <v>5</v>
      </c>
      <c r="AC187">
        <v>22</v>
      </c>
      <c r="AD187">
        <v>75</v>
      </c>
      <c r="AE187">
        <v>4</v>
      </c>
      <c r="AF187">
        <v>20</v>
      </c>
      <c r="AG187" s="3">
        <v>7</v>
      </c>
      <c r="AH187" s="3">
        <v>42846</v>
      </c>
      <c r="AI187" t="s">
        <v>36</v>
      </c>
      <c r="AJ187" t="s">
        <v>22</v>
      </c>
      <c r="AK187" t="s">
        <v>22</v>
      </c>
      <c r="AL187">
        <v>24684</v>
      </c>
    </row>
    <row r="188" spans="1:38" x14ac:dyDescent="0.25">
      <c r="A188" s="3" t="str">
        <f>UPPER(TEXT(Tabela1[[#This Row],[Data]],"MMM"))</f>
        <v>SET</v>
      </c>
      <c r="B188" t="s">
        <v>556</v>
      </c>
      <c r="C188" s="1" t="s">
        <v>557</v>
      </c>
      <c r="D188" s="1" t="s">
        <v>558</v>
      </c>
      <c r="E188" t="s">
        <v>18</v>
      </c>
      <c r="F188" s="2" t="s">
        <v>550</v>
      </c>
      <c r="G188" s="3">
        <v>2</v>
      </c>
      <c r="H188" s="3">
        <v>7</v>
      </c>
      <c r="I188" s="3">
        <v>10</v>
      </c>
      <c r="J188" s="3">
        <v>5</v>
      </c>
      <c r="K188" s="3">
        <v>5</v>
      </c>
      <c r="L188">
        <v>22</v>
      </c>
      <c r="M188">
        <v>53</v>
      </c>
      <c r="N188">
        <v>78</v>
      </c>
      <c r="O188">
        <v>47</v>
      </c>
      <c r="P188" s="3">
        <v>5</v>
      </c>
      <c r="Q188" s="3">
        <v>7</v>
      </c>
      <c r="R188" s="3">
        <v>7</v>
      </c>
      <c r="S188" s="3">
        <v>7</v>
      </c>
      <c r="T188" s="3">
        <v>7</v>
      </c>
      <c r="U188" s="3">
        <v>7</v>
      </c>
      <c r="V188" t="s">
        <v>20</v>
      </c>
      <c r="W188" s="3">
        <v>7</v>
      </c>
      <c r="X188" s="3">
        <v>10</v>
      </c>
      <c r="Y188">
        <v>53</v>
      </c>
      <c r="Z188">
        <v>26.5</v>
      </c>
      <c r="AA188">
        <v>49</v>
      </c>
      <c r="AB188">
        <v>6</v>
      </c>
      <c r="AC188">
        <v>24.5</v>
      </c>
      <c r="AD188">
        <v>70</v>
      </c>
      <c r="AE188">
        <v>3</v>
      </c>
      <c r="AF188">
        <v>15</v>
      </c>
      <c r="AG188" s="3">
        <v>10</v>
      </c>
      <c r="AH188" s="3">
        <v>995638</v>
      </c>
      <c r="AI188" t="s">
        <v>63</v>
      </c>
      <c r="AJ188" t="s">
        <v>22</v>
      </c>
      <c r="AK188" t="s">
        <v>22</v>
      </c>
      <c r="AL188">
        <v>31981</v>
      </c>
    </row>
    <row r="189" spans="1:38" x14ac:dyDescent="0.25">
      <c r="A189" s="3" t="str">
        <f>UPPER(TEXT(Tabela1[[#This Row],[Data]],"MMM"))</f>
        <v>OUT</v>
      </c>
      <c r="B189" s="30" t="s">
        <v>559</v>
      </c>
      <c r="C189" s="1" t="s">
        <v>560</v>
      </c>
      <c r="D189" s="1" t="s">
        <v>561</v>
      </c>
      <c r="E189" t="s">
        <v>18</v>
      </c>
      <c r="F189" s="2" t="s">
        <v>562</v>
      </c>
      <c r="G189" s="3">
        <v>2</v>
      </c>
      <c r="H189" s="3">
        <v>7</v>
      </c>
      <c r="I189" s="3">
        <v>7</v>
      </c>
      <c r="J189" s="3">
        <v>7</v>
      </c>
      <c r="K189" s="3">
        <v>5</v>
      </c>
      <c r="L189">
        <v>22</v>
      </c>
      <c r="M189">
        <v>37</v>
      </c>
      <c r="N189">
        <v>78</v>
      </c>
      <c r="O189">
        <v>63</v>
      </c>
      <c r="P189" s="3">
        <v>5</v>
      </c>
      <c r="Q189" s="3">
        <v>7</v>
      </c>
      <c r="R189" s="3">
        <v>7</v>
      </c>
      <c r="S189" s="3">
        <v>7</v>
      </c>
      <c r="T189" s="3">
        <v>7</v>
      </c>
      <c r="U189" s="3">
        <v>7</v>
      </c>
      <c r="V189" t="s">
        <v>563</v>
      </c>
      <c r="W189" s="3" t="s">
        <v>28</v>
      </c>
      <c r="X189" s="3" t="s">
        <v>28</v>
      </c>
      <c r="Y189">
        <v>45</v>
      </c>
      <c r="Z189">
        <v>22.5</v>
      </c>
      <c r="AA189">
        <v>53</v>
      </c>
      <c r="AB189">
        <v>6</v>
      </c>
      <c r="AC189">
        <v>26.5</v>
      </c>
      <c r="AD189">
        <v>70</v>
      </c>
      <c r="AE189">
        <v>2</v>
      </c>
      <c r="AF189">
        <v>10</v>
      </c>
      <c r="AG189" s="3">
        <v>10</v>
      </c>
      <c r="AH189" s="3">
        <v>995638</v>
      </c>
      <c r="AI189" t="s">
        <v>63</v>
      </c>
      <c r="AJ189" t="s">
        <v>22</v>
      </c>
      <c r="AK189" t="s">
        <v>22</v>
      </c>
      <c r="AL189">
        <v>27921</v>
      </c>
    </row>
    <row r="190" spans="1:38" x14ac:dyDescent="0.25">
      <c r="A190" s="3" t="str">
        <f>UPPER(TEXT(Tabela1[[#This Row],[Data]],"MMM"))</f>
        <v>OUT</v>
      </c>
      <c r="B190" t="s">
        <v>564</v>
      </c>
      <c r="C190" s="1" t="s">
        <v>565</v>
      </c>
      <c r="D190" s="1" t="s">
        <v>566</v>
      </c>
      <c r="E190" t="s">
        <v>18</v>
      </c>
      <c r="F190" s="2" t="s">
        <v>562</v>
      </c>
      <c r="G190" s="3">
        <v>2</v>
      </c>
      <c r="H190" s="3">
        <v>7</v>
      </c>
      <c r="I190" s="3">
        <v>10</v>
      </c>
      <c r="J190" s="3">
        <v>7</v>
      </c>
      <c r="K190" s="3">
        <v>5</v>
      </c>
      <c r="L190">
        <v>14</v>
      </c>
      <c r="M190">
        <v>10</v>
      </c>
      <c r="N190">
        <v>86</v>
      </c>
      <c r="O190">
        <v>90</v>
      </c>
      <c r="P190" s="3">
        <v>5</v>
      </c>
      <c r="Q190" s="3">
        <v>10</v>
      </c>
      <c r="R190" s="3">
        <v>7</v>
      </c>
      <c r="S190" s="3">
        <v>7</v>
      </c>
      <c r="T190" s="3">
        <v>7</v>
      </c>
      <c r="U190" s="3">
        <v>7</v>
      </c>
      <c r="V190" t="s">
        <v>20</v>
      </c>
      <c r="W190" s="3">
        <v>7</v>
      </c>
      <c r="X190" s="3">
        <v>7</v>
      </c>
      <c r="Y190">
        <v>60</v>
      </c>
      <c r="Z190">
        <v>30</v>
      </c>
      <c r="AA190">
        <v>56</v>
      </c>
      <c r="AB190">
        <v>6</v>
      </c>
      <c r="AC190">
        <v>28.000000000000004</v>
      </c>
      <c r="AD190">
        <v>70</v>
      </c>
      <c r="AE190">
        <v>3</v>
      </c>
      <c r="AF190">
        <v>15</v>
      </c>
      <c r="AG190" s="3">
        <v>7</v>
      </c>
      <c r="AH190" s="3">
        <v>42846</v>
      </c>
      <c r="AI190" t="s">
        <v>83</v>
      </c>
      <c r="AJ190" t="s">
        <v>22</v>
      </c>
      <c r="AK190" t="s">
        <v>22</v>
      </c>
      <c r="AL190">
        <v>11519</v>
      </c>
    </row>
    <row r="191" spans="1:38" x14ac:dyDescent="0.25">
      <c r="A191" s="3" t="str">
        <f>UPPER(TEXT(Tabela1[[#This Row],[Data]],"MMM"))</f>
        <v>OUT</v>
      </c>
      <c r="B191" t="s">
        <v>567</v>
      </c>
      <c r="C191" s="1" t="s">
        <v>568</v>
      </c>
      <c r="D191" s="1" t="s">
        <v>569</v>
      </c>
      <c r="E191" t="s">
        <v>18</v>
      </c>
      <c r="F191" s="2" t="s">
        <v>562</v>
      </c>
      <c r="G191" s="3">
        <v>2</v>
      </c>
      <c r="H191" s="3">
        <v>7</v>
      </c>
      <c r="I191" s="3">
        <v>10</v>
      </c>
      <c r="J191" s="3">
        <v>7</v>
      </c>
      <c r="K191" s="3">
        <v>7</v>
      </c>
      <c r="L191">
        <v>22</v>
      </c>
      <c r="M191">
        <v>19</v>
      </c>
      <c r="N191">
        <v>78</v>
      </c>
      <c r="O191">
        <v>81</v>
      </c>
      <c r="P191" s="3">
        <v>7</v>
      </c>
      <c r="Q191" s="3">
        <v>7</v>
      </c>
      <c r="R191" s="3">
        <v>7</v>
      </c>
      <c r="S191" s="3">
        <v>7</v>
      </c>
      <c r="T191" s="3">
        <v>7</v>
      </c>
      <c r="U191" s="3">
        <v>5</v>
      </c>
      <c r="V191" t="s">
        <v>20</v>
      </c>
      <c r="W191" s="3">
        <v>10</v>
      </c>
      <c r="X191" s="3">
        <v>7</v>
      </c>
      <c r="Y191">
        <v>76</v>
      </c>
      <c r="Z191">
        <v>38</v>
      </c>
      <c r="AA191">
        <v>51</v>
      </c>
      <c r="AB191">
        <v>6</v>
      </c>
      <c r="AC191">
        <v>25.5</v>
      </c>
      <c r="AD191">
        <v>70</v>
      </c>
      <c r="AE191">
        <v>3</v>
      </c>
      <c r="AF191">
        <v>15</v>
      </c>
      <c r="AG191" t="s">
        <v>28</v>
      </c>
      <c r="AH191" s="3">
        <v>13188</v>
      </c>
      <c r="AI191" t="s">
        <v>63</v>
      </c>
      <c r="AJ191" t="s">
        <v>22</v>
      </c>
      <c r="AK191" t="s">
        <v>22</v>
      </c>
      <c r="AL191">
        <v>4144</v>
      </c>
    </row>
    <row r="192" spans="1:38" x14ac:dyDescent="0.25">
      <c r="A192" s="3" t="str">
        <f>UPPER(TEXT(Tabela1[[#This Row],[Data]],"MMM"))</f>
        <v>OUT</v>
      </c>
      <c r="B192" t="s">
        <v>570</v>
      </c>
      <c r="C192" s="1" t="s">
        <v>571</v>
      </c>
      <c r="D192" s="1" t="s">
        <v>569</v>
      </c>
      <c r="E192" t="s">
        <v>18</v>
      </c>
      <c r="F192" s="2" t="s">
        <v>562</v>
      </c>
      <c r="G192" s="3">
        <v>2</v>
      </c>
      <c r="H192" s="3">
        <v>7</v>
      </c>
      <c r="I192" s="3">
        <v>7</v>
      </c>
      <c r="J192" s="3">
        <v>7</v>
      </c>
      <c r="K192" s="3">
        <v>5</v>
      </c>
      <c r="L192">
        <v>19</v>
      </c>
      <c r="M192">
        <v>33</v>
      </c>
      <c r="N192">
        <v>81</v>
      </c>
      <c r="O192">
        <v>67</v>
      </c>
      <c r="P192" s="3">
        <v>7</v>
      </c>
      <c r="Q192" s="3">
        <v>7</v>
      </c>
      <c r="R192" s="3">
        <v>7</v>
      </c>
      <c r="S192" s="3">
        <v>7</v>
      </c>
      <c r="T192" s="3">
        <v>7</v>
      </c>
      <c r="U192" s="3">
        <v>7</v>
      </c>
      <c r="V192" t="s">
        <v>20</v>
      </c>
      <c r="W192" s="3" t="s">
        <v>28</v>
      </c>
      <c r="X192" s="3" t="s">
        <v>28</v>
      </c>
      <c r="Y192" t="s">
        <v>28</v>
      </c>
      <c r="Z192" t="s">
        <v>28</v>
      </c>
      <c r="AA192">
        <v>51</v>
      </c>
      <c r="AB192">
        <v>8</v>
      </c>
      <c r="AC192">
        <v>25.5</v>
      </c>
      <c r="AD192">
        <v>60</v>
      </c>
      <c r="AE192">
        <v>4</v>
      </c>
      <c r="AF192">
        <v>20</v>
      </c>
      <c r="AG192" s="3">
        <v>10</v>
      </c>
      <c r="AH192" s="3">
        <v>15105</v>
      </c>
      <c r="AI192" t="s">
        <v>63</v>
      </c>
      <c r="AJ192" t="s">
        <v>22</v>
      </c>
      <c r="AK192" t="s">
        <v>22</v>
      </c>
      <c r="AL192">
        <v>34249</v>
      </c>
    </row>
    <row r="193" spans="1:38" x14ac:dyDescent="0.25">
      <c r="A193" s="3" t="str">
        <f>UPPER(TEXT(Tabela1[[#This Row],[Data]],"MMM"))</f>
        <v>OUT</v>
      </c>
      <c r="B193" s="30" t="s">
        <v>572</v>
      </c>
      <c r="C193" s="1" t="s">
        <v>573</v>
      </c>
      <c r="D193" s="1" t="s">
        <v>574</v>
      </c>
      <c r="E193" t="s">
        <v>18</v>
      </c>
      <c r="F193" s="2" t="s">
        <v>575</v>
      </c>
      <c r="G193" s="3">
        <v>2</v>
      </c>
      <c r="H193" s="3">
        <v>7</v>
      </c>
      <c r="I193" s="3">
        <v>7</v>
      </c>
      <c r="J193" s="3">
        <v>7</v>
      </c>
      <c r="K193" s="3">
        <v>5</v>
      </c>
      <c r="L193">
        <v>22</v>
      </c>
      <c r="M193">
        <v>19</v>
      </c>
      <c r="N193">
        <v>78</v>
      </c>
      <c r="O193">
        <v>81</v>
      </c>
      <c r="P193" s="3">
        <v>7</v>
      </c>
      <c r="Q193" s="3">
        <v>7</v>
      </c>
      <c r="R193" s="3">
        <v>7</v>
      </c>
      <c r="S193" s="3">
        <v>7</v>
      </c>
      <c r="T193" s="3">
        <v>7</v>
      </c>
      <c r="U193" s="3">
        <v>7</v>
      </c>
      <c r="V193" t="s">
        <v>169</v>
      </c>
      <c r="W193" s="3">
        <v>7</v>
      </c>
      <c r="X193" s="3">
        <v>7</v>
      </c>
      <c r="Y193">
        <v>39</v>
      </c>
      <c r="Z193">
        <v>19.5</v>
      </c>
      <c r="AA193">
        <v>48</v>
      </c>
      <c r="AB193">
        <v>6</v>
      </c>
      <c r="AC193">
        <v>24</v>
      </c>
      <c r="AD193">
        <v>70</v>
      </c>
      <c r="AE193">
        <v>3</v>
      </c>
      <c r="AF193">
        <v>15</v>
      </c>
      <c r="AG193" s="3">
        <v>7</v>
      </c>
      <c r="AH193" s="3">
        <v>42641</v>
      </c>
      <c r="AI193" t="s">
        <v>275</v>
      </c>
      <c r="AJ193" t="s">
        <v>22</v>
      </c>
      <c r="AK193" t="s">
        <v>22</v>
      </c>
      <c r="AL193">
        <v>11403</v>
      </c>
    </row>
    <row r="194" spans="1:38" x14ac:dyDescent="0.25">
      <c r="A194" s="3" t="str">
        <f>UPPER(TEXT(Tabela1[[#This Row],[Data]],"MMM"))</f>
        <v>OUT</v>
      </c>
      <c r="B194" t="s">
        <v>576</v>
      </c>
      <c r="C194" s="1" t="s">
        <v>577</v>
      </c>
      <c r="D194" s="1" t="s">
        <v>578</v>
      </c>
      <c r="E194" t="s">
        <v>18</v>
      </c>
      <c r="F194" s="2" t="s">
        <v>575</v>
      </c>
      <c r="G194" s="3">
        <v>2</v>
      </c>
      <c r="H194" s="3">
        <v>7</v>
      </c>
      <c r="I194" s="3">
        <v>7</v>
      </c>
      <c r="J194" s="3">
        <v>7</v>
      </c>
      <c r="K194" s="3">
        <v>5</v>
      </c>
      <c r="L194">
        <v>10</v>
      </c>
      <c r="M194">
        <v>17</v>
      </c>
      <c r="N194">
        <v>90</v>
      </c>
      <c r="O194">
        <v>83</v>
      </c>
      <c r="P194" s="3">
        <v>7</v>
      </c>
      <c r="Q194" s="3">
        <v>7</v>
      </c>
      <c r="R194" s="3">
        <v>7</v>
      </c>
      <c r="S194" s="3">
        <v>7</v>
      </c>
      <c r="T194" s="3">
        <v>7</v>
      </c>
      <c r="U194" s="3">
        <v>7</v>
      </c>
      <c r="V194" t="s">
        <v>169</v>
      </c>
      <c r="W194" s="3">
        <v>10</v>
      </c>
      <c r="X194" s="3">
        <v>7</v>
      </c>
      <c r="Y194">
        <v>46</v>
      </c>
      <c r="Z194">
        <v>23</v>
      </c>
      <c r="AA194">
        <v>39</v>
      </c>
      <c r="AB194">
        <v>9</v>
      </c>
      <c r="AC194">
        <v>19.5</v>
      </c>
      <c r="AD194">
        <v>55</v>
      </c>
      <c r="AE194">
        <v>3</v>
      </c>
      <c r="AF194">
        <v>15</v>
      </c>
      <c r="AG194" s="3">
        <v>7</v>
      </c>
      <c r="AH194" s="3">
        <v>42862</v>
      </c>
      <c r="AI194" t="s">
        <v>36</v>
      </c>
      <c r="AJ194" t="s">
        <v>22</v>
      </c>
      <c r="AK194" t="s">
        <v>22</v>
      </c>
      <c r="AL194">
        <v>13958</v>
      </c>
    </row>
    <row r="195" spans="1:38" x14ac:dyDescent="0.25">
      <c r="A195" s="3" t="str">
        <f>UPPER(TEXT(Tabela1[[#This Row],[Data]],"MMM"))</f>
        <v>OUT</v>
      </c>
      <c r="B195" t="s">
        <v>579</v>
      </c>
      <c r="C195" s="1" t="s">
        <v>580</v>
      </c>
      <c r="D195" s="1" t="s">
        <v>578</v>
      </c>
      <c r="E195" t="s">
        <v>18</v>
      </c>
      <c r="F195" s="2" t="s">
        <v>575</v>
      </c>
      <c r="G195" s="3">
        <v>2</v>
      </c>
      <c r="H195" s="3">
        <v>7</v>
      </c>
      <c r="I195" s="3">
        <v>7</v>
      </c>
      <c r="J195" s="3">
        <v>7</v>
      </c>
      <c r="K195" s="3">
        <v>5</v>
      </c>
      <c r="L195">
        <v>16</v>
      </c>
      <c r="M195">
        <v>13</v>
      </c>
      <c r="N195">
        <v>84</v>
      </c>
      <c r="O195">
        <v>87</v>
      </c>
      <c r="P195" s="3">
        <v>5</v>
      </c>
      <c r="Q195" s="3">
        <v>7</v>
      </c>
      <c r="R195" s="3">
        <v>7</v>
      </c>
      <c r="S195" s="3">
        <v>5</v>
      </c>
      <c r="T195" s="3">
        <v>7</v>
      </c>
      <c r="U195" s="3">
        <v>5</v>
      </c>
      <c r="V195" t="s">
        <v>20</v>
      </c>
      <c r="W195" s="3">
        <v>10</v>
      </c>
      <c r="X195" s="3">
        <v>10</v>
      </c>
      <c r="Y195">
        <v>50</v>
      </c>
      <c r="Z195">
        <v>25</v>
      </c>
      <c r="AA195">
        <v>41</v>
      </c>
      <c r="AB195">
        <v>6</v>
      </c>
      <c r="AC195">
        <v>20.5</v>
      </c>
      <c r="AD195">
        <v>70</v>
      </c>
      <c r="AE195">
        <v>3</v>
      </c>
      <c r="AF195">
        <v>15</v>
      </c>
      <c r="AG195" s="3">
        <v>10</v>
      </c>
      <c r="AH195" s="3">
        <v>15105</v>
      </c>
      <c r="AI195" t="s">
        <v>63</v>
      </c>
      <c r="AJ195" t="s">
        <v>22</v>
      </c>
      <c r="AK195" t="s">
        <v>22</v>
      </c>
      <c r="AL195">
        <v>33065</v>
      </c>
    </row>
    <row r="196" spans="1:38" x14ac:dyDescent="0.25">
      <c r="A196" s="3" t="str">
        <f>UPPER(TEXT(Tabela1[[#This Row],[Data]],"MMM"))</f>
        <v>OUT</v>
      </c>
      <c r="B196" t="s">
        <v>581</v>
      </c>
      <c r="C196" s="1" t="s">
        <v>582</v>
      </c>
      <c r="D196" s="1" t="s">
        <v>583</v>
      </c>
      <c r="E196" t="s">
        <v>18</v>
      </c>
      <c r="F196" s="2" t="s">
        <v>584</v>
      </c>
      <c r="G196" s="3">
        <v>2</v>
      </c>
      <c r="H196" s="3">
        <v>7</v>
      </c>
      <c r="I196" s="3">
        <v>7</v>
      </c>
      <c r="J196" s="3">
        <v>7</v>
      </c>
      <c r="K196" s="3">
        <v>5</v>
      </c>
      <c r="L196">
        <v>22</v>
      </c>
      <c r="M196">
        <v>13</v>
      </c>
      <c r="N196">
        <v>78</v>
      </c>
      <c r="O196">
        <v>87</v>
      </c>
      <c r="P196" s="3">
        <v>5</v>
      </c>
      <c r="Q196" s="3">
        <v>7</v>
      </c>
      <c r="R196" s="3">
        <v>7</v>
      </c>
      <c r="S196" s="3">
        <v>7</v>
      </c>
      <c r="T196" s="3">
        <v>7</v>
      </c>
      <c r="U196" s="3">
        <v>5</v>
      </c>
      <c r="V196" t="s">
        <v>20</v>
      </c>
      <c r="W196" s="3" t="s">
        <v>28</v>
      </c>
      <c r="X196" s="3" t="s">
        <v>28</v>
      </c>
      <c r="Y196">
        <v>49</v>
      </c>
      <c r="Z196">
        <v>24.5</v>
      </c>
      <c r="AA196">
        <v>49</v>
      </c>
      <c r="AB196">
        <v>6</v>
      </c>
      <c r="AC196">
        <v>24.5</v>
      </c>
      <c r="AD196">
        <v>70</v>
      </c>
      <c r="AE196">
        <v>4</v>
      </c>
      <c r="AF196">
        <v>20</v>
      </c>
      <c r="AG196" s="3">
        <v>10</v>
      </c>
      <c r="AH196" s="3">
        <v>992093</v>
      </c>
      <c r="AI196" t="s">
        <v>63</v>
      </c>
      <c r="AJ196" t="s">
        <v>22</v>
      </c>
      <c r="AK196" t="s">
        <v>22</v>
      </c>
      <c r="AL196">
        <v>12892</v>
      </c>
    </row>
    <row r="197" spans="1:38" x14ac:dyDescent="0.25">
      <c r="A197" s="3" t="str">
        <f>UPPER(TEXT(Tabela1[[#This Row],[Data]],"MMM"))</f>
        <v>OUT</v>
      </c>
      <c r="B197" t="s">
        <v>585</v>
      </c>
      <c r="C197" s="1" t="s">
        <v>586</v>
      </c>
      <c r="D197" s="1" t="s">
        <v>583</v>
      </c>
      <c r="E197" t="s">
        <v>18</v>
      </c>
      <c r="F197" s="2" t="s">
        <v>584</v>
      </c>
      <c r="G197" s="3">
        <v>2</v>
      </c>
      <c r="H197" s="3">
        <v>7</v>
      </c>
      <c r="I197" s="3">
        <v>7</v>
      </c>
      <c r="J197" s="3">
        <v>7</v>
      </c>
      <c r="K197" s="3">
        <v>7</v>
      </c>
      <c r="L197">
        <v>27</v>
      </c>
      <c r="M197">
        <v>10</v>
      </c>
      <c r="N197">
        <v>73</v>
      </c>
      <c r="O197">
        <v>90</v>
      </c>
      <c r="P197" s="3">
        <v>5</v>
      </c>
      <c r="Q197" s="3">
        <v>7</v>
      </c>
      <c r="R197" s="3">
        <v>7</v>
      </c>
      <c r="S197" s="3">
        <v>7</v>
      </c>
      <c r="T197" s="3">
        <v>7</v>
      </c>
      <c r="U197" s="3">
        <v>7</v>
      </c>
      <c r="V197" t="s">
        <v>20</v>
      </c>
      <c r="W197" s="3">
        <v>7</v>
      </c>
      <c r="X197" s="3" t="s">
        <v>28</v>
      </c>
      <c r="Y197">
        <v>45</v>
      </c>
      <c r="Z197">
        <v>22.5</v>
      </c>
      <c r="AA197">
        <v>40</v>
      </c>
      <c r="AB197">
        <v>7</v>
      </c>
      <c r="AC197">
        <v>20</v>
      </c>
      <c r="AD197">
        <v>65</v>
      </c>
      <c r="AE197">
        <v>3</v>
      </c>
      <c r="AF197">
        <v>15</v>
      </c>
      <c r="AG197" s="3">
        <v>7</v>
      </c>
      <c r="AH197" s="3">
        <v>42838</v>
      </c>
      <c r="AI197" t="s">
        <v>36</v>
      </c>
      <c r="AJ197" t="s">
        <v>22</v>
      </c>
      <c r="AK197" t="s">
        <v>22</v>
      </c>
      <c r="AL197">
        <v>19457</v>
      </c>
    </row>
    <row r="198" spans="1:38" x14ac:dyDescent="0.25">
      <c r="A198" s="3" t="str">
        <f>UPPER(TEXT(Tabela1[[#This Row],[Data]],"MMM"))</f>
        <v>OUT</v>
      </c>
      <c r="B198" t="s">
        <v>587</v>
      </c>
      <c r="C198" s="1" t="s">
        <v>588</v>
      </c>
      <c r="D198" s="1" t="s">
        <v>589</v>
      </c>
      <c r="E198" t="s">
        <v>18</v>
      </c>
      <c r="F198" s="2" t="s">
        <v>584</v>
      </c>
      <c r="G198" s="3">
        <v>2</v>
      </c>
      <c r="H198" s="3">
        <v>7</v>
      </c>
      <c r="I198" s="3">
        <v>7</v>
      </c>
      <c r="J198" s="3">
        <v>7</v>
      </c>
      <c r="K198" s="3">
        <v>7</v>
      </c>
      <c r="L198">
        <v>19</v>
      </c>
      <c r="M198">
        <v>17</v>
      </c>
      <c r="N198">
        <v>81</v>
      </c>
      <c r="O198">
        <v>83</v>
      </c>
      <c r="P198" s="3">
        <v>7</v>
      </c>
      <c r="Q198" s="3">
        <v>7</v>
      </c>
      <c r="R198" s="3">
        <v>7</v>
      </c>
      <c r="S198" s="3">
        <v>7</v>
      </c>
      <c r="T198" s="3">
        <v>7</v>
      </c>
      <c r="U198" s="3">
        <v>5</v>
      </c>
      <c r="V198" t="s">
        <v>20</v>
      </c>
      <c r="W198" s="3">
        <v>7</v>
      </c>
      <c r="X198" s="3">
        <v>7</v>
      </c>
      <c r="Y198">
        <v>43</v>
      </c>
      <c r="Z198">
        <v>21.5</v>
      </c>
      <c r="AA198">
        <v>65</v>
      </c>
      <c r="AB198">
        <v>7</v>
      </c>
      <c r="AC198">
        <v>32.5</v>
      </c>
      <c r="AD198">
        <v>65</v>
      </c>
      <c r="AE198">
        <v>2</v>
      </c>
      <c r="AF198">
        <v>10</v>
      </c>
      <c r="AG198" s="3">
        <v>10</v>
      </c>
      <c r="AH198" s="3">
        <v>13188</v>
      </c>
      <c r="AI198" t="s">
        <v>63</v>
      </c>
      <c r="AJ198" t="s">
        <v>22</v>
      </c>
      <c r="AK198" t="s">
        <v>22</v>
      </c>
      <c r="AL198">
        <v>2044</v>
      </c>
    </row>
    <row r="199" spans="1:38" x14ac:dyDescent="0.25">
      <c r="A199" s="3" t="str">
        <f>UPPER(TEXT(Tabela1[[#This Row],[Data]],"MMM"))</f>
        <v>OUT</v>
      </c>
      <c r="B199" t="s">
        <v>590</v>
      </c>
      <c r="C199" s="1" t="s">
        <v>591</v>
      </c>
      <c r="D199" s="1" t="s">
        <v>589</v>
      </c>
      <c r="E199" t="s">
        <v>18</v>
      </c>
      <c r="F199" s="2" t="s">
        <v>584</v>
      </c>
      <c r="G199" s="3">
        <v>2</v>
      </c>
      <c r="H199" s="3">
        <v>7</v>
      </c>
      <c r="I199" s="3">
        <v>7</v>
      </c>
      <c r="J199" s="3">
        <v>7</v>
      </c>
      <c r="K199" s="3">
        <v>5</v>
      </c>
      <c r="L199">
        <v>24</v>
      </c>
      <c r="M199">
        <v>14</v>
      </c>
      <c r="N199">
        <v>76</v>
      </c>
      <c r="O199">
        <v>86</v>
      </c>
      <c r="P199" s="3">
        <v>7</v>
      </c>
      <c r="Q199" s="3">
        <v>7</v>
      </c>
      <c r="R199" s="3">
        <v>7</v>
      </c>
      <c r="S199" s="3">
        <v>7</v>
      </c>
      <c r="T199" s="3">
        <v>7</v>
      </c>
      <c r="U199" s="3" t="s">
        <v>28</v>
      </c>
      <c r="V199" t="s">
        <v>20</v>
      </c>
      <c r="W199" s="3">
        <v>7</v>
      </c>
      <c r="X199" s="3">
        <v>7</v>
      </c>
      <c r="Y199">
        <v>51</v>
      </c>
      <c r="Z199">
        <v>25.5</v>
      </c>
      <c r="AA199">
        <v>50</v>
      </c>
      <c r="AB199">
        <v>9</v>
      </c>
      <c r="AC199">
        <v>25</v>
      </c>
      <c r="AD199">
        <v>55</v>
      </c>
      <c r="AE199">
        <v>2</v>
      </c>
      <c r="AF199">
        <v>10</v>
      </c>
      <c r="AG199" s="3">
        <v>10</v>
      </c>
      <c r="AH199" s="3">
        <v>15105</v>
      </c>
      <c r="AI199" t="s">
        <v>63</v>
      </c>
      <c r="AJ199" t="s">
        <v>22</v>
      </c>
      <c r="AK199" t="s">
        <v>22</v>
      </c>
      <c r="AL199">
        <v>10073</v>
      </c>
    </row>
    <row r="200" spans="1:38" x14ac:dyDescent="0.25">
      <c r="A200" s="3" t="str">
        <f>UPPER(TEXT(Tabela1[[#This Row],[Data]],"MMM"))</f>
        <v>OUT</v>
      </c>
      <c r="B200" s="30" t="s">
        <v>592</v>
      </c>
      <c r="C200" s="1" t="s">
        <v>593</v>
      </c>
      <c r="D200" s="1" t="s">
        <v>594</v>
      </c>
      <c r="E200" t="s">
        <v>18</v>
      </c>
      <c r="F200" s="2" t="s">
        <v>595</v>
      </c>
      <c r="G200" s="3">
        <v>2</v>
      </c>
      <c r="H200" s="3">
        <v>7</v>
      </c>
      <c r="I200" s="3">
        <v>7</v>
      </c>
      <c r="J200" s="3">
        <v>7</v>
      </c>
      <c r="K200" s="3">
        <v>5</v>
      </c>
      <c r="L200">
        <v>37</v>
      </c>
      <c r="M200">
        <v>22</v>
      </c>
      <c r="N200">
        <v>63</v>
      </c>
      <c r="O200">
        <v>78</v>
      </c>
      <c r="P200" s="3">
        <v>7</v>
      </c>
      <c r="Q200" s="3">
        <v>7</v>
      </c>
      <c r="R200" s="3">
        <v>7</v>
      </c>
      <c r="S200" s="3">
        <v>7</v>
      </c>
      <c r="T200" s="3">
        <v>7</v>
      </c>
      <c r="U200" s="3">
        <v>7</v>
      </c>
      <c r="V200" t="s">
        <v>169</v>
      </c>
      <c r="W200" s="3" t="s">
        <v>28</v>
      </c>
      <c r="X200" s="3" t="s">
        <v>28</v>
      </c>
      <c r="Y200">
        <v>59</v>
      </c>
      <c r="Z200">
        <v>29.5</v>
      </c>
      <c r="AA200">
        <v>40</v>
      </c>
      <c r="AB200">
        <v>7</v>
      </c>
      <c r="AC200">
        <v>20</v>
      </c>
      <c r="AD200">
        <v>65</v>
      </c>
      <c r="AE200">
        <v>6</v>
      </c>
      <c r="AF200">
        <v>30</v>
      </c>
      <c r="AG200" s="3">
        <v>7</v>
      </c>
      <c r="AH200" s="3">
        <v>40762</v>
      </c>
      <c r="AI200" t="s">
        <v>36</v>
      </c>
      <c r="AJ200" t="s">
        <v>22</v>
      </c>
      <c r="AK200" t="s">
        <v>22</v>
      </c>
      <c r="AL200">
        <v>15353</v>
      </c>
    </row>
    <row r="201" spans="1:38" x14ac:dyDescent="0.25">
      <c r="A201" s="3" t="str">
        <f>UPPER(TEXT(Tabela1[[#This Row],[Data]],"MMM"))</f>
        <v>OUT</v>
      </c>
      <c r="B201" t="s">
        <v>596</v>
      </c>
      <c r="C201" s="1" t="s">
        <v>597</v>
      </c>
      <c r="D201" s="1" t="s">
        <v>598</v>
      </c>
      <c r="E201" t="s">
        <v>18</v>
      </c>
      <c r="F201" s="2" t="s">
        <v>595</v>
      </c>
      <c r="G201" s="3">
        <v>2</v>
      </c>
      <c r="H201" s="3">
        <v>7</v>
      </c>
      <c r="I201" s="3">
        <v>7</v>
      </c>
      <c r="J201" s="3">
        <v>7</v>
      </c>
      <c r="K201" s="3">
        <v>5</v>
      </c>
      <c r="L201">
        <v>36</v>
      </c>
      <c r="M201">
        <v>27</v>
      </c>
      <c r="N201">
        <v>64</v>
      </c>
      <c r="O201">
        <v>73</v>
      </c>
      <c r="P201" s="3">
        <v>7</v>
      </c>
      <c r="Q201" s="3">
        <v>7</v>
      </c>
      <c r="R201" s="3">
        <v>7</v>
      </c>
      <c r="S201" s="3">
        <v>7</v>
      </c>
      <c r="T201" s="3">
        <v>7</v>
      </c>
      <c r="U201" s="3">
        <v>7</v>
      </c>
      <c r="V201" t="s">
        <v>169</v>
      </c>
      <c r="W201" s="3">
        <v>10</v>
      </c>
      <c r="X201" s="3">
        <v>7</v>
      </c>
      <c r="Y201">
        <v>51</v>
      </c>
      <c r="Z201">
        <v>25.5</v>
      </c>
      <c r="AA201">
        <v>37</v>
      </c>
      <c r="AB201">
        <v>6</v>
      </c>
      <c r="AC201">
        <v>18.5</v>
      </c>
      <c r="AD201">
        <v>70</v>
      </c>
      <c r="AE201">
        <v>4</v>
      </c>
      <c r="AF201">
        <v>20</v>
      </c>
      <c r="AG201" s="3">
        <v>7</v>
      </c>
      <c r="AH201" s="3">
        <v>42862</v>
      </c>
      <c r="AI201" t="s">
        <v>323</v>
      </c>
      <c r="AJ201" t="s">
        <v>22</v>
      </c>
      <c r="AK201" t="s">
        <v>22</v>
      </c>
      <c r="AL201">
        <v>11342</v>
      </c>
    </row>
    <row r="202" spans="1:38" x14ac:dyDescent="0.25">
      <c r="A202" s="3" t="str">
        <f>UPPER(TEXT(Tabela1[[#This Row],[Data]],"MMM"))</f>
        <v>OUT</v>
      </c>
      <c r="B202" t="s">
        <v>599</v>
      </c>
      <c r="C202" s="1" t="s">
        <v>600</v>
      </c>
      <c r="D202" s="1" t="s">
        <v>601</v>
      </c>
      <c r="E202" t="s">
        <v>18</v>
      </c>
      <c r="F202" s="2" t="s">
        <v>595</v>
      </c>
      <c r="G202" s="3">
        <v>2</v>
      </c>
      <c r="H202" s="3" t="s">
        <v>28</v>
      </c>
      <c r="I202" s="3">
        <v>7</v>
      </c>
      <c r="J202" s="3">
        <v>7</v>
      </c>
      <c r="K202" s="3">
        <v>5</v>
      </c>
      <c r="L202">
        <v>43</v>
      </c>
      <c r="M202">
        <v>25</v>
      </c>
      <c r="N202">
        <v>57</v>
      </c>
      <c r="O202">
        <v>75</v>
      </c>
      <c r="P202" s="3">
        <v>7</v>
      </c>
      <c r="Q202" s="3">
        <v>7</v>
      </c>
      <c r="R202" s="3">
        <v>7</v>
      </c>
      <c r="S202" s="3">
        <v>7</v>
      </c>
      <c r="T202" s="3">
        <v>7</v>
      </c>
      <c r="U202" s="3">
        <v>5</v>
      </c>
      <c r="V202" t="s">
        <v>20</v>
      </c>
      <c r="W202" s="3" t="s">
        <v>28</v>
      </c>
      <c r="X202" s="3" t="s">
        <v>28</v>
      </c>
      <c r="Y202">
        <v>31</v>
      </c>
      <c r="Z202">
        <v>15.5</v>
      </c>
      <c r="AA202">
        <v>44</v>
      </c>
      <c r="AB202">
        <v>7</v>
      </c>
      <c r="AC202">
        <v>22</v>
      </c>
      <c r="AD202">
        <v>65</v>
      </c>
      <c r="AE202">
        <v>5</v>
      </c>
      <c r="AF202">
        <v>25</v>
      </c>
      <c r="AG202" s="3">
        <v>10</v>
      </c>
      <c r="AH202" s="3">
        <v>992039</v>
      </c>
      <c r="AI202" t="s">
        <v>63</v>
      </c>
      <c r="AJ202" t="s">
        <v>22</v>
      </c>
      <c r="AK202" t="s">
        <v>22</v>
      </c>
      <c r="AL202">
        <v>4965</v>
      </c>
    </row>
    <row r="203" spans="1:38" x14ac:dyDescent="0.25">
      <c r="A203" s="3" t="str">
        <f>UPPER(TEXT(Tabela1[[#This Row],[Data]],"MMM"))</f>
        <v>OUT</v>
      </c>
      <c r="B203" t="s">
        <v>602</v>
      </c>
      <c r="C203" s="1" t="s">
        <v>603</v>
      </c>
      <c r="D203" s="1" t="s">
        <v>601</v>
      </c>
      <c r="E203" t="s">
        <v>18</v>
      </c>
      <c r="F203" s="2" t="s">
        <v>595</v>
      </c>
      <c r="G203" s="3">
        <v>2</v>
      </c>
      <c r="H203" s="3">
        <v>7</v>
      </c>
      <c r="I203" s="3">
        <v>7</v>
      </c>
      <c r="J203" s="3">
        <v>7</v>
      </c>
      <c r="K203" s="3">
        <v>5</v>
      </c>
      <c r="L203">
        <v>29</v>
      </c>
      <c r="M203">
        <v>21</v>
      </c>
      <c r="N203">
        <v>71</v>
      </c>
      <c r="O203">
        <v>79</v>
      </c>
      <c r="P203" s="3">
        <v>7</v>
      </c>
      <c r="Q203" s="3">
        <v>7</v>
      </c>
      <c r="R203" s="3">
        <v>7</v>
      </c>
      <c r="S203" s="3">
        <v>7</v>
      </c>
      <c r="T203" s="3">
        <v>7</v>
      </c>
      <c r="U203" s="3">
        <v>7</v>
      </c>
      <c r="V203" t="s">
        <v>169</v>
      </c>
      <c r="W203" s="3">
        <v>7</v>
      </c>
      <c r="X203" s="3">
        <v>7</v>
      </c>
      <c r="Y203">
        <v>40</v>
      </c>
      <c r="Z203">
        <v>20</v>
      </c>
      <c r="AA203">
        <v>41</v>
      </c>
      <c r="AB203">
        <v>6</v>
      </c>
      <c r="AC203">
        <v>20.5</v>
      </c>
      <c r="AD203">
        <v>70</v>
      </c>
      <c r="AE203">
        <v>5</v>
      </c>
      <c r="AF203">
        <v>25</v>
      </c>
      <c r="AG203" s="3">
        <v>10</v>
      </c>
      <c r="AH203" s="3">
        <v>15105</v>
      </c>
      <c r="AI203" t="s">
        <v>36</v>
      </c>
      <c r="AJ203" t="s">
        <v>22</v>
      </c>
      <c r="AK203" t="s">
        <v>22</v>
      </c>
      <c r="AL203">
        <v>35072</v>
      </c>
    </row>
    <row r="204" spans="1:38" x14ac:dyDescent="0.25">
      <c r="A204" s="3" t="str">
        <f>UPPER(TEXT(Tabela1[[#This Row],[Data]],"MMM"))</f>
        <v>OUT</v>
      </c>
      <c r="B204" t="s">
        <v>604</v>
      </c>
      <c r="C204" s="1" t="s">
        <v>605</v>
      </c>
      <c r="D204" s="1" t="s">
        <v>606</v>
      </c>
      <c r="E204" t="s">
        <v>18</v>
      </c>
      <c r="F204" s="2" t="s">
        <v>607</v>
      </c>
      <c r="G204" s="3">
        <v>2</v>
      </c>
      <c r="H204" s="3">
        <v>7</v>
      </c>
      <c r="I204" s="3">
        <v>7</v>
      </c>
      <c r="J204" s="3">
        <v>7</v>
      </c>
      <c r="K204" s="3">
        <v>5</v>
      </c>
      <c r="L204">
        <v>38</v>
      </c>
      <c r="M204">
        <v>12</v>
      </c>
      <c r="N204">
        <v>62</v>
      </c>
      <c r="O204">
        <v>88</v>
      </c>
      <c r="P204" s="3">
        <v>7</v>
      </c>
      <c r="Q204" s="3">
        <v>7</v>
      </c>
      <c r="R204" s="3">
        <v>7</v>
      </c>
      <c r="S204" s="3">
        <v>7</v>
      </c>
      <c r="T204" s="3">
        <v>7</v>
      </c>
      <c r="U204" s="3">
        <v>7</v>
      </c>
      <c r="V204" t="s">
        <v>169</v>
      </c>
      <c r="W204" s="3">
        <v>10</v>
      </c>
      <c r="X204" s="3">
        <v>7</v>
      </c>
      <c r="Y204">
        <v>37</v>
      </c>
      <c r="Z204">
        <v>18.5</v>
      </c>
      <c r="AA204">
        <v>47</v>
      </c>
      <c r="AB204">
        <v>6</v>
      </c>
      <c r="AC204">
        <v>23.5</v>
      </c>
      <c r="AD204">
        <v>70</v>
      </c>
      <c r="AE204">
        <v>4</v>
      </c>
      <c r="AF204">
        <v>20</v>
      </c>
      <c r="AG204" s="3">
        <v>7</v>
      </c>
      <c r="AH204" s="3">
        <v>40762</v>
      </c>
      <c r="AI204" t="s">
        <v>36</v>
      </c>
      <c r="AJ204" t="s">
        <v>22</v>
      </c>
      <c r="AK204" t="s">
        <v>22</v>
      </c>
      <c r="AL204">
        <v>13753</v>
      </c>
    </row>
    <row r="205" spans="1:38" x14ac:dyDescent="0.25">
      <c r="A205" s="3" t="str">
        <f>UPPER(TEXT(Tabela1[[#This Row],[Data]],"MMM"))</f>
        <v>OUT</v>
      </c>
      <c r="B205" t="s">
        <v>608</v>
      </c>
      <c r="C205" s="1" t="s">
        <v>609</v>
      </c>
      <c r="D205" s="1" t="s">
        <v>606</v>
      </c>
      <c r="E205" t="s">
        <v>18</v>
      </c>
      <c r="F205" s="2" t="s">
        <v>607</v>
      </c>
      <c r="G205" s="3">
        <v>2</v>
      </c>
      <c r="H205" s="3">
        <v>7</v>
      </c>
      <c r="I205" s="3">
        <v>7</v>
      </c>
      <c r="J205" s="3">
        <v>7</v>
      </c>
      <c r="K205" s="3">
        <v>7</v>
      </c>
      <c r="L205">
        <v>32</v>
      </c>
      <c r="M205">
        <v>16</v>
      </c>
      <c r="N205">
        <v>68</v>
      </c>
      <c r="O205">
        <v>84</v>
      </c>
      <c r="P205" s="3">
        <v>7</v>
      </c>
      <c r="Q205" s="3">
        <v>7</v>
      </c>
      <c r="R205" s="3">
        <v>7</v>
      </c>
      <c r="S205" s="3">
        <v>7</v>
      </c>
      <c r="T205" s="3">
        <v>7</v>
      </c>
      <c r="U205" s="3">
        <v>7</v>
      </c>
      <c r="V205" t="s">
        <v>169</v>
      </c>
      <c r="W205" s="3">
        <v>7</v>
      </c>
      <c r="X205" s="3">
        <v>7</v>
      </c>
      <c r="Y205">
        <v>48</v>
      </c>
      <c r="Z205">
        <v>24</v>
      </c>
      <c r="AA205">
        <v>44</v>
      </c>
      <c r="AB205">
        <v>8</v>
      </c>
      <c r="AC205">
        <v>22</v>
      </c>
      <c r="AD205">
        <v>60</v>
      </c>
      <c r="AE205">
        <v>5</v>
      </c>
      <c r="AF205">
        <v>25</v>
      </c>
      <c r="AG205" s="3">
        <v>10</v>
      </c>
      <c r="AH205" s="3">
        <v>995638</v>
      </c>
      <c r="AI205" t="s">
        <v>63</v>
      </c>
      <c r="AJ205" t="s">
        <v>22</v>
      </c>
      <c r="AK205" t="s">
        <v>22</v>
      </c>
      <c r="AL205">
        <v>15998</v>
      </c>
    </row>
    <row r="206" spans="1:38" x14ac:dyDescent="0.25">
      <c r="A206" s="3" t="str">
        <f>UPPER(TEXT(Tabela1[[#This Row],[Data]],"MMM"))</f>
        <v>OUT</v>
      </c>
      <c r="B206" t="s">
        <v>610</v>
      </c>
      <c r="C206" s="1" t="s">
        <v>611</v>
      </c>
      <c r="D206" s="1" t="s">
        <v>612</v>
      </c>
      <c r="E206" t="s">
        <v>18</v>
      </c>
      <c r="F206" s="2" t="s">
        <v>607</v>
      </c>
      <c r="G206" s="3">
        <v>2</v>
      </c>
      <c r="H206" s="3">
        <v>7</v>
      </c>
      <c r="I206" s="3">
        <v>7</v>
      </c>
      <c r="J206" s="3">
        <v>7</v>
      </c>
      <c r="K206" s="3">
        <v>5</v>
      </c>
      <c r="L206">
        <v>37</v>
      </c>
      <c r="M206">
        <v>24</v>
      </c>
      <c r="N206">
        <v>63</v>
      </c>
      <c r="O206">
        <v>76</v>
      </c>
      <c r="P206" s="3">
        <v>7</v>
      </c>
      <c r="Q206" s="3">
        <v>7</v>
      </c>
      <c r="R206" s="3">
        <v>7</v>
      </c>
      <c r="S206" s="3">
        <v>7</v>
      </c>
      <c r="T206" s="3">
        <v>7</v>
      </c>
      <c r="U206" s="3">
        <v>7</v>
      </c>
      <c r="V206" t="s">
        <v>169</v>
      </c>
      <c r="W206" s="3" t="s">
        <v>28</v>
      </c>
      <c r="X206" s="3" t="s">
        <v>28</v>
      </c>
      <c r="Y206">
        <v>33</v>
      </c>
      <c r="Z206">
        <v>16.5</v>
      </c>
      <c r="AA206">
        <v>55</v>
      </c>
      <c r="AB206">
        <v>8</v>
      </c>
      <c r="AC206">
        <v>27.500000000000004</v>
      </c>
      <c r="AD206">
        <v>60</v>
      </c>
      <c r="AE206">
        <v>7</v>
      </c>
      <c r="AF206">
        <v>35</v>
      </c>
      <c r="AG206" s="3">
        <v>7</v>
      </c>
      <c r="AH206" s="3">
        <v>42838</v>
      </c>
      <c r="AI206" t="s">
        <v>36</v>
      </c>
      <c r="AJ206" t="s">
        <v>22</v>
      </c>
      <c r="AK206" t="s">
        <v>22</v>
      </c>
      <c r="AL206">
        <v>29574</v>
      </c>
    </row>
    <row r="207" spans="1:38" x14ac:dyDescent="0.25">
      <c r="A207" s="3" t="str">
        <f>UPPER(TEXT(Tabela1[[#This Row],[Data]],"MMM"))</f>
        <v>OUT</v>
      </c>
      <c r="B207" t="s">
        <v>613</v>
      </c>
      <c r="C207" s="1" t="s">
        <v>614</v>
      </c>
      <c r="D207" s="1" t="s">
        <v>612</v>
      </c>
      <c r="E207" t="s">
        <v>18</v>
      </c>
      <c r="F207" s="2" t="s">
        <v>607</v>
      </c>
      <c r="G207" s="3">
        <v>2</v>
      </c>
      <c r="H207" s="3">
        <v>7</v>
      </c>
      <c r="I207" s="3">
        <v>7</v>
      </c>
      <c r="J207" s="3">
        <v>7</v>
      </c>
      <c r="K207" s="3">
        <v>5</v>
      </c>
      <c r="L207">
        <v>22</v>
      </c>
      <c r="M207">
        <v>17</v>
      </c>
      <c r="N207">
        <v>78</v>
      </c>
      <c r="O207">
        <v>83</v>
      </c>
      <c r="P207" s="3">
        <v>7</v>
      </c>
      <c r="Q207" s="3">
        <v>7</v>
      </c>
      <c r="R207" s="3">
        <v>7</v>
      </c>
      <c r="S207" s="3">
        <v>7</v>
      </c>
      <c r="T207" s="3">
        <v>7</v>
      </c>
      <c r="U207" s="3">
        <v>7</v>
      </c>
      <c r="V207" t="s">
        <v>169</v>
      </c>
      <c r="W207" s="3">
        <v>10</v>
      </c>
      <c r="X207" s="3">
        <v>7</v>
      </c>
      <c r="Y207">
        <v>57</v>
      </c>
      <c r="Z207">
        <v>28.499999999999996</v>
      </c>
      <c r="AA207">
        <v>38</v>
      </c>
      <c r="AB207">
        <v>7</v>
      </c>
      <c r="AC207">
        <v>19</v>
      </c>
      <c r="AD207">
        <v>65</v>
      </c>
      <c r="AE207">
        <v>2</v>
      </c>
      <c r="AF207">
        <v>10</v>
      </c>
      <c r="AG207" s="3">
        <v>10</v>
      </c>
      <c r="AH207" s="3">
        <v>15105</v>
      </c>
      <c r="AI207" t="s">
        <v>63</v>
      </c>
      <c r="AJ207" t="s">
        <v>22</v>
      </c>
      <c r="AK207" t="s">
        <v>22</v>
      </c>
      <c r="AL207">
        <v>33762</v>
      </c>
    </row>
    <row r="208" spans="1:38" x14ac:dyDescent="0.25">
      <c r="A208" s="3" t="str">
        <f>UPPER(TEXT(Tabela1[[#This Row],[Data]],"MMM"))</f>
        <v>OUT</v>
      </c>
      <c r="B208" s="30" t="s">
        <v>615</v>
      </c>
      <c r="C208" s="1" t="s">
        <v>616</v>
      </c>
      <c r="D208" s="1" t="s">
        <v>617</v>
      </c>
      <c r="E208" t="s">
        <v>18</v>
      </c>
      <c r="F208" s="2" t="s">
        <v>618</v>
      </c>
      <c r="G208" s="3">
        <v>2</v>
      </c>
      <c r="H208" s="3">
        <v>7</v>
      </c>
      <c r="I208" s="3">
        <v>7</v>
      </c>
      <c r="J208" s="3">
        <v>7</v>
      </c>
      <c r="K208" s="3">
        <v>7</v>
      </c>
      <c r="L208">
        <v>22</v>
      </c>
      <c r="M208">
        <v>19</v>
      </c>
      <c r="N208">
        <v>78</v>
      </c>
      <c r="O208">
        <v>81</v>
      </c>
      <c r="P208" s="3">
        <v>7</v>
      </c>
      <c r="Q208" s="3">
        <v>7</v>
      </c>
      <c r="R208" s="3">
        <v>7</v>
      </c>
      <c r="S208" s="3">
        <v>7</v>
      </c>
      <c r="T208" s="3">
        <v>7</v>
      </c>
      <c r="U208" s="3">
        <v>7</v>
      </c>
      <c r="V208" t="s">
        <v>169</v>
      </c>
      <c r="W208" s="3">
        <v>10</v>
      </c>
      <c r="X208" s="3" t="s">
        <v>28</v>
      </c>
      <c r="Y208">
        <v>49</v>
      </c>
      <c r="Z208">
        <v>24.5</v>
      </c>
      <c r="AA208">
        <v>57</v>
      </c>
      <c r="AB208">
        <v>7</v>
      </c>
      <c r="AC208">
        <v>28.499999999999996</v>
      </c>
      <c r="AD208">
        <v>65</v>
      </c>
      <c r="AE208">
        <v>6</v>
      </c>
      <c r="AF208">
        <v>30</v>
      </c>
      <c r="AG208" s="3">
        <v>7</v>
      </c>
      <c r="AH208" s="3">
        <v>40762</v>
      </c>
      <c r="AI208" t="s">
        <v>36</v>
      </c>
      <c r="AJ208" t="s">
        <v>22</v>
      </c>
      <c r="AK208" t="s">
        <v>22</v>
      </c>
      <c r="AL208">
        <v>16087</v>
      </c>
    </row>
    <row r="209" spans="1:38" x14ac:dyDescent="0.25">
      <c r="A209" s="3" t="str">
        <f>UPPER(TEXT(Tabela1[[#This Row],[Data]],"MMM"))</f>
        <v>OUT</v>
      </c>
      <c r="B209" t="s">
        <v>619</v>
      </c>
      <c r="C209" s="1" t="s">
        <v>620</v>
      </c>
      <c r="D209" s="1" t="s">
        <v>621</v>
      </c>
      <c r="E209" t="s">
        <v>18</v>
      </c>
      <c r="F209" s="2" t="s">
        <v>618</v>
      </c>
      <c r="G209" s="3">
        <v>2</v>
      </c>
      <c r="H209" s="3">
        <v>7</v>
      </c>
      <c r="I209" s="3">
        <v>7</v>
      </c>
      <c r="J209" s="3">
        <v>7</v>
      </c>
      <c r="K209" s="3">
        <v>5</v>
      </c>
      <c r="L209">
        <v>22</v>
      </c>
      <c r="M209">
        <v>15</v>
      </c>
      <c r="N209">
        <v>78</v>
      </c>
      <c r="O209">
        <v>85</v>
      </c>
      <c r="P209" s="3">
        <v>5</v>
      </c>
      <c r="Q209" s="3">
        <v>7</v>
      </c>
      <c r="R209" s="3">
        <v>7</v>
      </c>
      <c r="S209" s="3">
        <v>7</v>
      </c>
      <c r="T209" s="3">
        <v>7</v>
      </c>
      <c r="U209" s="3">
        <v>7</v>
      </c>
      <c r="V209" t="s">
        <v>169</v>
      </c>
      <c r="W209" s="3">
        <v>7</v>
      </c>
      <c r="X209" s="3">
        <v>7</v>
      </c>
      <c r="Y209">
        <v>49</v>
      </c>
      <c r="Z209">
        <v>24.5</v>
      </c>
      <c r="AA209">
        <v>61</v>
      </c>
      <c r="AB209">
        <v>7</v>
      </c>
      <c r="AC209">
        <v>30.5</v>
      </c>
      <c r="AD209">
        <v>65</v>
      </c>
      <c r="AE209">
        <v>4</v>
      </c>
      <c r="AF209">
        <v>20</v>
      </c>
      <c r="AG209" s="3">
        <v>10</v>
      </c>
      <c r="AH209" s="3">
        <v>995638</v>
      </c>
      <c r="AI209" t="s">
        <v>63</v>
      </c>
      <c r="AJ209" t="s">
        <v>22</v>
      </c>
      <c r="AK209" t="s">
        <v>22</v>
      </c>
      <c r="AL209">
        <v>22924</v>
      </c>
    </row>
    <row r="210" spans="1:38" x14ac:dyDescent="0.25">
      <c r="A210" s="3" t="str">
        <f>UPPER(TEXT(Tabela1[[#This Row],[Data]],"MMM"))</f>
        <v>OUT</v>
      </c>
      <c r="B210" t="s">
        <v>622</v>
      </c>
      <c r="C210" s="1" t="s">
        <v>623</v>
      </c>
      <c r="D210" s="1" t="s">
        <v>621</v>
      </c>
      <c r="E210" t="s">
        <v>18</v>
      </c>
      <c r="F210" s="2" t="s">
        <v>618</v>
      </c>
      <c r="G210" s="3">
        <v>2</v>
      </c>
      <c r="H210" s="3">
        <v>7</v>
      </c>
      <c r="I210" s="3">
        <v>7</v>
      </c>
      <c r="J210" s="3">
        <v>7</v>
      </c>
      <c r="K210" s="3">
        <v>5</v>
      </c>
      <c r="L210">
        <v>38</v>
      </c>
      <c r="M210">
        <v>23</v>
      </c>
      <c r="N210">
        <v>62</v>
      </c>
      <c r="O210">
        <v>77</v>
      </c>
      <c r="P210" s="3">
        <v>7</v>
      </c>
      <c r="Q210" s="3">
        <v>7</v>
      </c>
      <c r="R210" s="3">
        <v>7</v>
      </c>
      <c r="S210" s="3">
        <v>7</v>
      </c>
      <c r="T210" s="3">
        <v>7</v>
      </c>
      <c r="U210" s="3">
        <v>7</v>
      </c>
      <c r="V210" t="s">
        <v>169</v>
      </c>
      <c r="W210" s="3" t="s">
        <v>28</v>
      </c>
      <c r="X210" s="3" t="s">
        <v>28</v>
      </c>
      <c r="Y210">
        <v>66</v>
      </c>
      <c r="Z210">
        <v>33</v>
      </c>
      <c r="AA210">
        <v>64</v>
      </c>
      <c r="AB210">
        <v>5</v>
      </c>
      <c r="AC210">
        <v>32</v>
      </c>
      <c r="AD210">
        <v>75</v>
      </c>
      <c r="AE210">
        <v>5</v>
      </c>
      <c r="AF210">
        <v>25</v>
      </c>
      <c r="AG210" s="3">
        <v>7</v>
      </c>
      <c r="AH210" s="3">
        <v>42854</v>
      </c>
      <c r="AI210" t="s">
        <v>36</v>
      </c>
      <c r="AJ210" t="s">
        <v>22</v>
      </c>
      <c r="AK210" t="s">
        <v>22</v>
      </c>
      <c r="AL210">
        <v>32373</v>
      </c>
    </row>
    <row r="211" spans="1:38" x14ac:dyDescent="0.25">
      <c r="A211" s="3" t="str">
        <f>UPPER(TEXT(Tabela1[[#This Row],[Data]],"MMM"))</f>
        <v>OUT</v>
      </c>
      <c r="B211" t="s">
        <v>624</v>
      </c>
      <c r="C211" s="1" t="s">
        <v>625</v>
      </c>
      <c r="D211" s="1" t="s">
        <v>626</v>
      </c>
      <c r="E211" t="s">
        <v>18</v>
      </c>
      <c r="F211" s="2" t="s">
        <v>618</v>
      </c>
      <c r="G211" s="3">
        <v>2</v>
      </c>
      <c r="H211" s="3">
        <v>7</v>
      </c>
      <c r="I211" s="3">
        <v>7</v>
      </c>
      <c r="J211" s="3">
        <v>7</v>
      </c>
      <c r="K211" s="3">
        <v>7</v>
      </c>
      <c r="L211">
        <v>30</v>
      </c>
      <c r="M211">
        <v>22</v>
      </c>
      <c r="N211">
        <v>70</v>
      </c>
      <c r="O211">
        <v>78</v>
      </c>
      <c r="P211" s="3">
        <v>7</v>
      </c>
      <c r="Q211" s="3">
        <v>7</v>
      </c>
      <c r="R211" s="3">
        <v>7</v>
      </c>
      <c r="S211" s="3">
        <v>7</v>
      </c>
      <c r="T211" s="3">
        <v>7</v>
      </c>
      <c r="U211" s="3">
        <v>7</v>
      </c>
      <c r="V211" t="s">
        <v>169</v>
      </c>
      <c r="W211" s="3">
        <v>7</v>
      </c>
      <c r="X211" s="3">
        <v>7</v>
      </c>
      <c r="Y211">
        <v>49</v>
      </c>
      <c r="Z211">
        <v>24.5</v>
      </c>
      <c r="AA211">
        <v>61</v>
      </c>
      <c r="AB211">
        <v>5</v>
      </c>
      <c r="AC211">
        <v>30.5</v>
      </c>
      <c r="AD211">
        <v>75</v>
      </c>
      <c r="AE211">
        <v>4</v>
      </c>
      <c r="AF211">
        <v>20</v>
      </c>
      <c r="AG211" s="3">
        <v>10</v>
      </c>
      <c r="AH211" s="3">
        <v>15105</v>
      </c>
      <c r="AI211" t="s">
        <v>63</v>
      </c>
      <c r="AJ211" t="s">
        <v>22</v>
      </c>
      <c r="AK211" t="s">
        <v>22</v>
      </c>
      <c r="AL211">
        <v>36253</v>
      </c>
    </row>
    <row r="212" spans="1:38" x14ac:dyDescent="0.25">
      <c r="A212" s="3" t="str">
        <f>UPPER(TEXT(Tabela1[[#This Row],[Data]],"MMM"))</f>
        <v>OUT</v>
      </c>
      <c r="B212" t="s">
        <v>627</v>
      </c>
      <c r="C212" s="1" t="s">
        <v>628</v>
      </c>
      <c r="D212" s="1" t="s">
        <v>629</v>
      </c>
      <c r="E212" t="s">
        <v>18</v>
      </c>
      <c r="F212" s="2" t="s">
        <v>630</v>
      </c>
      <c r="G212" s="3">
        <v>2</v>
      </c>
      <c r="H212" s="3">
        <v>7</v>
      </c>
      <c r="I212" s="3">
        <v>10</v>
      </c>
      <c r="J212" s="3">
        <v>7</v>
      </c>
      <c r="K212" s="3">
        <v>5</v>
      </c>
      <c r="L212">
        <v>23</v>
      </c>
      <c r="M212">
        <v>29</v>
      </c>
      <c r="N212">
        <v>77</v>
      </c>
      <c r="O212">
        <v>71</v>
      </c>
      <c r="P212" s="3">
        <v>7</v>
      </c>
      <c r="Q212" s="3">
        <v>7</v>
      </c>
      <c r="R212" s="3">
        <v>7</v>
      </c>
      <c r="S212" s="3">
        <v>7</v>
      </c>
      <c r="T212" s="3">
        <v>7</v>
      </c>
      <c r="U212" s="3" t="s">
        <v>28</v>
      </c>
      <c r="V212" t="s">
        <v>169</v>
      </c>
      <c r="W212" s="3">
        <v>10</v>
      </c>
      <c r="X212" s="3">
        <v>7</v>
      </c>
      <c r="Y212">
        <v>62</v>
      </c>
      <c r="Z212">
        <v>31</v>
      </c>
      <c r="AA212">
        <v>49</v>
      </c>
      <c r="AB212">
        <v>5</v>
      </c>
      <c r="AC212">
        <v>24.5</v>
      </c>
      <c r="AD212">
        <v>75</v>
      </c>
      <c r="AE212">
        <v>3</v>
      </c>
      <c r="AF212">
        <v>15</v>
      </c>
      <c r="AG212" s="3">
        <v>7</v>
      </c>
      <c r="AH212" s="3">
        <v>40762</v>
      </c>
      <c r="AI212" t="s">
        <v>205</v>
      </c>
      <c r="AJ212" t="s">
        <v>22</v>
      </c>
      <c r="AK212" t="s">
        <v>22</v>
      </c>
      <c r="AL212">
        <v>13342</v>
      </c>
    </row>
    <row r="213" spans="1:38" x14ac:dyDescent="0.25">
      <c r="A213" s="3" t="str">
        <f>UPPER(TEXT(Tabela1[[#This Row],[Data]],"MMM"))</f>
        <v>OUT</v>
      </c>
      <c r="B213" t="s">
        <v>631</v>
      </c>
      <c r="C213" s="1" t="s">
        <v>632</v>
      </c>
      <c r="D213" s="1" t="s">
        <v>633</v>
      </c>
      <c r="E213" t="s">
        <v>18</v>
      </c>
      <c r="F213" s="2" t="s">
        <v>630</v>
      </c>
      <c r="G213" s="3">
        <v>2</v>
      </c>
      <c r="H213" s="3">
        <v>7</v>
      </c>
      <c r="I213" s="3">
        <v>7</v>
      </c>
      <c r="J213" s="3">
        <v>7</v>
      </c>
      <c r="K213" s="3">
        <v>7</v>
      </c>
      <c r="L213">
        <v>22</v>
      </c>
      <c r="M213">
        <v>23</v>
      </c>
      <c r="N213">
        <v>78</v>
      </c>
      <c r="O213">
        <v>77</v>
      </c>
      <c r="P213" s="3">
        <v>7</v>
      </c>
      <c r="Q213" s="3">
        <v>7</v>
      </c>
      <c r="R213" s="3">
        <v>7</v>
      </c>
      <c r="S213" s="3">
        <v>7</v>
      </c>
      <c r="T213" s="3">
        <v>7</v>
      </c>
      <c r="U213" s="3" t="s">
        <v>28</v>
      </c>
      <c r="V213" t="s">
        <v>169</v>
      </c>
      <c r="W213" s="3">
        <v>10</v>
      </c>
      <c r="X213" s="3">
        <v>10</v>
      </c>
      <c r="Y213">
        <v>42</v>
      </c>
      <c r="Z213">
        <v>21</v>
      </c>
      <c r="AA213">
        <v>47</v>
      </c>
      <c r="AB213">
        <v>8</v>
      </c>
      <c r="AC213">
        <v>23.5</v>
      </c>
      <c r="AD213">
        <v>60</v>
      </c>
      <c r="AE213">
        <v>4</v>
      </c>
      <c r="AF213">
        <v>20</v>
      </c>
      <c r="AG213" s="3">
        <v>7</v>
      </c>
      <c r="AH213" s="3">
        <v>42846</v>
      </c>
      <c r="AI213" t="s">
        <v>36</v>
      </c>
      <c r="AJ213" t="s">
        <v>22</v>
      </c>
      <c r="AK213" t="s">
        <v>22</v>
      </c>
      <c r="AL213">
        <v>16090</v>
      </c>
    </row>
    <row r="214" spans="1:38" x14ac:dyDescent="0.25">
      <c r="A214" s="3" t="str">
        <f>UPPER(TEXT(Tabela1[[#This Row],[Data]],"MMM"))</f>
        <v>OUT</v>
      </c>
      <c r="B214" t="s">
        <v>634</v>
      </c>
      <c r="C214" s="1" t="s">
        <v>635</v>
      </c>
      <c r="D214" s="1" t="s">
        <v>633</v>
      </c>
      <c r="E214" t="s">
        <v>18</v>
      </c>
      <c r="F214" s="2" t="s">
        <v>630</v>
      </c>
      <c r="G214" s="3">
        <v>2</v>
      </c>
      <c r="H214" s="3">
        <v>7</v>
      </c>
      <c r="I214" s="3">
        <v>7</v>
      </c>
      <c r="J214" s="3">
        <v>7</v>
      </c>
      <c r="K214" s="3">
        <v>5</v>
      </c>
      <c r="L214">
        <v>21</v>
      </c>
      <c r="M214">
        <v>25</v>
      </c>
      <c r="N214">
        <v>79</v>
      </c>
      <c r="O214">
        <v>75</v>
      </c>
      <c r="P214" s="3">
        <v>7</v>
      </c>
      <c r="Q214" s="3">
        <v>7</v>
      </c>
      <c r="R214" s="3">
        <v>7</v>
      </c>
      <c r="S214" s="3">
        <v>7</v>
      </c>
      <c r="T214" s="3">
        <v>7</v>
      </c>
      <c r="U214" s="3" t="s">
        <v>28</v>
      </c>
      <c r="V214" t="s">
        <v>20</v>
      </c>
      <c r="W214" s="3" t="s">
        <v>28</v>
      </c>
      <c r="X214" s="3" t="s">
        <v>28</v>
      </c>
      <c r="Y214">
        <v>44</v>
      </c>
      <c r="Z214">
        <v>22</v>
      </c>
      <c r="AA214">
        <v>43</v>
      </c>
      <c r="AB214">
        <v>5</v>
      </c>
      <c r="AC214">
        <v>21.5</v>
      </c>
      <c r="AD214">
        <v>75</v>
      </c>
      <c r="AE214">
        <v>5</v>
      </c>
      <c r="AF214">
        <v>25</v>
      </c>
      <c r="AG214" s="3">
        <v>10</v>
      </c>
      <c r="AH214" s="3">
        <v>995638</v>
      </c>
      <c r="AI214" t="s">
        <v>355</v>
      </c>
      <c r="AJ214" t="s">
        <v>22</v>
      </c>
      <c r="AK214" t="s">
        <v>22</v>
      </c>
      <c r="AL214">
        <v>27178</v>
      </c>
    </row>
    <row r="215" spans="1:38" x14ac:dyDescent="0.25">
      <c r="A215" s="3" t="str">
        <f>UPPER(TEXT(Tabela1[[#This Row],[Data]],"MMM"))</f>
        <v>OUT</v>
      </c>
      <c r="B215" t="s">
        <v>636</v>
      </c>
      <c r="C215" s="1" t="s">
        <v>637</v>
      </c>
      <c r="D215" s="1" t="s">
        <v>633</v>
      </c>
      <c r="E215" t="s">
        <v>18</v>
      </c>
      <c r="F215" s="2" t="s">
        <v>630</v>
      </c>
      <c r="G215" s="3">
        <v>2</v>
      </c>
      <c r="H215" s="3">
        <v>7</v>
      </c>
      <c r="I215" s="3">
        <v>7</v>
      </c>
      <c r="J215" s="3">
        <v>7</v>
      </c>
      <c r="K215" s="3">
        <v>5</v>
      </c>
      <c r="L215">
        <v>37</v>
      </c>
      <c r="M215">
        <v>23</v>
      </c>
      <c r="N215">
        <v>63</v>
      </c>
      <c r="O215">
        <v>77</v>
      </c>
      <c r="P215" s="3">
        <v>7</v>
      </c>
      <c r="Q215" s="3">
        <v>7</v>
      </c>
      <c r="R215" s="3">
        <v>7</v>
      </c>
      <c r="S215" s="3">
        <v>7</v>
      </c>
      <c r="T215" s="3">
        <v>7</v>
      </c>
      <c r="U215" s="3">
        <v>7</v>
      </c>
      <c r="V215" t="s">
        <v>169</v>
      </c>
      <c r="W215" s="3">
        <v>10</v>
      </c>
      <c r="X215" s="3">
        <v>7</v>
      </c>
      <c r="Y215">
        <v>56</v>
      </c>
      <c r="Z215">
        <v>28.000000000000004</v>
      </c>
      <c r="AA215">
        <v>50</v>
      </c>
      <c r="AB215">
        <v>4</v>
      </c>
      <c r="AC215">
        <v>25</v>
      </c>
      <c r="AD215">
        <v>80</v>
      </c>
      <c r="AE215">
        <v>5</v>
      </c>
      <c r="AF215">
        <v>25</v>
      </c>
      <c r="AG215" s="3">
        <v>10</v>
      </c>
      <c r="AH215" s="3">
        <v>15105</v>
      </c>
      <c r="AI215" t="s">
        <v>63</v>
      </c>
      <c r="AJ215" t="s">
        <v>28</v>
      </c>
      <c r="AK215" t="s">
        <v>28</v>
      </c>
      <c r="AL215">
        <v>34480</v>
      </c>
    </row>
    <row r="216" spans="1:38" x14ac:dyDescent="0.25">
      <c r="A216" s="3" t="str">
        <f>UPPER(TEXT(Tabela1[[#This Row],[Data]],"MMM"))</f>
        <v>OUT</v>
      </c>
      <c r="B216" s="30" t="s">
        <v>638</v>
      </c>
      <c r="C216" s="1" t="s">
        <v>639</v>
      </c>
      <c r="D216" s="1" t="s">
        <v>640</v>
      </c>
      <c r="E216" t="s">
        <v>18</v>
      </c>
      <c r="F216" s="2" t="s">
        <v>641</v>
      </c>
      <c r="G216" s="3">
        <v>2</v>
      </c>
      <c r="H216" s="3">
        <v>7</v>
      </c>
      <c r="I216" s="3">
        <v>10</v>
      </c>
      <c r="J216" s="3">
        <v>7</v>
      </c>
      <c r="K216" s="3">
        <v>5</v>
      </c>
      <c r="L216">
        <v>32</v>
      </c>
      <c r="M216">
        <v>33</v>
      </c>
      <c r="N216">
        <v>68</v>
      </c>
      <c r="O216">
        <v>67</v>
      </c>
      <c r="P216" s="3">
        <v>7</v>
      </c>
      <c r="Q216" s="3">
        <v>7</v>
      </c>
      <c r="R216" s="3">
        <v>7</v>
      </c>
      <c r="S216" s="3">
        <v>7</v>
      </c>
      <c r="T216" s="3">
        <v>7</v>
      </c>
      <c r="U216" s="3">
        <v>5</v>
      </c>
      <c r="V216" t="s">
        <v>20</v>
      </c>
      <c r="W216" s="3">
        <v>7</v>
      </c>
      <c r="X216" s="3">
        <v>7</v>
      </c>
      <c r="Y216">
        <v>48</v>
      </c>
      <c r="Z216">
        <v>24</v>
      </c>
      <c r="AA216">
        <v>47</v>
      </c>
      <c r="AB216">
        <v>9</v>
      </c>
      <c r="AC216">
        <v>23.5</v>
      </c>
      <c r="AD216">
        <v>55</v>
      </c>
      <c r="AE216">
        <v>4</v>
      </c>
      <c r="AF216">
        <v>20</v>
      </c>
      <c r="AG216" s="3">
        <v>10</v>
      </c>
      <c r="AH216" s="3">
        <v>995638</v>
      </c>
      <c r="AI216" t="s">
        <v>186</v>
      </c>
      <c r="AJ216" t="s">
        <v>22</v>
      </c>
      <c r="AK216" t="s">
        <v>22</v>
      </c>
      <c r="AL216">
        <v>7341</v>
      </c>
    </row>
    <row r="217" spans="1:38" x14ac:dyDescent="0.25">
      <c r="A217" s="3" t="str">
        <f>UPPER(TEXT(Tabela1[[#This Row],[Data]],"MMM"))</f>
        <v>OUT</v>
      </c>
      <c r="B217" t="s">
        <v>642</v>
      </c>
      <c r="C217" s="1" t="s">
        <v>643</v>
      </c>
      <c r="D217" s="1" t="s">
        <v>644</v>
      </c>
      <c r="E217" t="s">
        <v>18</v>
      </c>
      <c r="F217" s="2" t="s">
        <v>641</v>
      </c>
      <c r="G217" s="3">
        <v>2</v>
      </c>
      <c r="H217" s="3">
        <v>7</v>
      </c>
      <c r="I217" s="3">
        <v>10</v>
      </c>
      <c r="J217" s="3">
        <v>10</v>
      </c>
      <c r="K217" s="3">
        <v>7</v>
      </c>
      <c r="L217">
        <v>33</v>
      </c>
      <c r="M217">
        <v>39</v>
      </c>
      <c r="N217">
        <v>67</v>
      </c>
      <c r="O217">
        <v>61</v>
      </c>
      <c r="P217" s="3">
        <v>5</v>
      </c>
      <c r="Q217" s="3">
        <v>7</v>
      </c>
      <c r="R217" s="3">
        <v>7</v>
      </c>
      <c r="S217" s="3">
        <v>7</v>
      </c>
      <c r="T217" s="3">
        <v>7</v>
      </c>
      <c r="U217" s="3">
        <v>7</v>
      </c>
      <c r="V217" t="s">
        <v>20</v>
      </c>
      <c r="W217" s="3">
        <v>7</v>
      </c>
      <c r="X217" s="3">
        <v>7</v>
      </c>
      <c r="Y217">
        <v>66</v>
      </c>
      <c r="Z217">
        <v>33</v>
      </c>
      <c r="AA217">
        <v>46</v>
      </c>
      <c r="AB217">
        <v>9</v>
      </c>
      <c r="AC217">
        <v>23</v>
      </c>
      <c r="AD217">
        <v>55</v>
      </c>
      <c r="AE217">
        <v>2</v>
      </c>
      <c r="AF217">
        <v>10</v>
      </c>
      <c r="AG217" s="3">
        <v>10</v>
      </c>
      <c r="AH217" s="3">
        <v>15105</v>
      </c>
      <c r="AI217" t="s">
        <v>645</v>
      </c>
      <c r="AJ217" t="s">
        <v>22</v>
      </c>
      <c r="AK217" t="s">
        <v>22</v>
      </c>
      <c r="AL217">
        <v>26271</v>
      </c>
    </row>
    <row r="218" spans="1:38" x14ac:dyDescent="0.25">
      <c r="A218" s="3" t="str">
        <f>UPPER(TEXT(Tabela1[[#This Row],[Data]],"MMM"))</f>
        <v>OUT</v>
      </c>
      <c r="B218" t="s">
        <v>646</v>
      </c>
      <c r="C218" s="1"/>
      <c r="D218" s="1"/>
      <c r="E218" t="s">
        <v>299</v>
      </c>
      <c r="F218" s="2" t="s">
        <v>641</v>
      </c>
      <c r="G218" s="3">
        <v>1</v>
      </c>
      <c r="H218" s="3">
        <v>7</v>
      </c>
      <c r="I218" s="3">
        <v>10</v>
      </c>
      <c r="J218" s="3">
        <v>7</v>
      </c>
      <c r="K218" s="3">
        <v>5</v>
      </c>
      <c r="L218">
        <v>20</v>
      </c>
      <c r="M218">
        <v>29</v>
      </c>
      <c r="N218">
        <v>80</v>
      </c>
      <c r="O218">
        <v>71</v>
      </c>
      <c r="P218" s="3">
        <v>5</v>
      </c>
      <c r="Q218" s="3">
        <v>7</v>
      </c>
      <c r="R218" s="3">
        <v>10</v>
      </c>
      <c r="S218" s="3">
        <v>5</v>
      </c>
      <c r="T218" s="3">
        <v>5</v>
      </c>
      <c r="U218" s="3">
        <v>5</v>
      </c>
      <c r="W218" s="3">
        <v>5</v>
      </c>
      <c r="X218" s="3" t="s">
        <v>28</v>
      </c>
      <c r="Y218">
        <v>110</v>
      </c>
      <c r="Z218">
        <v>55.000000000000007</v>
      </c>
      <c r="AA218">
        <v>84</v>
      </c>
      <c r="AB218">
        <v>12</v>
      </c>
      <c r="AC218">
        <v>42</v>
      </c>
      <c r="AD218">
        <v>40</v>
      </c>
      <c r="AE218">
        <v>0</v>
      </c>
      <c r="AF218">
        <v>0</v>
      </c>
    </row>
    <row r="219" spans="1:38" x14ac:dyDescent="0.25">
      <c r="A219" s="3" t="str">
        <f>UPPER(TEXT(Tabela1[[#This Row],[Data]],"MMM"))</f>
        <v>OUT</v>
      </c>
      <c r="B219" t="s">
        <v>647</v>
      </c>
      <c r="C219" s="1"/>
      <c r="D219" s="1"/>
      <c r="E219" t="s">
        <v>299</v>
      </c>
      <c r="F219" s="2" t="s">
        <v>618</v>
      </c>
      <c r="G219" s="3">
        <v>2</v>
      </c>
      <c r="H219" s="3">
        <v>7</v>
      </c>
      <c r="I219" s="3">
        <v>7</v>
      </c>
      <c r="J219" s="3">
        <v>10</v>
      </c>
      <c r="K219" s="3">
        <v>10</v>
      </c>
      <c r="L219">
        <v>20</v>
      </c>
      <c r="M219">
        <v>28</v>
      </c>
      <c r="N219">
        <v>80</v>
      </c>
      <c r="O219">
        <v>72</v>
      </c>
      <c r="P219" s="3">
        <v>7</v>
      </c>
      <c r="Q219" s="3">
        <v>7</v>
      </c>
      <c r="R219" s="3">
        <v>10</v>
      </c>
      <c r="S219" s="3">
        <v>7</v>
      </c>
      <c r="T219" s="3">
        <v>7</v>
      </c>
      <c r="U219" s="3">
        <v>10</v>
      </c>
      <c r="W219" s="3" t="s">
        <v>28</v>
      </c>
      <c r="X219" s="3" t="s">
        <v>28</v>
      </c>
      <c r="Y219">
        <v>77</v>
      </c>
      <c r="Z219">
        <v>38.5</v>
      </c>
      <c r="AA219">
        <v>72</v>
      </c>
      <c r="AB219">
        <v>11</v>
      </c>
      <c r="AC219">
        <v>36</v>
      </c>
      <c r="AD219">
        <v>44.999999999999993</v>
      </c>
      <c r="AE219">
        <v>3</v>
      </c>
      <c r="AF219">
        <v>15</v>
      </c>
    </row>
    <row r="220" spans="1:38" x14ac:dyDescent="0.25">
      <c r="A220" s="3" t="str">
        <f>UPPER(TEXT(Tabela1[[#This Row],[Data]],"MMM"))</f>
        <v>OUT</v>
      </c>
      <c r="B220" t="s">
        <v>648</v>
      </c>
      <c r="C220" s="1"/>
      <c r="D220" s="1"/>
      <c r="E220" t="s">
        <v>299</v>
      </c>
      <c r="F220" s="2" t="s">
        <v>618</v>
      </c>
      <c r="G220" s="3">
        <v>1</v>
      </c>
      <c r="H220" s="3">
        <v>10</v>
      </c>
      <c r="I220" s="3">
        <v>5</v>
      </c>
      <c r="J220" s="3">
        <v>10</v>
      </c>
      <c r="K220" s="3">
        <v>7</v>
      </c>
      <c r="L220">
        <v>19</v>
      </c>
      <c r="M220">
        <v>32</v>
      </c>
      <c r="N220">
        <v>81</v>
      </c>
      <c r="O220">
        <v>68</v>
      </c>
      <c r="P220" s="3">
        <v>5</v>
      </c>
      <c r="Q220" s="3">
        <v>7</v>
      </c>
      <c r="R220" s="3">
        <v>10</v>
      </c>
      <c r="S220" s="3">
        <v>7</v>
      </c>
      <c r="T220" s="3">
        <v>7</v>
      </c>
      <c r="U220" s="3">
        <v>7</v>
      </c>
      <c r="W220" s="3">
        <v>10</v>
      </c>
      <c r="X220" s="3">
        <v>10</v>
      </c>
      <c r="Y220">
        <v>52</v>
      </c>
      <c r="Z220">
        <v>26</v>
      </c>
      <c r="AA220">
        <v>94</v>
      </c>
      <c r="AB220">
        <v>14</v>
      </c>
      <c r="AC220">
        <v>47</v>
      </c>
      <c r="AD220">
        <v>30</v>
      </c>
      <c r="AE220">
        <v>3</v>
      </c>
      <c r="AF220">
        <v>15</v>
      </c>
    </row>
    <row r="221" spans="1:38" x14ac:dyDescent="0.25">
      <c r="A221" s="3" t="str">
        <f>UPPER(TEXT(Tabela1[[#This Row],[Data]],"MMM"))</f>
        <v>OUT</v>
      </c>
      <c r="B221" t="s">
        <v>649</v>
      </c>
      <c r="C221" s="1"/>
      <c r="D221" s="1"/>
      <c r="E221" t="s">
        <v>299</v>
      </c>
      <c r="F221" s="2" t="s">
        <v>630</v>
      </c>
      <c r="G221" s="3">
        <v>1</v>
      </c>
      <c r="H221" s="3">
        <v>10</v>
      </c>
      <c r="I221" s="3">
        <v>7</v>
      </c>
      <c r="J221" s="3">
        <v>10</v>
      </c>
      <c r="K221" s="3">
        <v>5</v>
      </c>
      <c r="L221">
        <v>16</v>
      </c>
      <c r="M221">
        <v>32</v>
      </c>
      <c r="N221">
        <v>84</v>
      </c>
      <c r="O221">
        <v>68</v>
      </c>
      <c r="P221" s="3">
        <v>5</v>
      </c>
      <c r="Q221" s="3">
        <v>10</v>
      </c>
      <c r="R221" s="3">
        <v>10</v>
      </c>
      <c r="S221" s="3">
        <v>7</v>
      </c>
      <c r="T221" s="3">
        <v>7</v>
      </c>
      <c r="U221" s="3">
        <v>10</v>
      </c>
      <c r="W221" s="3">
        <v>10</v>
      </c>
      <c r="X221" s="3" t="s">
        <v>28</v>
      </c>
      <c r="Y221">
        <v>127</v>
      </c>
      <c r="Z221">
        <v>63.5</v>
      </c>
      <c r="AA221">
        <v>34</v>
      </c>
      <c r="AB221">
        <v>16</v>
      </c>
      <c r="AC221">
        <v>17</v>
      </c>
      <c r="AD221">
        <v>20</v>
      </c>
      <c r="AE221">
        <v>0</v>
      </c>
      <c r="AF221">
        <v>0</v>
      </c>
    </row>
    <row r="222" spans="1:38" x14ac:dyDescent="0.25">
      <c r="A222" s="3" t="str">
        <f>UPPER(TEXT(Tabela1[[#This Row],[Data]],"MMM"))</f>
        <v>OUT</v>
      </c>
      <c r="B222" t="s">
        <v>650</v>
      </c>
      <c r="C222" s="1"/>
      <c r="D222" s="1"/>
      <c r="E222" t="s">
        <v>299</v>
      </c>
      <c r="F222" s="2" t="s">
        <v>595</v>
      </c>
      <c r="G222" s="3">
        <v>1</v>
      </c>
      <c r="H222" s="3">
        <v>7</v>
      </c>
      <c r="I222" s="3">
        <v>10</v>
      </c>
      <c r="J222" s="3">
        <v>10</v>
      </c>
      <c r="K222" s="3">
        <v>5</v>
      </c>
      <c r="L222">
        <v>21</v>
      </c>
      <c r="M222">
        <v>36</v>
      </c>
      <c r="N222">
        <v>79</v>
      </c>
      <c r="O222">
        <v>64</v>
      </c>
      <c r="P222" s="3">
        <v>7</v>
      </c>
      <c r="Q222" s="3">
        <v>7</v>
      </c>
      <c r="R222" s="3">
        <v>10</v>
      </c>
      <c r="S222" s="3">
        <v>7</v>
      </c>
      <c r="T222" s="3">
        <v>7</v>
      </c>
      <c r="U222" s="3">
        <v>5</v>
      </c>
      <c r="W222" s="3">
        <v>7</v>
      </c>
      <c r="X222" s="3" t="s">
        <v>28</v>
      </c>
      <c r="Y222">
        <v>59</v>
      </c>
      <c r="Z222">
        <v>29.5</v>
      </c>
      <c r="AA222">
        <v>83</v>
      </c>
      <c r="AB222">
        <v>13</v>
      </c>
      <c r="AC222">
        <v>41.5</v>
      </c>
      <c r="AD222">
        <v>35</v>
      </c>
      <c r="AE222">
        <v>2</v>
      </c>
      <c r="AF222">
        <v>10</v>
      </c>
    </row>
    <row r="223" spans="1:38" x14ac:dyDescent="0.25">
      <c r="A223" s="3" t="str">
        <f>UPPER(TEXT(Tabela1[[#This Row],[Data]],"MMM"))</f>
        <v>OUT</v>
      </c>
      <c r="B223" t="s">
        <v>651</v>
      </c>
      <c r="C223" s="1"/>
      <c r="D223" s="1"/>
      <c r="E223" t="s">
        <v>299</v>
      </c>
      <c r="F223" s="2" t="s">
        <v>607</v>
      </c>
      <c r="G223" s="3">
        <v>1</v>
      </c>
      <c r="H223" s="3">
        <v>10</v>
      </c>
      <c r="I223" s="3">
        <v>5</v>
      </c>
      <c r="J223" s="3">
        <v>7</v>
      </c>
      <c r="K223" s="3">
        <v>7</v>
      </c>
      <c r="L223">
        <v>17</v>
      </c>
      <c r="M223">
        <v>29</v>
      </c>
      <c r="N223">
        <v>83</v>
      </c>
      <c r="O223">
        <v>71</v>
      </c>
      <c r="P223" s="3">
        <v>5</v>
      </c>
      <c r="Q223" s="3">
        <v>7</v>
      </c>
      <c r="R223" s="3">
        <v>10</v>
      </c>
      <c r="S223" s="3">
        <v>5</v>
      </c>
      <c r="T223" s="3">
        <v>7</v>
      </c>
      <c r="U223" s="3">
        <v>5</v>
      </c>
      <c r="W223" s="3">
        <v>10</v>
      </c>
      <c r="X223" s="3" t="s">
        <v>28</v>
      </c>
      <c r="Y223">
        <v>95</v>
      </c>
      <c r="Z223">
        <v>47.5</v>
      </c>
      <c r="AA223">
        <v>95</v>
      </c>
      <c r="AB223">
        <v>9</v>
      </c>
      <c r="AC223">
        <v>47.5</v>
      </c>
      <c r="AD223">
        <v>55</v>
      </c>
      <c r="AE223">
        <v>0</v>
      </c>
      <c r="AF223">
        <v>0</v>
      </c>
    </row>
    <row r="224" spans="1:38" x14ac:dyDescent="0.25">
      <c r="A224" s="3" t="str">
        <f>UPPER(TEXT(Tabela1[[#This Row],[Data]],"MMM"))</f>
        <v>OUT</v>
      </c>
      <c r="B224" t="s">
        <v>652</v>
      </c>
      <c r="C224" s="1"/>
      <c r="D224" s="1"/>
      <c r="E224" t="s">
        <v>299</v>
      </c>
      <c r="F224" s="2" t="s">
        <v>584</v>
      </c>
      <c r="G224" s="3">
        <v>2</v>
      </c>
      <c r="H224" s="3">
        <v>10</v>
      </c>
      <c r="I224" s="3">
        <v>5</v>
      </c>
      <c r="J224" s="3">
        <v>10</v>
      </c>
      <c r="K224" s="3">
        <v>5</v>
      </c>
      <c r="L224">
        <v>22</v>
      </c>
      <c r="M224">
        <v>34</v>
      </c>
      <c r="N224">
        <v>78</v>
      </c>
      <c r="O224">
        <v>66</v>
      </c>
      <c r="P224" s="3">
        <v>7</v>
      </c>
      <c r="Q224" s="3">
        <v>7</v>
      </c>
      <c r="R224" s="3">
        <v>10</v>
      </c>
      <c r="S224" s="3">
        <v>7</v>
      </c>
      <c r="T224" s="3">
        <v>7</v>
      </c>
      <c r="U224" s="3">
        <v>10</v>
      </c>
      <c r="W224" s="3">
        <v>7</v>
      </c>
      <c r="X224" s="3">
        <v>7</v>
      </c>
      <c r="Y224">
        <v>38</v>
      </c>
      <c r="Z224">
        <v>19</v>
      </c>
      <c r="AA224">
        <v>84</v>
      </c>
      <c r="AB224">
        <v>14</v>
      </c>
      <c r="AC224">
        <v>42</v>
      </c>
      <c r="AD224">
        <v>30</v>
      </c>
      <c r="AE224">
        <v>2</v>
      </c>
      <c r="AF224">
        <v>10</v>
      </c>
    </row>
    <row r="225" spans="1:32" x14ac:dyDescent="0.25">
      <c r="A225" s="3" t="str">
        <f>UPPER(TEXT(Tabela1[[#This Row],[Data]],"MMM"))</f>
        <v>OUT</v>
      </c>
      <c r="B225" t="s">
        <v>653</v>
      </c>
      <c r="C225" s="1"/>
      <c r="D225" s="1"/>
      <c r="E225" t="s">
        <v>299</v>
      </c>
      <c r="F225" s="2" t="s">
        <v>584</v>
      </c>
      <c r="G225" s="3">
        <v>1</v>
      </c>
      <c r="H225" s="3">
        <v>10</v>
      </c>
      <c r="I225" s="3">
        <v>7</v>
      </c>
      <c r="J225" s="3">
        <v>7</v>
      </c>
      <c r="K225" s="3">
        <v>5</v>
      </c>
      <c r="L225">
        <v>17</v>
      </c>
      <c r="M225">
        <v>24</v>
      </c>
      <c r="N225">
        <v>83</v>
      </c>
      <c r="O225">
        <v>76</v>
      </c>
      <c r="P225" s="3">
        <v>5</v>
      </c>
      <c r="Q225" s="3">
        <v>7</v>
      </c>
      <c r="R225" s="3">
        <v>7</v>
      </c>
      <c r="S225" s="3">
        <v>7</v>
      </c>
      <c r="T225" s="3">
        <v>7</v>
      </c>
      <c r="U225" s="3">
        <v>5</v>
      </c>
      <c r="W225" s="3">
        <v>10</v>
      </c>
      <c r="X225" s="3" t="s">
        <v>28</v>
      </c>
      <c r="Y225">
        <v>74</v>
      </c>
      <c r="Z225">
        <v>37</v>
      </c>
      <c r="AA225">
        <v>37</v>
      </c>
      <c r="AB225">
        <v>14</v>
      </c>
      <c r="AC225">
        <v>18.5</v>
      </c>
      <c r="AD225">
        <v>30</v>
      </c>
      <c r="AE225">
        <v>5</v>
      </c>
      <c r="AF225">
        <v>25</v>
      </c>
    </row>
    <row r="226" spans="1:32" x14ac:dyDescent="0.25">
      <c r="A226" s="3" t="str">
        <f>UPPER(TEXT(Tabela1[[#This Row],[Data]],"MMM"))</f>
        <v>OUT</v>
      </c>
      <c r="B226" t="s">
        <v>654</v>
      </c>
      <c r="C226" s="1"/>
      <c r="D226" s="1"/>
      <c r="E226" t="s">
        <v>299</v>
      </c>
      <c r="F226" s="2" t="s">
        <v>562</v>
      </c>
      <c r="G226" s="3">
        <v>1</v>
      </c>
      <c r="H226" s="3">
        <v>10</v>
      </c>
      <c r="I226" s="3">
        <v>5</v>
      </c>
      <c r="J226" s="3">
        <v>10</v>
      </c>
      <c r="K226" s="3">
        <v>5</v>
      </c>
      <c r="L226">
        <v>16</v>
      </c>
      <c r="M226">
        <v>28</v>
      </c>
      <c r="N226">
        <v>84</v>
      </c>
      <c r="O226">
        <v>72</v>
      </c>
      <c r="P226" s="3">
        <v>10</v>
      </c>
      <c r="Q226" s="3">
        <v>10</v>
      </c>
      <c r="R226" s="3">
        <v>10</v>
      </c>
      <c r="S226" s="3">
        <v>7</v>
      </c>
      <c r="T226" s="3">
        <v>7</v>
      </c>
      <c r="U226" s="3">
        <v>7</v>
      </c>
      <c r="W226" s="3">
        <v>7</v>
      </c>
      <c r="X226" s="3">
        <v>7</v>
      </c>
      <c r="Y226">
        <v>28</v>
      </c>
      <c r="Z226">
        <v>14.000000000000002</v>
      </c>
      <c r="AA226">
        <v>60</v>
      </c>
      <c r="AB226">
        <v>11</v>
      </c>
      <c r="AC226">
        <v>30</v>
      </c>
      <c r="AD226">
        <v>44.999999999999993</v>
      </c>
      <c r="AE226">
        <v>1</v>
      </c>
      <c r="AF226">
        <v>5</v>
      </c>
    </row>
    <row r="227" spans="1:32" x14ac:dyDescent="0.25">
      <c r="A227" s="3" t="str">
        <f>UPPER(TEXT(Tabela1[[#This Row],[Data]],"MMM"))</f>
        <v>SET</v>
      </c>
      <c r="B227" t="s">
        <v>655</v>
      </c>
      <c r="C227" s="1"/>
      <c r="D227" s="1"/>
      <c r="E227" t="s">
        <v>299</v>
      </c>
      <c r="F227" s="2" t="s">
        <v>550</v>
      </c>
      <c r="G227" s="3">
        <v>1</v>
      </c>
      <c r="H227" s="3">
        <v>7</v>
      </c>
      <c r="I227" s="3">
        <v>7</v>
      </c>
      <c r="J227" s="3">
        <v>7</v>
      </c>
      <c r="K227" s="3" t="s">
        <v>28</v>
      </c>
      <c r="L227">
        <v>19</v>
      </c>
      <c r="M227">
        <v>26</v>
      </c>
      <c r="N227">
        <v>81</v>
      </c>
      <c r="O227">
        <v>74</v>
      </c>
      <c r="P227" s="3">
        <v>7</v>
      </c>
      <c r="Q227" s="3">
        <v>7</v>
      </c>
      <c r="R227" s="3">
        <v>10</v>
      </c>
      <c r="S227" s="3">
        <v>7</v>
      </c>
      <c r="T227" s="3">
        <v>7</v>
      </c>
      <c r="U227" s="3">
        <v>10</v>
      </c>
      <c r="W227" s="3">
        <v>7</v>
      </c>
      <c r="X227" s="3" t="s">
        <v>28</v>
      </c>
      <c r="Y227">
        <v>91</v>
      </c>
      <c r="Z227">
        <v>45.5</v>
      </c>
      <c r="AA227">
        <v>74</v>
      </c>
      <c r="AB227">
        <v>13</v>
      </c>
      <c r="AC227">
        <v>37</v>
      </c>
      <c r="AD227">
        <v>35</v>
      </c>
      <c r="AE227">
        <v>1</v>
      </c>
      <c r="AF227">
        <v>5</v>
      </c>
    </row>
    <row r="228" spans="1:32" x14ac:dyDescent="0.25">
      <c r="A228" s="3" t="str">
        <f>UPPER(TEXT(Tabela1[[#This Row],[Data]],"MMM"))</f>
        <v>SET</v>
      </c>
      <c r="B228" t="s">
        <v>656</v>
      </c>
      <c r="C228" s="1"/>
      <c r="D228" s="1"/>
      <c r="E228" t="s">
        <v>299</v>
      </c>
      <c r="F228" s="2" t="s">
        <v>539</v>
      </c>
      <c r="G228" s="3">
        <v>1</v>
      </c>
      <c r="H228" s="3">
        <v>5</v>
      </c>
      <c r="I228" s="3">
        <v>7</v>
      </c>
      <c r="J228" s="3">
        <v>7</v>
      </c>
      <c r="K228" s="3">
        <v>5</v>
      </c>
      <c r="L228">
        <v>21</v>
      </c>
      <c r="M228">
        <v>25</v>
      </c>
      <c r="N228">
        <v>79</v>
      </c>
      <c r="O228">
        <v>75</v>
      </c>
      <c r="P228" s="3">
        <v>10</v>
      </c>
      <c r="Q228" s="3">
        <v>10</v>
      </c>
      <c r="R228" s="3">
        <v>10</v>
      </c>
      <c r="S228" s="3">
        <v>5</v>
      </c>
      <c r="T228" s="3">
        <v>7</v>
      </c>
      <c r="U228" s="3">
        <v>10</v>
      </c>
      <c r="W228" s="3">
        <v>7</v>
      </c>
      <c r="X228" s="3">
        <v>7</v>
      </c>
      <c r="Y228">
        <v>95</v>
      </c>
      <c r="Z228">
        <v>47.5</v>
      </c>
      <c r="AA228">
        <v>48</v>
      </c>
      <c r="AB228">
        <v>16</v>
      </c>
      <c r="AC228">
        <v>24</v>
      </c>
      <c r="AD228">
        <v>20</v>
      </c>
      <c r="AE228">
        <v>0</v>
      </c>
      <c r="AF228">
        <v>0</v>
      </c>
    </row>
    <row r="229" spans="1:32" x14ac:dyDescent="0.25">
      <c r="A229" s="3" t="str">
        <f>UPPER(TEXT(Tabela1[[#This Row],[Data]],"MMM"))</f>
        <v>SET</v>
      </c>
      <c r="B229" t="s">
        <v>657</v>
      </c>
      <c r="C229" s="1"/>
      <c r="D229" s="1"/>
      <c r="E229" t="s">
        <v>299</v>
      </c>
      <c r="F229" s="2" t="s">
        <v>528</v>
      </c>
      <c r="G229" s="3">
        <v>1</v>
      </c>
      <c r="H229" s="3">
        <v>5</v>
      </c>
      <c r="I229" s="3">
        <v>10</v>
      </c>
      <c r="J229" s="3">
        <v>10</v>
      </c>
      <c r="K229" s="3">
        <v>7</v>
      </c>
      <c r="L229">
        <v>19</v>
      </c>
      <c r="M229">
        <v>32</v>
      </c>
      <c r="N229">
        <v>81</v>
      </c>
      <c r="O229">
        <v>68</v>
      </c>
      <c r="P229" s="3">
        <v>5</v>
      </c>
      <c r="Q229" s="3">
        <v>10</v>
      </c>
      <c r="R229" s="3">
        <v>10</v>
      </c>
      <c r="S229" s="3">
        <v>7</v>
      </c>
      <c r="T229" s="3">
        <v>10</v>
      </c>
      <c r="U229" s="3">
        <v>7</v>
      </c>
      <c r="W229" s="3">
        <v>7</v>
      </c>
      <c r="X229" s="3" t="s">
        <v>28</v>
      </c>
      <c r="Y229">
        <v>87</v>
      </c>
      <c r="Z229">
        <v>43.5</v>
      </c>
      <c r="AA229">
        <v>28</v>
      </c>
      <c r="AB229">
        <v>10</v>
      </c>
      <c r="AC229">
        <v>14.000000000000002</v>
      </c>
      <c r="AD229">
        <v>50</v>
      </c>
      <c r="AE229">
        <v>0</v>
      </c>
      <c r="AF229">
        <v>0</v>
      </c>
    </row>
    <row r="230" spans="1:32" x14ac:dyDescent="0.25">
      <c r="A230" s="3" t="str">
        <f>UPPER(TEXT(Tabela1[[#This Row],[Data]],"MMM"))</f>
        <v>SET</v>
      </c>
      <c r="B230" t="s">
        <v>658</v>
      </c>
      <c r="C230" s="1"/>
      <c r="D230" s="1"/>
      <c r="E230" t="s">
        <v>299</v>
      </c>
      <c r="F230" s="2" t="s">
        <v>515</v>
      </c>
      <c r="G230" s="3">
        <v>2</v>
      </c>
      <c r="H230" s="3">
        <v>7</v>
      </c>
      <c r="I230" s="3">
        <v>7</v>
      </c>
      <c r="J230" s="3">
        <v>7</v>
      </c>
      <c r="K230" s="3">
        <v>5</v>
      </c>
      <c r="L230">
        <v>10</v>
      </c>
      <c r="M230">
        <v>56</v>
      </c>
      <c r="N230">
        <v>90</v>
      </c>
      <c r="O230">
        <v>44</v>
      </c>
      <c r="P230" s="3">
        <v>7</v>
      </c>
      <c r="Q230" s="3">
        <v>10</v>
      </c>
      <c r="R230" s="3">
        <v>10</v>
      </c>
      <c r="S230" s="3">
        <v>7</v>
      </c>
      <c r="T230" s="3">
        <v>7</v>
      </c>
      <c r="U230" s="3">
        <v>10</v>
      </c>
      <c r="W230" s="3">
        <v>5</v>
      </c>
      <c r="X230" s="3" t="s">
        <v>28</v>
      </c>
      <c r="Y230">
        <v>41</v>
      </c>
      <c r="Z230">
        <v>20.5</v>
      </c>
      <c r="AA230">
        <v>52</v>
      </c>
      <c r="AB230">
        <v>13</v>
      </c>
      <c r="AC230">
        <v>26</v>
      </c>
      <c r="AD230">
        <v>35</v>
      </c>
      <c r="AE230">
        <v>0</v>
      </c>
      <c r="AF230">
        <v>0</v>
      </c>
    </row>
    <row r="231" spans="1:32" x14ac:dyDescent="0.25">
      <c r="A231" s="3" t="str">
        <f>UPPER(TEXT(Tabela1[[#This Row],[Data]],"MMM"))</f>
        <v>SET</v>
      </c>
      <c r="B231" t="s">
        <v>659</v>
      </c>
      <c r="C231" s="1"/>
      <c r="D231" s="1"/>
      <c r="E231" t="s">
        <v>299</v>
      </c>
      <c r="F231" s="2" t="s">
        <v>515</v>
      </c>
      <c r="G231" s="3">
        <v>1</v>
      </c>
      <c r="H231" s="3">
        <v>7</v>
      </c>
      <c r="I231" s="3">
        <v>7</v>
      </c>
      <c r="J231" s="3">
        <v>10</v>
      </c>
      <c r="K231" s="3">
        <v>5</v>
      </c>
      <c r="L231">
        <v>18</v>
      </c>
      <c r="M231">
        <v>36</v>
      </c>
      <c r="N231">
        <v>82</v>
      </c>
      <c r="O231">
        <v>64</v>
      </c>
      <c r="P231" s="3">
        <v>7</v>
      </c>
      <c r="Q231" s="3">
        <v>7</v>
      </c>
      <c r="R231" s="3">
        <v>10</v>
      </c>
      <c r="S231" s="3">
        <v>7</v>
      </c>
      <c r="T231" s="3">
        <v>7</v>
      </c>
      <c r="U231" s="3">
        <v>7</v>
      </c>
      <c r="W231" s="3">
        <v>7</v>
      </c>
      <c r="X231" s="3" t="s">
        <v>28</v>
      </c>
      <c r="Y231">
        <v>71</v>
      </c>
      <c r="Z231">
        <v>35.5</v>
      </c>
      <c r="AA231">
        <v>67</v>
      </c>
      <c r="AB231">
        <v>12</v>
      </c>
      <c r="AC231">
        <v>33.5</v>
      </c>
      <c r="AD231">
        <v>40</v>
      </c>
      <c r="AE231">
        <v>0</v>
      </c>
      <c r="AF231">
        <v>0</v>
      </c>
    </row>
    <row r="232" spans="1:32" x14ac:dyDescent="0.25">
      <c r="A232" s="3" t="str">
        <f>UPPER(TEXT(Tabela1[[#This Row],[Data]],"MMM"))</f>
        <v>SET</v>
      </c>
      <c r="B232" t="s">
        <v>660</v>
      </c>
      <c r="C232" s="1"/>
      <c r="D232" s="1"/>
      <c r="E232" t="s">
        <v>299</v>
      </c>
      <c r="F232" s="2" t="s">
        <v>661</v>
      </c>
      <c r="G232" s="3">
        <v>1</v>
      </c>
      <c r="H232" s="3">
        <v>7</v>
      </c>
      <c r="I232" s="3">
        <v>10</v>
      </c>
      <c r="J232" s="3">
        <v>10</v>
      </c>
      <c r="K232" s="3">
        <v>5</v>
      </c>
      <c r="L232">
        <v>23</v>
      </c>
      <c r="M232">
        <v>36</v>
      </c>
      <c r="N232">
        <v>77</v>
      </c>
      <c r="O232">
        <v>64</v>
      </c>
      <c r="P232" s="3">
        <v>5</v>
      </c>
      <c r="Q232" s="3">
        <v>7</v>
      </c>
      <c r="R232" s="3">
        <v>10</v>
      </c>
      <c r="S232" s="3">
        <v>7</v>
      </c>
      <c r="T232" s="3">
        <v>7</v>
      </c>
      <c r="U232" s="3">
        <v>5</v>
      </c>
      <c r="W232" s="3">
        <v>10</v>
      </c>
      <c r="X232" s="3" t="s">
        <v>28</v>
      </c>
      <c r="Y232">
        <v>90</v>
      </c>
      <c r="Z232">
        <v>45</v>
      </c>
      <c r="AA232">
        <v>44</v>
      </c>
      <c r="AB232">
        <v>11</v>
      </c>
      <c r="AC232">
        <v>22</v>
      </c>
      <c r="AD232">
        <v>44.999999999999993</v>
      </c>
      <c r="AE232">
        <v>2</v>
      </c>
      <c r="AF232">
        <v>10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2026-10-14T14:01:17Z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