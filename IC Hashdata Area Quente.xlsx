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4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0" i="1" l="1"/>
  <c r="A331" i="1"/>
  <c r="A332" i="1"/>
  <c r="A333" i="1"/>
  <c r="A334" i="1"/>
  <c r="B334" i="1" s="1"/>
  <c r="A335" i="1"/>
  <c r="B335" i="1" s="1"/>
  <c r="A336" i="1"/>
  <c r="B336" i="1" s="1"/>
  <c r="A337" i="1"/>
  <c r="B337" i="1" s="1"/>
  <c r="A338" i="1"/>
  <c r="A339" i="1"/>
  <c r="B339" i="1" s="1"/>
  <c r="A340" i="1"/>
  <c r="B340" i="1" s="1"/>
  <c r="B330" i="1"/>
  <c r="B331" i="1"/>
  <c r="B332" i="1"/>
  <c r="B333" i="1"/>
  <c r="B338" i="1"/>
  <c r="A323" i="1" l="1"/>
  <c r="B323" i="1" s="1"/>
  <c r="A324" i="1"/>
  <c r="A325" i="1"/>
  <c r="B325" i="1" s="1"/>
  <c r="A326" i="1"/>
  <c r="B326" i="1" s="1"/>
  <c r="A327" i="1"/>
  <c r="B327" i="1" s="1"/>
  <c r="A328" i="1"/>
  <c r="B328" i="1" s="1"/>
  <c r="A329" i="1"/>
  <c r="B329" i="1" s="1"/>
  <c r="B324" i="1"/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H83" i="2"/>
  <c r="AD82" i="2"/>
  <c r="S82" i="2"/>
  <c r="AE83" i="2"/>
  <c r="X83" i="2"/>
  <c r="U81" i="2"/>
  <c r="Y82" i="2"/>
  <c r="AA83" i="2"/>
  <c r="AJ81" i="2"/>
  <c r="Y81" i="2"/>
  <c r="AC81" i="2"/>
  <c r="AB82" i="2"/>
  <c r="W83" i="2"/>
  <c r="U83" i="2"/>
  <c r="V81" i="2"/>
  <c r="R81" i="2"/>
  <c r="AF82" i="2"/>
  <c r="AA81" i="2"/>
  <c r="X81" i="2"/>
  <c r="AM81" i="2"/>
  <c r="T83" i="2"/>
  <c r="W81" i="2"/>
  <c r="AA82" i="2"/>
  <c r="AJ82" i="2"/>
  <c r="AI81" i="2"/>
  <c r="AG83" i="2"/>
  <c r="AF81" i="2"/>
  <c r="AK82" i="2"/>
  <c r="AM82" i="2"/>
  <c r="AI83" i="2"/>
  <c r="R82" i="2"/>
  <c r="T81" i="2"/>
  <c r="R83" i="2"/>
  <c r="AI82" i="2"/>
  <c r="Z83" i="2"/>
  <c r="V83" i="2"/>
  <c r="AD81" i="2"/>
  <c r="AH81" i="2"/>
  <c r="AJ83" i="2"/>
  <c r="AG81" i="2"/>
  <c r="AC83" i="2"/>
  <c r="AG82" i="2"/>
  <c r="AK81" i="2"/>
  <c r="AE82" i="2"/>
  <c r="S83" i="2"/>
  <c r="AD83" i="2"/>
  <c r="Z82" i="2"/>
  <c r="AE81" i="2"/>
  <c r="AM83" i="2"/>
  <c r="AL81" i="2"/>
  <c r="U82" i="2"/>
  <c r="AC82" i="2"/>
  <c r="AB81" i="2"/>
  <c r="S81" i="2"/>
  <c r="AF83" i="2"/>
  <c r="AH82" i="2"/>
  <c r="V82" i="2"/>
  <c r="Z81" i="2"/>
  <c r="X82" i="2"/>
  <c r="T82" i="2"/>
  <c r="Y83" i="2"/>
  <c r="W82" i="2"/>
  <c r="AL82" i="2"/>
  <c r="AL83" i="2"/>
  <c r="AK83" i="2"/>
  <c r="AB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K83" i="2"/>
  <c r="I81" i="2"/>
  <c r="M83" i="2"/>
  <c r="K81" i="2"/>
  <c r="M82" i="2"/>
  <c r="F82" i="2"/>
  <c r="J82" i="2"/>
  <c r="I82" i="2"/>
  <c r="E83" i="2"/>
  <c r="O83" i="2"/>
  <c r="E82" i="2"/>
  <c r="J83" i="2"/>
  <c r="F81" i="2"/>
  <c r="N82" i="2"/>
  <c r="H83" i="2"/>
  <c r="L81" i="2"/>
  <c r="I83" i="2"/>
  <c r="L83" i="2"/>
  <c r="M81" i="2"/>
  <c r="E81" i="2"/>
  <c r="O81" i="2"/>
  <c r="G81" i="2"/>
  <c r="P82" i="2"/>
  <c r="N81" i="2"/>
  <c r="G83" i="2"/>
  <c r="J81" i="2"/>
  <c r="O82" i="2"/>
  <c r="N83" i="2"/>
  <c r="P81" i="2"/>
  <c r="K82" i="2"/>
  <c r="P83" i="2"/>
  <c r="G82" i="2"/>
  <c r="F83" i="2"/>
  <c r="H81" i="2"/>
  <c r="L82" i="2"/>
  <c r="H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F33" i="2"/>
  <c r="AD57" i="2"/>
  <c r="Y16" i="2"/>
  <c r="AM56" i="2"/>
  <c r="AC50" i="2"/>
  <c r="AM4" i="2"/>
  <c r="T20" i="2"/>
  <c r="AA12" i="2"/>
  <c r="S48" i="2"/>
  <c r="V61" i="2"/>
  <c r="P72" i="2"/>
  <c r="X28" i="2"/>
  <c r="R29" i="2"/>
  <c r="G44" i="2"/>
  <c r="W40" i="2"/>
  <c r="AE48" i="2"/>
  <c r="AF19" i="2"/>
  <c r="H15" i="2"/>
  <c r="AL80" i="2"/>
  <c r="R69" i="2"/>
  <c r="M28" i="2"/>
  <c r="AG40" i="2"/>
  <c r="W43" i="2"/>
  <c r="E34" i="2"/>
  <c r="S7" i="2"/>
  <c r="X30" i="2"/>
  <c r="H76" i="2"/>
  <c r="AF45" i="2"/>
  <c r="U70" i="2"/>
  <c r="K27" i="2"/>
  <c r="AG26" i="2"/>
  <c r="H48" i="2"/>
  <c r="AG9" i="2"/>
  <c r="AH29" i="2"/>
  <c r="R43" i="2"/>
  <c r="O11" i="2"/>
  <c r="O59" i="2"/>
  <c r="AC75" i="2"/>
  <c r="AI21" i="2"/>
  <c r="U16" i="2"/>
  <c r="AE59" i="2"/>
  <c r="F13" i="2"/>
  <c r="H50" i="2"/>
  <c r="X50" i="2"/>
  <c r="V16" i="2"/>
  <c r="H53" i="2"/>
  <c r="AI39" i="2"/>
  <c r="K31" i="2"/>
  <c r="J64" i="2"/>
  <c r="Z18" i="2"/>
  <c r="Y11" i="2"/>
  <c r="X49" i="2"/>
  <c r="G64" i="2"/>
  <c r="Z30" i="2"/>
  <c r="AB70" i="2"/>
  <c r="N32" i="2"/>
  <c r="AL59" i="2"/>
  <c r="U6" i="2"/>
  <c r="AF37" i="2"/>
  <c r="S45" i="2"/>
  <c r="J72" i="2"/>
  <c r="X62" i="2"/>
  <c r="AC33" i="2"/>
  <c r="I48" i="2"/>
  <c r="AD16" i="2"/>
  <c r="AF7" i="2"/>
  <c r="T60" i="2"/>
  <c r="I47" i="2"/>
  <c r="M46" i="2"/>
  <c r="N61" i="2"/>
  <c r="AL9" i="2"/>
  <c r="H71" i="2"/>
  <c r="X77" i="2"/>
  <c r="AC5" i="2"/>
  <c r="AH43" i="2"/>
  <c r="AG61" i="2"/>
  <c r="R52" i="2"/>
  <c r="U48" i="2"/>
  <c r="N19" i="2"/>
  <c r="O35" i="2"/>
  <c r="AH69" i="2"/>
  <c r="P57" i="2"/>
  <c r="AI4" i="2"/>
  <c r="O42" i="2"/>
  <c r="E71" i="2"/>
  <c r="N74" i="2"/>
  <c r="N20" i="2"/>
  <c r="Y79" i="2"/>
  <c r="Y56" i="2"/>
  <c r="AK33" i="2"/>
  <c r="AJ59" i="2"/>
  <c r="AA53" i="2"/>
  <c r="O54" i="2"/>
  <c r="O34" i="2"/>
  <c r="O36" i="2"/>
  <c r="M76" i="2"/>
  <c r="N21" i="2"/>
  <c r="AG37" i="2"/>
  <c r="AE70" i="2"/>
  <c r="K28" i="2"/>
  <c r="AC60" i="2"/>
  <c r="S36" i="2"/>
  <c r="W58" i="2"/>
  <c r="AL12" i="2"/>
  <c r="J13" i="2"/>
  <c r="E63" i="2"/>
  <c r="T75" i="2"/>
  <c r="W37" i="2"/>
  <c r="AJ21" i="2"/>
  <c r="N41" i="2"/>
  <c r="P25" i="2"/>
  <c r="AL31" i="2"/>
  <c r="W28" i="2"/>
  <c r="AH12" i="2"/>
  <c r="G33" i="2"/>
  <c r="I71" i="2"/>
  <c r="AK68" i="2"/>
  <c r="AA37" i="2"/>
  <c r="AD21" i="2"/>
  <c r="L74" i="2"/>
  <c r="V45" i="2"/>
  <c r="N22" i="2"/>
  <c r="W63" i="2"/>
  <c r="AJ8" i="2"/>
  <c r="X44" i="2"/>
  <c r="AJ73" i="2"/>
  <c r="AJ28" i="2"/>
  <c r="Y42" i="2"/>
  <c r="E27" i="2"/>
  <c r="E79" i="2"/>
  <c r="R66" i="2"/>
  <c r="J75" i="2"/>
  <c r="AG8" i="2"/>
  <c r="X15" i="2"/>
  <c r="U47" i="2"/>
  <c r="H32" i="2"/>
  <c r="I50" i="2"/>
  <c r="G75" i="2"/>
  <c r="AJ33" i="2"/>
  <c r="K15" i="2"/>
  <c r="Z29" i="2"/>
  <c r="G58" i="2"/>
  <c r="H29" i="2"/>
  <c r="AC32" i="2"/>
  <c r="AL69" i="2"/>
  <c r="AI52" i="2"/>
  <c r="AI14" i="2"/>
  <c r="M36" i="2"/>
  <c r="T64" i="2"/>
  <c r="AK18" i="2"/>
  <c r="AL56" i="2"/>
  <c r="P37" i="2"/>
  <c r="AB43" i="2"/>
  <c r="AG32" i="2"/>
  <c r="AD10" i="2"/>
  <c r="AI50" i="2"/>
  <c r="AL68" i="2"/>
  <c r="AH7" i="2"/>
  <c r="R12" i="2"/>
  <c r="AB5" i="2"/>
  <c r="AF76" i="2"/>
  <c r="AH30" i="2"/>
  <c r="AL71" i="2"/>
  <c r="AJ11" i="2"/>
  <c r="I64" i="2"/>
  <c r="L23" i="2"/>
  <c r="Y25" i="2"/>
  <c r="J29" i="2"/>
  <c r="O50" i="2"/>
  <c r="AL50" i="2"/>
  <c r="AD69" i="2"/>
  <c r="H34" i="2"/>
  <c r="AF5" i="2"/>
  <c r="W76" i="2"/>
  <c r="T25" i="2"/>
  <c r="AE67" i="2"/>
  <c r="Z66" i="2"/>
  <c r="AD56" i="2"/>
  <c r="AH49" i="2"/>
  <c r="AD31" i="2"/>
  <c r="AF72" i="2"/>
  <c r="AB73" i="2"/>
  <c r="R37" i="2"/>
  <c r="N66" i="2"/>
  <c r="V21" i="2"/>
  <c r="O29" i="2"/>
  <c r="V64" i="2"/>
  <c r="AB65" i="2"/>
  <c r="F4" i="2"/>
  <c r="I43" i="2"/>
  <c r="N80" i="2"/>
  <c r="AM53" i="2"/>
  <c r="S11" i="2"/>
  <c r="W54" i="2"/>
  <c r="G49" i="2"/>
  <c r="AJ26" i="2"/>
  <c r="V9" i="2"/>
  <c r="J57" i="2"/>
  <c r="R47" i="2"/>
  <c r="AI53" i="2"/>
  <c r="X59" i="2"/>
  <c r="W36" i="2"/>
  <c r="AL13" i="2"/>
  <c r="AB16" i="2"/>
  <c r="X16" i="2"/>
  <c r="Y33" i="2"/>
  <c r="AI74" i="2"/>
  <c r="W8" i="2"/>
  <c r="T10" i="2"/>
  <c r="AK8" i="2"/>
  <c r="P7" i="2"/>
  <c r="AM46" i="2"/>
  <c r="AA19" i="2"/>
  <c r="AL52" i="2"/>
  <c r="I65" i="2"/>
  <c r="AD73" i="2"/>
  <c r="N16" i="2"/>
  <c r="AI24" i="2"/>
  <c r="H63" i="2"/>
  <c r="I55" i="2"/>
  <c r="P70" i="2"/>
  <c r="I9" i="2"/>
  <c r="X29" i="2"/>
  <c r="S66" i="2"/>
  <c r="AJ40" i="2"/>
  <c r="AC30" i="2"/>
  <c r="Z78" i="2"/>
  <c r="U17" i="2"/>
  <c r="H17" i="2"/>
  <c r="AK27" i="2"/>
  <c r="G62" i="2"/>
  <c r="AF70" i="2"/>
  <c r="X63" i="2"/>
  <c r="U25" i="2"/>
  <c r="AA9" i="2"/>
  <c r="M24" i="2"/>
  <c r="AB22" i="2"/>
  <c r="Y32" i="2"/>
  <c r="AG45" i="2"/>
  <c r="V66" i="2"/>
  <c r="AE68" i="2"/>
  <c r="AA47" i="2"/>
  <c r="AD25" i="2"/>
  <c r="K80" i="2"/>
  <c r="S12" i="2"/>
  <c r="AH11" i="2"/>
  <c r="AC9" i="2"/>
  <c r="AA57" i="2"/>
  <c r="X26" i="2"/>
  <c r="AA51" i="2"/>
  <c r="AM15" i="2"/>
  <c r="W79" i="2"/>
  <c r="N62" i="2"/>
  <c r="S42" i="2"/>
  <c r="AC20" i="2"/>
  <c r="R76" i="2"/>
  <c r="W35" i="2"/>
  <c r="F48" i="2"/>
  <c r="E33" i="2"/>
  <c r="AB57" i="2"/>
  <c r="AB71" i="2"/>
  <c r="M15" i="2"/>
  <c r="Y50" i="2"/>
  <c r="S26" i="2"/>
  <c r="AK6" i="2"/>
  <c r="AA78" i="2"/>
  <c r="AA8" i="2"/>
  <c r="M17" i="2"/>
  <c r="V47" i="2"/>
  <c r="AA26" i="2"/>
  <c r="S67" i="2"/>
  <c r="F62" i="2"/>
  <c r="AK72" i="2"/>
  <c r="I77" i="2"/>
  <c r="AC41" i="2"/>
  <c r="O27" i="2"/>
  <c r="Z77" i="2"/>
  <c r="E55" i="2"/>
  <c r="AJ17" i="2"/>
  <c r="AK9" i="2"/>
  <c r="U22" i="2"/>
  <c r="Z55" i="2"/>
  <c r="F51" i="2"/>
  <c r="F46" i="2"/>
  <c r="W15" i="2"/>
  <c r="AG27" i="2"/>
  <c r="U31" i="2"/>
  <c r="AK41" i="2"/>
  <c r="AC51" i="2"/>
  <c r="L61" i="2"/>
  <c r="T67" i="2"/>
  <c r="J67" i="2"/>
  <c r="J28" i="2"/>
  <c r="K59" i="2"/>
  <c r="N54" i="2"/>
  <c r="E70" i="2"/>
  <c r="AK48" i="2"/>
  <c r="AI60" i="2"/>
  <c r="T59" i="2"/>
  <c r="AC69" i="2"/>
  <c r="AH73" i="2"/>
  <c r="M26" i="2"/>
  <c r="G46" i="2"/>
  <c r="AF73" i="2"/>
  <c r="AH63" i="2"/>
  <c r="V10" i="2"/>
  <c r="AM5" i="2"/>
  <c r="AK35" i="2"/>
  <c r="N77" i="2"/>
  <c r="H35" i="2"/>
  <c r="X36" i="2"/>
  <c r="F7" i="2"/>
  <c r="E47" i="2"/>
  <c r="G15" i="2"/>
  <c r="X12" i="2"/>
  <c r="AF63" i="2"/>
  <c r="AM41" i="2"/>
  <c r="T54" i="2"/>
  <c r="T6" i="2"/>
  <c r="AH15" i="2"/>
  <c r="AH65" i="2"/>
  <c r="AJ80" i="2"/>
  <c r="N10" i="2"/>
  <c r="I52" i="2"/>
  <c r="AE44" i="2"/>
  <c r="H72" i="2"/>
  <c r="O44" i="2"/>
  <c r="F50" i="2"/>
  <c r="H24" i="2"/>
  <c r="M11" i="2"/>
  <c r="I23" i="2"/>
  <c r="AA65" i="2"/>
  <c r="M34" i="2"/>
  <c r="F28" i="2"/>
  <c r="AK76" i="2"/>
  <c r="V63" i="2"/>
  <c r="Y45" i="2"/>
  <c r="P27" i="2"/>
  <c r="AA16" i="2"/>
  <c r="Z32" i="2"/>
  <c r="AK13" i="2"/>
  <c r="AL33" i="2"/>
  <c r="W44" i="2"/>
  <c r="L42" i="2"/>
  <c r="E68" i="2"/>
  <c r="P46" i="2"/>
  <c r="V32" i="2"/>
  <c r="J73" i="2"/>
  <c r="AG30" i="2"/>
  <c r="V42" i="2"/>
  <c r="AD20" i="2"/>
  <c r="AF23" i="2"/>
  <c r="AM77" i="2"/>
  <c r="W56" i="2"/>
  <c r="AG35" i="2"/>
  <c r="AD22" i="2"/>
  <c r="AI61" i="2"/>
  <c r="S46" i="2"/>
  <c r="V72" i="2"/>
  <c r="AC80" i="2"/>
  <c r="R31" i="2"/>
  <c r="E19" i="2"/>
  <c r="K14" i="2"/>
  <c r="F78" i="2"/>
  <c r="G55" i="2"/>
  <c r="L66" i="2"/>
  <c r="Z17" i="2"/>
  <c r="U39" i="2"/>
  <c r="X72" i="2"/>
  <c r="O58" i="2"/>
  <c r="AL39" i="2"/>
  <c r="AL5" i="2"/>
  <c r="H61" i="2"/>
  <c r="AL70" i="2"/>
  <c r="R51" i="2"/>
  <c r="X18" i="2"/>
  <c r="AM35" i="2"/>
  <c r="R18" i="2"/>
  <c r="M8" i="2"/>
  <c r="AJ5" i="2"/>
  <c r="R33" i="2"/>
  <c r="W46" i="2"/>
  <c r="E50" i="2"/>
  <c r="H26" i="2"/>
  <c r="V62" i="2"/>
  <c r="N31" i="2"/>
  <c r="E35" i="2"/>
  <c r="W21" i="2"/>
  <c r="J50" i="2"/>
  <c r="AF77" i="2"/>
  <c r="I53" i="2"/>
  <c r="W14" i="2"/>
  <c r="AA5" i="2"/>
  <c r="AI37" i="2"/>
  <c r="AB47" i="2"/>
  <c r="T29" i="2"/>
  <c r="T44" i="2"/>
  <c r="AJ63" i="2"/>
  <c r="M53" i="2"/>
  <c r="K8" i="2"/>
  <c r="AC54" i="2"/>
  <c r="AD77" i="2"/>
  <c r="AE45" i="2"/>
  <c r="O46" i="2"/>
  <c r="AK11" i="2"/>
  <c r="AH61" i="2"/>
  <c r="L57" i="2"/>
  <c r="O13" i="2"/>
  <c r="P11" i="2"/>
  <c r="V31" i="2"/>
  <c r="Z53" i="2"/>
  <c r="AK62" i="2"/>
  <c r="K42" i="2"/>
  <c r="U57" i="2"/>
  <c r="P9" i="2"/>
  <c r="U14" i="2"/>
  <c r="L13" i="2"/>
  <c r="AM11" i="2"/>
  <c r="AF32" i="2"/>
  <c r="AM10" i="2"/>
  <c r="O66" i="2"/>
  <c r="S20" i="2"/>
  <c r="L36" i="2"/>
  <c r="N6" i="2"/>
  <c r="K29" i="2"/>
  <c r="AB41" i="2"/>
  <c r="AC21" i="2"/>
  <c r="E78" i="2"/>
  <c r="AD34" i="2"/>
  <c r="F9" i="2"/>
  <c r="U42" i="2"/>
  <c r="F45" i="2"/>
  <c r="F69" i="2"/>
  <c r="E43" i="2"/>
  <c r="L51" i="2"/>
  <c r="AD29" i="2"/>
  <c r="AD24" i="2"/>
  <c r="AD60" i="2"/>
  <c r="T39" i="2"/>
  <c r="F22" i="2"/>
  <c r="AI20" i="2"/>
  <c r="E49" i="2"/>
  <c r="L4" i="2"/>
  <c r="O77" i="2"/>
  <c r="R20" i="2"/>
  <c r="AC47" i="2"/>
  <c r="AK29" i="2"/>
  <c r="X20" i="2"/>
  <c r="AH52" i="2"/>
  <c r="T43" i="2"/>
  <c r="W12" i="2"/>
  <c r="N79" i="2"/>
  <c r="G67" i="2"/>
  <c r="F60" i="2"/>
  <c r="AJ58" i="2"/>
  <c r="AJ27" i="2"/>
  <c r="W9" i="2"/>
  <c r="H78" i="2"/>
  <c r="AB54" i="2"/>
  <c r="K38" i="2"/>
  <c r="J47" i="2"/>
  <c r="S31" i="2"/>
  <c r="Y19" i="2"/>
  <c r="T23" i="2"/>
  <c r="AA44" i="2"/>
  <c r="AH77" i="2"/>
  <c r="X76" i="2"/>
  <c r="AI6" i="2"/>
  <c r="M75" i="2"/>
  <c r="AM18" i="2"/>
  <c r="AI30" i="2"/>
  <c r="S53" i="2"/>
  <c r="AF28" i="2"/>
  <c r="L10" i="2"/>
  <c r="M51" i="2"/>
  <c r="AH25" i="2"/>
  <c r="U11" i="2"/>
  <c r="R14" i="2"/>
  <c r="S28" i="2"/>
  <c r="H7" i="2"/>
  <c r="AM71" i="2"/>
  <c r="AK26" i="2"/>
  <c r="AJ55" i="2"/>
  <c r="AF14" i="2"/>
  <c r="O41" i="2"/>
  <c r="AE54" i="2"/>
  <c r="N48" i="2"/>
  <c r="M66" i="2"/>
  <c r="F20" i="2"/>
  <c r="R9" i="2"/>
  <c r="H55" i="2"/>
  <c r="K74" i="2"/>
  <c r="E59" i="2"/>
  <c r="V6" i="2"/>
  <c r="AG22" i="2"/>
  <c r="AE14" i="2"/>
  <c r="W49" i="2"/>
  <c r="AM68" i="2"/>
  <c r="AE13" i="2"/>
  <c r="S34" i="2"/>
  <c r="AH78" i="2"/>
  <c r="X6" i="2"/>
  <c r="AL41" i="2"/>
  <c r="O51" i="2"/>
  <c r="T51" i="2"/>
  <c r="AF53" i="2"/>
  <c r="Y69" i="2"/>
  <c r="X65" i="2"/>
  <c r="AB52" i="2"/>
  <c r="X58" i="2"/>
  <c r="R27" i="2"/>
  <c r="V51" i="2"/>
  <c r="P63" i="2"/>
  <c r="J63" i="2"/>
  <c r="G47" i="2"/>
  <c r="M7" i="2"/>
  <c r="AH71" i="2"/>
  <c r="AJ37" i="2"/>
  <c r="Z4" i="2"/>
  <c r="S58" i="2"/>
  <c r="M59" i="2"/>
  <c r="AL57" i="2"/>
  <c r="J9" i="2"/>
  <c r="AC29" i="2"/>
  <c r="I75" i="2"/>
  <c r="AC39" i="2"/>
  <c r="AD18" i="2"/>
  <c r="Z14" i="2"/>
  <c r="F5" i="2"/>
  <c r="V69" i="2"/>
  <c r="AC64" i="2"/>
  <c r="M37" i="2"/>
  <c r="AA31" i="2"/>
  <c r="O9" i="2"/>
  <c r="AF47" i="2"/>
  <c r="I33" i="2"/>
  <c r="AD17" i="2"/>
  <c r="Y57" i="2"/>
  <c r="R63" i="2"/>
  <c r="I79" i="2"/>
  <c r="P68" i="2"/>
  <c r="Y30" i="2"/>
  <c r="H28" i="2"/>
  <c r="AK49" i="2"/>
  <c r="H39" i="2"/>
  <c r="O39" i="2"/>
  <c r="J5" i="2"/>
  <c r="K79" i="2"/>
  <c r="W27" i="2"/>
  <c r="AH5" i="2"/>
  <c r="AE16" i="2"/>
  <c r="AC25" i="2"/>
  <c r="AF46" i="2"/>
  <c r="G23" i="2"/>
  <c r="H68" i="2"/>
  <c r="AD46" i="2"/>
  <c r="T58" i="2"/>
  <c r="AH36" i="2"/>
  <c r="Z56" i="2"/>
  <c r="N51" i="2"/>
  <c r="L63" i="2"/>
  <c r="AB26" i="2"/>
  <c r="V23" i="2"/>
  <c r="Z65" i="2"/>
  <c r="F24" i="2"/>
  <c r="P45" i="2"/>
  <c r="AJ47" i="2"/>
  <c r="Z24" i="2"/>
  <c r="Y22" i="2"/>
  <c r="P50" i="2"/>
  <c r="AG41" i="2"/>
  <c r="J58" i="2"/>
  <c r="E10" i="2"/>
  <c r="AG64" i="2"/>
  <c r="T48" i="2"/>
  <c r="AH9" i="2"/>
  <c r="L37" i="2"/>
  <c r="AG60" i="2"/>
  <c r="R25" i="2"/>
  <c r="M6" i="2"/>
  <c r="F70" i="2"/>
  <c r="S5" i="2"/>
  <c r="I35" i="2"/>
  <c r="Y21" i="2"/>
  <c r="V59" i="2"/>
  <c r="AM49" i="2"/>
  <c r="S39" i="2"/>
  <c r="P52" i="2"/>
  <c r="AE5" i="2"/>
  <c r="V4" i="2"/>
  <c r="AC16" i="2"/>
  <c r="Z10" i="2"/>
  <c r="AL48" i="2"/>
  <c r="E12" i="2"/>
  <c r="W17" i="2"/>
  <c r="O56" i="2"/>
  <c r="AJ43" i="2"/>
  <c r="O25" i="2"/>
  <c r="U32" i="2"/>
  <c r="M18" i="2"/>
  <c r="P43" i="2"/>
  <c r="I49" i="2"/>
  <c r="AF18" i="2"/>
  <c r="X22" i="2"/>
  <c r="AJ56" i="2"/>
  <c r="Y55" i="2"/>
  <c r="AG44" i="2"/>
  <c r="L75" i="2"/>
  <c r="AE58" i="2"/>
  <c r="AF24" i="2"/>
  <c r="M22" i="2"/>
  <c r="R42" i="2"/>
  <c r="R59" i="2"/>
  <c r="AK61" i="2"/>
  <c r="AE27" i="2"/>
  <c r="AM76" i="2"/>
  <c r="X80" i="2"/>
  <c r="J7" i="2"/>
  <c r="G68" i="2"/>
  <c r="G63" i="2"/>
  <c r="AC43" i="2"/>
  <c r="AJ61" i="2"/>
  <c r="AG63" i="2"/>
  <c r="AC68" i="2"/>
  <c r="AB37" i="2"/>
  <c r="E29" i="2"/>
  <c r="AI25" i="2"/>
  <c r="J14" i="2"/>
  <c r="M32" i="2"/>
  <c r="T72" i="2"/>
  <c r="AL11" i="2"/>
  <c r="P36" i="2"/>
  <c r="R24" i="2"/>
  <c r="AE41" i="2"/>
  <c r="AF55" i="2"/>
  <c r="S30" i="2"/>
  <c r="E16" i="2"/>
  <c r="P22" i="2"/>
  <c r="AL45" i="2"/>
  <c r="H22" i="2"/>
  <c r="AH67" i="2"/>
  <c r="AE34" i="2"/>
  <c r="W23" i="2"/>
  <c r="I22" i="2"/>
  <c r="AM29" i="2"/>
  <c r="V58" i="2"/>
  <c r="AM66" i="2"/>
  <c r="V74" i="2"/>
  <c r="H44" i="2"/>
  <c r="K65" i="2"/>
  <c r="AK10" i="2"/>
  <c r="AF8" i="2"/>
  <c r="AL34" i="2"/>
  <c r="T66" i="2"/>
  <c r="W69" i="2"/>
  <c r="Z74" i="2"/>
  <c r="P79" i="2"/>
  <c r="K73" i="2"/>
  <c r="R50" i="2"/>
  <c r="AJ15" i="2"/>
  <c r="G16" i="2"/>
  <c r="K41" i="2"/>
  <c r="Y58" i="2"/>
  <c r="AI17" i="2"/>
  <c r="K33" i="2"/>
  <c r="AL66" i="2"/>
  <c r="K30" i="2"/>
  <c r="P49" i="2"/>
  <c r="AC24" i="2"/>
  <c r="AL78" i="2"/>
  <c r="X68" i="2"/>
  <c r="H57" i="2"/>
  <c r="S49" i="2"/>
  <c r="X45" i="2"/>
  <c r="AE42" i="2"/>
  <c r="S40" i="2"/>
  <c r="G14" i="2"/>
  <c r="I68" i="2"/>
  <c r="AM72" i="2"/>
  <c r="S47" i="2"/>
  <c r="AF21" i="2"/>
  <c r="S24" i="2"/>
  <c r="H47" i="2"/>
  <c r="AM69" i="2"/>
  <c r="AM78" i="2"/>
  <c r="F12" i="2"/>
  <c r="H14" i="2"/>
  <c r="S19" i="2"/>
  <c r="AE43" i="2"/>
  <c r="AC10" i="2"/>
  <c r="P21" i="2"/>
  <c r="AD36" i="2"/>
  <c r="R61" i="2"/>
  <c r="AB6" i="2"/>
  <c r="P35" i="2"/>
  <c r="AI66" i="2"/>
  <c r="T38" i="2"/>
  <c r="W33" i="2"/>
  <c r="AA32" i="2"/>
  <c r="AJ46" i="2"/>
  <c r="AK80" i="2"/>
  <c r="S37" i="2"/>
  <c r="W7" i="2"/>
  <c r="F58" i="2"/>
  <c r="L70" i="2"/>
  <c r="L67" i="2"/>
  <c r="W25" i="2"/>
  <c r="N76" i="2"/>
  <c r="R39" i="2"/>
  <c r="M38" i="2"/>
  <c r="AD33" i="2"/>
  <c r="AC15" i="2"/>
  <c r="AI10" i="2"/>
  <c r="I59" i="2"/>
  <c r="M40" i="2"/>
  <c r="AG33" i="2"/>
  <c r="M14" i="2"/>
  <c r="AC46" i="2"/>
  <c r="F49" i="2"/>
  <c r="AC53" i="2"/>
  <c r="AC31" i="2"/>
  <c r="AC22" i="2"/>
  <c r="P65" i="2"/>
  <c r="Y52" i="2"/>
  <c r="R7" i="2"/>
  <c r="S44" i="2"/>
  <c r="AE40" i="2"/>
  <c r="AL24" i="2"/>
  <c r="V40" i="2"/>
  <c r="G53" i="2"/>
  <c r="L78" i="2"/>
  <c r="H9" i="2"/>
  <c r="V36" i="2"/>
  <c r="AM65" i="2"/>
  <c r="Z46" i="2"/>
  <c r="Z58" i="2"/>
  <c r="R62" i="2"/>
  <c r="Z21" i="2"/>
  <c r="J52" i="2"/>
  <c r="E32" i="2"/>
  <c r="X34" i="2"/>
  <c r="AI34" i="2"/>
  <c r="T70" i="2"/>
  <c r="L29" i="2"/>
  <c r="U78" i="2"/>
  <c r="V35" i="2"/>
  <c r="N50" i="2"/>
  <c r="AM20" i="2"/>
  <c r="I60" i="2"/>
  <c r="AI8" i="2"/>
  <c r="L44" i="2"/>
  <c r="U7" i="2"/>
  <c r="K25" i="2"/>
  <c r="K10" i="2"/>
  <c r="S9" i="2"/>
  <c r="AB53" i="2"/>
  <c r="R78" i="2"/>
  <c r="AA49" i="2"/>
  <c r="S41" i="2"/>
  <c r="S77" i="2"/>
  <c r="AG18" i="2"/>
  <c r="U30" i="2"/>
  <c r="R49" i="2"/>
  <c r="Y44" i="2"/>
  <c r="L6" i="2"/>
  <c r="J59" i="2"/>
  <c r="J27" i="2"/>
  <c r="AJ77" i="2"/>
  <c r="O67" i="2"/>
  <c r="AJ38" i="2"/>
  <c r="AI13" i="2"/>
  <c r="AE7" i="2"/>
  <c r="L20" i="2"/>
  <c r="AE46" i="2"/>
  <c r="AA43" i="2"/>
  <c r="W60" i="2"/>
  <c r="AH8" i="2"/>
  <c r="S29" i="2"/>
  <c r="N26" i="2"/>
  <c r="AL35" i="2"/>
  <c r="E54" i="2"/>
  <c r="G38" i="2"/>
  <c r="AM22" i="2"/>
  <c r="X69" i="2"/>
  <c r="AH18" i="2"/>
  <c r="T40" i="2"/>
  <c r="S51" i="2"/>
  <c r="X61" i="2"/>
  <c r="I40" i="2"/>
  <c r="AB20" i="2"/>
  <c r="U56" i="2"/>
  <c r="L26" i="2"/>
  <c r="AB25" i="2"/>
  <c r="AE72" i="2"/>
  <c r="J22" i="2"/>
  <c r="V22" i="2"/>
  <c r="Z11" i="2"/>
  <c r="N35" i="2"/>
  <c r="R26" i="2"/>
  <c r="AF29" i="2"/>
  <c r="U36" i="2"/>
  <c r="AD26" i="2"/>
  <c r="T47" i="2"/>
  <c r="AI46" i="2"/>
  <c r="W75" i="2"/>
  <c r="AC38" i="2"/>
  <c r="AK74" i="2"/>
  <c r="AH76" i="2"/>
  <c r="AK73" i="2"/>
  <c r="I46" i="2"/>
  <c r="AJ54" i="2"/>
  <c r="AI65" i="2"/>
  <c r="Z44" i="2"/>
  <c r="S43" i="2"/>
  <c r="AB21" i="2"/>
  <c r="N25" i="2"/>
  <c r="AM16" i="2"/>
  <c r="P48" i="2"/>
  <c r="AI23" i="2"/>
  <c r="J42" i="2"/>
  <c r="AJ23" i="2"/>
  <c r="O31" i="2"/>
  <c r="AB46" i="2"/>
  <c r="N45" i="2"/>
  <c r="O15" i="2"/>
  <c r="P71" i="2"/>
  <c r="J78" i="2"/>
  <c r="Z62" i="2"/>
  <c r="AM37" i="2"/>
  <c r="M16" i="2"/>
  <c r="AJ32" i="2"/>
  <c r="V8" i="2"/>
  <c r="AK57" i="2"/>
  <c r="Z31" i="2"/>
  <c r="S23" i="2"/>
  <c r="Z36" i="2"/>
  <c r="AH21" i="2"/>
  <c r="Z20" i="2"/>
  <c r="AB40" i="2"/>
  <c r="AC72" i="2"/>
  <c r="AF78" i="2"/>
  <c r="AJ34" i="2"/>
  <c r="P26" i="2"/>
  <c r="J43" i="2"/>
  <c r="K16" i="2"/>
  <c r="O69" i="2"/>
  <c r="S75" i="2"/>
  <c r="I36" i="2"/>
  <c r="I58" i="2"/>
  <c r="V67" i="2"/>
  <c r="H18" i="2"/>
  <c r="P41" i="2"/>
  <c r="F77" i="2"/>
  <c r="N70" i="2"/>
  <c r="U76" i="2"/>
  <c r="S35" i="2"/>
  <c r="F73" i="2"/>
  <c r="AG62" i="2"/>
  <c r="V54" i="2"/>
  <c r="AD48" i="2"/>
  <c r="AH53" i="2"/>
  <c r="AA76" i="2"/>
  <c r="H23" i="2"/>
  <c r="K24" i="2"/>
  <c r="Y73" i="2"/>
  <c r="F17" i="2"/>
  <c r="Y27" i="2"/>
  <c r="AC8" i="2"/>
  <c r="AC7" i="2"/>
  <c r="AG24" i="2"/>
  <c r="AC67" i="2"/>
  <c r="G77" i="2"/>
  <c r="E74" i="2"/>
  <c r="E51" i="2"/>
  <c r="G65" i="2"/>
  <c r="AC36" i="2"/>
  <c r="H25" i="2"/>
  <c r="R75" i="2"/>
  <c r="AM31" i="2"/>
  <c r="E80" i="2"/>
  <c r="L54" i="2"/>
  <c r="M20" i="2"/>
  <c r="P51" i="2"/>
  <c r="N58" i="2"/>
  <c r="AK40" i="2"/>
  <c r="M41" i="2"/>
  <c r="AH68" i="2"/>
  <c r="AD71" i="2"/>
  <c r="AJ70" i="2"/>
  <c r="AD8" i="2"/>
  <c r="Z50" i="2"/>
  <c r="AG42" i="2"/>
  <c r="P54" i="2"/>
  <c r="G8" i="2"/>
  <c r="Y43" i="2"/>
  <c r="I63" i="2"/>
  <c r="O43" i="2"/>
  <c r="AJ66" i="2"/>
  <c r="AH48" i="2"/>
  <c r="AE4" i="2"/>
  <c r="AJ79" i="2"/>
  <c r="L22" i="2"/>
  <c r="AI77" i="2"/>
  <c r="F47" i="2"/>
  <c r="AB30" i="2"/>
  <c r="H31" i="2"/>
  <c r="P64" i="2"/>
  <c r="R72" i="2"/>
  <c r="N64" i="2"/>
  <c r="AL23" i="2"/>
  <c r="R64" i="2"/>
  <c r="AC4" i="2"/>
  <c r="Y47" i="2"/>
  <c r="AL28" i="2"/>
  <c r="J80" i="2"/>
  <c r="AF11" i="2"/>
  <c r="Y70" i="2"/>
  <c r="AF13" i="2"/>
  <c r="L56" i="2"/>
  <c r="AE23" i="2"/>
  <c r="I56" i="2"/>
  <c r="AE80" i="2"/>
  <c r="F33" i="2"/>
  <c r="X27" i="2"/>
  <c r="AJ24" i="2"/>
  <c r="S21" i="2"/>
  <c r="AE64" i="2"/>
  <c r="AA45" i="2"/>
  <c r="V75" i="2"/>
  <c r="AC28" i="2"/>
  <c r="AI68" i="2"/>
  <c r="F41" i="2"/>
  <c r="W26" i="2"/>
  <c r="S76" i="2"/>
  <c r="AA70" i="2"/>
  <c r="AI5" i="2"/>
  <c r="Z12" i="2"/>
  <c r="AB61" i="2"/>
  <c r="Y5" i="2"/>
  <c r="AM70" i="2"/>
  <c r="AJ53" i="2"/>
  <c r="AD32" i="2"/>
  <c r="T46" i="2"/>
  <c r="H60" i="2"/>
  <c r="AE30" i="2"/>
  <c r="N13" i="2"/>
  <c r="AD6" i="2"/>
  <c r="N67" i="2"/>
  <c r="J77" i="2"/>
  <c r="T34" i="2"/>
  <c r="K52" i="2"/>
  <c r="AK24" i="2"/>
  <c r="S15" i="2"/>
  <c r="Z59" i="2"/>
  <c r="I37" i="2"/>
  <c r="R4" i="2"/>
  <c r="AJ67" i="2"/>
  <c r="Z64" i="2"/>
  <c r="H4" i="2"/>
  <c r="J65" i="2"/>
  <c r="AG31" i="2"/>
  <c r="N71" i="2"/>
  <c r="S73" i="2"/>
  <c r="T78" i="2"/>
  <c r="K44" i="2"/>
  <c r="J12" i="2"/>
  <c r="U54" i="2"/>
  <c r="O22" i="2"/>
  <c r="X51" i="2"/>
  <c r="N40" i="2"/>
  <c r="E26" i="2"/>
  <c r="T74" i="2"/>
  <c r="L80" i="2"/>
  <c r="P62" i="2"/>
  <c r="M52" i="2"/>
  <c r="AD54" i="2"/>
  <c r="M69" i="2"/>
  <c r="AC12" i="2"/>
  <c r="T30" i="2"/>
  <c r="U12" i="2"/>
  <c r="AE79" i="2"/>
  <c r="I54" i="2"/>
  <c r="L34" i="2"/>
  <c r="AF39" i="2"/>
  <c r="M74" i="2"/>
  <c r="T35" i="2"/>
  <c r="AM21" i="2"/>
  <c r="AA13" i="2"/>
  <c r="M31" i="2"/>
  <c r="AG14" i="2"/>
  <c r="U66" i="2"/>
  <c r="AB44" i="2"/>
  <c r="AE56" i="2"/>
  <c r="AH37" i="2"/>
  <c r="J71" i="2"/>
  <c r="N42" i="2"/>
  <c r="F27" i="2"/>
  <c r="R41" i="2"/>
  <c r="F16" i="2"/>
  <c r="W32" i="2"/>
  <c r="AA17" i="2"/>
  <c r="L46" i="2"/>
  <c r="H41" i="2"/>
  <c r="W31" i="2"/>
  <c r="AB51" i="2"/>
  <c r="S17" i="2"/>
  <c r="V68" i="2"/>
  <c r="F72" i="2"/>
  <c r="T76" i="2"/>
  <c r="M62" i="2"/>
  <c r="Y60" i="2"/>
  <c r="O28" i="2"/>
  <c r="R17" i="2"/>
  <c r="P16" i="2"/>
  <c r="W59" i="2"/>
  <c r="AJ25" i="2"/>
  <c r="Z63" i="2"/>
  <c r="AC17" i="2"/>
  <c r="X37" i="2"/>
  <c r="T37" i="2"/>
  <c r="AH72" i="2"/>
  <c r="X54" i="2"/>
  <c r="L71" i="2"/>
  <c r="AL18" i="2"/>
  <c r="AE36" i="2"/>
  <c r="AL63" i="2"/>
  <c r="W65" i="2"/>
  <c r="K75" i="2"/>
  <c r="X43" i="2"/>
  <c r="AD64" i="2"/>
  <c r="L14" i="2"/>
  <c r="AM64" i="2"/>
  <c r="AE49" i="2"/>
  <c r="G5" i="2"/>
  <c r="K61" i="2"/>
  <c r="N27" i="2"/>
  <c r="E25" i="2"/>
  <c r="Y18" i="2"/>
  <c r="AJ52" i="2"/>
  <c r="O55" i="2"/>
  <c r="W74" i="2"/>
  <c r="Y26" i="2"/>
  <c r="AC42" i="2"/>
  <c r="U73" i="2"/>
  <c r="W52" i="2"/>
  <c r="I42" i="2"/>
  <c r="AD44" i="2"/>
  <c r="P53" i="2"/>
  <c r="K58" i="2"/>
  <c r="AD76" i="2"/>
  <c r="M54" i="2"/>
  <c r="N7" i="2"/>
  <c r="U35" i="2"/>
  <c r="AI76" i="2"/>
  <c r="AG36" i="2"/>
  <c r="AK38" i="2"/>
  <c r="AB13" i="2"/>
  <c r="AC73" i="2"/>
  <c r="AB74" i="2"/>
  <c r="P8" i="2"/>
  <c r="AD78" i="2"/>
  <c r="L62" i="2"/>
  <c r="G59" i="2"/>
  <c r="AC11" i="2"/>
  <c r="F40" i="2"/>
  <c r="G79" i="2"/>
  <c r="AG79" i="2"/>
  <c r="G42" i="2"/>
  <c r="G25" i="2"/>
  <c r="AL64" i="2"/>
  <c r="AM45" i="2"/>
  <c r="AM38" i="2"/>
  <c r="P12" i="2"/>
  <c r="U38" i="2"/>
  <c r="M19" i="2"/>
  <c r="V38" i="2"/>
  <c r="V57" i="2"/>
  <c r="T71" i="2"/>
  <c r="K26" i="2"/>
  <c r="AG78" i="2"/>
  <c r="T19" i="2"/>
  <c r="V5" i="2"/>
  <c r="AA7" i="2"/>
  <c r="T24" i="2"/>
  <c r="U45" i="2"/>
  <c r="F42" i="2"/>
  <c r="AE55" i="2"/>
  <c r="R58" i="2"/>
  <c r="L47" i="2"/>
  <c r="AK32" i="2"/>
  <c r="U18" i="2"/>
  <c r="O26" i="2"/>
  <c r="AK19" i="2"/>
  <c r="AF48" i="2"/>
  <c r="X71" i="2"/>
  <c r="AK78" i="2"/>
  <c r="L77" i="2"/>
  <c r="AB80" i="2"/>
  <c r="AK36" i="2"/>
  <c r="AH19" i="2"/>
  <c r="R57" i="2"/>
  <c r="U65" i="2"/>
  <c r="AD13" i="2"/>
  <c r="F59" i="2"/>
  <c r="AL54" i="2"/>
  <c r="U19" i="2"/>
  <c r="Z57" i="2"/>
  <c r="N12" i="2"/>
  <c r="AC62" i="2"/>
  <c r="AD79" i="2"/>
  <c r="W71" i="2"/>
  <c r="AD15" i="2"/>
  <c r="AL44" i="2"/>
  <c r="U46" i="2"/>
  <c r="V77" i="2"/>
  <c r="AI64" i="2"/>
  <c r="AK77" i="2"/>
  <c r="T53" i="2"/>
  <c r="V29" i="2"/>
  <c r="U58" i="2"/>
  <c r="AI44" i="2"/>
  <c r="G54" i="2"/>
  <c r="AG19" i="2"/>
  <c r="H20" i="2"/>
  <c r="H46" i="2"/>
  <c r="W45" i="2"/>
  <c r="J55" i="2"/>
  <c r="T65" i="2"/>
  <c r="J23" i="2"/>
  <c r="AH22" i="2"/>
  <c r="I66" i="2"/>
  <c r="G32" i="2"/>
  <c r="AM40" i="2"/>
  <c r="AK20" i="2"/>
  <c r="M57" i="2"/>
  <c r="AB55" i="2"/>
  <c r="R73" i="2"/>
  <c r="AG48" i="2"/>
  <c r="O45" i="2"/>
  <c r="W73" i="2"/>
  <c r="W38" i="2"/>
  <c r="AL22" i="2"/>
  <c r="O18" i="2"/>
  <c r="J32" i="2"/>
  <c r="X9" i="2"/>
  <c r="W70" i="2"/>
  <c r="AE73" i="2"/>
  <c r="AD28" i="2"/>
  <c r="S8" i="2"/>
  <c r="S25" i="2"/>
  <c r="U10" i="2"/>
  <c r="L35" i="2"/>
  <c r="I5" i="2"/>
  <c r="AI16" i="2"/>
  <c r="T9" i="2"/>
  <c r="Z45" i="2"/>
  <c r="AB18" i="2"/>
  <c r="Z22" i="2"/>
  <c r="AA33" i="2"/>
  <c r="AD59" i="2"/>
  <c r="F35" i="2"/>
  <c r="R21" i="2"/>
  <c r="L45" i="2"/>
  <c r="AF62" i="2"/>
  <c r="AM24" i="2"/>
  <c r="AD45" i="2"/>
  <c r="AK34" i="2"/>
  <c r="F53" i="2"/>
  <c r="Z52" i="2"/>
  <c r="O37" i="2"/>
  <c r="G29" i="2"/>
  <c r="S69" i="2"/>
  <c r="AE31" i="2"/>
  <c r="AL10" i="2"/>
  <c r="U43" i="2"/>
  <c r="X32" i="2"/>
  <c r="AM74" i="2"/>
  <c r="I73" i="2"/>
  <c r="AJ65" i="2"/>
  <c r="J40" i="2"/>
  <c r="AL51" i="2"/>
  <c r="AF52" i="2"/>
  <c r="AB29" i="2"/>
  <c r="AG38" i="2"/>
  <c r="AJ31" i="2"/>
  <c r="R8" i="2"/>
  <c r="AE8" i="2"/>
  <c r="AL15" i="2"/>
  <c r="O80" i="2"/>
  <c r="J66" i="2"/>
  <c r="K55" i="2"/>
  <c r="AB42" i="2"/>
  <c r="AC35" i="2"/>
  <c r="G51" i="2"/>
  <c r="AF80" i="2"/>
  <c r="AK39" i="2"/>
  <c r="G21" i="2"/>
  <c r="Y8" i="2"/>
  <c r="AM58" i="2"/>
  <c r="E77" i="2"/>
  <c r="AL46" i="2"/>
  <c r="L58" i="2"/>
  <c r="AB14" i="2"/>
  <c r="R74" i="2"/>
  <c r="I34" i="2"/>
  <c r="AD39" i="2"/>
  <c r="AI70" i="2"/>
  <c r="E31" i="2"/>
  <c r="AL58" i="2"/>
  <c r="R67" i="2"/>
  <c r="AD67" i="2"/>
  <c r="L8" i="2"/>
  <c r="AH33" i="2"/>
  <c r="J48" i="2"/>
  <c r="J79" i="2"/>
  <c r="AL79" i="2"/>
  <c r="AE71" i="2"/>
  <c r="G57" i="2"/>
  <c r="K60" i="2"/>
  <c r="N5" i="2"/>
  <c r="W5" i="2"/>
  <c r="V53" i="2"/>
  <c r="J60" i="2"/>
  <c r="E5" i="2"/>
  <c r="J10" i="2"/>
  <c r="F6" i="2"/>
  <c r="AJ4" i="2"/>
  <c r="AG49" i="2"/>
  <c r="AE53" i="2"/>
  <c r="E76" i="2"/>
  <c r="N23" i="2"/>
  <c r="AD12" i="2"/>
  <c r="U15" i="2"/>
  <c r="AH41" i="2"/>
  <c r="L43" i="2"/>
  <c r="AA77" i="2"/>
  <c r="R32" i="2"/>
  <c r="O49" i="2"/>
  <c r="H56" i="2"/>
  <c r="G34" i="2"/>
  <c r="Z35" i="2"/>
  <c r="I57" i="2"/>
  <c r="AG66" i="2"/>
  <c r="V55" i="2"/>
  <c r="X19" i="2"/>
  <c r="AA27" i="2"/>
  <c r="AD49" i="2"/>
  <c r="AI55" i="2"/>
  <c r="AK22" i="2"/>
  <c r="T69" i="2"/>
  <c r="L21" i="2"/>
  <c r="G39" i="2"/>
  <c r="AK14" i="2"/>
  <c r="AL36" i="2"/>
  <c r="E61" i="2"/>
  <c r="K9" i="2"/>
  <c r="G18" i="2"/>
  <c r="P44" i="2"/>
  <c r="AM57" i="2"/>
  <c r="L27" i="2"/>
  <c r="K36" i="2"/>
  <c r="AA50" i="2"/>
  <c r="K48" i="2"/>
  <c r="G72" i="2"/>
  <c r="J38" i="2"/>
  <c r="AF58" i="2"/>
  <c r="AG59" i="2"/>
  <c r="AI19" i="2"/>
  <c r="O73" i="2"/>
  <c r="AC14" i="2"/>
  <c r="I11" i="2"/>
  <c r="U68" i="2"/>
  <c r="M73" i="2"/>
  <c r="T49" i="2"/>
  <c r="AK75" i="2"/>
  <c r="X7" i="2"/>
  <c r="H74" i="2"/>
  <c r="J11" i="2"/>
  <c r="AD40" i="2"/>
  <c r="AM34" i="2"/>
  <c r="I76" i="2"/>
  <c r="W57" i="2"/>
  <c r="P20" i="2"/>
  <c r="U60" i="2"/>
  <c r="V56" i="2"/>
  <c r="Z25" i="2"/>
  <c r="AL65" i="2"/>
  <c r="H8" i="2"/>
  <c r="S14" i="2"/>
  <c r="AD35" i="2"/>
  <c r="AL20" i="2"/>
  <c r="AB66" i="2"/>
  <c r="O6" i="2"/>
  <c r="M43" i="2"/>
  <c r="AM79" i="2"/>
  <c r="AL43" i="2"/>
  <c r="U21" i="2"/>
  <c r="V11" i="2"/>
  <c r="U52" i="2"/>
  <c r="I62" i="2"/>
  <c r="K7" i="2"/>
  <c r="F15" i="2"/>
  <c r="N38" i="2"/>
  <c r="J51" i="2"/>
  <c r="AI57" i="2"/>
  <c r="AJ45" i="2"/>
  <c r="Y72" i="2"/>
  <c r="T80" i="2"/>
  <c r="AG51" i="2"/>
  <c r="R46" i="2"/>
  <c r="H40" i="2"/>
  <c r="M49" i="2"/>
  <c r="AL55" i="2"/>
  <c r="AL38" i="2"/>
  <c r="N36" i="2"/>
  <c r="AE62" i="2"/>
  <c r="V49" i="2"/>
  <c r="Z49" i="2"/>
  <c r="E52" i="2"/>
  <c r="AM55" i="2"/>
  <c r="AM19" i="2"/>
  <c r="M23" i="2"/>
  <c r="I26" i="2"/>
  <c r="F64" i="2"/>
  <c r="E8" i="2"/>
  <c r="AI78" i="2"/>
  <c r="N43" i="2"/>
  <c r="F68" i="2"/>
  <c r="U28" i="2"/>
  <c r="K62" i="2"/>
  <c r="K21" i="2"/>
  <c r="AK69" i="2"/>
  <c r="H49" i="2"/>
  <c r="AM48" i="2"/>
  <c r="G30" i="2"/>
  <c r="AD51" i="2"/>
  <c r="F79" i="2"/>
  <c r="J21" i="2"/>
  <c r="L9" i="2"/>
  <c r="AD23" i="2"/>
  <c r="AF61" i="2"/>
  <c r="AK4" i="2"/>
  <c r="W20" i="2"/>
  <c r="L25" i="2"/>
  <c r="AH17" i="2"/>
  <c r="AF56" i="2"/>
  <c r="AK15" i="2"/>
  <c r="R30" i="2"/>
  <c r="V78" i="2"/>
  <c r="AA66" i="2"/>
  <c r="Z43" i="2"/>
  <c r="AG56" i="2"/>
  <c r="AD68" i="2"/>
  <c r="P5" i="2"/>
  <c r="F30" i="2"/>
  <c r="T77" i="2"/>
  <c r="AH79" i="2"/>
  <c r="AK65" i="2"/>
  <c r="AB12" i="2"/>
  <c r="Y66" i="2"/>
  <c r="M13" i="2"/>
  <c r="Y48" i="2"/>
  <c r="Y77" i="2"/>
  <c r="AH23" i="2"/>
  <c r="AK55" i="2"/>
  <c r="F29" i="2"/>
  <c r="E36" i="2"/>
  <c r="Z9" i="2"/>
  <c r="R70" i="2"/>
  <c r="AA67" i="2"/>
  <c r="G73" i="2"/>
  <c r="AI58" i="2"/>
  <c r="AA75" i="2"/>
  <c r="E23" i="2"/>
  <c r="I45" i="2"/>
  <c r="L69" i="2"/>
  <c r="L73" i="2"/>
  <c r="G74" i="2"/>
  <c r="AA10" i="2"/>
  <c r="W16" i="2"/>
  <c r="AJ49" i="2"/>
  <c r="AK17" i="2"/>
  <c r="N55" i="2"/>
  <c r="F14" i="2"/>
  <c r="AF66" i="2"/>
  <c r="Y34" i="2"/>
  <c r="I4" i="2"/>
  <c r="Z40" i="2"/>
  <c r="U67" i="2"/>
  <c r="J74" i="2"/>
  <c r="AA58" i="2"/>
  <c r="E30" i="2"/>
  <c r="AG77" i="2"/>
  <c r="G17" i="2"/>
  <c r="S16" i="2"/>
  <c r="R16" i="2"/>
  <c r="L38" i="2"/>
  <c r="H27" i="2"/>
  <c r="S32" i="2"/>
  <c r="AC40" i="2"/>
  <c r="AH20" i="2"/>
  <c r="X78" i="2"/>
  <c r="AM23" i="2"/>
  <c r="AK44" i="2"/>
  <c r="P66" i="2"/>
  <c r="AA74" i="2"/>
  <c r="I31" i="2"/>
  <c r="AC61" i="2"/>
  <c r="F18" i="2"/>
  <c r="AA64" i="2"/>
  <c r="G80" i="2"/>
  <c r="AD43" i="2"/>
  <c r="S55" i="2"/>
  <c r="AD11" i="2"/>
  <c r="K69" i="2"/>
  <c r="P17" i="2"/>
  <c r="AE19" i="2"/>
  <c r="M77" i="2"/>
  <c r="AJ71" i="2"/>
  <c r="K4" i="2"/>
  <c r="AG29" i="2"/>
  <c r="S71" i="2"/>
  <c r="AJ36" i="2"/>
  <c r="S50" i="2"/>
  <c r="U61" i="2"/>
  <c r="M70" i="2"/>
  <c r="F32" i="2"/>
  <c r="K17" i="2"/>
  <c r="H54" i="2"/>
  <c r="Y37" i="2"/>
  <c r="AE15" i="2"/>
  <c r="AF34" i="2"/>
  <c r="AI75" i="2"/>
  <c r="I44" i="2"/>
  <c r="W39" i="2"/>
  <c r="AG65" i="2"/>
  <c r="L16" i="2"/>
  <c r="T31" i="2"/>
  <c r="AE69" i="2"/>
  <c r="AA22" i="2"/>
  <c r="AE74" i="2"/>
  <c r="AL29" i="2"/>
  <c r="R15" i="2"/>
  <c r="G71" i="2"/>
  <c r="AH44" i="2"/>
  <c r="G52" i="2"/>
  <c r="AA72" i="2"/>
  <c r="O47" i="2"/>
  <c r="AI56" i="2"/>
  <c r="N57" i="2"/>
  <c r="N59" i="2"/>
  <c r="O30" i="2"/>
  <c r="AA60" i="2"/>
  <c r="P61" i="2"/>
  <c r="S63" i="2"/>
  <c r="AI33" i="2"/>
  <c r="Y53" i="2"/>
  <c r="N65" i="2"/>
  <c r="P30" i="2"/>
  <c r="AD62" i="2"/>
  <c r="F65" i="2"/>
  <c r="H80" i="2"/>
  <c r="AL49" i="2"/>
  <c r="U20" i="2"/>
  <c r="AD4" i="2"/>
  <c r="K12" i="2"/>
  <c r="J16" i="2"/>
  <c r="AE33" i="2"/>
  <c r="J34" i="2"/>
  <c r="AF10" i="2"/>
  <c r="F23" i="2"/>
  <c r="AC34" i="2"/>
  <c r="E38" i="2"/>
  <c r="AK59" i="2"/>
  <c r="K6" i="2"/>
  <c r="W72" i="2"/>
  <c r="N73" i="2"/>
  <c r="F36" i="2"/>
  <c r="AG55" i="2"/>
  <c r="Y74" i="2"/>
  <c r="L41" i="2"/>
  <c r="I38" i="2"/>
  <c r="AG68" i="2"/>
  <c r="P55" i="2"/>
  <c r="T16" i="2"/>
  <c r="AA55" i="2"/>
  <c r="AD30" i="2"/>
  <c r="U71" i="2"/>
  <c r="AK66" i="2"/>
  <c r="S27" i="2"/>
  <c r="P42" i="2"/>
  <c r="T57" i="2"/>
  <c r="Y75" i="2"/>
  <c r="AI47" i="2"/>
  <c r="X53" i="2"/>
  <c r="T8" i="2"/>
  <c r="G24" i="2"/>
  <c r="AG21" i="2"/>
  <c r="M60" i="2"/>
  <c r="E62" i="2"/>
  <c r="AH32" i="2"/>
  <c r="V28" i="2"/>
  <c r="I13" i="2"/>
  <c r="AF68" i="2"/>
  <c r="AJ35" i="2"/>
  <c r="E40" i="2"/>
  <c r="AK51" i="2"/>
  <c r="L7" i="2"/>
  <c r="AC52" i="2"/>
  <c r="X17" i="2"/>
  <c r="Y80" i="2"/>
  <c r="AA71" i="2"/>
  <c r="AJ18" i="2"/>
  <c r="AK5" i="2"/>
  <c r="AE24" i="2"/>
  <c r="AE25" i="2"/>
  <c r="AF50" i="2"/>
  <c r="AB60" i="2"/>
  <c r="AH16" i="2"/>
  <c r="AA24" i="2"/>
  <c r="E9" i="2"/>
  <c r="Z69" i="2"/>
  <c r="U27" i="2"/>
  <c r="AE21" i="2"/>
  <c r="AK47" i="2"/>
  <c r="I30" i="2"/>
  <c r="AI35" i="2"/>
  <c r="AI41" i="2"/>
  <c r="M9" i="2"/>
  <c r="AA25" i="2"/>
  <c r="AH59" i="2"/>
  <c r="G27" i="2"/>
  <c r="V44" i="2"/>
  <c r="AJ75" i="2"/>
  <c r="G7" i="2"/>
  <c r="T36" i="2"/>
  <c r="AH14" i="2"/>
  <c r="AJ39" i="2"/>
  <c r="AF6" i="2"/>
  <c r="N11" i="2"/>
  <c r="M65" i="2"/>
  <c r="T13" i="2"/>
  <c r="AG7" i="2"/>
  <c r="V43" i="2"/>
  <c r="N56" i="2"/>
  <c r="S70" i="2"/>
  <c r="AG34" i="2"/>
  <c r="AE38" i="2"/>
  <c r="AK54" i="2"/>
  <c r="AI31" i="2"/>
  <c r="AF69" i="2"/>
  <c r="R60" i="2"/>
  <c r="V71" i="2"/>
  <c r="AM73" i="2"/>
  <c r="L60" i="2"/>
  <c r="AB9" i="2"/>
  <c r="T15" i="2"/>
  <c r="AH58" i="2"/>
  <c r="J19" i="2"/>
  <c r="H30" i="2"/>
  <c r="P56" i="2"/>
  <c r="AF4" i="2"/>
  <c r="K34" i="2"/>
  <c r="AJ48" i="2"/>
  <c r="K77" i="2"/>
  <c r="G11" i="2"/>
  <c r="AM36" i="2"/>
  <c r="K64" i="2"/>
  <c r="Z37" i="2"/>
  <c r="F54" i="2"/>
  <c r="AG53" i="2"/>
  <c r="O17" i="2"/>
  <c r="J33" i="2"/>
  <c r="AE39" i="2"/>
  <c r="AJ12" i="2"/>
  <c r="V34" i="2"/>
  <c r="Y31" i="2"/>
  <c r="O76" i="2"/>
  <c r="J39" i="2"/>
  <c r="H62" i="2"/>
  <c r="Y38" i="2"/>
  <c r="E46" i="2"/>
  <c r="L79" i="2"/>
  <c r="T27" i="2"/>
  <c r="AI51" i="2"/>
  <c r="K11" i="2"/>
  <c r="G40" i="2"/>
  <c r="F34" i="2"/>
  <c r="J61" i="2"/>
  <c r="H10" i="2"/>
  <c r="X39" i="2"/>
  <c r="U9" i="2"/>
  <c r="E14" i="2"/>
  <c r="P73" i="2"/>
  <c r="M71" i="2"/>
  <c r="AD63" i="2"/>
  <c r="S56" i="2"/>
  <c r="F39" i="2"/>
  <c r="AM28" i="2"/>
  <c r="AM13" i="2"/>
  <c r="X38" i="2"/>
  <c r="AJ57" i="2"/>
  <c r="Z5" i="2"/>
  <c r="AM33" i="2"/>
  <c r="AE75" i="2"/>
  <c r="O60" i="2"/>
  <c r="AB45" i="2"/>
  <c r="G66" i="2"/>
  <c r="K57" i="2"/>
  <c r="U51" i="2"/>
  <c r="V46" i="2"/>
  <c r="AL37" i="2"/>
  <c r="AH75" i="2"/>
  <c r="AE51" i="2"/>
  <c r="AB59" i="2"/>
  <c r="AI40" i="2"/>
  <c r="J25" i="2"/>
  <c r="AL67" i="2"/>
  <c r="R10" i="2"/>
  <c r="W61" i="2"/>
  <c r="H37" i="2"/>
  <c r="AJ64" i="2"/>
  <c r="J8" i="2"/>
  <c r="J70" i="2"/>
  <c r="X40" i="2"/>
  <c r="N4" i="2"/>
  <c r="AA15" i="2"/>
  <c r="AM52" i="2"/>
  <c r="W24" i="2"/>
  <c r="AB7" i="2"/>
  <c r="F57" i="2"/>
  <c r="M48" i="2"/>
  <c r="AF65" i="2"/>
  <c r="K68" i="2"/>
  <c r="L15" i="2"/>
  <c r="AG25" i="2"/>
  <c r="AD38" i="2"/>
  <c r="R36" i="2"/>
  <c r="E45" i="2"/>
  <c r="AC6" i="2"/>
  <c r="O79" i="2"/>
  <c r="T22" i="2"/>
  <c r="U41" i="2"/>
  <c r="AK70" i="2"/>
  <c r="K22" i="2"/>
  <c r="G76" i="2"/>
  <c r="AE63" i="2"/>
  <c r="K66" i="2"/>
  <c r="W66" i="2"/>
  <c r="P58" i="2"/>
  <c r="T56" i="2"/>
  <c r="H77" i="2"/>
  <c r="G26" i="2"/>
  <c r="AH54" i="2"/>
  <c r="Z8" i="2"/>
  <c r="H45" i="2"/>
  <c r="AF15" i="2"/>
  <c r="AH66" i="2"/>
  <c r="Y24" i="2"/>
  <c r="X42" i="2"/>
  <c r="V80" i="2"/>
  <c r="AC79" i="2"/>
  <c r="AC55" i="2"/>
  <c r="X67" i="2"/>
  <c r="L24" i="2"/>
  <c r="AM27" i="2"/>
  <c r="H79" i="2"/>
  <c r="Y6" i="2"/>
  <c r="Z27" i="2"/>
  <c r="AE6" i="2"/>
  <c r="AF49" i="2"/>
  <c r="J56" i="2"/>
  <c r="AI27" i="2"/>
  <c r="L68" i="2"/>
  <c r="AK71" i="2"/>
  <c r="AM9" i="2"/>
  <c r="V20" i="2"/>
  <c r="AF12" i="2"/>
  <c r="U53" i="2"/>
  <c r="M10" i="2"/>
  <c r="AI15" i="2"/>
  <c r="N28" i="2"/>
  <c r="AA41" i="2"/>
  <c r="N53" i="2"/>
  <c r="AK53" i="2"/>
  <c r="AG23" i="2"/>
  <c r="G45" i="2"/>
  <c r="AI22" i="2"/>
  <c r="W42" i="2"/>
  <c r="H6" i="2"/>
  <c r="Y64" i="2"/>
  <c r="AM54" i="2"/>
  <c r="AA69" i="2"/>
  <c r="AI11" i="2"/>
  <c r="AJ41" i="2"/>
  <c r="M63" i="2"/>
  <c r="U55" i="2"/>
  <c r="F76" i="2"/>
  <c r="M64" i="2"/>
  <c r="X10" i="2"/>
  <c r="K23" i="2"/>
  <c r="O19" i="2"/>
  <c r="AL61" i="2"/>
  <c r="AF40" i="2"/>
  <c r="S6" i="2"/>
  <c r="AG72" i="2"/>
  <c r="AL75" i="2"/>
  <c r="R34" i="2"/>
  <c r="AG52" i="2"/>
  <c r="AC56" i="2"/>
  <c r="L31" i="2"/>
  <c r="O10" i="2"/>
  <c r="I6" i="2"/>
  <c r="V50" i="2"/>
  <c r="V76" i="2"/>
  <c r="S65" i="2"/>
  <c r="P6" i="2"/>
  <c r="K50" i="2"/>
  <c r="O8" i="2"/>
  <c r="AF35" i="2"/>
  <c r="X56" i="2"/>
  <c r="S61" i="2"/>
  <c r="AD41" i="2"/>
  <c r="R77" i="2"/>
  <c r="AC26" i="2"/>
  <c r="L50" i="2"/>
  <c r="W67" i="2"/>
  <c r="I29" i="2"/>
  <c r="Z79" i="2"/>
  <c r="Z51" i="2"/>
  <c r="AB10" i="2"/>
  <c r="F31" i="2"/>
  <c r="N33" i="2"/>
  <c r="AA80" i="2"/>
  <c r="X55" i="2"/>
  <c r="AD42" i="2"/>
  <c r="F10" i="2"/>
  <c r="Z48" i="2"/>
  <c r="R79" i="2"/>
  <c r="O32" i="2"/>
  <c r="V7" i="2"/>
  <c r="AK16" i="2"/>
  <c r="AK31" i="2"/>
  <c r="O74" i="2"/>
  <c r="T41" i="2"/>
  <c r="O4" i="2"/>
  <c r="AI29" i="2"/>
  <c r="AH26" i="2"/>
  <c r="R55" i="2"/>
  <c r="AH47" i="2"/>
  <c r="AG73" i="2"/>
  <c r="L40" i="2"/>
  <c r="AH4" i="2"/>
  <c r="E11" i="2"/>
  <c r="U80" i="2"/>
  <c r="V17" i="2"/>
  <c r="O16" i="2"/>
  <c r="AF59" i="2"/>
  <c r="Z75" i="2"/>
  <c r="AD5" i="2"/>
  <c r="E58" i="2"/>
  <c r="X4" i="2"/>
  <c r="AA59" i="2"/>
  <c r="AK46" i="2"/>
  <c r="N29" i="2"/>
  <c r="G61" i="2"/>
  <c r="Y13" i="2"/>
  <c r="V33" i="2"/>
  <c r="AH55" i="2"/>
  <c r="N17" i="2"/>
  <c r="AB67" i="2"/>
  <c r="K5" i="2"/>
  <c r="X47" i="2"/>
  <c r="H52" i="2"/>
  <c r="AC57" i="2"/>
  <c r="AJ51" i="2"/>
  <c r="V12" i="2"/>
  <c r="L11" i="2"/>
  <c r="R45" i="2"/>
  <c r="U23" i="2"/>
  <c r="J17" i="2"/>
  <c r="Y20" i="2"/>
  <c r="AB69" i="2"/>
  <c r="AG16" i="2"/>
  <c r="M29" i="2"/>
  <c r="AH10" i="2"/>
  <c r="AA62" i="2"/>
  <c r="AF42" i="2"/>
  <c r="AI73" i="2"/>
  <c r="W78" i="2"/>
  <c r="AG76" i="2"/>
  <c r="AL16" i="2"/>
  <c r="AG43" i="2"/>
  <c r="AJ16" i="2"/>
  <c r="AE37" i="2"/>
  <c r="AG69" i="2"/>
  <c r="R65" i="2"/>
  <c r="T42" i="2"/>
  <c r="AL17" i="2"/>
  <c r="M72" i="2"/>
  <c r="AH60" i="2"/>
  <c r="N49" i="2"/>
  <c r="W4" i="2"/>
  <c r="AA11" i="2"/>
  <c r="X24" i="2"/>
  <c r="I8" i="2"/>
  <c r="AM80" i="2"/>
  <c r="S4" i="2"/>
  <c r="J30" i="2"/>
  <c r="F52" i="2"/>
  <c r="V48" i="2"/>
  <c r="T68" i="2"/>
  <c r="H65" i="2"/>
  <c r="M47" i="2"/>
  <c r="AA18" i="2"/>
  <c r="AD72" i="2"/>
  <c r="T32" i="2"/>
  <c r="P33" i="2"/>
  <c r="V41" i="2"/>
  <c r="O12" i="2"/>
  <c r="AB58" i="2"/>
  <c r="AF16" i="2"/>
  <c r="J45" i="2"/>
  <c r="J62" i="2"/>
  <c r="AF54" i="2"/>
  <c r="H33" i="2"/>
  <c r="Y76" i="2"/>
  <c r="H70" i="2"/>
  <c r="T7" i="2"/>
  <c r="S78" i="2"/>
  <c r="T33" i="2"/>
  <c r="O62" i="2"/>
  <c r="AH64" i="2"/>
  <c r="AG20" i="2"/>
  <c r="AM75" i="2"/>
  <c r="P47" i="2"/>
  <c r="G31" i="2"/>
  <c r="P18" i="2"/>
  <c r="M56" i="2"/>
  <c r="Y17" i="2"/>
  <c r="AC76" i="2"/>
  <c r="AB63" i="2"/>
  <c r="AC74" i="2"/>
  <c r="J68" i="2"/>
  <c r="M12" i="2"/>
  <c r="AD55" i="2"/>
  <c r="Y29" i="2"/>
  <c r="J31" i="2"/>
  <c r="N30" i="2"/>
  <c r="N34" i="2"/>
  <c r="P60" i="2"/>
  <c r="N68" i="2"/>
  <c r="AM26" i="2"/>
  <c r="E24" i="2"/>
  <c r="T12" i="2"/>
  <c r="Y35" i="2"/>
  <c r="AD37" i="2"/>
  <c r="W11" i="2"/>
  <c r="O70" i="2"/>
  <c r="K47" i="2"/>
  <c r="AA23" i="2"/>
  <c r="P24" i="2"/>
  <c r="N24" i="2"/>
  <c r="AI71" i="2"/>
  <c r="P67" i="2"/>
  <c r="V52" i="2"/>
  <c r="AJ29" i="2"/>
  <c r="AK45" i="2"/>
  <c r="V15" i="2"/>
  <c r="AK58" i="2"/>
  <c r="I20" i="2"/>
  <c r="H19" i="2"/>
  <c r="N69" i="2"/>
  <c r="X57" i="2"/>
  <c r="AI48" i="2"/>
  <c r="E57" i="2"/>
  <c r="AJ20" i="2"/>
  <c r="AH70" i="2"/>
  <c r="L55" i="2"/>
  <c r="S10" i="2"/>
  <c r="H64" i="2"/>
  <c r="X74" i="2"/>
  <c r="V73" i="2"/>
  <c r="AM51" i="2"/>
  <c r="O72" i="2"/>
  <c r="K54" i="2"/>
  <c r="O68" i="2"/>
  <c r="Z34" i="2"/>
  <c r="AJ10" i="2"/>
  <c r="H58" i="2"/>
  <c r="V65" i="2"/>
  <c r="AG67" i="2"/>
  <c r="AL32" i="2"/>
  <c r="Z80" i="2"/>
  <c r="U8" i="2"/>
  <c r="Y67" i="2"/>
  <c r="AK52" i="2"/>
  <c r="X70" i="2"/>
  <c r="S68" i="2"/>
  <c r="AG50" i="2"/>
  <c r="X35" i="2"/>
  <c r="L18" i="2"/>
  <c r="AJ9" i="2"/>
  <c r="AK50" i="2"/>
  <c r="AL74" i="2"/>
  <c r="AJ60" i="2"/>
  <c r="Z15" i="2"/>
  <c r="G12" i="2"/>
  <c r="AG6" i="2"/>
  <c r="AD50" i="2"/>
  <c r="H13" i="2"/>
  <c r="M30" i="2"/>
  <c r="U34" i="2"/>
  <c r="K20" i="2"/>
  <c r="P77" i="2"/>
  <c r="N15" i="2"/>
  <c r="S62" i="2"/>
  <c r="AL19" i="2"/>
  <c r="W30" i="2"/>
  <c r="T5" i="2"/>
  <c r="AG17" i="2"/>
  <c r="AA4" i="2"/>
  <c r="U74" i="2"/>
  <c r="M79" i="2"/>
  <c r="R71" i="2"/>
  <c r="AL42" i="2"/>
  <c r="Z61" i="2"/>
  <c r="I14" i="2"/>
  <c r="AF17" i="2"/>
  <c r="AB64" i="2"/>
  <c r="W48" i="2"/>
  <c r="AH39" i="2"/>
  <c r="I39" i="2"/>
  <c r="AE77" i="2"/>
  <c r="E48" i="2"/>
  <c r="AE32" i="2"/>
  <c r="X33" i="2"/>
  <c r="U69" i="2"/>
  <c r="Y9" i="2"/>
  <c r="Z38" i="2"/>
  <c r="X73" i="2"/>
  <c r="AF22" i="2"/>
  <c r="AM63" i="2"/>
  <c r="AF79" i="2"/>
  <c r="AI79" i="2"/>
  <c r="AB27" i="2"/>
  <c r="AE57" i="2"/>
  <c r="K70" i="2"/>
  <c r="AI32" i="2"/>
  <c r="AE65" i="2"/>
  <c r="H75" i="2"/>
  <c r="AI36" i="2"/>
  <c r="U4" i="2"/>
  <c r="P10" i="2"/>
  <c r="AC23" i="2"/>
  <c r="AF44" i="2"/>
  <c r="Z13" i="2"/>
  <c r="X41" i="2"/>
  <c r="Z41" i="2"/>
  <c r="I7" i="2"/>
  <c r="AC71" i="2"/>
  <c r="AJ62" i="2"/>
  <c r="W10" i="2"/>
  <c r="O71" i="2"/>
  <c r="AH46" i="2"/>
  <c r="N46" i="2"/>
  <c r="P15" i="2"/>
  <c r="R28" i="2"/>
  <c r="S54" i="2"/>
  <c r="N75" i="2"/>
  <c r="AG5" i="2"/>
  <c r="AF67" i="2"/>
  <c r="AG74" i="2"/>
  <c r="F66" i="2"/>
  <c r="F61" i="2"/>
  <c r="L39" i="2"/>
  <c r="O57" i="2"/>
  <c r="P13" i="2"/>
  <c r="H16" i="2"/>
  <c r="Y4" i="2"/>
  <c r="K63" i="2"/>
  <c r="AK64" i="2"/>
  <c r="AI62" i="2"/>
  <c r="H51" i="2"/>
  <c r="L64" i="2"/>
  <c r="V19" i="2"/>
  <c r="U49" i="2"/>
  <c r="AB24" i="2"/>
  <c r="AF75" i="2"/>
  <c r="M61" i="2"/>
  <c r="I78" i="2"/>
  <c r="J20" i="2"/>
  <c r="S80" i="2"/>
  <c r="H67" i="2"/>
  <c r="AB28" i="2"/>
  <c r="Z19" i="2"/>
  <c r="Y7" i="2"/>
  <c r="E53" i="2"/>
  <c r="K35" i="2"/>
  <c r="AG39" i="2"/>
  <c r="S22" i="2"/>
  <c r="M44" i="2"/>
  <c r="T50" i="2"/>
  <c r="AD61" i="2"/>
  <c r="R68" i="2"/>
  <c r="AB72" i="2"/>
  <c r="X25" i="2"/>
  <c r="AE61" i="2"/>
  <c r="AA6" i="2"/>
  <c r="K49" i="2"/>
  <c r="E41" i="2"/>
  <c r="H73" i="2"/>
  <c r="I24" i="2"/>
  <c r="AK67" i="2"/>
  <c r="AA28" i="2"/>
  <c r="V25" i="2"/>
  <c r="J49" i="2"/>
  <c r="F26" i="2"/>
  <c r="AA68" i="2"/>
  <c r="AC27" i="2"/>
  <c r="U26" i="2"/>
  <c r="L72" i="2"/>
  <c r="I15" i="2"/>
  <c r="AJ22" i="2"/>
  <c r="T61" i="2"/>
  <c r="E22" i="2"/>
  <c r="P76" i="2"/>
  <c r="G10" i="2"/>
  <c r="AH80" i="2"/>
  <c r="AL26" i="2"/>
  <c r="W55" i="2"/>
  <c r="AL27" i="2"/>
  <c r="K37" i="2"/>
  <c r="Y39" i="2"/>
  <c r="M4" i="2"/>
  <c r="AL47" i="2"/>
  <c r="AC48" i="2"/>
  <c r="N37" i="2"/>
  <c r="AA63" i="2"/>
  <c r="J54" i="2"/>
  <c r="G13" i="2"/>
  <c r="I61" i="2"/>
  <c r="AI63" i="2"/>
  <c r="AL14" i="2"/>
  <c r="AE18" i="2"/>
  <c r="AK12" i="2"/>
  <c r="AB38" i="2"/>
  <c r="AJ74" i="2"/>
  <c r="U77" i="2"/>
  <c r="G28" i="2"/>
  <c r="H66" i="2"/>
  <c r="AC70" i="2"/>
  <c r="AD19" i="2"/>
  <c r="T28" i="2"/>
  <c r="K40" i="2"/>
  <c r="Y78" i="2"/>
  <c r="AA42" i="2"/>
  <c r="AH42" i="2"/>
  <c r="AL77" i="2"/>
  <c r="AL4" i="2"/>
  <c r="M27" i="2"/>
  <c r="P28" i="2"/>
  <c r="F75" i="2"/>
  <c r="X79" i="2"/>
  <c r="AJ30" i="2"/>
  <c r="K19" i="2"/>
  <c r="W22" i="2"/>
  <c r="AH28" i="2"/>
  <c r="K32" i="2"/>
  <c r="W80" i="2"/>
  <c r="AI38" i="2"/>
  <c r="AK56" i="2"/>
  <c r="AE10" i="2"/>
  <c r="AA48" i="2"/>
  <c r="AH13" i="2"/>
  <c r="R53" i="2"/>
  <c r="W50" i="2"/>
  <c r="AM61" i="2"/>
  <c r="S64" i="2"/>
  <c r="J15" i="2"/>
  <c r="U64" i="2"/>
  <c r="AJ19" i="2"/>
  <c r="L30" i="2"/>
  <c r="U24" i="2"/>
  <c r="N63" i="2"/>
  <c r="AF27" i="2"/>
  <c r="W18" i="2"/>
  <c r="AM42" i="2"/>
  <c r="AE20" i="2"/>
  <c r="AF20" i="2"/>
  <c r="V39" i="2"/>
  <c r="G60" i="2"/>
  <c r="AL60" i="2"/>
  <c r="W77" i="2"/>
  <c r="H21" i="2"/>
  <c r="G43" i="2"/>
  <c r="AM62" i="2"/>
  <c r="AJ14" i="2"/>
  <c r="L49" i="2"/>
  <c r="AE26" i="2"/>
  <c r="K67" i="2"/>
  <c r="H43" i="2"/>
  <c r="E6" i="2"/>
  <c r="R5" i="2"/>
  <c r="E64" i="2"/>
  <c r="AM47" i="2"/>
  <c r="W68" i="2"/>
  <c r="AI26" i="2"/>
  <c r="AJ42" i="2"/>
  <c r="AG54" i="2"/>
  <c r="Z68" i="2"/>
  <c r="I25" i="2"/>
  <c r="AC19" i="2"/>
  <c r="Z28" i="2"/>
  <c r="P32" i="2"/>
  <c r="J36" i="2"/>
  <c r="AH51" i="2"/>
  <c r="P69" i="2"/>
  <c r="AE12" i="2"/>
  <c r="AI42" i="2"/>
  <c r="P75" i="2"/>
  <c r="AB8" i="2"/>
  <c r="I72" i="2"/>
  <c r="E28" i="2"/>
  <c r="F8" i="2"/>
  <c r="AH6" i="2"/>
  <c r="O75" i="2"/>
  <c r="AI43" i="2"/>
  <c r="X48" i="2"/>
  <c r="W41" i="2"/>
  <c r="F74" i="2"/>
  <c r="AD74" i="2"/>
  <c r="M45" i="2"/>
  <c r="F43" i="2"/>
  <c r="K71" i="2"/>
  <c r="AM43" i="2"/>
  <c r="O24" i="2"/>
  <c r="J41" i="2"/>
  <c r="AF71" i="2"/>
  <c r="AK25" i="2"/>
  <c r="AH62" i="2"/>
  <c r="AF43" i="2"/>
  <c r="AD70" i="2"/>
  <c r="T52" i="2"/>
  <c r="AG28" i="2"/>
  <c r="W51" i="2"/>
  <c r="AA52" i="2"/>
  <c r="AL40" i="2"/>
  <c r="Y62" i="2"/>
  <c r="AI45" i="2"/>
  <c r="Z26" i="2"/>
  <c r="AA21" i="2"/>
  <c r="AK43" i="2"/>
  <c r="AL73" i="2"/>
  <c r="AA56" i="2"/>
  <c r="AJ76" i="2"/>
  <c r="H12" i="2"/>
  <c r="AC58" i="2"/>
  <c r="AG10" i="2"/>
  <c r="M55" i="2"/>
  <c r="Y46" i="2"/>
  <c r="Z76" i="2"/>
  <c r="Y49" i="2"/>
  <c r="AA34" i="2"/>
  <c r="V60" i="2"/>
  <c r="AB62" i="2"/>
  <c r="Y40" i="2"/>
  <c r="N9" i="2"/>
  <c r="AB79" i="2"/>
  <c r="Z70" i="2"/>
  <c r="P39" i="2"/>
  <c r="Y51" i="2"/>
  <c r="K72" i="2"/>
  <c r="AJ44" i="2"/>
  <c r="G41" i="2"/>
  <c r="S18" i="2"/>
  <c r="H42" i="2"/>
  <c r="P40" i="2"/>
  <c r="R19" i="2"/>
  <c r="AF30" i="2"/>
  <c r="AK30" i="2"/>
  <c r="F56" i="2"/>
  <c r="I51" i="2"/>
  <c r="G4" i="2"/>
  <c r="AJ78" i="2"/>
  <c r="F63" i="2"/>
  <c r="AJ7" i="2"/>
  <c r="AH56" i="2"/>
  <c r="AB35" i="2"/>
  <c r="AF51" i="2"/>
  <c r="T73" i="2"/>
  <c r="X13" i="2"/>
  <c r="AK60" i="2"/>
  <c r="E21" i="2"/>
  <c r="Y28" i="2"/>
  <c r="AK37" i="2"/>
  <c r="S52" i="2"/>
  <c r="AC65" i="2"/>
  <c r="R22" i="2"/>
  <c r="L5" i="2"/>
  <c r="I10" i="2"/>
  <c r="F44" i="2"/>
  <c r="AE22" i="2"/>
  <c r="AA36" i="2"/>
  <c r="AM50" i="2"/>
  <c r="AE35" i="2"/>
  <c r="S13" i="2"/>
  <c r="O7" i="2"/>
  <c r="AF64" i="2"/>
  <c r="Z47" i="2"/>
  <c r="I41" i="2"/>
  <c r="K51" i="2"/>
  <c r="AC45" i="2"/>
  <c r="AK23" i="2"/>
  <c r="AI69" i="2"/>
  <c r="AD58" i="2"/>
  <c r="H5" i="2"/>
  <c r="AL7" i="2"/>
  <c r="AM25" i="2"/>
  <c r="R6" i="2"/>
  <c r="AA14" i="2"/>
  <c r="E75" i="2"/>
  <c r="W29" i="2"/>
  <c r="F19" i="2"/>
  <c r="AD75" i="2"/>
  <c r="T62" i="2"/>
  <c r="X64" i="2"/>
  <c r="N60" i="2"/>
  <c r="N44" i="2"/>
  <c r="X23" i="2"/>
  <c r="E65" i="2"/>
  <c r="AA20" i="2"/>
  <c r="J24" i="2"/>
  <c r="S72" i="2"/>
  <c r="R56" i="2"/>
  <c r="H36" i="2"/>
  <c r="L65" i="2"/>
  <c r="AG47" i="2"/>
  <c r="AB4" i="2"/>
  <c r="I27" i="2"/>
  <c r="T45" i="2"/>
  <c r="AC63" i="2"/>
  <c r="E7" i="2"/>
  <c r="Y68" i="2"/>
  <c r="AF31" i="2"/>
  <c r="Z42" i="2"/>
  <c r="U62" i="2"/>
  <c r="Y61" i="2"/>
  <c r="T79" i="2"/>
  <c r="J18" i="2"/>
  <c r="J37" i="2"/>
  <c r="AD53" i="2"/>
  <c r="J44" i="2"/>
  <c r="AJ69" i="2"/>
  <c r="V14" i="2"/>
  <c r="AD66" i="2"/>
  <c r="Z23" i="2"/>
  <c r="AF36" i="2"/>
  <c r="AF9" i="2"/>
  <c r="U59" i="2"/>
  <c r="J26" i="2"/>
  <c r="AG46" i="2"/>
  <c r="X14" i="2"/>
  <c r="AB49" i="2"/>
  <c r="AI72" i="2"/>
  <c r="AM44" i="2"/>
  <c r="AM39" i="2"/>
  <c r="W64" i="2"/>
  <c r="AH50" i="2"/>
  <c r="AL30" i="2"/>
  <c r="L28" i="2"/>
  <c r="AM59" i="2"/>
  <c r="AL25" i="2"/>
  <c r="S60" i="2"/>
  <c r="AA54" i="2"/>
  <c r="I16" i="2"/>
  <c r="I70" i="2"/>
  <c r="N47" i="2"/>
  <c r="X52" i="2"/>
  <c r="N52" i="2"/>
  <c r="F55" i="2"/>
  <c r="T17" i="2"/>
  <c r="AA40" i="2"/>
  <c r="AE17" i="2"/>
  <c r="M35" i="2"/>
  <c r="I12" i="2"/>
  <c r="AD9" i="2"/>
  <c r="AB34" i="2"/>
  <c r="AB56" i="2"/>
  <c r="P29" i="2"/>
  <c r="R13" i="2"/>
  <c r="P74" i="2"/>
  <c r="E4" i="2"/>
  <c r="P78" i="2"/>
  <c r="AB36" i="2"/>
  <c r="N78" i="2"/>
  <c r="AM17" i="2"/>
  <c r="X31" i="2"/>
  <c r="R44" i="2"/>
  <c r="Y12" i="2"/>
  <c r="L53" i="2"/>
  <c r="AD80" i="2"/>
  <c r="AK21" i="2"/>
  <c r="I28" i="2"/>
  <c r="E13" i="2"/>
  <c r="G36" i="2"/>
  <c r="J53" i="2"/>
  <c r="E17" i="2"/>
  <c r="Z7" i="2"/>
  <c r="F80" i="2"/>
  <c r="Y71" i="2"/>
  <c r="AM14" i="2"/>
  <c r="AI7" i="2"/>
  <c r="M39" i="2"/>
  <c r="O78" i="2"/>
  <c r="AA61" i="2"/>
  <c r="M78" i="2"/>
  <c r="L48" i="2"/>
  <c r="O52" i="2"/>
  <c r="Z60" i="2"/>
  <c r="O61" i="2"/>
  <c r="M80" i="2"/>
  <c r="E37" i="2"/>
  <c r="F37" i="2"/>
  <c r="G19" i="2"/>
  <c r="L19" i="2"/>
  <c r="M58" i="2"/>
  <c r="S33" i="2"/>
  <c r="I17" i="2"/>
  <c r="K78" i="2"/>
  <c r="AA30" i="2"/>
  <c r="AI59" i="2"/>
  <c r="AM60" i="2"/>
  <c r="AI80" i="2"/>
  <c r="AF41" i="2"/>
  <c r="AB75" i="2"/>
  <c r="Y15" i="2"/>
  <c r="G35" i="2"/>
  <c r="AC13" i="2"/>
  <c r="AE47" i="2"/>
  <c r="I74" i="2"/>
  <c r="F11" i="2"/>
  <c r="G9" i="2"/>
  <c r="U63" i="2"/>
  <c r="V79" i="2"/>
  <c r="AA39" i="2"/>
  <c r="AB48" i="2"/>
  <c r="J6" i="2"/>
  <c r="Z16" i="2"/>
  <c r="H59" i="2"/>
  <c r="AD65" i="2"/>
  <c r="F21" i="2"/>
  <c r="P31" i="2"/>
  <c r="H38" i="2"/>
  <c r="Y36" i="2"/>
  <c r="AE60" i="2"/>
  <c r="T55" i="2"/>
  <c r="X11" i="2"/>
  <c r="AF60" i="2"/>
  <c r="AK63" i="2"/>
  <c r="V37" i="2"/>
  <c r="K46" i="2"/>
  <c r="T21" i="2"/>
  <c r="G78" i="2"/>
  <c r="M68" i="2"/>
  <c r="AE52" i="2"/>
  <c r="AK7" i="2"/>
  <c r="AH34" i="2"/>
  <c r="AL21" i="2"/>
  <c r="AE11" i="2"/>
  <c r="T14" i="2"/>
  <c r="I69" i="2"/>
  <c r="AM67" i="2"/>
  <c r="L17" i="2"/>
  <c r="U5" i="2"/>
  <c r="U29" i="2"/>
  <c r="AH40" i="2"/>
  <c r="Z73" i="2"/>
  <c r="F25" i="2"/>
  <c r="I19" i="2"/>
  <c r="AB11" i="2"/>
  <c r="U44" i="2"/>
  <c r="AJ72" i="2"/>
  <c r="M33" i="2"/>
  <c r="P4" i="2"/>
  <c r="O5" i="2"/>
  <c r="AA35" i="2"/>
  <c r="U13" i="2"/>
  <c r="AH45" i="2"/>
  <c r="O65" i="2"/>
  <c r="AG4" i="2"/>
  <c r="AB32" i="2"/>
  <c r="R54" i="2"/>
  <c r="AL6" i="2"/>
  <c r="N8" i="2"/>
  <c r="AB68" i="2"/>
  <c r="S74" i="2"/>
  <c r="AF74" i="2"/>
  <c r="P59" i="2"/>
  <c r="AE66" i="2"/>
  <c r="I67" i="2"/>
  <c r="AA73" i="2"/>
  <c r="AB39" i="2"/>
  <c r="AB31" i="2"/>
  <c r="AJ68" i="2"/>
  <c r="AD47" i="2"/>
  <c r="K18" i="2"/>
  <c r="N14" i="2"/>
  <c r="AM7" i="2"/>
  <c r="V18" i="2"/>
  <c r="K53" i="2"/>
  <c r="U75" i="2"/>
  <c r="AJ6" i="2"/>
  <c r="AC18" i="2"/>
  <c r="G69" i="2"/>
  <c r="AI67" i="2"/>
  <c r="Y23" i="2"/>
  <c r="U40" i="2"/>
  <c r="R23" i="2"/>
  <c r="AF26" i="2"/>
  <c r="E73" i="2"/>
  <c r="G48" i="2"/>
  <c r="S38" i="2"/>
  <c r="AC49" i="2"/>
  <c r="AG57" i="2"/>
  <c r="W62" i="2"/>
  <c r="O23" i="2"/>
  <c r="X60" i="2"/>
  <c r="T26" i="2"/>
  <c r="AC77" i="2"/>
  <c r="K56" i="2"/>
  <c r="E42" i="2"/>
  <c r="G6" i="2"/>
  <c r="T18" i="2"/>
  <c r="Z33" i="2"/>
  <c r="AE29" i="2"/>
  <c r="E56" i="2"/>
  <c r="AI54" i="2"/>
  <c r="X75" i="2"/>
  <c r="AF57" i="2"/>
  <c r="AI18" i="2"/>
  <c r="Y41" i="2"/>
  <c r="AL8" i="2"/>
  <c r="V26" i="2"/>
  <c r="U72" i="2"/>
  <c r="X8" i="2"/>
  <c r="AG12" i="2"/>
  <c r="AE28" i="2"/>
  <c r="AH38" i="2"/>
  <c r="Z6" i="2"/>
  <c r="AE76" i="2"/>
  <c r="J69" i="2"/>
  <c r="AF38" i="2"/>
  <c r="AM12" i="2"/>
  <c r="AL76" i="2"/>
  <c r="E60" i="2"/>
  <c r="AD52" i="2"/>
  <c r="L76" i="2"/>
  <c r="AA79" i="2"/>
  <c r="Y54" i="2"/>
  <c r="O63" i="2"/>
  <c r="E67" i="2"/>
  <c r="P34" i="2"/>
  <c r="AB33" i="2"/>
  <c r="AF25" i="2"/>
  <c r="L33" i="2"/>
  <c r="AL53" i="2"/>
  <c r="U50" i="2"/>
  <c r="L12" i="2"/>
  <c r="W6" i="2"/>
  <c r="F71" i="2"/>
  <c r="S57" i="2"/>
  <c r="AG11" i="2"/>
  <c r="AB77" i="2"/>
  <c r="Z72" i="2"/>
  <c r="AL72" i="2"/>
  <c r="AH74" i="2"/>
  <c r="K43" i="2"/>
  <c r="AG80" i="2"/>
  <c r="G37" i="2"/>
  <c r="AH24" i="2"/>
  <c r="R48" i="2"/>
  <c r="E72" i="2"/>
  <c r="Z71" i="2"/>
  <c r="E69" i="2"/>
  <c r="AG70" i="2"/>
  <c r="Y63" i="2"/>
  <c r="AG71" i="2"/>
  <c r="AC44" i="2"/>
  <c r="AG75" i="2"/>
  <c r="N39" i="2"/>
  <c r="AI9" i="2"/>
  <c r="AC66" i="2"/>
  <c r="P14" i="2"/>
  <c r="X21" i="2"/>
  <c r="G22" i="2"/>
  <c r="AB23" i="2"/>
  <c r="U33" i="2"/>
  <c r="AB76" i="2"/>
  <c r="Y10" i="2"/>
  <c r="I80" i="2"/>
  <c r="K39" i="2"/>
  <c r="M42" i="2"/>
  <c r="AM30" i="2"/>
  <c r="X5" i="2"/>
  <c r="G70" i="2"/>
  <c r="W13" i="2"/>
  <c r="AM32" i="2"/>
  <c r="AG13" i="2"/>
  <c r="P38" i="2"/>
  <c r="AG58" i="2"/>
  <c r="G50" i="2"/>
  <c r="N72" i="2"/>
  <c r="P23" i="2"/>
  <c r="R38" i="2"/>
  <c r="X46" i="2"/>
  <c r="M67" i="2"/>
  <c r="AG15" i="2"/>
  <c r="AK28" i="2"/>
  <c r="N18" i="2"/>
  <c r="T63" i="2"/>
  <c r="AA29" i="2"/>
  <c r="AC37" i="2"/>
  <c r="O14" i="2"/>
  <c r="AH35" i="2"/>
  <c r="U79" i="2"/>
  <c r="J35" i="2"/>
  <c r="R40" i="2"/>
  <c r="AC78" i="2"/>
  <c r="M21" i="2"/>
  <c r="AJ13" i="2"/>
  <c r="O64" i="2"/>
  <c r="R35" i="2"/>
  <c r="W53" i="2"/>
  <c r="AM6" i="2"/>
  <c r="R11" i="2"/>
  <c r="V30" i="2"/>
  <c r="V24" i="2"/>
  <c r="H11" i="2"/>
  <c r="V27" i="2"/>
  <c r="X66" i="2"/>
  <c r="AD7" i="2"/>
  <c r="G56" i="2"/>
  <c r="AB15" i="2"/>
  <c r="J46" i="2"/>
  <c r="E66" i="2"/>
  <c r="O38" i="2"/>
  <c r="AH27" i="2"/>
  <c r="Y59" i="2"/>
  <c r="AB19" i="2"/>
  <c r="E44" i="2"/>
  <c r="G20" i="2"/>
  <c r="S59" i="2"/>
  <c r="T4" i="2"/>
  <c r="L59" i="2"/>
  <c r="AE78" i="2"/>
  <c r="M5" i="2"/>
  <c r="K76" i="2"/>
  <c r="O53" i="2"/>
  <c r="AH57" i="2"/>
  <c r="T11" i="2"/>
  <c r="I21" i="2"/>
  <c r="R80" i="2"/>
  <c r="M25" i="2"/>
  <c r="Z54" i="2"/>
  <c r="AI28" i="2"/>
  <c r="H69" i="2"/>
  <c r="W19" i="2"/>
  <c r="Y65" i="2"/>
  <c r="O48" i="2"/>
  <c r="O40" i="2"/>
  <c r="I32" i="2"/>
  <c r="AA46" i="2"/>
  <c r="AM8" i="2"/>
  <c r="AA38" i="2"/>
  <c r="L52" i="2"/>
  <c r="O33" i="2"/>
  <c r="W34" i="2"/>
  <c r="S79" i="2"/>
  <c r="AI49" i="2"/>
  <c r="K13" i="2"/>
  <c r="F67" i="2"/>
  <c r="Y14" i="2"/>
  <c r="K45" i="2"/>
  <c r="Z39" i="2"/>
  <c r="AH31" i="2"/>
  <c r="E20" i="2"/>
  <c r="AE9" i="2"/>
  <c r="P19" i="2"/>
  <c r="L32" i="2"/>
  <c r="AD27" i="2"/>
  <c r="V13" i="2"/>
  <c r="AK42" i="2"/>
  <c r="AL62" i="2"/>
  <c r="E18" i="2"/>
  <c r="J4" i="2"/>
  <c r="AD14" i="2"/>
  <c r="AI12" i="2"/>
  <c r="AE50" i="2"/>
  <c r="AC59" i="2"/>
  <c r="U37" i="2"/>
  <c r="O20" i="2"/>
  <c r="O21" i="2"/>
  <c r="F38" i="2"/>
  <c r="W47" i="2"/>
  <c r="E15" i="2"/>
  <c r="E39" i="2"/>
  <c r="J76" i="2"/>
  <c r="P80" i="2"/>
  <c r="Z67" i="2"/>
  <c r="V70" i="2"/>
  <c r="I18" i="2"/>
  <c r="AJ50" i="2"/>
  <c r="AB78" i="2"/>
  <c r="M50" i="2"/>
  <c r="AB50" i="2"/>
  <c r="AK79" i="2"/>
  <c r="AB17" i="2"/>
</calcChain>
</file>

<file path=xl/sharedStrings.xml><?xml version="1.0" encoding="utf-8"?>
<sst xmlns="http://schemas.openxmlformats.org/spreadsheetml/2006/main" count="5074" uniqueCount="991">
  <si>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</si>
  <si>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</si>
  <si>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</si>
  <si>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</si>
  <si>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</si>
  <si>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</si>
  <si>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</si>
  <si>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</si>
  <si>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</si>
  <si>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</si>
  <si>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</si>
  <si>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</si>
  <si>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</si>
  <si>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</si>
  <si>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</si>
  <si>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</si>
  <si>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</si>
  <si>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</si>
  <si>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</si>
  <si>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</si>
  <si>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</si>
  <si>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</si>
  <si>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</si>
  <si>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</si>
  <si>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</si>
  <si>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</si>
  <si>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</si>
  <si>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</si>
  <si>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</si>
  <si>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</si>
  <si>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</si>
  <si>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</si>
  <si>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</si>
  <si>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</si>
  <si>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</si>
  <si>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</si>
  <si>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</si>
  <si>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</si>
  <si>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</si>
  <si>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</si>
  <si>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</si>
  <si>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</si>
  <si>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</si>
  <si>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</si>
  <si>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</si>
  <si>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</si>
  <si>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</si>
  <si>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</si>
  <si>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</si>
  <si>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</si>
  <si>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</si>
  <si>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</si>
  <si>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</si>
  <si>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</si>
  <si>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</si>
  <si>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</si>
  <si>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</si>
  <si>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</si>
  <si>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</si>
  <si>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</si>
  <si>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</si>
  <si>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</si>
  <si>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</si>
  <si>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</si>
  <si>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</si>
  <si>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</si>
  <si>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</si>
  <si>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</si>
  <si>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</si>
  <si>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</si>
  <si>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</si>
  <si>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</si>
  <si>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</si>
  <si>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</si>
  <si>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</si>
  <si>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</si>
  <si>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</si>
  <si>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</si>
  <si>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</si>
  <si>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</si>
  <si>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</si>
  <si>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</si>
  <si>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</si>
  <si>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</si>
  <si>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</si>
  <si>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</si>
  <si>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</si>
  <si>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</si>
  <si>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</si>
  <si>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</si>
  <si>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</si>
  <si>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</si>
  <si>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</si>
  <si>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</si>
  <si>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</si>
  <si>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</si>
  <si>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</si>
  <si>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</si>
  <si>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</si>
  <si>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</si>
  <si>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</si>
  <si>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</si>
  <si>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</si>
  <si>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</si>
  <si>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</si>
  <si>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</si>
  <si>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</si>
  <si>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</si>
  <si>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</si>
  <si>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</si>
  <si>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</si>
  <si>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</si>
  <si>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</si>
  <si>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</si>
  <si>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</si>
  <si>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</si>
  <si>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</si>
  <si>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</si>
  <si>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</si>
  <si>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</si>
  <si>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</si>
  <si>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</si>
  <si>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</si>
  <si>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</si>
  <si>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</si>
  <si>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</si>
  <si>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</si>
  <si>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</si>
  <si>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</si>
  <si>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</si>
  <si>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</si>
  <si>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</si>
  <si>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</si>
  <si>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</si>
  <si>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</si>
  <si>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</si>
  <si>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</si>
  <si>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</si>
  <si>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</si>
  <si>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</si>
  <si>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</si>
  <si>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</si>
  <si>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</si>
  <si>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</si>
  <si>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</si>
  <si>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</si>
  <si>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</si>
  <si>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</si>
  <si>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</si>
  <si>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</si>
  <si>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</si>
  <si>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</si>
  <si>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</si>
  <si>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</si>
  <si>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</si>
  <si>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</si>
  <si>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</si>
  <si>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</si>
  <si>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</si>
  <si>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</si>
  <si>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</si>
  <si>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</si>
  <si>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</si>
  <si>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</si>
  <si>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</si>
  <si>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</si>
  <si>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</si>
  <si>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</si>
  <si>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</si>
  <si>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</si>
  <si>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</si>
  <si>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</si>
  <si>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</si>
  <si>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</si>
  <si>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</si>
  <si>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</si>
  <si>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</si>
  <si>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</si>
  <si>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</si>
  <si>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</si>
  <si>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</si>
  <si>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</si>
  <si>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</si>
  <si>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</si>
  <si>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</si>
  <si>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</si>
  <si>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</si>
  <si>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</si>
  <si>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</si>
  <si>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</si>
  <si>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</si>
  <si>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</si>
  <si>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</si>
  <si>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</si>
  <si>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</si>
  <si>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</si>
  <si>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</si>
  <si>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</si>
  <si>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</si>
  <si>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</si>
  <si>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</si>
  <si>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</si>
  <si>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</si>
  <si>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</si>
  <si>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</si>
  <si>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</si>
  <si>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</si>
  <si>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</si>
  <si>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</si>
  <si>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</si>
  <si>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</si>
  <si>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</si>
  <si>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</si>
  <si>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</si>
  <si>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</si>
  <si>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</si>
  <si>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</si>
  <si>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</si>
  <si>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</si>
  <si>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</si>
  <si>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</si>
  <si>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</si>
  <si>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</si>
  <si>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</si>
  <si>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</si>
  <si>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</si>
  <si>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</si>
  <si>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</si>
  <si>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</si>
  <si>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</si>
  <si>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</si>
  <si>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</si>
  <si>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</si>
  <si>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</si>
  <si>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</si>
  <si>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</si>
  <si>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</si>
  <si>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</si>
  <si>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</si>
  <si>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</si>
  <si>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</si>
  <si>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</si>
  <si>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</si>
  <si>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</si>
  <si>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</si>
  <si>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</si>
  <si>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</si>
  <si>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</si>
  <si>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</si>
  <si>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</si>
  <si>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</si>
  <si>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</si>
  <si>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</si>
  <si>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</si>
  <si>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</si>
  <si>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</si>
  <si>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</si>
  <si>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</si>
  <si>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</si>
  <si>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</si>
  <si>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</si>
  <si>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</si>
  <si>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</si>
  <si>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</si>
  <si>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</si>
  <si>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</si>
  <si>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</si>
  <si>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</si>
  <si>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</si>
  <si>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</si>
  <si>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</si>
  <si>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</si>
  <si>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</si>
  <si>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</si>
  <si>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</si>
  <si>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</si>
  <si>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</si>
  <si>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</si>
  <si>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</si>
  <si>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</si>
  <si>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</si>
  <si>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</si>
  <si>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</si>
  <si>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</si>
  <si>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</si>
  <si>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</si>
  <si>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</si>
  <si>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</si>
  <si>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</si>
  <si>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</si>
  <si>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</si>
  <si>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</si>
  <si>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</si>
  <si>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</si>
  <si>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</si>
  <si>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</si>
  <si>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</si>
  <si>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</si>
  <si>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</si>
  <si>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</si>
  <si>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</si>
  <si>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</si>
  <si>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</si>
  <si>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</si>
  <si>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</si>
  <si>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</si>
  <si>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</si>
  <si>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</si>
  <si>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</si>
  <si>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</si>
  <si>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</si>
  <si>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</si>
  <si>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</si>
  <si>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</si>
  <si>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</si>
  <si>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</si>
  <si>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</si>
  <si>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</si>
  <si>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</si>
  <si>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</si>
  <si>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</si>
  <si>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</si>
  <si>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</si>
  <si>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</si>
  <si>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</si>
  <si>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</si>
  <si>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</si>
  <si>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</si>
  <si>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</si>
  <si>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</si>
  <si>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</si>
  <si>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</si>
  <si>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</si>
  <si>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</si>
  <si>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</si>
  <si>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</si>
  <si>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</si>
  <si>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</si>
  <si>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</si>
  <si>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</si>
  <si>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</si>
  <si>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</si>
  <si>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</si>
  <si>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</si>
  <si>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</si>
  <si>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</si>
  <si>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</si>
  <si>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</si>
  <si>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</si>
  <si>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</si>
  <si>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</si>
  <si>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</si>
  <si>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</si>
  <si>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</si>
  <si>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</si>
  <si>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</si>
  <si>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</si>
  <si>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</si>
  <si>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</si>
  <si>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</si>
  <si>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</si>
  <si>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</si>
  <si>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</si>
  <si>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</si>
  <si>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</si>
  <si>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</si>
  <si>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</si>
  <si>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</si>
  <si>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</si>
  <si>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</si>
  <si>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</si>
  <si>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</si>
  <si>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</si>
  <si>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</si>
  <si>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</si>
  <si>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</si>
  <si>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</si>
  <si>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</si>
  <si>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</si>
  <si>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</si>
  <si>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</si>
  <si>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</si>
  <si>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</si>
  <si>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</si>
  <si>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</si>
  <si>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</si>
  <si>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</si>
  <si>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</si>
  <si>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</si>
  <si>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</si>
  <si>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</si>
  <si>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</si>
  <si>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</si>
  <si>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</si>
  <si>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</si>
  <si>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</si>
  <si>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</si>
  <si>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</si>
  <si>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</si>
  <si>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</si>
  <si>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</si>
  <si>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</si>
  <si>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</si>
  <si>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</si>
  <si>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</si>
  <si>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</si>
  <si>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</si>
  <si>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</si>
  <si>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</si>
  <si>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</si>
  <si>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</si>
  <si>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</si>
  <si>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</si>
  <si>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</si>
  <si>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</si>
  <si>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</si>
  <si>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</si>
  <si>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</si>
  <si>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</si>
  <si>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</si>
  <si>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</si>
  <si>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</si>
  <si>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</si>
  <si>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</si>
  <si>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</si>
  <si>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</si>
  <si>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</si>
  <si>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</si>
  <si>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</si>
  <si>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</si>
  <si>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</si>
  <si>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</si>
  <si>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</si>
  <si>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</si>
  <si>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</si>
  <si>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</si>
  <si>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</si>
  <si>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</si>
  <si>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</si>
  <si>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</si>
  <si>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</si>
  <si>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</si>
  <si>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</si>
  <si>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</si>
  <si>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</si>
  <si>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</si>
  <si>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</si>
  <si>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</si>
  <si>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</si>
  <si>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</si>
  <si>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</si>
  <si>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</si>
  <si>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</si>
  <si>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</si>
  <si>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</si>
  <si>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</si>
  <si>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</si>
  <si>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</si>
  <si>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</si>
  <si>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</si>
  <si>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</si>
  <si>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</si>
  <si>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</si>
  <si>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</si>
  <si>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</si>
  <si>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</si>
  <si>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</si>
  <si>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</si>
  <si>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</si>
  <si>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</si>
  <si>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</si>
  <si>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</si>
  <si>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</si>
  <si>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</si>
  <si>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</si>
  <si>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</si>
  <si>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</si>
  <si>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</si>
  <si>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</si>
  <si>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</si>
  <si>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</si>
  <si>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</si>
  <si>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</si>
  <si>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</si>
  <si>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</si>
  <si>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</si>
  <si>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</si>
  <si>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</si>
  <si>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</si>
  <si>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</si>
  <si>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</si>
  <si>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</si>
  <si>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</si>
  <si>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</si>
  <si>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</si>
  <si>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</si>
  <si>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</si>
  <si>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</si>
  <si>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</si>
  <si>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</si>
  <si>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</si>
  <si>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</si>
  <si>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</si>
  <si>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</si>
  <si>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</si>
  <si>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</si>
  <si>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</si>
  <si>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</si>
  <si>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</si>
  <si>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</si>
  <si>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</si>
  <si>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</si>
  <si>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</si>
  <si>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</si>
  <si>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</si>
  <si>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</si>
  <si>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</si>
  <si>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</si>
  <si>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</si>
  <si>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</si>
  <si>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</si>
  <si>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</si>
  <si>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</si>
  <si>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</si>
  <si>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</si>
  <si>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</si>
  <si>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</si>
  <si>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</si>
  <si>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</si>
  <si>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</si>
  <si>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</si>
  <si>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</si>
  <si>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</si>
  <si>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</si>
  <si>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</si>
  <si>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</si>
  <si>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</si>
  <si>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</si>
  <si>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</si>
  <si>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</si>
  <si>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</si>
  <si>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</si>
  <si>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</si>
  <si>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</si>
  <si>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</si>
  <si>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</si>
  <si>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</si>
  <si>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</si>
  <si>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</si>
  <si>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</si>
  <si>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</si>
  <si>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</si>
  <si>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</si>
  <si>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</si>
  <si>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</si>
  <si>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</si>
  <si>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</si>
  <si>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</si>
  <si>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</si>
  <si>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</si>
  <si>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</si>
  <si>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</si>
  <si>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</si>
  <si>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</si>
  <si>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</si>
  <si>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</si>
  <si>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</si>
  <si>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</si>
  <si>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</si>
  <si>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</si>
  <si>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</si>
  <si>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</si>
  <si>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</si>
  <si>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</si>
  <si>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</si>
  <si>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</si>
  <si>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</si>
  <si>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</si>
  <si>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</si>
  <si>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</si>
  <si>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</si>
  <si>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</si>
  <si>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</si>
  <si>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</si>
  <si>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</si>
  <si>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</si>
  <si>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</si>
  <si>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</si>
  <si>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</si>
  <si>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</si>
  <si>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</si>
  <si>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</si>
  <si>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</si>
  <si>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</si>
  <si>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</si>
  <si>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</si>
  <si>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</si>
  <si>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</si>
  <si>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</si>
  <si>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</si>
  <si>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</si>
  <si>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</si>
  <si>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</si>
  <si>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</si>
  <si>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</si>
  <si>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</si>
  <si>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</si>
  <si>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</si>
  <si>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</si>
  <si>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</si>
  <si>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</si>
  <si>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</si>
  <si>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</si>
  <si>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</si>
  <si>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</si>
  <si>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</si>
  <si>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</si>
  <si>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</si>
  <si>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</si>
  <si>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</si>
  <si>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</si>
  <si>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</si>
  <si>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</si>
  <si>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</si>
  <si>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</si>
  <si>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</si>
  <si>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</si>
  <si>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</si>
  <si>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</si>
  <si>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</si>
  <si>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</si>
  <si>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</si>
  <si>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</si>
  <si>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</si>
  <si>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</si>
  <si>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</si>
  <si>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</si>
  <si>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</si>
  <si>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</si>
  <si>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</si>
  <si>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</si>
  <si>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</si>
  <si>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</si>
  <si>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</si>
  <si>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</si>
  <si>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</si>
  <si>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</si>
  <si>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</si>
  <si>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</si>
  <si>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</si>
  <si>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</si>
  <si>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</si>
  <si>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</si>
  <si>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</si>
  <si>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</si>
  <si>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</si>
  <si>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</si>
  <si>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</si>
  <si>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</si>
  <si>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</si>
  <si>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</si>
  <si>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</si>
  <si>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</si>
  <si>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</si>
  <si>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</si>
  <si>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</si>
  <si>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</si>
  <si>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</si>
  <si>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</si>
  <si>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</si>
  <si>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</si>
  <si>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</si>
  <si>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</si>
  <si>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</si>
  <si>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</si>
  <si>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</si>
  <si>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</si>
  <si>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</si>
  <si>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</si>
  <si>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</si>
  <si>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</si>
  <si>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</si>
  <si>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</si>
  <si>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</si>
  <si>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</si>
  <si>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</si>
  <si>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</si>
  <si>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</si>
  <si>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</si>
  <si>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</si>
  <si>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</si>
  <si>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</si>
  <si>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</si>
  <si>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</si>
  <si>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</si>
  <si>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</si>
  <si>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</si>
  <si>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</si>
  <si>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</si>
  <si>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</si>
  <si>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</si>
  <si>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</si>
  <si>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</si>
  <si>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</si>
  <si>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</si>
  <si>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</si>
  <si>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</si>
  <si>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</si>
  <si>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</si>
  <si>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</si>
  <si>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</si>
  <si>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</si>
  <si>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</si>
  <si>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</si>
  <si>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</si>
  <si>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</si>
  <si>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</si>
  <si>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</si>
  <si>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</si>
  <si>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</si>
  <si>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</si>
  <si>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</si>
  <si>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</si>
  <si>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</si>
  <si>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</si>
  <si>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</si>
  <si>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</si>
  <si>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</si>
  <si>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</si>
  <si>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</si>
  <si>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</si>
  <si>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</si>
  <si>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</si>
  <si>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</si>
  <si>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</si>
  <si>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</si>
  <si>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</si>
  <si>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</si>
  <si>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</si>
  <si>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</si>
  <si>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</si>
  <si>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</si>
  <si>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</si>
  <si>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</si>
  <si>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</si>
  <si>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</si>
  <si>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</si>
  <si>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</si>
  <si>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</si>
  <si>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</si>
  <si>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</si>
  <si>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</si>
  <si>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</si>
  <si>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</si>
  <si>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</si>
  <si>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</si>
  <si>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</si>
  <si>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</si>
  <si>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</si>
  <si>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</si>
  <si>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</si>
  <si>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</si>
  <si>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</si>
  <si>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</si>
  <si>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</si>
  <si>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</si>
  <si>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</si>
  <si>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</si>
  <si>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</si>
  <si>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</si>
  <si>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</si>
  <si>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</si>
  <si>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</si>
  <si>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</si>
  <si>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</si>
  <si>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</si>
  <si>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</si>
  <si>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</si>
  <si>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</si>
  <si>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</si>
  <si>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</si>
  <si>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</si>
  <si>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</si>
  <si>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</si>
  <si>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</si>
  <si>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</si>
  <si>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</si>
  <si>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</si>
  <si>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</si>
  <si>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</si>
  <si>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</si>
  <si>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</si>
  <si>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</si>
  <si>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</si>
  <si>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</si>
  <si>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</si>
  <si>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</si>
  <si>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</si>
  <si>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</si>
  <si>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</si>
  <si>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</si>
  <si>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</si>
  <si>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</si>
  <si>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</si>
  <si>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</si>
  <si>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</si>
  <si>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</si>
  <si>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</si>
  <si>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</si>
  <si>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</si>
  <si>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</si>
  <si>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</si>
  <si>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</si>
  <si>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</si>
  <si>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</si>
  <si>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</si>
  <si>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</si>
  <si>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</si>
  <si>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</si>
  <si>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</si>
  <si>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</si>
  <si>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</si>
  <si>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</si>
  <si>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</si>
  <si>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</si>
  <si>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</si>
  <si>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</si>
  <si>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</si>
  <si>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</si>
  <si>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</si>
  <si>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</si>
  <si>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</si>
  <si>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</si>
  <si>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</si>
  <si>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</si>
  <si>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</si>
  <si>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</si>
  <si>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</si>
  <si>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</si>
  <si>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</si>
  <si>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</si>
  <si>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</si>
  <si>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</si>
  <si>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</si>
  <si>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</si>
  <si>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</si>
  <si>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</si>
  <si>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</si>
  <si>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</si>
  <si>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</si>
  <si>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</si>
  <si>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</si>
  <si>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</si>
  <si>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</si>
  <si>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</si>
  <si>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</si>
  <si>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</si>
  <si>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</si>
  <si>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</si>
  <si>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</si>
  <si>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</si>
  <si>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</si>
  <si>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</si>
  <si>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</si>
  <si>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</si>
  <si>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</si>
  <si>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</si>
  <si>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</si>
  <si>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</si>
  <si>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</si>
  <si>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</si>
  <si>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</si>
  <si>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</si>
  <si>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</si>
  <si>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</si>
  <si>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</si>
  <si>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</si>
  <si>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</si>
  <si>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</si>
  <si>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</si>
  <si>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</si>
  <si>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</si>
  <si>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</si>
  <si>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</si>
  <si>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</si>
  <si>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</si>
  <si>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</si>
  <si>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</si>
  <si>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</si>
  <si>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</si>
  <si>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</si>
  <si>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</si>
  <si>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</si>
  <si>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</si>
  <si>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</si>
  <si>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</si>
  <si>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</si>
  <si>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</si>
  <si>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</si>
  <si>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</si>
  <si>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</si>
  <si>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</si>
  <si>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</si>
  <si>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</si>
  <si>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</si>
  <si>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</si>
  <si>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</si>
  <si>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</si>
  <si>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</si>
  <si>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</si>
  <si>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</si>
  <si>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</si>
  <si>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</si>
  <si>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</si>
  <si>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</si>
  <si>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</si>
  <si>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</si>
  <si>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</si>
  <si>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</si>
  <si>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</si>
  <si>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</si>
  <si>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</si>
  <si>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</si>
  <si>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</si>
  <si>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</si>
  <si>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</si>
  <si>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</si>
  <si>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</si>
  <si>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</si>
  <si>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</si>
  <si>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</si>
  <si>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</si>
  <si>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</si>
  <si>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</si>
  <si>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</si>
  <si>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</si>
  <si>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</si>
  <si>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</si>
  <si>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</si>
  <si>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</si>
  <si>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</si>
  <si>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</si>
  <si>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</si>
  <si>
    <t>6abf1961826700b8f0e1b938</t>
  </si>
  <si>
    <t>01/10/2026 21:46:16</t>
  </si>
  <si>
    <t>01/10/2026 23:39:29</t>
  </si>
  <si>
    <t>01/10/2026</t>
  </si>
  <si>
    <t>6abf1961826700b8f0e1b91e</t>
  </si>
  <si>
    <t>01/10/2026 19:14:04</t>
  </si>
  <si>
    <t>6abf1961826700b8f0e1b8f4</t>
  </si>
  <si>
    <t>01/10/2026 14:11:51</t>
  </si>
  <si>
    <t>6abe88111c9c14776a2d6325</t>
  </si>
  <si>
    <t>01/10/2026 11:34:12</t>
  </si>
  <si>
    <t>01/10/2026 13:19:29</t>
  </si>
  <si>
    <t>6abe88111c9c14776a2d630d</t>
  </si>
  <si>
    <t>01/10/2026 08:28:53</t>
  </si>
  <si>
    <t>6abe88111c9c14776a2d6301</t>
  </si>
  <si>
    <t>01/10/2026 06:27:15</t>
  </si>
  <si>
    <t>6abe88101c9c14776a2d62ef</t>
  </si>
  <si>
    <t>01/10/2026 04:28:16</t>
  </si>
  <si>
    <t>01/10/2026 13:19:28</t>
  </si>
  <si>
    <t>6ac45f339b7db2ba7646ac81</t>
  </si>
  <si>
    <t>05/10/2026 21:31:32</t>
  </si>
  <si>
    <t>05/10/2026 23:38:43</t>
  </si>
  <si>
    <t>05/10/2026</t>
  </si>
  <si>
    <t>6ac45f339b7db2ba7646ac63</t>
  </si>
  <si>
    <t>05/10/2026 19:04:12</t>
  </si>
  <si>
    <t>6ac45f339b7db2ba7646ac51</t>
  </si>
  <si>
    <t>05/10/2026 15:05:03</t>
  </si>
  <si>
    <t>6ac3bbfb76e463e032fa48b2</t>
  </si>
  <si>
    <t>05/10/2026 04:16:00</t>
  </si>
  <si>
    <t>05/10/2026 12:02:19</t>
  </si>
  <si>
    <t>6ac06c36486c261c1ca097ed</t>
  </si>
  <si>
    <t>02/10/2026 21:09:11</t>
  </si>
  <si>
    <t>02/10/2026 23:45:10</t>
  </si>
  <si>
    <t>02/10/2026</t>
  </si>
  <si>
    <t>6ac06c35486c261c1ca097d5</t>
  </si>
  <si>
    <t>02/10/2026 18:37:36</t>
  </si>
  <si>
    <t>02/10/2026 23:45:09</t>
  </si>
  <si>
    <t>6ac06c35486c261c1ca097b1</t>
  </si>
  <si>
    <t>02/10/2026 14:04:49</t>
  </si>
  <si>
    <t>6abfd3bebd86e569124a213c</t>
  </si>
  <si>
    <t>02/10/2026 11:16:49</t>
  </si>
  <si>
    <t>02/10/2026 12:54:38</t>
  </si>
  <si>
    <t>6abfd3bebd86e569124a2124</t>
  </si>
  <si>
    <t>02/10/2026 08:28:51</t>
  </si>
  <si>
    <t>6abfd3bebd86e569124a2110</t>
  </si>
  <si>
    <t>02/10/2026 06:30:31</t>
  </si>
  <si>
    <t>6abfd3bdbd86e569124a20f8</t>
  </si>
  <si>
    <t>02/10/2026 04:26:40</t>
  </si>
  <si>
    <t>02/10/2026 12:54:37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</si>
</sst>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67"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301.425761458333" createdVersion="5" refreshedVersion="5" minRefreshableVersion="3" recordCount="339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06T00:00:00" count="60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10-01T00:00:00"/>
        <d v="2026-10-05T00:00:00"/>
        <d v="2026-10-02T00:00:00"/>
        <d v="2026-05-03T00:00:00" u="1"/>
      </sharedItems>
    </cacheField>
    <cacheField name="Mês" numFmtId="14">
      <sharedItems count="10">
        <s v="JAN"/>
        <s v="FEV"/>
        <s v="MAR"/>
        <s v="ABR"/>
        <s v="MAI"/>
        <s v="JUN"/>
        <s v="AGO"/>
        <s v="JUL"/>
        <s v="SET"/>
        <s v="OU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8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Blank="1" containsMixedTypes="1" containsNumber="1" containsInteger="1" minValue="0" maxValue="7"/>
    </cacheField>
    <cacheField name="% Contaminação Após Extratora" numFmtId="2">
      <sharedItems containsMixedTypes="1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9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  <r>
    <x v="56"/>
    <x v="9"/>
    <s v="6abf1961826700b8f0e1b938"/>
    <s v="01/10/2026 21:46:16"/>
    <s v="01/10/2026 23:39:29"/>
    <s v="Henrique"/>
    <s v="01/10/2026"/>
    <s v="Guapiaçu"/>
    <s v="2 ° Turno"/>
    <n v="156"/>
    <n v="2978"/>
    <s v="JOBILIANA APARECIDA MAXIMO BERGAMINI"/>
    <n v="20"/>
    <n v="20"/>
    <n v="6"/>
    <n v="6"/>
    <n v="0"/>
    <n v="0"/>
    <n v="3"/>
    <n v="3"/>
    <n v="1"/>
    <n v="1"/>
    <n v="0"/>
    <n v="0"/>
    <n v="3"/>
    <n v="0.96153846153846156"/>
    <n v="2"/>
    <n v="1.2820512820512819"/>
    <n v="0"/>
    <n v="0"/>
    <n v="4"/>
    <n v="2.5641025641025639"/>
    <n v="2"/>
    <n v="1.2820512820512819"/>
    <s v=""/>
    <n v="0"/>
    <n v="0"/>
    <n v="0"/>
    <n v="0"/>
    <s v=""/>
    <n v="5"/>
    <n v="3.2051282051282048"/>
    <n v="6"/>
    <n v="3.8461538461538463"/>
    <n v="6"/>
    <n v="3.8461538461538463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3187"/>
  </r>
  <r>
    <x v="56"/>
    <x v="9"/>
    <s v="6abf1961826700b8f0e1b91e"/>
    <s v="01/10/2026 19:14:04"/>
    <s v="01/10/2026 23:39:29"/>
    <s v="Henrique"/>
    <s v="01/10/2026"/>
    <s v="Guapiaçu"/>
    <s v="2 ° Turno"/>
    <n v="140"/>
    <n v="3071"/>
    <s v="JOBILIANA APARECIDA MAXIMO BERGAMINI"/>
    <n v="10"/>
    <n v="10"/>
    <n v="6"/>
    <n v="6"/>
    <n v="0"/>
    <n v="0"/>
    <n v="3"/>
    <n v="3"/>
    <n v="1"/>
    <n v="1"/>
    <n v="1"/>
    <n v="5"/>
    <n v="4"/>
    <n v="1.4285714285714286"/>
    <n v="3"/>
    <n v="2.1428571428571428"/>
    <n v="0"/>
    <n v="0"/>
    <n v="1"/>
    <n v="0.7142857142857143"/>
    <n v="2"/>
    <n v="1.4285714285714286"/>
    <s v=""/>
    <n v="0"/>
    <n v="0"/>
    <n v="0"/>
    <n v="0"/>
    <s v=""/>
    <n v="5"/>
    <n v="3.5714285714285712"/>
    <n v="5"/>
    <n v="3.5714285714285712"/>
    <n v="8"/>
    <n v="5.7142857142857144"/>
    <n v="0"/>
    <n v="0"/>
    <s v=""/>
    <n v="19"/>
    <n v="0"/>
    <n v="0"/>
    <n v="38"/>
    <n v="0"/>
    <n v="0"/>
    <n v="1"/>
    <n v="0.7142857142857143"/>
    <n v="21"/>
    <n v="18"/>
    <n v="0"/>
    <n v="0"/>
    <s v=""/>
    <n v="4"/>
    <n v="0"/>
    <n v="0"/>
    <s v="assinatura"/>
    <n v="9122"/>
  </r>
  <r>
    <x v="56"/>
    <x v="9"/>
    <s v="6abf1961826700b8f0e1b8f4"/>
    <s v="01/10/2026 14:11:51"/>
    <s v="01/10/2026 23:39:29"/>
    <s v="Henrique"/>
    <s v="01/10/2026"/>
    <s v="Guapiaçu"/>
    <s v="2 ° Turno"/>
    <n v="99"/>
    <n v="3008"/>
    <s v="JOBILIANA APARECIDA MAXIMO BERGAMINI"/>
    <n v="8"/>
    <n v="8"/>
    <n v="5"/>
    <n v="5"/>
    <n v="0"/>
    <n v="0"/>
    <n v="2"/>
    <n v="2"/>
    <n v="1"/>
    <n v="1"/>
    <n v="0"/>
    <n v="0"/>
    <n v="5"/>
    <n v="2.5252525252525251"/>
    <n v="1"/>
    <n v="1.0101010101010102"/>
    <n v="0"/>
    <n v="0"/>
    <n v="1"/>
    <n v="1.0101010101010102"/>
    <n v="1"/>
    <n v="1.0101010101010102"/>
    <s v=""/>
    <n v="0"/>
    <n v="0"/>
    <n v="0"/>
    <n v="0"/>
    <s v=""/>
    <n v="3"/>
    <n v="3.0303030303030303"/>
    <n v="5"/>
    <n v="5.0505050505050502"/>
    <n v="4"/>
    <n v="4.0404040404040407"/>
    <n v="0"/>
    <n v="0"/>
    <s v=""/>
    <n v="16"/>
    <n v="0"/>
    <n v="2"/>
    <n v="32"/>
    <n v="0"/>
    <n v="4"/>
    <n v="0"/>
    <n v="0"/>
    <n v="18"/>
    <n v="10"/>
    <n v="0"/>
    <n v="0"/>
    <s v=""/>
    <n v="2"/>
    <n v="0"/>
    <n v="0"/>
    <s v="assinatura"/>
    <n v="9337"/>
  </r>
  <r>
    <x v="56"/>
    <x v="9"/>
    <s v="6abe88111c9c14776a2d6325"/>
    <s v="01/10/2026 11:34:12"/>
    <s v="01/10/2026 13:19:29"/>
    <s v="Henrique"/>
    <s v="01/10/2026"/>
    <s v="Guapiaçu"/>
    <s v="1 ° Turno"/>
    <n v="161"/>
    <n v="2980"/>
    <s v="EDMAR FELIPE MARTINS"/>
    <n v="51"/>
    <n v="51"/>
    <n v="33"/>
    <n v="33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7"/>
    <n v="4.3478260869565215"/>
    <s v=""/>
    <n v="3"/>
    <n v="1.8633540372670807"/>
    <n v="3"/>
    <n v="1.8633540372670807"/>
    <s v=""/>
    <n v="7"/>
    <n v="4.3478260869565215"/>
    <n v="3"/>
    <n v="1.8633540372670807"/>
    <n v="8"/>
    <n v="4.9689440993788816"/>
    <n v="1"/>
    <n v="0.6211180124223602"/>
    <s v=""/>
    <n v="19"/>
    <n v="0"/>
    <n v="0"/>
    <n v="38"/>
    <n v="0"/>
    <n v="0"/>
    <n v="1"/>
    <n v="0.6211180124223602"/>
    <n v="20"/>
    <n v="21"/>
    <n v="1"/>
    <n v="10"/>
    <s v=""/>
    <n v="1"/>
    <n v="0"/>
    <n v="1"/>
    <s v="assinatura"/>
    <n v="3491"/>
  </r>
  <r>
    <x v="56"/>
    <x v="9"/>
    <s v="6abe88111c9c14776a2d630d"/>
    <s v="01/10/2026 08:28:53"/>
    <s v="01/10/2026 13:19:29"/>
    <s v="Henrique"/>
    <s v="01/10/2026"/>
    <s v="Guapiaçu"/>
    <s v="1 ° Turno"/>
    <n v="161"/>
    <n v="2972"/>
    <s v="EDMAR FELIPE MARTINS"/>
    <n v="53"/>
    <n v="53"/>
    <n v="29"/>
    <n v="28.999999999999996"/>
    <n v="0"/>
    <n v="0"/>
    <n v="3"/>
    <n v="3"/>
    <n v="1"/>
    <n v="1"/>
    <n v="0"/>
    <n v="0"/>
    <n v="4"/>
    <n v="1.2422360248447204"/>
    <n v="3"/>
    <n v="1.8633540372670807"/>
    <n v="0"/>
    <n v="0"/>
    <s v=""/>
    <s v=""/>
    <n v="6"/>
    <n v="3.7267080745341614"/>
    <s v=""/>
    <n v="2"/>
    <n v="1.2422360248447204"/>
    <n v="3"/>
    <n v="1.8633540372670807"/>
    <s v=""/>
    <n v="6"/>
    <n v="3.7267080745341614"/>
    <n v="2"/>
    <n v="1.2422360248447204"/>
    <n v="7"/>
    <n v="4.3478260869565215"/>
    <n v="1"/>
    <n v="0.6211180124223602"/>
    <s v=""/>
    <n v="19"/>
    <n v="3"/>
    <n v="3"/>
    <n v="38"/>
    <n v="6"/>
    <n v="6"/>
    <n v="1"/>
    <n v="0.6211180124223602"/>
    <n v="22"/>
    <n v="19"/>
    <n v="1"/>
    <n v="10"/>
    <s v=""/>
    <n v="0"/>
    <n v="0"/>
    <n v="2"/>
    <s v="assinatura"/>
    <n v="2032"/>
  </r>
  <r>
    <x v="56"/>
    <x v="9"/>
    <s v="6abe88111c9c14776a2d6301"/>
    <s v="01/10/2026 06:27:15"/>
    <s v="01/10/2026 13:19:29"/>
    <s v="Henrique"/>
    <s v="01/10/2026"/>
    <s v="Guapiaçu"/>
    <s v="1 ° Turno"/>
    <n v="161"/>
    <n v="2968"/>
    <s v="EDMAR FELIPE MARTINS"/>
    <n v="51"/>
    <n v="51"/>
    <n v="27"/>
    <n v="27"/>
    <n v="0"/>
    <n v="0"/>
    <n v="3"/>
    <n v="3"/>
    <n v="1"/>
    <n v="1"/>
    <n v="1"/>
    <n v="5"/>
    <n v="6"/>
    <n v="1.8633540372670807"/>
    <n v="3"/>
    <n v="1.8633540372670807"/>
    <n v="0"/>
    <n v="0"/>
    <n v="0"/>
    <n v="0"/>
    <n v="5"/>
    <n v="3.1055900621118013"/>
    <s v=""/>
    <n v="3"/>
    <n v="1.8633540372670807"/>
    <n v="3"/>
    <n v="1.8633540372670807"/>
    <s v=""/>
    <n v="8"/>
    <n v="4.9689440993788816"/>
    <n v="2"/>
    <n v="1.2422360248447204"/>
    <n v="7"/>
    <n v="4.3478260869565215"/>
    <n v="1"/>
    <n v="0.6211180124223602"/>
    <s v=""/>
    <n v="19"/>
    <n v="0"/>
    <n v="0"/>
    <n v="38"/>
    <n v="0"/>
    <n v="0"/>
    <n v="0"/>
    <n v="0"/>
    <n v="21"/>
    <n v="18"/>
    <n v="1"/>
    <n v="10"/>
    <s v=""/>
    <n v="0"/>
    <n v="0"/>
    <n v="1"/>
    <s v="assinatura"/>
    <n v="2405"/>
  </r>
  <r>
    <x v="56"/>
    <x v="9"/>
    <s v="6abe88101c9c14776a2d62ef"/>
    <s v="01/10/2026 04:28:16"/>
    <s v="01/10/2026 13:19:28"/>
    <s v="Henrique"/>
    <s v="01/10/2026"/>
    <s v="Guapiaçu"/>
    <s v="1 ° Turno"/>
    <n v="161"/>
    <n v="2945"/>
    <s v="EDMAR FELIPE MARTINS"/>
    <n v="42"/>
    <n v="42"/>
    <n v="20"/>
    <n v="20"/>
    <n v="0"/>
    <n v="0"/>
    <n v="2"/>
    <n v="2"/>
    <n v="0"/>
    <n v="0"/>
    <n v="0"/>
    <n v="0"/>
    <n v="4"/>
    <n v="1.2422360248447204"/>
    <n v="2"/>
    <n v="1.2422360248447204"/>
    <n v="0"/>
    <n v="0"/>
    <n v="0"/>
    <n v="0"/>
    <n v="5"/>
    <n v="3.1055900621118013"/>
    <s v=""/>
    <n v="3"/>
    <n v="1.8633540372670807"/>
    <n v="2"/>
    <n v="1.2422360248447204"/>
    <s v=""/>
    <n v="5"/>
    <n v="3.1055900621118013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23"/>
    <n v="19"/>
    <n v="1"/>
    <n v="10"/>
    <s v=""/>
    <s v=""/>
    <s v=""/>
    <s v=""/>
    <s v="assinatura"/>
    <n v="1682"/>
  </r>
  <r>
    <x v="57"/>
    <x v="9"/>
    <s v="6ac45f339b7db2ba7646ac81"/>
    <s v="05/10/2026 21:31:32"/>
    <s v="05/10/2026 23:38:43"/>
    <s v="Henrique"/>
    <s v="05/10/2026"/>
    <s v="Guapiaçu"/>
    <s v="2 ° Turno"/>
    <n v="161"/>
    <n v="2998"/>
    <s v="JOBILIANA APARECIDA MAXIMO BERGAMINI"/>
    <n v="20"/>
    <n v="20"/>
    <n v="6"/>
    <n v="6"/>
    <n v="0"/>
    <n v="0"/>
    <n v="1"/>
    <n v="1"/>
    <n v="0"/>
    <n v="0"/>
    <n v="0"/>
    <n v="0"/>
    <n v="6"/>
    <n v="1.8633540372670807"/>
    <n v="4"/>
    <n v="2.4844720496894408"/>
    <n v="0"/>
    <n v="0"/>
    <n v="6"/>
    <n v="3.7267080745341614"/>
    <n v="4"/>
    <n v="2.4844720496894408"/>
    <s v=""/>
    <n v="0"/>
    <n v="0"/>
    <n v="0"/>
    <n v="0"/>
    <s v=""/>
    <n v="6"/>
    <n v="3.7267080745341614"/>
    <n v="5"/>
    <n v="3.1055900621118013"/>
    <n v="6"/>
    <n v="3.7267080745341614"/>
    <n v="1"/>
    <n v="0.6211180124223602"/>
    <s v=""/>
    <n v="18"/>
    <n v="0"/>
    <n v="0"/>
    <n v="36"/>
    <n v="0"/>
    <n v="0"/>
    <n v="0"/>
    <n v="0"/>
    <n v="20"/>
    <n v="16"/>
    <n v="0"/>
    <n v="0"/>
    <s v=""/>
    <n v="0"/>
    <n v="0"/>
    <n v="0"/>
    <s v="assinatura"/>
    <n v="411"/>
  </r>
  <r>
    <x v="57"/>
    <x v="9"/>
    <s v="6ac45f339b7db2ba7646ac63"/>
    <s v="05/10/2026 19:04:12"/>
    <s v="05/10/2026 23:38:43"/>
    <s v="Henrique"/>
    <s v="05/10/2026"/>
    <s v="Guapiaçu"/>
    <s v="2 ° Turno"/>
    <n v="156"/>
    <n v="2914"/>
    <s v="JOBILIANA APARECIDA MAXIMO BERGAMINI"/>
    <n v="20"/>
    <n v="20"/>
    <n v="11"/>
    <n v="11"/>
    <n v="1"/>
    <n v="10"/>
    <n v="1"/>
    <n v="1"/>
    <n v="0"/>
    <n v="0"/>
    <n v="0"/>
    <n v="0"/>
    <n v="5"/>
    <n v="1.6025641025641024"/>
    <n v="4"/>
    <n v="2.5641025641025639"/>
    <n v="0"/>
    <n v="0"/>
    <n v="1"/>
    <n v="0.64102564102564097"/>
    <n v="2"/>
    <n v="1.2820512820512819"/>
    <s v=""/>
    <n v="0"/>
    <n v="0"/>
    <n v="0"/>
    <n v="0"/>
    <s v=""/>
    <n v="15"/>
    <n v="9.6153846153846168"/>
    <n v="3"/>
    <n v="1.9230769230769231"/>
    <n v="8"/>
    <n v="5.1282051282051277"/>
    <n v="0"/>
    <n v="0"/>
    <s v=""/>
    <n v="19"/>
    <n v="0"/>
    <n v="0"/>
    <n v="38"/>
    <n v="0"/>
    <n v="0"/>
    <n v="0"/>
    <n v="0"/>
    <n v="20"/>
    <n v="18"/>
    <n v="0"/>
    <n v="0"/>
    <s v=""/>
    <n v="3"/>
    <n v="0"/>
    <n v="0"/>
    <s v="assinatura"/>
    <n v="8354"/>
  </r>
  <r>
    <x v="57"/>
    <x v="9"/>
    <s v="6ac45f339b7db2ba7646ac51"/>
    <s v="05/10/2026 15:05:03"/>
    <s v="05/10/2026 23:38:43"/>
    <s v="Henrique"/>
    <s v="05/10/2026"/>
    <s v="Guapiaçu"/>
    <s v="2 ° Turno"/>
    <n v="89"/>
    <n v="2998"/>
    <s v="JOBILIANA APARECIDA MAXIMO BERGAMINI"/>
    <n v="9"/>
    <n v="9"/>
    <n v="4"/>
    <n v="4"/>
    <n v="1"/>
    <n v="10"/>
    <n v="2"/>
    <n v="2"/>
    <n v="1"/>
    <n v="1"/>
    <n v="1"/>
    <n v="5"/>
    <n v="3"/>
    <n v="1.6853932584269662"/>
    <n v="2"/>
    <n v="2.2471910112359552"/>
    <n v="0"/>
    <n v="0"/>
    <n v="1"/>
    <n v="1.1235955056179776"/>
    <n v="1"/>
    <n v="1.1235955056179776"/>
    <s v=""/>
    <n v="0"/>
    <n v="0"/>
    <n v="0"/>
    <n v="0"/>
    <s v=""/>
    <n v="7"/>
    <n v="7.8651685393258424"/>
    <n v="4"/>
    <n v="4.4943820224719104"/>
    <n v="5"/>
    <n v="5.6179775280898872"/>
    <n v="0"/>
    <n v="0"/>
    <s v=""/>
    <n v="16"/>
    <n v="0"/>
    <n v="0"/>
    <n v="32"/>
    <n v="0"/>
    <n v="0"/>
    <n v="0"/>
    <n v="0"/>
    <n v="23"/>
    <n v="22"/>
    <n v="0"/>
    <n v="0"/>
    <s v=""/>
    <n v="3"/>
    <n v="0"/>
    <n v="0"/>
    <s v="assinatura"/>
    <n v="9771"/>
  </r>
  <r>
    <x v="57"/>
    <x v="9"/>
    <s v="6ac3bbfb76e463e032fa48b2"/>
    <s v="05/10/2026 04:16:00"/>
    <s v="05/10/2026 12:02:19"/>
    <s v="Henrique"/>
    <s v="05/10/2026"/>
    <s v="Guapiaçu"/>
    <s v="1 ° Turno"/>
    <n v="156"/>
    <n v="2998"/>
    <s v="EDMAR FELIPE MARTINS"/>
    <n v="33"/>
    <n v="33"/>
    <n v="21"/>
    <n v="21"/>
    <n v="0"/>
    <n v="0"/>
    <n v="3"/>
    <n v="3"/>
    <n v="1"/>
    <n v="1"/>
    <n v="0"/>
    <n v="0"/>
    <n v="4"/>
    <n v="1.2820512820512819"/>
    <n v="3"/>
    <n v="1.9230769230769231"/>
    <n v="1"/>
    <n v="0.64102564102564097"/>
    <n v="2"/>
    <n v="1.2820512820512819"/>
    <n v="5"/>
    <n v="3.2051282051282048"/>
    <s v=""/>
    <n v="3"/>
    <n v="1.9230769230769231"/>
    <n v="3"/>
    <n v="1.9230769230769231"/>
    <s v=""/>
    <n v="6"/>
    <n v="3.8461538461538463"/>
    <n v="3"/>
    <n v="1.9230769230769231"/>
    <n v="7"/>
    <n v="4.4871794871794872"/>
    <n v="1"/>
    <n v="0.64102564102564097"/>
    <s v=""/>
    <n v="20"/>
    <n v="1"/>
    <n v="1"/>
    <n v="40"/>
    <n v="2"/>
    <n v="2"/>
    <n v="1"/>
    <n v="0.64102564102564097"/>
    <n v="15"/>
    <n v="24"/>
    <n v="0"/>
    <n v="0"/>
    <s v=""/>
    <s v=""/>
    <s v=""/>
    <s v=""/>
    <s v="assinatura"/>
    <n v="2493"/>
  </r>
  <r>
    <x v="58"/>
    <x v="9"/>
    <s v="6ac06c36486c261c1ca097ed"/>
    <s v="02/10/2026 21:09:11"/>
    <s v="02/10/2026 23:45:10"/>
    <s v="Henrique"/>
    <s v="02/10/2026"/>
    <s v="Guapiaçu"/>
    <s v="2 ° Turno"/>
    <n v="161"/>
    <n v="2813"/>
    <s v="JOBILIANA APARECIDA MAXIMO BERGAMINI"/>
    <n v="20"/>
    <n v="20"/>
    <n v="5"/>
    <n v="5"/>
    <n v="0"/>
    <n v="0"/>
    <n v="1"/>
    <n v="1"/>
    <n v="0"/>
    <n v="0"/>
    <n v="0"/>
    <n v="0"/>
    <n v="4"/>
    <n v="1.2422360248447204"/>
    <n v="2"/>
    <n v="1.2422360248447204"/>
    <n v="0"/>
    <n v="0"/>
    <n v="0"/>
    <n v="0"/>
    <n v="2"/>
    <n v="1.2422360248447204"/>
    <s v=""/>
    <n v="0"/>
    <n v="0"/>
    <n v="0"/>
    <n v="0"/>
    <s v=""/>
    <n v="4"/>
    <n v="2.4844720496894408"/>
    <n v="5"/>
    <n v="3.1055900621118013"/>
    <n v="6"/>
    <n v="3.7267080745341614"/>
    <n v="1"/>
    <n v="0.6211180124223602"/>
    <s v=""/>
    <n v="14"/>
    <n v="0"/>
    <n v="0"/>
    <n v="28"/>
    <n v="0"/>
    <n v="0"/>
    <n v="0"/>
    <n v="0"/>
    <n v="20"/>
    <n v="17"/>
    <n v="0"/>
    <n v="0"/>
    <s v=""/>
    <n v="1"/>
    <n v="0"/>
    <n v="0"/>
    <s v="assinatura"/>
    <n v="275"/>
  </r>
  <r>
    <x v="58"/>
    <x v="9"/>
    <s v="6ac06c35486c261c1ca097d5"/>
    <s v="02/10/2026 18:37:36"/>
    <s v="02/10/2026 23:45:09"/>
    <s v="Henrique"/>
    <s v="02/10/2026"/>
    <s v="Guapiaçu"/>
    <s v="2 ° Turno"/>
    <n v="156"/>
    <n v="2903"/>
    <s v="JOBILIANA APARECIDA MAXIMO BERGAMINI"/>
    <n v="13"/>
    <n v="13"/>
    <n v="8"/>
    <n v="8"/>
    <n v="2"/>
    <n v="20"/>
    <n v="1"/>
    <n v="1"/>
    <n v="0"/>
    <n v="0"/>
    <n v="0"/>
    <n v="0"/>
    <n v="6"/>
    <n v="1.9230769230769231"/>
    <n v="1"/>
    <n v="0.64102564102564097"/>
    <n v="0"/>
    <n v="0"/>
    <n v="0"/>
    <n v="0"/>
    <n v="1"/>
    <n v="0.64102564102564097"/>
    <s v=""/>
    <n v="0"/>
    <n v="0"/>
    <n v="0"/>
    <n v="0"/>
    <s v=""/>
    <n v="4"/>
    <n v="2.5641025641025639"/>
    <n v="6"/>
    <n v="3.8461538461538463"/>
    <n v="5"/>
    <n v="3.2051282051282048"/>
    <n v="0"/>
    <n v="0"/>
    <s v=""/>
    <n v="15"/>
    <n v="0"/>
    <n v="0"/>
    <n v="30"/>
    <n v="0"/>
    <n v="0"/>
    <n v="1"/>
    <n v="0.64102564102564097"/>
    <n v="21"/>
    <n v="19"/>
    <n v="0"/>
    <n v="0"/>
    <s v=""/>
    <n v="0"/>
    <n v="0"/>
    <n v="0"/>
    <s v="assinatura"/>
    <n v="7160"/>
  </r>
  <r>
    <x v="58"/>
    <x v="9"/>
    <s v="6ac06c35486c261c1ca097b1"/>
    <s v="02/10/2026 14:04:49"/>
    <s v="02/10/2026 23:45:09"/>
    <s v="Henrique"/>
    <s v="02/10/2026"/>
    <s v="Guapiaçu"/>
    <s v="2 ° Turno"/>
    <n v="116"/>
    <n v="5852"/>
    <s v="JOBILIANA APARECIDA MAXIMO BERGAMINI"/>
    <n v="10"/>
    <n v="10"/>
    <n v="5"/>
    <n v="5"/>
    <n v="0"/>
    <n v="0"/>
    <n v="3"/>
    <n v="3"/>
    <n v="2"/>
    <n v="2"/>
    <n v="0"/>
    <n v="0"/>
    <n v="4"/>
    <n v="1.7241379310344827"/>
    <n v="1"/>
    <n v="0.86206896551724133"/>
    <n v="0"/>
    <n v="0"/>
    <n v="1"/>
    <n v="0.86206896551724133"/>
    <n v="2"/>
    <n v="1.7241379310344827"/>
    <s v=""/>
    <n v="1"/>
    <n v="0.86206896551724133"/>
    <n v="0"/>
    <n v="0"/>
    <s v=""/>
    <n v="3"/>
    <n v="2.5862068965517242"/>
    <n v="6"/>
    <n v="5.1724137931034484"/>
    <n v="5"/>
    <n v="4.3103448275862073"/>
    <n v="0"/>
    <n v="0"/>
    <s v=""/>
    <n v="19"/>
    <n v="1"/>
    <n v="1"/>
    <n v="38"/>
    <n v="2"/>
    <n v="2"/>
    <n v="0"/>
    <n v="0"/>
    <n v="20"/>
    <n v="17"/>
    <n v="0"/>
    <n v="0"/>
    <s v=""/>
    <n v="3"/>
    <n v="0"/>
    <n v="0"/>
    <s v="assinatura"/>
    <n v="10795"/>
  </r>
  <r>
    <x v="58"/>
    <x v="9"/>
    <s v="6abfd3bebd86e569124a213c"/>
    <s v="02/10/2026 11:16:49"/>
    <s v="02/10/2026 12:54:38"/>
    <s v="Henrique"/>
    <s v="02/10/2026"/>
    <s v="Guapiaçu"/>
    <s v="1 ° Turno"/>
    <n v="151"/>
    <n v="2912"/>
    <s v="EDMAR FELIPE MARTINS"/>
    <n v="31"/>
    <n v="31"/>
    <n v="10"/>
    <n v="10"/>
    <n v="0"/>
    <n v="0"/>
    <n v="2"/>
    <n v="2"/>
    <n v="1"/>
    <n v="1"/>
    <n v="0"/>
    <n v="0"/>
    <n v="2"/>
    <n v="0.66225165562913912"/>
    <n v="3"/>
    <n v="1.9867549668874174"/>
    <n v="2"/>
    <n v="1.3245033112582782"/>
    <n v="2"/>
    <n v="1.3245033112582782"/>
    <n v="8"/>
    <n v="5.298013245033113"/>
    <s v=""/>
    <n v="2"/>
    <n v="1.3245033112582782"/>
    <n v="2"/>
    <n v="1.3245033112582782"/>
    <s v=""/>
    <n v="6"/>
    <n v="3.9735099337748347"/>
    <n v="2"/>
    <n v="1.3245033112582782"/>
    <n v="7"/>
    <n v="4.6357615894039732"/>
    <n v="3"/>
    <n v="1.9867549668874174"/>
    <s v=""/>
    <n v="21"/>
    <n v="0"/>
    <n v="0"/>
    <n v="42"/>
    <n v="0"/>
    <n v="0"/>
    <n v="1"/>
    <n v="0.66225165562913912"/>
    <n v="19"/>
    <n v="25"/>
    <n v="1"/>
    <n v="10"/>
    <s v=""/>
    <s v=""/>
    <s v=""/>
    <s v=""/>
    <s v="assinatura"/>
    <n v="1466"/>
  </r>
  <r>
    <x v="58"/>
    <x v="9"/>
    <s v="6abfd3bebd86e569124a2124"/>
    <s v="02/10/2026 08:28:51"/>
    <s v="02/10/2026 12:54:38"/>
    <s v="Henrique"/>
    <s v="02/10/2026"/>
    <s v="Guapiaçu"/>
    <s v="1 ° Turno"/>
    <n v="161"/>
    <n v="2981"/>
    <s v="EDMAR FELIPE MARTINS"/>
    <n v="33"/>
    <n v="33"/>
    <n v="14"/>
    <n v="14.000000000000002"/>
    <n v="0"/>
    <n v="0"/>
    <n v="2"/>
    <n v="2"/>
    <n v="1"/>
    <n v="1"/>
    <n v="0"/>
    <n v="0"/>
    <n v="4"/>
    <n v="1.2422360248447204"/>
    <n v="3"/>
    <n v="1.8633540372670807"/>
    <n v="0"/>
    <n v="0"/>
    <n v="2"/>
    <n v="1.2422360248447204"/>
    <n v="9"/>
    <n v="5.5900621118012426"/>
    <s v=""/>
    <n v="3"/>
    <n v="1.8633540372670807"/>
    <n v="3"/>
    <n v="1.8633540372670807"/>
    <s v=""/>
    <n v="5"/>
    <n v="3.1055900621118013"/>
    <n v="3"/>
    <n v="1.8633540372670807"/>
    <n v="8"/>
    <n v="4.9689440993788816"/>
    <n v="3"/>
    <n v="1.8633540372670807"/>
    <s v=""/>
    <n v="22"/>
    <n v="0"/>
    <n v="0"/>
    <n v="44"/>
    <n v="0"/>
    <n v="0"/>
    <n v="1"/>
    <n v="0.6211180124223602"/>
    <n v="21"/>
    <n v="19"/>
    <n v="1"/>
    <n v="10"/>
    <s v=""/>
    <n v="0"/>
    <n v="0"/>
    <n v="1"/>
    <s v=""/>
    <n v="1768"/>
  </r>
  <r>
    <x v="58"/>
    <x v="9"/>
    <s v="6abfd3bebd86e569124a2110"/>
    <s v="02/10/2026 06:30:31"/>
    <s v="02/10/2026 12:54:38"/>
    <s v="Henrique"/>
    <s v="02/10/2026"/>
    <s v="Guapiaçu"/>
    <s v="1 ° Turno"/>
    <n v="161"/>
    <n v="2860"/>
    <s v="EDMAR FELIPE MARTINS"/>
    <n v="39"/>
    <n v="39"/>
    <n v="26"/>
    <n v="26"/>
    <n v="0"/>
    <n v="0"/>
    <n v="1"/>
    <n v="1"/>
    <n v="0"/>
    <n v="0"/>
    <n v="0"/>
    <n v="0"/>
    <n v="3"/>
    <n v="0.93167701863354035"/>
    <n v="3"/>
    <n v="1.8633540372670807"/>
    <n v="0"/>
    <n v="0"/>
    <n v="2"/>
    <n v="1.2422360248447204"/>
    <n v="10"/>
    <n v="6.2111801242236027"/>
    <s v=""/>
    <n v="2"/>
    <n v="1.2422360248447204"/>
    <n v="2"/>
    <n v="1.2422360248447204"/>
    <s v=""/>
    <n v="6"/>
    <n v="3.7267080745341614"/>
    <n v="2"/>
    <n v="1.2422360248447204"/>
    <n v="7"/>
    <n v="4.3478260869565215"/>
    <n v="1"/>
    <n v="0.6211180124223602"/>
    <s v=""/>
    <n v="22"/>
    <n v="0"/>
    <n v="0"/>
    <n v="44"/>
    <n v="0"/>
    <n v="0"/>
    <n v="0"/>
    <n v="0"/>
    <n v="19"/>
    <n v="23"/>
    <n v="1"/>
    <n v="10"/>
    <s v=""/>
    <n v="0"/>
    <n v="0"/>
    <n v="1"/>
    <s v="assinatura"/>
    <n v="2231"/>
  </r>
  <r>
    <x v="58"/>
    <x v="9"/>
    <s v="6abfd3bdbd86e569124a20f8"/>
    <s v="02/10/2026 04:26:40"/>
    <s v="02/10/2026 12:54:37"/>
    <s v="Henrique"/>
    <s v="02/10/2026"/>
    <s v="Guapiaçu"/>
    <s v="1 ° Turno"/>
    <n v="161"/>
    <n v="2860"/>
    <s v="EDMAR FELIPE MARTINS"/>
    <n v="30"/>
    <n v="30"/>
    <n v="10"/>
    <n v="10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8"/>
    <n v="4.9689440993788816"/>
    <s v=""/>
    <n v="2"/>
    <n v="1.2422360248447204"/>
    <n v="1"/>
    <n v="0.6211180124223602"/>
    <s v=""/>
    <n v="6"/>
    <n v="3.7267080745341614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19"/>
    <n v="25"/>
    <n v="1"/>
    <n v="10"/>
    <s v=""/>
    <s v=""/>
    <s v=""/>
    <s v=""/>
    <s v="assinatura"/>
    <n v="17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T114" firstHeaderRow="1" firstDataRow="2" firstDataCol="0"/>
  <pivotFields count="67">
    <pivotField axis="axisCol" numFmtId="14" showAll="0" sortType="ascending">
      <items count="61">
        <item x="0"/>
        <item x="1"/>
        <item x="2"/>
        <item x="3"/>
        <item x="4"/>
        <item x="5"/>
        <item m="1" x="59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x="56"/>
        <item x="58"/>
        <item x="57"/>
        <item t="default"/>
      </items>
    </pivotField>
    <pivotField showAll="0">
      <items count="11">
        <item h="1" x="0"/>
        <item h="1" x="1"/>
        <item h="1" x="2"/>
        <item h="1" x="3"/>
        <item h="1" x="4"/>
        <item h="1" x="5"/>
        <item h="1" x="7"/>
        <item h="1" x="6"/>
        <item h="1"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3">
    <i>
      <x v="57"/>
    </i>
    <i>
      <x v="58"/>
    </i>
    <i>
      <x v="59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7"/>
        <i x="6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166" dataDxfId="165">
  <autoFilter ref="A3:B83"/>
  <tableColumns count="2">
    <tableColumn id="2" name="Tipo" dataDxfId="164">
      <calculatedColumnFormula>VLOOKUP(Tabela2[[#This Row],[Item 1]],Apoio!$A$2:$B$41,2,0)</calculatedColumnFormula>
    </tableColumn>
    <tableColumn id="1" name="Item 1" dataDxfId="163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40" totalsRowShown="0" headerRowDxfId="162">
  <autoFilter ref="A1:BO340"/>
  <tableColumns count="67">
    <tableColumn id="54" name="Data Corrigida" dataDxfId="161">
      <calculatedColumnFormula>INT(Tabela1[[#This Row],[Data e Hora]])</calculatedColumnFormula>
    </tableColumn>
    <tableColumn id="55" name="Mês" dataDxfId="160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159"/>
    <tableColumn id="6" name="Unidade"/>
    <tableColumn id="7" name="Turno"/>
    <tableColumn id="8" name="Velocidade (FPM)" dataDxfId="158"/>
    <tableColumn id="9" name="Peso Médio (g)" dataDxfId="157"/>
    <tableColumn id="10" name="Responsável pelo Monitoramento"/>
    <tableColumn id="11" name="Pena após Depenadeira" dataDxfId="156"/>
    <tableColumn id="61" name="% Pena após Depenadeira" dataDxfId="155" dataCellStyle="Porcentagem">
      <calculatedColumnFormula>Tabela1[[#This Row],[Pena após Depenadeira]]/Tabela1[[#This Row],[Velocidade (FPM)]]*100</calculatedColumnFormula>
    </tableColumn>
    <tableColumn id="12" name="Pena após Repasse" dataDxfId="154"/>
    <tableColumn id="62" name="% Pena após Repasse" dataDxfId="153" dataCellStyle="Porcentagem">
      <calculatedColumnFormula>Tabela1[[#This Row],[Pena após Repasse]]/Tabela1[[#This Row],[Velocidade (FPM)]]*100</calculatedColumnFormula>
    </tableColumn>
    <tableColumn id="13" name="Carcaça Quebrada" dataDxfId="152"/>
    <tableColumn id="58" name="% Carcaça quebrada" dataDxfId="151"/>
    <tableColumn id="14" name="Fratura Branca" dataDxfId="150"/>
    <tableColumn id="59" name="% Fratura Branca" dataDxfId="149"/>
    <tableColumn id="15" name="Hematoma Fabrica" dataDxfId="148"/>
    <tableColumn id="60" name="% Hematoma Fabrica" dataDxfId="147"/>
    <tableColumn id="16" name="Peito Queimado" dataDxfId="146"/>
    <tableColumn id="56" name="% Peito Queimado" dataDxfId="145"/>
    <tableColumn id="17" name="Retorno Pés" dataDxfId="144"/>
    <tableColumn id="57" name="% Retorno Pés" dataDxfId="143">
      <calculatedColumnFormula>IFERROR(Tabela1[[#This Row],[Retorno Pés]]/Tabela1[[#This Row],[Velocidade (FPM)]]*100,"")</calculatedColumnFormula>
    </tableColumn>
    <tableColumn id="18" name="Cloca não Exposta" dataDxfId="142"/>
    <tableColumn id="19" name="% Clocaca mal Exposta" dataDxfId="141"/>
    <tableColumn id="20" name="Cloaca Rompida" dataDxfId="140"/>
    <tableColumn id="21" name="% Cloacas Rompidas" dataDxfId="139"/>
    <tableColumn id="22" name="Contaminação após extratora" dataDxfId="138"/>
    <tableColumn id="23" name="% Contaminação Após Extratora" dataDxfId="137"/>
    <tableColumn id="24" name="Corte no Reto" dataDxfId="136"/>
    <tableColumn id="25" name="% Corte no Reto" dataDxfId="135"/>
    <tableColumn id="26" name="Observações" dataDxfId="134"/>
    <tableColumn id="27" name="Abdome mal aberto" dataDxfId="133"/>
    <tableColumn id="28" name="% Abdome mal abertos" dataDxfId="132"/>
    <tableColumn id="29" name="Corte de Intestino" dataDxfId="131"/>
    <tableColumn id="30" name="% Corte de Intestino" dataDxfId="130"/>
    <tableColumn id="31" name="Observações 2" dataDxfId="129"/>
    <tableColumn id="32" name="Carcaças com Pacotes mal extraídos" dataDxfId="128"/>
    <tableColumn id="33" name="% Carcaças com Pacotes Mal Extraídos" dataDxfId="127"/>
    <tableColumn id="66" name="Perda de pacotes na evisceradora" dataDxfId="126"/>
    <tableColumn id="67" name="% Perda de pacotes na evisceradora " dataDxfId="125"/>
    <tableColumn id="34" name="Contaminação externa após a evisceradora" dataDxfId="124"/>
    <tableColumn id="35" name="% Contaminação Externa Após a Evisceradora" dataDxfId="123"/>
    <tableColumn id="36" name="Contaminação interna após a evisceradora" dataDxfId="122"/>
    <tableColumn id="37" name="% Contaminação Interna Após Evisceradora" dataDxfId="121"/>
    <tableColumn id="38" name="Observações 3" dataDxfId="120"/>
    <tableColumn id="39" name="Pro ventrículo não integro" dataDxfId="119"/>
    <tableColumn id="40" name="Retirada de Coração" dataDxfId="118"/>
    <tableColumn id="41" name="Retirada de Fígado" dataDxfId="117"/>
    <tableColumn id="42" name="% Pro ventrículo não integro" dataDxfId="116"/>
    <tableColumn id="43" name="% Retirada de Coração" dataDxfId="115"/>
    <tableColumn id="44" name="% Retirada de Fígado" dataDxfId="114"/>
    <tableColumn id="63" name="Presença de moela apos linha de retirada" dataDxfId="113"/>
    <tableColumn id="64" name="% Presença de moela apos linha de retirada" dataDxfId="112"/>
    <tableColumn id="45" name="% Queratina na moela" dataDxfId="111"/>
    <tableColumn id="46" name="% Erro de corte na moela" dataDxfId="110"/>
    <tableColumn id="47" name="Carcaças quebradas após papo - traquéia" dataDxfId="109"/>
    <tableColumn id="65" name="% Carcaças quebradas após papo - traquéia" dataDxfId="108"/>
    <tableColumn id="48" name="Miúdos Palma A" dataDxfId="107"/>
    <tableColumn id="49" name="Palma com Calos pós Chiller" dataDxfId="106"/>
    <tableColumn id="50" name="Palma com Fratura externa" dataDxfId="105"/>
    <tableColumn id="51" name="Palma com Fratura interna" dataDxfId="104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P67" sqref="P67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46296</v>
      </c>
      <c r="S3" s="30">
        <f t="shared" si="0"/>
        <v>46297</v>
      </c>
      <c r="T3" s="30">
        <f t="shared" si="0"/>
        <v>46300</v>
      </c>
      <c r="U3" s="30" t="str">
        <f t="shared" si="0"/>
        <v/>
      </c>
      <c r="V3" s="30" t="str">
        <f t="shared" si="0"/>
        <v/>
      </c>
      <c r="W3" s="30" t="str">
        <f t="shared" si="0"/>
        <v/>
      </c>
      <c r="X3" s="30" t="str">
        <f t="shared" si="0"/>
        <v/>
      </c>
      <c r="Y3" s="30" t="str">
        <f t="shared" si="0"/>
        <v/>
      </c>
      <c r="Z3" s="30" t="str">
        <f t="shared" si="0"/>
        <v/>
      </c>
      <c r="AA3" s="30" t="str">
        <f t="shared" si="0"/>
        <v/>
      </c>
      <c r="AB3" s="30" t="str">
        <f t="shared" si="0"/>
        <v/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>159 | 137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161 | 132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159 | 144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156 | 135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 xml:space="preserve"> | 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 xml:space="preserve"> | 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 xml:space="preserve"> | 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 xml:space="preserve"> | 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 xml:space="preserve"> | 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 xml:space="preserve"> | 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 xml:space="preserve"> | 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 xml:space="preserve"> | 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2942|3282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2966 | 3019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2903 | 3856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2998 | 2970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 xml:space="preserve"> | 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 xml:space="preserve"> | 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 xml:space="preserve"> | 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 xml:space="preserve"> | 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 xml:space="preserve"> | 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 xml:space="preserve"> | 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 xml:space="preserve"> | 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 xml:space="preserve"> | 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>
        <f ca="1">IFERROR(AVERAGEIFS(INDIRECT("Tabela1["&amp;$B6&amp;"]"),Tabela1[Turno],$D6,Tabela1[Mês],N$3)/100,"")</f>
        <v>0.40333333333333338</v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0.49249999999999999</v>
      </c>
      <c r="S6" s="34">
        <f ca="1">IFERROR(AVERAGEIFS(INDIRECT("Tabela1["&amp;$B6&amp;"]"),Tabela1[Turno],$D6,Tabela1[Data Corrigida],S$3)/100,"")</f>
        <v>0.33250000000000002</v>
      </c>
      <c r="T6" s="34">
        <f ca="1">IFERROR(AVERAGEIFS(INDIRECT("Tabela1["&amp;$B6&amp;"]"),Tabela1[Turno],$D6,Tabela1[Data Corrigida],T$3)/100,"")</f>
        <v>0.33</v>
      </c>
      <c r="U6" s="34" t="str">
        <f ca="1">IFERROR(AVERAGEIFS(INDIRECT("Tabela1["&amp;$B6&amp;"]"),Tabela1[Turno],$D6,Tabela1[Data Corrigida],U$3)/100,"")</f>
        <v/>
      </c>
      <c r="V6" s="34" t="str">
        <f ca="1">IFERROR(AVERAGEIFS(INDIRECT("Tabela1["&amp;$B6&amp;"]"),Tabela1[Turno],$D6,Tabela1[Data Corrigida],V$3)/100,"")</f>
        <v/>
      </c>
      <c r="W6" s="34" t="str">
        <f ca="1">IFERROR(AVERAGEIFS(INDIRECT("Tabela1["&amp;$B6&amp;"]"),Tabela1[Turno],$D6,Tabela1[Data Corrigida],W$3)/100,"")</f>
        <v/>
      </c>
      <c r="X6" s="34" t="str">
        <f ca="1">IFERROR(AVERAGEIFS(INDIRECT("Tabela1["&amp;$B6&amp;"]"),Tabela1[Turno],$D6,Tabela1[Data Corrigida],X$3)/100,"")</f>
        <v/>
      </c>
      <c r="Y6" s="34" t="str">
        <f ca="1">IFERROR(AVERAGEIFS(INDIRECT("Tabela1["&amp;$B6&amp;"]"),Tabela1[Turno],$D6,Tabela1[Data Corrigida],Y$3)/100,"")</f>
        <v/>
      </c>
      <c r="Z6" s="34" t="str">
        <f ca="1">IFERROR(AVERAGEIFS(INDIRECT("Tabela1["&amp;$B6&amp;"]"),Tabela1[Turno],$D6,Tabela1[Data Corrigida],Z$3)/100,"")</f>
        <v/>
      </c>
      <c r="AA6" s="34" t="str">
        <f ca="1">IFERROR(AVERAGEIFS(INDIRECT("Tabela1["&amp;$B6&amp;"]"),Tabela1[Turno],$D6,Tabela1[Data Corrigida],AA$3)/100,"")</f>
        <v/>
      </c>
      <c r="AB6" s="34" t="str">
        <f ca="1">IFERROR(AVERAGEIFS(INDIRECT("Tabela1["&amp;$B6&amp;"]"),Tabela1[Turno],$D6,Tabela1[Data Corrigida],AB$3)/100,"")</f>
        <v/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>
        <f ca="1">IFERROR(AVERAGEIFS(INDIRECT("Tabela1["&amp;$B7&amp;"]"),Tabela1[Turno],$D7,Tabela1[Mês],N$3)/100,"")</f>
        <v>0.14444444444444446</v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0.12666666666666665</v>
      </c>
      <c r="S7" s="36">
        <f ca="1">IFERROR(AVERAGEIFS(INDIRECT("Tabela1["&amp;$B7&amp;"]"),Tabela1[Turno],$D7,Tabela1[Data Corrigida],S$3)/100,"")</f>
        <v>0.14333333333333334</v>
      </c>
      <c r="T7" s="36">
        <f ca="1">IFERROR(AVERAGEIFS(INDIRECT("Tabela1["&amp;$B7&amp;"]"),Tabela1[Turno],$D7,Tabela1[Data Corrigida],T$3)/100,"")</f>
        <v>0.16333333333333333</v>
      </c>
      <c r="U7" s="36" t="str">
        <f ca="1">IFERROR(AVERAGEIFS(INDIRECT("Tabela1["&amp;$B7&amp;"]"),Tabela1[Turno],$D7,Tabela1[Data Corrigida],U$3)/100,"")</f>
        <v/>
      </c>
      <c r="V7" s="36" t="str">
        <f ca="1">IFERROR(AVERAGEIFS(INDIRECT("Tabela1["&amp;$B7&amp;"]"),Tabela1[Turno],$D7,Tabela1[Data Corrigida],V$3)/100,"")</f>
        <v/>
      </c>
      <c r="W7" s="36" t="str">
        <f ca="1">IFERROR(AVERAGEIFS(INDIRECT("Tabela1["&amp;$B7&amp;"]"),Tabela1[Turno],$D7,Tabela1[Data Corrigida],W$3)/100,"")</f>
        <v/>
      </c>
      <c r="X7" s="36" t="str">
        <f ca="1">IFERROR(AVERAGEIFS(INDIRECT("Tabela1["&amp;$B7&amp;"]"),Tabela1[Turno],$D7,Tabela1[Data Corrigida],X$3)/100,"")</f>
        <v/>
      </c>
      <c r="Y7" s="36" t="str">
        <f ca="1">IFERROR(AVERAGEIFS(INDIRECT("Tabela1["&amp;$B7&amp;"]"),Tabela1[Turno],$D7,Tabela1[Data Corrigida],Y$3)/100,"")</f>
        <v/>
      </c>
      <c r="Z7" s="36" t="str">
        <f ca="1">IFERROR(AVERAGEIFS(INDIRECT("Tabela1["&amp;$B7&amp;"]"),Tabela1[Turno],$D7,Tabela1[Data Corrigida],Z$3)/100,"")</f>
        <v/>
      </c>
      <c r="AA7" s="36" t="str">
        <f ca="1">IFERROR(AVERAGEIFS(INDIRECT("Tabela1["&amp;$B7&amp;"]"),Tabela1[Turno],$D7,Tabela1[Data Corrigida],AA$3)/100,"")</f>
        <v/>
      </c>
      <c r="AB7" s="36" t="str">
        <f ca="1">IFERROR(AVERAGEIFS(INDIRECT("Tabela1["&amp;$B7&amp;"]"),Tabela1[Turno],$D7,Tabela1[Data Corrigida],AB$3)/100,"")</f>
        <v/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>
        <f ca="1">IFERROR(AVERAGEIFS(INDIRECT("Tabela1["&amp;$B8&amp;"]"),Tabela1[Mês],N$3)/100,"")</f>
        <v>0.2738888888888889</v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0.33571428571428569</v>
      </c>
      <c r="S8" s="38">
        <f ca="1">IFERROR(AVERAGEIFS(INDIRECT("Tabela1["&amp;$B8&amp;"]"),Tabela1[Data Corrigida],S$3)/100,"")</f>
        <v>0.25142857142857145</v>
      </c>
      <c r="T8" s="38">
        <f ca="1">IFERROR(AVERAGEIFS(INDIRECT("Tabela1["&amp;$B8&amp;"]"),Tabela1[Data Corrigida],T$3)/100,"")</f>
        <v>0.20499999999999999</v>
      </c>
      <c r="U8" s="38" t="str">
        <f ca="1">IFERROR(AVERAGEIFS(INDIRECT("Tabela1["&amp;$B8&amp;"]"),Tabela1[Data Corrigida],U$3)/100,"")</f>
        <v/>
      </c>
      <c r="V8" s="38" t="str">
        <f ca="1">IFERROR(AVERAGEIFS(INDIRECT("Tabela1["&amp;$B8&amp;"]"),Tabela1[Data Corrigida],V$3)/100,"")</f>
        <v/>
      </c>
      <c r="W8" s="38" t="str">
        <f ca="1">IFERROR(AVERAGEIFS(INDIRECT("Tabela1["&amp;$B8&amp;"]"),Tabela1[Data Corrigida],W$3)/100,"")</f>
        <v/>
      </c>
      <c r="X8" s="38" t="str">
        <f ca="1">IFERROR(AVERAGEIFS(INDIRECT("Tabela1["&amp;$B8&amp;"]"),Tabela1[Data Corrigida],X$3)/100,"")</f>
        <v/>
      </c>
      <c r="Y8" s="38" t="str">
        <f ca="1">IFERROR(AVERAGEIFS(INDIRECT("Tabela1["&amp;$B8&amp;"]"),Tabela1[Data Corrigida],Y$3)/100,"")</f>
        <v/>
      </c>
      <c r="Z8" s="38" t="str">
        <f ca="1">IFERROR(AVERAGEIFS(INDIRECT("Tabela1["&amp;$B8&amp;"]"),Tabela1[Data Corrigida],Z$3)/100,"")</f>
        <v/>
      </c>
      <c r="AA8" s="38" t="str">
        <f ca="1">IFERROR(AVERAGEIFS(INDIRECT("Tabela1["&amp;$B8&amp;"]"),Tabela1[Data Corrigida],AA$3)/100,"")</f>
        <v/>
      </c>
      <c r="AB8" s="38" t="str">
        <f ca="1">IFERROR(AVERAGEIFS(INDIRECT("Tabela1["&amp;$B8&amp;"]"),Tabela1[Data Corrigida],AB$3)/100,"")</f>
        <v/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>
        <f ca="1">IFERROR(AVERAGEIFS(INDIRECT("Tabela1["&amp;$B9&amp;"]"),Tabela1[Turno],$D9,Tabela1[Mês],N$3)/100,"")</f>
        <v>0.21111111111111111</v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0.27250000000000002</v>
      </c>
      <c r="S9" s="40">
        <f ca="1">IFERROR(AVERAGEIFS(INDIRECT("Tabela1["&amp;$B9&amp;"]"),Tabela1[Turno],$D9,Tabela1[Data Corrigida],S$3)/100,"")</f>
        <v>0.15</v>
      </c>
      <c r="T9" s="40">
        <f ca="1">IFERROR(AVERAGEIFS(INDIRECT("Tabela1["&amp;$B9&amp;"]"),Tabela1[Turno],$D9,Tabela1[Data Corrigida],T$3)/100,"")</f>
        <v>0.21</v>
      </c>
      <c r="U9" s="40" t="str">
        <f ca="1">IFERROR(AVERAGEIFS(INDIRECT("Tabela1["&amp;$B9&amp;"]"),Tabela1[Turno],$D9,Tabela1[Data Corrigida],U$3)/100,"")</f>
        <v/>
      </c>
      <c r="V9" s="40" t="str">
        <f ca="1">IFERROR(AVERAGEIFS(INDIRECT("Tabela1["&amp;$B9&amp;"]"),Tabela1[Turno],$D9,Tabela1[Data Corrigida],V$3)/100,"")</f>
        <v/>
      </c>
      <c r="W9" s="40" t="str">
        <f ca="1">IFERROR(AVERAGEIFS(INDIRECT("Tabela1["&amp;$B9&amp;"]"),Tabela1[Turno],$D9,Tabela1[Data Corrigida],W$3)/100,"")</f>
        <v/>
      </c>
      <c r="X9" s="40" t="str">
        <f ca="1">IFERROR(AVERAGEIFS(INDIRECT("Tabela1["&amp;$B9&amp;"]"),Tabela1[Turno],$D9,Tabela1[Data Corrigida],X$3)/100,"")</f>
        <v/>
      </c>
      <c r="Y9" s="40" t="str">
        <f ca="1">IFERROR(AVERAGEIFS(INDIRECT("Tabela1["&amp;$B9&amp;"]"),Tabela1[Turno],$D9,Tabela1[Data Corrigida],Y$3)/100,"")</f>
        <v/>
      </c>
      <c r="Z9" s="40" t="str">
        <f ca="1">IFERROR(AVERAGEIFS(INDIRECT("Tabela1["&amp;$B9&amp;"]"),Tabela1[Turno],$D9,Tabela1[Data Corrigida],Z$3)/100,"")</f>
        <v/>
      </c>
      <c r="AA9" s="40" t="str">
        <f ca="1">IFERROR(AVERAGEIFS(INDIRECT("Tabela1["&amp;$B9&amp;"]"),Tabela1[Turno],$D9,Tabela1[Data Corrigida],AA$3)/100,"")</f>
        <v/>
      </c>
      <c r="AB9" s="40" t="str">
        <f ca="1">IFERROR(AVERAGEIFS(INDIRECT("Tabela1["&amp;$B9&amp;"]"),Tabela1[Turno],$D9,Tabela1[Data Corrigida],AB$3)/100,"")</f>
        <v/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>
        <f ca="1">IFERROR(AVERAGEIFS(INDIRECT("Tabela1["&amp;$B10&amp;"]"),Tabela1[Turno],$D10,Tabela1[Mês],N$3)/100,"")</f>
        <v>6.222222222222222E-2</v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5.6666666666666671E-2</v>
      </c>
      <c r="S10" s="36">
        <f ca="1">IFERROR(AVERAGEIFS(INDIRECT("Tabela1["&amp;$B10&amp;"]"),Tabela1[Turno],$D10,Tabela1[Data Corrigida],S$3)/100,"")</f>
        <v>0.06</v>
      </c>
      <c r="T10" s="36">
        <f ca="1">IFERROR(AVERAGEIFS(INDIRECT("Tabela1["&amp;$B10&amp;"]"),Tabela1[Turno],$D10,Tabela1[Data Corrigida],T$3)/100,"")</f>
        <v>7.0000000000000007E-2</v>
      </c>
      <c r="U10" s="36" t="str">
        <f ca="1">IFERROR(AVERAGEIFS(INDIRECT("Tabela1["&amp;$B10&amp;"]"),Tabela1[Turno],$D10,Tabela1[Data Corrigida],U$3)/100,"")</f>
        <v/>
      </c>
      <c r="V10" s="36" t="str">
        <f ca="1">IFERROR(AVERAGEIFS(INDIRECT("Tabela1["&amp;$B10&amp;"]"),Tabela1[Turno],$D10,Tabela1[Data Corrigida],V$3)/100,"")</f>
        <v/>
      </c>
      <c r="W10" s="36" t="str">
        <f ca="1">IFERROR(AVERAGEIFS(INDIRECT("Tabela1["&amp;$B10&amp;"]"),Tabela1[Turno],$D10,Tabela1[Data Corrigida],W$3)/100,"")</f>
        <v/>
      </c>
      <c r="X10" s="36" t="str">
        <f ca="1">IFERROR(AVERAGEIFS(INDIRECT("Tabela1["&amp;$B10&amp;"]"),Tabela1[Turno],$D10,Tabela1[Data Corrigida],X$3)/100,"")</f>
        <v/>
      </c>
      <c r="Y10" s="36" t="str">
        <f ca="1">IFERROR(AVERAGEIFS(INDIRECT("Tabela1["&amp;$B10&amp;"]"),Tabela1[Turno],$D10,Tabela1[Data Corrigida],Y$3)/100,"")</f>
        <v/>
      </c>
      <c r="Z10" s="36" t="str">
        <f ca="1">IFERROR(AVERAGEIFS(INDIRECT("Tabela1["&amp;$B10&amp;"]"),Tabela1[Turno],$D10,Tabela1[Data Corrigida],Z$3)/100,"")</f>
        <v/>
      </c>
      <c r="AA10" s="36" t="str">
        <f ca="1">IFERROR(AVERAGEIFS(INDIRECT("Tabela1["&amp;$B10&amp;"]"),Tabela1[Turno],$D10,Tabela1[Data Corrigida],AA$3)/100,"")</f>
        <v/>
      </c>
      <c r="AB10" s="36" t="str">
        <f ca="1">IFERROR(AVERAGEIFS(INDIRECT("Tabela1["&amp;$B10&amp;"]"),Tabela1[Turno],$D10,Tabela1[Data Corrigida],AB$3)/100,"")</f>
        <v/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>
        <f ca="1">IFERROR(AVERAGEIFS(INDIRECT("Tabela1["&amp;$B11&amp;"]"),Tabela1[Mês],N$3)/100,"")</f>
        <v>0.13666666666666666</v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0.18</v>
      </c>
      <c r="S11" s="43">
        <f ca="1">IFERROR(AVERAGEIFS(INDIRECT("Tabela1["&amp;$B11&amp;"]"),Tabela1[Data Corrigida],S$3)/100,"")</f>
        <v>0.11142857142857142</v>
      </c>
      <c r="T11" s="43">
        <f ca="1">IFERROR(AVERAGEIFS(INDIRECT("Tabela1["&amp;$B11&amp;"]"),Tabela1[Data Corrigida],T$3)/100,"")</f>
        <v>0.105</v>
      </c>
      <c r="U11" s="43" t="str">
        <f ca="1">IFERROR(AVERAGEIFS(INDIRECT("Tabela1["&amp;$B11&amp;"]"),Tabela1[Data Corrigida],U$3)/100,"")</f>
        <v/>
      </c>
      <c r="V11" s="43" t="str">
        <f ca="1">IFERROR(AVERAGEIFS(INDIRECT("Tabela1["&amp;$B11&amp;"]"),Tabela1[Data Corrigida],V$3)/100,"")</f>
        <v/>
      </c>
      <c r="W11" s="43" t="str">
        <f ca="1">IFERROR(AVERAGEIFS(INDIRECT("Tabela1["&amp;$B11&amp;"]"),Tabela1[Data Corrigida],W$3)/100,"")</f>
        <v/>
      </c>
      <c r="X11" s="43" t="str">
        <f ca="1">IFERROR(AVERAGEIFS(INDIRECT("Tabela1["&amp;$B11&amp;"]"),Tabela1[Data Corrigida],X$3)/100,"")</f>
        <v/>
      </c>
      <c r="Y11" s="43" t="str">
        <f ca="1">IFERROR(AVERAGEIFS(INDIRECT("Tabela1["&amp;$B11&amp;"]"),Tabela1[Data Corrigida],Y$3)/100,"")</f>
        <v/>
      </c>
      <c r="Z11" s="43" t="str">
        <f ca="1">IFERROR(AVERAGEIFS(INDIRECT("Tabela1["&amp;$B11&amp;"]"),Tabela1[Data Corrigida],Z$3)/100,"")</f>
        <v/>
      </c>
      <c r="AA11" s="43" t="str">
        <f ca="1">IFERROR(AVERAGEIFS(INDIRECT("Tabela1["&amp;$B11&amp;"]"),Tabela1[Data Corrigida],AA$3)/100,"")</f>
        <v/>
      </c>
      <c r="AB11" s="43" t="str">
        <f ca="1">IFERROR(AVERAGEIFS(INDIRECT("Tabela1["&amp;$B11&amp;"]"),Tabela1[Data Corrigida],AB$3)/100,"")</f>
        <v/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>
        <f ca="1">IFERROR(AVERAGEIFS(INDIRECT("Tabela1["&amp;$B12&amp;"]"),Tabela1[Turno],$D12,Tabela1[Mês],N$3)/20,"")</f>
        <v>0</v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0</v>
      </c>
      <c r="U12" s="34" t="str">
        <f ca="1">IFERROR(AVERAGEIFS(INDIRECT("Tabela1["&amp;$B12&amp;"]"),Tabela1[Turno],$D12,Tabela1[Data Corrigida],U$3)/20,"")</f>
        <v/>
      </c>
      <c r="V12" s="34" t="str">
        <f ca="1">IFERROR(AVERAGEIFS(INDIRECT("Tabela1["&amp;$B12&amp;"]"),Tabela1[Turno],$D12,Tabela1[Data Corrigida],V$3)/20,"")</f>
        <v/>
      </c>
      <c r="W12" s="34" t="str">
        <f ca="1">IFERROR(AVERAGEIFS(INDIRECT("Tabela1["&amp;$B12&amp;"]"),Tabela1[Turno],$D12,Tabela1[Data Corrigida],W$3)/20,"")</f>
        <v/>
      </c>
      <c r="X12" s="34" t="str">
        <f ca="1">IFERROR(AVERAGEIFS(INDIRECT("Tabela1["&amp;$B12&amp;"]"),Tabela1[Turno],$D12,Tabela1[Data Corrigida],X$3)/20,"")</f>
        <v/>
      </c>
      <c r="Y12" s="34" t="str">
        <f ca="1">IFERROR(AVERAGEIFS(INDIRECT("Tabela1["&amp;$B12&amp;"]"),Tabela1[Turno],$D12,Tabela1[Data Corrigida],Y$3)/20,"")</f>
        <v/>
      </c>
      <c r="Z12" s="34" t="str">
        <f ca="1">IFERROR(AVERAGEIFS(INDIRECT("Tabela1["&amp;$B12&amp;"]"),Tabela1[Turno],$D12,Tabela1[Data Corrigida],Z$3)/20,"")</f>
        <v/>
      </c>
      <c r="AA12" s="34" t="str">
        <f ca="1">IFERROR(AVERAGEIFS(INDIRECT("Tabela1["&amp;$B12&amp;"]"),Tabela1[Turno],$D12,Tabela1[Data Corrigida],AA$3)/20,"")</f>
        <v/>
      </c>
      <c r="AB12" s="34" t="str">
        <f ca="1">IFERROR(AVERAGEIFS(INDIRECT("Tabela1["&amp;$B12&amp;"]"),Tabela1[Turno],$D12,Tabela1[Data Corrigida],AB$3)/20,"")</f>
        <v/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>
        <f ca="1">IFERROR(AVERAGEIFS(INDIRECT("Tabela1["&amp;$B13&amp;"]"),Tabela1[Turno],$D13,Tabela1[Mês],N$3)/20,"")</f>
        <v>2.222222222222222E-2</v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3.3333333333333333E-2</v>
      </c>
      <c r="U13" s="36" t="str">
        <f ca="1">IFERROR(AVERAGEIFS(INDIRECT("Tabela1["&amp;$B13&amp;"]"),Tabela1[Turno],$D13,Tabela1[Data Corrigida],U$3)/20,"")</f>
        <v/>
      </c>
      <c r="V13" s="36" t="str">
        <f ca="1">IFERROR(AVERAGEIFS(INDIRECT("Tabela1["&amp;$B13&amp;"]"),Tabela1[Turno],$D13,Tabela1[Data Corrigida],V$3)/20,"")</f>
        <v/>
      </c>
      <c r="W13" s="36" t="str">
        <f ca="1">IFERROR(AVERAGEIFS(INDIRECT("Tabela1["&amp;$B13&amp;"]"),Tabela1[Turno],$D13,Tabela1[Data Corrigida],W$3)/20,"")</f>
        <v/>
      </c>
      <c r="X13" s="36" t="str">
        <f ca="1">IFERROR(AVERAGEIFS(INDIRECT("Tabela1["&amp;$B13&amp;"]"),Tabela1[Turno],$D13,Tabela1[Data Corrigida],X$3)/20,"")</f>
        <v/>
      </c>
      <c r="Y13" s="36" t="str">
        <f ca="1">IFERROR(AVERAGEIFS(INDIRECT("Tabela1["&amp;$B13&amp;"]"),Tabela1[Turno],$D13,Tabela1[Data Corrigida],Y$3)/20,"")</f>
        <v/>
      </c>
      <c r="Z13" s="36" t="str">
        <f ca="1">IFERROR(AVERAGEIFS(INDIRECT("Tabela1["&amp;$B13&amp;"]"),Tabela1[Turno],$D13,Tabela1[Data Corrigida],Z$3)/20,"")</f>
        <v/>
      </c>
      <c r="AA13" s="36" t="str">
        <f ca="1">IFERROR(AVERAGEIFS(INDIRECT("Tabela1["&amp;$B13&amp;"]"),Tabela1[Turno],$D13,Tabela1[Data Corrigida],AA$3)/20,"")</f>
        <v/>
      </c>
      <c r="AB13" s="36" t="str">
        <f ca="1">IFERROR(AVERAGEIFS(INDIRECT("Tabela1["&amp;$B13&amp;"]"),Tabela1[Turno],$D13,Tabela1[Data Corrigida],AB$3)/20,"")</f>
        <v/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>
        <f ca="1">IFERROR(AVERAGEIFS(INDIRECT("Tabela1["&amp;$B14&amp;"]"),Tabela1[Mês],N$3)/20,"")</f>
        <v>1.111111111111111E-2</v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2.5000000000000001E-2</v>
      </c>
      <c r="U14" s="38" t="str">
        <f ca="1">IFERROR(AVERAGEIFS(INDIRECT("Tabela1["&amp;$B14&amp;"]"),Tabela1[Data Corrigida],U$3)/20,"")</f>
        <v/>
      </c>
      <c r="V14" s="38" t="str">
        <f ca="1">IFERROR(AVERAGEIFS(INDIRECT("Tabela1["&amp;$B14&amp;"]"),Tabela1[Data Corrigida],V$3)/20,"")</f>
        <v/>
      </c>
      <c r="W14" s="38" t="str">
        <f ca="1">IFERROR(AVERAGEIFS(INDIRECT("Tabela1["&amp;$B14&amp;"]"),Tabela1[Data Corrigida],W$3)/20,"")</f>
        <v/>
      </c>
      <c r="X14" s="38" t="str">
        <f ca="1">IFERROR(AVERAGEIFS(INDIRECT("Tabela1["&amp;$B14&amp;"]"),Tabela1[Data Corrigida],X$3)/20,"")</f>
        <v/>
      </c>
      <c r="Y14" s="38" t="str">
        <f ca="1">IFERROR(AVERAGEIFS(INDIRECT("Tabela1["&amp;$B14&amp;"]"),Tabela1[Data Corrigida],Y$3)/20,"")</f>
        <v/>
      </c>
      <c r="Z14" s="38" t="str">
        <f ca="1">IFERROR(AVERAGEIFS(INDIRECT("Tabela1["&amp;$B14&amp;"]"),Tabela1[Data Corrigida],Z$3)/20,"")</f>
        <v/>
      </c>
      <c r="AA14" s="38" t="str">
        <f ca="1">IFERROR(AVERAGEIFS(INDIRECT("Tabela1["&amp;$B14&amp;"]"),Tabela1[Data Corrigida],AA$3)/20,"")</f>
        <v/>
      </c>
      <c r="AB14" s="38" t="str">
        <f ca="1">IFERROR(AVERAGEIFS(INDIRECT("Tabela1["&amp;$B14&amp;"]"),Tabela1[Data Corrigida],AB$3)/20,"")</f>
        <v/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>
        <f ca="1">IFERROR(AVERAGEIFS(INDIRECT("Tabela1["&amp;$B15&amp;"]"),Tabela1[Turno],$D15,Tabela1[Mês],N$3)/100,"")</f>
        <v>0.02</v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2.2499999999999999E-2</v>
      </c>
      <c r="S15" s="40">
        <f ca="1">IFERROR(AVERAGEIFS(INDIRECT("Tabela1["&amp;$B15&amp;"]"),Tabela1[Turno],$D15,Tabela1[Data Corrigida],S$3)/100,"")</f>
        <v>1.4999999999999999E-2</v>
      </c>
      <c r="T15" s="40">
        <f ca="1">IFERROR(AVERAGEIFS(INDIRECT("Tabela1["&amp;$B15&amp;"]"),Tabela1[Turno],$D15,Tabela1[Data Corrigida],T$3)/100,"")</f>
        <v>0.03</v>
      </c>
      <c r="U15" s="40" t="str">
        <f ca="1">IFERROR(AVERAGEIFS(INDIRECT("Tabela1["&amp;$B15&amp;"]"),Tabela1[Turno],$D15,Tabela1[Data Corrigida],U$3)/100,"")</f>
        <v/>
      </c>
      <c r="V15" s="40" t="str">
        <f ca="1">IFERROR(AVERAGEIFS(INDIRECT("Tabela1["&amp;$B15&amp;"]"),Tabela1[Turno],$D15,Tabela1[Data Corrigida],V$3)/100,"")</f>
        <v/>
      </c>
      <c r="W15" s="40" t="str">
        <f ca="1">IFERROR(AVERAGEIFS(INDIRECT("Tabela1["&amp;$B15&amp;"]"),Tabela1[Turno],$D15,Tabela1[Data Corrigida],W$3)/100,"")</f>
        <v/>
      </c>
      <c r="X15" s="40" t="str">
        <f ca="1">IFERROR(AVERAGEIFS(INDIRECT("Tabela1["&amp;$B15&amp;"]"),Tabela1[Turno],$D15,Tabela1[Data Corrigida],X$3)/100,"")</f>
        <v/>
      </c>
      <c r="Y15" s="40" t="str">
        <f ca="1">IFERROR(AVERAGEIFS(INDIRECT("Tabela1["&amp;$B15&amp;"]"),Tabela1[Turno],$D15,Tabela1[Data Corrigida],Y$3)/100,"")</f>
        <v/>
      </c>
      <c r="Z15" s="40" t="str">
        <f ca="1">IFERROR(AVERAGEIFS(INDIRECT("Tabela1["&amp;$B15&amp;"]"),Tabela1[Turno],$D15,Tabela1[Data Corrigida],Z$3)/100,"")</f>
        <v/>
      </c>
      <c r="AA15" s="40" t="str">
        <f ca="1">IFERROR(AVERAGEIFS(INDIRECT("Tabela1["&amp;$B15&amp;"]"),Tabela1[Turno],$D15,Tabela1[Data Corrigida],AA$3)/100,"")</f>
        <v/>
      </c>
      <c r="AB15" s="40" t="str">
        <f ca="1">IFERROR(AVERAGEIFS(INDIRECT("Tabela1["&amp;$B15&amp;"]"),Tabela1[Turno],$D15,Tabela1[Data Corrigida],AB$3)/100,"")</f>
        <v/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>
        <f ca="1">IFERROR(AVERAGEIFS(INDIRECT("Tabela1["&amp;$B16&amp;"]"),Tabela1[Turno],$D16,Tabela1[Mês],N$3)/100,"")</f>
        <v>1.8888888888888889E-2</v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2.6666666666666665E-2</v>
      </c>
      <c r="S16" s="36">
        <f ca="1">IFERROR(AVERAGEIFS(INDIRECT("Tabela1["&amp;$B16&amp;"]"),Tabela1[Turno],$D16,Tabela1[Data Corrigida],S$3)/100,"")</f>
        <v>1.6666666666666666E-2</v>
      </c>
      <c r="T16" s="36">
        <f ca="1">IFERROR(AVERAGEIFS(INDIRECT("Tabela1["&amp;$B16&amp;"]"),Tabela1[Turno],$D16,Tabela1[Data Corrigida],T$3)/100,"")</f>
        <v>1.3333333333333332E-2</v>
      </c>
      <c r="U16" s="36" t="str">
        <f ca="1">IFERROR(AVERAGEIFS(INDIRECT("Tabela1["&amp;$B16&amp;"]"),Tabela1[Turno],$D16,Tabela1[Data Corrigida],U$3)/100,"")</f>
        <v/>
      </c>
      <c r="V16" s="36" t="str">
        <f ca="1">IFERROR(AVERAGEIFS(INDIRECT("Tabela1["&amp;$B16&amp;"]"),Tabela1[Turno],$D16,Tabela1[Data Corrigida],V$3)/100,"")</f>
        <v/>
      </c>
      <c r="W16" s="36" t="str">
        <f ca="1">IFERROR(AVERAGEIFS(INDIRECT("Tabela1["&amp;$B16&amp;"]"),Tabela1[Turno],$D16,Tabela1[Data Corrigida],W$3)/100,"")</f>
        <v/>
      </c>
      <c r="X16" s="36" t="str">
        <f ca="1">IFERROR(AVERAGEIFS(INDIRECT("Tabela1["&amp;$B16&amp;"]"),Tabela1[Turno],$D16,Tabela1[Data Corrigida],X$3)/100,"")</f>
        <v/>
      </c>
      <c r="Y16" s="36" t="str">
        <f ca="1">IFERROR(AVERAGEIFS(INDIRECT("Tabela1["&amp;$B16&amp;"]"),Tabela1[Turno],$D16,Tabela1[Data Corrigida],Y$3)/100,"")</f>
        <v/>
      </c>
      <c r="Z16" s="36" t="str">
        <f ca="1">IFERROR(AVERAGEIFS(INDIRECT("Tabela1["&amp;$B16&amp;"]"),Tabela1[Turno],$D16,Tabela1[Data Corrigida],Z$3)/100,"")</f>
        <v/>
      </c>
      <c r="AA16" s="36" t="str">
        <f ca="1">IFERROR(AVERAGEIFS(INDIRECT("Tabela1["&amp;$B16&amp;"]"),Tabela1[Turno],$D16,Tabela1[Data Corrigida],AA$3)/100,"")</f>
        <v/>
      </c>
      <c r="AB16" s="36" t="str">
        <f ca="1">IFERROR(AVERAGEIFS(INDIRECT("Tabela1["&amp;$B16&amp;"]"),Tabela1[Turno],$D16,Tabela1[Data Corrigida],AB$3)/100,"")</f>
        <v/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>
        <f ca="1">IFERROR(AVERAGEIFS(INDIRECT("Tabela1["&amp;$B17&amp;"]"),Tabela1[Mês],N$3)/100,"")</f>
        <v>1.9444444444444445E-2</v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2.4285714285714285E-2</v>
      </c>
      <c r="S17" s="43">
        <f ca="1">IFERROR(AVERAGEIFS(INDIRECT("Tabela1["&amp;$B17&amp;"]"),Tabela1[Data Corrigida],S$3)/100,"")</f>
        <v>1.5714285714285715E-2</v>
      </c>
      <c r="T17" s="43">
        <f ca="1">IFERROR(AVERAGEIFS(INDIRECT("Tabela1["&amp;$B17&amp;"]"),Tabela1[Data Corrigida],T$3)/100,"")</f>
        <v>1.7500000000000002E-2</v>
      </c>
      <c r="U17" s="43" t="str">
        <f ca="1">IFERROR(AVERAGEIFS(INDIRECT("Tabela1["&amp;$B17&amp;"]"),Tabela1[Data Corrigida],U$3)/100,"")</f>
        <v/>
      </c>
      <c r="V17" s="43" t="str">
        <f ca="1">IFERROR(AVERAGEIFS(INDIRECT("Tabela1["&amp;$B17&amp;"]"),Tabela1[Data Corrigida],V$3)/100,"")</f>
        <v/>
      </c>
      <c r="W17" s="43" t="str">
        <f ca="1">IFERROR(AVERAGEIFS(INDIRECT("Tabela1["&amp;$B17&amp;"]"),Tabela1[Data Corrigida],W$3)/100,"")</f>
        <v/>
      </c>
      <c r="X17" s="43" t="str">
        <f ca="1">IFERROR(AVERAGEIFS(INDIRECT("Tabela1["&amp;$B17&amp;"]"),Tabela1[Data Corrigida],X$3)/100,"")</f>
        <v/>
      </c>
      <c r="Y17" s="43" t="str">
        <f ca="1">IFERROR(AVERAGEIFS(INDIRECT("Tabela1["&amp;$B17&amp;"]"),Tabela1[Data Corrigida],Y$3)/100,"")</f>
        <v/>
      </c>
      <c r="Z17" s="43" t="str">
        <f ca="1">IFERROR(AVERAGEIFS(INDIRECT("Tabela1["&amp;$B17&amp;"]"),Tabela1[Data Corrigida],Z$3)/100,"")</f>
        <v/>
      </c>
      <c r="AA17" s="43" t="str">
        <f ca="1">IFERROR(AVERAGEIFS(INDIRECT("Tabela1["&amp;$B17&amp;"]"),Tabela1[Data Corrigida],AA$3)/100,"")</f>
        <v/>
      </c>
      <c r="AB17" s="43" t="str">
        <f ca="1">IFERROR(AVERAGEIFS(INDIRECT("Tabela1["&amp;$B17&amp;"]"),Tabela1[Data Corrigida],AB$3)/100,"")</f>
        <v/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>
        <f ca="1">IFERROR(AVERAGEIFS(INDIRECT("Tabela1["&amp;$B18&amp;"]"),Tabela1[Turno],$D18,Tabela1[Mês],N$3)/20,"")</f>
        <v>5.5555555555555549E-3</v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1.2500000000000001E-2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 t="str">
        <f ca="1">IFERROR(AVERAGEIFS(INDIRECT("Tabela1["&amp;$B18&amp;"]"),Tabela1[Turno],$D18,Tabela1[Data Corrigida],U$3)/20,"")</f>
        <v/>
      </c>
      <c r="V18" s="34" t="str">
        <f ca="1">IFERROR(AVERAGEIFS(INDIRECT("Tabela1["&amp;$B18&amp;"]"),Tabela1[Turno],$D18,Tabela1[Data Corrigida],V$3)/20,"")</f>
        <v/>
      </c>
      <c r="W18" s="34" t="str">
        <f ca="1">IFERROR(AVERAGEIFS(INDIRECT("Tabela1["&amp;$B18&amp;"]"),Tabela1[Turno],$D18,Tabela1[Data Corrigida],W$3)/20,"")</f>
        <v/>
      </c>
      <c r="X18" s="34" t="str">
        <f ca="1">IFERROR(AVERAGEIFS(INDIRECT("Tabela1["&amp;$B18&amp;"]"),Tabela1[Turno],$D18,Tabela1[Data Corrigida],X$3)/20,"")</f>
        <v/>
      </c>
      <c r="Y18" s="34" t="str">
        <f ca="1">IFERROR(AVERAGEIFS(INDIRECT("Tabela1["&amp;$B18&amp;"]"),Tabela1[Turno],$D18,Tabela1[Data Corrigida],Y$3)/20,"")</f>
        <v/>
      </c>
      <c r="Z18" s="34" t="str">
        <f ca="1">IFERROR(AVERAGEIFS(INDIRECT("Tabela1["&amp;$B18&amp;"]"),Tabela1[Turno],$D18,Tabela1[Data Corrigida],Z$3)/20,"")</f>
        <v/>
      </c>
      <c r="AA18" s="34" t="str">
        <f ca="1">IFERROR(AVERAGEIFS(INDIRECT("Tabela1["&amp;$B18&amp;"]"),Tabela1[Turno],$D18,Tabela1[Data Corrigida],AA$3)/20,"")</f>
        <v/>
      </c>
      <c r="AB18" s="34" t="str">
        <f ca="1">IFERROR(AVERAGEIFS(INDIRECT("Tabela1["&amp;$B18&amp;"]"),Tabela1[Turno],$D18,Tabela1[Data Corrigida],AB$3)/20,"")</f>
        <v/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>
        <f ca="1">IFERROR(AVERAGEIFS(INDIRECT("Tabela1["&amp;$B19&amp;"]"),Tabela1[Turno],$D19,Tabela1[Mês],N$3)/20,"")</f>
        <v>1.111111111111111E-2</v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1.6666666666666666E-2</v>
      </c>
      <c r="U19" s="36" t="str">
        <f ca="1">IFERROR(AVERAGEIFS(INDIRECT("Tabela1["&amp;$B19&amp;"]"),Tabela1[Turno],$D19,Tabela1[Data Corrigida],U$3)/20,"")</f>
        <v/>
      </c>
      <c r="V19" s="36" t="str">
        <f ca="1">IFERROR(AVERAGEIFS(INDIRECT("Tabela1["&amp;$B19&amp;"]"),Tabela1[Turno],$D19,Tabela1[Data Corrigida],V$3)/20,"")</f>
        <v/>
      </c>
      <c r="W19" s="36" t="str">
        <f ca="1">IFERROR(AVERAGEIFS(INDIRECT("Tabela1["&amp;$B19&amp;"]"),Tabela1[Turno],$D19,Tabela1[Data Corrigida],W$3)/20,"")</f>
        <v/>
      </c>
      <c r="X19" s="36" t="str">
        <f ca="1">IFERROR(AVERAGEIFS(INDIRECT("Tabela1["&amp;$B19&amp;"]"),Tabela1[Turno],$D19,Tabela1[Data Corrigida],X$3)/20,"")</f>
        <v/>
      </c>
      <c r="Y19" s="36" t="str">
        <f ca="1">IFERROR(AVERAGEIFS(INDIRECT("Tabela1["&amp;$B19&amp;"]"),Tabela1[Turno],$D19,Tabela1[Data Corrigida],Y$3)/20,"")</f>
        <v/>
      </c>
      <c r="Z19" s="36" t="str">
        <f ca="1">IFERROR(AVERAGEIFS(INDIRECT("Tabela1["&amp;$B19&amp;"]"),Tabela1[Turno],$D19,Tabela1[Data Corrigida],Z$3)/20,"")</f>
        <v/>
      </c>
      <c r="AA19" s="36" t="str">
        <f ca="1">IFERROR(AVERAGEIFS(INDIRECT("Tabela1["&amp;$B19&amp;"]"),Tabela1[Turno],$D19,Tabela1[Data Corrigida],AA$3)/20,"")</f>
        <v/>
      </c>
      <c r="AB19" s="36" t="str">
        <f ca="1">IFERROR(AVERAGEIFS(INDIRECT("Tabela1["&amp;$B19&amp;"]"),Tabela1[Turno],$D19,Tabela1[Data Corrigida],AB$3)/20,"")</f>
        <v/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>
        <f ca="1">IFERROR(AVERAGEIFS(INDIRECT("Tabela1["&amp;$B20&amp;"]"),Tabela1[Mês],N$3)/20,"")</f>
        <v>8.3333333333333332E-3</v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1.4285714285714285E-2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1.2500000000000001E-2</v>
      </c>
      <c r="U20" s="38" t="str">
        <f ca="1">IFERROR(AVERAGEIFS(INDIRECT("Tabela1["&amp;$B20&amp;"]"),Tabela1[Data Corrigida],U$3)/20,"")</f>
        <v/>
      </c>
      <c r="V20" s="38" t="str">
        <f ca="1">IFERROR(AVERAGEIFS(INDIRECT("Tabela1["&amp;$B20&amp;"]"),Tabela1[Data Corrigida],V$3)/20,"")</f>
        <v/>
      </c>
      <c r="W20" s="38" t="str">
        <f ca="1">IFERROR(AVERAGEIFS(INDIRECT("Tabela1["&amp;$B20&amp;"]"),Tabela1[Data Corrigida],W$3)/20,"")</f>
        <v/>
      </c>
      <c r="X20" s="38" t="str">
        <f ca="1">IFERROR(AVERAGEIFS(INDIRECT("Tabela1["&amp;$B20&amp;"]"),Tabela1[Data Corrigida],X$3)/20,"")</f>
        <v/>
      </c>
      <c r="Y20" s="38" t="str">
        <f ca="1">IFERROR(AVERAGEIFS(INDIRECT("Tabela1["&amp;$B20&amp;"]"),Tabela1[Data Corrigida],Y$3)/20,"")</f>
        <v/>
      </c>
      <c r="Z20" s="38" t="str">
        <f ca="1">IFERROR(AVERAGEIFS(INDIRECT("Tabela1["&amp;$B20&amp;"]"),Tabela1[Data Corrigida],Z$3)/20,"")</f>
        <v/>
      </c>
      <c r="AA20" s="38" t="str">
        <f ca="1">IFERROR(AVERAGEIFS(INDIRECT("Tabela1["&amp;$B20&amp;"]"),Tabela1[Data Corrigida],AA$3)/20,"")</f>
        <v/>
      </c>
      <c r="AB20" s="38" t="str">
        <f ca="1">IFERROR(AVERAGEIFS(INDIRECT("Tabela1["&amp;$B20&amp;"]"),Tabela1[Data Corrigida],AB$3)/20,"")</f>
        <v/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>
        <f ca="1">IFERROR(AVERAGEIFS(INDIRECT("Tabela1["&amp;$B21&amp;"]"),Tabela1[Turno],$D21,Tabela1[Mês],N$3)/100,"")</f>
        <v>1.285736903358556E-2</v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1.4751552795031056E-2</v>
      </c>
      <c r="S21" s="40">
        <f ca="1">IFERROR(AVERAGEIFS(INDIRECT("Tabela1["&amp;$B21&amp;"]"),Tabela1[Turno],$D21,Tabela1[Data Corrigida],S$3)/100,"")</f>
        <v>1.0972399325408251E-2</v>
      </c>
      <c r="T21" s="40">
        <f ca="1">IFERROR(AVERAGEIFS(INDIRECT("Tabela1["&amp;$B21&amp;"]"),Tabela1[Turno],$D21,Tabela1[Data Corrigida],T$3)/100,"")</f>
        <v>1.282051282051282E-2</v>
      </c>
      <c r="U21" s="40" t="str">
        <f ca="1">IFERROR(AVERAGEIFS(INDIRECT("Tabela1["&amp;$B21&amp;"]"),Tabela1[Turno],$D21,Tabela1[Data Corrigida],U$3)/100,"")</f>
        <v/>
      </c>
      <c r="V21" s="40" t="str">
        <f ca="1">IFERROR(AVERAGEIFS(INDIRECT("Tabela1["&amp;$B21&amp;"]"),Tabela1[Turno],$D21,Tabela1[Data Corrigida],V$3)/100,"")</f>
        <v/>
      </c>
      <c r="W21" s="40" t="str">
        <f ca="1">IFERROR(AVERAGEIFS(INDIRECT("Tabela1["&amp;$B21&amp;"]"),Tabela1[Turno],$D21,Tabela1[Data Corrigida],W$3)/100,"")</f>
        <v/>
      </c>
      <c r="X21" s="40" t="str">
        <f ca="1">IFERROR(AVERAGEIFS(INDIRECT("Tabela1["&amp;$B21&amp;"]"),Tabela1[Turno],$D21,Tabela1[Data Corrigida],X$3)/100,"")</f>
        <v/>
      </c>
      <c r="Y21" s="40" t="str">
        <f ca="1">IFERROR(AVERAGEIFS(INDIRECT("Tabela1["&amp;$B21&amp;"]"),Tabela1[Turno],$D21,Tabela1[Data Corrigida],Y$3)/100,"")</f>
        <v/>
      </c>
      <c r="Z21" s="40" t="str">
        <f ca="1">IFERROR(AVERAGEIFS(INDIRECT("Tabela1["&amp;$B21&amp;"]"),Tabela1[Turno],$D21,Tabela1[Data Corrigida],Z$3)/100,"")</f>
        <v/>
      </c>
      <c r="AA21" s="40" t="str">
        <f ca="1">IFERROR(AVERAGEIFS(INDIRECT("Tabela1["&amp;$B21&amp;"]"),Tabela1[Turno],$D21,Tabela1[Data Corrigida],AA$3)/100,"")</f>
        <v/>
      </c>
      <c r="AB21" s="40" t="str">
        <f ca="1">IFERROR(AVERAGEIFS(INDIRECT("Tabela1["&amp;$B21&amp;"]"),Tabela1[Turno],$D21,Tabela1[Data Corrigida],AB$3)/100,"")</f>
        <v/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>
        <f ca="1">IFERROR(AVERAGEIFS(INDIRECT("Tabela1["&amp;$B22&amp;"]"),Tabela1[Turno],$D22,Tabela1[Mês],N$3)/100,"")</f>
        <v>1.6617916325085212E-2</v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1.6384541384541384E-2</v>
      </c>
      <c r="S22" s="36">
        <f ca="1">IFERROR(AVERAGEIFS(INDIRECT("Tabela1["&amp;$B22&amp;"]"),Tabela1[Turno],$D22,Tabela1[Data Corrigida],S$3)/100,"")</f>
        <v>1.6298169596520421E-2</v>
      </c>
      <c r="T22" s="36">
        <f ca="1">IFERROR(AVERAGEIFS(INDIRECT("Tabela1["&amp;$B22&amp;"]"),Tabela1[Turno],$D22,Tabela1[Data Corrigida],T$3)/100,"")</f>
        <v>1.7171037994193832E-2</v>
      </c>
      <c r="U22" s="36" t="str">
        <f ca="1">IFERROR(AVERAGEIFS(INDIRECT("Tabela1["&amp;$B22&amp;"]"),Tabela1[Turno],$D22,Tabela1[Data Corrigida],U$3)/100,"")</f>
        <v/>
      </c>
      <c r="V22" s="36" t="str">
        <f ca="1">IFERROR(AVERAGEIFS(INDIRECT("Tabela1["&amp;$B22&amp;"]"),Tabela1[Turno],$D22,Tabela1[Data Corrigida],V$3)/100,"")</f>
        <v/>
      </c>
      <c r="W22" s="36" t="str">
        <f ca="1">IFERROR(AVERAGEIFS(INDIRECT("Tabela1["&amp;$B22&amp;"]"),Tabela1[Turno],$D22,Tabela1[Data Corrigida],W$3)/100,"")</f>
        <v/>
      </c>
      <c r="X22" s="36" t="str">
        <f ca="1">IFERROR(AVERAGEIFS(INDIRECT("Tabela1["&amp;$B22&amp;"]"),Tabela1[Turno],$D22,Tabela1[Data Corrigida],X$3)/100,"")</f>
        <v/>
      </c>
      <c r="Y22" s="36" t="str">
        <f ca="1">IFERROR(AVERAGEIFS(INDIRECT("Tabela1["&amp;$B22&amp;"]"),Tabela1[Turno],$D22,Tabela1[Data Corrigida],Y$3)/100,"")</f>
        <v/>
      </c>
      <c r="Z22" s="36" t="str">
        <f ca="1">IFERROR(AVERAGEIFS(INDIRECT("Tabela1["&amp;$B22&amp;"]"),Tabela1[Turno],$D22,Tabela1[Data Corrigida],Z$3)/100,"")</f>
        <v/>
      </c>
      <c r="AA22" s="36" t="str">
        <f ca="1">IFERROR(AVERAGEIFS(INDIRECT("Tabela1["&amp;$B22&amp;"]"),Tabela1[Turno],$D22,Tabela1[Data Corrigida],AA$3)/100,"")</f>
        <v/>
      </c>
      <c r="AB22" s="36" t="str">
        <f ca="1">IFERROR(AVERAGEIFS(INDIRECT("Tabela1["&amp;$B22&amp;"]"),Tabela1[Turno],$D22,Tabela1[Data Corrigida],AB$3)/100,"")</f>
        <v/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>
        <f ca="1">IFERROR(AVERAGEIFS(INDIRECT("Tabela1["&amp;$B23&amp;"]"),Tabela1[Mês],N$3)/100,"")</f>
        <v>1.4737642679335387E-2</v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1.545140504767834E-2</v>
      </c>
      <c r="S23" s="38">
        <f ca="1">IFERROR(AVERAGEIFS(INDIRECT("Tabela1["&amp;$B23&amp;"]"),Tabela1[Data Corrigida],S$3)/100,"")</f>
        <v>1.3254872298742037E-2</v>
      </c>
      <c r="T23" s="38">
        <f ca="1">IFERROR(AVERAGEIFS(INDIRECT("Tabela1["&amp;$B23&amp;"]"),Tabela1[Data Corrigida],T$3)/100,"")</f>
        <v>1.608340670077358E-2</v>
      </c>
      <c r="U23" s="38" t="str">
        <f ca="1">IFERROR(AVERAGEIFS(INDIRECT("Tabela1["&amp;$B23&amp;"]"),Tabela1[Data Corrigida],U$3)/100,"")</f>
        <v/>
      </c>
      <c r="V23" s="38" t="str">
        <f ca="1">IFERROR(AVERAGEIFS(INDIRECT("Tabela1["&amp;$B23&amp;"]"),Tabela1[Data Corrigida],V$3)/100,"")</f>
        <v/>
      </c>
      <c r="W23" s="38" t="str">
        <f ca="1">IFERROR(AVERAGEIFS(INDIRECT("Tabela1["&amp;$B23&amp;"]"),Tabela1[Data Corrigida],W$3)/100,"")</f>
        <v/>
      </c>
      <c r="X23" s="38" t="str">
        <f ca="1">IFERROR(AVERAGEIFS(INDIRECT("Tabela1["&amp;$B23&amp;"]"),Tabela1[Data Corrigida],X$3)/100,"")</f>
        <v/>
      </c>
      <c r="Y23" s="38" t="str">
        <f ca="1">IFERROR(AVERAGEIFS(INDIRECT("Tabela1["&amp;$B23&amp;"]"),Tabela1[Data Corrigida],Y$3)/100,"")</f>
        <v/>
      </c>
      <c r="Z23" s="38" t="str">
        <f ca="1">IFERROR(AVERAGEIFS(INDIRECT("Tabela1["&amp;$B23&amp;"]"),Tabela1[Data Corrigida],Z$3)/100,"")</f>
        <v/>
      </c>
      <c r="AA23" s="38" t="str">
        <f ca="1">IFERROR(AVERAGEIFS(INDIRECT("Tabela1["&amp;$B23&amp;"]"),Tabela1[Data Corrigida],AA$3)/100,"")</f>
        <v/>
      </c>
      <c r="AB23" s="38" t="str">
        <f ca="1">IFERROR(AVERAGEIFS(INDIRECT("Tabela1["&amp;$B23&amp;"]"),Tabela1[Data Corrigida],AB$3)/100,"")</f>
        <v/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>
        <f ca="1">IFERROR(AVERAGEIFS(INDIRECT("Tabela1["&amp;$B24&amp;"]"),Tabela1[Turno],$D24,Tabela1[Mês],N$3)/100,"")</f>
        <v>1.8146880153790609E-2</v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1.7080745341614904E-2</v>
      </c>
      <c r="S24" s="34">
        <f ca="1">IFERROR(AVERAGEIFS(INDIRECT("Tabela1["&amp;$B24&amp;"]"),Tabela1[Turno],$D24,Tabela1[Data Corrigida],S$3)/100,"")</f>
        <v>1.8942042696721648E-2</v>
      </c>
      <c r="T24" s="34">
        <f ca="1">IFERROR(AVERAGEIFS(INDIRECT("Tabela1["&amp;$B24&amp;"]"),Tabela1[Turno],$D24,Tabela1[Data Corrigida],T$3)/100,"")</f>
        <v>1.9230769230769232E-2</v>
      </c>
      <c r="U24" s="34" t="str">
        <f ca="1">IFERROR(AVERAGEIFS(INDIRECT("Tabela1["&amp;$B24&amp;"]"),Tabela1[Turno],$D24,Tabela1[Data Corrigida],U$3)/100,"")</f>
        <v/>
      </c>
      <c r="V24" s="34" t="str">
        <f ca="1">IFERROR(AVERAGEIFS(INDIRECT("Tabela1["&amp;$B24&amp;"]"),Tabela1[Turno],$D24,Tabela1[Data Corrigida],V$3)/100,"")</f>
        <v/>
      </c>
      <c r="W24" s="34" t="str">
        <f ca="1">IFERROR(AVERAGEIFS(INDIRECT("Tabela1["&amp;$B24&amp;"]"),Tabela1[Turno],$D24,Tabela1[Data Corrigida],W$3)/100,"")</f>
        <v/>
      </c>
      <c r="X24" s="34" t="str">
        <f ca="1">IFERROR(AVERAGEIFS(INDIRECT("Tabela1["&amp;$B24&amp;"]"),Tabela1[Turno],$D24,Tabela1[Data Corrigida],X$3)/100,"")</f>
        <v/>
      </c>
      <c r="Y24" s="34" t="str">
        <f ca="1">IFERROR(AVERAGEIFS(INDIRECT("Tabela1["&amp;$B24&amp;"]"),Tabela1[Turno],$D24,Tabela1[Data Corrigida],Y$3)/100,"")</f>
        <v/>
      </c>
      <c r="Z24" s="34" t="str">
        <f ca="1">IFERROR(AVERAGEIFS(INDIRECT("Tabela1["&amp;$B24&amp;"]"),Tabela1[Turno],$D24,Tabela1[Data Corrigida],Z$3)/100,"")</f>
        <v/>
      </c>
      <c r="AA24" s="34" t="str">
        <f ca="1">IFERROR(AVERAGEIFS(INDIRECT("Tabela1["&amp;$B24&amp;"]"),Tabela1[Turno],$D24,Tabela1[Data Corrigida],AA$3)/100,"")</f>
        <v/>
      </c>
      <c r="AB24" s="34" t="str">
        <f ca="1">IFERROR(AVERAGEIFS(INDIRECT("Tabela1["&amp;$B24&amp;"]"),Tabela1[Turno],$D24,Tabela1[Data Corrigida],AB$3)/100,"")</f>
        <v/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>
        <f ca="1">IFERROR(AVERAGEIFS(INDIRECT("Tabela1["&amp;$B25&amp;"]"),Tabela1[Turno],$D25,Tabela1[Mês],N$3)/100,"")</f>
        <v>1.6084561879361109E-2</v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1.4783364783364783E-2</v>
      </c>
      <c r="S25" s="36">
        <f ca="1">IFERROR(AVERAGEIFS(INDIRECT("Tabela1["&amp;$B25&amp;"]"),Tabela1[Turno],$D25,Tabela1[Data Corrigida],S$3)/100,"")</f>
        <v>9.1511021046253426E-3</v>
      </c>
      <c r="T25" s="36">
        <f ca="1">IFERROR(AVERAGEIFS(INDIRECT("Tabela1["&amp;$B25&amp;"]"),Tabela1[Turno],$D25,Tabela1[Data Corrigida],T$3)/100,"")</f>
        <v>2.4319218750093196E-2</v>
      </c>
      <c r="U25" s="36" t="str">
        <f ca="1">IFERROR(AVERAGEIFS(INDIRECT("Tabela1["&amp;$B25&amp;"]"),Tabela1[Turno],$D25,Tabela1[Data Corrigida],U$3)/100,"")</f>
        <v/>
      </c>
      <c r="V25" s="36" t="str">
        <f ca="1">IFERROR(AVERAGEIFS(INDIRECT("Tabela1["&amp;$B25&amp;"]"),Tabela1[Turno],$D25,Tabela1[Data Corrigida],V$3)/100,"")</f>
        <v/>
      </c>
      <c r="W25" s="36" t="str">
        <f ca="1">IFERROR(AVERAGEIFS(INDIRECT("Tabela1["&amp;$B25&amp;"]"),Tabela1[Turno],$D25,Tabela1[Data Corrigida],W$3)/100,"")</f>
        <v/>
      </c>
      <c r="X25" s="36" t="str">
        <f ca="1">IFERROR(AVERAGEIFS(INDIRECT("Tabela1["&amp;$B25&amp;"]"),Tabela1[Turno],$D25,Tabela1[Data Corrigida],X$3)/100,"")</f>
        <v/>
      </c>
      <c r="Y25" s="36" t="str">
        <f ca="1">IFERROR(AVERAGEIFS(INDIRECT("Tabela1["&amp;$B25&amp;"]"),Tabela1[Turno],$D25,Tabela1[Data Corrigida],Y$3)/100,"")</f>
        <v/>
      </c>
      <c r="Z25" s="36" t="str">
        <f ca="1">IFERROR(AVERAGEIFS(INDIRECT("Tabela1["&amp;$B25&amp;"]"),Tabela1[Turno],$D25,Tabela1[Data Corrigida],Z$3)/100,"")</f>
        <v/>
      </c>
      <c r="AA25" s="36" t="str">
        <f ca="1">IFERROR(AVERAGEIFS(INDIRECT("Tabela1["&amp;$B25&amp;"]"),Tabela1[Turno],$D25,Tabela1[Data Corrigida],AA$3)/100,"")</f>
        <v/>
      </c>
      <c r="AB25" s="36" t="str">
        <f ca="1">IFERROR(AVERAGEIFS(INDIRECT("Tabela1["&amp;$B25&amp;"]"),Tabela1[Turno],$D25,Tabela1[Data Corrigida],AB$3)/100,"")</f>
        <v/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>
        <f ca="1">IFERROR(AVERAGEIFS(INDIRECT("Tabela1["&amp;$B26&amp;"]"),Tabela1[Mês],N$3)/100,"")</f>
        <v>1.7115721016575856E-2</v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1.6096153673793426E-2</v>
      </c>
      <c r="S26" s="38">
        <f ca="1">IFERROR(AVERAGEIFS(INDIRECT("Tabela1["&amp;$B26&amp;"]"),Tabela1[Data Corrigida],S$3)/100,"")</f>
        <v>1.4745925300108948E-2</v>
      </c>
      <c r="T26" s="38">
        <f ca="1">IFERROR(AVERAGEIFS(INDIRECT("Tabela1["&amp;$B26&amp;"]"),Tabela1[Data Corrigida],T$3)/100,"")</f>
        <v>2.3047106370262208E-2</v>
      </c>
      <c r="U26" s="38" t="str">
        <f ca="1">IFERROR(AVERAGEIFS(INDIRECT("Tabela1["&amp;$B26&amp;"]"),Tabela1[Data Corrigida],U$3)/100,"")</f>
        <v/>
      </c>
      <c r="V26" s="38" t="str">
        <f ca="1">IFERROR(AVERAGEIFS(INDIRECT("Tabela1["&amp;$B26&amp;"]"),Tabela1[Data Corrigida],V$3)/100,"")</f>
        <v/>
      </c>
      <c r="W26" s="38" t="str">
        <f ca="1">IFERROR(AVERAGEIFS(INDIRECT("Tabela1["&amp;$B26&amp;"]"),Tabela1[Data Corrigida],W$3)/100,"")</f>
        <v/>
      </c>
      <c r="X26" s="38" t="str">
        <f ca="1">IFERROR(AVERAGEIFS(INDIRECT("Tabela1["&amp;$B26&amp;"]"),Tabela1[Data Corrigida],X$3)/100,"")</f>
        <v/>
      </c>
      <c r="Y26" s="38" t="str">
        <f ca="1">IFERROR(AVERAGEIFS(INDIRECT("Tabela1["&amp;$B26&amp;"]"),Tabela1[Data Corrigida],Y$3)/100,"")</f>
        <v/>
      </c>
      <c r="Z26" s="38" t="str">
        <f ca="1">IFERROR(AVERAGEIFS(INDIRECT("Tabela1["&amp;$B26&amp;"]"),Tabela1[Data Corrigida],Z$3)/100,"")</f>
        <v/>
      </c>
      <c r="AA26" s="38" t="str">
        <f ca="1">IFERROR(AVERAGEIFS(INDIRECT("Tabela1["&amp;$B26&amp;"]"),Tabela1[Data Corrigida],AA$3)/100,"")</f>
        <v/>
      </c>
      <c r="AB26" s="38" t="str">
        <f ca="1">IFERROR(AVERAGEIFS(INDIRECT("Tabela1["&amp;$B26&amp;"]"),Tabela1[Data Corrigida],AB$3)/100,"")</f>
        <v/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>
        <f ca="1">IFERROR(AVERAGEIFS(INDIRECT("Tabela1["&amp;$B27&amp;"]"),Tabela1[Turno],$D27,Tabela1[Mês],N$3)/100,"")</f>
        <v>2.1839210580932434E-3</v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0</v>
      </c>
      <c r="S27" s="40">
        <f ca="1">IFERROR(AVERAGEIFS(INDIRECT("Tabela1["&amp;$B27&amp;"]"),Tabela1[Turno],$D27,Tabela1[Data Corrigida],S$3)/100,"")</f>
        <v>3.3112582781456958E-3</v>
      </c>
      <c r="T27" s="40">
        <f ca="1">IFERROR(AVERAGEIFS(INDIRECT("Tabela1["&amp;$B27&amp;"]"),Tabela1[Turno],$D27,Tabela1[Data Corrigida],T$3)/100,"")</f>
        <v>6.41025641025641E-3</v>
      </c>
      <c r="U27" s="40" t="str">
        <f ca="1">IFERROR(AVERAGEIFS(INDIRECT("Tabela1["&amp;$B27&amp;"]"),Tabela1[Turno],$D27,Tabela1[Data Corrigida],U$3)/100,"")</f>
        <v/>
      </c>
      <c r="V27" s="40" t="str">
        <f ca="1">IFERROR(AVERAGEIFS(INDIRECT("Tabela1["&amp;$B27&amp;"]"),Tabela1[Turno],$D27,Tabela1[Data Corrigida],V$3)/100,"")</f>
        <v/>
      </c>
      <c r="W27" s="40" t="str">
        <f ca="1">IFERROR(AVERAGEIFS(INDIRECT("Tabela1["&amp;$B27&amp;"]"),Tabela1[Turno],$D27,Tabela1[Data Corrigida],W$3)/100,"")</f>
        <v/>
      </c>
      <c r="X27" s="40" t="str">
        <f ca="1">IFERROR(AVERAGEIFS(INDIRECT("Tabela1["&amp;$B27&amp;"]"),Tabela1[Turno],$D27,Tabela1[Data Corrigida],X$3)/100,"")</f>
        <v/>
      </c>
      <c r="Y27" s="40" t="str">
        <f ca="1">IFERROR(AVERAGEIFS(INDIRECT("Tabela1["&amp;$B27&amp;"]"),Tabela1[Turno],$D27,Tabela1[Data Corrigida],Y$3)/100,"")</f>
        <v/>
      </c>
      <c r="Z27" s="40" t="str">
        <f ca="1">IFERROR(AVERAGEIFS(INDIRECT("Tabela1["&amp;$B27&amp;"]"),Tabela1[Turno],$D27,Tabela1[Data Corrigida],Z$3)/100,"")</f>
        <v/>
      </c>
      <c r="AA27" s="40" t="str">
        <f ca="1">IFERROR(AVERAGEIFS(INDIRECT("Tabela1["&amp;$B27&amp;"]"),Tabela1[Turno],$D27,Tabela1[Data Corrigida],AA$3)/100,"")</f>
        <v/>
      </c>
      <c r="AB27" s="40" t="str">
        <f ca="1">IFERROR(AVERAGEIFS(INDIRECT("Tabela1["&amp;$B27&amp;"]"),Tabela1[Turno],$D27,Tabela1[Data Corrigida],AB$3)/100,"")</f>
        <v/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>
        <f ca="1">IFERROR(AVERAGEIFS(INDIRECT("Tabela1["&amp;$B28&amp;"]"),Tabela1[Turno],$D28,Tabela1[Mês],N$3)/100,"")</f>
        <v>0</v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 t="str">
        <f ca="1">IFERROR(AVERAGEIFS(INDIRECT("Tabela1["&amp;$B28&amp;"]"),Tabela1[Turno],$D28,Tabela1[Data Corrigida],U$3)/100,"")</f>
        <v/>
      </c>
      <c r="V28" s="36" t="str">
        <f ca="1">IFERROR(AVERAGEIFS(INDIRECT("Tabela1["&amp;$B28&amp;"]"),Tabela1[Turno],$D28,Tabela1[Data Corrigida],V$3)/100,"")</f>
        <v/>
      </c>
      <c r="W28" s="36" t="str">
        <f ca="1">IFERROR(AVERAGEIFS(INDIRECT("Tabela1["&amp;$B28&amp;"]"),Tabela1[Turno],$D28,Tabela1[Data Corrigida],W$3)/100,"")</f>
        <v/>
      </c>
      <c r="X28" s="36" t="str">
        <f ca="1">IFERROR(AVERAGEIFS(INDIRECT("Tabela1["&amp;$B28&amp;"]"),Tabela1[Turno],$D28,Tabela1[Data Corrigida],X$3)/100,"")</f>
        <v/>
      </c>
      <c r="Y28" s="36" t="str">
        <f ca="1">IFERROR(AVERAGEIFS(INDIRECT("Tabela1["&amp;$B28&amp;"]"),Tabela1[Turno],$D28,Tabela1[Data Corrigida],Y$3)/100,"")</f>
        <v/>
      </c>
      <c r="Z28" s="36" t="str">
        <f ca="1">IFERROR(AVERAGEIFS(INDIRECT("Tabela1["&amp;$B28&amp;"]"),Tabela1[Turno],$D28,Tabela1[Data Corrigida],Z$3)/100,"")</f>
        <v/>
      </c>
      <c r="AA28" s="36" t="str">
        <f ca="1">IFERROR(AVERAGEIFS(INDIRECT("Tabela1["&amp;$B28&amp;"]"),Tabela1[Turno],$D28,Tabela1[Data Corrigida],AA$3)/100,"")</f>
        <v/>
      </c>
      <c r="AB28" s="36" t="str">
        <f ca="1">IFERROR(AVERAGEIFS(INDIRECT("Tabela1["&amp;$B28&amp;"]"),Tabela1[Turno],$D28,Tabela1[Data Corrigida],AB$3)/100,"")</f>
        <v/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>
        <f ca="1">IFERROR(AVERAGEIFS(INDIRECT("Tabela1["&amp;$B29&amp;"]"),Tabela1[Mês],N$3)/100,"")</f>
        <v>1.0919605290466217E-3</v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0</v>
      </c>
      <c r="S29" s="43">
        <f ca="1">IFERROR(AVERAGEIFS(INDIRECT("Tabela1["&amp;$B29&amp;"]"),Tabela1[Data Corrigida],S$3)/100,"")</f>
        <v>1.8921475875118259E-3</v>
      </c>
      <c r="T29" s="43">
        <f ca="1">IFERROR(AVERAGEIFS(INDIRECT("Tabela1["&amp;$B29&amp;"]"),Tabela1[Data Corrigida],T$3)/100,"")</f>
        <v>1.6025641025641025E-3</v>
      </c>
      <c r="U29" s="43" t="str">
        <f ca="1">IFERROR(AVERAGEIFS(INDIRECT("Tabela1["&amp;$B29&amp;"]"),Tabela1[Data Corrigida],U$3)/100,"")</f>
        <v/>
      </c>
      <c r="V29" s="43" t="str">
        <f ca="1">IFERROR(AVERAGEIFS(INDIRECT("Tabela1["&amp;$B29&amp;"]"),Tabela1[Data Corrigida],V$3)/100,"")</f>
        <v/>
      </c>
      <c r="W29" s="43" t="str">
        <f ca="1">IFERROR(AVERAGEIFS(INDIRECT("Tabela1["&amp;$B29&amp;"]"),Tabela1[Data Corrigida],W$3)/100,"")</f>
        <v/>
      </c>
      <c r="X29" s="43" t="str">
        <f ca="1">IFERROR(AVERAGEIFS(INDIRECT("Tabela1["&amp;$B29&amp;"]"),Tabela1[Data Corrigida],X$3)/100,"")</f>
        <v/>
      </c>
      <c r="Y29" s="43" t="str">
        <f ca="1">IFERROR(AVERAGEIFS(INDIRECT("Tabela1["&amp;$B29&amp;"]"),Tabela1[Data Corrigida],Y$3)/100,"")</f>
        <v/>
      </c>
      <c r="Z29" s="43" t="str">
        <f ca="1">IFERROR(AVERAGEIFS(INDIRECT("Tabela1["&amp;$B29&amp;"]"),Tabela1[Data Corrigida],Z$3)/100,"")</f>
        <v/>
      </c>
      <c r="AA29" s="43" t="str">
        <f ca="1">IFERROR(AVERAGEIFS(INDIRECT("Tabela1["&amp;$B29&amp;"]"),Tabela1[Data Corrigida],AA$3)/100,"")</f>
        <v/>
      </c>
      <c r="AB29" s="43" t="str">
        <f ca="1">IFERROR(AVERAGEIFS(INDIRECT("Tabela1["&amp;$B29&amp;"]"),Tabela1[Data Corrigida],AB$3)/100,"")</f>
        <v/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>
        <f ca="1">IFERROR(AVERAGEIFS(INDIRECT("Tabela1["&amp;$B30&amp;"]"),Tabela1[Turno],$D30,Tabela1[Mês],N$3)/100,"")</f>
        <v>7.9165783348046515E-3</v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2.0703933747412005E-3</v>
      </c>
      <c r="S30" s="34">
        <f ca="1">IFERROR(AVERAGEIFS(INDIRECT("Tabela1["&amp;$B30&amp;"]"),Tabela1[Turno],$D30,Tabela1[Data Corrigida],S$3)/100,"")</f>
        <v>1.1075233433425197E-2</v>
      </c>
      <c r="T30" s="34">
        <f ca="1">IFERROR(AVERAGEIFS(INDIRECT("Tabela1["&amp;$B30&amp;"]"),Tabela1[Turno],$D30,Tabela1[Data Corrigida],T$3)/100,"")</f>
        <v>1.282051282051282E-2</v>
      </c>
      <c r="U30" s="34" t="str">
        <f ca="1">IFERROR(AVERAGEIFS(INDIRECT("Tabela1["&amp;$B30&amp;"]"),Tabela1[Turno],$D30,Tabela1[Data Corrigida],U$3)/100,"")</f>
        <v/>
      </c>
      <c r="V30" s="34" t="str">
        <f ca="1">IFERROR(AVERAGEIFS(INDIRECT("Tabela1["&amp;$B30&amp;"]"),Tabela1[Turno],$D30,Tabela1[Data Corrigida],V$3)/100,"")</f>
        <v/>
      </c>
      <c r="W30" s="34" t="str">
        <f ca="1">IFERROR(AVERAGEIFS(INDIRECT("Tabela1["&amp;$B30&amp;"]"),Tabela1[Turno],$D30,Tabela1[Data Corrigida],W$3)/100,"")</f>
        <v/>
      </c>
      <c r="X30" s="34" t="str">
        <f ca="1">IFERROR(AVERAGEIFS(INDIRECT("Tabela1["&amp;$B30&amp;"]"),Tabela1[Turno],$D30,Tabela1[Data Corrigida],X$3)/100,"")</f>
        <v/>
      </c>
      <c r="Y30" s="34" t="str">
        <f ca="1">IFERROR(AVERAGEIFS(INDIRECT("Tabela1["&amp;$B30&amp;"]"),Tabela1[Turno],$D30,Tabela1[Data Corrigida],Y$3)/100,"")</f>
        <v/>
      </c>
      <c r="Z30" s="34" t="str">
        <f ca="1">IFERROR(AVERAGEIFS(INDIRECT("Tabela1["&amp;$B30&amp;"]"),Tabela1[Turno],$D30,Tabela1[Data Corrigida],Z$3)/100,"")</f>
        <v/>
      </c>
      <c r="AA30" s="34" t="str">
        <f ca="1">IFERROR(AVERAGEIFS(INDIRECT("Tabela1["&amp;$B30&amp;"]"),Tabela1[Turno],$D30,Tabela1[Data Corrigida],AA$3)/100,"")</f>
        <v/>
      </c>
      <c r="AB30" s="34" t="str">
        <f ca="1">IFERROR(AVERAGEIFS(INDIRECT("Tabela1["&amp;$B30&amp;"]"),Tabela1[Turno],$D30,Tabela1[Data Corrigida],AB$3)/100,"")</f>
        <v/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>
        <f ca="1">IFERROR(AVERAGEIFS(INDIRECT("Tabela1["&amp;$B31&amp;"]"),Tabela1[Turno],$D31,Tabela1[Mês],N$3)/100,"")</f>
        <v>1.1824319416871456E-2</v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1.4294964294964296E-2</v>
      </c>
      <c r="S31" s="36">
        <f ca="1">IFERROR(AVERAGEIFS(INDIRECT("Tabela1["&amp;$B31&amp;"]"),Tabela1[Turno],$D31,Tabela1[Data Corrigida],S$3)/100,"")</f>
        <v>2.8735632183908046E-3</v>
      </c>
      <c r="T31" s="36">
        <f ca="1">IFERROR(AVERAGEIFS(INDIRECT("Tabela1["&amp;$B31&amp;"]"),Tabela1[Turno],$D31,Tabela1[Data Corrigida],T$3)/100,"")</f>
        <v>1.8304430737259268E-2</v>
      </c>
      <c r="U31" s="36" t="str">
        <f ca="1">IFERROR(AVERAGEIFS(INDIRECT("Tabela1["&amp;$B31&amp;"]"),Tabela1[Turno],$D31,Tabela1[Data Corrigida],U$3)/100,"")</f>
        <v/>
      </c>
      <c r="V31" s="36" t="str">
        <f ca="1">IFERROR(AVERAGEIFS(INDIRECT("Tabela1["&amp;$B31&amp;"]"),Tabela1[Turno],$D31,Tabela1[Data Corrigida],V$3)/100,"")</f>
        <v/>
      </c>
      <c r="W31" s="36" t="str">
        <f ca="1">IFERROR(AVERAGEIFS(INDIRECT("Tabela1["&amp;$B31&amp;"]"),Tabela1[Turno],$D31,Tabela1[Data Corrigida],W$3)/100,"")</f>
        <v/>
      </c>
      <c r="X31" s="36" t="str">
        <f ca="1">IFERROR(AVERAGEIFS(INDIRECT("Tabela1["&amp;$B31&amp;"]"),Tabela1[Turno],$D31,Tabela1[Data Corrigida],X$3)/100,"")</f>
        <v/>
      </c>
      <c r="Y31" s="36" t="str">
        <f ca="1">IFERROR(AVERAGEIFS(INDIRECT("Tabela1["&amp;$B31&amp;"]"),Tabela1[Turno],$D31,Tabela1[Data Corrigida],Y$3)/100,"")</f>
        <v/>
      </c>
      <c r="Z31" s="36" t="str">
        <f ca="1">IFERROR(AVERAGEIFS(INDIRECT("Tabela1["&amp;$B31&amp;"]"),Tabela1[Turno],$D31,Tabela1[Data Corrigida],Z$3)/100,"")</f>
        <v/>
      </c>
      <c r="AA31" s="36" t="str">
        <f ca="1">IFERROR(AVERAGEIFS(INDIRECT("Tabela1["&amp;$B31&amp;"]"),Tabela1[Turno],$D31,Tabela1[Data Corrigida],AA$3)/100,"")</f>
        <v/>
      </c>
      <c r="AB31" s="36" t="str">
        <f ca="1">IFERROR(AVERAGEIFS(INDIRECT("Tabela1["&amp;$B31&amp;"]"),Tabela1[Turno],$D31,Tabela1[Data Corrigida],AB$3)/100,"")</f>
        <v/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>
        <f ca="1">IFERROR(AVERAGEIFS(INDIRECT("Tabela1["&amp;$B32&amp;"]"),Tabela1[Mês],N$3)/100,"")</f>
        <v>9.9853824370753144E-3</v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8.1826788348527482E-3</v>
      </c>
      <c r="S32" s="38">
        <f ca="1">IFERROR(AVERAGEIFS(INDIRECT("Tabela1["&amp;$B32&amp;"]"),Tabela1[Data Corrigida],S$3)/100,"")</f>
        <v>7.5602319126961718E-3</v>
      </c>
      <c r="T32" s="38">
        <f ca="1">IFERROR(AVERAGEIFS(INDIRECT("Tabela1["&amp;$B32&amp;"]"),Tabela1[Data Corrigida],T$3)/100,"")</f>
        <v>1.6933451258072656E-2</v>
      </c>
      <c r="U32" s="38" t="str">
        <f ca="1">IFERROR(AVERAGEIFS(INDIRECT("Tabela1["&amp;$B32&amp;"]"),Tabela1[Data Corrigida],U$3)/100,"")</f>
        <v/>
      </c>
      <c r="V32" s="38" t="str">
        <f ca="1">IFERROR(AVERAGEIFS(INDIRECT("Tabela1["&amp;$B32&amp;"]"),Tabela1[Data Corrigida],V$3)/100,"")</f>
        <v/>
      </c>
      <c r="W32" s="38" t="str">
        <f ca="1">IFERROR(AVERAGEIFS(INDIRECT("Tabela1["&amp;$B32&amp;"]"),Tabela1[Data Corrigida],W$3)/100,"")</f>
        <v/>
      </c>
      <c r="X32" s="38" t="str">
        <f ca="1">IFERROR(AVERAGEIFS(INDIRECT("Tabela1["&amp;$B32&amp;"]"),Tabela1[Data Corrigida],X$3)/100,"")</f>
        <v/>
      </c>
      <c r="Y32" s="38" t="str">
        <f ca="1">IFERROR(AVERAGEIFS(INDIRECT("Tabela1["&amp;$B32&amp;"]"),Tabela1[Data Corrigida],Y$3)/100,"")</f>
        <v/>
      </c>
      <c r="Z32" s="38" t="str">
        <f ca="1">IFERROR(AVERAGEIFS(INDIRECT("Tabela1["&amp;$B32&amp;"]"),Tabela1[Data Corrigida],Z$3)/100,"")</f>
        <v/>
      </c>
      <c r="AA32" s="38" t="str">
        <f ca="1">IFERROR(AVERAGEIFS(INDIRECT("Tabela1["&amp;$B32&amp;"]"),Tabela1[Data Corrigida],AA$3)/100,"")</f>
        <v/>
      </c>
      <c r="AB32" s="38" t="str">
        <f ca="1">IFERROR(AVERAGEIFS(INDIRECT("Tabela1["&amp;$B32&amp;"]"),Tabela1[Data Corrigida],AB$3)/100,"")</f>
        <v/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>
        <f ca="1">IFERROR(AVERAGEIFS(INDIRECT("Tabela1["&amp;$B33&amp;"]"),Tabela1[Turno],$D33,Tabela1[Mês],N$3)/100,"")</f>
        <v>4.395449119031037E-2</v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3.5714285714285712E-2</v>
      </c>
      <c r="S33" s="40">
        <f ca="1">IFERROR(AVERAGEIFS(INDIRECT("Tabela1["&amp;$B33&amp;"]"),Tabela1[Turno],$D33,Tabela1[Data Corrigida],S$3)/100,"")</f>
        <v>5.5170498951092099E-2</v>
      </c>
      <c r="T33" s="40">
        <f ca="1">IFERROR(AVERAGEIFS(INDIRECT("Tabela1["&amp;$B33&amp;"]"),Tabela1[Turno],$D33,Tabela1[Data Corrigida],T$3)/100,"")</f>
        <v>3.2051282051282048E-2</v>
      </c>
      <c r="U33" s="40" t="str">
        <f ca="1">IFERROR(AVERAGEIFS(INDIRECT("Tabela1["&amp;$B33&amp;"]"),Tabela1[Turno],$D33,Tabela1[Data Corrigida],U$3)/100,"")</f>
        <v/>
      </c>
      <c r="V33" s="40" t="str">
        <f ca="1">IFERROR(AVERAGEIFS(INDIRECT("Tabela1["&amp;$B33&amp;"]"),Tabela1[Turno],$D33,Tabela1[Data Corrigida],V$3)/100,"")</f>
        <v/>
      </c>
      <c r="W33" s="40" t="str">
        <f ca="1">IFERROR(AVERAGEIFS(INDIRECT("Tabela1["&amp;$B33&amp;"]"),Tabela1[Turno],$D33,Tabela1[Data Corrigida],W$3)/100,"")</f>
        <v/>
      </c>
      <c r="X33" s="40" t="str">
        <f ca="1">IFERROR(AVERAGEIFS(INDIRECT("Tabela1["&amp;$B33&amp;"]"),Tabela1[Turno],$D33,Tabela1[Data Corrigida],X$3)/100,"")</f>
        <v/>
      </c>
      <c r="Y33" s="40" t="str">
        <f ca="1">IFERROR(AVERAGEIFS(INDIRECT("Tabela1["&amp;$B33&amp;"]"),Tabela1[Turno],$D33,Tabela1[Data Corrigida],Y$3)/100,"")</f>
        <v/>
      </c>
      <c r="Z33" s="40" t="str">
        <f ca="1">IFERROR(AVERAGEIFS(INDIRECT("Tabela1["&amp;$B33&amp;"]"),Tabela1[Turno],$D33,Tabela1[Data Corrigida],Z$3)/100,"")</f>
        <v/>
      </c>
      <c r="AA33" s="40" t="str">
        <f ca="1">IFERROR(AVERAGEIFS(INDIRECT("Tabela1["&amp;$B33&amp;"]"),Tabela1[Turno],$D33,Tabela1[Data Corrigida],AA$3)/100,"")</f>
        <v/>
      </c>
      <c r="AB33" s="40" t="str">
        <f ca="1">IFERROR(AVERAGEIFS(INDIRECT("Tabela1["&amp;$B33&amp;"]"),Tabela1[Turno],$D33,Tabela1[Data Corrigida],AB$3)/100,"")</f>
        <v/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>
        <f ca="1">IFERROR(AVERAGEIFS(INDIRECT("Tabela1["&amp;$B34&amp;"]"),Tabela1[Turno],$D34,Tabela1[Mês],N$3)/100,"")</f>
        <v>1.3575824616652516E-2</v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1.2402412402412404E-2</v>
      </c>
      <c r="S34" s="36">
        <f ca="1">IFERROR(AVERAGEIFS(INDIRECT("Tabela1["&amp;$B34&amp;"]"),Tabela1[Turno],$D34,Tabela1[Data Corrigida],S$3)/100,"")</f>
        <v>1.2024665323016145E-2</v>
      </c>
      <c r="T34" s="36">
        <f ca="1">IFERROR(AVERAGEIFS(INDIRECT("Tabela1["&amp;$B34&amp;"]"),Tabela1[Turno],$D34,Tabela1[Data Corrigida],T$3)/100,"")</f>
        <v>1.6300396124529003E-2</v>
      </c>
      <c r="U34" s="36" t="str">
        <f ca="1">IFERROR(AVERAGEIFS(INDIRECT("Tabela1["&amp;$B34&amp;"]"),Tabela1[Turno],$D34,Tabela1[Data Corrigida],U$3)/100,"")</f>
        <v/>
      </c>
      <c r="V34" s="36" t="str">
        <f ca="1">IFERROR(AVERAGEIFS(INDIRECT("Tabela1["&amp;$B34&amp;"]"),Tabela1[Turno],$D34,Tabela1[Data Corrigida],V$3)/100,"")</f>
        <v/>
      </c>
      <c r="W34" s="36" t="str">
        <f ca="1">IFERROR(AVERAGEIFS(INDIRECT("Tabela1["&amp;$B34&amp;"]"),Tabela1[Turno],$D34,Tabela1[Data Corrigida],W$3)/100,"")</f>
        <v/>
      </c>
      <c r="X34" s="36" t="str">
        <f ca="1">IFERROR(AVERAGEIFS(INDIRECT("Tabela1["&amp;$B34&amp;"]"),Tabela1[Turno],$D34,Tabela1[Data Corrigida],X$3)/100,"")</f>
        <v/>
      </c>
      <c r="Y34" s="36" t="str">
        <f ca="1">IFERROR(AVERAGEIFS(INDIRECT("Tabela1["&amp;$B34&amp;"]"),Tabela1[Turno],$D34,Tabela1[Data Corrigida],Y$3)/100,"")</f>
        <v/>
      </c>
      <c r="Z34" s="36" t="str">
        <f ca="1">IFERROR(AVERAGEIFS(INDIRECT("Tabela1["&amp;$B34&amp;"]"),Tabela1[Turno],$D34,Tabela1[Data Corrigida],Z$3)/100,"")</f>
        <v/>
      </c>
      <c r="AA34" s="36" t="str">
        <f ca="1">IFERROR(AVERAGEIFS(INDIRECT("Tabela1["&amp;$B34&amp;"]"),Tabela1[Turno],$D34,Tabela1[Data Corrigida],AA$3)/100,"")</f>
        <v/>
      </c>
      <c r="AB34" s="36" t="str">
        <f ca="1">IFERROR(AVERAGEIFS(INDIRECT("Tabela1["&amp;$B34&amp;"]"),Tabela1[Turno],$D34,Tabela1[Data Corrigida],AB$3)/100,"")</f>
        <v/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>
        <f ca="1">IFERROR(AVERAGEIFS(INDIRECT("Tabela1["&amp;$B35&amp;"]"),Tabela1[Mês],N$3)/100,"")</f>
        <v>2.8765157903481445E-2</v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2.5723482866340009E-2</v>
      </c>
      <c r="S35" s="43">
        <f ca="1">IFERROR(AVERAGEIFS(INDIRECT("Tabela1["&amp;$B35&amp;"]"),Tabela1[Data Corrigida],S$3)/100,"")</f>
        <v>3.6679427396202405E-2</v>
      </c>
      <c r="T35" s="43">
        <f ca="1">IFERROR(AVERAGEIFS(INDIRECT("Tabela1["&amp;$B35&amp;"]"),Tabela1[Data Corrigida],T$3)/100,"")</f>
        <v>2.0238117606217264E-2</v>
      </c>
      <c r="U35" s="43" t="str">
        <f ca="1">IFERROR(AVERAGEIFS(INDIRECT("Tabela1["&amp;$B35&amp;"]"),Tabela1[Data Corrigida],U$3)/100,"")</f>
        <v/>
      </c>
      <c r="V35" s="43" t="str">
        <f ca="1">IFERROR(AVERAGEIFS(INDIRECT("Tabela1["&amp;$B35&amp;"]"),Tabela1[Data Corrigida],V$3)/100,"")</f>
        <v/>
      </c>
      <c r="W35" s="43" t="str">
        <f ca="1">IFERROR(AVERAGEIFS(INDIRECT("Tabela1["&amp;$B35&amp;"]"),Tabela1[Data Corrigida],W$3)/100,"")</f>
        <v/>
      </c>
      <c r="X35" s="43" t="str">
        <f ca="1">IFERROR(AVERAGEIFS(INDIRECT("Tabela1["&amp;$B35&amp;"]"),Tabela1[Data Corrigida],X$3)/100,"")</f>
        <v/>
      </c>
      <c r="Y35" s="43" t="str">
        <f ca="1">IFERROR(AVERAGEIFS(INDIRECT("Tabela1["&amp;$B35&amp;"]"),Tabela1[Data Corrigida],Y$3)/100,"")</f>
        <v/>
      </c>
      <c r="Z35" s="43" t="str">
        <f ca="1">IFERROR(AVERAGEIFS(INDIRECT("Tabela1["&amp;$B35&amp;"]"),Tabela1[Data Corrigida],Z$3)/100,"")</f>
        <v/>
      </c>
      <c r="AA35" s="43" t="str">
        <f ca="1">IFERROR(AVERAGEIFS(INDIRECT("Tabela1["&amp;$B35&amp;"]"),Tabela1[Data Corrigida],AA$3)/100,"")</f>
        <v/>
      </c>
      <c r="AB35" s="43" t="str">
        <f ca="1">IFERROR(AVERAGEIFS(INDIRECT("Tabela1["&amp;$B35&amp;"]"),Tabela1[Data Corrigida],AB$3)/100,"")</f>
        <v/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>
        <f ca="1">IFERROR(AVERAGEIFS(INDIRECT("Tabela1["&amp;$B36&amp;"]"),Tabela1[Turno],$D36,Tabela1[Mês],N$3)/100,"")</f>
        <v>1.6030782731041873E-2</v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1.7080745341614908E-2</v>
      </c>
      <c r="S36" s="34">
        <f ca="1">IFERROR(AVERAGEIFS(INDIRECT("Tabela1["&amp;$B36&amp;"]"),Tabela1[Turno],$D36,Tabela1[Data Corrigida],S$3)/100,"")</f>
        <v>1.4180823495536999E-2</v>
      </c>
      <c r="T36" s="34">
        <f ca="1">IFERROR(AVERAGEIFS(INDIRECT("Tabela1["&amp;$B36&amp;"]"),Tabela1[Turno],$D36,Tabela1[Data Corrigida],T$3)/100,"")</f>
        <v>1.9230769230769232E-2</v>
      </c>
      <c r="U36" s="34" t="str">
        <f ca="1">IFERROR(AVERAGEIFS(INDIRECT("Tabela1["&amp;$B36&amp;"]"),Tabela1[Turno],$D36,Tabela1[Data Corrigida],U$3)/100,"")</f>
        <v/>
      </c>
      <c r="V36" s="34" t="str">
        <f ca="1">IFERROR(AVERAGEIFS(INDIRECT("Tabela1["&amp;$B36&amp;"]"),Tabela1[Turno],$D36,Tabela1[Data Corrigida],V$3)/100,"")</f>
        <v/>
      </c>
      <c r="W36" s="34" t="str">
        <f ca="1">IFERROR(AVERAGEIFS(INDIRECT("Tabela1["&amp;$B36&amp;"]"),Tabela1[Turno],$D36,Tabela1[Data Corrigida],W$3)/100,"")</f>
        <v/>
      </c>
      <c r="X36" s="34" t="str">
        <f ca="1">IFERROR(AVERAGEIFS(INDIRECT("Tabela1["&amp;$B36&amp;"]"),Tabela1[Turno],$D36,Tabela1[Data Corrigida],X$3)/100,"")</f>
        <v/>
      </c>
      <c r="Y36" s="34" t="str">
        <f ca="1">IFERROR(AVERAGEIFS(INDIRECT("Tabela1["&amp;$B36&amp;"]"),Tabela1[Turno],$D36,Tabela1[Data Corrigida],Y$3)/100,"")</f>
        <v/>
      </c>
      <c r="Z36" s="34" t="str">
        <f ca="1">IFERROR(AVERAGEIFS(INDIRECT("Tabela1["&amp;$B36&amp;"]"),Tabela1[Turno],$D36,Tabela1[Data Corrigida],Z$3)/100,"")</f>
        <v/>
      </c>
      <c r="AA36" s="34" t="str">
        <f ca="1">IFERROR(AVERAGEIFS(INDIRECT("Tabela1["&amp;$B36&amp;"]"),Tabela1[Turno],$D36,Tabela1[Data Corrigida],AA$3)/100,"")</f>
        <v/>
      </c>
      <c r="AB36" s="34" t="str">
        <f ca="1">IFERROR(AVERAGEIFS(INDIRECT("Tabela1["&amp;$B36&amp;"]"),Tabela1[Turno],$D36,Tabela1[Data Corrigida],AB$3)/100,"")</f>
        <v/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>
        <f ca="1">IFERROR(AVERAGEIFS(INDIRECT("Tabela1["&amp;$B37&amp;"]"),Tabela1[Turno],$D37,Tabela1[Mês],N$3)/100,"")</f>
        <v>9.5785440613026804E-4</v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0</v>
      </c>
      <c r="S37" s="36">
        <f ca="1">IFERROR(AVERAGEIFS(INDIRECT("Tabela1["&amp;$B37&amp;"]"),Tabela1[Turno],$D37,Tabela1[Data Corrigida],S$3)/100,"")</f>
        <v>2.8735632183908046E-3</v>
      </c>
      <c r="T37" s="36">
        <f ca="1">IFERROR(AVERAGEIFS(INDIRECT("Tabela1["&amp;$B37&amp;"]"),Tabela1[Turno],$D37,Tabela1[Data Corrigida],T$3)/100,"")</f>
        <v>0</v>
      </c>
      <c r="U37" s="36" t="str">
        <f ca="1">IFERROR(AVERAGEIFS(INDIRECT("Tabela1["&amp;$B37&amp;"]"),Tabela1[Turno],$D37,Tabela1[Data Corrigida],U$3)/100,"")</f>
        <v/>
      </c>
      <c r="V37" s="36" t="str">
        <f ca="1">IFERROR(AVERAGEIFS(INDIRECT("Tabela1["&amp;$B37&amp;"]"),Tabela1[Turno],$D37,Tabela1[Data Corrigida],V$3)/100,"")</f>
        <v/>
      </c>
      <c r="W37" s="36" t="str">
        <f ca="1">IFERROR(AVERAGEIFS(INDIRECT("Tabela1["&amp;$B37&amp;"]"),Tabela1[Turno],$D37,Tabela1[Data Corrigida],W$3)/100,"")</f>
        <v/>
      </c>
      <c r="X37" s="36" t="str">
        <f ca="1">IFERROR(AVERAGEIFS(INDIRECT("Tabela1["&amp;$B37&amp;"]"),Tabela1[Turno],$D37,Tabela1[Data Corrigida],X$3)/100,"")</f>
        <v/>
      </c>
      <c r="Y37" s="36" t="str">
        <f ca="1">IFERROR(AVERAGEIFS(INDIRECT("Tabela1["&amp;$B37&amp;"]"),Tabela1[Turno],$D37,Tabela1[Data Corrigida],Y$3)/100,"")</f>
        <v/>
      </c>
      <c r="Z37" s="36" t="str">
        <f ca="1">IFERROR(AVERAGEIFS(INDIRECT("Tabela1["&amp;$B37&amp;"]"),Tabela1[Turno],$D37,Tabela1[Data Corrigida],Z$3)/100,"")</f>
        <v/>
      </c>
      <c r="AA37" s="36" t="str">
        <f ca="1">IFERROR(AVERAGEIFS(INDIRECT("Tabela1["&amp;$B37&amp;"]"),Tabela1[Turno],$D37,Tabela1[Data Corrigida],AA$3)/100,"")</f>
        <v/>
      </c>
      <c r="AB37" s="36" t="str">
        <f ca="1">IFERROR(AVERAGEIFS(INDIRECT("Tabela1["&amp;$B37&amp;"]"),Tabela1[Turno],$D37,Tabela1[Data Corrigida],AB$3)/100,"")</f>
        <v/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>
        <f ca="1">IFERROR(AVERAGEIFS(INDIRECT("Tabela1["&amp;$B38&amp;"]"),Tabela1[Mês],N$3)/100,"")</f>
        <v>8.4943185685860713E-3</v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9.7604259094942331E-3</v>
      </c>
      <c r="S38" s="38">
        <f ca="1">IFERROR(AVERAGEIFS(INDIRECT("Tabela1["&amp;$B38&amp;"]"),Tabela1[Data Corrigida],S$3)/100,"")</f>
        <v>9.3348548053314873E-3</v>
      </c>
      <c r="T38" s="38">
        <f ca="1">IFERROR(AVERAGEIFS(INDIRECT("Tabela1["&amp;$B38&amp;"]"),Tabela1[Data Corrigida],T$3)/100,"")</f>
        <v>4.807692307692308E-3</v>
      </c>
      <c r="U38" s="38" t="str">
        <f ca="1">IFERROR(AVERAGEIFS(INDIRECT("Tabela1["&amp;$B38&amp;"]"),Tabela1[Data Corrigida],U$3)/100,"")</f>
        <v/>
      </c>
      <c r="V38" s="38" t="str">
        <f ca="1">IFERROR(AVERAGEIFS(INDIRECT("Tabela1["&amp;$B38&amp;"]"),Tabela1[Data Corrigida],V$3)/100,"")</f>
        <v/>
      </c>
      <c r="W38" s="38" t="str">
        <f ca="1">IFERROR(AVERAGEIFS(INDIRECT("Tabela1["&amp;$B38&amp;"]"),Tabela1[Data Corrigida],W$3)/100,"")</f>
        <v/>
      </c>
      <c r="X38" s="38" t="str">
        <f ca="1">IFERROR(AVERAGEIFS(INDIRECT("Tabela1["&amp;$B38&amp;"]"),Tabela1[Data Corrigida],X$3)/100,"")</f>
        <v/>
      </c>
      <c r="Y38" s="38" t="str">
        <f ca="1">IFERROR(AVERAGEIFS(INDIRECT("Tabela1["&amp;$B38&amp;"]"),Tabela1[Data Corrigida],Y$3)/100,"")</f>
        <v/>
      </c>
      <c r="Z38" s="38" t="str">
        <f ca="1">IFERROR(AVERAGEIFS(INDIRECT("Tabela1["&amp;$B38&amp;"]"),Tabela1[Data Corrigida],Z$3)/100,"")</f>
        <v/>
      </c>
      <c r="AA38" s="38" t="str">
        <f ca="1">IFERROR(AVERAGEIFS(INDIRECT("Tabela1["&amp;$B38&amp;"]"),Tabela1[Data Corrigida],AA$3)/100,"")</f>
        <v/>
      </c>
      <c r="AB38" s="38" t="str">
        <f ca="1">IFERROR(AVERAGEIFS(INDIRECT("Tabela1["&amp;$B38&amp;"]"),Tabela1[Data Corrigida],AB$3)/100,"")</f>
        <v/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>
        <f ca="1">IFERROR(AVERAGEIFS(INDIRECT("Tabela1["&amp;$B39&amp;"]"),Tabela1[Turno],$D39,Tabela1[Mês],N$3)/100,"")</f>
        <v>1.5340651606128139E-2</v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1.7080745341614904E-2</v>
      </c>
      <c r="S39" s="40">
        <f ca="1">IFERROR(AVERAGEIFS(INDIRECT("Tabela1["&amp;$B39&amp;"]"),Tabela1[Turno],$D39,Tabela1[Data Corrigida],S$3)/100,"")</f>
        <v>1.2628028464481099E-2</v>
      </c>
      <c r="T39" s="40">
        <f ca="1">IFERROR(AVERAGEIFS(INDIRECT("Tabela1["&amp;$B39&amp;"]"),Tabela1[Turno],$D39,Tabela1[Data Corrigida],T$3)/100,"")</f>
        <v>1.9230769230769232E-2</v>
      </c>
      <c r="U39" s="40" t="str">
        <f ca="1">IFERROR(AVERAGEIFS(INDIRECT("Tabela1["&amp;$B39&amp;"]"),Tabela1[Turno],$D39,Tabela1[Data Corrigida],U$3)/100,"")</f>
        <v/>
      </c>
      <c r="V39" s="40" t="str">
        <f ca="1">IFERROR(AVERAGEIFS(INDIRECT("Tabela1["&amp;$B39&amp;"]"),Tabela1[Turno],$D39,Tabela1[Data Corrigida],V$3)/100,"")</f>
        <v/>
      </c>
      <c r="W39" s="40" t="str">
        <f ca="1">IFERROR(AVERAGEIFS(INDIRECT("Tabela1["&amp;$B39&amp;"]"),Tabela1[Turno],$D39,Tabela1[Data Corrigida],W$3)/100,"")</f>
        <v/>
      </c>
      <c r="X39" s="40" t="str">
        <f ca="1">IFERROR(AVERAGEIFS(INDIRECT("Tabela1["&amp;$B39&amp;"]"),Tabela1[Turno],$D39,Tabela1[Data Corrigida],X$3)/100,"")</f>
        <v/>
      </c>
      <c r="Y39" s="40" t="str">
        <f ca="1">IFERROR(AVERAGEIFS(INDIRECT("Tabela1["&amp;$B39&amp;"]"),Tabela1[Turno],$D39,Tabela1[Data Corrigida],Y$3)/100,"")</f>
        <v/>
      </c>
      <c r="Z39" s="40" t="str">
        <f ca="1">IFERROR(AVERAGEIFS(INDIRECT("Tabela1["&amp;$B39&amp;"]"),Tabela1[Turno],$D39,Tabela1[Data Corrigida],Z$3)/100,"")</f>
        <v/>
      </c>
      <c r="AA39" s="40" t="str">
        <f ca="1">IFERROR(AVERAGEIFS(INDIRECT("Tabela1["&amp;$B39&amp;"]"),Tabela1[Turno],$D39,Tabela1[Data Corrigida],AA$3)/100,"")</f>
        <v/>
      </c>
      <c r="AB39" s="40" t="str">
        <f ca="1">IFERROR(AVERAGEIFS(INDIRECT("Tabela1["&amp;$B39&amp;"]"),Tabela1[Turno],$D39,Tabela1[Data Corrigida],AB$3)/100,"")</f>
        <v/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>
        <f ca="1">IFERROR(AVERAGEIFS(INDIRECT("Tabela1["&amp;$B40&amp;"]"),Tabela1[Turno],$D40,Tabela1[Mês],N$3)/100,"")</f>
        <v>0</v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 t="str">
        <f ca="1">IFERROR(AVERAGEIFS(INDIRECT("Tabela1["&amp;$B40&amp;"]"),Tabela1[Turno],$D40,Tabela1[Data Corrigida],U$3)/100,"")</f>
        <v/>
      </c>
      <c r="V40" s="36" t="str">
        <f ca="1">IFERROR(AVERAGEIFS(INDIRECT("Tabela1["&amp;$B40&amp;"]"),Tabela1[Turno],$D40,Tabela1[Data Corrigida],V$3)/100,"")</f>
        <v/>
      </c>
      <c r="W40" s="36" t="str">
        <f ca="1">IFERROR(AVERAGEIFS(INDIRECT("Tabela1["&amp;$B40&amp;"]"),Tabela1[Turno],$D40,Tabela1[Data Corrigida],W$3)/100,"")</f>
        <v/>
      </c>
      <c r="X40" s="36" t="str">
        <f ca="1">IFERROR(AVERAGEIFS(INDIRECT("Tabela1["&amp;$B40&amp;"]"),Tabela1[Turno],$D40,Tabela1[Data Corrigida],X$3)/100,"")</f>
        <v/>
      </c>
      <c r="Y40" s="36" t="str">
        <f ca="1">IFERROR(AVERAGEIFS(INDIRECT("Tabela1["&amp;$B40&amp;"]"),Tabela1[Turno],$D40,Tabela1[Data Corrigida],Y$3)/100,"")</f>
        <v/>
      </c>
      <c r="Z40" s="36" t="str">
        <f ca="1">IFERROR(AVERAGEIFS(INDIRECT("Tabela1["&amp;$B40&amp;"]"),Tabela1[Turno],$D40,Tabela1[Data Corrigida],Z$3)/100,"")</f>
        <v/>
      </c>
      <c r="AA40" s="36" t="str">
        <f ca="1">IFERROR(AVERAGEIFS(INDIRECT("Tabela1["&amp;$B40&amp;"]"),Tabela1[Turno],$D40,Tabela1[Data Corrigida],AA$3)/100,"")</f>
        <v/>
      </c>
      <c r="AB40" s="36" t="str">
        <f ca="1">IFERROR(AVERAGEIFS(INDIRECT("Tabela1["&amp;$B40&amp;"]"),Tabela1[Turno],$D40,Tabela1[Data Corrigida],AB$3)/100,"")</f>
        <v/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>
        <f ca="1">IFERROR(AVERAGEIFS(INDIRECT("Tabela1["&amp;$B41&amp;"]"),Tabela1[Mês],N$3)/100,"")</f>
        <v>7.6703258030640696E-3</v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9.7604259094942313E-3</v>
      </c>
      <c r="S41" s="43">
        <f ca="1">IFERROR(AVERAGEIFS(INDIRECT("Tabela1["&amp;$B41&amp;"]"),Tabela1[Data Corrigida],S$3)/100,"")</f>
        <v>7.2160162654177707E-3</v>
      </c>
      <c r="T41" s="43">
        <f ca="1">IFERROR(AVERAGEIFS(INDIRECT("Tabela1["&amp;$B41&amp;"]"),Tabela1[Data Corrigida],T$3)/100,"")</f>
        <v>4.807692307692308E-3</v>
      </c>
      <c r="U41" s="43" t="str">
        <f ca="1">IFERROR(AVERAGEIFS(INDIRECT("Tabela1["&amp;$B41&amp;"]"),Tabela1[Data Corrigida],U$3)/100,"")</f>
        <v/>
      </c>
      <c r="V41" s="43" t="str">
        <f ca="1">IFERROR(AVERAGEIFS(INDIRECT("Tabela1["&amp;$B41&amp;"]"),Tabela1[Data Corrigida],V$3)/100,"")</f>
        <v/>
      </c>
      <c r="W41" s="43" t="str">
        <f ca="1">IFERROR(AVERAGEIFS(INDIRECT("Tabela1["&amp;$B41&amp;"]"),Tabela1[Data Corrigida],W$3)/100,"")</f>
        <v/>
      </c>
      <c r="X41" s="43" t="str">
        <f ca="1">IFERROR(AVERAGEIFS(INDIRECT("Tabela1["&amp;$B41&amp;"]"),Tabela1[Data Corrigida],X$3)/100,"")</f>
        <v/>
      </c>
      <c r="Y41" s="43" t="str">
        <f ca="1">IFERROR(AVERAGEIFS(INDIRECT("Tabela1["&amp;$B41&amp;"]"),Tabela1[Data Corrigida],Y$3)/100,"")</f>
        <v/>
      </c>
      <c r="Z41" s="43" t="str">
        <f ca="1">IFERROR(AVERAGEIFS(INDIRECT("Tabela1["&amp;$B41&amp;"]"),Tabela1[Data Corrigida],Z$3)/100,"")</f>
        <v/>
      </c>
      <c r="AA41" s="43" t="str">
        <f ca="1">IFERROR(AVERAGEIFS(INDIRECT("Tabela1["&amp;$B41&amp;"]"),Tabela1[Data Corrigida],AA$3)/100,"")</f>
        <v/>
      </c>
      <c r="AB41" s="43" t="str">
        <f ca="1">IFERROR(AVERAGEIFS(INDIRECT("Tabela1["&amp;$B41&amp;"]"),Tabela1[Data Corrigida],AB$3)/100,"")</f>
        <v/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>
        <f ca="1">IFERROR(AVERAGEIFS(INDIRECT("Tabela1["&amp;$B42&amp;"]"),Tabela1[Turno],$D42,Tabela1[Mês],N$3)/100,"")</f>
        <v>3.8364153682322412E-2</v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4.0372670807453409E-2</v>
      </c>
      <c r="S42" s="34">
        <f ca="1">IFERROR(AVERAGEIFS(INDIRECT("Tabela1["&amp;$B42&amp;"]"),Tabela1[Turno],$D42,Tabela1[Data Corrigida],S$3)/100,"")</f>
        <v>3.63312903623874E-2</v>
      </c>
      <c r="T42" s="34">
        <f ca="1">IFERROR(AVERAGEIFS(INDIRECT("Tabela1["&amp;$B42&amp;"]"),Tabela1[Turno],$D42,Tabela1[Data Corrigida],T$3)/100,"")</f>
        <v>3.8461538461538464E-2</v>
      </c>
      <c r="U42" s="34" t="str">
        <f ca="1">IFERROR(AVERAGEIFS(INDIRECT("Tabela1["&amp;$B42&amp;"]"),Tabela1[Turno],$D42,Tabela1[Data Corrigida],U$3)/100,"")</f>
        <v/>
      </c>
      <c r="V42" s="34" t="str">
        <f ca="1">IFERROR(AVERAGEIFS(INDIRECT("Tabela1["&amp;$B42&amp;"]"),Tabela1[Turno],$D42,Tabela1[Data Corrigida],V$3)/100,"")</f>
        <v/>
      </c>
      <c r="W42" s="34" t="str">
        <f ca="1">IFERROR(AVERAGEIFS(INDIRECT("Tabela1["&amp;$B42&amp;"]"),Tabela1[Turno],$D42,Tabela1[Data Corrigida],W$3)/100,"")</f>
        <v/>
      </c>
      <c r="X42" s="34" t="str">
        <f ca="1">IFERROR(AVERAGEIFS(INDIRECT("Tabela1["&amp;$B42&amp;"]"),Tabela1[Turno],$D42,Tabela1[Data Corrigida],X$3)/100,"")</f>
        <v/>
      </c>
      <c r="Y42" s="34" t="str">
        <f ca="1">IFERROR(AVERAGEIFS(INDIRECT("Tabela1["&amp;$B42&amp;"]"),Tabela1[Turno],$D42,Tabela1[Data Corrigida],Y$3)/100,"")</f>
        <v/>
      </c>
      <c r="Z42" s="34" t="str">
        <f ca="1">IFERROR(AVERAGEIFS(INDIRECT("Tabela1["&amp;$B42&amp;"]"),Tabela1[Turno],$D42,Tabela1[Data Corrigida],Z$3)/100,"")</f>
        <v/>
      </c>
      <c r="AA42" s="34" t="str">
        <f ca="1">IFERROR(AVERAGEIFS(INDIRECT("Tabela1["&amp;$B42&amp;"]"),Tabela1[Turno],$D42,Tabela1[Data Corrigida],AA$3)/100,"")</f>
        <v/>
      </c>
      <c r="AB42" s="34" t="str">
        <f ca="1">IFERROR(AVERAGEIFS(INDIRECT("Tabela1["&amp;$B42&amp;"]"),Tabela1[Turno],$D42,Tabela1[Data Corrigida],AB$3)/100,"")</f>
        <v/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>
        <f ca="1">IFERROR(AVERAGEIFS(INDIRECT("Tabela1["&amp;$B43&amp;"]"),Tabela1[Turno],$D43,Tabela1[Mês],N$3)/100,"")</f>
        <v>4.2943225051609059E-2</v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3.2689532689532681E-2</v>
      </c>
      <c r="S43" s="36">
        <f ca="1">IFERROR(AVERAGEIFS(INDIRECT("Tabela1["&amp;$B43&amp;"]"),Tabela1[Turno],$D43,Tabela1[Data Corrigida],S$3)/100,"")</f>
        <v>2.5449271701145762E-2</v>
      </c>
      <c r="T43" s="36">
        <f ca="1">IFERROR(AVERAGEIFS(INDIRECT("Tabela1["&amp;$B43&amp;"]"),Tabela1[Turno],$D43,Tabela1[Data Corrigida],T$3)/100,"")</f>
        <v>7.0690870764148747E-2</v>
      </c>
      <c r="U43" s="36" t="str">
        <f ca="1">IFERROR(AVERAGEIFS(INDIRECT("Tabela1["&amp;$B43&amp;"]"),Tabela1[Turno],$D43,Tabela1[Data Corrigida],U$3)/100,"")</f>
        <v/>
      </c>
      <c r="V43" s="36" t="str">
        <f ca="1">IFERROR(AVERAGEIFS(INDIRECT("Tabela1["&amp;$B43&amp;"]"),Tabela1[Turno],$D43,Tabela1[Data Corrigida],V$3)/100,"")</f>
        <v/>
      </c>
      <c r="W43" s="36" t="str">
        <f ca="1">IFERROR(AVERAGEIFS(INDIRECT("Tabela1["&amp;$B43&amp;"]"),Tabela1[Turno],$D43,Tabela1[Data Corrigida],W$3)/100,"")</f>
        <v/>
      </c>
      <c r="X43" s="36" t="str">
        <f ca="1">IFERROR(AVERAGEIFS(INDIRECT("Tabela1["&amp;$B43&amp;"]"),Tabela1[Turno],$D43,Tabela1[Data Corrigida],X$3)/100,"")</f>
        <v/>
      </c>
      <c r="Y43" s="36" t="str">
        <f ca="1">IFERROR(AVERAGEIFS(INDIRECT("Tabela1["&amp;$B43&amp;"]"),Tabela1[Turno],$D43,Tabela1[Data Corrigida],Y$3)/100,"")</f>
        <v/>
      </c>
      <c r="Z43" s="36" t="str">
        <f ca="1">IFERROR(AVERAGEIFS(INDIRECT("Tabela1["&amp;$B43&amp;"]"),Tabela1[Turno],$D43,Tabela1[Data Corrigida],Z$3)/100,"")</f>
        <v/>
      </c>
      <c r="AA43" s="36" t="str">
        <f ca="1">IFERROR(AVERAGEIFS(INDIRECT("Tabela1["&amp;$B43&amp;"]"),Tabela1[Turno],$D43,Tabela1[Data Corrigida],AA$3)/100,"")</f>
        <v/>
      </c>
      <c r="AB43" s="36" t="str">
        <f ca="1">IFERROR(AVERAGEIFS(INDIRECT("Tabela1["&amp;$B43&amp;"]"),Tabela1[Turno],$D43,Tabela1[Data Corrigida],AB$3)/100,"")</f>
        <v/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>
        <f ca="1">IFERROR(AVERAGEIFS(INDIRECT("Tabela1["&amp;$B44&amp;"]"),Tabela1[Mês],N$3)/100,"")</f>
        <v>4.0653689366965742E-2</v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3.7079897328344526E-2</v>
      </c>
      <c r="S44" s="38">
        <f ca="1">IFERROR(AVERAGEIFS(INDIRECT("Tabela1["&amp;$B44&amp;"]"),Tabela1[Data Corrigida],S$3)/100,"")</f>
        <v>3.1667568078998128E-2</v>
      </c>
      <c r="T44" s="38">
        <f ca="1">IFERROR(AVERAGEIFS(INDIRECT("Tabela1["&amp;$B44&amp;"]"),Tabela1[Data Corrigida],T$3)/100,"")</f>
        <v>6.2633537688496166E-2</v>
      </c>
      <c r="U44" s="38" t="str">
        <f ca="1">IFERROR(AVERAGEIFS(INDIRECT("Tabela1["&amp;$B44&amp;"]"),Tabela1[Data Corrigida],U$3)/100,"")</f>
        <v/>
      </c>
      <c r="V44" s="38" t="str">
        <f ca="1">IFERROR(AVERAGEIFS(INDIRECT("Tabela1["&amp;$B44&amp;"]"),Tabela1[Data Corrigida],V$3)/100,"")</f>
        <v/>
      </c>
      <c r="W44" s="38" t="str">
        <f ca="1">IFERROR(AVERAGEIFS(INDIRECT("Tabela1["&amp;$B44&amp;"]"),Tabela1[Data Corrigida],W$3)/100,"")</f>
        <v/>
      </c>
      <c r="X44" s="38" t="str">
        <f ca="1">IFERROR(AVERAGEIFS(INDIRECT("Tabela1["&amp;$B44&amp;"]"),Tabela1[Data Corrigida],X$3)/100,"")</f>
        <v/>
      </c>
      <c r="Y44" s="38" t="str">
        <f ca="1">IFERROR(AVERAGEIFS(INDIRECT("Tabela1["&amp;$B44&amp;"]"),Tabela1[Data Corrigida],Y$3)/100,"")</f>
        <v/>
      </c>
      <c r="Z44" s="38" t="str">
        <f ca="1">IFERROR(AVERAGEIFS(INDIRECT("Tabela1["&amp;$B44&amp;"]"),Tabela1[Data Corrigida],Z$3)/100,"")</f>
        <v/>
      </c>
      <c r="AA44" s="38" t="str">
        <f ca="1">IFERROR(AVERAGEIFS(INDIRECT("Tabela1["&amp;$B44&amp;"]"),Tabela1[Data Corrigida],AA$3)/100,"")</f>
        <v/>
      </c>
      <c r="AB44" s="38" t="str">
        <f ca="1">IFERROR(AVERAGEIFS(INDIRECT("Tabela1["&amp;$B44&amp;"]"),Tabela1[Data Corrigida],AB$3)/100,"")</f>
        <v/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>
        <f ca="1">IFERROR(AVERAGEIFS(INDIRECT("Tabela1["&amp;$B45&amp;"]"),Tabela1[Turno],$D45,Tabela1[Mês],N$3)/100,"")</f>
        <v>4.3953026316976784E-2</v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4.3478260869565216E-2</v>
      </c>
      <c r="S45" s="40">
        <f ca="1">IFERROR(AVERAGEIFS(INDIRECT("Tabela1["&amp;$B45&amp;"]"),Tabela1[Turno],$D45,Tabela1[Data Corrigida],S$3)/100,"")</f>
        <v>4.4198099625683843E-2</v>
      </c>
      <c r="T45" s="40">
        <f ca="1">IFERROR(AVERAGEIFS(INDIRECT("Tabela1["&amp;$B45&amp;"]"),Tabela1[Turno],$D45,Tabela1[Data Corrigida],T$3)/100,"")</f>
        <v>4.4871794871794872E-2</v>
      </c>
      <c r="U45" s="40" t="str">
        <f ca="1">IFERROR(AVERAGEIFS(INDIRECT("Tabela1["&amp;$B45&amp;"]"),Tabela1[Turno],$D45,Tabela1[Data Corrigida],U$3)/100,"")</f>
        <v/>
      </c>
      <c r="V45" s="40" t="str">
        <f ca="1">IFERROR(AVERAGEIFS(INDIRECT("Tabela1["&amp;$B45&amp;"]"),Tabela1[Turno],$D45,Tabela1[Data Corrigida],V$3)/100,"")</f>
        <v/>
      </c>
      <c r="W45" s="40" t="str">
        <f ca="1">IFERROR(AVERAGEIFS(INDIRECT("Tabela1["&amp;$B45&amp;"]"),Tabela1[Turno],$D45,Tabela1[Data Corrigida],W$3)/100,"")</f>
        <v/>
      </c>
      <c r="X45" s="40" t="str">
        <f ca="1">IFERROR(AVERAGEIFS(INDIRECT("Tabela1["&amp;$B45&amp;"]"),Tabela1[Turno],$D45,Tabela1[Data Corrigida],X$3)/100,"")</f>
        <v/>
      </c>
      <c r="Y45" s="40" t="str">
        <f ca="1">IFERROR(AVERAGEIFS(INDIRECT("Tabela1["&amp;$B45&amp;"]"),Tabela1[Turno],$D45,Tabela1[Data Corrigida],Y$3)/100,"")</f>
        <v/>
      </c>
      <c r="Z45" s="40" t="str">
        <f ca="1">IFERROR(AVERAGEIFS(INDIRECT("Tabela1["&amp;$B45&amp;"]"),Tabela1[Turno],$D45,Tabela1[Data Corrigida],Z$3)/100,"")</f>
        <v/>
      </c>
      <c r="AA45" s="40" t="str">
        <f ca="1">IFERROR(AVERAGEIFS(INDIRECT("Tabela1["&amp;$B45&amp;"]"),Tabela1[Turno],$D45,Tabela1[Data Corrigida],AA$3)/100,"")</f>
        <v/>
      </c>
      <c r="AB45" s="40" t="str">
        <f ca="1">IFERROR(AVERAGEIFS(INDIRECT("Tabela1["&amp;$B45&amp;"]"),Tabela1[Turno],$D45,Tabela1[Data Corrigida],AB$3)/100,"")</f>
        <v/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>
        <f ca="1">IFERROR(AVERAGEIFS(INDIRECT("Tabela1["&amp;$B46&amp;"]"),Tabela1[Turno],$D46,Tabela1[Mês],N$3)/100,"")</f>
        <v>4.3684350487690392E-2</v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4.5336145336145328E-2</v>
      </c>
      <c r="S46" s="36">
        <f ca="1">IFERROR(AVERAGEIFS(INDIRECT("Tabela1["&amp;$B46&amp;"]"),Tabela1[Turno],$D46,Tabela1[Data Corrigida],S$3)/100,"")</f>
        <v>3.7473937024161914E-2</v>
      </c>
      <c r="T46" s="36">
        <f ca="1">IFERROR(AVERAGEIFS(INDIRECT("Tabela1["&amp;$B46&amp;"]"),Tabela1[Turno],$D46,Tabela1[Data Corrigida],T$3)/100,"")</f>
        <v>4.8242969102763926E-2</v>
      </c>
      <c r="U46" s="36" t="str">
        <f ca="1">IFERROR(AVERAGEIFS(INDIRECT("Tabela1["&amp;$B46&amp;"]"),Tabela1[Turno],$D46,Tabela1[Data Corrigida],U$3)/100,"")</f>
        <v/>
      </c>
      <c r="V46" s="36" t="str">
        <f ca="1">IFERROR(AVERAGEIFS(INDIRECT("Tabela1["&amp;$B46&amp;"]"),Tabela1[Turno],$D46,Tabela1[Data Corrigida],V$3)/100,"")</f>
        <v/>
      </c>
      <c r="W46" s="36" t="str">
        <f ca="1">IFERROR(AVERAGEIFS(INDIRECT("Tabela1["&amp;$B46&amp;"]"),Tabela1[Turno],$D46,Tabela1[Data Corrigida],W$3)/100,"")</f>
        <v/>
      </c>
      <c r="X46" s="36" t="str">
        <f ca="1">IFERROR(AVERAGEIFS(INDIRECT("Tabela1["&amp;$B46&amp;"]"),Tabela1[Turno],$D46,Tabela1[Data Corrigida],X$3)/100,"")</f>
        <v/>
      </c>
      <c r="Y46" s="36" t="str">
        <f ca="1">IFERROR(AVERAGEIFS(INDIRECT("Tabela1["&amp;$B46&amp;"]"),Tabela1[Turno],$D46,Tabela1[Data Corrigida],Y$3)/100,"")</f>
        <v/>
      </c>
      <c r="Z46" s="36" t="str">
        <f ca="1">IFERROR(AVERAGEIFS(INDIRECT("Tabela1["&amp;$B46&amp;"]"),Tabela1[Turno],$D46,Tabela1[Data Corrigida],Z$3)/100,"")</f>
        <v/>
      </c>
      <c r="AA46" s="36" t="str">
        <f ca="1">IFERROR(AVERAGEIFS(INDIRECT("Tabela1["&amp;$B46&amp;"]"),Tabela1[Turno],$D46,Tabela1[Data Corrigida],AA$3)/100,"")</f>
        <v/>
      </c>
      <c r="AB46" s="36" t="str">
        <f ca="1">IFERROR(AVERAGEIFS(INDIRECT("Tabela1["&amp;$B46&amp;"]"),Tabela1[Turno],$D46,Tabela1[Data Corrigida],AB$3)/100,"")</f>
        <v/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>
        <f ca="1">IFERROR(AVERAGEIFS(INDIRECT("Tabela1["&amp;$B47&amp;"]"),Tabela1[Mês],N$3)/100,"")</f>
        <v>4.3818688402333592E-2</v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4.4274497069528122E-2</v>
      </c>
      <c r="S47" s="43">
        <f ca="1">IFERROR(AVERAGEIFS(INDIRECT("Tabela1["&amp;$B47&amp;"]"),Tabela1[Data Corrigida],S$3)/100,"")</f>
        <v>4.1316315653603025E-2</v>
      </c>
      <c r="T47" s="43">
        <f ca="1">IFERROR(AVERAGEIFS(INDIRECT("Tabela1["&amp;$B47&amp;"]"),Tabela1[Data Corrigida],T$3)/100,"")</f>
        <v>4.7400175545021669E-2</v>
      </c>
      <c r="U47" s="43" t="str">
        <f ca="1">IFERROR(AVERAGEIFS(INDIRECT("Tabela1["&amp;$B47&amp;"]"),Tabela1[Data Corrigida],U$3)/100,"")</f>
        <v/>
      </c>
      <c r="V47" s="43" t="str">
        <f ca="1">IFERROR(AVERAGEIFS(INDIRECT("Tabela1["&amp;$B47&amp;"]"),Tabela1[Data Corrigida],V$3)/100,"")</f>
        <v/>
      </c>
      <c r="W47" s="43" t="str">
        <f ca="1">IFERROR(AVERAGEIFS(INDIRECT("Tabela1["&amp;$B47&amp;"]"),Tabela1[Data Corrigida],W$3)/100,"")</f>
        <v/>
      </c>
      <c r="X47" s="43" t="str">
        <f ca="1">IFERROR(AVERAGEIFS(INDIRECT("Tabela1["&amp;$B47&amp;"]"),Tabela1[Data Corrigida],X$3)/100,"")</f>
        <v/>
      </c>
      <c r="Y47" s="43" t="str">
        <f ca="1">IFERROR(AVERAGEIFS(INDIRECT("Tabela1["&amp;$B47&amp;"]"),Tabela1[Data Corrigida],Y$3)/100,"")</f>
        <v/>
      </c>
      <c r="Z47" s="43" t="str">
        <f ca="1">IFERROR(AVERAGEIFS(INDIRECT("Tabela1["&amp;$B47&amp;"]"),Tabela1[Data Corrigida],Z$3)/100,"")</f>
        <v/>
      </c>
      <c r="AA47" s="43" t="str">
        <f ca="1">IFERROR(AVERAGEIFS(INDIRECT("Tabela1["&amp;$B47&amp;"]"),Tabela1[Data Corrigida],AA$3)/100,"")</f>
        <v/>
      </c>
      <c r="AB47" s="43" t="str">
        <f ca="1">IFERROR(AVERAGEIFS(INDIRECT("Tabela1["&amp;$B47&amp;"]"),Tabela1[Data Corrigida],AB$3)/100,"")</f>
        <v/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>
        <f ca="1">IFERROR(AVERAGEIFS(INDIRECT("Tabela1["&amp;$B48&amp;"]"),Tabela1[Turno],$D48,Tabela1[Mês],N$3)/100,"")</f>
        <v>9.1309363552381107E-3</v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6.2111801242236021E-3</v>
      </c>
      <c r="S48" s="34">
        <f ca="1">IFERROR(AVERAGEIFS(INDIRECT("Tabela1["&amp;$B48&amp;"]"),Tabela1[Turno],$D48,Tabela1[Data Corrigida],S$3)/100,"")</f>
        <v>1.2730862572498045E-2</v>
      </c>
      <c r="T48" s="34">
        <f ca="1">IFERROR(AVERAGEIFS(INDIRECT("Tabela1["&amp;$B48&amp;"]"),Tabela1[Turno],$D48,Tabela1[Data Corrigida],T$3)/100,"")</f>
        <v>6.41025641025641E-3</v>
      </c>
      <c r="U48" s="34" t="str">
        <f ca="1">IFERROR(AVERAGEIFS(INDIRECT("Tabela1["&amp;$B48&amp;"]"),Tabela1[Turno],$D48,Tabela1[Data Corrigida],U$3)/100,"")</f>
        <v/>
      </c>
      <c r="V48" s="34" t="str">
        <f ca="1">IFERROR(AVERAGEIFS(INDIRECT("Tabela1["&amp;$B48&amp;"]"),Tabela1[Turno],$D48,Tabela1[Data Corrigida],V$3)/100,"")</f>
        <v/>
      </c>
      <c r="W48" s="34" t="str">
        <f ca="1">IFERROR(AVERAGEIFS(INDIRECT("Tabela1["&amp;$B48&amp;"]"),Tabela1[Turno],$D48,Tabela1[Data Corrigida],W$3)/100,"")</f>
        <v/>
      </c>
      <c r="X48" s="34" t="str">
        <f ca="1">IFERROR(AVERAGEIFS(INDIRECT("Tabela1["&amp;$B48&amp;"]"),Tabela1[Turno],$D48,Tabela1[Data Corrigida],X$3)/100,"")</f>
        <v/>
      </c>
      <c r="Y48" s="34" t="str">
        <f ca="1">IFERROR(AVERAGEIFS(INDIRECT("Tabela1["&amp;$B48&amp;"]"),Tabela1[Turno],$D48,Tabela1[Data Corrigida],Y$3)/100,"")</f>
        <v/>
      </c>
      <c r="Z48" s="34" t="str">
        <f ca="1">IFERROR(AVERAGEIFS(INDIRECT("Tabela1["&amp;$B48&amp;"]"),Tabela1[Turno],$D48,Tabela1[Data Corrigida],Z$3)/100,"")</f>
        <v/>
      </c>
      <c r="AA48" s="34" t="str">
        <f ca="1">IFERROR(AVERAGEIFS(INDIRECT("Tabela1["&amp;$B48&amp;"]"),Tabela1[Turno],$D48,Tabela1[Data Corrigida],AA$3)/100,"")</f>
        <v/>
      </c>
      <c r="AB48" s="34" t="str">
        <f ca="1">IFERROR(AVERAGEIFS(INDIRECT("Tabela1["&amp;$B48&amp;"]"),Tabela1[Turno],$D48,Tabela1[Data Corrigida],AB$3)/100,"")</f>
        <v/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>
        <f ca="1">IFERROR(AVERAGEIFS(INDIRECT("Tabela1["&amp;$B49&amp;"]"),Tabela1[Turno],$D49,Tabela1[Mês],N$3)/100,"")</f>
        <v>1.3802622498274672E-3</v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2.0703933747412005E-3</v>
      </c>
      <c r="T49" s="36">
        <f ca="1">IFERROR(AVERAGEIFS(INDIRECT("Tabela1["&amp;$B49&amp;"]"),Tabela1[Turno],$D49,Tabela1[Data Corrigida],T$3)/100,"")</f>
        <v>2.0703933747412005E-3</v>
      </c>
      <c r="U49" s="36" t="str">
        <f ca="1">IFERROR(AVERAGEIFS(INDIRECT("Tabela1["&amp;$B49&amp;"]"),Tabela1[Turno],$D49,Tabela1[Data Corrigida],U$3)/100,"")</f>
        <v/>
      </c>
      <c r="V49" s="36" t="str">
        <f ca="1">IFERROR(AVERAGEIFS(INDIRECT("Tabela1["&amp;$B49&amp;"]"),Tabela1[Turno],$D49,Tabela1[Data Corrigida],V$3)/100,"")</f>
        <v/>
      </c>
      <c r="W49" s="36" t="str">
        <f ca="1">IFERROR(AVERAGEIFS(INDIRECT("Tabela1["&amp;$B49&amp;"]"),Tabela1[Turno],$D49,Tabela1[Data Corrigida],W$3)/100,"")</f>
        <v/>
      </c>
      <c r="X49" s="36" t="str">
        <f ca="1">IFERROR(AVERAGEIFS(INDIRECT("Tabela1["&amp;$B49&amp;"]"),Tabela1[Turno],$D49,Tabela1[Data Corrigida],X$3)/100,"")</f>
        <v/>
      </c>
      <c r="Y49" s="36" t="str">
        <f ca="1">IFERROR(AVERAGEIFS(INDIRECT("Tabela1["&amp;$B49&amp;"]"),Tabela1[Turno],$D49,Tabela1[Data Corrigida],Y$3)/100,"")</f>
        <v/>
      </c>
      <c r="Z49" s="36" t="str">
        <f ca="1">IFERROR(AVERAGEIFS(INDIRECT("Tabela1["&amp;$B49&amp;"]"),Tabela1[Turno],$D49,Tabela1[Data Corrigida],Z$3)/100,"")</f>
        <v/>
      </c>
      <c r="AA49" s="36" t="str">
        <f ca="1">IFERROR(AVERAGEIFS(INDIRECT("Tabela1["&amp;$B49&amp;"]"),Tabela1[Turno],$D49,Tabela1[Data Corrigida],AA$3)/100,"")</f>
        <v/>
      </c>
      <c r="AB49" s="36" t="str">
        <f ca="1">IFERROR(AVERAGEIFS(INDIRECT("Tabela1["&amp;$B49&amp;"]"),Tabela1[Turno],$D49,Tabela1[Data Corrigida],AB$3)/100,"")</f>
        <v/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>
        <f ca="1">IFERROR(AVERAGEIFS(INDIRECT("Tabela1["&amp;$B50&amp;"]"),Tabela1[Mês],N$3)/100,"")</f>
        <v>5.2555993025327893E-3</v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3.5492457852706301E-3</v>
      </c>
      <c r="S50" s="38">
        <f ca="1">IFERROR(AVERAGEIFS(INDIRECT("Tabela1["&amp;$B50&amp;"]"),Tabela1[Data Corrigida],S$3)/100,"")</f>
        <v>8.1620900591736836E-3</v>
      </c>
      <c r="T50" s="38">
        <f ca="1">IFERROR(AVERAGEIFS(INDIRECT("Tabela1["&amp;$B50&amp;"]"),Tabela1[Data Corrigida],T$3)/100,"")</f>
        <v>3.1553591336200026E-3</v>
      </c>
      <c r="U50" s="38" t="str">
        <f ca="1">IFERROR(AVERAGEIFS(INDIRECT("Tabela1["&amp;$B50&amp;"]"),Tabela1[Data Corrigida],U$3)/100,"")</f>
        <v/>
      </c>
      <c r="V50" s="38" t="str">
        <f ca="1">IFERROR(AVERAGEIFS(INDIRECT("Tabela1["&amp;$B50&amp;"]"),Tabela1[Data Corrigida],V$3)/100,"")</f>
        <v/>
      </c>
      <c r="W50" s="38" t="str">
        <f ca="1">IFERROR(AVERAGEIFS(INDIRECT("Tabela1["&amp;$B50&amp;"]"),Tabela1[Data Corrigida],W$3)/100,"")</f>
        <v/>
      </c>
      <c r="X50" s="38" t="str">
        <f ca="1">IFERROR(AVERAGEIFS(INDIRECT("Tabela1["&amp;$B50&amp;"]"),Tabela1[Data Corrigida],X$3)/100,"")</f>
        <v/>
      </c>
      <c r="Y50" s="38" t="str">
        <f ca="1">IFERROR(AVERAGEIFS(INDIRECT("Tabela1["&amp;$B50&amp;"]"),Tabela1[Data Corrigida],Y$3)/100,"")</f>
        <v/>
      </c>
      <c r="Z50" s="38" t="str">
        <f ca="1">IFERROR(AVERAGEIFS(INDIRECT("Tabela1["&amp;$B50&amp;"]"),Tabela1[Data Corrigida],Z$3)/100,"")</f>
        <v/>
      </c>
      <c r="AA50" s="38" t="str">
        <f ca="1">IFERROR(AVERAGEIFS(INDIRECT("Tabela1["&amp;$B50&amp;"]"),Tabela1[Data Corrigida],AA$3)/100,"")</f>
        <v/>
      </c>
      <c r="AB50" s="38" t="str">
        <f ca="1">IFERROR(AVERAGEIFS(INDIRECT("Tabela1["&amp;$B50&amp;"]"),Tabela1[Data Corrigida],AB$3)/100,"")</f>
        <v/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>
        <f ca="1">IFERROR(AVERAGEIFS(INDIRECT("Tabela1["&amp;$B51&amp;"]"),Tabela1[Turno],$D51,Tabela1[Mês],N$3)/100,"")</f>
        <v>0.4</v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0.38</v>
      </c>
      <c r="S51" s="40">
        <f ca="1">IFERROR(AVERAGEIFS(INDIRECT("Tabela1["&amp;$B51&amp;"]"),Tabela1[Turno],$D51,Tabela1[Data Corrigida],S$3)/100,"")</f>
        <v>0.42</v>
      </c>
      <c r="T51" s="40">
        <f ca="1">IFERROR(AVERAGEIFS(INDIRECT("Tabela1["&amp;$B51&amp;"]"),Tabela1[Turno],$D51,Tabela1[Data Corrigida],T$3)/100,"")</f>
        <v>0.4</v>
      </c>
      <c r="U51" s="40" t="str">
        <f ca="1">IFERROR(AVERAGEIFS(INDIRECT("Tabela1["&amp;$B51&amp;"]"),Tabela1[Turno],$D51,Tabela1[Data Corrigida],U$3)/100,"")</f>
        <v/>
      </c>
      <c r="V51" s="40" t="str">
        <f ca="1">IFERROR(AVERAGEIFS(INDIRECT("Tabela1["&amp;$B51&amp;"]"),Tabela1[Turno],$D51,Tabela1[Data Corrigida],V$3)/100,"")</f>
        <v/>
      </c>
      <c r="W51" s="40" t="str">
        <f ca="1">IFERROR(AVERAGEIFS(INDIRECT("Tabela1["&amp;$B51&amp;"]"),Tabela1[Turno],$D51,Tabela1[Data Corrigida],W$3)/100,"")</f>
        <v/>
      </c>
      <c r="X51" s="40" t="str">
        <f ca="1">IFERROR(AVERAGEIFS(INDIRECT("Tabela1["&amp;$B51&amp;"]"),Tabela1[Turno],$D51,Tabela1[Data Corrigida],X$3)/100,"")</f>
        <v/>
      </c>
      <c r="Y51" s="40" t="str">
        <f ca="1">IFERROR(AVERAGEIFS(INDIRECT("Tabela1["&amp;$B51&amp;"]"),Tabela1[Turno],$D51,Tabela1[Data Corrigida],Y$3)/100,"")</f>
        <v/>
      </c>
      <c r="Z51" s="40" t="str">
        <f ca="1">IFERROR(AVERAGEIFS(INDIRECT("Tabela1["&amp;$B51&amp;"]"),Tabela1[Turno],$D51,Tabela1[Data Corrigida],Z$3)/100,"")</f>
        <v/>
      </c>
      <c r="AA51" s="40" t="str">
        <f ca="1">IFERROR(AVERAGEIFS(INDIRECT("Tabela1["&amp;$B51&amp;"]"),Tabela1[Turno],$D51,Tabela1[Data Corrigida],AA$3)/100,"")</f>
        <v/>
      </c>
      <c r="AB51" s="40" t="str">
        <f ca="1">IFERROR(AVERAGEIFS(INDIRECT("Tabela1["&amp;$B51&amp;"]"),Tabela1[Turno],$D51,Tabela1[Data Corrigida],AB$3)/100,"")</f>
        <v/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>
        <f ca="1">IFERROR(AVERAGEIFS(INDIRECT("Tabela1["&amp;$B52&amp;"]"),Tabela1[Turno],$D52,Tabela1[Mês],N$3)/100,"")</f>
        <v>0.33777777777777779</v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0.34</v>
      </c>
      <c r="S52" s="36">
        <f ca="1">IFERROR(AVERAGEIFS(INDIRECT("Tabela1["&amp;$B52&amp;"]"),Tabela1[Turno],$D52,Tabela1[Data Corrigida],S$3)/100,"")</f>
        <v>0.32</v>
      </c>
      <c r="T52" s="36">
        <f ca="1">IFERROR(AVERAGEIFS(INDIRECT("Tabela1["&amp;$B52&amp;"]"),Tabela1[Turno],$D52,Tabela1[Data Corrigida],T$3)/100,"")</f>
        <v>0.35333333333333333</v>
      </c>
      <c r="U52" s="36" t="str">
        <f ca="1">IFERROR(AVERAGEIFS(INDIRECT("Tabela1["&amp;$B52&amp;"]"),Tabela1[Turno],$D52,Tabela1[Data Corrigida],U$3)/100,"")</f>
        <v/>
      </c>
      <c r="V52" s="36" t="str">
        <f ca="1">IFERROR(AVERAGEIFS(INDIRECT("Tabela1["&amp;$B52&amp;"]"),Tabela1[Turno],$D52,Tabela1[Data Corrigida],V$3)/100,"")</f>
        <v/>
      </c>
      <c r="W52" s="36" t="str">
        <f ca="1">IFERROR(AVERAGEIFS(INDIRECT("Tabela1["&amp;$B52&amp;"]"),Tabela1[Turno],$D52,Tabela1[Data Corrigida],W$3)/100,"")</f>
        <v/>
      </c>
      <c r="X52" s="36" t="str">
        <f ca="1">IFERROR(AVERAGEIFS(INDIRECT("Tabela1["&amp;$B52&amp;"]"),Tabela1[Turno],$D52,Tabela1[Data Corrigida],X$3)/100,"")</f>
        <v/>
      </c>
      <c r="Y52" s="36" t="str">
        <f ca="1">IFERROR(AVERAGEIFS(INDIRECT("Tabela1["&amp;$B52&amp;"]"),Tabela1[Turno],$D52,Tabela1[Data Corrigida],Y$3)/100,"")</f>
        <v/>
      </c>
      <c r="Z52" s="36" t="str">
        <f ca="1">IFERROR(AVERAGEIFS(INDIRECT("Tabela1["&amp;$B52&amp;"]"),Tabela1[Turno],$D52,Tabela1[Data Corrigida],Z$3)/100,"")</f>
        <v/>
      </c>
      <c r="AA52" s="36" t="str">
        <f ca="1">IFERROR(AVERAGEIFS(INDIRECT("Tabela1["&amp;$B52&amp;"]"),Tabela1[Turno],$D52,Tabela1[Data Corrigida],AA$3)/100,"")</f>
        <v/>
      </c>
      <c r="AB52" s="36" t="str">
        <f ca="1">IFERROR(AVERAGEIFS(INDIRECT("Tabela1["&amp;$B52&amp;"]"),Tabela1[Turno],$D52,Tabela1[Data Corrigida],AB$3)/100,"")</f>
        <v/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>
        <f ca="1">IFERROR(AVERAGEIFS(INDIRECT("Tabela1["&amp;$B53&amp;"]"),Tabela1[Mês],N$3)/100,"")</f>
        <v>0.36888888888888888</v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0.36285714285714282</v>
      </c>
      <c r="S53" s="53">
        <f ca="1">IFERROR(AVERAGEIFS(INDIRECT("Tabela1["&amp;$B53&amp;"]"),Tabela1[Data Corrigida],S$3)/100,"")</f>
        <v>0.37714285714285717</v>
      </c>
      <c r="T53" s="53">
        <f ca="1">IFERROR(AVERAGEIFS(INDIRECT("Tabela1["&amp;$B53&amp;"]"),Tabela1[Data Corrigida],T$3)/100,"")</f>
        <v>0.36499999999999999</v>
      </c>
      <c r="U53" s="53" t="str">
        <f ca="1">IFERROR(AVERAGEIFS(INDIRECT("Tabela1["&amp;$B53&amp;"]"),Tabela1[Data Corrigida],U$3)/100,"")</f>
        <v/>
      </c>
      <c r="V53" s="53" t="str">
        <f ca="1">IFERROR(AVERAGEIFS(INDIRECT("Tabela1["&amp;$B53&amp;"]"),Tabela1[Data Corrigida],V$3)/100,"")</f>
        <v/>
      </c>
      <c r="W53" s="53" t="str">
        <f ca="1">IFERROR(AVERAGEIFS(INDIRECT("Tabela1["&amp;$B53&amp;"]"),Tabela1[Data Corrigida],W$3)/100,"")</f>
        <v/>
      </c>
      <c r="X53" s="53" t="str">
        <f ca="1">IFERROR(AVERAGEIFS(INDIRECT("Tabela1["&amp;$B53&amp;"]"),Tabela1[Data Corrigida],X$3)/100,"")</f>
        <v/>
      </c>
      <c r="Y53" s="53" t="str">
        <f ca="1">IFERROR(AVERAGEIFS(INDIRECT("Tabela1["&amp;$B53&amp;"]"),Tabela1[Data Corrigida],Y$3)/100,"")</f>
        <v/>
      </c>
      <c r="Z53" s="53" t="str">
        <f ca="1">IFERROR(AVERAGEIFS(INDIRECT("Tabela1["&amp;$B53&amp;"]"),Tabela1[Data Corrigida],Z$3)/100,"")</f>
        <v/>
      </c>
      <c r="AA53" s="53" t="str">
        <f ca="1">IFERROR(AVERAGEIFS(INDIRECT("Tabela1["&amp;$B53&amp;"]"),Tabela1[Data Corrigida],AA$3)/100,"")</f>
        <v/>
      </c>
      <c r="AB53" s="53" t="str">
        <f ca="1">IFERROR(AVERAGEIFS(INDIRECT("Tabela1["&amp;$B53&amp;"]"),Tabela1[Data Corrigida],AB$3)/100,"")</f>
        <v/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>
        <f ca="1">IFERROR(AVERAGEIFS(INDIRECT("Tabela1["&amp;$B54&amp;"]"),Tabela1[Turno],$D54,Tabela1[Mês],N$3)/100,"")</f>
        <v>8.8888888888888889E-3</v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1.4999999999999999E-2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0.02</v>
      </c>
      <c r="U54" s="40" t="str">
        <f ca="1">IFERROR(AVERAGEIFS(INDIRECT("Tabela1["&amp;$B54&amp;"]"),Tabela1[Turno],$D54,Tabela1[Data Corrigida],U$3)/100,"")</f>
        <v/>
      </c>
      <c r="V54" s="40" t="str">
        <f ca="1">IFERROR(AVERAGEIFS(INDIRECT("Tabela1["&amp;$B54&amp;"]"),Tabela1[Turno],$D54,Tabela1[Data Corrigida],V$3)/100,"")</f>
        <v/>
      </c>
      <c r="W54" s="40" t="str">
        <f ca="1">IFERROR(AVERAGEIFS(INDIRECT("Tabela1["&amp;$B54&amp;"]"),Tabela1[Turno],$D54,Tabela1[Data Corrigida],W$3)/100,"")</f>
        <v/>
      </c>
      <c r="X54" s="40" t="str">
        <f ca="1">IFERROR(AVERAGEIFS(INDIRECT("Tabela1["&amp;$B54&amp;"]"),Tabela1[Turno],$D54,Tabela1[Data Corrigida],X$3)/100,"")</f>
        <v/>
      </c>
      <c r="Y54" s="40" t="str">
        <f ca="1">IFERROR(AVERAGEIFS(INDIRECT("Tabela1["&amp;$B54&amp;"]"),Tabela1[Turno],$D54,Tabela1[Data Corrigida],Y$3)/100,"")</f>
        <v/>
      </c>
      <c r="Z54" s="40" t="str">
        <f ca="1">IFERROR(AVERAGEIFS(INDIRECT("Tabela1["&amp;$B54&amp;"]"),Tabela1[Turno],$D54,Tabela1[Data Corrigida],Z$3)/100,"")</f>
        <v/>
      </c>
      <c r="AA54" s="40" t="str">
        <f ca="1">IFERROR(AVERAGEIFS(INDIRECT("Tabela1["&amp;$B54&amp;"]"),Tabela1[Turno],$D54,Tabela1[Data Corrigida],AA$3)/100,"")</f>
        <v/>
      </c>
      <c r="AB54" s="40" t="str">
        <f ca="1">IFERROR(AVERAGEIFS(INDIRECT("Tabela1["&amp;$B54&amp;"]"),Tabela1[Turno],$D54,Tabela1[Data Corrigida],AB$3)/100,"")</f>
        <v/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>
        <f ca="1">IFERROR(AVERAGEIFS(INDIRECT("Tabela1["&amp;$B55&amp;"]"),Tabela1[Turno],$D55,Tabela1[Mês],N$3)/100,"")</f>
        <v>2.2222222222222222E-3</v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0</v>
      </c>
      <c r="S55" s="36">
        <f ca="1">IFERROR(AVERAGEIFS(INDIRECT("Tabela1["&amp;$B55&amp;"]"),Tabela1[Turno],$D55,Tabela1[Data Corrigida],S$3)/100,"")</f>
        <v>6.6666666666666662E-3</v>
      </c>
      <c r="T55" s="36">
        <f ca="1">IFERROR(AVERAGEIFS(INDIRECT("Tabela1["&amp;$B55&amp;"]"),Tabela1[Turno],$D55,Tabela1[Data Corrigida],T$3)/100,"")</f>
        <v>0</v>
      </c>
      <c r="U55" s="36" t="str">
        <f ca="1">IFERROR(AVERAGEIFS(INDIRECT("Tabela1["&amp;$B55&amp;"]"),Tabela1[Turno],$D55,Tabela1[Data Corrigida],U$3)/100,"")</f>
        <v/>
      </c>
      <c r="V55" s="36" t="str">
        <f ca="1">IFERROR(AVERAGEIFS(INDIRECT("Tabela1["&amp;$B55&amp;"]"),Tabela1[Turno],$D55,Tabela1[Data Corrigida],V$3)/100,"")</f>
        <v/>
      </c>
      <c r="W55" s="36" t="str">
        <f ca="1">IFERROR(AVERAGEIFS(INDIRECT("Tabela1["&amp;$B55&amp;"]"),Tabela1[Turno],$D55,Tabela1[Data Corrigida],W$3)/100,"")</f>
        <v/>
      </c>
      <c r="X55" s="36" t="str">
        <f ca="1">IFERROR(AVERAGEIFS(INDIRECT("Tabela1["&amp;$B55&amp;"]"),Tabela1[Turno],$D55,Tabela1[Data Corrigida],X$3)/100,"")</f>
        <v/>
      </c>
      <c r="Y55" s="36" t="str">
        <f ca="1">IFERROR(AVERAGEIFS(INDIRECT("Tabela1["&amp;$B55&amp;"]"),Tabela1[Turno],$D55,Tabela1[Data Corrigida],Y$3)/100,"")</f>
        <v/>
      </c>
      <c r="Z55" s="36" t="str">
        <f ca="1">IFERROR(AVERAGEIFS(INDIRECT("Tabela1["&amp;$B55&amp;"]"),Tabela1[Turno],$D55,Tabela1[Data Corrigida],Z$3)/100,"")</f>
        <v/>
      </c>
      <c r="AA55" s="36" t="str">
        <f ca="1">IFERROR(AVERAGEIFS(INDIRECT("Tabela1["&amp;$B55&amp;"]"),Tabela1[Turno],$D55,Tabela1[Data Corrigida],AA$3)/100,"")</f>
        <v/>
      </c>
      <c r="AB55" s="36" t="str">
        <f ca="1">IFERROR(AVERAGEIFS(INDIRECT("Tabela1["&amp;$B55&amp;"]"),Tabela1[Turno],$D55,Tabela1[Data Corrigida],AB$3)/100,"")</f>
        <v/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>
        <f ca="1">IFERROR(AVERAGEIFS(INDIRECT("Tabela1["&amp;$B56&amp;"]"),Tabela1[Mês],N$3)/100,"")</f>
        <v>5.5555555555555558E-3</v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8.5714285714285701E-3</v>
      </c>
      <c r="S56" s="38">
        <f ca="1">IFERROR(AVERAGEIFS(INDIRECT("Tabela1["&amp;$B56&amp;"]"),Tabela1[Data Corrigida],S$3)/100,"")</f>
        <v>2.8571428571428571E-3</v>
      </c>
      <c r="T56" s="38">
        <f ca="1">IFERROR(AVERAGEIFS(INDIRECT("Tabela1["&amp;$B56&amp;"]"),Tabela1[Data Corrigida],T$3)/100,"")</f>
        <v>5.0000000000000001E-3</v>
      </c>
      <c r="U56" s="38" t="str">
        <f ca="1">IFERROR(AVERAGEIFS(INDIRECT("Tabela1["&amp;$B56&amp;"]"),Tabela1[Data Corrigida],U$3)/100,"")</f>
        <v/>
      </c>
      <c r="V56" s="38" t="str">
        <f ca="1">IFERROR(AVERAGEIFS(INDIRECT("Tabela1["&amp;$B56&amp;"]"),Tabela1[Data Corrigida],V$3)/100,"")</f>
        <v/>
      </c>
      <c r="W56" s="38" t="str">
        <f ca="1">IFERROR(AVERAGEIFS(INDIRECT("Tabela1["&amp;$B56&amp;"]"),Tabela1[Data Corrigida],W$3)/100,"")</f>
        <v/>
      </c>
      <c r="X56" s="38" t="str">
        <f ca="1">IFERROR(AVERAGEIFS(INDIRECT("Tabela1["&amp;$B56&amp;"]"),Tabela1[Data Corrigida],X$3)/100,"")</f>
        <v/>
      </c>
      <c r="Y56" s="38" t="str">
        <f ca="1">IFERROR(AVERAGEIFS(INDIRECT("Tabela1["&amp;$B56&amp;"]"),Tabela1[Data Corrigida],Y$3)/100,"")</f>
        <v/>
      </c>
      <c r="Z56" s="38" t="str">
        <f ca="1">IFERROR(AVERAGEIFS(INDIRECT("Tabela1["&amp;$B56&amp;"]"),Tabela1[Data Corrigida],Z$3)/100,"")</f>
        <v/>
      </c>
      <c r="AA56" s="38" t="str">
        <f ca="1">IFERROR(AVERAGEIFS(INDIRECT("Tabela1["&amp;$B56&amp;"]"),Tabela1[Data Corrigida],AA$3)/100,"")</f>
        <v/>
      </c>
      <c r="AB56" s="38" t="str">
        <f ca="1">IFERROR(AVERAGEIFS(INDIRECT("Tabela1["&amp;$B56&amp;"]"),Tabela1[Data Corrigida],AB$3)/100,"")</f>
        <v/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>
        <f ca="1">IFERROR(AVERAGEIFS(INDIRECT("Tabela1["&amp;$B57&amp;"]"),Tabela1[Turno],$D57,Tabela1[Mês],N$3)/100,"")</f>
        <v>8.8888888888888889E-3</v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1.4999999999999999E-2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0.02</v>
      </c>
      <c r="U57" s="40" t="str">
        <f ca="1">IFERROR(AVERAGEIFS(INDIRECT("Tabela1["&amp;$B57&amp;"]"),Tabela1[Turno],$D57,Tabela1[Data Corrigida],U$3)/100,"")</f>
        <v/>
      </c>
      <c r="V57" s="40" t="str">
        <f ca="1">IFERROR(AVERAGEIFS(INDIRECT("Tabela1["&amp;$B57&amp;"]"),Tabela1[Turno],$D57,Tabela1[Data Corrigida],V$3)/100,"")</f>
        <v/>
      </c>
      <c r="W57" s="40" t="str">
        <f ca="1">IFERROR(AVERAGEIFS(INDIRECT("Tabela1["&amp;$B57&amp;"]"),Tabela1[Turno],$D57,Tabela1[Data Corrigida],W$3)/100,"")</f>
        <v/>
      </c>
      <c r="X57" s="40" t="str">
        <f ca="1">IFERROR(AVERAGEIFS(INDIRECT("Tabela1["&amp;$B57&amp;"]"),Tabela1[Turno],$D57,Tabela1[Data Corrigida],X$3)/100,"")</f>
        <v/>
      </c>
      <c r="Y57" s="40" t="str">
        <f ca="1">IFERROR(AVERAGEIFS(INDIRECT("Tabela1["&amp;$B57&amp;"]"),Tabela1[Turno],$D57,Tabela1[Data Corrigida],Y$3)/100,"")</f>
        <v/>
      </c>
      <c r="Z57" s="40" t="str">
        <f ca="1">IFERROR(AVERAGEIFS(INDIRECT("Tabela1["&amp;$B57&amp;"]"),Tabela1[Turno],$D57,Tabela1[Data Corrigida],Z$3)/100,"")</f>
        <v/>
      </c>
      <c r="AA57" s="40" t="str">
        <f ca="1">IFERROR(AVERAGEIFS(INDIRECT("Tabela1["&amp;$B57&amp;"]"),Tabela1[Turno],$D57,Tabela1[Data Corrigida],AA$3)/100,"")</f>
        <v/>
      </c>
      <c r="AB57" s="40" t="str">
        <f ca="1">IFERROR(AVERAGEIFS(INDIRECT("Tabela1["&amp;$B57&amp;"]"),Tabela1[Turno],$D57,Tabela1[Data Corrigida],AB$3)/100,"")</f>
        <v/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>
        <f ca="1">IFERROR(AVERAGEIFS(INDIRECT("Tabela1["&amp;$B58&amp;"]"),Tabela1[Turno],$D58,Tabela1[Mês],N$3)/100,"")</f>
        <v>6.6666666666666662E-3</v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1.3333333333333332E-2</v>
      </c>
      <c r="S58" s="36">
        <f ca="1">IFERROR(AVERAGEIFS(INDIRECT("Tabela1["&amp;$B58&amp;"]"),Tabela1[Turno],$D58,Tabela1[Data Corrigida],S$3)/100,"")</f>
        <v>6.6666666666666662E-3</v>
      </c>
      <c r="T58" s="36">
        <f ca="1">IFERROR(AVERAGEIFS(INDIRECT("Tabela1["&amp;$B58&amp;"]"),Tabela1[Turno],$D58,Tabela1[Data Corrigida],T$3)/100,"")</f>
        <v>0</v>
      </c>
      <c r="U58" s="36" t="str">
        <f ca="1">IFERROR(AVERAGEIFS(INDIRECT("Tabela1["&amp;$B58&amp;"]"),Tabela1[Turno],$D58,Tabela1[Data Corrigida],U$3)/100,"")</f>
        <v/>
      </c>
      <c r="V58" s="36" t="str">
        <f ca="1">IFERROR(AVERAGEIFS(INDIRECT("Tabela1["&amp;$B58&amp;"]"),Tabela1[Turno],$D58,Tabela1[Data Corrigida],V$3)/100,"")</f>
        <v/>
      </c>
      <c r="W58" s="36" t="str">
        <f ca="1">IFERROR(AVERAGEIFS(INDIRECT("Tabela1["&amp;$B58&amp;"]"),Tabela1[Turno],$D58,Tabela1[Data Corrigida],W$3)/100,"")</f>
        <v/>
      </c>
      <c r="X58" s="36" t="str">
        <f ca="1">IFERROR(AVERAGEIFS(INDIRECT("Tabela1["&amp;$B58&amp;"]"),Tabela1[Turno],$D58,Tabela1[Data Corrigida],X$3)/100,"")</f>
        <v/>
      </c>
      <c r="Y58" s="36" t="str">
        <f ca="1">IFERROR(AVERAGEIFS(INDIRECT("Tabela1["&amp;$B58&amp;"]"),Tabela1[Turno],$D58,Tabela1[Data Corrigida],Y$3)/100,"")</f>
        <v/>
      </c>
      <c r="Z58" s="36" t="str">
        <f ca="1">IFERROR(AVERAGEIFS(INDIRECT("Tabela1["&amp;$B58&amp;"]"),Tabela1[Turno],$D58,Tabela1[Data Corrigida],Z$3)/100,"")</f>
        <v/>
      </c>
      <c r="AA58" s="36" t="str">
        <f ca="1">IFERROR(AVERAGEIFS(INDIRECT("Tabela1["&amp;$B58&amp;"]"),Tabela1[Turno],$D58,Tabela1[Data Corrigida],AA$3)/100,"")</f>
        <v/>
      </c>
      <c r="AB58" s="36" t="str">
        <f ca="1">IFERROR(AVERAGEIFS(INDIRECT("Tabela1["&amp;$B58&amp;"]"),Tabela1[Turno],$D58,Tabela1[Data Corrigida],AB$3)/100,"")</f>
        <v/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>
        <f ca="1">IFERROR(AVERAGEIFS(INDIRECT("Tabela1["&amp;$B59&amp;"]"),Tabela1[Mês],N$3)/100,"")</f>
        <v>7.7777777777777776E-3</v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1.4285714285714285E-2</v>
      </c>
      <c r="S59" s="43">
        <f ca="1">IFERROR(AVERAGEIFS(INDIRECT("Tabela1["&amp;$B59&amp;"]"),Tabela1[Data Corrigida],S$3)/100,"")</f>
        <v>2.8571428571428571E-3</v>
      </c>
      <c r="T59" s="43">
        <f ca="1">IFERROR(AVERAGEIFS(INDIRECT("Tabela1["&amp;$B59&amp;"]"),Tabela1[Data Corrigida],T$3)/100,"")</f>
        <v>5.0000000000000001E-3</v>
      </c>
      <c r="U59" s="43" t="str">
        <f ca="1">IFERROR(AVERAGEIFS(INDIRECT("Tabela1["&amp;$B59&amp;"]"),Tabela1[Data Corrigida],U$3)/100,"")</f>
        <v/>
      </c>
      <c r="V59" s="43" t="str">
        <f ca="1">IFERROR(AVERAGEIFS(INDIRECT("Tabela1["&amp;$B59&amp;"]"),Tabela1[Data Corrigida],V$3)/100,"")</f>
        <v/>
      </c>
      <c r="W59" s="43" t="str">
        <f ca="1">IFERROR(AVERAGEIFS(INDIRECT("Tabela1["&amp;$B59&amp;"]"),Tabela1[Data Corrigida],W$3)/100,"")</f>
        <v/>
      </c>
      <c r="X59" s="43" t="str">
        <f ca="1">IFERROR(AVERAGEIFS(INDIRECT("Tabela1["&amp;$B59&amp;"]"),Tabela1[Data Corrigida],X$3)/100,"")</f>
        <v/>
      </c>
      <c r="Y59" s="43" t="str">
        <f ca="1">IFERROR(AVERAGEIFS(INDIRECT("Tabela1["&amp;$B59&amp;"]"),Tabela1[Data Corrigida],Y$3)/100,"")</f>
        <v/>
      </c>
      <c r="Z59" s="43" t="str">
        <f ca="1">IFERROR(AVERAGEIFS(INDIRECT("Tabela1["&amp;$B59&amp;"]"),Tabela1[Data Corrigida],Z$3)/100,"")</f>
        <v/>
      </c>
      <c r="AA59" s="43" t="str">
        <f ca="1">IFERROR(AVERAGEIFS(INDIRECT("Tabela1["&amp;$B59&amp;"]"),Tabela1[Data Corrigida],AA$3)/100,"")</f>
        <v/>
      </c>
      <c r="AB59" s="43" t="str">
        <f ca="1">IFERROR(AVERAGEIFS(INDIRECT("Tabela1["&amp;$B59&amp;"]"),Tabela1[Data Corrigida],AB$3)/100,"")</f>
        <v/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>
        <f ca="1">IFERROR(AVERAGEIFS(INDIRECT("Tabela1["&amp;$B60&amp;"]"),Tabela1[Turno],$D60,Tabela1[Mês],N$3)/100,"")</f>
        <v>0.19888888888888889</v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0.215</v>
      </c>
      <c r="S60" s="34">
        <f ca="1">IFERROR(AVERAGEIFS(INDIRECT("Tabela1["&amp;$B60&amp;"]"),Tabela1[Turno],$D60,Tabela1[Data Corrigida],S$3)/100,"")</f>
        <v>0.19500000000000001</v>
      </c>
      <c r="T60" s="34">
        <f ca="1">IFERROR(AVERAGEIFS(INDIRECT("Tabela1["&amp;$B60&amp;"]"),Tabela1[Turno],$D60,Tabela1[Data Corrigida],T$3)/100,"")</f>
        <v>0.15</v>
      </c>
      <c r="U60" s="34" t="str">
        <f ca="1">IFERROR(AVERAGEIFS(INDIRECT("Tabela1["&amp;$B60&amp;"]"),Tabela1[Turno],$D60,Tabela1[Data Corrigida],U$3)/100,"")</f>
        <v/>
      </c>
      <c r="V60" s="34" t="str">
        <f ca="1">IFERROR(AVERAGEIFS(INDIRECT("Tabela1["&amp;$B60&amp;"]"),Tabela1[Turno],$D60,Tabela1[Data Corrigida],V$3)/100,"")</f>
        <v/>
      </c>
      <c r="W60" s="34" t="str">
        <f ca="1">IFERROR(AVERAGEIFS(INDIRECT("Tabela1["&amp;$B60&amp;"]"),Tabela1[Turno],$D60,Tabela1[Data Corrigida],W$3)/100,"")</f>
        <v/>
      </c>
      <c r="X60" s="34" t="str">
        <f ca="1">IFERROR(AVERAGEIFS(INDIRECT("Tabela1["&amp;$B60&amp;"]"),Tabela1[Turno],$D60,Tabela1[Data Corrigida],X$3)/100,"")</f>
        <v/>
      </c>
      <c r="Y60" s="34" t="str">
        <f ca="1">IFERROR(AVERAGEIFS(INDIRECT("Tabela1["&amp;$B60&amp;"]"),Tabela1[Turno],$D60,Tabela1[Data Corrigida],Y$3)/100,"")</f>
        <v/>
      </c>
      <c r="Z60" s="34" t="str">
        <f ca="1">IFERROR(AVERAGEIFS(INDIRECT("Tabela1["&amp;$B60&amp;"]"),Tabela1[Turno],$D60,Tabela1[Data Corrigida],Z$3)/100,"")</f>
        <v/>
      </c>
      <c r="AA60" s="34" t="str">
        <f ca="1">IFERROR(AVERAGEIFS(INDIRECT("Tabela1["&amp;$B60&amp;"]"),Tabela1[Turno],$D60,Tabela1[Data Corrigida],AA$3)/100,"")</f>
        <v/>
      </c>
      <c r="AB60" s="34" t="str">
        <f ca="1">IFERROR(AVERAGEIFS(INDIRECT("Tabela1["&amp;$B60&amp;"]"),Tabela1[Turno],$D60,Tabela1[Data Corrigida],AB$3)/100,"")</f>
        <v/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>
        <f ca="1">IFERROR(AVERAGEIFS(INDIRECT("Tabela1["&amp;$B61&amp;"]"),Tabela1[Turno],$D61,Tabela1[Mês],N$3)/100,"")</f>
        <v>0.20333333333333331</v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0.19666666666666668</v>
      </c>
      <c r="S61" s="36">
        <f ca="1">IFERROR(AVERAGEIFS(INDIRECT("Tabela1["&amp;$B61&amp;"]"),Tabela1[Turno],$D61,Tabela1[Data Corrigida],S$3)/100,"")</f>
        <v>0.20333333333333331</v>
      </c>
      <c r="T61" s="36">
        <f ca="1">IFERROR(AVERAGEIFS(INDIRECT("Tabela1["&amp;$B61&amp;"]"),Tabela1[Turno],$D61,Tabela1[Data Corrigida],T$3)/100,"")</f>
        <v>0.21</v>
      </c>
      <c r="U61" s="36" t="str">
        <f ca="1">IFERROR(AVERAGEIFS(INDIRECT("Tabela1["&amp;$B61&amp;"]"),Tabela1[Turno],$D61,Tabela1[Data Corrigida],U$3)/100,"")</f>
        <v/>
      </c>
      <c r="V61" s="36" t="str">
        <f ca="1">IFERROR(AVERAGEIFS(INDIRECT("Tabela1["&amp;$B61&amp;"]"),Tabela1[Turno],$D61,Tabela1[Data Corrigida],V$3)/100,"")</f>
        <v/>
      </c>
      <c r="W61" s="36" t="str">
        <f ca="1">IFERROR(AVERAGEIFS(INDIRECT("Tabela1["&amp;$B61&amp;"]"),Tabela1[Turno],$D61,Tabela1[Data Corrigida],W$3)/100,"")</f>
        <v/>
      </c>
      <c r="X61" s="36" t="str">
        <f ca="1">IFERROR(AVERAGEIFS(INDIRECT("Tabela1["&amp;$B61&amp;"]"),Tabela1[Turno],$D61,Tabela1[Data Corrigida],X$3)/100,"")</f>
        <v/>
      </c>
      <c r="Y61" s="36" t="str">
        <f ca="1">IFERROR(AVERAGEIFS(INDIRECT("Tabela1["&amp;$B61&amp;"]"),Tabela1[Turno],$D61,Tabela1[Data Corrigida],Y$3)/100,"")</f>
        <v/>
      </c>
      <c r="Z61" s="36" t="str">
        <f ca="1">IFERROR(AVERAGEIFS(INDIRECT("Tabela1["&amp;$B61&amp;"]"),Tabela1[Turno],$D61,Tabela1[Data Corrigida],Z$3)/100,"")</f>
        <v/>
      </c>
      <c r="AA61" s="36" t="str">
        <f ca="1">IFERROR(AVERAGEIFS(INDIRECT("Tabela1["&amp;$B61&amp;"]"),Tabela1[Turno],$D61,Tabela1[Data Corrigida],AA$3)/100,"")</f>
        <v/>
      </c>
      <c r="AB61" s="36" t="str">
        <f ca="1">IFERROR(AVERAGEIFS(INDIRECT("Tabela1["&amp;$B61&amp;"]"),Tabela1[Turno],$D61,Tabela1[Data Corrigida],AB$3)/100,"")</f>
        <v/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>
        <f ca="1">IFERROR(AVERAGEIFS(INDIRECT("Tabela1["&amp;$B62&amp;"]"),Tabela1[Mês],N$3)/100,"")</f>
        <v>0.2011111111111111</v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0.20714285714285716</v>
      </c>
      <c r="S62" s="38">
        <f ca="1">IFERROR(AVERAGEIFS(INDIRECT("Tabela1["&amp;$B62&amp;"]"),Tabela1[Data Corrigida],S$3)/100,"")</f>
        <v>0.19857142857142857</v>
      </c>
      <c r="T62" s="38">
        <f ca="1">IFERROR(AVERAGEIFS(INDIRECT("Tabela1["&amp;$B62&amp;"]"),Tabela1[Data Corrigida],T$3)/100,"")</f>
        <v>0.19500000000000001</v>
      </c>
      <c r="U62" s="38" t="str">
        <f ca="1">IFERROR(AVERAGEIFS(INDIRECT("Tabela1["&amp;$B62&amp;"]"),Tabela1[Data Corrigida],U$3)/100,"")</f>
        <v/>
      </c>
      <c r="V62" s="38" t="str">
        <f ca="1">IFERROR(AVERAGEIFS(INDIRECT("Tabela1["&amp;$B62&amp;"]"),Tabela1[Data Corrigida],V$3)/100,"")</f>
        <v/>
      </c>
      <c r="W62" s="38" t="str">
        <f ca="1">IFERROR(AVERAGEIFS(INDIRECT("Tabela1["&amp;$B62&amp;"]"),Tabela1[Data Corrigida],W$3)/100,"")</f>
        <v/>
      </c>
      <c r="X62" s="38" t="str">
        <f ca="1">IFERROR(AVERAGEIFS(INDIRECT("Tabela1["&amp;$B62&amp;"]"),Tabela1[Data Corrigida],X$3)/100,"")</f>
        <v/>
      </c>
      <c r="Y62" s="38" t="str">
        <f ca="1">IFERROR(AVERAGEIFS(INDIRECT("Tabela1["&amp;$B62&amp;"]"),Tabela1[Data Corrigida],Y$3)/100,"")</f>
        <v/>
      </c>
      <c r="Z62" s="38" t="str">
        <f ca="1">IFERROR(AVERAGEIFS(INDIRECT("Tabela1["&amp;$B62&amp;"]"),Tabela1[Data Corrigida],Z$3)/100,"")</f>
        <v/>
      </c>
      <c r="AA62" s="38" t="str">
        <f ca="1">IFERROR(AVERAGEIFS(INDIRECT("Tabela1["&amp;$B62&amp;"]"),Tabela1[Data Corrigida],AA$3)/100,"")</f>
        <v/>
      </c>
      <c r="AB62" s="38" t="str">
        <f ca="1">IFERROR(AVERAGEIFS(INDIRECT("Tabela1["&amp;$B62&amp;"]"),Tabela1[Data Corrigida],AB$3)/100,"")</f>
        <v/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>
        <f ca="1">IFERROR(AVERAGEIFS(INDIRECT("Tabela1["&amp;$B63&amp;"]"),Tabela1[Turno],$D63,Tabela1[Mês],N$3)/100,"")</f>
        <v>0.21444444444444444</v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0.1925</v>
      </c>
      <c r="S63" s="40">
        <f ca="1">IFERROR(AVERAGEIFS(INDIRECT("Tabela1["&amp;$B63&amp;"]"),Tabela1[Turno],$D63,Tabela1[Data Corrigida],S$3)/100,"")</f>
        <v>0.23</v>
      </c>
      <c r="T63" s="40">
        <f ca="1">IFERROR(AVERAGEIFS(INDIRECT("Tabela1["&amp;$B63&amp;"]"),Tabela1[Turno],$D63,Tabela1[Data Corrigida],T$3)/100,"")</f>
        <v>0.24</v>
      </c>
      <c r="U63" s="40" t="str">
        <f ca="1">IFERROR(AVERAGEIFS(INDIRECT("Tabela1["&amp;$B63&amp;"]"),Tabela1[Turno],$D63,Tabela1[Data Corrigida],U$3)/100,"")</f>
        <v/>
      </c>
      <c r="V63" s="40" t="str">
        <f ca="1">IFERROR(AVERAGEIFS(INDIRECT("Tabela1["&amp;$B63&amp;"]"),Tabela1[Turno],$D63,Tabela1[Data Corrigida],V$3)/100,"")</f>
        <v/>
      </c>
      <c r="W63" s="40" t="str">
        <f ca="1">IFERROR(AVERAGEIFS(INDIRECT("Tabela1["&amp;$B63&amp;"]"),Tabela1[Turno],$D63,Tabela1[Data Corrigida],W$3)/100,"")</f>
        <v/>
      </c>
      <c r="X63" s="40" t="str">
        <f ca="1">IFERROR(AVERAGEIFS(INDIRECT("Tabela1["&amp;$B63&amp;"]"),Tabela1[Turno],$D63,Tabela1[Data Corrigida],X$3)/100,"")</f>
        <v/>
      </c>
      <c r="Y63" s="40" t="str">
        <f ca="1">IFERROR(AVERAGEIFS(INDIRECT("Tabela1["&amp;$B63&amp;"]"),Tabela1[Turno],$D63,Tabela1[Data Corrigida],Y$3)/100,"")</f>
        <v/>
      </c>
      <c r="Z63" s="40" t="str">
        <f ca="1">IFERROR(AVERAGEIFS(INDIRECT("Tabela1["&amp;$B63&amp;"]"),Tabela1[Turno],$D63,Tabela1[Data Corrigida],Z$3)/100,"")</f>
        <v/>
      </c>
      <c r="AA63" s="40" t="str">
        <f ca="1">IFERROR(AVERAGEIFS(INDIRECT("Tabela1["&amp;$B63&amp;"]"),Tabela1[Turno],$D63,Tabela1[Data Corrigida],AA$3)/100,"")</f>
        <v/>
      </c>
      <c r="AB63" s="40" t="str">
        <f ca="1">IFERROR(AVERAGEIFS(INDIRECT("Tabela1["&amp;$B63&amp;"]"),Tabela1[Turno],$D63,Tabela1[Data Corrigida],AB$3)/100,"")</f>
        <v/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>
        <f ca="1">IFERROR(AVERAGEIFS(INDIRECT("Tabela1["&amp;$B64&amp;"]"),Tabela1[Turno],$D64,Tabela1[Mês],N$3)/100,"")</f>
        <v>0.17222222222222222</v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0.15333333333333335</v>
      </c>
      <c r="S64" s="36">
        <f ca="1">IFERROR(AVERAGEIFS(INDIRECT("Tabela1["&amp;$B64&amp;"]"),Tabela1[Turno],$D64,Tabela1[Data Corrigida],S$3)/100,"")</f>
        <v>0.17666666666666667</v>
      </c>
      <c r="T64" s="36">
        <f ca="1">IFERROR(AVERAGEIFS(INDIRECT("Tabela1["&amp;$B64&amp;"]"),Tabela1[Turno],$D64,Tabela1[Data Corrigida],T$3)/100,"")</f>
        <v>0.18666666666666668</v>
      </c>
      <c r="U64" s="36" t="str">
        <f ca="1">IFERROR(AVERAGEIFS(INDIRECT("Tabela1["&amp;$B64&amp;"]"),Tabela1[Turno],$D64,Tabela1[Data Corrigida],U$3)/100,"")</f>
        <v/>
      </c>
      <c r="V64" s="36" t="str">
        <f ca="1">IFERROR(AVERAGEIFS(INDIRECT("Tabela1["&amp;$B64&amp;"]"),Tabela1[Turno],$D64,Tabela1[Data Corrigida],V$3)/100,"")</f>
        <v/>
      </c>
      <c r="W64" s="36" t="str">
        <f ca="1">IFERROR(AVERAGEIFS(INDIRECT("Tabela1["&amp;$B64&amp;"]"),Tabela1[Turno],$D64,Tabela1[Data Corrigida],W$3)/100,"")</f>
        <v/>
      </c>
      <c r="X64" s="36" t="str">
        <f ca="1">IFERROR(AVERAGEIFS(INDIRECT("Tabela1["&amp;$B64&amp;"]"),Tabela1[Turno],$D64,Tabela1[Data Corrigida],X$3)/100,"")</f>
        <v/>
      </c>
      <c r="Y64" s="36" t="str">
        <f ca="1">IFERROR(AVERAGEIFS(INDIRECT("Tabela1["&amp;$B64&amp;"]"),Tabela1[Turno],$D64,Tabela1[Data Corrigida],Y$3)/100,"")</f>
        <v/>
      </c>
      <c r="Z64" s="36" t="str">
        <f ca="1">IFERROR(AVERAGEIFS(INDIRECT("Tabela1["&amp;$B64&amp;"]"),Tabela1[Turno],$D64,Tabela1[Data Corrigida],Z$3)/100,"")</f>
        <v/>
      </c>
      <c r="AA64" s="36" t="str">
        <f ca="1">IFERROR(AVERAGEIFS(INDIRECT("Tabela1["&amp;$B64&amp;"]"),Tabela1[Turno],$D64,Tabela1[Data Corrigida],AA$3)/100,"")</f>
        <v/>
      </c>
      <c r="AB64" s="36" t="str">
        <f ca="1">IFERROR(AVERAGEIFS(INDIRECT("Tabela1["&amp;$B64&amp;"]"),Tabela1[Turno],$D64,Tabela1[Data Corrigida],AB$3)/100,"")</f>
        <v/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>
        <f ca="1">IFERROR(AVERAGEIFS(INDIRECT("Tabela1["&amp;$B65&amp;"]"),Tabela1[Mês],N$3)/100,"")</f>
        <v>0.19333333333333333</v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0.17571428571428574</v>
      </c>
      <c r="S65" s="38">
        <f ca="1">IFERROR(AVERAGEIFS(INDIRECT("Tabela1["&amp;$B65&amp;"]"),Tabela1[Data Corrigida],S$3)/100,"")</f>
        <v>0.20714285714285716</v>
      </c>
      <c r="T65" s="38">
        <f ca="1">IFERROR(AVERAGEIFS(INDIRECT("Tabela1["&amp;$B65&amp;"]"),Tabela1[Data Corrigida],T$3)/100,"")</f>
        <v>0.2</v>
      </c>
      <c r="U65" s="38" t="str">
        <f ca="1">IFERROR(AVERAGEIFS(INDIRECT("Tabela1["&amp;$B65&amp;"]"),Tabela1[Data Corrigida],U$3)/100,"")</f>
        <v/>
      </c>
      <c r="V65" s="38" t="str">
        <f ca="1">IFERROR(AVERAGEIFS(INDIRECT("Tabela1["&amp;$B65&amp;"]"),Tabela1[Data Corrigida],V$3)/100,"")</f>
        <v/>
      </c>
      <c r="W65" s="38" t="str">
        <f ca="1">IFERROR(AVERAGEIFS(INDIRECT("Tabela1["&amp;$B65&amp;"]"),Tabela1[Data Corrigida],W$3)/100,"")</f>
        <v/>
      </c>
      <c r="X65" s="38" t="str">
        <f ca="1">IFERROR(AVERAGEIFS(INDIRECT("Tabela1["&amp;$B65&amp;"]"),Tabela1[Data Corrigida],X$3)/100,"")</f>
        <v/>
      </c>
      <c r="Y65" s="38" t="str">
        <f ca="1">IFERROR(AVERAGEIFS(INDIRECT("Tabela1["&amp;$B65&amp;"]"),Tabela1[Data Corrigida],Y$3)/100,"")</f>
        <v/>
      </c>
      <c r="Z65" s="38" t="str">
        <f ca="1">IFERROR(AVERAGEIFS(INDIRECT("Tabela1["&amp;$B65&amp;"]"),Tabela1[Data Corrigida],Z$3)/100,"")</f>
        <v/>
      </c>
      <c r="AA65" s="38" t="str">
        <f ca="1">IFERROR(AVERAGEIFS(INDIRECT("Tabela1["&amp;$B65&amp;"]"),Tabela1[Data Corrigida],AA$3)/100,"")</f>
        <v/>
      </c>
      <c r="AB65" s="38" t="str">
        <f ca="1">IFERROR(AVERAGEIFS(INDIRECT("Tabela1["&amp;$B65&amp;"]"),Tabela1[Data Corrigida],AB$3)/100,"")</f>
        <v/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>
        <f ca="1">IFERROR(AVERAGEIFS(INDIRECT("Tabela1["&amp;$B66&amp;"]"),Tabela1[Turno],$D66,Tabela1[Mês],N$3)/32,"")</f>
        <v>6.2500000000000003E-3</v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>
        <f ca="1">IFERROR(AVERAGEIFS(INDIRECT("Tabela1["&amp;$B66&amp;"]"),Tabela1[Turno],$D66,Tabela1[Data Corrigida],R$3)/32,"")</f>
        <v>1.0416666666666666E-2</v>
      </c>
      <c r="S66" s="34">
        <f ca="1">IFERROR(AVERAGEIFS(INDIRECT("Tabela1["&amp;$B66&amp;"]"),Tabela1[Turno],$D66,Tabela1[Data Corrigida],S$3)/32,"")</f>
        <v>0</v>
      </c>
      <c r="T66" s="34" t="str">
        <f ca="1">IFERROR(AVERAGEIFS(INDIRECT("Tabela1["&amp;$B66&amp;"]"),Tabela1[Turno],$D66,Tabela1[Data Corrigida],T$3)/32,"")</f>
        <v/>
      </c>
      <c r="U66" s="34" t="str">
        <f ca="1">IFERROR(AVERAGEIFS(INDIRECT("Tabela1["&amp;$B66&amp;"]"),Tabela1[Turno],$D66,Tabela1[Data Corrigida],U$3)/32,"")</f>
        <v/>
      </c>
      <c r="V66" s="34" t="str">
        <f ca="1">IFERROR(AVERAGEIFS(INDIRECT("Tabela1["&amp;$B66&amp;"]"),Tabela1[Turno],$D66,Tabela1[Data Corrigida],V$3)/32,"")</f>
        <v/>
      </c>
      <c r="W66" s="34" t="str">
        <f ca="1">IFERROR(AVERAGEIFS(INDIRECT("Tabela1["&amp;$B66&amp;"]"),Tabela1[Turno],$D66,Tabela1[Data Corrigida],W$3)/32,"")</f>
        <v/>
      </c>
      <c r="X66" s="34" t="str">
        <f ca="1">IFERROR(AVERAGEIFS(INDIRECT("Tabela1["&amp;$B66&amp;"]"),Tabela1[Turno],$D66,Tabela1[Data Corrigida],X$3)/32,"")</f>
        <v/>
      </c>
      <c r="Y66" s="34" t="str">
        <f ca="1">IFERROR(AVERAGEIFS(INDIRECT("Tabela1["&amp;$B66&amp;"]"),Tabela1[Turno],$D66,Tabela1[Data Corrigida],Y$3)/32,"")</f>
        <v/>
      </c>
      <c r="Z66" s="34" t="str">
        <f ca="1">IFERROR(AVERAGEIFS(INDIRECT("Tabela1["&amp;$B66&amp;"]"),Tabela1[Turno],$D66,Tabela1[Data Corrigida],Z$3)/32,"")</f>
        <v/>
      </c>
      <c r="AA66" s="34" t="str">
        <f ca="1">IFERROR(AVERAGEIFS(INDIRECT("Tabela1["&amp;$B66&amp;"]"),Tabela1[Turno],$D66,Tabela1[Data Corrigida],AA$3)/32,"")</f>
        <v/>
      </c>
      <c r="AB66" s="34" t="str">
        <f ca="1">IFERROR(AVERAGEIFS(INDIRECT("Tabela1["&amp;$B66&amp;"]"),Tabela1[Turno],$D66,Tabela1[Data Corrigida],AB$3)/32,"")</f>
        <v/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>
        <f ca="1">IFERROR(AVERAGEIFS(INDIRECT("Tabela1["&amp;$B67&amp;"]"),Tabela1[Turno],$D67,Tabela1[Mês],N$3)/32,"")</f>
        <v>5.5555555555555552E-2</v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6.25E-2</v>
      </c>
      <c r="S67" s="36">
        <f ca="1">IFERROR(AVERAGEIFS(INDIRECT("Tabela1["&amp;$B67&amp;"]"),Tabela1[Turno],$D67,Tabela1[Data Corrigida],S$3)/32,"")</f>
        <v>4.1666666666666664E-2</v>
      </c>
      <c r="T67" s="36">
        <f ca="1">IFERROR(AVERAGEIFS(INDIRECT("Tabela1["&amp;$B67&amp;"]"),Tabela1[Turno],$D67,Tabela1[Data Corrigida],T$3)/32,"")</f>
        <v>6.25E-2</v>
      </c>
      <c r="U67" s="36" t="str">
        <f ca="1">IFERROR(AVERAGEIFS(INDIRECT("Tabela1["&amp;$B67&amp;"]"),Tabela1[Turno],$D67,Tabela1[Data Corrigida],U$3)/32,"")</f>
        <v/>
      </c>
      <c r="V67" s="36" t="str">
        <f ca="1">IFERROR(AVERAGEIFS(INDIRECT("Tabela1["&amp;$B67&amp;"]"),Tabela1[Turno],$D67,Tabela1[Data Corrigida],V$3)/32,"")</f>
        <v/>
      </c>
      <c r="W67" s="36" t="str">
        <f ca="1">IFERROR(AVERAGEIFS(INDIRECT("Tabela1["&amp;$B67&amp;"]"),Tabela1[Turno],$D67,Tabela1[Data Corrigida],W$3)/32,"")</f>
        <v/>
      </c>
      <c r="X67" s="36" t="str">
        <f ca="1">IFERROR(AVERAGEIFS(INDIRECT("Tabela1["&amp;$B67&amp;"]"),Tabela1[Turno],$D67,Tabela1[Data Corrigida],X$3)/32,"")</f>
        <v/>
      </c>
      <c r="Y67" s="36" t="str">
        <f ca="1">IFERROR(AVERAGEIFS(INDIRECT("Tabela1["&amp;$B67&amp;"]"),Tabela1[Turno],$D67,Tabela1[Data Corrigida],Y$3)/32,"")</f>
        <v/>
      </c>
      <c r="Z67" s="36" t="str">
        <f ca="1">IFERROR(AVERAGEIFS(INDIRECT("Tabela1["&amp;$B67&amp;"]"),Tabela1[Turno],$D67,Tabela1[Data Corrigida],Z$3)/32,"")</f>
        <v/>
      </c>
      <c r="AA67" s="36" t="str">
        <f ca="1">IFERROR(AVERAGEIFS(INDIRECT("Tabela1["&amp;$B67&amp;"]"),Tabela1[Turno],$D67,Tabela1[Data Corrigida],AA$3)/32,"")</f>
        <v/>
      </c>
      <c r="AB67" s="36" t="str">
        <f ca="1">IFERROR(AVERAGEIFS(INDIRECT("Tabela1["&amp;$B67&amp;"]"),Tabela1[Turno],$D67,Tabela1[Data Corrigida],AB$3)/32,"")</f>
        <v/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>
        <f ca="1">IFERROR(AVERAGEIFS(INDIRECT("Tabela1["&amp;$B68&amp;"]"),Tabela1[Mês],N$3)/32,"")</f>
        <v>3.7946428571428568E-2</v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3.6458333333333336E-2</v>
      </c>
      <c r="S68" s="38">
        <f ca="1">IFERROR(AVERAGEIFS(INDIRECT("Tabela1["&amp;$B68&amp;"]"),Tabela1[Data Corrigida],S$3)/32,"")</f>
        <v>2.5000000000000001E-2</v>
      </c>
      <c r="T68" s="38">
        <f ca="1">IFERROR(AVERAGEIFS(INDIRECT("Tabela1["&amp;$B68&amp;"]"),Tabela1[Data Corrigida],T$3)/32,"")</f>
        <v>6.25E-2</v>
      </c>
      <c r="U68" s="38" t="str">
        <f ca="1">IFERROR(AVERAGEIFS(INDIRECT("Tabela1["&amp;$B68&amp;"]"),Tabela1[Data Corrigida],U$3)/32,"")</f>
        <v/>
      </c>
      <c r="V68" s="38" t="str">
        <f ca="1">IFERROR(AVERAGEIFS(INDIRECT("Tabela1["&amp;$B68&amp;"]"),Tabela1[Data Corrigida],V$3)/32,"")</f>
        <v/>
      </c>
      <c r="W68" s="38" t="str">
        <f ca="1">IFERROR(AVERAGEIFS(INDIRECT("Tabela1["&amp;$B68&amp;"]"),Tabela1[Data Corrigida],W$3)/32,"")</f>
        <v/>
      </c>
      <c r="X68" s="38" t="str">
        <f ca="1">IFERROR(AVERAGEIFS(INDIRECT("Tabela1["&amp;$B68&amp;"]"),Tabela1[Data Corrigida],X$3)/32,"")</f>
        <v/>
      </c>
      <c r="Y68" s="38" t="str">
        <f ca="1">IFERROR(AVERAGEIFS(INDIRECT("Tabela1["&amp;$B68&amp;"]"),Tabela1[Data Corrigida],Y$3)/32,"")</f>
        <v/>
      </c>
      <c r="Z68" s="38" t="str">
        <f ca="1">IFERROR(AVERAGEIFS(INDIRECT("Tabela1["&amp;$B68&amp;"]"),Tabela1[Data Corrigida],Z$3)/32,"")</f>
        <v/>
      </c>
      <c r="AA68" s="38" t="str">
        <f ca="1">IFERROR(AVERAGEIFS(INDIRECT("Tabela1["&amp;$B68&amp;"]"),Tabela1[Data Corrigida],AA$3)/32,"")</f>
        <v/>
      </c>
      <c r="AB68" s="38" t="str">
        <f ca="1">IFERROR(AVERAGEIFS(INDIRECT("Tabela1["&amp;$B68&amp;"]"),Tabela1[Data Corrigida],AB$3)/32,"")</f>
        <v/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>
        <f ca="1">IFERROR(AVERAGEIFS(INDIRECT("Tabela1["&amp;$B69&amp;"]"),Tabela1[Turno],$D69,Tabela1[Mês],N$3)/32,"")</f>
        <v>0</v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>
        <f ca="1">IFERROR(AVERAGEIFS(INDIRECT("Tabela1["&amp;$B69&amp;"]"),Tabela1[Turno],$D69,Tabela1[Data Corrigida],R$3)/32,"")</f>
        <v>0</v>
      </c>
      <c r="S69" s="34">
        <f ca="1">IFERROR(AVERAGEIFS(INDIRECT("Tabela1["&amp;$B69&amp;"]"),Tabela1[Turno],$D69,Tabela1[Data Corrigida],S$3)/32,"")</f>
        <v>0</v>
      </c>
      <c r="T69" s="34" t="str">
        <f ca="1">IFERROR(AVERAGEIFS(INDIRECT("Tabela1["&amp;$B69&amp;"]"),Tabela1[Turno],$D69,Tabela1[Data Corrigida],T$3)/32,"")</f>
        <v/>
      </c>
      <c r="U69" s="34" t="str">
        <f ca="1">IFERROR(AVERAGEIFS(INDIRECT("Tabela1["&amp;$B69&amp;"]"),Tabela1[Turno],$D69,Tabela1[Data Corrigida],U$3)/32,"")</f>
        <v/>
      </c>
      <c r="V69" s="34" t="str">
        <f ca="1">IFERROR(AVERAGEIFS(INDIRECT("Tabela1["&amp;$B69&amp;"]"),Tabela1[Turno],$D69,Tabela1[Data Corrigida],V$3)/32,"")</f>
        <v/>
      </c>
      <c r="W69" s="34" t="str">
        <f ca="1">IFERROR(AVERAGEIFS(INDIRECT("Tabela1["&amp;$B69&amp;"]"),Tabela1[Turno],$D69,Tabela1[Data Corrigida],W$3)/32,"")</f>
        <v/>
      </c>
      <c r="X69" s="34" t="str">
        <f ca="1">IFERROR(AVERAGEIFS(INDIRECT("Tabela1["&amp;$B69&amp;"]"),Tabela1[Turno],$D69,Tabela1[Data Corrigida],X$3)/32,"")</f>
        <v/>
      </c>
      <c r="Y69" s="34" t="str">
        <f ca="1">IFERROR(AVERAGEIFS(INDIRECT("Tabela1["&amp;$B69&amp;"]"),Tabela1[Turno],$D69,Tabela1[Data Corrigida],Y$3)/32,"")</f>
        <v/>
      </c>
      <c r="Z69" s="34" t="str">
        <f ca="1">IFERROR(AVERAGEIFS(INDIRECT("Tabela1["&amp;$B69&amp;"]"),Tabela1[Turno],$D69,Tabela1[Data Corrigida],Z$3)/32,"")</f>
        <v/>
      </c>
      <c r="AA69" s="34" t="str">
        <f ca="1">IFERROR(AVERAGEIFS(INDIRECT("Tabela1["&amp;$B69&amp;"]"),Tabela1[Turno],$D69,Tabela1[Data Corrigida],AA$3)/32,"")</f>
        <v/>
      </c>
      <c r="AB69" s="34" t="str">
        <f ca="1">IFERROR(AVERAGEIFS(INDIRECT("Tabela1["&amp;$B69&amp;"]"),Tabela1[Turno],$D69,Tabela1[Data Corrigida],AB$3)/32,"")</f>
        <v/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>
        <f ca="1">IFERROR(AVERAGEIFS(INDIRECT("Tabela1["&amp;$B70&amp;"]"),Tabela1[Turno],$D70,Tabela1[Mês],N$3)/32,"")</f>
        <v>0</v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 t="str">
        <f ca="1">IFERROR(AVERAGEIFS(INDIRECT("Tabela1["&amp;$B70&amp;"]"),Tabela1[Turno],$D70,Tabela1[Data Corrigida],U$3)/32,"")</f>
        <v/>
      </c>
      <c r="V70" s="36" t="str">
        <f ca="1">IFERROR(AVERAGEIFS(INDIRECT("Tabela1["&amp;$B70&amp;"]"),Tabela1[Turno],$D70,Tabela1[Data Corrigida],V$3)/32,"")</f>
        <v/>
      </c>
      <c r="W70" s="36" t="str">
        <f ca="1">IFERROR(AVERAGEIFS(INDIRECT("Tabela1["&amp;$B70&amp;"]"),Tabela1[Turno],$D70,Tabela1[Data Corrigida],W$3)/32,"")</f>
        <v/>
      </c>
      <c r="X70" s="36" t="str">
        <f ca="1">IFERROR(AVERAGEIFS(INDIRECT("Tabela1["&amp;$B70&amp;"]"),Tabela1[Turno],$D70,Tabela1[Data Corrigida],X$3)/32,"")</f>
        <v/>
      </c>
      <c r="Y70" s="36" t="str">
        <f ca="1">IFERROR(AVERAGEIFS(INDIRECT("Tabela1["&amp;$B70&amp;"]"),Tabela1[Turno],$D70,Tabela1[Data Corrigida],Y$3)/32,"")</f>
        <v/>
      </c>
      <c r="Z70" s="36" t="str">
        <f ca="1">IFERROR(AVERAGEIFS(INDIRECT("Tabela1["&amp;$B70&amp;"]"),Tabela1[Turno],$D70,Tabela1[Data Corrigida],Z$3)/32,"")</f>
        <v/>
      </c>
      <c r="AA70" s="36" t="str">
        <f ca="1">IFERROR(AVERAGEIFS(INDIRECT("Tabela1["&amp;$B70&amp;"]"),Tabela1[Turno],$D70,Tabela1[Data Corrigida],AA$3)/32,"")</f>
        <v/>
      </c>
      <c r="AB70" s="36" t="str">
        <f ca="1">IFERROR(AVERAGEIFS(INDIRECT("Tabela1["&amp;$B70&amp;"]"),Tabela1[Turno],$D70,Tabela1[Data Corrigida],AB$3)/32,"")</f>
        <v/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>
        <f ca="1">IFERROR(AVERAGEIFS(INDIRECT("Tabela1["&amp;$B71&amp;"]"),Tabela1[Mês],N$3)/32,"")</f>
        <v>0</v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 t="str">
        <f ca="1">IFERROR(AVERAGEIFS(INDIRECT("Tabela1["&amp;$B71&amp;"]"),Tabela1[Data Corrigida],U$3)/32,"")</f>
        <v/>
      </c>
      <c r="V71" s="38" t="str">
        <f ca="1">IFERROR(AVERAGEIFS(INDIRECT("Tabela1["&amp;$B71&amp;"]"),Tabela1[Data Corrigida],V$3)/32,"")</f>
        <v/>
      </c>
      <c r="W71" s="38" t="str">
        <f ca="1">IFERROR(AVERAGEIFS(INDIRECT("Tabela1["&amp;$B71&amp;"]"),Tabela1[Data Corrigida],W$3)/32,"")</f>
        <v/>
      </c>
      <c r="X71" s="38" t="str">
        <f ca="1">IFERROR(AVERAGEIFS(INDIRECT("Tabela1["&amp;$B71&amp;"]"),Tabela1[Data Corrigida],X$3)/32,"")</f>
        <v/>
      </c>
      <c r="Y71" s="38" t="str">
        <f ca="1">IFERROR(AVERAGEIFS(INDIRECT("Tabela1["&amp;$B71&amp;"]"),Tabela1[Data Corrigida],Y$3)/32,"")</f>
        <v/>
      </c>
      <c r="Z71" s="38" t="str">
        <f ca="1">IFERROR(AVERAGEIFS(INDIRECT("Tabela1["&amp;$B71&amp;"]"),Tabela1[Data Corrigida],Z$3)/32,"")</f>
        <v/>
      </c>
      <c r="AA71" s="38" t="str">
        <f ca="1">IFERROR(AVERAGEIFS(INDIRECT("Tabela1["&amp;$B71&amp;"]"),Tabela1[Data Corrigida],AA$3)/32,"")</f>
        <v/>
      </c>
      <c r="AB71" s="38" t="str">
        <f ca="1">IFERROR(AVERAGEIFS(INDIRECT("Tabela1["&amp;$B71&amp;"]"),Tabela1[Data Corrigida],AB$3)/32,"")</f>
        <v/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>
        <f ca="1">IFERROR(AVERAGEIFS(INDIRECT("Tabela1["&amp;$B72&amp;"]"),Tabela1[Turno],$D72,Tabela1[Mês],N$3)/32,"")</f>
        <v>3.7499999999999999E-2</v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>
        <f ca="1">IFERROR(AVERAGEIFS(INDIRECT("Tabela1["&amp;$B72&amp;"]"),Tabela1[Turno],$D72,Tabela1[Data Corrigida],R$3)/32,"")</f>
        <v>4.1666666666666664E-2</v>
      </c>
      <c r="S72" s="34">
        <f ca="1">IFERROR(AVERAGEIFS(INDIRECT("Tabela1["&amp;$B72&amp;"]"),Tabela1[Turno],$D72,Tabela1[Data Corrigida],S$3)/32,"")</f>
        <v>3.125E-2</v>
      </c>
      <c r="T72" s="34" t="str">
        <f ca="1">IFERROR(AVERAGEIFS(INDIRECT("Tabela1["&amp;$B72&amp;"]"),Tabela1[Turno],$D72,Tabela1[Data Corrigida],T$3)/32,"")</f>
        <v/>
      </c>
      <c r="U72" s="34" t="str">
        <f ca="1">IFERROR(AVERAGEIFS(INDIRECT("Tabela1["&amp;$B72&amp;"]"),Tabela1[Turno],$D72,Tabela1[Data Corrigida],U$3)/32,"")</f>
        <v/>
      </c>
      <c r="V72" s="34" t="str">
        <f ca="1">IFERROR(AVERAGEIFS(INDIRECT("Tabela1["&amp;$B72&amp;"]"),Tabela1[Turno],$D72,Tabela1[Data Corrigida],V$3)/32,"")</f>
        <v/>
      </c>
      <c r="W72" s="34" t="str">
        <f ca="1">IFERROR(AVERAGEIFS(INDIRECT("Tabela1["&amp;$B72&amp;"]"),Tabela1[Turno],$D72,Tabela1[Data Corrigida],W$3)/32,"")</f>
        <v/>
      </c>
      <c r="X72" s="34" t="str">
        <f ca="1">IFERROR(AVERAGEIFS(INDIRECT("Tabela1["&amp;$B72&amp;"]"),Tabela1[Turno],$D72,Tabela1[Data Corrigida],X$3)/32,"")</f>
        <v/>
      </c>
      <c r="Y72" s="34" t="str">
        <f ca="1">IFERROR(AVERAGEIFS(INDIRECT("Tabela1["&amp;$B72&amp;"]"),Tabela1[Turno],$D72,Tabela1[Data Corrigida],Y$3)/32,"")</f>
        <v/>
      </c>
      <c r="Z72" s="34" t="str">
        <f ca="1">IFERROR(AVERAGEIFS(INDIRECT("Tabela1["&amp;$B72&amp;"]"),Tabela1[Turno],$D72,Tabela1[Data Corrigida],Z$3)/32,"")</f>
        <v/>
      </c>
      <c r="AA72" s="34" t="str">
        <f ca="1">IFERROR(AVERAGEIFS(INDIRECT("Tabela1["&amp;$B72&amp;"]"),Tabela1[Turno],$D72,Tabela1[Data Corrigida],AA$3)/32,"")</f>
        <v/>
      </c>
      <c r="AB72" s="34" t="str">
        <f ca="1">IFERROR(AVERAGEIFS(INDIRECT("Tabela1["&amp;$B72&amp;"]"),Tabela1[Turno],$D72,Tabela1[Data Corrigida],AB$3)/32,"")</f>
        <v/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>
        <f ca="1">IFERROR(AVERAGEIFS(INDIRECT("Tabela1["&amp;$B73&amp;"]"),Tabela1[Turno],$D73,Tabela1[Mês],N$3)/32,"")</f>
        <v>0</v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 t="str">
        <f ca="1">IFERROR(AVERAGEIFS(INDIRECT("Tabela1["&amp;$B73&amp;"]"),Tabela1[Turno],$D73,Tabela1[Data Corrigida],U$3)/32,"")</f>
        <v/>
      </c>
      <c r="V73" s="36" t="str">
        <f ca="1">IFERROR(AVERAGEIFS(INDIRECT("Tabela1["&amp;$B73&amp;"]"),Tabela1[Turno],$D73,Tabela1[Data Corrigida],V$3)/32,"")</f>
        <v/>
      </c>
      <c r="W73" s="36" t="str">
        <f ca="1">IFERROR(AVERAGEIFS(INDIRECT("Tabela1["&amp;$B73&amp;"]"),Tabela1[Turno],$D73,Tabela1[Data Corrigida],W$3)/32,"")</f>
        <v/>
      </c>
      <c r="X73" s="36" t="str">
        <f ca="1">IFERROR(AVERAGEIFS(INDIRECT("Tabela1["&amp;$B73&amp;"]"),Tabela1[Turno],$D73,Tabela1[Data Corrigida],X$3)/32,"")</f>
        <v/>
      </c>
      <c r="Y73" s="36" t="str">
        <f ca="1">IFERROR(AVERAGEIFS(INDIRECT("Tabela1["&amp;$B73&amp;"]"),Tabela1[Turno],$D73,Tabela1[Data Corrigida],Y$3)/32,"")</f>
        <v/>
      </c>
      <c r="Z73" s="36" t="str">
        <f ca="1">IFERROR(AVERAGEIFS(INDIRECT("Tabela1["&amp;$B73&amp;"]"),Tabela1[Turno],$D73,Tabela1[Data Corrigida],Z$3)/32,"")</f>
        <v/>
      </c>
      <c r="AA73" s="36" t="str">
        <f ca="1">IFERROR(AVERAGEIFS(INDIRECT("Tabela1["&amp;$B73&amp;"]"),Tabela1[Turno],$D73,Tabela1[Data Corrigida],AA$3)/32,"")</f>
        <v/>
      </c>
      <c r="AB73" s="36" t="str">
        <f ca="1">IFERROR(AVERAGEIFS(INDIRECT("Tabela1["&amp;$B73&amp;"]"),Tabela1[Turno],$D73,Tabela1[Data Corrigida],AB$3)/32,"")</f>
        <v/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>
        <f ca="1">IFERROR(AVERAGEIFS(INDIRECT("Tabela1["&amp;$B74&amp;"]"),Tabela1[Mês],N$3)/32,"")</f>
        <v>1.3392857142857142E-2</v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2.0833333333333332E-2</v>
      </c>
      <c r="S74" s="38">
        <f ca="1">IFERROR(AVERAGEIFS(INDIRECT("Tabela1["&amp;$B74&amp;"]"),Tabela1[Data Corrigida],S$3)/32,"")</f>
        <v>1.2500000000000001E-2</v>
      </c>
      <c r="T74" s="38">
        <f ca="1">IFERROR(AVERAGEIFS(INDIRECT("Tabela1["&amp;$B74&amp;"]"),Tabela1[Data Corrigida],T$3)/32,"")</f>
        <v>0</v>
      </c>
      <c r="U74" s="38" t="str">
        <f ca="1">IFERROR(AVERAGEIFS(INDIRECT("Tabela1["&amp;$B74&amp;"]"),Tabela1[Data Corrigida],U$3)/32,"")</f>
        <v/>
      </c>
      <c r="V74" s="38" t="str">
        <f ca="1">IFERROR(AVERAGEIFS(INDIRECT("Tabela1["&amp;$B74&amp;"]"),Tabela1[Data Corrigida],V$3)/32,"")</f>
        <v/>
      </c>
      <c r="W74" s="38" t="str">
        <f ca="1">IFERROR(AVERAGEIFS(INDIRECT("Tabela1["&amp;$B74&amp;"]"),Tabela1[Data Corrigida],W$3)/32,"")</f>
        <v/>
      </c>
      <c r="X74" s="38" t="str">
        <f ca="1">IFERROR(AVERAGEIFS(INDIRECT("Tabela1["&amp;$B74&amp;"]"),Tabela1[Data Corrigida],X$3)/32,"")</f>
        <v/>
      </c>
      <c r="Y74" s="38" t="str">
        <f ca="1">IFERROR(AVERAGEIFS(INDIRECT("Tabela1["&amp;$B74&amp;"]"),Tabela1[Data Corrigida],Y$3)/32,"")</f>
        <v/>
      </c>
      <c r="Z74" s="38" t="str">
        <f ca="1">IFERROR(AVERAGEIFS(INDIRECT("Tabela1["&amp;$B74&amp;"]"),Tabela1[Data Corrigida],Z$3)/32,"")</f>
        <v/>
      </c>
      <c r="AA74" s="38" t="str">
        <f ca="1">IFERROR(AVERAGEIFS(INDIRECT("Tabela1["&amp;$B74&amp;"]"),Tabela1[Data Corrigida],AA$3)/32,"")</f>
        <v/>
      </c>
      <c r="AB74" s="38" t="str">
        <f ca="1">IFERROR(AVERAGEIFS(INDIRECT("Tabela1["&amp;$B74&amp;"]"),Tabela1[Data Corrigida],AB$3)/32,"")</f>
        <v/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>
        <f ca="1">IFERROR(AVERAGEIFS(INDIRECT("Tabela1["&amp;$B75&amp;"]"),Tabela1[Turno],$D75,Tabela1[Mês],N$3)/32,"")</f>
        <v>2.7777777777777776E-2</v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3.125E-2</v>
      </c>
      <c r="T75" s="34">
        <f ca="1">IFERROR(AVERAGEIFS(INDIRECT("Tabela1["&amp;$B75&amp;"]"),Tabela1[Turno],$D75,Tabela1[Data Corrigida],T$3)/32,"")</f>
        <v>0</v>
      </c>
      <c r="U75" s="34" t="str">
        <f ca="1">IFERROR(AVERAGEIFS(INDIRECT("Tabela1["&amp;$B75&amp;"]"),Tabela1[Turno],$D75,Tabela1[Data Corrigida],U$3)/32,"")</f>
        <v/>
      </c>
      <c r="V75" s="34" t="str">
        <f ca="1">IFERROR(AVERAGEIFS(INDIRECT("Tabela1["&amp;$B75&amp;"]"),Tabela1[Turno],$D75,Tabela1[Data Corrigida],V$3)/32,"")</f>
        <v/>
      </c>
      <c r="W75" s="34" t="str">
        <f ca="1">IFERROR(AVERAGEIFS(INDIRECT("Tabela1["&amp;$B75&amp;"]"),Tabela1[Turno],$D75,Tabela1[Data Corrigida],W$3)/32,"")</f>
        <v/>
      </c>
      <c r="X75" s="34" t="str">
        <f ca="1">IFERROR(AVERAGEIFS(INDIRECT("Tabela1["&amp;$B75&amp;"]"),Tabela1[Turno],$D75,Tabela1[Data Corrigida],X$3)/32,"")</f>
        <v/>
      </c>
      <c r="Y75" s="34" t="str">
        <f ca="1">IFERROR(AVERAGEIFS(INDIRECT("Tabela1["&amp;$B75&amp;"]"),Tabela1[Turno],$D75,Tabela1[Data Corrigida],Y$3)/32,"")</f>
        <v/>
      </c>
      <c r="Z75" s="34" t="str">
        <f ca="1">IFERROR(AVERAGEIFS(INDIRECT("Tabela1["&amp;$B75&amp;"]"),Tabela1[Turno],$D75,Tabela1[Data Corrigida],Z$3)/32,"")</f>
        <v/>
      </c>
      <c r="AA75" s="34" t="str">
        <f ca="1">IFERROR(AVERAGEIFS(INDIRECT("Tabela1["&amp;$B75&amp;"]"),Tabela1[Turno],$D75,Tabela1[Data Corrigida],AA$3)/32,"")</f>
        <v/>
      </c>
      <c r="AB75" s="34" t="str">
        <f ca="1">IFERROR(AVERAGEIFS(INDIRECT("Tabela1["&amp;$B75&amp;"]"),Tabela1[Turno],$D75,Tabela1[Data Corrigida],AB$3)/32,"")</f>
        <v/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>
        <f ca="1">IFERROR(AVERAGEIFS(INDIRECT("Tabela1["&amp;$B76&amp;"]"),Tabela1[Turno],$D76,Tabela1[Mês],N$3)/32,"")</f>
        <v>0</v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 t="str">
        <f ca="1">IFERROR(AVERAGEIFS(INDIRECT("Tabela1["&amp;$B76&amp;"]"),Tabela1[Turno],$D76,Tabela1[Data Corrigida],U$3)/32,"")</f>
        <v/>
      </c>
      <c r="V76" s="36" t="str">
        <f ca="1">IFERROR(AVERAGEIFS(INDIRECT("Tabela1["&amp;$B76&amp;"]"),Tabela1[Turno],$D76,Tabela1[Data Corrigida],V$3)/32,"")</f>
        <v/>
      </c>
      <c r="W76" s="36" t="str">
        <f ca="1">IFERROR(AVERAGEIFS(INDIRECT("Tabela1["&amp;$B76&amp;"]"),Tabela1[Turno],$D76,Tabela1[Data Corrigida],W$3)/32,"")</f>
        <v/>
      </c>
      <c r="X76" s="36" t="str">
        <f ca="1">IFERROR(AVERAGEIFS(INDIRECT("Tabela1["&amp;$B76&amp;"]"),Tabela1[Turno],$D76,Tabela1[Data Corrigida],X$3)/32,"")</f>
        <v/>
      </c>
      <c r="Y76" s="36" t="str">
        <f ca="1">IFERROR(AVERAGEIFS(INDIRECT("Tabela1["&amp;$B76&amp;"]"),Tabela1[Turno],$D76,Tabela1[Data Corrigida],Y$3)/32,"")</f>
        <v/>
      </c>
      <c r="Z76" s="36" t="str">
        <f ca="1">IFERROR(AVERAGEIFS(INDIRECT("Tabela1["&amp;$B76&amp;"]"),Tabela1[Turno],$D76,Tabela1[Data Corrigida],Z$3)/32,"")</f>
        <v/>
      </c>
      <c r="AA76" s="36" t="str">
        <f ca="1">IFERROR(AVERAGEIFS(INDIRECT("Tabela1["&amp;$B76&amp;"]"),Tabela1[Turno],$D76,Tabela1[Data Corrigida],AA$3)/32,"")</f>
        <v/>
      </c>
      <c r="AB76" s="36" t="str">
        <f ca="1">IFERROR(AVERAGEIFS(INDIRECT("Tabela1["&amp;$B76&amp;"]"),Tabela1[Turno],$D76,Tabela1[Data Corrigida],AB$3)/32,"")</f>
        <v/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>
        <f ca="1">IFERROR(AVERAGEIFS(INDIRECT("Tabela1["&amp;$B77&amp;"]"),Tabela1[Mês],N$3)/32,"")</f>
        <v>1.3888888888888888E-2</v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1.7857142857142856E-2</v>
      </c>
      <c r="T77" s="38">
        <f ca="1">IFERROR(AVERAGEIFS(INDIRECT("Tabela1["&amp;$B77&amp;"]"),Tabela1[Data Corrigida],T$3)/32,"")</f>
        <v>0</v>
      </c>
      <c r="U77" s="38" t="str">
        <f ca="1">IFERROR(AVERAGEIFS(INDIRECT("Tabela1["&amp;$B77&amp;"]"),Tabela1[Data Corrigida],U$3)/32,"")</f>
        <v/>
      </c>
      <c r="V77" s="38" t="str">
        <f ca="1">IFERROR(AVERAGEIFS(INDIRECT("Tabela1["&amp;$B77&amp;"]"),Tabela1[Data Corrigida],V$3)/32,"")</f>
        <v/>
      </c>
      <c r="W77" s="38" t="str">
        <f ca="1">IFERROR(AVERAGEIFS(INDIRECT("Tabela1["&amp;$B77&amp;"]"),Tabela1[Data Corrigida],W$3)/32,"")</f>
        <v/>
      </c>
      <c r="X77" s="38" t="str">
        <f ca="1">IFERROR(AVERAGEIFS(INDIRECT("Tabela1["&amp;$B77&amp;"]"),Tabela1[Data Corrigida],X$3)/32,"")</f>
        <v/>
      </c>
      <c r="Y77" s="38" t="str">
        <f ca="1">IFERROR(AVERAGEIFS(INDIRECT("Tabela1["&amp;$B77&amp;"]"),Tabela1[Data Corrigida],Y$3)/32,"")</f>
        <v/>
      </c>
      <c r="Z77" s="38" t="str">
        <f ca="1">IFERROR(AVERAGEIFS(INDIRECT("Tabela1["&amp;$B77&amp;"]"),Tabela1[Data Corrigida],Z$3)/32,"")</f>
        <v/>
      </c>
      <c r="AA77" s="38" t="str">
        <f ca="1">IFERROR(AVERAGEIFS(INDIRECT("Tabela1["&amp;$B77&amp;"]"),Tabela1[Data Corrigida],AA$3)/32,"")</f>
        <v/>
      </c>
      <c r="AB77" s="38" t="str">
        <f ca="1">IFERROR(AVERAGEIFS(INDIRECT("Tabela1["&amp;$B77&amp;"]"),Tabela1[Data Corrigida],AB$3)/32,"")</f>
        <v/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>
        <f ca="1">IFERROR(AVERAGEIFS(INDIRECT("Tabela1["&amp;$B78&amp;"]"),Tabela1[Turno],$D78,Tabela1[Mês],N$3)/100,"")</f>
        <v>3.5184792599131788E-3</v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3.105590062111801E-3</v>
      </c>
      <c r="S78" s="34">
        <f ca="1">IFERROR(AVERAGEIFS(INDIRECT("Tabela1["&amp;$B78&amp;"]"),Tabela1[Turno],$D78,Tabela1[Data Corrigida],S$3)/100,"")</f>
        <v>3.2084241701287484E-3</v>
      </c>
      <c r="T78" s="34">
        <f ca="1">IFERROR(AVERAGEIFS(INDIRECT("Tabela1["&amp;$B78&amp;"]"),Tabela1[Turno],$D78,Tabela1[Data Corrigida],T$3)/100,"")</f>
        <v>6.41025641025641E-3</v>
      </c>
      <c r="U78" s="34" t="str">
        <f ca="1">IFERROR(AVERAGEIFS(INDIRECT("Tabela1["&amp;$B78&amp;"]"),Tabela1[Turno],$D78,Tabela1[Data Corrigida],U$3)/100,"")</f>
        <v/>
      </c>
      <c r="V78" s="34" t="str">
        <f ca="1">IFERROR(AVERAGEIFS(INDIRECT("Tabela1["&amp;$B78&amp;"]"),Tabela1[Turno],$D78,Tabela1[Data Corrigida],V$3)/100,"")</f>
        <v/>
      </c>
      <c r="W78" s="34" t="str">
        <f ca="1">IFERROR(AVERAGEIFS(INDIRECT("Tabela1["&amp;$B78&amp;"]"),Tabela1[Turno],$D78,Tabela1[Data Corrigida],W$3)/100,"")</f>
        <v/>
      </c>
      <c r="X78" s="34" t="str">
        <f ca="1">IFERROR(AVERAGEIFS(INDIRECT("Tabela1["&amp;$B78&amp;"]"),Tabela1[Turno],$D78,Tabela1[Data Corrigida],X$3)/100,"")</f>
        <v/>
      </c>
      <c r="Y78" s="34" t="str">
        <f ca="1">IFERROR(AVERAGEIFS(INDIRECT("Tabela1["&amp;$B78&amp;"]"),Tabela1[Turno],$D78,Tabela1[Data Corrigida],Y$3)/100,"")</f>
        <v/>
      </c>
      <c r="Z78" s="34" t="str">
        <f ca="1">IFERROR(AVERAGEIFS(INDIRECT("Tabela1["&amp;$B78&amp;"]"),Tabela1[Turno],$D78,Tabela1[Data Corrigida],Z$3)/100,"")</f>
        <v/>
      </c>
      <c r="AA78" s="34" t="str">
        <f ca="1">IFERROR(AVERAGEIFS(INDIRECT("Tabela1["&amp;$B78&amp;"]"),Tabela1[Turno],$D78,Tabela1[Data Corrigida],AA$3)/100,"")</f>
        <v/>
      </c>
      <c r="AB78" s="34" t="str">
        <f ca="1">IFERROR(AVERAGEIFS(INDIRECT("Tabela1["&amp;$B78&amp;"]"),Tabela1[Turno],$D78,Tabela1[Data Corrigida],AB$3)/100,"")</f>
        <v/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>
        <f ca="1">IFERROR(AVERAGEIFS(INDIRECT("Tabela1["&amp;$B79&amp;"]"),Tabela1[Turno],$D79,Tabela1[Mês],N$3)/100,"")</f>
        <v>1.505901505901506E-3</v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2.3809523809523812E-3</v>
      </c>
      <c r="S79" s="36">
        <f ca="1">IFERROR(AVERAGEIFS(INDIRECT("Tabela1["&amp;$B79&amp;"]"),Tabela1[Turno],$D79,Tabela1[Data Corrigida],S$3)/100,"")</f>
        <v>2.1367521367521365E-3</v>
      </c>
      <c r="T79" s="36">
        <f ca="1">IFERROR(AVERAGEIFS(INDIRECT("Tabela1["&amp;$B79&amp;"]"),Tabela1[Turno],$D79,Tabela1[Data Corrigida],T$3)/100,"")</f>
        <v>0</v>
      </c>
      <c r="U79" s="36" t="str">
        <f ca="1">IFERROR(AVERAGEIFS(INDIRECT("Tabela1["&amp;$B79&amp;"]"),Tabela1[Turno],$D79,Tabela1[Data Corrigida],U$3)/100,"")</f>
        <v/>
      </c>
      <c r="V79" s="36" t="str">
        <f ca="1">IFERROR(AVERAGEIFS(INDIRECT("Tabela1["&amp;$B79&amp;"]"),Tabela1[Turno],$D79,Tabela1[Data Corrigida],V$3)/100,"")</f>
        <v/>
      </c>
      <c r="W79" s="36" t="str">
        <f ca="1">IFERROR(AVERAGEIFS(INDIRECT("Tabela1["&amp;$B79&amp;"]"),Tabela1[Turno],$D79,Tabela1[Data Corrigida],W$3)/100,"")</f>
        <v/>
      </c>
      <c r="X79" s="36" t="str">
        <f ca="1">IFERROR(AVERAGEIFS(INDIRECT("Tabela1["&amp;$B79&amp;"]"),Tabela1[Turno],$D79,Tabela1[Data Corrigida],X$3)/100,"")</f>
        <v/>
      </c>
      <c r="Y79" s="36" t="str">
        <f ca="1">IFERROR(AVERAGEIFS(INDIRECT("Tabela1["&amp;$B79&amp;"]"),Tabela1[Turno],$D79,Tabela1[Data Corrigida],Y$3)/100,"")</f>
        <v/>
      </c>
      <c r="Z79" s="36" t="str">
        <f ca="1">IFERROR(AVERAGEIFS(INDIRECT("Tabela1["&amp;$B79&amp;"]"),Tabela1[Turno],$D79,Tabela1[Data Corrigida],Z$3)/100,"")</f>
        <v/>
      </c>
      <c r="AA79" s="36" t="str">
        <f ca="1">IFERROR(AVERAGEIFS(INDIRECT("Tabela1["&amp;$B79&amp;"]"),Tabela1[Turno],$D79,Tabela1[Data Corrigida],AA$3)/100,"")</f>
        <v/>
      </c>
      <c r="AB79" s="36" t="str">
        <f ca="1">IFERROR(AVERAGEIFS(INDIRECT("Tabela1["&amp;$B79&amp;"]"),Tabela1[Turno],$D79,Tabela1[Data Corrigida],AB$3)/100,"")</f>
        <v/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>
        <f ca="1">IFERROR(AVERAGEIFS(INDIRECT("Tabela1["&amp;$B80&amp;"]"),Tabela1[Mês],N$3)/100,"")</f>
        <v>2.5121903829073422E-3</v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2.7950310559006208E-3</v>
      </c>
      <c r="S80" s="38">
        <f ca="1">IFERROR(AVERAGEIFS(INDIRECT("Tabela1["&amp;$B80&amp;"]"),Tabela1[Data Corrigida],S$3)/100,"")</f>
        <v>2.7491361558244862E-3</v>
      </c>
      <c r="T80" s="38">
        <f ca="1">IFERROR(AVERAGEIFS(INDIRECT("Tabela1["&amp;$B80&amp;"]"),Tabela1[Data Corrigida],T$3)/100,"")</f>
        <v>1.6025641025641025E-3</v>
      </c>
      <c r="U80" s="38" t="str">
        <f ca="1">IFERROR(AVERAGEIFS(INDIRECT("Tabela1["&amp;$B80&amp;"]"),Tabela1[Data Corrigida],U$3)/100,"")</f>
        <v/>
      </c>
      <c r="V80" s="38" t="str">
        <f ca="1">IFERROR(AVERAGEIFS(INDIRECT("Tabela1["&amp;$B80&amp;"]"),Tabela1[Data Corrigida],V$3)/100,"")</f>
        <v/>
      </c>
      <c r="W80" s="38" t="str">
        <f ca="1">IFERROR(AVERAGEIFS(INDIRECT("Tabela1["&amp;$B80&amp;"]"),Tabela1[Data Corrigida],W$3)/100,"")</f>
        <v/>
      </c>
      <c r="X80" s="38" t="str">
        <f ca="1">IFERROR(AVERAGEIFS(INDIRECT("Tabela1["&amp;$B80&amp;"]"),Tabela1[Data Corrigida],X$3)/100,"")</f>
        <v/>
      </c>
      <c r="Y80" s="38" t="str">
        <f ca="1">IFERROR(AVERAGEIFS(INDIRECT("Tabela1["&amp;$B80&amp;"]"),Tabela1[Data Corrigida],Y$3)/100,"")</f>
        <v/>
      </c>
      <c r="Z80" s="38" t="str">
        <f ca="1">IFERROR(AVERAGEIFS(INDIRECT("Tabela1["&amp;$B80&amp;"]"),Tabela1[Data Corrigida],Z$3)/100,"")</f>
        <v/>
      </c>
      <c r="AA80" s="38" t="str">
        <f ca="1">IFERROR(AVERAGEIFS(INDIRECT("Tabela1["&amp;$B80&amp;"]"),Tabela1[Data Corrigida],AA$3)/100,"")</f>
        <v/>
      </c>
      <c r="AB80" s="38" t="str">
        <f ca="1">IFERROR(AVERAGEIFS(INDIRECT("Tabela1["&amp;$B80&amp;"]"),Tabela1[Data Corrigida],AB$3)/100,"")</f>
        <v/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>
        <f ca="1">IFERROR(AVERAGEIFS(INDIRECT("Tabela1["&amp;$B81&amp;"]"),Tabela1[Turno],$D81,Tabela1[Mês],N$3)/100,"")</f>
        <v>1.4650520481214404E-2</v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>
        <f ca="1">IFERROR(AVERAGEIFS(INDIRECT("Tabela1["&amp;$B81&amp;"]"),Tabela1[Turno],$D81,Tabela1[Data Corrigida],R$3)/100,"")</f>
        <v>1.3975155279503104E-2</v>
      </c>
      <c r="S81" s="34">
        <f ca="1">IFERROR(AVERAGEIFS(INDIRECT("Tabela1["&amp;$B81&amp;"]"),Tabela1[Turno],$D81,Tabela1[Data Corrigida],S$3)/100,"")</f>
        <v>1.4180823495536999E-2</v>
      </c>
      <c r="T81" s="34">
        <f ca="1">IFERROR(AVERAGEIFS(INDIRECT("Tabela1["&amp;$B81&amp;"]"),Tabela1[Turno],$D81,Tabela1[Data Corrigida],T$3)/100,"")</f>
        <v>1.9230769230769232E-2</v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 t="str">
        <f ca="1">IFERROR(AVERAGEIFS(INDIRECT("Tabela1["&amp;$B81&amp;"]"),Tabela1[Turno],$D81,Tabela1[Data Corrigida],AA$3)/100,"")</f>
        <v/>
      </c>
      <c r="AB81" s="34" t="str">
        <f ca="1">IFERROR(AVERAGEIFS(INDIRECT("Tabela1["&amp;$B81&amp;"]"),Tabela1[Turno],$D81,Tabela1[Data Corrigida],AB$3)/100,"")</f>
        <v/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>
        <f ca="1">IFERROR(AVERAGEIFS(INDIRECT("Tabela1["&amp;$B82&amp;"]"),Tabela1[Turno],$D82,Tabela1[Mês],N$3)/100,"")</f>
        <v>3.7905882419019113E-2</v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>
        <f ca="1">IFERROR(AVERAGEIFS(INDIRECT("Tabela1["&amp;$B82&amp;"]"),Tabela1[Turno],$D82,Tabela1[Data Corrigida],R$3)/100,"")</f>
        <v>4.1560291560291562E-2</v>
      </c>
      <c r="S82" s="36">
        <f ca="1">IFERROR(AVERAGEIFS(INDIRECT("Tabela1["&amp;$B82&amp;"]"),Tabela1[Turno],$D82,Tabela1[Data Corrigida],S$3)/100,"")</f>
        <v>4.0413859004563651E-2</v>
      </c>
      <c r="T82" s="36">
        <f ca="1">IFERROR(AVERAGEIFS(INDIRECT("Tabela1["&amp;$B82&amp;"]"),Tabela1[Turno],$D82,Tabela1[Data Corrigida],T$3)/100,"")</f>
        <v>3.1743496692202118E-2</v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 t="str">
        <f ca="1">IFERROR(AVERAGEIFS(INDIRECT("Tabela1["&amp;$B82&amp;"]"),Tabela1[Turno],$D82,Tabela1[Data Corrigida],Z$3)/100,"")</f>
        <v/>
      </c>
      <c r="AA82" s="36" t="str">
        <f ca="1">IFERROR(AVERAGEIFS(INDIRECT("Tabela1["&amp;$B82&amp;"]"),Tabela1[Turno],$D82,Tabela1[Data Corrigida],AA$3)/100,"")</f>
        <v/>
      </c>
      <c r="AB82" s="36" t="str">
        <f ca="1">IFERROR(AVERAGEIFS(INDIRECT("Tabela1["&amp;$B82&amp;"]"),Tabela1[Turno],$D82,Tabela1[Data Corrigida],AB$3)/100,"")</f>
        <v/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>
        <f ca="1">IFERROR(AVERAGEIFS(INDIRECT("Tabela1["&amp;$B83&amp;"]"),Tabela1[Mês],N$3)/100,"")</f>
        <v>2.6278201450116764E-2</v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>
        <f ca="1">IFERROR(AVERAGEIFS(INDIRECT("Tabela1["&amp;$B83&amp;"]"),Tabela1[Data Corrigida],R$3)/100,"")</f>
        <v>2.5797356542698161E-2</v>
      </c>
      <c r="S83" s="38">
        <f ca="1">IFERROR(AVERAGEIFS(INDIRECT("Tabela1["&amp;$B83&amp;"]"),Tabela1[Data Corrigida],S$3)/100,"")</f>
        <v>2.5423552999405571E-2</v>
      </c>
      <c r="T83" s="38">
        <f ca="1">IFERROR(AVERAGEIFS(INDIRECT("Tabela1["&amp;$B83&amp;"]"),Tabela1[Data Corrigida],T$3)/100,"")</f>
        <v>2.8615314826843895E-2</v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 t="str">
        <f ca="1">IFERROR(AVERAGEIFS(INDIRECT("Tabela1["&amp;$B83&amp;"]"),Tabela1[Data Corrigida],Z$3)/100,"")</f>
        <v/>
      </c>
      <c r="AA83" s="38" t="str">
        <f ca="1">IFERROR(AVERAGEIFS(INDIRECT("Tabela1["&amp;$B83&amp;"]"),Tabela1[Data Corrigida],AA$3)/100,"")</f>
        <v/>
      </c>
      <c r="AB83" s="38" t="str">
        <f ca="1">IFERROR(AVERAGEIFS(INDIRECT("Tabela1["&amp;$B83&amp;"]"),Tabela1[Data Corrigida],AB$3)/100,"")</f>
        <v/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0" x14ac:dyDescent="0.25">
      <c r="B113" s="9"/>
      <c r="R113" s="7" t="s">
        <v>134</v>
      </c>
    </row>
    <row r="114" spans="2:20" x14ac:dyDescent="0.25">
      <c r="B114" s="9"/>
      <c r="R114" s="5">
        <v>46296</v>
      </c>
      <c r="S114" s="5">
        <v>46297</v>
      </c>
      <c r="T114" s="5">
        <v>46300</v>
      </c>
    </row>
    <row r="115" spans="2:20" x14ac:dyDescent="0.25">
      <c r="B115" s="9"/>
    </row>
    <row r="116" spans="2:20" x14ac:dyDescent="0.25">
      <c r="B116" s="9"/>
    </row>
    <row r="117" spans="2:20" x14ac:dyDescent="0.25">
      <c r="B117" s="9"/>
    </row>
    <row r="118" spans="2:20" x14ac:dyDescent="0.25">
      <c r="B118" s="9"/>
    </row>
    <row r="119" spans="2:20" x14ac:dyDescent="0.25">
      <c r="B119" s="9"/>
    </row>
    <row r="120" spans="2:20" x14ac:dyDescent="0.25">
      <c r="B120" s="9"/>
    </row>
    <row r="121" spans="2:20" x14ac:dyDescent="0.25">
      <c r="B121" s="9"/>
    </row>
    <row r="122" spans="2:20" x14ac:dyDescent="0.25">
      <c r="B122" s="9"/>
    </row>
    <row r="123" spans="2:20" x14ac:dyDescent="0.25">
      <c r="B123" s="9"/>
    </row>
    <row r="124" spans="2:20" x14ac:dyDescent="0.25">
      <c r="B124" s="9"/>
    </row>
    <row r="125" spans="2:20" x14ac:dyDescent="0.25">
      <c r="B125" s="9"/>
    </row>
    <row r="126" spans="2:20" x14ac:dyDescent="0.25">
      <c r="B126" s="9"/>
    </row>
    <row r="127" spans="2:20" x14ac:dyDescent="0.25">
      <c r="B127" s="9"/>
    </row>
    <row r="128" spans="2:20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03" priority="145" operator="greaterThan">
      <formula>$Q$6</formula>
    </cfRule>
  </conditionalFormatting>
  <conditionalFormatting sqref="R9:X11">
    <cfRule type="cellIs" dxfId="102" priority="144" operator="greaterThan">
      <formula>$Q$9</formula>
    </cfRule>
  </conditionalFormatting>
  <conditionalFormatting sqref="R12:X14">
    <cfRule type="cellIs" dxfId="101" priority="143" operator="greaterThan">
      <formula>$Q$12</formula>
    </cfRule>
  </conditionalFormatting>
  <conditionalFormatting sqref="R15:X17">
    <cfRule type="cellIs" dxfId="100" priority="142" operator="greaterThan">
      <formula>$Q$15</formula>
    </cfRule>
  </conditionalFormatting>
  <conditionalFormatting sqref="R18:X20">
    <cfRule type="cellIs" dxfId="99" priority="141" operator="greaterThan">
      <formula>$Q$18</formula>
    </cfRule>
  </conditionalFormatting>
  <conditionalFormatting sqref="R21:X23">
    <cfRule type="cellIs" dxfId="98" priority="140" operator="greaterThan">
      <formula>$Q$21</formula>
    </cfRule>
  </conditionalFormatting>
  <conditionalFormatting sqref="R24:X26">
    <cfRule type="cellIs" dxfId="97" priority="139" operator="greaterThan">
      <formula>$Q$24</formula>
    </cfRule>
  </conditionalFormatting>
  <conditionalFormatting sqref="R27:X29">
    <cfRule type="cellIs" dxfId="96" priority="138" operator="greaterThan">
      <formula>$Q$27</formula>
    </cfRule>
  </conditionalFormatting>
  <conditionalFormatting sqref="R30:X32">
    <cfRule type="cellIs" dxfId="95" priority="137" operator="greaterThan">
      <formula>$Q$30</formula>
    </cfRule>
  </conditionalFormatting>
  <conditionalFormatting sqref="R33:X35">
    <cfRule type="cellIs" dxfId="94" priority="136" operator="greaterThan">
      <formula>$Q$33</formula>
    </cfRule>
  </conditionalFormatting>
  <conditionalFormatting sqref="R36:X38">
    <cfRule type="cellIs" dxfId="93" priority="135" operator="greaterThan">
      <formula>$Q$36</formula>
    </cfRule>
  </conditionalFormatting>
  <conditionalFormatting sqref="R39:X41">
    <cfRule type="cellIs" dxfId="92" priority="134" operator="greaterThan">
      <formula>$Q$39</formula>
    </cfRule>
  </conditionalFormatting>
  <conditionalFormatting sqref="R42:X44">
    <cfRule type="cellIs" dxfId="91" priority="133" operator="greaterThan">
      <formula>$Q$42</formula>
    </cfRule>
  </conditionalFormatting>
  <conditionalFormatting sqref="R45:X47">
    <cfRule type="cellIs" dxfId="90" priority="132" operator="greaterThan">
      <formula>$Q$45</formula>
    </cfRule>
  </conditionalFormatting>
  <conditionalFormatting sqref="R48:X50">
    <cfRule type="cellIs" dxfId="89" priority="131" operator="greaterThan">
      <formula>$Q$48</formula>
    </cfRule>
  </conditionalFormatting>
  <conditionalFormatting sqref="R51:X53">
    <cfRule type="cellIs" dxfId="88" priority="130" operator="greaterThan">
      <formula>$Q$51</formula>
    </cfRule>
  </conditionalFormatting>
  <conditionalFormatting sqref="R54:X56">
    <cfRule type="cellIs" dxfId="87" priority="129" operator="greaterThan">
      <formula>$Q$54</formula>
    </cfRule>
  </conditionalFormatting>
  <conditionalFormatting sqref="R57:X59">
    <cfRule type="cellIs" dxfId="86" priority="128" operator="greaterThan">
      <formula>$Q$57</formula>
    </cfRule>
  </conditionalFormatting>
  <conditionalFormatting sqref="R60:X62">
    <cfRule type="cellIs" dxfId="85" priority="127" operator="greaterThan">
      <formula>$Q$60</formula>
    </cfRule>
  </conditionalFormatting>
  <conditionalFormatting sqref="R63:X65">
    <cfRule type="cellIs" dxfId="84" priority="126" operator="greaterThan">
      <formula>$Q$63</formula>
    </cfRule>
  </conditionalFormatting>
  <conditionalFormatting sqref="R66:X68">
    <cfRule type="cellIs" dxfId="83" priority="125" operator="greaterThan">
      <formula>$Q$66</formula>
    </cfRule>
  </conditionalFormatting>
  <conditionalFormatting sqref="R69:X71">
    <cfRule type="cellIs" dxfId="82" priority="124" operator="greaterThan">
      <formula>$Q$69</formula>
    </cfRule>
  </conditionalFormatting>
  <conditionalFormatting sqref="R72:X74">
    <cfRule type="cellIs" dxfId="81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4499999999999999"/>
        <cfvo type="num" val="0.18"/>
        <cfvo type="num" val="0.22"/>
        <color rgb="FF63BE7B"/>
        <color rgb="FFFFEB84"/>
        <color rgb="FFF8696B"/>
      </colorScale>
    </cfRule>
  </conditionalFormatting>
  <conditionalFormatting sqref="R75:X77">
    <cfRule type="cellIs" dxfId="80" priority="99" operator="greaterThan">
      <formula>$Q$72</formula>
    </cfRule>
  </conditionalFormatting>
  <conditionalFormatting sqref="R78:X80">
    <cfRule type="cellIs" dxfId="79" priority="97" operator="greaterThan">
      <formula>$Q$72</formula>
    </cfRule>
  </conditionalFormatting>
  <conditionalFormatting sqref="Y6:AM8">
    <cfRule type="cellIs" dxfId="78" priority="45" operator="greaterThan">
      <formula>$Q$6</formula>
    </cfRule>
  </conditionalFormatting>
  <conditionalFormatting sqref="Y9:AM11">
    <cfRule type="cellIs" dxfId="77" priority="44" operator="greaterThan">
      <formula>$Q$9</formula>
    </cfRule>
  </conditionalFormatting>
  <conditionalFormatting sqref="Y12:AM14">
    <cfRule type="cellIs" dxfId="76" priority="43" operator="greaterThan">
      <formula>$Q$12</formula>
    </cfRule>
  </conditionalFormatting>
  <conditionalFormatting sqref="Y15:AM17">
    <cfRule type="cellIs" dxfId="75" priority="42" operator="greaterThan">
      <formula>$Q$15</formula>
    </cfRule>
  </conditionalFormatting>
  <conditionalFormatting sqref="Y18:AM20">
    <cfRule type="cellIs" dxfId="74" priority="41" operator="greaterThan">
      <formula>$Q$18</formula>
    </cfRule>
  </conditionalFormatting>
  <conditionalFormatting sqref="Y21:AM23">
    <cfRule type="cellIs" dxfId="73" priority="40" operator="greaterThan">
      <formula>$Q$21</formula>
    </cfRule>
  </conditionalFormatting>
  <conditionalFormatting sqref="Y24:AM26">
    <cfRule type="cellIs" dxfId="72" priority="39" operator="greaterThan">
      <formula>$Q$24</formula>
    </cfRule>
  </conditionalFormatting>
  <conditionalFormatting sqref="Y27:AM29">
    <cfRule type="cellIs" dxfId="71" priority="38" operator="greaterThan">
      <formula>$Q$27</formula>
    </cfRule>
  </conditionalFormatting>
  <conditionalFormatting sqref="Y30:AM32">
    <cfRule type="cellIs" dxfId="70" priority="37" operator="greaterThan">
      <formula>$Q$30</formula>
    </cfRule>
  </conditionalFormatting>
  <conditionalFormatting sqref="Y33:AM35">
    <cfRule type="cellIs" dxfId="69" priority="36" operator="greaterThan">
      <formula>$Q$33</formula>
    </cfRule>
  </conditionalFormatting>
  <conditionalFormatting sqref="Y36:AM38">
    <cfRule type="cellIs" dxfId="68" priority="35" operator="greaterThan">
      <formula>$Q$36</formula>
    </cfRule>
  </conditionalFormatting>
  <conditionalFormatting sqref="Y39:AM41">
    <cfRule type="cellIs" dxfId="67" priority="34" operator="greaterThan">
      <formula>$Q$39</formula>
    </cfRule>
  </conditionalFormatting>
  <conditionalFormatting sqref="Y42:AM44">
    <cfRule type="cellIs" dxfId="66" priority="33" operator="greaterThan">
      <formula>$Q$42</formula>
    </cfRule>
  </conditionalFormatting>
  <conditionalFormatting sqref="Y45:AM47">
    <cfRule type="cellIs" dxfId="65" priority="32" operator="greaterThan">
      <formula>$Q$45</formula>
    </cfRule>
  </conditionalFormatting>
  <conditionalFormatting sqref="Y48:AM50">
    <cfRule type="cellIs" dxfId="64" priority="31" operator="greaterThan">
      <formula>$Q$48</formula>
    </cfRule>
  </conditionalFormatting>
  <conditionalFormatting sqref="Y51:AM53">
    <cfRule type="cellIs" dxfId="63" priority="30" operator="greaterThan">
      <formula>$Q$51</formula>
    </cfRule>
  </conditionalFormatting>
  <conditionalFormatting sqref="Y54:AM56">
    <cfRule type="cellIs" dxfId="62" priority="29" operator="greaterThan">
      <formula>$Q$54</formula>
    </cfRule>
  </conditionalFormatting>
  <conditionalFormatting sqref="Y57:AM59">
    <cfRule type="cellIs" dxfId="61" priority="28" operator="greaterThan">
      <formula>$Q$57</formula>
    </cfRule>
  </conditionalFormatting>
  <conditionalFormatting sqref="Y60:AM62">
    <cfRule type="cellIs" dxfId="60" priority="27" operator="greaterThan">
      <formula>$Q$60</formula>
    </cfRule>
  </conditionalFormatting>
  <conditionalFormatting sqref="Y63:AM65">
    <cfRule type="cellIs" dxfId="59" priority="26" operator="greaterThan">
      <formula>$Q$63</formula>
    </cfRule>
  </conditionalFormatting>
  <conditionalFormatting sqref="Y66:AM68">
    <cfRule type="cellIs" dxfId="58" priority="25" operator="greaterThan">
      <formula>$Q$66</formula>
    </cfRule>
  </conditionalFormatting>
  <conditionalFormatting sqref="Y69:AM71">
    <cfRule type="cellIs" dxfId="57" priority="24" operator="greaterThan">
      <formula>$Q$69</formula>
    </cfRule>
  </conditionalFormatting>
  <conditionalFormatting sqref="Y72:AM74">
    <cfRule type="cellIs" dxfId="56" priority="23" operator="greaterThan">
      <formula>$Q$72</formula>
    </cfRule>
  </conditionalFormatting>
  <conditionalFormatting sqref="Y75:AM77">
    <cfRule type="cellIs" dxfId="55" priority="22" operator="greaterThan">
      <formula>$Q$72</formula>
    </cfRule>
  </conditionalFormatting>
  <conditionalFormatting sqref="Y78:AM80">
    <cfRule type="cellIs" dxfId="54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53" priority="3" operator="greaterThan">
      <formula>$Q$72</formula>
    </cfRule>
  </conditionalFormatting>
  <conditionalFormatting sqref="Y81:AM83">
    <cfRule type="cellIs" dxfId="52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40"/>
  <sheetViews>
    <sheetView topLeftCell="C305" workbookViewId="0">
      <selection activeCell="C341" sqref="C341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25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25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25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25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25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25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25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  <row r="323" spans="1:67" x14ac:dyDescent="0.25">
      <c r="A323" s="4">
        <f>INT(Tabela1[[#This Row],[Data e Hora]])</f>
        <v>46296</v>
      </c>
      <c r="B323" s="4" t="str">
        <f>UPPER(TEXT(Tabela1[[#This Row],[Data Corrigida]],"MMM"))</f>
        <v>OUT</v>
      </c>
      <c r="C323" s="57" t="s">
        <v>943</v>
      </c>
      <c r="D323" t="s">
        <v>944</v>
      </c>
      <c r="E323" t="s">
        <v>945</v>
      </c>
      <c r="F323" t="s">
        <v>19</v>
      </c>
      <c r="G323" s="5" t="s">
        <v>946</v>
      </c>
      <c r="H323" t="s">
        <v>20</v>
      </c>
      <c r="I323" t="s">
        <v>33</v>
      </c>
      <c r="J323" s="1">
        <v>156</v>
      </c>
      <c r="K323" s="1">
        <v>2978</v>
      </c>
      <c r="L323" t="s">
        <v>34</v>
      </c>
      <c r="M323" s="1">
        <v>20</v>
      </c>
      <c r="N323" s="48">
        <v>20</v>
      </c>
      <c r="O323" s="1">
        <v>6</v>
      </c>
      <c r="P323" s="48">
        <v>6</v>
      </c>
      <c r="Q323" s="1">
        <v>0</v>
      </c>
      <c r="R323" s="1">
        <v>0</v>
      </c>
      <c r="S323" s="1">
        <v>3</v>
      </c>
      <c r="T323" s="1">
        <v>3</v>
      </c>
      <c r="U323" s="1">
        <v>1</v>
      </c>
      <c r="V323" s="1">
        <v>1</v>
      </c>
      <c r="W323" s="1">
        <v>0</v>
      </c>
      <c r="X323" s="1">
        <v>0</v>
      </c>
      <c r="Y323" s="1">
        <v>3</v>
      </c>
      <c r="Z323" s="3">
        <v>0.96153846153846156</v>
      </c>
      <c r="AA323" s="1">
        <v>2</v>
      </c>
      <c r="AB323" s="3">
        <v>1.2820512820512819</v>
      </c>
      <c r="AC323" s="1">
        <v>0</v>
      </c>
      <c r="AD323" s="3">
        <v>0</v>
      </c>
      <c r="AE323" s="1">
        <v>4</v>
      </c>
      <c r="AF323" s="3">
        <v>2.5641025641025639</v>
      </c>
      <c r="AG323" s="1">
        <v>2</v>
      </c>
      <c r="AH323" s="3">
        <v>1.2820512820512819</v>
      </c>
      <c r="AI323" s="1" t="s">
        <v>22</v>
      </c>
      <c r="AJ323" s="1">
        <v>0</v>
      </c>
      <c r="AK323" s="3">
        <v>0</v>
      </c>
      <c r="AL323" s="1">
        <v>0</v>
      </c>
      <c r="AM323" s="3">
        <v>0</v>
      </c>
      <c r="AN323" s="1" t="s">
        <v>22</v>
      </c>
      <c r="AO323" s="1">
        <v>5</v>
      </c>
      <c r="AP323" s="3">
        <v>3.2051282051282048</v>
      </c>
      <c r="AQ323" s="3">
        <v>6</v>
      </c>
      <c r="AR323" s="3">
        <v>3.8461538461538463</v>
      </c>
      <c r="AS323" s="1">
        <v>6</v>
      </c>
      <c r="AT323" s="3">
        <v>3.8461538461538463</v>
      </c>
      <c r="AU323" s="1">
        <v>0</v>
      </c>
      <c r="AV323" s="3">
        <v>0</v>
      </c>
      <c r="AW323" s="1" t="s">
        <v>22</v>
      </c>
      <c r="AX323" s="1">
        <v>16</v>
      </c>
      <c r="AY323" s="1">
        <v>0</v>
      </c>
      <c r="AZ323" s="1">
        <v>0</v>
      </c>
      <c r="BA323" s="1">
        <v>32</v>
      </c>
      <c r="BB323" s="1">
        <v>0</v>
      </c>
      <c r="BC323" s="1">
        <v>0</v>
      </c>
      <c r="BD323" s="1">
        <v>0</v>
      </c>
      <c r="BE323" s="54">
        <v>0</v>
      </c>
      <c r="BF323" s="6">
        <v>20</v>
      </c>
      <c r="BG323" s="6">
        <v>18</v>
      </c>
      <c r="BH323" s="1">
        <v>0</v>
      </c>
      <c r="BI323" s="6">
        <v>0</v>
      </c>
      <c r="BJ323" s="1" t="s">
        <v>22</v>
      </c>
      <c r="BK323" s="6">
        <v>0</v>
      </c>
      <c r="BL323" s="6">
        <v>0</v>
      </c>
      <c r="BM323" s="1">
        <v>0</v>
      </c>
      <c r="BN323" t="s">
        <v>24</v>
      </c>
      <c r="BO323">
        <v>3187</v>
      </c>
    </row>
    <row r="324" spans="1:67" x14ac:dyDescent="0.25">
      <c r="A324" s="4">
        <f>INT(Tabela1[[#This Row],[Data e Hora]])</f>
        <v>46296</v>
      </c>
      <c r="B324" s="4" t="str">
        <f>UPPER(TEXT(Tabela1[[#This Row],[Data Corrigida]],"MMM"))</f>
        <v>OUT</v>
      </c>
      <c r="C324" t="s">
        <v>947</v>
      </c>
      <c r="D324" t="s">
        <v>948</v>
      </c>
      <c r="E324" t="s">
        <v>945</v>
      </c>
      <c r="F324" t="s">
        <v>19</v>
      </c>
      <c r="G324" s="5" t="s">
        <v>946</v>
      </c>
      <c r="H324" t="s">
        <v>20</v>
      </c>
      <c r="I324" t="s">
        <v>33</v>
      </c>
      <c r="J324" s="1">
        <v>140</v>
      </c>
      <c r="K324" s="1">
        <v>3071</v>
      </c>
      <c r="L324" t="s">
        <v>34</v>
      </c>
      <c r="M324" s="1">
        <v>10</v>
      </c>
      <c r="N324" s="48">
        <v>10</v>
      </c>
      <c r="O324" s="1">
        <v>6</v>
      </c>
      <c r="P324" s="48">
        <v>6</v>
      </c>
      <c r="Q324" s="1">
        <v>0</v>
      </c>
      <c r="R324" s="1">
        <v>0</v>
      </c>
      <c r="S324" s="1">
        <v>3</v>
      </c>
      <c r="T324" s="1">
        <v>3</v>
      </c>
      <c r="U324" s="1">
        <v>1</v>
      </c>
      <c r="V324" s="1">
        <v>1</v>
      </c>
      <c r="W324" s="1">
        <v>1</v>
      </c>
      <c r="X324" s="1">
        <v>5</v>
      </c>
      <c r="Y324" s="1">
        <v>4</v>
      </c>
      <c r="Z324" s="3">
        <v>1.4285714285714286</v>
      </c>
      <c r="AA324" s="1">
        <v>3</v>
      </c>
      <c r="AB324" s="3">
        <v>2.1428571428571428</v>
      </c>
      <c r="AC324" s="1">
        <v>0</v>
      </c>
      <c r="AD324" s="3">
        <v>0</v>
      </c>
      <c r="AE324" s="1">
        <v>1</v>
      </c>
      <c r="AF324" s="3">
        <v>0.7142857142857143</v>
      </c>
      <c r="AG324" s="1">
        <v>2</v>
      </c>
      <c r="AH324" s="3">
        <v>1.4285714285714286</v>
      </c>
      <c r="AI324" s="1" t="s">
        <v>22</v>
      </c>
      <c r="AJ324" s="1">
        <v>0</v>
      </c>
      <c r="AK324" s="3">
        <v>0</v>
      </c>
      <c r="AL324" s="1">
        <v>0</v>
      </c>
      <c r="AM324" s="3">
        <v>0</v>
      </c>
      <c r="AN324" s="1" t="s">
        <v>22</v>
      </c>
      <c r="AO324" s="1">
        <v>5</v>
      </c>
      <c r="AP324" s="3">
        <v>3.5714285714285712</v>
      </c>
      <c r="AQ324" s="3">
        <v>5</v>
      </c>
      <c r="AR324" s="3">
        <v>3.5714285714285712</v>
      </c>
      <c r="AS324" s="1">
        <v>8</v>
      </c>
      <c r="AT324" s="3">
        <v>5.7142857142857144</v>
      </c>
      <c r="AU324" s="1">
        <v>0</v>
      </c>
      <c r="AV324" s="3">
        <v>0</v>
      </c>
      <c r="AW324" s="1" t="s">
        <v>22</v>
      </c>
      <c r="AX324" s="1">
        <v>19</v>
      </c>
      <c r="AY324" s="1">
        <v>0</v>
      </c>
      <c r="AZ324" s="1">
        <v>0</v>
      </c>
      <c r="BA324" s="1">
        <v>38</v>
      </c>
      <c r="BB324" s="1">
        <v>0</v>
      </c>
      <c r="BC324" s="1">
        <v>0</v>
      </c>
      <c r="BD324" s="1">
        <v>1</v>
      </c>
      <c r="BE324" s="54">
        <v>0.7142857142857143</v>
      </c>
      <c r="BF324" s="6">
        <v>21</v>
      </c>
      <c r="BG324" s="6">
        <v>18</v>
      </c>
      <c r="BH324" s="1">
        <v>0</v>
      </c>
      <c r="BI324" s="6">
        <v>0</v>
      </c>
      <c r="BJ324" s="1" t="s">
        <v>22</v>
      </c>
      <c r="BK324" s="6">
        <v>4</v>
      </c>
      <c r="BL324" s="6">
        <v>0</v>
      </c>
      <c r="BM324" s="1">
        <v>0</v>
      </c>
      <c r="BN324" t="s">
        <v>24</v>
      </c>
      <c r="BO324">
        <v>9122</v>
      </c>
    </row>
    <row r="325" spans="1:67" x14ac:dyDescent="0.25">
      <c r="A325" s="4">
        <f>INT(Tabela1[[#This Row],[Data e Hora]])</f>
        <v>46296</v>
      </c>
      <c r="B325" s="4" t="str">
        <f>UPPER(TEXT(Tabela1[[#This Row],[Data Corrigida]],"MMM"))</f>
        <v>OUT</v>
      </c>
      <c r="C325" t="s">
        <v>949</v>
      </c>
      <c r="D325" t="s">
        <v>950</v>
      </c>
      <c r="E325" t="s">
        <v>945</v>
      </c>
      <c r="F325" t="s">
        <v>19</v>
      </c>
      <c r="G325" s="5" t="s">
        <v>946</v>
      </c>
      <c r="H325" t="s">
        <v>20</v>
      </c>
      <c r="I325" t="s">
        <v>33</v>
      </c>
      <c r="J325" s="1">
        <v>99</v>
      </c>
      <c r="K325" s="1">
        <v>3008</v>
      </c>
      <c r="L325" t="s">
        <v>34</v>
      </c>
      <c r="M325" s="1">
        <v>8</v>
      </c>
      <c r="N325" s="48">
        <v>8</v>
      </c>
      <c r="O325" s="1">
        <v>5</v>
      </c>
      <c r="P325" s="48">
        <v>5</v>
      </c>
      <c r="Q325" s="1">
        <v>0</v>
      </c>
      <c r="R325" s="1">
        <v>0</v>
      </c>
      <c r="S325" s="1">
        <v>2</v>
      </c>
      <c r="T325" s="1">
        <v>2</v>
      </c>
      <c r="U325" s="1">
        <v>1</v>
      </c>
      <c r="V325" s="1">
        <v>1</v>
      </c>
      <c r="W325" s="1">
        <v>0</v>
      </c>
      <c r="X325" s="1">
        <v>0</v>
      </c>
      <c r="Y325" s="1">
        <v>5</v>
      </c>
      <c r="Z325" s="3">
        <v>2.5252525252525251</v>
      </c>
      <c r="AA325" s="1">
        <v>1</v>
      </c>
      <c r="AB325" s="3">
        <v>1.0101010101010102</v>
      </c>
      <c r="AC325" s="1">
        <v>0</v>
      </c>
      <c r="AD325" s="3">
        <v>0</v>
      </c>
      <c r="AE325" s="1">
        <v>1</v>
      </c>
      <c r="AF325" s="3">
        <v>1.0101010101010102</v>
      </c>
      <c r="AG325" s="1">
        <v>1</v>
      </c>
      <c r="AH325" s="3">
        <v>1.0101010101010102</v>
      </c>
      <c r="AI325" s="1" t="s">
        <v>22</v>
      </c>
      <c r="AJ325" s="1">
        <v>0</v>
      </c>
      <c r="AK325" s="3">
        <v>0</v>
      </c>
      <c r="AL325" s="1">
        <v>0</v>
      </c>
      <c r="AM325" s="3">
        <v>0</v>
      </c>
      <c r="AN325" s="1" t="s">
        <v>22</v>
      </c>
      <c r="AO325" s="1">
        <v>3</v>
      </c>
      <c r="AP325" s="3">
        <v>3.0303030303030303</v>
      </c>
      <c r="AQ325" s="3">
        <v>5</v>
      </c>
      <c r="AR325" s="3">
        <v>5.0505050505050502</v>
      </c>
      <c r="AS325" s="1">
        <v>4</v>
      </c>
      <c r="AT325" s="3">
        <v>4.0404040404040407</v>
      </c>
      <c r="AU325" s="1">
        <v>0</v>
      </c>
      <c r="AV325" s="3">
        <v>0</v>
      </c>
      <c r="AW325" s="1" t="s">
        <v>22</v>
      </c>
      <c r="AX325" s="1">
        <v>16</v>
      </c>
      <c r="AY325" s="1">
        <v>0</v>
      </c>
      <c r="AZ325" s="1">
        <v>2</v>
      </c>
      <c r="BA325" s="1">
        <v>32</v>
      </c>
      <c r="BB325" s="1">
        <v>0</v>
      </c>
      <c r="BC325" s="1">
        <v>4</v>
      </c>
      <c r="BD325" s="1">
        <v>0</v>
      </c>
      <c r="BE325" s="54">
        <v>0</v>
      </c>
      <c r="BF325" s="6">
        <v>18</v>
      </c>
      <c r="BG325" s="6">
        <v>10</v>
      </c>
      <c r="BH325" s="1">
        <v>0</v>
      </c>
      <c r="BI325" s="6">
        <v>0</v>
      </c>
      <c r="BJ325" s="1" t="s">
        <v>22</v>
      </c>
      <c r="BK325" s="6">
        <v>2</v>
      </c>
      <c r="BL325" s="6">
        <v>0</v>
      </c>
      <c r="BM325" s="1">
        <v>0</v>
      </c>
      <c r="BN325" t="s">
        <v>24</v>
      </c>
      <c r="BO325">
        <v>9337</v>
      </c>
    </row>
    <row r="326" spans="1:67" x14ac:dyDescent="0.25">
      <c r="A326" s="4">
        <f>INT(Tabela1[[#This Row],[Data e Hora]])</f>
        <v>46296</v>
      </c>
      <c r="B326" s="4" t="str">
        <f>UPPER(TEXT(Tabela1[[#This Row],[Data Corrigida]],"MMM"))</f>
        <v>OUT</v>
      </c>
      <c r="C326" t="s">
        <v>951</v>
      </c>
      <c r="D326" t="s">
        <v>952</v>
      </c>
      <c r="E326" t="s">
        <v>953</v>
      </c>
      <c r="F326" t="s">
        <v>19</v>
      </c>
      <c r="G326" s="5" t="s">
        <v>946</v>
      </c>
      <c r="H326" t="s">
        <v>20</v>
      </c>
      <c r="I326" t="s">
        <v>21</v>
      </c>
      <c r="J326" s="1">
        <v>161</v>
      </c>
      <c r="K326" s="1">
        <v>2980</v>
      </c>
      <c r="L326" t="s">
        <v>23</v>
      </c>
      <c r="M326" s="1">
        <v>51</v>
      </c>
      <c r="N326" s="48">
        <v>51</v>
      </c>
      <c r="O326" s="1">
        <v>33</v>
      </c>
      <c r="P326" s="48">
        <v>33</v>
      </c>
      <c r="Q326" s="1">
        <v>0</v>
      </c>
      <c r="R326" s="1">
        <v>0</v>
      </c>
      <c r="S326" s="1">
        <v>1</v>
      </c>
      <c r="T326" s="1">
        <v>1</v>
      </c>
      <c r="U326" s="1">
        <v>1</v>
      </c>
      <c r="V326" s="1">
        <v>1</v>
      </c>
      <c r="W326" s="1">
        <v>0</v>
      </c>
      <c r="X326" s="1">
        <v>0</v>
      </c>
      <c r="Y326" s="1">
        <v>5</v>
      </c>
      <c r="Z326" s="3">
        <v>1.5527950310559007</v>
      </c>
      <c r="AA326" s="1">
        <v>3</v>
      </c>
      <c r="AB326" s="3">
        <v>1.8633540372670807</v>
      </c>
      <c r="AC326" s="1">
        <v>0</v>
      </c>
      <c r="AD326" s="3">
        <v>0</v>
      </c>
      <c r="AE326" s="1">
        <v>1</v>
      </c>
      <c r="AF326" s="3">
        <v>0.6211180124223602</v>
      </c>
      <c r="AG326" s="1">
        <v>7</v>
      </c>
      <c r="AH326" s="3">
        <v>4.3478260869565215</v>
      </c>
      <c r="AI326" s="1" t="s">
        <v>22</v>
      </c>
      <c r="AJ326" s="1">
        <v>3</v>
      </c>
      <c r="AK326" s="3">
        <v>1.8633540372670807</v>
      </c>
      <c r="AL326" s="1">
        <v>3</v>
      </c>
      <c r="AM326" s="3">
        <v>1.8633540372670807</v>
      </c>
      <c r="AN326" s="1" t="s">
        <v>22</v>
      </c>
      <c r="AO326" s="1">
        <v>7</v>
      </c>
      <c r="AP326" s="3">
        <v>4.3478260869565215</v>
      </c>
      <c r="AQ326" s="3">
        <v>3</v>
      </c>
      <c r="AR326" s="3">
        <v>1.8633540372670807</v>
      </c>
      <c r="AS326" s="1">
        <v>8</v>
      </c>
      <c r="AT326" s="3">
        <v>4.9689440993788816</v>
      </c>
      <c r="AU326" s="1">
        <v>1</v>
      </c>
      <c r="AV326" s="3">
        <v>0.6211180124223602</v>
      </c>
      <c r="AW326" s="1" t="s">
        <v>22</v>
      </c>
      <c r="AX326" s="1">
        <v>19</v>
      </c>
      <c r="AY326" s="1">
        <v>0</v>
      </c>
      <c r="AZ326" s="1">
        <v>0</v>
      </c>
      <c r="BA326" s="1">
        <v>38</v>
      </c>
      <c r="BB326" s="1">
        <v>0</v>
      </c>
      <c r="BC326" s="1">
        <v>0</v>
      </c>
      <c r="BD326" s="1">
        <v>1</v>
      </c>
      <c r="BE326" s="54">
        <v>0.6211180124223602</v>
      </c>
      <c r="BF326" s="6">
        <v>20</v>
      </c>
      <c r="BG326" s="6">
        <v>21</v>
      </c>
      <c r="BH326" s="1">
        <v>1</v>
      </c>
      <c r="BI326" s="6">
        <v>10</v>
      </c>
      <c r="BJ326" s="1" t="s">
        <v>22</v>
      </c>
      <c r="BK326" s="6">
        <v>1</v>
      </c>
      <c r="BL326" s="6">
        <v>0</v>
      </c>
      <c r="BM326" s="1">
        <v>1</v>
      </c>
      <c r="BN326" t="s">
        <v>24</v>
      </c>
      <c r="BO326">
        <v>3491</v>
      </c>
    </row>
    <row r="327" spans="1:67" x14ac:dyDescent="0.25">
      <c r="A327" s="4">
        <f>INT(Tabela1[[#This Row],[Data e Hora]])</f>
        <v>46296</v>
      </c>
      <c r="B327" s="4" t="str">
        <f>UPPER(TEXT(Tabela1[[#This Row],[Data Corrigida]],"MMM"))</f>
        <v>OUT</v>
      </c>
      <c r="C327" t="s">
        <v>954</v>
      </c>
      <c r="D327" t="s">
        <v>955</v>
      </c>
      <c r="E327" t="s">
        <v>953</v>
      </c>
      <c r="F327" t="s">
        <v>19</v>
      </c>
      <c r="G327" s="5" t="s">
        <v>946</v>
      </c>
      <c r="H327" t="s">
        <v>20</v>
      </c>
      <c r="I327" t="s">
        <v>21</v>
      </c>
      <c r="J327" s="1">
        <v>161</v>
      </c>
      <c r="K327" s="1">
        <v>2972</v>
      </c>
      <c r="L327" t="s">
        <v>23</v>
      </c>
      <c r="M327" s="1">
        <v>53</v>
      </c>
      <c r="N327" s="48">
        <v>53</v>
      </c>
      <c r="O327" s="1">
        <v>29</v>
      </c>
      <c r="P327" s="48">
        <v>28.999999999999996</v>
      </c>
      <c r="Q327" s="1">
        <v>0</v>
      </c>
      <c r="R327" s="1">
        <v>0</v>
      </c>
      <c r="S327" s="1">
        <v>3</v>
      </c>
      <c r="T327" s="1">
        <v>3</v>
      </c>
      <c r="U327" s="1">
        <v>1</v>
      </c>
      <c r="V327" s="1">
        <v>1</v>
      </c>
      <c r="W327" s="1">
        <v>0</v>
      </c>
      <c r="X327" s="1">
        <v>0</v>
      </c>
      <c r="Y327" s="1">
        <v>4</v>
      </c>
      <c r="Z327" s="3">
        <v>1.2422360248447204</v>
      </c>
      <c r="AA327" s="1">
        <v>3</v>
      </c>
      <c r="AB327" s="3">
        <v>1.8633540372670807</v>
      </c>
      <c r="AC327" s="1">
        <v>0</v>
      </c>
      <c r="AD327" s="3">
        <v>0</v>
      </c>
      <c r="AE327" s="1" t="s">
        <v>22</v>
      </c>
      <c r="AF327" s="3" t="s">
        <v>22</v>
      </c>
      <c r="AG327" s="1">
        <v>6</v>
      </c>
      <c r="AH327" s="3">
        <v>3.7267080745341614</v>
      </c>
      <c r="AI327" s="1" t="s">
        <v>22</v>
      </c>
      <c r="AJ327" s="1">
        <v>2</v>
      </c>
      <c r="AK327" s="3">
        <v>1.2422360248447204</v>
      </c>
      <c r="AL327" s="1">
        <v>3</v>
      </c>
      <c r="AM327" s="3">
        <v>1.8633540372670807</v>
      </c>
      <c r="AN327" s="1" t="s">
        <v>22</v>
      </c>
      <c r="AO327" s="1">
        <v>6</v>
      </c>
      <c r="AP327" s="3">
        <v>3.7267080745341614</v>
      </c>
      <c r="AQ327" s="3">
        <v>2</v>
      </c>
      <c r="AR327" s="3">
        <v>1.2422360248447204</v>
      </c>
      <c r="AS327" s="1">
        <v>7</v>
      </c>
      <c r="AT327" s="3">
        <v>4.3478260869565215</v>
      </c>
      <c r="AU327" s="1">
        <v>1</v>
      </c>
      <c r="AV327" s="3">
        <v>0.6211180124223602</v>
      </c>
      <c r="AW327" s="1" t="s">
        <v>22</v>
      </c>
      <c r="AX327" s="1">
        <v>19</v>
      </c>
      <c r="AY327" s="1">
        <v>3</v>
      </c>
      <c r="AZ327" s="1">
        <v>3</v>
      </c>
      <c r="BA327" s="1">
        <v>38</v>
      </c>
      <c r="BB327" s="1">
        <v>6</v>
      </c>
      <c r="BC327" s="1">
        <v>6</v>
      </c>
      <c r="BD327" s="1">
        <v>1</v>
      </c>
      <c r="BE327" s="54">
        <v>0.6211180124223602</v>
      </c>
      <c r="BF327" s="6">
        <v>22</v>
      </c>
      <c r="BG327" s="6">
        <v>19</v>
      </c>
      <c r="BH327" s="1">
        <v>1</v>
      </c>
      <c r="BI327" s="6">
        <v>10</v>
      </c>
      <c r="BJ327" s="1" t="s">
        <v>22</v>
      </c>
      <c r="BK327" s="6">
        <v>0</v>
      </c>
      <c r="BL327" s="6">
        <v>0</v>
      </c>
      <c r="BM327" s="1">
        <v>2</v>
      </c>
      <c r="BN327" t="s">
        <v>24</v>
      </c>
      <c r="BO327">
        <v>2032</v>
      </c>
    </row>
    <row r="328" spans="1:67" x14ac:dyDescent="0.25">
      <c r="A328" s="4">
        <f>INT(Tabela1[[#This Row],[Data e Hora]])</f>
        <v>46296</v>
      </c>
      <c r="B328" s="4" t="str">
        <f>UPPER(TEXT(Tabela1[[#This Row],[Data Corrigida]],"MMM"))</f>
        <v>OUT</v>
      </c>
      <c r="C328" t="s">
        <v>956</v>
      </c>
      <c r="D328" t="s">
        <v>957</v>
      </c>
      <c r="E328" t="s">
        <v>953</v>
      </c>
      <c r="F328" t="s">
        <v>19</v>
      </c>
      <c r="G328" s="5" t="s">
        <v>946</v>
      </c>
      <c r="H328" t="s">
        <v>20</v>
      </c>
      <c r="I328" t="s">
        <v>21</v>
      </c>
      <c r="J328" s="1">
        <v>161</v>
      </c>
      <c r="K328" s="1">
        <v>2968</v>
      </c>
      <c r="L328" t="s">
        <v>23</v>
      </c>
      <c r="M328" s="1">
        <v>51</v>
      </c>
      <c r="N328" s="48">
        <v>51</v>
      </c>
      <c r="O328" s="1">
        <v>27</v>
      </c>
      <c r="P328" s="48">
        <v>27</v>
      </c>
      <c r="Q328" s="1">
        <v>0</v>
      </c>
      <c r="R328" s="1">
        <v>0</v>
      </c>
      <c r="S328" s="1">
        <v>3</v>
      </c>
      <c r="T328" s="1">
        <v>3</v>
      </c>
      <c r="U328" s="1">
        <v>1</v>
      </c>
      <c r="V328" s="1">
        <v>1</v>
      </c>
      <c r="W328" s="1">
        <v>1</v>
      </c>
      <c r="X328" s="1">
        <v>5</v>
      </c>
      <c r="Y328" s="1">
        <v>6</v>
      </c>
      <c r="Z328" s="3">
        <v>1.8633540372670807</v>
      </c>
      <c r="AA328" s="1">
        <v>3</v>
      </c>
      <c r="AB328" s="3">
        <v>1.8633540372670807</v>
      </c>
      <c r="AC328" s="1">
        <v>0</v>
      </c>
      <c r="AD328" s="3">
        <v>0</v>
      </c>
      <c r="AE328" s="1">
        <v>0</v>
      </c>
      <c r="AF328" s="3">
        <v>0</v>
      </c>
      <c r="AG328" s="1">
        <v>5</v>
      </c>
      <c r="AH328" s="3">
        <v>3.1055900621118013</v>
      </c>
      <c r="AI328" s="1" t="s">
        <v>22</v>
      </c>
      <c r="AJ328" s="1">
        <v>3</v>
      </c>
      <c r="AK328" s="3">
        <v>1.8633540372670807</v>
      </c>
      <c r="AL328" s="1">
        <v>3</v>
      </c>
      <c r="AM328" s="3">
        <v>1.8633540372670807</v>
      </c>
      <c r="AN328" s="1" t="s">
        <v>22</v>
      </c>
      <c r="AO328" s="1">
        <v>8</v>
      </c>
      <c r="AP328" s="3">
        <v>4.9689440993788816</v>
      </c>
      <c r="AQ328" s="3">
        <v>2</v>
      </c>
      <c r="AR328" s="3">
        <v>1.2422360248447204</v>
      </c>
      <c r="AS328" s="1">
        <v>7</v>
      </c>
      <c r="AT328" s="3">
        <v>4.3478260869565215</v>
      </c>
      <c r="AU328" s="1">
        <v>1</v>
      </c>
      <c r="AV328" s="3">
        <v>0.6211180124223602</v>
      </c>
      <c r="AW328" s="1" t="s">
        <v>22</v>
      </c>
      <c r="AX328" s="1">
        <v>19</v>
      </c>
      <c r="AY328" s="1">
        <v>0</v>
      </c>
      <c r="AZ328" s="1">
        <v>0</v>
      </c>
      <c r="BA328" s="1">
        <v>38</v>
      </c>
      <c r="BB328" s="1">
        <v>0</v>
      </c>
      <c r="BC328" s="1">
        <v>0</v>
      </c>
      <c r="BD328" s="1">
        <v>0</v>
      </c>
      <c r="BE328" s="54">
        <v>0</v>
      </c>
      <c r="BF328" s="6">
        <v>21</v>
      </c>
      <c r="BG328" s="6">
        <v>18</v>
      </c>
      <c r="BH328" s="1">
        <v>1</v>
      </c>
      <c r="BI328" s="6">
        <v>10</v>
      </c>
      <c r="BJ328" s="1" t="s">
        <v>22</v>
      </c>
      <c r="BK328" s="6">
        <v>0</v>
      </c>
      <c r="BL328" s="6">
        <v>0</v>
      </c>
      <c r="BM328" s="1">
        <v>1</v>
      </c>
      <c r="BN328" t="s">
        <v>24</v>
      </c>
      <c r="BO328">
        <v>2405</v>
      </c>
    </row>
    <row r="329" spans="1:67" x14ac:dyDescent="0.25">
      <c r="A329" s="4">
        <f>INT(Tabela1[[#This Row],[Data e Hora]])</f>
        <v>46296</v>
      </c>
      <c r="B329" s="4" t="str">
        <f>UPPER(TEXT(Tabela1[[#This Row],[Data Corrigida]],"MMM"))</f>
        <v>OUT</v>
      </c>
      <c r="C329" t="s">
        <v>958</v>
      </c>
      <c r="D329" t="s">
        <v>959</v>
      </c>
      <c r="E329" t="s">
        <v>960</v>
      </c>
      <c r="F329" t="s">
        <v>19</v>
      </c>
      <c r="G329" s="5" t="s">
        <v>946</v>
      </c>
      <c r="H329" t="s">
        <v>20</v>
      </c>
      <c r="I329" t="s">
        <v>21</v>
      </c>
      <c r="J329" s="1">
        <v>161</v>
      </c>
      <c r="K329" s="1">
        <v>2945</v>
      </c>
      <c r="L329" t="s">
        <v>23</v>
      </c>
      <c r="M329" s="1">
        <v>42</v>
      </c>
      <c r="N329" s="48">
        <v>42</v>
      </c>
      <c r="O329" s="1">
        <v>20</v>
      </c>
      <c r="P329" s="48">
        <v>20</v>
      </c>
      <c r="Q329" s="1">
        <v>0</v>
      </c>
      <c r="R329" s="1">
        <v>0</v>
      </c>
      <c r="S329" s="1">
        <v>2</v>
      </c>
      <c r="T329" s="1">
        <v>2</v>
      </c>
      <c r="U329" s="1">
        <v>0</v>
      </c>
      <c r="V329" s="1">
        <v>0</v>
      </c>
      <c r="W329" s="1">
        <v>0</v>
      </c>
      <c r="X329" s="1">
        <v>0</v>
      </c>
      <c r="Y329" s="1">
        <v>4</v>
      </c>
      <c r="Z329" s="3">
        <v>1.2422360248447204</v>
      </c>
      <c r="AA329" s="1">
        <v>2</v>
      </c>
      <c r="AB329" s="3">
        <v>1.2422360248447204</v>
      </c>
      <c r="AC329" s="1">
        <v>0</v>
      </c>
      <c r="AD329" s="3">
        <v>0</v>
      </c>
      <c r="AE329" s="1">
        <v>0</v>
      </c>
      <c r="AF329" s="3">
        <v>0</v>
      </c>
      <c r="AG329" s="1">
        <v>5</v>
      </c>
      <c r="AH329" s="3">
        <v>3.1055900621118013</v>
      </c>
      <c r="AI329" s="1" t="s">
        <v>22</v>
      </c>
      <c r="AJ329" s="1">
        <v>3</v>
      </c>
      <c r="AK329" s="3">
        <v>1.8633540372670807</v>
      </c>
      <c r="AL329" s="1">
        <v>2</v>
      </c>
      <c r="AM329" s="3">
        <v>1.2422360248447204</v>
      </c>
      <c r="AN329" s="1" t="s">
        <v>22</v>
      </c>
      <c r="AO329" s="1">
        <v>5</v>
      </c>
      <c r="AP329" s="3">
        <v>3.1055900621118013</v>
      </c>
      <c r="AQ329" s="3">
        <v>2</v>
      </c>
      <c r="AR329" s="3">
        <v>1.2422360248447204</v>
      </c>
      <c r="AS329" s="1">
        <v>6</v>
      </c>
      <c r="AT329" s="3">
        <v>3.7267080745341614</v>
      </c>
      <c r="AU329" s="1">
        <v>1</v>
      </c>
      <c r="AV329" s="3">
        <v>0.6211180124223602</v>
      </c>
      <c r="AW329" s="1" t="s">
        <v>22</v>
      </c>
      <c r="AX329" s="1">
        <v>19</v>
      </c>
      <c r="AY329" s="1">
        <v>0</v>
      </c>
      <c r="AZ329" s="1">
        <v>0</v>
      </c>
      <c r="BA329" s="1">
        <v>38</v>
      </c>
      <c r="BB329" s="1">
        <v>0</v>
      </c>
      <c r="BC329" s="1">
        <v>0</v>
      </c>
      <c r="BD329" s="1">
        <v>0</v>
      </c>
      <c r="BE329" s="54">
        <v>0</v>
      </c>
      <c r="BF329" s="6">
        <v>23</v>
      </c>
      <c r="BG329" s="6">
        <v>19</v>
      </c>
      <c r="BH329" s="1">
        <v>1</v>
      </c>
      <c r="BI329" s="6">
        <v>10</v>
      </c>
      <c r="BJ329" s="1" t="s">
        <v>22</v>
      </c>
      <c r="BK329" s="1" t="s">
        <v>22</v>
      </c>
      <c r="BL329" s="1" t="s">
        <v>22</v>
      </c>
      <c r="BM329" s="1" t="s">
        <v>22</v>
      </c>
      <c r="BN329" t="s">
        <v>24</v>
      </c>
      <c r="BO329">
        <v>1682</v>
      </c>
    </row>
    <row r="330" spans="1:67" x14ac:dyDescent="0.25">
      <c r="A330" s="4">
        <f>INT(Tabela1[[#This Row],[Data e Hora]])</f>
        <v>46300</v>
      </c>
      <c r="B330" s="4" t="str">
        <f>UPPER(TEXT(Tabela1[[#This Row],[Data Corrigida]],"MMM"))</f>
        <v>OUT</v>
      </c>
      <c r="C330" s="57" t="s">
        <v>961</v>
      </c>
      <c r="D330" t="s">
        <v>962</v>
      </c>
      <c r="E330" t="s">
        <v>963</v>
      </c>
      <c r="F330" t="s">
        <v>19</v>
      </c>
      <c r="G330" s="5" t="s">
        <v>964</v>
      </c>
      <c r="H330" t="s">
        <v>20</v>
      </c>
      <c r="I330" t="s">
        <v>33</v>
      </c>
      <c r="J330" s="1">
        <v>161</v>
      </c>
      <c r="K330" s="1">
        <v>2998</v>
      </c>
      <c r="L330" t="s">
        <v>34</v>
      </c>
      <c r="M330" s="1">
        <v>20</v>
      </c>
      <c r="N330" s="48">
        <v>20</v>
      </c>
      <c r="O330" s="1">
        <v>6</v>
      </c>
      <c r="P330" s="48">
        <v>6</v>
      </c>
      <c r="Q330" s="1">
        <v>0</v>
      </c>
      <c r="R330" s="1">
        <v>0</v>
      </c>
      <c r="S330" s="1">
        <v>1</v>
      </c>
      <c r="T330" s="1">
        <v>1</v>
      </c>
      <c r="U330" s="1">
        <v>0</v>
      </c>
      <c r="V330" s="1">
        <v>0</v>
      </c>
      <c r="W330" s="1">
        <v>0</v>
      </c>
      <c r="X330" s="1">
        <v>0</v>
      </c>
      <c r="Y330" s="1">
        <v>6</v>
      </c>
      <c r="Z330" s="3">
        <v>1.8633540372670807</v>
      </c>
      <c r="AA330" s="1">
        <v>4</v>
      </c>
      <c r="AB330" s="3">
        <v>2.4844720496894408</v>
      </c>
      <c r="AC330" s="1">
        <v>0</v>
      </c>
      <c r="AD330" s="3">
        <v>0</v>
      </c>
      <c r="AE330" s="1">
        <v>6</v>
      </c>
      <c r="AF330" s="3">
        <v>3.7267080745341614</v>
      </c>
      <c r="AG330" s="1">
        <v>4</v>
      </c>
      <c r="AH330" s="3">
        <v>2.4844720496894408</v>
      </c>
      <c r="AI330" s="1" t="s">
        <v>22</v>
      </c>
      <c r="AJ330" s="1">
        <v>0</v>
      </c>
      <c r="AK330" s="3">
        <v>0</v>
      </c>
      <c r="AL330" s="1">
        <v>0</v>
      </c>
      <c r="AM330" s="3">
        <v>0</v>
      </c>
      <c r="AN330" s="1" t="s">
        <v>22</v>
      </c>
      <c r="AO330" s="1">
        <v>6</v>
      </c>
      <c r="AP330" s="3">
        <v>3.7267080745341614</v>
      </c>
      <c r="AQ330" s="3">
        <v>5</v>
      </c>
      <c r="AR330" s="3">
        <v>3.1055900621118013</v>
      </c>
      <c r="AS330" s="1">
        <v>6</v>
      </c>
      <c r="AT330" s="3">
        <v>3.7267080745341614</v>
      </c>
      <c r="AU330" s="1">
        <v>1</v>
      </c>
      <c r="AV330" s="3">
        <v>0.6211180124223602</v>
      </c>
      <c r="AW330" s="1" t="s">
        <v>22</v>
      </c>
      <c r="AX330" s="1">
        <v>18</v>
      </c>
      <c r="AY330" s="1">
        <v>0</v>
      </c>
      <c r="AZ330" s="1">
        <v>0</v>
      </c>
      <c r="BA330" s="1">
        <v>36</v>
      </c>
      <c r="BB330" s="1">
        <v>0</v>
      </c>
      <c r="BC330" s="1">
        <v>0</v>
      </c>
      <c r="BD330" s="1">
        <v>0</v>
      </c>
      <c r="BE330" s="54">
        <v>0</v>
      </c>
      <c r="BF330" s="6">
        <v>20</v>
      </c>
      <c r="BG330" s="6">
        <v>16</v>
      </c>
      <c r="BH330" s="1">
        <v>0</v>
      </c>
      <c r="BI330" s="6">
        <v>0</v>
      </c>
      <c r="BJ330" s="1" t="s">
        <v>22</v>
      </c>
      <c r="BK330" s="6">
        <v>0</v>
      </c>
      <c r="BL330" s="6">
        <v>0</v>
      </c>
      <c r="BM330" s="1">
        <v>0</v>
      </c>
      <c r="BN330" t="s">
        <v>24</v>
      </c>
      <c r="BO330">
        <v>411</v>
      </c>
    </row>
    <row r="331" spans="1:67" x14ac:dyDescent="0.25">
      <c r="A331" s="4">
        <f>INT(Tabela1[[#This Row],[Data e Hora]])</f>
        <v>46300</v>
      </c>
      <c r="B331" s="4" t="str">
        <f>UPPER(TEXT(Tabela1[[#This Row],[Data Corrigida]],"MMM"))</f>
        <v>OUT</v>
      </c>
      <c r="C331" t="s">
        <v>965</v>
      </c>
      <c r="D331" t="s">
        <v>966</v>
      </c>
      <c r="E331" t="s">
        <v>963</v>
      </c>
      <c r="F331" t="s">
        <v>19</v>
      </c>
      <c r="G331" s="5" t="s">
        <v>964</v>
      </c>
      <c r="H331" t="s">
        <v>20</v>
      </c>
      <c r="I331" t="s">
        <v>33</v>
      </c>
      <c r="J331" s="1">
        <v>156</v>
      </c>
      <c r="K331" s="1">
        <v>2914</v>
      </c>
      <c r="L331" t="s">
        <v>34</v>
      </c>
      <c r="M331" s="1">
        <v>20</v>
      </c>
      <c r="N331" s="48">
        <v>20</v>
      </c>
      <c r="O331" s="1">
        <v>11</v>
      </c>
      <c r="P331" s="48">
        <v>11</v>
      </c>
      <c r="Q331" s="1">
        <v>1</v>
      </c>
      <c r="R331" s="1">
        <v>10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5</v>
      </c>
      <c r="Z331" s="3">
        <v>1.6025641025641024</v>
      </c>
      <c r="AA331" s="1">
        <v>4</v>
      </c>
      <c r="AB331" s="3">
        <v>2.5641025641025639</v>
      </c>
      <c r="AC331" s="1">
        <v>0</v>
      </c>
      <c r="AD331" s="3">
        <v>0</v>
      </c>
      <c r="AE331" s="1">
        <v>1</v>
      </c>
      <c r="AF331" s="3">
        <v>0.64102564102564097</v>
      </c>
      <c r="AG331" s="1">
        <v>2</v>
      </c>
      <c r="AH331" s="3">
        <v>1.2820512820512819</v>
      </c>
      <c r="AI331" s="1" t="s">
        <v>22</v>
      </c>
      <c r="AJ331" s="1">
        <v>0</v>
      </c>
      <c r="AK331" s="3">
        <v>0</v>
      </c>
      <c r="AL331" s="1">
        <v>0</v>
      </c>
      <c r="AM331" s="3">
        <v>0</v>
      </c>
      <c r="AN331" s="1" t="s">
        <v>22</v>
      </c>
      <c r="AO331" s="1">
        <v>15</v>
      </c>
      <c r="AP331" s="3">
        <v>9.6153846153846168</v>
      </c>
      <c r="AQ331" s="3">
        <v>3</v>
      </c>
      <c r="AR331" s="3">
        <v>1.9230769230769231</v>
      </c>
      <c r="AS331" s="1">
        <v>8</v>
      </c>
      <c r="AT331" s="3">
        <v>5.1282051282051277</v>
      </c>
      <c r="AU331" s="1">
        <v>0</v>
      </c>
      <c r="AV331" s="3">
        <v>0</v>
      </c>
      <c r="AW331" s="1" t="s">
        <v>22</v>
      </c>
      <c r="AX331" s="1">
        <v>19</v>
      </c>
      <c r="AY331" s="1">
        <v>0</v>
      </c>
      <c r="AZ331" s="1">
        <v>0</v>
      </c>
      <c r="BA331" s="1">
        <v>38</v>
      </c>
      <c r="BB331" s="1">
        <v>0</v>
      </c>
      <c r="BC331" s="1">
        <v>0</v>
      </c>
      <c r="BD331" s="1">
        <v>0</v>
      </c>
      <c r="BE331" s="54">
        <v>0</v>
      </c>
      <c r="BF331" s="6">
        <v>20</v>
      </c>
      <c r="BG331" s="6">
        <v>18</v>
      </c>
      <c r="BH331" s="1">
        <v>0</v>
      </c>
      <c r="BI331" s="6">
        <v>0</v>
      </c>
      <c r="BJ331" s="1" t="s">
        <v>22</v>
      </c>
      <c r="BK331" s="6">
        <v>3</v>
      </c>
      <c r="BL331" s="6">
        <v>0</v>
      </c>
      <c r="BM331" s="1">
        <v>0</v>
      </c>
      <c r="BN331" t="s">
        <v>24</v>
      </c>
      <c r="BO331">
        <v>8354</v>
      </c>
    </row>
    <row r="332" spans="1:67" x14ac:dyDescent="0.25">
      <c r="A332" s="4">
        <f>INT(Tabela1[[#This Row],[Data e Hora]])</f>
        <v>46300</v>
      </c>
      <c r="B332" s="4" t="str">
        <f>UPPER(TEXT(Tabela1[[#This Row],[Data Corrigida]],"MMM"))</f>
        <v>OUT</v>
      </c>
      <c r="C332" t="s">
        <v>967</v>
      </c>
      <c r="D332" t="s">
        <v>968</v>
      </c>
      <c r="E332" t="s">
        <v>963</v>
      </c>
      <c r="F332" t="s">
        <v>19</v>
      </c>
      <c r="G332" s="5" t="s">
        <v>964</v>
      </c>
      <c r="H332" t="s">
        <v>20</v>
      </c>
      <c r="I332" t="s">
        <v>33</v>
      </c>
      <c r="J332" s="1">
        <v>89</v>
      </c>
      <c r="K332" s="1">
        <v>2998</v>
      </c>
      <c r="L332" t="s">
        <v>34</v>
      </c>
      <c r="M332" s="1">
        <v>9</v>
      </c>
      <c r="N332" s="48">
        <v>9</v>
      </c>
      <c r="O332" s="1">
        <v>4</v>
      </c>
      <c r="P332" s="48">
        <v>4</v>
      </c>
      <c r="Q332" s="1">
        <v>1</v>
      </c>
      <c r="R332" s="1">
        <v>10</v>
      </c>
      <c r="S332" s="1">
        <v>2</v>
      </c>
      <c r="T332" s="1">
        <v>2</v>
      </c>
      <c r="U332" s="1">
        <v>1</v>
      </c>
      <c r="V332" s="1">
        <v>1</v>
      </c>
      <c r="W332" s="1">
        <v>1</v>
      </c>
      <c r="X332" s="1">
        <v>5</v>
      </c>
      <c r="Y332" s="1">
        <v>3</v>
      </c>
      <c r="Z332" s="3">
        <v>1.6853932584269662</v>
      </c>
      <c r="AA332" s="1">
        <v>2</v>
      </c>
      <c r="AB332" s="3">
        <v>2.2471910112359552</v>
      </c>
      <c r="AC332" s="1">
        <v>0</v>
      </c>
      <c r="AD332" s="3">
        <v>0</v>
      </c>
      <c r="AE332" s="1">
        <v>1</v>
      </c>
      <c r="AF332" s="3">
        <v>1.1235955056179776</v>
      </c>
      <c r="AG332" s="1">
        <v>1</v>
      </c>
      <c r="AH332" s="3">
        <v>1.1235955056179776</v>
      </c>
      <c r="AI332" s="1" t="s">
        <v>22</v>
      </c>
      <c r="AJ332" s="1">
        <v>0</v>
      </c>
      <c r="AK332" s="3">
        <v>0</v>
      </c>
      <c r="AL332" s="1">
        <v>0</v>
      </c>
      <c r="AM332" s="3">
        <v>0</v>
      </c>
      <c r="AN332" s="1" t="s">
        <v>22</v>
      </c>
      <c r="AO332" s="1">
        <v>7</v>
      </c>
      <c r="AP332" s="3">
        <v>7.8651685393258424</v>
      </c>
      <c r="AQ332" s="3">
        <v>4</v>
      </c>
      <c r="AR332" s="3">
        <v>4.4943820224719104</v>
      </c>
      <c r="AS332" s="1">
        <v>5</v>
      </c>
      <c r="AT332" s="3">
        <v>5.6179775280898872</v>
      </c>
      <c r="AU332" s="1">
        <v>0</v>
      </c>
      <c r="AV332" s="3">
        <v>0</v>
      </c>
      <c r="AW332" s="1" t="s">
        <v>22</v>
      </c>
      <c r="AX332" s="1">
        <v>16</v>
      </c>
      <c r="AY332" s="1">
        <v>0</v>
      </c>
      <c r="AZ332" s="1">
        <v>0</v>
      </c>
      <c r="BA332" s="1">
        <v>32</v>
      </c>
      <c r="BB332" s="1">
        <v>0</v>
      </c>
      <c r="BC332" s="1">
        <v>0</v>
      </c>
      <c r="BD332" s="1">
        <v>0</v>
      </c>
      <c r="BE332" s="54">
        <v>0</v>
      </c>
      <c r="BF332" s="6">
        <v>23</v>
      </c>
      <c r="BG332" s="6">
        <v>22</v>
      </c>
      <c r="BH332" s="1">
        <v>0</v>
      </c>
      <c r="BI332" s="6">
        <v>0</v>
      </c>
      <c r="BJ332" s="1" t="s">
        <v>22</v>
      </c>
      <c r="BK332" s="6">
        <v>3</v>
      </c>
      <c r="BL332" s="6">
        <v>0</v>
      </c>
      <c r="BM332" s="1">
        <v>0</v>
      </c>
      <c r="BN332" t="s">
        <v>24</v>
      </c>
      <c r="BO332">
        <v>9771</v>
      </c>
    </row>
    <row r="333" spans="1:67" x14ac:dyDescent="0.25">
      <c r="A333" s="4">
        <f>INT(Tabela1[[#This Row],[Data e Hora]])</f>
        <v>46300</v>
      </c>
      <c r="B333" s="4" t="str">
        <f>UPPER(TEXT(Tabela1[[#This Row],[Data Corrigida]],"MMM"))</f>
        <v>OUT</v>
      </c>
      <c r="C333" t="s">
        <v>969</v>
      </c>
      <c r="D333" t="s">
        <v>970</v>
      </c>
      <c r="E333" t="s">
        <v>971</v>
      </c>
      <c r="F333" t="s">
        <v>19</v>
      </c>
      <c r="G333" s="5" t="s">
        <v>964</v>
      </c>
      <c r="H333" t="s">
        <v>20</v>
      </c>
      <c r="I333" t="s">
        <v>21</v>
      </c>
      <c r="J333" s="1">
        <v>156</v>
      </c>
      <c r="K333" s="1">
        <v>2998</v>
      </c>
      <c r="L333" t="s">
        <v>23</v>
      </c>
      <c r="M333" s="1">
        <v>33</v>
      </c>
      <c r="N333" s="48">
        <v>33</v>
      </c>
      <c r="O333" s="1">
        <v>21</v>
      </c>
      <c r="P333" s="48">
        <v>21</v>
      </c>
      <c r="Q333" s="1">
        <v>0</v>
      </c>
      <c r="R333" s="1">
        <v>0</v>
      </c>
      <c r="S333" s="1">
        <v>3</v>
      </c>
      <c r="T333" s="1">
        <v>3</v>
      </c>
      <c r="U333" s="1">
        <v>1</v>
      </c>
      <c r="V333" s="1">
        <v>1</v>
      </c>
      <c r="W333" s="1">
        <v>0</v>
      </c>
      <c r="X333" s="1">
        <v>0</v>
      </c>
      <c r="Y333" s="1">
        <v>4</v>
      </c>
      <c r="Z333" s="3">
        <v>1.2820512820512819</v>
      </c>
      <c r="AA333" s="1">
        <v>3</v>
      </c>
      <c r="AB333" s="3">
        <v>1.9230769230769231</v>
      </c>
      <c r="AC333" s="1">
        <v>1</v>
      </c>
      <c r="AD333" s="3">
        <v>0.64102564102564097</v>
      </c>
      <c r="AE333" s="1">
        <v>2</v>
      </c>
      <c r="AF333" s="3">
        <v>1.2820512820512819</v>
      </c>
      <c r="AG333" s="1">
        <v>5</v>
      </c>
      <c r="AH333" s="3">
        <v>3.2051282051282048</v>
      </c>
      <c r="AI333" s="1" t="s">
        <v>22</v>
      </c>
      <c r="AJ333" s="1">
        <v>3</v>
      </c>
      <c r="AK333" s="3">
        <v>1.9230769230769231</v>
      </c>
      <c r="AL333" s="1">
        <v>3</v>
      </c>
      <c r="AM333" s="3">
        <v>1.9230769230769231</v>
      </c>
      <c r="AN333" s="1" t="s">
        <v>22</v>
      </c>
      <c r="AO333" s="1">
        <v>6</v>
      </c>
      <c r="AP333" s="3">
        <v>3.8461538461538463</v>
      </c>
      <c r="AQ333" s="3">
        <v>3</v>
      </c>
      <c r="AR333" s="3">
        <v>1.9230769230769231</v>
      </c>
      <c r="AS333" s="1">
        <v>7</v>
      </c>
      <c r="AT333" s="3">
        <v>4.4871794871794872</v>
      </c>
      <c r="AU333" s="1">
        <v>1</v>
      </c>
      <c r="AV333" s="3">
        <v>0.64102564102564097</v>
      </c>
      <c r="AW333" s="1" t="s">
        <v>22</v>
      </c>
      <c r="AX333" s="1">
        <v>20</v>
      </c>
      <c r="AY333" s="1">
        <v>1</v>
      </c>
      <c r="AZ333" s="1">
        <v>1</v>
      </c>
      <c r="BA333" s="1">
        <v>40</v>
      </c>
      <c r="BB333" s="1">
        <v>2</v>
      </c>
      <c r="BC333" s="1">
        <v>2</v>
      </c>
      <c r="BD333" s="1">
        <v>1</v>
      </c>
      <c r="BE333" s="54">
        <v>0.64102564102564097</v>
      </c>
      <c r="BF333" s="6">
        <v>15</v>
      </c>
      <c r="BG333" s="6">
        <v>24</v>
      </c>
      <c r="BH333" s="1">
        <v>0</v>
      </c>
      <c r="BI333" s="6">
        <v>0</v>
      </c>
      <c r="BJ333" s="1" t="s">
        <v>22</v>
      </c>
      <c r="BK333" s="1" t="s">
        <v>22</v>
      </c>
      <c r="BL333" s="1" t="s">
        <v>22</v>
      </c>
      <c r="BM333" s="1" t="s">
        <v>22</v>
      </c>
      <c r="BN333" t="s">
        <v>24</v>
      </c>
      <c r="BO333">
        <v>2493</v>
      </c>
    </row>
    <row r="334" spans="1:67" x14ac:dyDescent="0.25">
      <c r="A334" s="4">
        <f>INT(Tabela1[[#This Row],[Data e Hora]])</f>
        <v>46297</v>
      </c>
      <c r="B334" s="4" t="str">
        <f>UPPER(TEXT(Tabela1[[#This Row],[Data Corrigida]],"MMM"))</f>
        <v>OUT</v>
      </c>
      <c r="C334" t="s">
        <v>972</v>
      </c>
      <c r="D334" t="s">
        <v>973</v>
      </c>
      <c r="E334" t="s">
        <v>974</v>
      </c>
      <c r="F334" t="s">
        <v>19</v>
      </c>
      <c r="G334" s="5" t="s">
        <v>975</v>
      </c>
      <c r="H334" t="s">
        <v>20</v>
      </c>
      <c r="I334" t="s">
        <v>33</v>
      </c>
      <c r="J334" s="1">
        <v>161</v>
      </c>
      <c r="K334" s="1">
        <v>2813</v>
      </c>
      <c r="L334" t="s">
        <v>34</v>
      </c>
      <c r="M334" s="1">
        <v>20</v>
      </c>
      <c r="N334" s="48">
        <v>20</v>
      </c>
      <c r="O334" s="1">
        <v>5</v>
      </c>
      <c r="P334" s="48">
        <v>5</v>
      </c>
      <c r="Q334" s="1">
        <v>0</v>
      </c>
      <c r="R334" s="1">
        <v>0</v>
      </c>
      <c r="S334" s="1">
        <v>1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4</v>
      </c>
      <c r="Z334" s="3">
        <v>1.2422360248447204</v>
      </c>
      <c r="AA334" s="1">
        <v>2</v>
      </c>
      <c r="AB334" s="3">
        <v>1.2422360248447204</v>
      </c>
      <c r="AC334" s="1">
        <v>0</v>
      </c>
      <c r="AD334" s="3">
        <v>0</v>
      </c>
      <c r="AE334" s="1">
        <v>0</v>
      </c>
      <c r="AF334" s="3">
        <v>0</v>
      </c>
      <c r="AG334" s="1">
        <v>2</v>
      </c>
      <c r="AH334" s="3">
        <v>1.2422360248447204</v>
      </c>
      <c r="AI334" s="1" t="s">
        <v>22</v>
      </c>
      <c r="AJ334" s="1">
        <v>0</v>
      </c>
      <c r="AK334" s="3">
        <v>0</v>
      </c>
      <c r="AL334" s="1">
        <v>0</v>
      </c>
      <c r="AM334" s="3">
        <v>0</v>
      </c>
      <c r="AN334" s="1" t="s">
        <v>22</v>
      </c>
      <c r="AO334" s="1">
        <v>4</v>
      </c>
      <c r="AP334" s="3">
        <v>2.4844720496894408</v>
      </c>
      <c r="AQ334" s="3">
        <v>5</v>
      </c>
      <c r="AR334" s="3">
        <v>3.1055900621118013</v>
      </c>
      <c r="AS334" s="1">
        <v>6</v>
      </c>
      <c r="AT334" s="3">
        <v>3.7267080745341614</v>
      </c>
      <c r="AU334" s="1">
        <v>1</v>
      </c>
      <c r="AV334" s="3">
        <v>0.6211180124223602</v>
      </c>
      <c r="AW334" s="1" t="s">
        <v>22</v>
      </c>
      <c r="AX334" s="1">
        <v>14</v>
      </c>
      <c r="AY334" s="1">
        <v>0</v>
      </c>
      <c r="AZ334" s="1">
        <v>0</v>
      </c>
      <c r="BA334" s="1">
        <v>28</v>
      </c>
      <c r="BB334" s="1">
        <v>0</v>
      </c>
      <c r="BC334" s="1">
        <v>0</v>
      </c>
      <c r="BD334" s="1">
        <v>0</v>
      </c>
      <c r="BE334" s="54">
        <v>0</v>
      </c>
      <c r="BF334" s="6">
        <v>20</v>
      </c>
      <c r="BG334" s="6">
        <v>17</v>
      </c>
      <c r="BH334" s="1">
        <v>0</v>
      </c>
      <c r="BI334" s="6">
        <v>0</v>
      </c>
      <c r="BJ334" s="1" t="s">
        <v>22</v>
      </c>
      <c r="BK334" s="6">
        <v>1</v>
      </c>
      <c r="BL334" s="6">
        <v>0</v>
      </c>
      <c r="BM334" s="1">
        <v>0</v>
      </c>
      <c r="BN334" t="s">
        <v>24</v>
      </c>
      <c r="BO334">
        <v>275</v>
      </c>
    </row>
    <row r="335" spans="1:67" x14ac:dyDescent="0.25">
      <c r="A335" s="4">
        <f>INT(Tabela1[[#This Row],[Data e Hora]])</f>
        <v>46297</v>
      </c>
      <c r="B335" s="4" t="str">
        <f>UPPER(TEXT(Tabela1[[#This Row],[Data Corrigida]],"MMM"))</f>
        <v>OUT</v>
      </c>
      <c r="C335" t="s">
        <v>976</v>
      </c>
      <c r="D335" t="s">
        <v>977</v>
      </c>
      <c r="E335" t="s">
        <v>978</v>
      </c>
      <c r="F335" t="s">
        <v>19</v>
      </c>
      <c r="G335" s="5" t="s">
        <v>975</v>
      </c>
      <c r="H335" t="s">
        <v>20</v>
      </c>
      <c r="I335" t="s">
        <v>33</v>
      </c>
      <c r="J335" s="1">
        <v>156</v>
      </c>
      <c r="K335" s="1">
        <v>2903</v>
      </c>
      <c r="L335" t="s">
        <v>34</v>
      </c>
      <c r="M335" s="1">
        <v>13</v>
      </c>
      <c r="N335" s="48">
        <v>13</v>
      </c>
      <c r="O335" s="1">
        <v>8</v>
      </c>
      <c r="P335" s="48">
        <v>8</v>
      </c>
      <c r="Q335" s="1">
        <v>2</v>
      </c>
      <c r="R335" s="1">
        <v>20</v>
      </c>
      <c r="S335" s="1">
        <v>1</v>
      </c>
      <c r="T335" s="1">
        <v>1</v>
      </c>
      <c r="U335" s="1">
        <v>0</v>
      </c>
      <c r="V335" s="1">
        <v>0</v>
      </c>
      <c r="W335" s="1">
        <v>0</v>
      </c>
      <c r="X335" s="1">
        <v>0</v>
      </c>
      <c r="Y335" s="1">
        <v>6</v>
      </c>
      <c r="Z335" s="3">
        <v>1.9230769230769231</v>
      </c>
      <c r="AA335" s="1">
        <v>1</v>
      </c>
      <c r="AB335" s="3">
        <v>0.64102564102564097</v>
      </c>
      <c r="AC335" s="1">
        <v>0</v>
      </c>
      <c r="AD335" s="3">
        <v>0</v>
      </c>
      <c r="AE335" s="1">
        <v>0</v>
      </c>
      <c r="AF335" s="3">
        <v>0</v>
      </c>
      <c r="AG335" s="1">
        <v>1</v>
      </c>
      <c r="AH335" s="3">
        <v>0.64102564102564097</v>
      </c>
      <c r="AI335" s="1" t="s">
        <v>22</v>
      </c>
      <c r="AJ335" s="1">
        <v>0</v>
      </c>
      <c r="AK335" s="3">
        <v>0</v>
      </c>
      <c r="AL335" s="1">
        <v>0</v>
      </c>
      <c r="AM335" s="3">
        <v>0</v>
      </c>
      <c r="AN335" s="1" t="s">
        <v>22</v>
      </c>
      <c r="AO335" s="1">
        <v>4</v>
      </c>
      <c r="AP335" s="3">
        <v>2.5641025641025639</v>
      </c>
      <c r="AQ335" s="3">
        <v>6</v>
      </c>
      <c r="AR335" s="3">
        <v>3.8461538461538463</v>
      </c>
      <c r="AS335" s="1">
        <v>5</v>
      </c>
      <c r="AT335" s="3">
        <v>3.2051282051282048</v>
      </c>
      <c r="AU335" s="1">
        <v>0</v>
      </c>
      <c r="AV335" s="3">
        <v>0</v>
      </c>
      <c r="AW335" s="1" t="s">
        <v>22</v>
      </c>
      <c r="AX335" s="1">
        <v>15</v>
      </c>
      <c r="AY335" s="1">
        <v>0</v>
      </c>
      <c r="AZ335" s="1">
        <v>0</v>
      </c>
      <c r="BA335" s="1">
        <v>30</v>
      </c>
      <c r="BB335" s="1">
        <v>0</v>
      </c>
      <c r="BC335" s="1">
        <v>0</v>
      </c>
      <c r="BD335" s="1">
        <v>1</v>
      </c>
      <c r="BE335" s="54">
        <v>0.64102564102564097</v>
      </c>
      <c r="BF335" s="6">
        <v>21</v>
      </c>
      <c r="BG335" s="6">
        <v>19</v>
      </c>
      <c r="BH335" s="1">
        <v>0</v>
      </c>
      <c r="BI335" s="6">
        <v>0</v>
      </c>
      <c r="BJ335" s="1" t="s">
        <v>22</v>
      </c>
      <c r="BK335" s="6">
        <v>0</v>
      </c>
      <c r="BL335" s="6">
        <v>0</v>
      </c>
      <c r="BM335" s="1">
        <v>0</v>
      </c>
      <c r="BN335" t="s">
        <v>24</v>
      </c>
      <c r="BO335">
        <v>7160</v>
      </c>
    </row>
    <row r="336" spans="1:67" x14ac:dyDescent="0.25">
      <c r="A336" s="4">
        <f>INT(Tabela1[[#This Row],[Data e Hora]])</f>
        <v>46297</v>
      </c>
      <c r="B336" s="4" t="str">
        <f>UPPER(TEXT(Tabela1[[#This Row],[Data Corrigida]],"MMM"))</f>
        <v>OUT</v>
      </c>
      <c r="C336" t="s">
        <v>979</v>
      </c>
      <c r="D336" t="s">
        <v>980</v>
      </c>
      <c r="E336" t="s">
        <v>978</v>
      </c>
      <c r="F336" t="s">
        <v>19</v>
      </c>
      <c r="G336" s="5" t="s">
        <v>975</v>
      </c>
      <c r="H336" t="s">
        <v>20</v>
      </c>
      <c r="I336" t="s">
        <v>33</v>
      </c>
      <c r="J336" s="1">
        <v>116</v>
      </c>
      <c r="K336" s="1">
        <v>5852</v>
      </c>
      <c r="L336" t="s">
        <v>34</v>
      </c>
      <c r="M336" s="1">
        <v>10</v>
      </c>
      <c r="N336" s="48">
        <v>10</v>
      </c>
      <c r="O336" s="1">
        <v>5</v>
      </c>
      <c r="P336" s="48">
        <v>5</v>
      </c>
      <c r="Q336" s="1">
        <v>0</v>
      </c>
      <c r="R336" s="1">
        <v>0</v>
      </c>
      <c r="S336" s="1">
        <v>3</v>
      </c>
      <c r="T336" s="1">
        <v>3</v>
      </c>
      <c r="U336" s="1">
        <v>2</v>
      </c>
      <c r="V336" s="1">
        <v>2</v>
      </c>
      <c r="W336" s="1">
        <v>0</v>
      </c>
      <c r="X336" s="1">
        <v>0</v>
      </c>
      <c r="Y336" s="1">
        <v>4</v>
      </c>
      <c r="Z336" s="3">
        <v>1.7241379310344827</v>
      </c>
      <c r="AA336" s="1">
        <v>1</v>
      </c>
      <c r="AB336" s="3">
        <v>0.86206896551724133</v>
      </c>
      <c r="AC336" s="1">
        <v>0</v>
      </c>
      <c r="AD336" s="3">
        <v>0</v>
      </c>
      <c r="AE336" s="1">
        <v>1</v>
      </c>
      <c r="AF336" s="3">
        <v>0.86206896551724133</v>
      </c>
      <c r="AG336" s="1">
        <v>2</v>
      </c>
      <c r="AH336" s="3">
        <v>1.7241379310344827</v>
      </c>
      <c r="AI336" s="1" t="s">
        <v>22</v>
      </c>
      <c r="AJ336" s="1">
        <v>1</v>
      </c>
      <c r="AK336" s="3">
        <v>0.86206896551724133</v>
      </c>
      <c r="AL336" s="1">
        <v>0</v>
      </c>
      <c r="AM336" s="3">
        <v>0</v>
      </c>
      <c r="AN336" s="1" t="s">
        <v>22</v>
      </c>
      <c r="AO336" s="1">
        <v>3</v>
      </c>
      <c r="AP336" s="3">
        <v>2.5862068965517242</v>
      </c>
      <c r="AQ336" s="3">
        <v>6</v>
      </c>
      <c r="AR336" s="3">
        <v>5.1724137931034484</v>
      </c>
      <c r="AS336" s="1">
        <v>5</v>
      </c>
      <c r="AT336" s="3">
        <v>4.3103448275862073</v>
      </c>
      <c r="AU336" s="1">
        <v>0</v>
      </c>
      <c r="AV336" s="3">
        <v>0</v>
      </c>
      <c r="AW336" s="1" t="s">
        <v>22</v>
      </c>
      <c r="AX336" s="1">
        <v>19</v>
      </c>
      <c r="AY336" s="1">
        <v>1</v>
      </c>
      <c r="AZ336" s="1">
        <v>1</v>
      </c>
      <c r="BA336" s="1">
        <v>38</v>
      </c>
      <c r="BB336" s="1">
        <v>2</v>
      </c>
      <c r="BC336" s="1">
        <v>2</v>
      </c>
      <c r="BD336" s="1">
        <v>0</v>
      </c>
      <c r="BE336" s="54">
        <v>0</v>
      </c>
      <c r="BF336" s="6">
        <v>20</v>
      </c>
      <c r="BG336" s="6">
        <v>17</v>
      </c>
      <c r="BH336" s="1">
        <v>0</v>
      </c>
      <c r="BI336" s="6">
        <v>0</v>
      </c>
      <c r="BJ336" s="1" t="s">
        <v>22</v>
      </c>
      <c r="BK336" s="6">
        <v>3</v>
      </c>
      <c r="BL336" s="6">
        <v>0</v>
      </c>
      <c r="BM336" s="1">
        <v>0</v>
      </c>
      <c r="BN336" t="s">
        <v>24</v>
      </c>
      <c r="BO336">
        <v>10795</v>
      </c>
    </row>
    <row r="337" spans="1:67" x14ac:dyDescent="0.25">
      <c r="A337" s="4">
        <f>INT(Tabela1[[#This Row],[Data e Hora]])</f>
        <v>46297</v>
      </c>
      <c r="B337" s="4" t="str">
        <f>UPPER(TEXT(Tabela1[[#This Row],[Data Corrigida]],"MMM"))</f>
        <v>OUT</v>
      </c>
      <c r="C337" t="s">
        <v>981</v>
      </c>
      <c r="D337" t="s">
        <v>982</v>
      </c>
      <c r="E337" t="s">
        <v>983</v>
      </c>
      <c r="F337" t="s">
        <v>19</v>
      </c>
      <c r="G337" s="5" t="s">
        <v>975</v>
      </c>
      <c r="H337" t="s">
        <v>20</v>
      </c>
      <c r="I337" t="s">
        <v>21</v>
      </c>
      <c r="J337" s="1">
        <v>151</v>
      </c>
      <c r="K337" s="1">
        <v>2912</v>
      </c>
      <c r="L337" t="s">
        <v>23</v>
      </c>
      <c r="M337" s="1">
        <v>31</v>
      </c>
      <c r="N337" s="48">
        <v>31</v>
      </c>
      <c r="O337" s="1">
        <v>10</v>
      </c>
      <c r="P337" s="48">
        <v>10</v>
      </c>
      <c r="Q337" s="1">
        <v>0</v>
      </c>
      <c r="R337" s="1">
        <v>0</v>
      </c>
      <c r="S337" s="1">
        <v>2</v>
      </c>
      <c r="T337" s="1">
        <v>2</v>
      </c>
      <c r="U337" s="1">
        <v>1</v>
      </c>
      <c r="V337" s="1">
        <v>1</v>
      </c>
      <c r="W337" s="1">
        <v>0</v>
      </c>
      <c r="X337" s="1">
        <v>0</v>
      </c>
      <c r="Y337" s="1">
        <v>2</v>
      </c>
      <c r="Z337" s="3">
        <v>0.66225165562913912</v>
      </c>
      <c r="AA337" s="1">
        <v>3</v>
      </c>
      <c r="AB337" s="3">
        <v>1.9867549668874174</v>
      </c>
      <c r="AC337" s="1">
        <v>2</v>
      </c>
      <c r="AD337" s="3">
        <v>1.3245033112582782</v>
      </c>
      <c r="AE337" s="1">
        <v>2</v>
      </c>
      <c r="AF337" s="3">
        <v>1.3245033112582782</v>
      </c>
      <c r="AG337" s="1">
        <v>8</v>
      </c>
      <c r="AH337" s="3">
        <v>5.298013245033113</v>
      </c>
      <c r="AI337" s="1" t="s">
        <v>22</v>
      </c>
      <c r="AJ337" s="1">
        <v>2</v>
      </c>
      <c r="AK337" s="3">
        <v>1.3245033112582782</v>
      </c>
      <c r="AL337" s="1">
        <v>2</v>
      </c>
      <c r="AM337" s="3">
        <v>1.3245033112582782</v>
      </c>
      <c r="AN337" s="1" t="s">
        <v>22</v>
      </c>
      <c r="AO337" s="1">
        <v>6</v>
      </c>
      <c r="AP337" s="3">
        <v>3.9735099337748347</v>
      </c>
      <c r="AQ337" s="3">
        <v>2</v>
      </c>
      <c r="AR337" s="3">
        <v>1.3245033112582782</v>
      </c>
      <c r="AS337" s="1">
        <v>7</v>
      </c>
      <c r="AT337" s="3">
        <v>4.6357615894039732</v>
      </c>
      <c r="AU337" s="1">
        <v>3</v>
      </c>
      <c r="AV337" s="3">
        <v>1.9867549668874174</v>
      </c>
      <c r="AW337" s="1" t="s">
        <v>22</v>
      </c>
      <c r="AX337" s="1">
        <v>21</v>
      </c>
      <c r="AY337" s="1">
        <v>0</v>
      </c>
      <c r="AZ337" s="1">
        <v>0</v>
      </c>
      <c r="BA337" s="1">
        <v>42</v>
      </c>
      <c r="BB337" s="1">
        <v>0</v>
      </c>
      <c r="BC337" s="1">
        <v>0</v>
      </c>
      <c r="BD337" s="1">
        <v>1</v>
      </c>
      <c r="BE337" s="54">
        <v>0.66225165562913912</v>
      </c>
      <c r="BF337" s="6">
        <v>19</v>
      </c>
      <c r="BG337" s="6">
        <v>25</v>
      </c>
      <c r="BH337" s="1">
        <v>1</v>
      </c>
      <c r="BI337" s="6">
        <v>10</v>
      </c>
      <c r="BJ337" s="1" t="s">
        <v>22</v>
      </c>
      <c r="BK337" s="1" t="s">
        <v>22</v>
      </c>
      <c r="BL337" s="1" t="s">
        <v>22</v>
      </c>
      <c r="BM337" s="1" t="s">
        <v>22</v>
      </c>
      <c r="BN337" t="s">
        <v>24</v>
      </c>
      <c r="BO337">
        <v>1466</v>
      </c>
    </row>
    <row r="338" spans="1:67" x14ac:dyDescent="0.25">
      <c r="A338" s="4">
        <f>INT(Tabela1[[#This Row],[Data e Hora]])</f>
        <v>46297</v>
      </c>
      <c r="B338" s="4" t="str">
        <f>UPPER(TEXT(Tabela1[[#This Row],[Data Corrigida]],"MMM"))</f>
        <v>OUT</v>
      </c>
      <c r="C338" t="s">
        <v>984</v>
      </c>
      <c r="D338" t="s">
        <v>985</v>
      </c>
      <c r="E338" t="s">
        <v>983</v>
      </c>
      <c r="F338" t="s">
        <v>19</v>
      </c>
      <c r="G338" s="5" t="s">
        <v>975</v>
      </c>
      <c r="H338" t="s">
        <v>20</v>
      </c>
      <c r="I338" t="s">
        <v>21</v>
      </c>
      <c r="J338" s="1">
        <v>161</v>
      </c>
      <c r="K338" s="1">
        <v>2981</v>
      </c>
      <c r="L338" t="s">
        <v>23</v>
      </c>
      <c r="M338" s="1">
        <v>33</v>
      </c>
      <c r="N338" s="48">
        <v>33</v>
      </c>
      <c r="O338" s="1">
        <v>14</v>
      </c>
      <c r="P338" s="48">
        <v>14.000000000000002</v>
      </c>
      <c r="Q338" s="1">
        <v>0</v>
      </c>
      <c r="R338" s="1">
        <v>0</v>
      </c>
      <c r="S338" s="1">
        <v>2</v>
      </c>
      <c r="T338" s="1">
        <v>2</v>
      </c>
      <c r="U338" s="1">
        <v>1</v>
      </c>
      <c r="V338" s="1">
        <v>1</v>
      </c>
      <c r="W338" s="1">
        <v>0</v>
      </c>
      <c r="X338" s="1">
        <v>0</v>
      </c>
      <c r="Y338" s="1">
        <v>4</v>
      </c>
      <c r="Z338" s="3">
        <v>1.2422360248447204</v>
      </c>
      <c r="AA338" s="1">
        <v>3</v>
      </c>
      <c r="AB338" s="3">
        <v>1.8633540372670807</v>
      </c>
      <c r="AC338" s="1">
        <v>0</v>
      </c>
      <c r="AD338" s="3">
        <v>0</v>
      </c>
      <c r="AE338" s="1">
        <v>2</v>
      </c>
      <c r="AF338" s="3">
        <v>1.2422360248447204</v>
      </c>
      <c r="AG338" s="1">
        <v>9</v>
      </c>
      <c r="AH338" s="3">
        <v>5.5900621118012426</v>
      </c>
      <c r="AI338" s="1" t="s">
        <v>22</v>
      </c>
      <c r="AJ338" s="1">
        <v>3</v>
      </c>
      <c r="AK338" s="3">
        <v>1.8633540372670807</v>
      </c>
      <c r="AL338" s="1">
        <v>3</v>
      </c>
      <c r="AM338" s="3">
        <v>1.8633540372670807</v>
      </c>
      <c r="AN338" s="1" t="s">
        <v>22</v>
      </c>
      <c r="AO338" s="1">
        <v>5</v>
      </c>
      <c r="AP338" s="3">
        <v>3.1055900621118013</v>
      </c>
      <c r="AQ338" s="3">
        <v>3</v>
      </c>
      <c r="AR338" s="3">
        <v>1.8633540372670807</v>
      </c>
      <c r="AS338" s="1">
        <v>8</v>
      </c>
      <c r="AT338" s="3">
        <v>4.9689440993788816</v>
      </c>
      <c r="AU338" s="1">
        <v>3</v>
      </c>
      <c r="AV338" s="3">
        <v>1.8633540372670807</v>
      </c>
      <c r="AW338" s="1" t="s">
        <v>22</v>
      </c>
      <c r="AX338" s="1">
        <v>22</v>
      </c>
      <c r="AY338" s="1">
        <v>0</v>
      </c>
      <c r="AZ338" s="1">
        <v>0</v>
      </c>
      <c r="BA338" s="1">
        <v>44</v>
      </c>
      <c r="BB338" s="1">
        <v>0</v>
      </c>
      <c r="BC338" s="1">
        <v>0</v>
      </c>
      <c r="BD338" s="1">
        <v>1</v>
      </c>
      <c r="BE338" s="54">
        <v>0.6211180124223602</v>
      </c>
      <c r="BF338" s="6">
        <v>21</v>
      </c>
      <c r="BG338" s="6">
        <v>19</v>
      </c>
      <c r="BH338" s="1">
        <v>1</v>
      </c>
      <c r="BI338" s="6">
        <v>10</v>
      </c>
      <c r="BJ338" s="1" t="s">
        <v>22</v>
      </c>
      <c r="BK338" s="6">
        <v>0</v>
      </c>
      <c r="BL338" s="6">
        <v>0</v>
      </c>
      <c r="BM338" s="1">
        <v>1</v>
      </c>
      <c r="BN338" t="s">
        <v>22</v>
      </c>
      <c r="BO338">
        <v>1768</v>
      </c>
    </row>
    <row r="339" spans="1:67" x14ac:dyDescent="0.25">
      <c r="A339" s="4">
        <f>INT(Tabela1[[#This Row],[Data e Hora]])</f>
        <v>46297</v>
      </c>
      <c r="B339" s="4" t="str">
        <f>UPPER(TEXT(Tabela1[[#This Row],[Data Corrigida]],"MMM"))</f>
        <v>OUT</v>
      </c>
      <c r="C339" t="s">
        <v>986</v>
      </c>
      <c r="D339" t="s">
        <v>987</v>
      </c>
      <c r="E339" t="s">
        <v>983</v>
      </c>
      <c r="F339" t="s">
        <v>19</v>
      </c>
      <c r="G339" s="5" t="s">
        <v>975</v>
      </c>
      <c r="H339" t="s">
        <v>20</v>
      </c>
      <c r="I339" t="s">
        <v>21</v>
      </c>
      <c r="J339" s="1">
        <v>161</v>
      </c>
      <c r="K339" s="1">
        <v>2860</v>
      </c>
      <c r="L339" t="s">
        <v>23</v>
      </c>
      <c r="M339" s="1">
        <v>39</v>
      </c>
      <c r="N339" s="48">
        <v>39</v>
      </c>
      <c r="O339" s="1">
        <v>26</v>
      </c>
      <c r="P339" s="48">
        <v>26</v>
      </c>
      <c r="Q339" s="1">
        <v>0</v>
      </c>
      <c r="R339" s="1">
        <v>0</v>
      </c>
      <c r="S339" s="1">
        <v>1</v>
      </c>
      <c r="T339" s="1">
        <v>1</v>
      </c>
      <c r="U339" s="1">
        <v>0</v>
      </c>
      <c r="V339" s="1">
        <v>0</v>
      </c>
      <c r="W339" s="1">
        <v>0</v>
      </c>
      <c r="X339" s="1">
        <v>0</v>
      </c>
      <c r="Y339" s="1">
        <v>3</v>
      </c>
      <c r="Z339" s="3">
        <v>0.93167701863354035</v>
      </c>
      <c r="AA339" s="1">
        <v>3</v>
      </c>
      <c r="AB339" s="3">
        <v>1.8633540372670807</v>
      </c>
      <c r="AC339" s="1">
        <v>0</v>
      </c>
      <c r="AD339" s="3">
        <v>0</v>
      </c>
      <c r="AE339" s="1">
        <v>2</v>
      </c>
      <c r="AF339" s="3">
        <v>1.2422360248447204</v>
      </c>
      <c r="AG339" s="1">
        <v>10</v>
      </c>
      <c r="AH339" s="3">
        <v>6.2111801242236027</v>
      </c>
      <c r="AI339" s="1" t="s">
        <v>22</v>
      </c>
      <c r="AJ339" s="1">
        <v>2</v>
      </c>
      <c r="AK339" s="3">
        <v>1.2422360248447204</v>
      </c>
      <c r="AL339" s="1">
        <v>2</v>
      </c>
      <c r="AM339" s="3">
        <v>1.2422360248447204</v>
      </c>
      <c r="AN339" s="1" t="s">
        <v>22</v>
      </c>
      <c r="AO339" s="1">
        <v>6</v>
      </c>
      <c r="AP339" s="3">
        <v>3.7267080745341614</v>
      </c>
      <c r="AQ339" s="3">
        <v>2</v>
      </c>
      <c r="AR339" s="3">
        <v>1.2422360248447204</v>
      </c>
      <c r="AS339" s="1">
        <v>7</v>
      </c>
      <c r="AT339" s="3">
        <v>4.3478260869565215</v>
      </c>
      <c r="AU339" s="1">
        <v>1</v>
      </c>
      <c r="AV339" s="3">
        <v>0.6211180124223602</v>
      </c>
      <c r="AW339" s="1" t="s">
        <v>22</v>
      </c>
      <c r="AX339" s="1">
        <v>22</v>
      </c>
      <c r="AY339" s="1">
        <v>0</v>
      </c>
      <c r="AZ339" s="1">
        <v>0</v>
      </c>
      <c r="BA339" s="1">
        <v>44</v>
      </c>
      <c r="BB339" s="1">
        <v>0</v>
      </c>
      <c r="BC339" s="1">
        <v>0</v>
      </c>
      <c r="BD339" s="1">
        <v>0</v>
      </c>
      <c r="BE339" s="54">
        <v>0</v>
      </c>
      <c r="BF339" s="6">
        <v>19</v>
      </c>
      <c r="BG339" s="6">
        <v>23</v>
      </c>
      <c r="BH339" s="1">
        <v>1</v>
      </c>
      <c r="BI339" s="6">
        <v>10</v>
      </c>
      <c r="BJ339" s="1" t="s">
        <v>22</v>
      </c>
      <c r="BK339" s="6">
        <v>0</v>
      </c>
      <c r="BL339" s="6">
        <v>0</v>
      </c>
      <c r="BM339" s="1">
        <v>1</v>
      </c>
      <c r="BN339" t="s">
        <v>24</v>
      </c>
      <c r="BO339">
        <v>2231</v>
      </c>
    </row>
    <row r="340" spans="1:67" x14ac:dyDescent="0.25">
      <c r="A340" s="4">
        <f>INT(Tabela1[[#This Row],[Data e Hora]])</f>
        <v>46297</v>
      </c>
      <c r="B340" s="4" t="str">
        <f>UPPER(TEXT(Tabela1[[#This Row],[Data Corrigida]],"MMM"))</f>
        <v>OUT</v>
      </c>
      <c r="C340" t="s">
        <v>988</v>
      </c>
      <c r="D340" t="s">
        <v>989</v>
      </c>
      <c r="E340" t="s">
        <v>990</v>
      </c>
      <c r="F340" t="s">
        <v>19</v>
      </c>
      <c r="G340" s="5" t="s">
        <v>975</v>
      </c>
      <c r="H340" t="s">
        <v>20</v>
      </c>
      <c r="I340" t="s">
        <v>21</v>
      </c>
      <c r="J340" s="1">
        <v>161</v>
      </c>
      <c r="K340" s="1">
        <v>2860</v>
      </c>
      <c r="L340" t="s">
        <v>23</v>
      </c>
      <c r="M340" s="1">
        <v>30</v>
      </c>
      <c r="N340" s="48">
        <v>30</v>
      </c>
      <c r="O340" s="1">
        <v>10</v>
      </c>
      <c r="P340" s="48">
        <v>10</v>
      </c>
      <c r="Q340" s="1">
        <v>0</v>
      </c>
      <c r="R340" s="1">
        <v>0</v>
      </c>
      <c r="S340" s="1">
        <v>1</v>
      </c>
      <c r="T340" s="1">
        <v>1</v>
      </c>
      <c r="U340" s="1">
        <v>1</v>
      </c>
      <c r="V340" s="1">
        <v>1</v>
      </c>
      <c r="W340" s="1">
        <v>0</v>
      </c>
      <c r="X340" s="1">
        <v>0</v>
      </c>
      <c r="Y340" s="1">
        <v>5</v>
      </c>
      <c r="Z340" s="3">
        <v>1.5527950310559007</v>
      </c>
      <c r="AA340" s="1">
        <v>3</v>
      </c>
      <c r="AB340" s="3">
        <v>1.8633540372670807</v>
      </c>
      <c r="AC340" s="1">
        <v>0</v>
      </c>
      <c r="AD340" s="3">
        <v>0</v>
      </c>
      <c r="AE340" s="1">
        <v>1</v>
      </c>
      <c r="AF340" s="3">
        <v>0.6211180124223602</v>
      </c>
      <c r="AG340" s="1">
        <v>8</v>
      </c>
      <c r="AH340" s="3">
        <v>4.9689440993788816</v>
      </c>
      <c r="AI340" s="1" t="s">
        <v>22</v>
      </c>
      <c r="AJ340" s="1">
        <v>2</v>
      </c>
      <c r="AK340" s="3">
        <v>1.2422360248447204</v>
      </c>
      <c r="AL340" s="1">
        <v>1</v>
      </c>
      <c r="AM340" s="3">
        <v>0.6211180124223602</v>
      </c>
      <c r="AN340" s="1" t="s">
        <v>22</v>
      </c>
      <c r="AO340" s="1">
        <v>6</v>
      </c>
      <c r="AP340" s="3">
        <v>3.7267080745341614</v>
      </c>
      <c r="AQ340" s="3">
        <v>2</v>
      </c>
      <c r="AR340" s="3">
        <v>1.2422360248447204</v>
      </c>
      <c r="AS340" s="1">
        <v>6</v>
      </c>
      <c r="AT340" s="3">
        <v>3.7267080745341614</v>
      </c>
      <c r="AU340" s="1">
        <v>1</v>
      </c>
      <c r="AV340" s="3">
        <v>0.6211180124223602</v>
      </c>
      <c r="AW340" s="1" t="s">
        <v>22</v>
      </c>
      <c r="AX340" s="1">
        <v>19</v>
      </c>
      <c r="AY340" s="1">
        <v>0</v>
      </c>
      <c r="AZ340" s="1">
        <v>0</v>
      </c>
      <c r="BA340" s="1">
        <v>38</v>
      </c>
      <c r="BB340" s="1">
        <v>0</v>
      </c>
      <c r="BC340" s="1">
        <v>0</v>
      </c>
      <c r="BD340" s="1">
        <v>0</v>
      </c>
      <c r="BE340" s="54">
        <v>0</v>
      </c>
      <c r="BF340" s="6">
        <v>19</v>
      </c>
      <c r="BG340" s="6">
        <v>25</v>
      </c>
      <c r="BH340" s="1">
        <v>1</v>
      </c>
      <c r="BI340" s="6">
        <v>10</v>
      </c>
      <c r="BJ340" s="1" t="s">
        <v>22</v>
      </c>
      <c r="BK340" s="1" t="s">
        <v>22</v>
      </c>
      <c r="BL340" s="1" t="s">
        <v>22</v>
      </c>
      <c r="BM340" s="1" t="s">
        <v>22</v>
      </c>
      <c r="BN340" t="s">
        <v>24</v>
      </c>
      <c r="BO340">
        <v>1768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2026-10-06T13:14:23Z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