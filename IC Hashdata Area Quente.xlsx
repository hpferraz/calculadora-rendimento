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5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Quente'!$A$3:$AM$83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4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41" i="1" l="1"/>
  <c r="A342" i="1"/>
  <c r="A343" i="1"/>
  <c r="A344" i="1"/>
  <c r="A345" i="1"/>
  <c r="A346" i="1"/>
  <c r="A347" i="1"/>
  <c r="B347" i="1" s="1"/>
  <c r="A348" i="1"/>
  <c r="B348" i="1" s="1"/>
  <c r="A349" i="1"/>
  <c r="B349" i="1" s="1"/>
  <c r="A350" i="1"/>
  <c r="B350" i="1" s="1"/>
  <c r="A351" i="1"/>
  <c r="B351" i="1" s="1"/>
  <c r="A352" i="1"/>
  <c r="B352" i="1" s="1"/>
  <c r="A353" i="1"/>
  <c r="A354" i="1"/>
  <c r="A355" i="1"/>
  <c r="A356" i="1"/>
  <c r="A357" i="1"/>
  <c r="A358" i="1"/>
  <c r="B341" i="1"/>
  <c r="B342" i="1"/>
  <c r="B343" i="1"/>
  <c r="B344" i="1"/>
  <c r="B345" i="1"/>
  <c r="B346" i="1"/>
  <c r="B353" i="1"/>
  <c r="B354" i="1"/>
  <c r="B355" i="1"/>
  <c r="B356" i="1"/>
  <c r="B357" i="1"/>
  <c r="B358" i="1"/>
  <c r="A330" i="1" l="1"/>
  <c r="A331" i="1"/>
  <c r="B331" i="1" s="1"/>
  <c r="A332" i="1"/>
  <c r="B332" i="1" s="1"/>
  <c r="A333" i="1"/>
  <c r="B333" i="1" s="1"/>
  <c r="A334" i="1"/>
  <c r="B334" i="1" s="1"/>
  <c r="A335" i="1"/>
  <c r="B335" i="1" s="1"/>
  <c r="A336" i="1"/>
  <c r="B336" i="1" s="1"/>
  <c r="A337" i="1"/>
  <c r="B337" i="1" s="1"/>
  <c r="A338" i="1"/>
  <c r="B338" i="1" s="1"/>
  <c r="A339" i="1"/>
  <c r="B339" i="1" s="1"/>
  <c r="A340" i="1"/>
  <c r="B340" i="1" s="1"/>
  <c r="B330" i="1"/>
  <c r="A323" i="1" l="1"/>
  <c r="B323" i="1" s="1"/>
  <c r="A324" i="1"/>
  <c r="B324" i="1" s="1"/>
  <c r="A325" i="1"/>
  <c r="B325" i="1" s="1"/>
  <c r="A326" i="1"/>
  <c r="B326" i="1" s="1"/>
  <c r="A327" i="1"/>
  <c r="B327" i="1" s="1"/>
  <c r="A328" i="1"/>
  <c r="B328" i="1" s="1"/>
  <c r="A329" i="1"/>
  <c r="B329" i="1" s="1"/>
  <c r="A316" i="1" l="1"/>
  <c r="B316" i="1" s="1"/>
  <c r="A317" i="1"/>
  <c r="B317" i="1" s="1"/>
  <c r="A318" i="1"/>
  <c r="B318" i="1" s="1"/>
  <c r="A319" i="1"/>
  <c r="B319" i="1" s="1"/>
  <c r="A320" i="1"/>
  <c r="B320" i="1" s="1"/>
  <c r="A321" i="1"/>
  <c r="B321" i="1" s="1"/>
  <c r="A322" i="1"/>
  <c r="B322" i="1" s="1"/>
  <c r="A309" i="1" l="1"/>
  <c r="B309" i="1" s="1"/>
  <c r="A310" i="1"/>
  <c r="B310" i="1" s="1"/>
  <c r="A311" i="1"/>
  <c r="B311" i="1" s="1"/>
  <c r="A312" i="1"/>
  <c r="B312" i="1" s="1"/>
  <c r="A313" i="1"/>
  <c r="B313" i="1" s="1"/>
  <c r="A314" i="1"/>
  <c r="B314" i="1" s="1"/>
  <c r="A315" i="1"/>
  <c r="B315" i="1" s="1"/>
  <c r="A302" i="1" l="1"/>
  <c r="B302" i="1" s="1"/>
  <c r="A303" i="1"/>
  <c r="B303" i="1" s="1"/>
  <c r="A304" i="1"/>
  <c r="B304" i="1" s="1"/>
  <c r="A305" i="1"/>
  <c r="B305" i="1" s="1"/>
  <c r="A306" i="1"/>
  <c r="B306" i="1" s="1"/>
  <c r="A307" i="1"/>
  <c r="B307" i="1" s="1"/>
  <c r="A308" i="1"/>
  <c r="B308" i="1" s="1"/>
  <c r="A288" i="1" l="1"/>
  <c r="B288" i="1" s="1"/>
  <c r="A289" i="1"/>
  <c r="B289" i="1" s="1"/>
  <c r="A290" i="1"/>
  <c r="B290" i="1" s="1"/>
  <c r="A291" i="1"/>
  <c r="B291" i="1" s="1"/>
  <c r="A292" i="1"/>
  <c r="B292" i="1" s="1"/>
  <c r="A293" i="1"/>
  <c r="B293" i="1" s="1"/>
  <c r="A294" i="1"/>
  <c r="B294" i="1" s="1"/>
  <c r="A295" i="1"/>
  <c r="B295" i="1" s="1"/>
  <c r="A296" i="1"/>
  <c r="B296" i="1" s="1"/>
  <c r="A297" i="1"/>
  <c r="B297" i="1" s="1"/>
  <c r="A298" i="1"/>
  <c r="B298" i="1" s="1"/>
  <c r="A299" i="1"/>
  <c r="B299" i="1" s="1"/>
  <c r="A300" i="1"/>
  <c r="B300" i="1" s="1"/>
  <c r="A301" i="1"/>
  <c r="B301" i="1" s="1"/>
  <c r="A285" i="1" l="1"/>
  <c r="B285" i="1" s="1"/>
  <c r="A286" i="1"/>
  <c r="B286" i="1" s="1"/>
  <c r="A287" i="1"/>
  <c r="B287" i="1" s="1"/>
  <c r="A274" i="1" l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B274" i="1"/>
  <c r="A267" i="1" l="1"/>
  <c r="B267" i="1" s="1"/>
  <c r="A268" i="1"/>
  <c r="B268" i="1" s="1"/>
  <c r="A269" i="1"/>
  <c r="B269" i="1" s="1"/>
  <c r="A270" i="1"/>
  <c r="B270" i="1" s="1"/>
  <c r="A271" i="1"/>
  <c r="B271" i="1" s="1"/>
  <c r="A272" i="1"/>
  <c r="B272" i="1" s="1"/>
  <c r="A273" i="1"/>
  <c r="B273" i="1" s="1"/>
  <c r="A254" i="1" l="1"/>
  <c r="A255" i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54" i="1"/>
  <c r="B255" i="1"/>
  <c r="B266" i="1"/>
  <c r="A247" i="1" l="1"/>
  <c r="A248" i="1"/>
  <c r="A249" i="1"/>
  <c r="B249" i="1" s="1"/>
  <c r="A250" i="1"/>
  <c r="A251" i="1"/>
  <c r="B251" i="1" s="1"/>
  <c r="A252" i="1"/>
  <c r="B252" i="1" s="1"/>
  <c r="A253" i="1"/>
  <c r="B253" i="1" s="1"/>
  <c r="B247" i="1"/>
  <c r="B248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B221" i="1" s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B170" i="1" s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S82" i="2"/>
  <c r="V81" i="2"/>
  <c r="AF81" i="2"/>
  <c r="AJ83" i="2"/>
  <c r="U82" i="2"/>
  <c r="AL82" i="2"/>
  <c r="AE83" i="2"/>
  <c r="R81" i="2"/>
  <c r="AK82" i="2"/>
  <c r="AG81" i="2"/>
  <c r="AF82" i="2"/>
  <c r="AM82" i="2"/>
  <c r="AB81" i="2"/>
  <c r="U81" i="2"/>
  <c r="AI83" i="2"/>
  <c r="S81" i="2"/>
  <c r="Z83" i="2"/>
  <c r="AB82" i="2"/>
  <c r="AE81" i="2"/>
  <c r="Y82" i="2"/>
  <c r="X81" i="2"/>
  <c r="R82" i="2"/>
  <c r="AK81" i="2"/>
  <c r="AF83" i="2"/>
  <c r="AA83" i="2"/>
  <c r="AM81" i="2"/>
  <c r="T81" i="2"/>
  <c r="AE82" i="2"/>
  <c r="AH82" i="2"/>
  <c r="AJ81" i="2"/>
  <c r="T83" i="2"/>
  <c r="R83" i="2"/>
  <c r="S83" i="2"/>
  <c r="V82" i="2"/>
  <c r="Y81" i="2"/>
  <c r="W81" i="2"/>
  <c r="AI82" i="2"/>
  <c r="AD83" i="2"/>
  <c r="Z81" i="2"/>
  <c r="AC81" i="2"/>
  <c r="Z82" i="2"/>
  <c r="AJ82" i="2"/>
  <c r="T82" i="2"/>
  <c r="AH83" i="2"/>
  <c r="W83" i="2"/>
  <c r="AI81" i="2"/>
  <c r="AD81" i="2"/>
  <c r="AM83" i="2"/>
  <c r="Y83" i="2"/>
  <c r="AD82" i="2"/>
  <c r="U83" i="2"/>
  <c r="AG83" i="2"/>
  <c r="AH81" i="2"/>
  <c r="AL81" i="2"/>
  <c r="W82" i="2"/>
  <c r="AC82" i="2"/>
  <c r="AL83" i="2"/>
  <c r="X83" i="2"/>
  <c r="AC83" i="2"/>
  <c r="AK83" i="2"/>
  <c r="AA81" i="2"/>
  <c r="AG82" i="2"/>
  <c r="AB83" i="2"/>
  <c r="AA82" i="2"/>
  <c r="X82" i="2"/>
  <c r="V83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K83" i="2"/>
  <c r="M83" i="2"/>
  <c r="H83" i="2"/>
  <c r="O82" i="2"/>
  <c r="K81" i="2"/>
  <c r="L81" i="2"/>
  <c r="N83" i="2"/>
  <c r="I83" i="2"/>
  <c r="P81" i="2"/>
  <c r="F82" i="2"/>
  <c r="L83" i="2"/>
  <c r="K82" i="2"/>
  <c r="J82" i="2"/>
  <c r="M81" i="2"/>
  <c r="P83" i="2"/>
  <c r="I82" i="2"/>
  <c r="E81" i="2"/>
  <c r="G82" i="2"/>
  <c r="O81" i="2"/>
  <c r="F83" i="2"/>
  <c r="O83" i="2"/>
  <c r="G81" i="2"/>
  <c r="H81" i="2"/>
  <c r="P82" i="2"/>
  <c r="L82" i="2"/>
  <c r="J83" i="2"/>
  <c r="N81" i="2"/>
  <c r="H82" i="2"/>
  <c r="F81" i="2"/>
  <c r="G83" i="2"/>
  <c r="I81" i="2"/>
  <c r="N82" i="2"/>
  <c r="J81" i="2"/>
  <c r="M82" i="2"/>
  <c r="E83" i="2"/>
  <c r="E82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X28" i="2"/>
  <c r="E34" i="2"/>
  <c r="O11" i="2"/>
  <c r="K31" i="2"/>
  <c r="S45" i="2"/>
  <c r="H71" i="2"/>
  <c r="O42" i="2"/>
  <c r="M76" i="2"/>
  <c r="W37" i="2"/>
  <c r="L74" i="2"/>
  <c r="J75" i="2"/>
  <c r="AC32" i="2"/>
  <c r="AI50" i="2"/>
  <c r="J29" i="2"/>
  <c r="AD31" i="2"/>
  <c r="AM53" i="2"/>
  <c r="AB16" i="2"/>
  <c r="AD73" i="2"/>
  <c r="U17" i="2"/>
  <c r="V66" i="2"/>
  <c r="W79" i="2"/>
  <c r="S26" i="2"/>
  <c r="O27" i="2"/>
  <c r="AK41" i="2"/>
  <c r="AC69" i="2"/>
  <c r="F7" i="2"/>
  <c r="I52" i="2"/>
  <c r="V63" i="2"/>
  <c r="J73" i="2"/>
  <c r="AC80" i="2"/>
  <c r="AL5" i="2"/>
  <c r="H26" i="2"/>
  <c r="T29" i="2"/>
  <c r="O13" i="2"/>
  <c r="AM10" i="2"/>
  <c r="F45" i="2"/>
  <c r="O77" i="2"/>
  <c r="AJ27" i="2"/>
  <c r="AI6" i="2"/>
  <c r="H7" i="2"/>
  <c r="K74" i="2"/>
  <c r="O51" i="2"/>
  <c r="M7" i="2"/>
  <c r="Z14" i="2"/>
  <c r="I79" i="2"/>
  <c r="AC25" i="2"/>
  <c r="Z65" i="2"/>
  <c r="AH9" i="2"/>
  <c r="P52" i="2"/>
  <c r="M18" i="2"/>
  <c r="R42" i="2"/>
  <c r="AC68" i="2"/>
  <c r="S30" i="2"/>
  <c r="V74" i="2"/>
  <c r="AJ15" i="2"/>
  <c r="H57" i="2"/>
  <c r="AM69" i="2"/>
  <c r="AI66" i="2"/>
  <c r="N76" i="2"/>
  <c r="AC53" i="2"/>
  <c r="H9" i="2"/>
  <c r="L29" i="2"/>
  <c r="AB53" i="2"/>
  <c r="AJ77" i="2"/>
  <c r="AL35" i="2"/>
  <c r="L26" i="2"/>
  <c r="AI46" i="2"/>
  <c r="N25" i="2"/>
  <c r="Z62" i="2"/>
  <c r="AC72" i="2"/>
  <c r="P41" i="2"/>
  <c r="K24" i="2"/>
  <c r="AC36" i="2"/>
  <c r="AD71" i="2"/>
  <c r="AE4" i="2"/>
  <c r="AC4" i="2"/>
  <c r="X27" i="2"/>
  <c r="AI5" i="2"/>
  <c r="N67" i="2"/>
  <c r="J65" i="2"/>
  <c r="T74" i="2"/>
  <c r="AF39" i="2"/>
  <c r="N42" i="2"/>
  <c r="F72" i="2"/>
  <c r="T37" i="2"/>
  <c r="AM64" i="2"/>
  <c r="U73" i="2"/>
  <c r="AK38" i="2"/>
  <c r="G42" i="2"/>
  <c r="AG78" i="2"/>
  <c r="O26" i="2"/>
  <c r="F59" i="2"/>
  <c r="AI64" i="2"/>
  <c r="T65" i="2"/>
  <c r="W73" i="2"/>
  <c r="L35" i="2"/>
  <c r="AF62" i="2"/>
  <c r="X32" i="2"/>
  <c r="AL15" i="2"/>
  <c r="E77" i="2"/>
  <c r="L8" i="2"/>
  <c r="E5" i="2"/>
  <c r="AA77" i="2"/>
  <c r="AI55" i="2"/>
  <c r="L27" i="2"/>
  <c r="U68" i="2"/>
  <c r="U60" i="2"/>
  <c r="AL43" i="2"/>
  <c r="T80" i="2"/>
  <c r="AM55" i="2"/>
  <c r="AK69" i="2"/>
  <c r="L25" i="2"/>
  <c r="T77" i="2"/>
  <c r="Z9" i="2"/>
  <c r="W16" i="2"/>
  <c r="E30" i="2"/>
  <c r="AK44" i="2"/>
  <c r="P17" i="2"/>
  <c r="K17" i="2"/>
  <c r="AA22" i="2"/>
  <c r="O30" i="2"/>
  <c r="U20" i="2"/>
  <c r="W72" i="2"/>
  <c r="U71" i="2"/>
  <c r="E62" i="2"/>
  <c r="AA71" i="2"/>
  <c r="AE21" i="2"/>
  <c r="AF33" i="2"/>
  <c r="R29" i="2"/>
  <c r="S7" i="2"/>
  <c r="O59" i="2"/>
  <c r="J64" i="2"/>
  <c r="J72" i="2"/>
  <c r="X77" i="2"/>
  <c r="E71" i="2"/>
  <c r="N21" i="2"/>
  <c r="AJ21" i="2"/>
  <c r="V45" i="2"/>
  <c r="AG8" i="2"/>
  <c r="AL69" i="2"/>
  <c r="AL68" i="2"/>
  <c r="O50" i="2"/>
  <c r="AF72" i="2"/>
  <c r="S11" i="2"/>
  <c r="X16" i="2"/>
  <c r="N16" i="2"/>
  <c r="H17" i="2"/>
  <c r="AE68" i="2"/>
  <c r="N62" i="2"/>
  <c r="AK6" i="2"/>
  <c r="Z77" i="2"/>
  <c r="AC51" i="2"/>
  <c r="AH73" i="2"/>
  <c r="E47" i="2"/>
  <c r="AE44" i="2"/>
  <c r="Y45" i="2"/>
  <c r="AG30" i="2"/>
  <c r="R31" i="2"/>
  <c r="H61" i="2"/>
  <c r="V62" i="2"/>
  <c r="T44" i="2"/>
  <c r="P11" i="2"/>
  <c r="O66" i="2"/>
  <c r="F69" i="2"/>
  <c r="R20" i="2"/>
  <c r="W9" i="2"/>
  <c r="M75" i="2"/>
  <c r="AM71" i="2"/>
  <c r="E59" i="2"/>
  <c r="T51" i="2"/>
  <c r="AH71" i="2"/>
  <c r="F5" i="2"/>
  <c r="P68" i="2"/>
  <c r="AF46" i="2"/>
  <c r="F24" i="2"/>
  <c r="L37" i="2"/>
  <c r="AE5" i="2"/>
  <c r="P43" i="2"/>
  <c r="R59" i="2"/>
  <c r="AB37" i="2"/>
  <c r="E16" i="2"/>
  <c r="H44" i="2"/>
  <c r="G16" i="2"/>
  <c r="S49" i="2"/>
  <c r="AM78" i="2"/>
  <c r="T38" i="2"/>
  <c r="R39" i="2"/>
  <c r="AC31" i="2"/>
  <c r="V36" i="2"/>
  <c r="U78" i="2"/>
  <c r="R78" i="2"/>
  <c r="O67" i="2"/>
  <c r="E54" i="2"/>
  <c r="AB25" i="2"/>
  <c r="W75" i="2"/>
  <c r="AM16" i="2"/>
  <c r="AM37" i="2"/>
  <c r="AF78" i="2"/>
  <c r="F77" i="2"/>
  <c r="Y73" i="2"/>
  <c r="H25" i="2"/>
  <c r="AJ70" i="2"/>
  <c r="AJ79" i="2"/>
  <c r="Y47" i="2"/>
  <c r="AJ24" i="2"/>
  <c r="Z12" i="2"/>
  <c r="J77" i="2"/>
  <c r="AG31" i="2"/>
  <c r="L80" i="2"/>
  <c r="M74" i="2"/>
  <c r="F27" i="2"/>
  <c r="T76" i="2"/>
  <c r="AH72" i="2"/>
  <c r="AE49" i="2"/>
  <c r="W52" i="2"/>
  <c r="AB13" i="2"/>
  <c r="G25" i="2"/>
  <c r="T19" i="2"/>
  <c r="AK19" i="2"/>
  <c r="AL54" i="2"/>
  <c r="AK77" i="2"/>
  <c r="J23" i="2"/>
  <c r="W38" i="2"/>
  <c r="I5" i="2"/>
  <c r="AM24" i="2"/>
  <c r="AM74" i="2"/>
  <c r="O80" i="2"/>
  <c r="AL46" i="2"/>
  <c r="AH33" i="2"/>
  <c r="J10" i="2"/>
  <c r="R32" i="2"/>
  <c r="AK22" i="2"/>
  <c r="K36" i="2"/>
  <c r="M73" i="2"/>
  <c r="V56" i="2"/>
  <c r="U21" i="2"/>
  <c r="AG51" i="2"/>
  <c r="AM19" i="2"/>
  <c r="H49" i="2"/>
  <c r="AH17" i="2"/>
  <c r="AH79" i="2"/>
  <c r="R70" i="2"/>
  <c r="AJ49" i="2"/>
  <c r="AG77" i="2"/>
  <c r="P66" i="2"/>
  <c r="AE19" i="2"/>
  <c r="H54" i="2"/>
  <c r="AE74" i="2"/>
  <c r="AA60" i="2"/>
  <c r="AD4" i="2"/>
  <c r="N73" i="2"/>
  <c r="AK66" i="2"/>
  <c r="AH32" i="2"/>
  <c r="AJ18" i="2"/>
  <c r="AD57" i="2"/>
  <c r="G44" i="2"/>
  <c r="X30" i="2"/>
  <c r="AC75" i="2"/>
  <c r="Z18" i="2"/>
  <c r="X62" i="2"/>
  <c r="AC5" i="2"/>
  <c r="N74" i="2"/>
  <c r="AG37" i="2"/>
  <c r="N41" i="2"/>
  <c r="N22" i="2"/>
  <c r="X15" i="2"/>
  <c r="AI52" i="2"/>
  <c r="AH7" i="2"/>
  <c r="AL50" i="2"/>
  <c r="AB73" i="2"/>
  <c r="W54" i="2"/>
  <c r="Y33" i="2"/>
  <c r="AI24" i="2"/>
  <c r="AK27" i="2"/>
  <c r="AA47" i="2"/>
  <c r="S42" i="2"/>
  <c r="AA78" i="2"/>
  <c r="E55" i="2"/>
  <c r="L61" i="2"/>
  <c r="M26" i="2"/>
  <c r="G15" i="2"/>
  <c r="H72" i="2"/>
  <c r="P27" i="2"/>
  <c r="V42" i="2"/>
  <c r="E19" i="2"/>
  <c r="AL70" i="2"/>
  <c r="N31" i="2"/>
  <c r="AJ63" i="2"/>
  <c r="V31" i="2"/>
  <c r="S20" i="2"/>
  <c r="E43" i="2"/>
  <c r="AC47" i="2"/>
  <c r="H78" i="2"/>
  <c r="AM18" i="2"/>
  <c r="AK26" i="2"/>
  <c r="V6" i="2"/>
  <c r="AF53" i="2"/>
  <c r="AJ37" i="2"/>
  <c r="V69" i="2"/>
  <c r="Y30" i="2"/>
  <c r="G23" i="2"/>
  <c r="P45" i="2"/>
  <c r="AG60" i="2"/>
  <c r="V61" i="2"/>
  <c r="AG40" i="2"/>
  <c r="AH29" i="2"/>
  <c r="H53" i="2"/>
  <c r="U6" i="2"/>
  <c r="N61" i="2"/>
  <c r="P57" i="2"/>
  <c r="O34" i="2"/>
  <c r="E63" i="2"/>
  <c r="AA37" i="2"/>
  <c r="E79" i="2"/>
  <c r="G58" i="2"/>
  <c r="AG32" i="2"/>
  <c r="L23" i="2"/>
  <c r="AD56" i="2"/>
  <c r="I43" i="2"/>
  <c r="W36" i="2"/>
  <c r="AL52" i="2"/>
  <c r="AC30" i="2"/>
  <c r="Y32" i="2"/>
  <c r="AA51" i="2"/>
  <c r="M15" i="2"/>
  <c r="I77" i="2"/>
  <c r="AG27" i="2"/>
  <c r="AI60" i="2"/>
  <c r="H35" i="2"/>
  <c r="AJ80" i="2"/>
  <c r="F28" i="2"/>
  <c r="P46" i="2"/>
  <c r="S46" i="2"/>
  <c r="O58" i="2"/>
  <c r="W46" i="2"/>
  <c r="AI37" i="2"/>
  <c r="AH61" i="2"/>
  <c r="AM11" i="2"/>
  <c r="F9" i="2"/>
  <c r="E49" i="2"/>
  <c r="F60" i="2"/>
  <c r="AH77" i="2"/>
  <c r="R14" i="2"/>
  <c r="R9" i="2"/>
  <c r="X6" i="2"/>
  <c r="J63" i="2"/>
  <c r="AC39" i="2"/>
  <c r="Y57" i="2"/>
  <c r="AH5" i="2"/>
  <c r="AB26" i="2"/>
  <c r="AG64" i="2"/>
  <c r="AM49" i="2"/>
  <c r="O25" i="2"/>
  <c r="AF24" i="2"/>
  <c r="AJ61" i="2"/>
  <c r="AE41" i="2"/>
  <c r="V58" i="2"/>
  <c r="K73" i="2"/>
  <c r="AL78" i="2"/>
  <c r="S24" i="2"/>
  <c r="AB6" i="2"/>
  <c r="L67" i="2"/>
  <c r="AC46" i="2"/>
  <c r="G53" i="2"/>
  <c r="AI34" i="2"/>
  <c r="K10" i="2"/>
  <c r="J59" i="2"/>
  <c r="S29" i="2"/>
  <c r="AB20" i="2"/>
  <c r="AD26" i="2"/>
  <c r="S43" i="2"/>
  <c r="P71" i="2"/>
  <c r="Z20" i="2"/>
  <c r="V67" i="2"/>
  <c r="AA76" i="2"/>
  <c r="E51" i="2"/>
  <c r="M41" i="2"/>
  <c r="AJ66" i="2"/>
  <c r="AL23" i="2"/>
  <c r="AE80" i="2"/>
  <c r="S76" i="2"/>
  <c r="N13" i="2"/>
  <c r="Z64" i="2"/>
  <c r="N40" i="2"/>
  <c r="I54" i="2"/>
  <c r="AH37" i="2"/>
  <c r="S17" i="2"/>
  <c r="AC17" i="2"/>
  <c r="AD64" i="2"/>
  <c r="Y26" i="2"/>
  <c r="AI76" i="2"/>
  <c r="G79" i="2"/>
  <c r="T71" i="2"/>
  <c r="AK32" i="2"/>
  <c r="U65" i="2"/>
  <c r="U46" i="2"/>
  <c r="W45" i="2"/>
  <c r="AG48" i="2"/>
  <c r="S25" i="2"/>
  <c r="R21" i="2"/>
  <c r="AL10" i="2"/>
  <c r="R8" i="2"/>
  <c r="Y8" i="2"/>
  <c r="R67" i="2"/>
  <c r="V53" i="2"/>
  <c r="AH41" i="2"/>
  <c r="AA27" i="2"/>
  <c r="P44" i="2"/>
  <c r="AC14" i="2"/>
  <c r="W57" i="2"/>
  <c r="M43" i="2"/>
  <c r="AJ45" i="2"/>
  <c r="Z49" i="2"/>
  <c r="K62" i="2"/>
  <c r="AK4" i="2"/>
  <c r="P5" i="2"/>
  <c r="F29" i="2"/>
  <c r="G74" i="2"/>
  <c r="J74" i="2"/>
  <c r="X78" i="2"/>
  <c r="AD11" i="2"/>
  <c r="M70" i="2"/>
  <c r="T31" i="2"/>
  <c r="N57" i="2"/>
  <c r="H80" i="2"/>
  <c r="AK59" i="2"/>
  <c r="AA55" i="2"/>
  <c r="AG21" i="2"/>
  <c r="X17" i="2"/>
  <c r="Z69" i="2"/>
  <c r="P72" i="2"/>
  <c r="W43" i="2"/>
  <c r="R43" i="2"/>
  <c r="AI39" i="2"/>
  <c r="AF37" i="2"/>
  <c r="AL9" i="2"/>
  <c r="AI4" i="2"/>
  <c r="O36" i="2"/>
  <c r="T75" i="2"/>
  <c r="AD21" i="2"/>
  <c r="R66" i="2"/>
  <c r="H29" i="2"/>
  <c r="AD10" i="2"/>
  <c r="Y25" i="2"/>
  <c r="AH49" i="2"/>
  <c r="N80" i="2"/>
  <c r="AL13" i="2"/>
  <c r="I65" i="2"/>
  <c r="Z78" i="2"/>
  <c r="AG45" i="2"/>
  <c r="AM15" i="2"/>
  <c r="Y50" i="2"/>
  <c r="AC41" i="2"/>
  <c r="U31" i="2"/>
  <c r="T59" i="2"/>
  <c r="X36" i="2"/>
  <c r="N10" i="2"/>
  <c r="AK76" i="2"/>
  <c r="V32" i="2"/>
  <c r="V72" i="2"/>
  <c r="AL39" i="2"/>
  <c r="E50" i="2"/>
  <c r="AB47" i="2"/>
  <c r="L57" i="2"/>
  <c r="AF32" i="2"/>
  <c r="U42" i="2"/>
  <c r="L4" i="2"/>
  <c r="AJ58" i="2"/>
  <c r="X76" i="2"/>
  <c r="S28" i="2"/>
  <c r="H55" i="2"/>
  <c r="AL41" i="2"/>
  <c r="G47" i="2"/>
  <c r="AD18" i="2"/>
  <c r="R63" i="2"/>
  <c r="AE16" i="2"/>
  <c r="V23" i="2"/>
  <c r="T48" i="2"/>
  <c r="S39" i="2"/>
  <c r="U32" i="2"/>
  <c r="M22" i="2"/>
  <c r="AG63" i="2"/>
  <c r="AF55" i="2"/>
  <c r="AM66" i="2"/>
  <c r="R50" i="2"/>
  <c r="X68" i="2"/>
  <c r="H47" i="2"/>
  <c r="P35" i="2"/>
  <c r="W25" i="2"/>
  <c r="F49" i="2"/>
  <c r="L78" i="2"/>
  <c r="T70" i="2"/>
  <c r="S9" i="2"/>
  <c r="J27" i="2"/>
  <c r="N26" i="2"/>
  <c r="U56" i="2"/>
  <c r="T47" i="2"/>
  <c r="AB21" i="2"/>
  <c r="J78" i="2"/>
  <c r="AB40" i="2"/>
  <c r="H18" i="2"/>
  <c r="H23" i="2"/>
  <c r="G65" i="2"/>
  <c r="AH68" i="2"/>
  <c r="AH48" i="2"/>
  <c r="R64" i="2"/>
  <c r="F33" i="2"/>
  <c r="AA70" i="2"/>
  <c r="AD6" i="2"/>
  <c r="H4" i="2"/>
  <c r="E26" i="2"/>
  <c r="L34" i="2"/>
  <c r="J71" i="2"/>
  <c r="V68" i="2"/>
  <c r="X37" i="2"/>
  <c r="L14" i="2"/>
  <c r="AC42" i="2"/>
  <c r="AG36" i="2"/>
  <c r="AG79" i="2"/>
  <c r="K26" i="2"/>
  <c r="U18" i="2"/>
  <c r="AD13" i="2"/>
  <c r="V77" i="2"/>
  <c r="J55" i="2"/>
  <c r="O45" i="2"/>
  <c r="U10" i="2"/>
  <c r="L45" i="2"/>
  <c r="U43" i="2"/>
  <c r="AE8" i="2"/>
  <c r="AM58" i="2"/>
  <c r="AD67" i="2"/>
  <c r="J60" i="2"/>
  <c r="L43" i="2"/>
  <c r="AD49" i="2"/>
  <c r="AM57" i="2"/>
  <c r="I11" i="2"/>
  <c r="P20" i="2"/>
  <c r="AM79" i="2"/>
  <c r="Y72" i="2"/>
  <c r="E52" i="2"/>
  <c r="K21" i="2"/>
  <c r="W20" i="2"/>
  <c r="F30" i="2"/>
  <c r="E36" i="2"/>
  <c r="AA10" i="2"/>
  <c r="AA58" i="2"/>
  <c r="AM23" i="2"/>
  <c r="K69" i="2"/>
  <c r="F32" i="2"/>
  <c r="AE69" i="2"/>
  <c r="N59" i="2"/>
  <c r="AL49" i="2"/>
  <c r="K6" i="2"/>
  <c r="AD30" i="2"/>
  <c r="M60" i="2"/>
  <c r="Y80" i="2"/>
  <c r="U27" i="2"/>
  <c r="Y16" i="2"/>
  <c r="R69" i="2"/>
  <c r="F13" i="2"/>
  <c r="I48" i="2"/>
  <c r="AH69" i="2"/>
  <c r="W58" i="2"/>
  <c r="X44" i="2"/>
  <c r="AI14" i="2"/>
  <c r="AJ11" i="2"/>
  <c r="O29" i="2"/>
  <c r="W8" i="2"/>
  <c r="AJ40" i="2"/>
  <c r="AC9" i="2"/>
  <c r="V47" i="2"/>
  <c r="T67" i="2"/>
  <c r="AK35" i="2"/>
  <c r="M11" i="2"/>
  <c r="AF23" i="2"/>
  <c r="X72" i="2"/>
  <c r="I53" i="2"/>
  <c r="K42" i="2"/>
  <c r="L51" i="2"/>
  <c r="N79" i="2"/>
  <c r="L10" i="2"/>
  <c r="AE14" i="2"/>
  <c r="P63" i="2"/>
  <c r="AF47" i="2"/>
  <c r="T58" i="2"/>
  <c r="R25" i="2"/>
  <c r="W17" i="2"/>
  <c r="AE27" i="2"/>
  <c r="AL11" i="2"/>
  <c r="AK10" i="2"/>
  <c r="K30" i="2"/>
  <c r="H14" i="2"/>
  <c r="W7" i="2"/>
  <c r="P65" i="2"/>
  <c r="J52" i="2"/>
  <c r="S41" i="2"/>
  <c r="AA43" i="2"/>
  <c r="J22" i="2"/>
  <c r="AJ54" i="2"/>
  <c r="AJ32" i="2"/>
  <c r="S75" i="2"/>
  <c r="Y27" i="2"/>
  <c r="P51" i="2"/>
  <c r="AI77" i="2"/>
  <c r="AM56" i="2"/>
  <c r="M28" i="2"/>
  <c r="H50" i="2"/>
  <c r="AD16" i="2"/>
  <c r="N20" i="2"/>
  <c r="AL12" i="2"/>
  <c r="AJ73" i="2"/>
  <c r="M36" i="2"/>
  <c r="I64" i="2"/>
  <c r="V64" i="2"/>
  <c r="T10" i="2"/>
  <c r="G62" i="2"/>
  <c r="AA57" i="2"/>
  <c r="AA26" i="2"/>
  <c r="J67" i="2"/>
  <c r="N77" i="2"/>
  <c r="I23" i="2"/>
  <c r="AM77" i="2"/>
  <c r="R51" i="2"/>
  <c r="W14" i="2"/>
  <c r="U57" i="2"/>
  <c r="AD29" i="2"/>
  <c r="G67" i="2"/>
  <c r="M51" i="2"/>
  <c r="W49" i="2"/>
  <c r="Z4" i="2"/>
  <c r="I33" i="2"/>
  <c r="AH36" i="2"/>
  <c r="M6" i="2"/>
  <c r="O56" i="2"/>
  <c r="AM76" i="2"/>
  <c r="P36" i="2"/>
  <c r="AF8" i="2"/>
  <c r="P49" i="2"/>
  <c r="S19" i="2"/>
  <c r="F58" i="2"/>
  <c r="Y52" i="2"/>
  <c r="E32" i="2"/>
  <c r="S77" i="2"/>
  <c r="W60" i="2"/>
  <c r="V22" i="2"/>
  <c r="AI65" i="2"/>
  <c r="V8" i="2"/>
  <c r="I36" i="2"/>
  <c r="AC8" i="2"/>
  <c r="N58" i="2"/>
  <c r="F47" i="2"/>
  <c r="AE23" i="2"/>
  <c r="AM70" i="2"/>
  <c r="R4" i="2"/>
  <c r="AD54" i="2"/>
  <c r="AB44" i="2"/>
  <c r="O28" i="2"/>
  <c r="K75" i="2"/>
  <c r="P53" i="2"/>
  <c r="AC11" i="2"/>
  <c r="T24" i="2"/>
  <c r="AH19" i="2"/>
  <c r="U58" i="2"/>
  <c r="AB55" i="2"/>
  <c r="Z45" i="2"/>
  <c r="S69" i="2"/>
  <c r="AB42" i="2"/>
  <c r="E31" i="2"/>
  <c r="AG49" i="2"/>
  <c r="V55" i="2"/>
  <c r="G72" i="2"/>
  <c r="AM34" i="2"/>
  <c r="I62" i="2"/>
  <c r="AE62" i="2"/>
  <c r="AD51" i="2"/>
  <c r="AG56" i="2"/>
  <c r="AI58" i="2"/>
  <c r="Z40" i="2"/>
  <c r="AC61" i="2"/>
  <c r="S50" i="2"/>
  <c r="G71" i="2"/>
  <c r="AD62" i="2"/>
  <c r="Y74" i="2"/>
  <c r="T8" i="2"/>
  <c r="AE25" i="2"/>
  <c r="AH59" i="2"/>
  <c r="AG7" i="2"/>
  <c r="L60" i="2"/>
  <c r="AM36" i="2"/>
  <c r="J39" i="2"/>
  <c r="X39" i="2"/>
  <c r="Z5" i="2"/>
  <c r="AB59" i="2"/>
  <c r="AA15" i="2"/>
  <c r="E45" i="2"/>
  <c r="T56" i="2"/>
  <c r="AC55" i="2"/>
  <c r="AK71" i="2"/>
  <c r="G45" i="2"/>
  <c r="M64" i="2"/>
  <c r="L31" i="2"/>
  <c r="AD41" i="2"/>
  <c r="X55" i="2"/>
  <c r="AI29" i="2"/>
  <c r="Z75" i="2"/>
  <c r="AB67" i="2"/>
  <c r="AB69" i="2"/>
  <c r="AE37" i="2"/>
  <c r="AM80" i="2"/>
  <c r="V41" i="2"/>
  <c r="T33" i="2"/>
  <c r="AC74" i="2"/>
  <c r="T12" i="2"/>
  <c r="AJ29" i="2"/>
  <c r="L55" i="2"/>
  <c r="V65" i="2"/>
  <c r="AJ9" i="2"/>
  <c r="P77" i="2"/>
  <c r="Z61" i="2"/>
  <c r="Y9" i="2"/>
  <c r="H75" i="2"/>
  <c r="W10" i="2"/>
  <c r="F61" i="2"/>
  <c r="U49" i="2"/>
  <c r="K35" i="2"/>
  <c r="E41" i="2"/>
  <c r="I15" i="2"/>
  <c r="M4" i="2"/>
  <c r="AB38" i="2"/>
  <c r="AL77" i="2"/>
  <c r="AI38" i="2"/>
  <c r="L30" i="2"/>
  <c r="AC50" i="2"/>
  <c r="H76" i="2"/>
  <c r="X50" i="2"/>
  <c r="AF7" i="2"/>
  <c r="Y79" i="2"/>
  <c r="J13" i="2"/>
  <c r="AJ28" i="2"/>
  <c r="T64" i="2"/>
  <c r="AD69" i="2"/>
  <c r="AB65" i="2"/>
  <c r="AK8" i="2"/>
  <c r="AF70" i="2"/>
  <c r="X26" i="2"/>
  <c r="S67" i="2"/>
  <c r="J28" i="2"/>
  <c r="X12" i="2"/>
  <c r="AA65" i="2"/>
  <c r="W56" i="2"/>
  <c r="X18" i="2"/>
  <c r="AA5" i="2"/>
  <c r="P9" i="2"/>
  <c r="AD24" i="2"/>
  <c r="AB54" i="2"/>
  <c r="AH25" i="2"/>
  <c r="AM68" i="2"/>
  <c r="S58" i="2"/>
  <c r="AD17" i="2"/>
  <c r="Z56" i="2"/>
  <c r="F70" i="2"/>
  <c r="AJ43" i="2"/>
  <c r="X80" i="2"/>
  <c r="R24" i="2"/>
  <c r="AL34" i="2"/>
  <c r="AC24" i="2"/>
  <c r="AE43" i="2"/>
  <c r="L70" i="2"/>
  <c r="R7" i="2"/>
  <c r="X34" i="2"/>
  <c r="AG18" i="2"/>
  <c r="AH8" i="2"/>
  <c r="Z11" i="2"/>
  <c r="Z44" i="2"/>
  <c r="AK57" i="2"/>
  <c r="I58" i="2"/>
  <c r="AC7" i="2"/>
  <c r="AK40" i="2"/>
  <c r="AB30" i="2"/>
  <c r="I56" i="2"/>
  <c r="AJ53" i="2"/>
  <c r="AJ67" i="2"/>
  <c r="M69" i="2"/>
  <c r="AE56" i="2"/>
  <c r="R17" i="2"/>
  <c r="X43" i="2"/>
  <c r="K58" i="2"/>
  <c r="F40" i="2"/>
  <c r="U45" i="2"/>
  <c r="R57" i="2"/>
  <c r="AI44" i="2"/>
  <c r="R73" i="2"/>
  <c r="AB18" i="2"/>
  <c r="AE31" i="2"/>
  <c r="AC35" i="2"/>
  <c r="AL58" i="2"/>
  <c r="AE53" i="2"/>
  <c r="X19" i="2"/>
  <c r="J38" i="2"/>
  <c r="I76" i="2"/>
  <c r="K7" i="2"/>
  <c r="V49" i="2"/>
  <c r="F79" i="2"/>
  <c r="AD68" i="2"/>
  <c r="AA75" i="2"/>
  <c r="U67" i="2"/>
  <c r="F18" i="2"/>
  <c r="U61" i="2"/>
  <c r="AH44" i="2"/>
  <c r="F65" i="2"/>
  <c r="L41" i="2"/>
  <c r="G24" i="2"/>
  <c r="AF50" i="2"/>
  <c r="G27" i="2"/>
  <c r="V43" i="2"/>
  <c r="AB9" i="2"/>
  <c r="K64" i="2"/>
  <c r="H62" i="2"/>
  <c r="U9" i="2"/>
  <c r="AM33" i="2"/>
  <c r="AI40" i="2"/>
  <c r="AM52" i="2"/>
  <c r="AC6" i="2"/>
  <c r="H77" i="2"/>
  <c r="X67" i="2"/>
  <c r="AM9" i="2"/>
  <c r="AI22" i="2"/>
  <c r="X10" i="2"/>
  <c r="O10" i="2"/>
  <c r="R77" i="2"/>
  <c r="AD42" i="2"/>
  <c r="AH26" i="2"/>
  <c r="AD5" i="2"/>
  <c r="K5" i="2"/>
  <c r="AG16" i="2"/>
  <c r="AG69" i="2"/>
  <c r="S4" i="2"/>
  <c r="O12" i="2"/>
  <c r="O62" i="2"/>
  <c r="J68" i="2"/>
  <c r="Y35" i="2"/>
  <c r="AK45" i="2"/>
  <c r="S10" i="2"/>
  <c r="AG67" i="2"/>
  <c r="AK50" i="2"/>
  <c r="N15" i="2"/>
  <c r="I14" i="2"/>
  <c r="Z38" i="2"/>
  <c r="AI36" i="2"/>
  <c r="O71" i="2"/>
  <c r="L39" i="2"/>
  <c r="AB24" i="2"/>
  <c r="AG39" i="2"/>
  <c r="H73" i="2"/>
  <c r="AJ22" i="2"/>
  <c r="AL47" i="2"/>
  <c r="AJ74" i="2"/>
  <c r="AL4" i="2"/>
  <c r="AK56" i="2"/>
  <c r="AM4" i="2"/>
  <c r="AF45" i="2"/>
  <c r="V16" i="2"/>
  <c r="T60" i="2"/>
  <c r="Y56" i="2"/>
  <c r="P25" i="2"/>
  <c r="Y42" i="2"/>
  <c r="AK18" i="2"/>
  <c r="H34" i="2"/>
  <c r="F4" i="2"/>
  <c r="P7" i="2"/>
  <c r="X63" i="2"/>
  <c r="AC20" i="2"/>
  <c r="F62" i="2"/>
  <c r="K59" i="2"/>
  <c r="AF63" i="2"/>
  <c r="M34" i="2"/>
  <c r="AG35" i="2"/>
  <c r="AM35" i="2"/>
  <c r="M53" i="2"/>
  <c r="U14" i="2"/>
  <c r="AD60" i="2"/>
  <c r="K38" i="2"/>
  <c r="U11" i="2"/>
  <c r="AE13" i="2"/>
  <c r="M59" i="2"/>
  <c r="H28" i="2"/>
  <c r="N51" i="2"/>
  <c r="S5" i="2"/>
  <c r="I49" i="2"/>
  <c r="J7" i="2"/>
  <c r="P22" i="2"/>
  <c r="T66" i="2"/>
  <c r="X45" i="2"/>
  <c r="AC10" i="2"/>
  <c r="M38" i="2"/>
  <c r="S44" i="2"/>
  <c r="V35" i="2"/>
  <c r="U30" i="2"/>
  <c r="G38" i="2"/>
  <c r="N35" i="2"/>
  <c r="P48" i="2"/>
  <c r="Z31" i="2"/>
  <c r="N70" i="2"/>
  <c r="AG24" i="2"/>
  <c r="AD8" i="2"/>
  <c r="H31" i="2"/>
  <c r="S21" i="2"/>
  <c r="AD32" i="2"/>
  <c r="N71" i="2"/>
  <c r="AC12" i="2"/>
  <c r="R41" i="2"/>
  <c r="P16" i="2"/>
  <c r="G5" i="2"/>
  <c r="AD76" i="2"/>
  <c r="AL64" i="2"/>
  <c r="F42" i="2"/>
  <c r="U19" i="2"/>
  <c r="G54" i="2"/>
  <c r="AL22" i="2"/>
  <c r="Z22" i="2"/>
  <c r="I73" i="2"/>
  <c r="G51" i="2"/>
  <c r="J48" i="2"/>
  <c r="E76" i="2"/>
  <c r="T69" i="2"/>
  <c r="AF58" i="2"/>
  <c r="Z25" i="2"/>
  <c r="F15" i="2"/>
  <c r="M23" i="2"/>
  <c r="J21" i="2"/>
  <c r="AK65" i="2"/>
  <c r="E23" i="2"/>
  <c r="G17" i="2"/>
  <c r="AA64" i="2"/>
  <c r="Y37" i="2"/>
  <c r="G52" i="2"/>
  <c r="K12" i="2"/>
  <c r="I38" i="2"/>
  <c r="V28" i="2"/>
  <c r="AB60" i="2"/>
  <c r="V44" i="2"/>
  <c r="N56" i="2"/>
  <c r="T15" i="2"/>
  <c r="Z37" i="2"/>
  <c r="Y38" i="2"/>
  <c r="E14" i="2"/>
  <c r="AE75" i="2"/>
  <c r="J25" i="2"/>
  <c r="W24" i="2"/>
  <c r="O79" i="2"/>
  <c r="G26" i="2"/>
  <c r="L24" i="2"/>
  <c r="V20" i="2"/>
  <c r="W42" i="2"/>
  <c r="K23" i="2"/>
  <c r="I6" i="2"/>
  <c r="AC26" i="2"/>
  <c r="F10" i="2"/>
  <c r="R55" i="2"/>
  <c r="E58" i="2"/>
  <c r="X47" i="2"/>
  <c r="M29" i="2"/>
  <c r="R65" i="2"/>
  <c r="J30" i="2"/>
  <c r="AB58" i="2"/>
  <c r="AH64" i="2"/>
  <c r="M12" i="2"/>
  <c r="AD37" i="2"/>
  <c r="V15" i="2"/>
  <c r="H64" i="2"/>
  <c r="AL32" i="2"/>
  <c r="AL74" i="2"/>
  <c r="S62" i="2"/>
  <c r="AF17" i="2"/>
  <c r="X73" i="2"/>
  <c r="U4" i="2"/>
  <c r="AH46" i="2"/>
  <c r="O57" i="2"/>
  <c r="AF75" i="2"/>
  <c r="S22" i="2"/>
  <c r="I24" i="2"/>
  <c r="T61" i="2"/>
  <c r="AC48" i="2"/>
  <c r="U77" i="2"/>
  <c r="M27" i="2"/>
  <c r="AE10" i="2"/>
  <c r="AA12" i="2"/>
  <c r="K27" i="2"/>
  <c r="X49" i="2"/>
  <c r="M46" i="2"/>
  <c r="AJ59" i="2"/>
  <c r="W28" i="2"/>
  <c r="U47" i="2"/>
  <c r="P37" i="2"/>
  <c r="W76" i="2"/>
  <c r="AJ26" i="2"/>
  <c r="AA19" i="2"/>
  <c r="AA9" i="2"/>
  <c r="W35" i="2"/>
  <c r="AJ17" i="2"/>
  <c r="E70" i="2"/>
  <c r="T54" i="2"/>
  <c r="Z32" i="2"/>
  <c r="AI61" i="2"/>
  <c r="M8" i="2"/>
  <c r="AC54" i="2"/>
  <c r="L36" i="2"/>
  <c r="F22" i="2"/>
  <c r="S31" i="2"/>
  <c r="AF14" i="2"/>
  <c r="AH78" i="2"/>
  <c r="J9" i="2"/>
  <c r="H39" i="2"/>
  <c r="AJ47" i="2"/>
  <c r="Y21" i="2"/>
  <c r="X22" i="2"/>
  <c r="G63" i="2"/>
  <c r="H22" i="2"/>
  <c r="Z74" i="2"/>
  <c r="S40" i="2"/>
  <c r="AD36" i="2"/>
  <c r="AC15" i="2"/>
  <c r="AL24" i="2"/>
  <c r="AM20" i="2"/>
  <c r="Y44" i="2"/>
  <c r="X69" i="2"/>
  <c r="AF29" i="2"/>
  <c r="J42" i="2"/>
  <c r="Z36" i="2"/>
  <c r="S35" i="2"/>
  <c r="G77" i="2"/>
  <c r="AG42" i="2"/>
  <c r="R72" i="2"/>
  <c r="AA45" i="2"/>
  <c r="H60" i="2"/>
  <c r="T78" i="2"/>
  <c r="U12" i="2"/>
  <c r="W32" i="2"/>
  <c r="AJ25" i="2"/>
  <c r="N27" i="2"/>
  <c r="N7" i="2"/>
  <c r="AM38" i="2"/>
  <c r="R58" i="2"/>
  <c r="N12" i="2"/>
  <c r="H20" i="2"/>
  <c r="J32" i="2"/>
  <c r="AD59" i="2"/>
  <c r="J40" i="2"/>
  <c r="AK39" i="2"/>
  <c r="AL79" i="2"/>
  <c r="AD12" i="2"/>
  <c r="G39" i="2"/>
  <c r="AI19" i="2"/>
  <c r="H8" i="2"/>
  <c r="J51" i="2"/>
  <c r="F64" i="2"/>
  <c r="AD23" i="2"/>
  <c r="Y66" i="2"/>
  <c r="L69" i="2"/>
  <c r="R16" i="2"/>
  <c r="AD43" i="2"/>
  <c r="AF34" i="2"/>
  <c r="O47" i="2"/>
  <c r="AE33" i="2"/>
  <c r="P55" i="2"/>
  <c r="AF68" i="2"/>
  <c r="AA24" i="2"/>
  <c r="G7" i="2"/>
  <c r="AG34" i="2"/>
  <c r="J19" i="2"/>
  <c r="AG53" i="2"/>
  <c r="L79" i="2"/>
  <c r="M71" i="2"/>
  <c r="AB45" i="2"/>
  <c r="R10" i="2"/>
  <c r="F57" i="2"/>
  <c r="U41" i="2"/>
  <c r="Z8" i="2"/>
  <c r="H79" i="2"/>
  <c r="U53" i="2"/>
  <c r="S48" i="2"/>
  <c r="AG26" i="2"/>
  <c r="G64" i="2"/>
  <c r="AH43" i="2"/>
  <c r="AA53" i="2"/>
  <c r="AH12" i="2"/>
  <c r="H32" i="2"/>
  <c r="AB43" i="2"/>
  <c r="T25" i="2"/>
  <c r="V9" i="2"/>
  <c r="H63" i="2"/>
  <c r="M24" i="2"/>
  <c r="F48" i="2"/>
  <c r="AK9" i="2"/>
  <c r="AK48" i="2"/>
  <c r="T6" i="2"/>
  <c r="AK13" i="2"/>
  <c r="K14" i="2"/>
  <c r="AJ5" i="2"/>
  <c r="AD77" i="2"/>
  <c r="N6" i="2"/>
  <c r="AI20" i="2"/>
  <c r="Y19" i="2"/>
  <c r="O41" i="2"/>
  <c r="Y69" i="2"/>
  <c r="AC29" i="2"/>
  <c r="O39" i="2"/>
  <c r="Z24" i="2"/>
  <c r="V59" i="2"/>
  <c r="AJ56" i="2"/>
  <c r="AC43" i="2"/>
  <c r="AH67" i="2"/>
  <c r="P79" i="2"/>
  <c r="G14" i="2"/>
  <c r="R61" i="2"/>
  <c r="AI10" i="2"/>
  <c r="V40" i="2"/>
  <c r="I60" i="2"/>
  <c r="L6" i="2"/>
  <c r="AH18" i="2"/>
  <c r="U36" i="2"/>
  <c r="AJ23" i="2"/>
  <c r="AH21" i="2"/>
  <c r="F73" i="2"/>
  <c r="E74" i="2"/>
  <c r="P54" i="2"/>
  <c r="N64" i="2"/>
  <c r="V75" i="2"/>
  <c r="AE30" i="2"/>
  <c r="K44" i="2"/>
  <c r="AE79" i="2"/>
  <c r="AA17" i="2"/>
  <c r="H15" i="2"/>
  <c r="U16" i="2"/>
  <c r="AL59" i="2"/>
  <c r="N19" i="2"/>
  <c r="AC60" i="2"/>
  <c r="W63" i="2"/>
  <c r="K15" i="2"/>
  <c r="AH30" i="2"/>
  <c r="N66" i="2"/>
  <c r="X59" i="2"/>
  <c r="X29" i="2"/>
  <c r="S12" i="2"/>
  <c r="AA8" i="2"/>
  <c r="F46" i="2"/>
  <c r="V10" i="2"/>
  <c r="F50" i="2"/>
  <c r="E68" i="2"/>
  <c r="Z17" i="2"/>
  <c r="J50" i="2"/>
  <c r="Z53" i="2"/>
  <c r="E78" i="2"/>
  <c r="T43" i="2"/>
  <c r="S53" i="2"/>
  <c r="F20" i="2"/>
  <c r="R27" i="2"/>
  <c r="AA31" i="2"/>
  <c r="H68" i="2"/>
  <c r="J58" i="2"/>
  <c r="AL48" i="2"/>
  <c r="AE58" i="2"/>
  <c r="M32" i="2"/>
  <c r="AM29" i="2"/>
  <c r="K33" i="2"/>
  <c r="AF21" i="2"/>
  <c r="AK80" i="2"/>
  <c r="M14" i="2"/>
  <c r="R62" i="2"/>
  <c r="K25" i="2"/>
  <c r="L20" i="2"/>
  <c r="I40" i="2"/>
  <c r="AK73" i="2"/>
  <c r="O15" i="2"/>
  <c r="K16" i="2"/>
  <c r="AH53" i="2"/>
  <c r="L54" i="2"/>
  <c r="O43" i="2"/>
  <c r="Y70" i="2"/>
  <c r="W26" i="2"/>
  <c r="S15" i="2"/>
  <c r="X51" i="2"/>
  <c r="M31" i="2"/>
  <c r="AB51" i="2"/>
  <c r="AE36" i="2"/>
  <c r="W74" i="2"/>
  <c r="AD78" i="2"/>
  <c r="V57" i="2"/>
  <c r="L77" i="2"/>
  <c r="AL44" i="2"/>
  <c r="AM40" i="2"/>
  <c r="S8" i="2"/>
  <c r="Z52" i="2"/>
  <c r="AJ31" i="2"/>
  <c r="I34" i="2"/>
  <c r="W5" i="2"/>
  <c r="Z35" i="2"/>
  <c r="G18" i="2"/>
  <c r="H74" i="2"/>
  <c r="O6" i="2"/>
  <c r="AL55" i="2"/>
  <c r="U28" i="2"/>
  <c r="V78" i="2"/>
  <c r="AK55" i="2"/>
  <c r="AF66" i="2"/>
  <c r="AH20" i="2"/>
  <c r="AG29" i="2"/>
  <c r="L16" i="2"/>
  <c r="Y53" i="2"/>
  <c r="E38" i="2"/>
  <c r="Y75" i="2"/>
  <c r="AC52" i="2"/>
  <c r="AI41" i="2"/>
  <c r="N11" i="2"/>
  <c r="R60" i="2"/>
  <c r="AJ48" i="2"/>
  <c r="V34" i="2"/>
  <c r="F34" i="2"/>
  <c r="AM13" i="2"/>
  <c r="AL37" i="2"/>
  <c r="J70" i="2"/>
  <c r="AG25" i="2"/>
  <c r="K66" i="2"/>
  <c r="X42" i="2"/>
  <c r="T20" i="2"/>
  <c r="AB70" i="2"/>
  <c r="S36" i="2"/>
  <c r="R12" i="2"/>
  <c r="AI53" i="2"/>
  <c r="R76" i="2"/>
  <c r="AF73" i="2"/>
  <c r="AD20" i="2"/>
  <c r="AE45" i="2"/>
  <c r="AH52" i="2"/>
  <c r="S34" i="2"/>
  <c r="K79" i="2"/>
  <c r="E12" i="2"/>
  <c r="AE34" i="2"/>
  <c r="S47" i="2"/>
  <c r="AE40" i="2"/>
  <c r="AI13" i="2"/>
  <c r="I46" i="2"/>
  <c r="AG62" i="2"/>
  <c r="I63" i="2"/>
  <c r="AB61" i="2"/>
  <c r="P62" i="2"/>
  <c r="M62" i="2"/>
  <c r="AJ52" i="2"/>
  <c r="P12" i="2"/>
  <c r="AK36" i="2"/>
  <c r="G32" i="2"/>
  <c r="AD45" i="2"/>
  <c r="AF80" i="2"/>
  <c r="F6" i="2"/>
  <c r="E61" i="2"/>
  <c r="S14" i="2"/>
  <c r="N36" i="2"/>
  <c r="R30" i="2"/>
  <c r="AK17" i="2"/>
  <c r="G80" i="2"/>
  <c r="AL29" i="2"/>
  <c r="F23" i="2"/>
  <c r="AJ35" i="2"/>
  <c r="AA25" i="2"/>
  <c r="AF69" i="2"/>
  <c r="J33" i="2"/>
  <c r="P73" i="2"/>
  <c r="AH75" i="2"/>
  <c r="K68" i="2"/>
  <c r="H45" i="2"/>
  <c r="AI27" i="2"/>
  <c r="AM54" i="2"/>
  <c r="AL75" i="2"/>
  <c r="S61" i="2"/>
  <c r="O32" i="2"/>
  <c r="U80" i="2"/>
  <c r="N17" i="2"/>
  <c r="AF42" i="2"/>
  <c r="W4" i="2"/>
  <c r="P33" i="2"/>
  <c r="P47" i="2"/>
  <c r="P60" i="2"/>
  <c r="V52" i="2"/>
  <c r="AM51" i="2"/>
  <c r="S68" i="2"/>
  <c r="K20" i="2"/>
  <c r="AH39" i="2"/>
  <c r="AE57" i="2"/>
  <c r="AJ62" i="2"/>
  <c r="Y4" i="2"/>
  <c r="AB28" i="2"/>
  <c r="K49" i="2"/>
  <c r="G10" i="2"/>
  <c r="AI63" i="2"/>
  <c r="AH42" i="2"/>
  <c r="R53" i="2"/>
  <c r="AE20" i="2"/>
  <c r="K67" i="2"/>
  <c r="AC19" i="2"/>
  <c r="F8" i="2"/>
  <c r="O24" i="2"/>
  <c r="Y62" i="2"/>
  <c r="Y46" i="2"/>
  <c r="K72" i="2"/>
  <c r="AJ78" i="2"/>
  <c r="S52" i="2"/>
  <c r="AF64" i="2"/>
  <c r="AA14" i="2"/>
  <c r="J24" i="2"/>
  <c r="AF31" i="2"/>
  <c r="Z23" i="2"/>
  <c r="AH50" i="2"/>
  <c r="F55" i="2"/>
  <c r="E4" i="2"/>
  <c r="E13" i="2"/>
  <c r="M78" i="2"/>
  <c r="I17" i="2"/>
  <c r="I74" i="2"/>
  <c r="P31" i="2"/>
  <c r="M68" i="2"/>
  <c r="AH40" i="2"/>
  <c r="AH45" i="2"/>
  <c r="I67" i="2"/>
  <c r="AJ6" i="2"/>
  <c r="AG57" i="2"/>
  <c r="E56" i="2"/>
  <c r="AH38" i="2"/>
  <c r="O63" i="2"/>
  <c r="AG11" i="2"/>
  <c r="E69" i="2"/>
  <c r="AB23" i="2"/>
  <c r="AG13" i="2"/>
  <c r="T63" i="2"/>
  <c r="R35" i="2"/>
  <c r="J46" i="2"/>
  <c r="M5" i="2"/>
  <c r="Y65" i="2"/>
  <c r="K13" i="2"/>
  <c r="AK42" i="2"/>
  <c r="W47" i="2"/>
  <c r="AK79" i="2"/>
  <c r="N55" i="2"/>
  <c r="AD63" i="2"/>
  <c r="L15" i="2"/>
  <c r="L68" i="2"/>
  <c r="AA69" i="2"/>
  <c r="L50" i="2"/>
  <c r="V7" i="2"/>
  <c r="H52" i="2"/>
  <c r="AI73" i="2"/>
  <c r="AA11" i="2"/>
  <c r="W40" i="2"/>
  <c r="N32" i="2"/>
  <c r="AL31" i="2"/>
  <c r="AB5" i="2"/>
  <c r="AI74" i="2"/>
  <c r="E33" i="2"/>
  <c r="AH63" i="2"/>
  <c r="AD22" i="2"/>
  <c r="O46" i="2"/>
  <c r="W12" i="2"/>
  <c r="X65" i="2"/>
  <c r="W27" i="2"/>
  <c r="AF18" i="2"/>
  <c r="W23" i="2"/>
  <c r="F12" i="2"/>
  <c r="AM65" i="2"/>
  <c r="AE7" i="2"/>
  <c r="AI23" i="2"/>
  <c r="V54" i="2"/>
  <c r="L22" i="2"/>
  <c r="Y5" i="2"/>
  <c r="M52" i="2"/>
  <c r="Y60" i="2"/>
  <c r="O55" i="2"/>
  <c r="U38" i="2"/>
  <c r="Z57" i="2"/>
  <c r="AK20" i="2"/>
  <c r="AK34" i="2"/>
  <c r="G21" i="2"/>
  <c r="AJ4" i="2"/>
  <c r="K9" i="2"/>
  <c r="AD35" i="2"/>
  <c r="I26" i="2"/>
  <c r="AA66" i="2"/>
  <c r="S55" i="2"/>
  <c r="R15" i="2"/>
  <c r="AC34" i="2"/>
  <c r="E40" i="2"/>
  <c r="AJ75" i="2"/>
  <c r="V71" i="2"/>
  <c r="AE39" i="2"/>
  <c r="AE51" i="2"/>
  <c r="AF15" i="2"/>
  <c r="R34" i="2"/>
  <c r="V17" i="2"/>
  <c r="AE48" i="2"/>
  <c r="AC33" i="2"/>
  <c r="G33" i="2"/>
  <c r="AF76" i="2"/>
  <c r="AM46" i="2"/>
  <c r="AB57" i="2"/>
  <c r="AM5" i="2"/>
  <c r="F78" i="2"/>
  <c r="AK11" i="2"/>
  <c r="J47" i="2"/>
  <c r="AB52" i="2"/>
  <c r="AD46" i="2"/>
  <c r="Y55" i="2"/>
  <c r="I22" i="2"/>
  <c r="P21" i="2"/>
  <c r="Z46" i="2"/>
  <c r="AE46" i="2"/>
  <c r="O31" i="2"/>
  <c r="AD48" i="2"/>
  <c r="P64" i="2"/>
  <c r="T46" i="2"/>
  <c r="T30" i="2"/>
  <c r="W59" i="2"/>
  <c r="I42" i="2"/>
  <c r="M19" i="2"/>
  <c r="AC62" i="2"/>
  <c r="M57" i="2"/>
  <c r="F53" i="2"/>
  <c r="L58" i="2"/>
  <c r="N23" i="2"/>
  <c r="AA50" i="2"/>
  <c r="AL20" i="2"/>
  <c r="E8" i="2"/>
  <c r="Z43" i="2"/>
  <c r="F14" i="2"/>
  <c r="M77" i="2"/>
  <c r="AA72" i="2"/>
  <c r="F36" i="2"/>
  <c r="AK51" i="2"/>
  <c r="T36" i="2"/>
  <c r="AM73" i="2"/>
  <c r="AJ12" i="2"/>
  <c r="S56" i="2"/>
  <c r="AL67" i="2"/>
  <c r="AD38" i="2"/>
  <c r="AH66" i="2"/>
  <c r="AF12" i="2"/>
  <c r="AI11" i="2"/>
  <c r="AG52" i="2"/>
  <c r="W67" i="2"/>
  <c r="AK16" i="2"/>
  <c r="O16" i="2"/>
  <c r="AC57" i="2"/>
  <c r="W78" i="2"/>
  <c r="X24" i="2"/>
  <c r="J45" i="2"/>
  <c r="P18" i="2"/>
  <c r="AM26" i="2"/>
  <c r="I20" i="2"/>
  <c r="K54" i="2"/>
  <c r="X35" i="2"/>
  <c r="W30" i="2"/>
  <c r="AE77" i="2"/>
  <c r="AI32" i="2"/>
  <c r="P15" i="2"/>
  <c r="AK64" i="2"/>
  <c r="Y7" i="2"/>
  <c r="AA28" i="2"/>
  <c r="AL26" i="2"/>
  <c r="AE18" i="2"/>
  <c r="F75" i="2"/>
  <c r="AM61" i="2"/>
  <c r="V39" i="2"/>
  <c r="E6" i="2"/>
  <c r="P32" i="2"/>
  <c r="O75" i="2"/>
  <c r="AF71" i="2"/>
  <c r="Z26" i="2"/>
  <c r="Y49" i="2"/>
  <c r="G41" i="2"/>
  <c r="AJ7" i="2"/>
  <c r="R22" i="2"/>
  <c r="I41" i="2"/>
  <c r="W29" i="2"/>
  <c r="R56" i="2"/>
  <c r="U62" i="2"/>
  <c r="AF9" i="2"/>
  <c r="L28" i="2"/>
  <c r="AA40" i="2"/>
  <c r="AB36" i="2"/>
  <c r="J53" i="2"/>
  <c r="O52" i="2"/>
  <c r="AA30" i="2"/>
  <c r="G9" i="2"/>
  <c r="Y36" i="2"/>
  <c r="AK7" i="2"/>
  <c r="F25" i="2"/>
  <c r="AG4" i="2"/>
  <c r="AB39" i="2"/>
  <c r="G69" i="2"/>
  <c r="O23" i="2"/>
  <c r="X75" i="2"/>
  <c r="AE76" i="2"/>
  <c r="P34" i="2"/>
  <c r="Z72" i="2"/>
  <c r="Y63" i="2"/>
  <c r="AB76" i="2"/>
  <c r="AG58" i="2"/>
  <c r="AC37" i="2"/>
  <c r="AM6" i="2"/>
  <c r="O38" i="2"/>
  <c r="O53" i="2"/>
  <c r="O40" i="2"/>
  <c r="Y14" i="2"/>
  <c r="E18" i="2"/>
  <c r="E39" i="2"/>
  <c r="L63" i="2"/>
  <c r="AF19" i="2"/>
  <c r="I47" i="2"/>
  <c r="I71" i="2"/>
  <c r="AL71" i="2"/>
  <c r="I55" i="2"/>
  <c r="AB71" i="2"/>
  <c r="AM41" i="2"/>
  <c r="G55" i="2"/>
  <c r="AK62" i="2"/>
  <c r="T23" i="2"/>
  <c r="X58" i="2"/>
  <c r="AG44" i="2"/>
  <c r="K65" i="2"/>
  <c r="W33" i="2"/>
  <c r="Z58" i="2"/>
  <c r="AM22" i="2"/>
  <c r="AB46" i="2"/>
  <c r="F17" i="2"/>
  <c r="AL28" i="2"/>
  <c r="T34" i="2"/>
  <c r="T35" i="2"/>
  <c r="Z63" i="2"/>
  <c r="AD44" i="2"/>
  <c r="V38" i="2"/>
  <c r="AL80" i="2"/>
  <c r="AK33" i="2"/>
  <c r="AF5" i="2"/>
  <c r="AB22" i="2"/>
  <c r="AH15" i="2"/>
  <c r="E35" i="2"/>
  <c r="AA44" i="2"/>
  <c r="M37" i="2"/>
  <c r="L75" i="2"/>
  <c r="AL66" i="2"/>
  <c r="Z21" i="2"/>
  <c r="R26" i="2"/>
  <c r="AC67" i="2"/>
  <c r="AE64" i="2"/>
  <c r="AM21" i="2"/>
  <c r="W65" i="2"/>
  <c r="V5" i="2"/>
  <c r="V29" i="2"/>
  <c r="AA33" i="2"/>
  <c r="R74" i="2"/>
  <c r="I57" i="2"/>
  <c r="AD40" i="2"/>
  <c r="N43" i="2"/>
  <c r="AH23" i="2"/>
  <c r="AA74" i="2"/>
  <c r="P61" i="2"/>
  <c r="P42" i="2"/>
  <c r="AI35" i="2"/>
  <c r="H30" i="2"/>
  <c r="AI51" i="2"/>
  <c r="U51" i="2"/>
  <c r="T22" i="2"/>
  <c r="Y6" i="2"/>
  <c r="H6" i="2"/>
  <c r="V50" i="2"/>
  <c r="F31" i="2"/>
  <c r="AH4" i="2"/>
  <c r="V12" i="2"/>
  <c r="T42" i="2"/>
  <c r="AD72" i="2"/>
  <c r="G31" i="2"/>
  <c r="W11" i="2"/>
  <c r="AI48" i="2"/>
  <c r="U8" i="2"/>
  <c r="M30" i="2"/>
  <c r="I39" i="2"/>
  <c r="P10" i="2"/>
  <c r="AG5" i="2"/>
  <c r="I78" i="2"/>
  <c r="AE61" i="2"/>
  <c r="AH80" i="2"/>
  <c r="G28" i="2"/>
  <c r="W22" i="2"/>
  <c r="N63" i="2"/>
  <c r="L49" i="2"/>
  <c r="Z28" i="2"/>
  <c r="X48" i="2"/>
  <c r="AD70" i="2"/>
  <c r="H12" i="2"/>
  <c r="P39" i="2"/>
  <c r="F63" i="2"/>
  <c r="I10" i="2"/>
  <c r="AI69" i="2"/>
  <c r="N44" i="2"/>
  <c r="E7" i="2"/>
  <c r="AF36" i="2"/>
  <c r="AL25" i="2"/>
  <c r="AD9" i="2"/>
  <c r="L53" i="2"/>
  <c r="O78" i="2"/>
  <c r="K78" i="2"/>
  <c r="V79" i="2"/>
  <c r="AF60" i="2"/>
  <c r="AM67" i="2"/>
  <c r="AA35" i="2"/>
  <c r="AA73" i="2"/>
  <c r="Y23" i="2"/>
  <c r="K56" i="2"/>
  <c r="U72" i="2"/>
  <c r="AA79" i="2"/>
  <c r="AB77" i="2"/>
  <c r="AC44" i="2"/>
  <c r="M42" i="2"/>
  <c r="M67" i="2"/>
  <c r="AJ13" i="2"/>
  <c r="E66" i="2"/>
  <c r="T11" i="2"/>
  <c r="AA38" i="2"/>
  <c r="P19" i="2"/>
  <c r="O21" i="2"/>
  <c r="AB17" i="2"/>
  <c r="AH27" i="2"/>
  <c r="L32" i="2"/>
  <c r="E15" i="2"/>
  <c r="Y61" i="2"/>
  <c r="AB32" i="2"/>
  <c r="T18" i="2"/>
  <c r="G70" i="2"/>
  <c r="M25" i="2"/>
  <c r="J76" i="2"/>
  <c r="V21" i="2"/>
  <c r="N45" i="2"/>
  <c r="I66" i="2"/>
  <c r="AL36" i="2"/>
  <c r="P30" i="2"/>
  <c r="AF6" i="2"/>
  <c r="K77" i="2"/>
  <c r="K50" i="2"/>
  <c r="AB63" i="2"/>
  <c r="AG17" i="2"/>
  <c r="T28" i="2"/>
  <c r="Z76" i="2"/>
  <c r="X14" i="2"/>
  <c r="Z16" i="2"/>
  <c r="K18" i="2"/>
  <c r="Z6" i="2"/>
  <c r="W13" i="2"/>
  <c r="S79" i="2"/>
  <c r="AK72" i="2"/>
  <c r="AL33" i="2"/>
  <c r="AJ46" i="2"/>
  <c r="AK24" i="2"/>
  <c r="X71" i="2"/>
  <c r="G57" i="2"/>
  <c r="Y34" i="2"/>
  <c r="M65" i="2"/>
  <c r="J8" i="2"/>
  <c r="F76" i="2"/>
  <c r="H33" i="2"/>
  <c r="L18" i="2"/>
  <c r="Z41" i="2"/>
  <c r="F26" i="2"/>
  <c r="AM47" i="2"/>
  <c r="AE35" i="2"/>
  <c r="U70" i="2"/>
  <c r="O54" i="2"/>
  <c r="AE67" i="2"/>
  <c r="AD25" i="2"/>
  <c r="AH65" i="2"/>
  <c r="W21" i="2"/>
  <c r="AI30" i="2"/>
  <c r="O9" i="2"/>
  <c r="AK61" i="2"/>
  <c r="AE42" i="2"/>
  <c r="N50" i="2"/>
  <c r="AC38" i="2"/>
  <c r="R75" i="2"/>
  <c r="AC28" i="2"/>
  <c r="AA13" i="2"/>
  <c r="K61" i="2"/>
  <c r="AA7" i="2"/>
  <c r="AG19" i="2"/>
  <c r="F35" i="2"/>
  <c r="AD39" i="2"/>
  <c r="AG66" i="2"/>
  <c r="AL65" i="2"/>
  <c r="F68" i="2"/>
  <c r="AA67" i="2"/>
  <c r="I31" i="2"/>
  <c r="S63" i="2"/>
  <c r="T57" i="2"/>
  <c r="M9" i="2"/>
  <c r="P56" i="2"/>
  <c r="K11" i="2"/>
  <c r="V46" i="2"/>
  <c r="AK70" i="2"/>
  <c r="Z27" i="2"/>
  <c r="Y64" i="2"/>
  <c r="V76" i="2"/>
  <c r="N33" i="2"/>
  <c r="E11" i="2"/>
  <c r="L11" i="2"/>
  <c r="AL17" i="2"/>
  <c r="T32" i="2"/>
  <c r="M56" i="2"/>
  <c r="O70" i="2"/>
  <c r="E57" i="2"/>
  <c r="Y67" i="2"/>
  <c r="U34" i="2"/>
  <c r="E48" i="2"/>
  <c r="AC23" i="2"/>
  <c r="AF67" i="2"/>
  <c r="J20" i="2"/>
  <c r="AA6" i="2"/>
  <c r="W55" i="2"/>
  <c r="H66" i="2"/>
  <c r="AH28" i="2"/>
  <c r="AF27" i="2"/>
  <c r="AE26" i="2"/>
  <c r="J36" i="2"/>
  <c r="W41" i="2"/>
  <c r="T52" i="2"/>
  <c r="AC58" i="2"/>
  <c r="Y51" i="2"/>
  <c r="AH56" i="2"/>
  <c r="F44" i="2"/>
  <c r="AD58" i="2"/>
  <c r="X23" i="2"/>
  <c r="Y68" i="2"/>
  <c r="U59" i="2"/>
  <c r="S60" i="2"/>
  <c r="AB34" i="2"/>
  <c r="AD80" i="2"/>
  <c r="AA61" i="2"/>
  <c r="AI59" i="2"/>
  <c r="AA39" i="2"/>
  <c r="AK63" i="2"/>
  <c r="L17" i="2"/>
  <c r="U13" i="2"/>
  <c r="AB31" i="2"/>
  <c r="U40" i="2"/>
  <c r="E42" i="2"/>
  <c r="X8" i="2"/>
  <c r="Y54" i="2"/>
  <c r="AL72" i="2"/>
  <c r="AG75" i="2"/>
  <c r="AM30" i="2"/>
  <c r="AG15" i="2"/>
  <c r="O64" i="2"/>
  <c r="I21" i="2"/>
  <c r="L52" i="2"/>
  <c r="F38" i="2"/>
  <c r="AG46" i="2"/>
  <c r="Z60" i="2"/>
  <c r="AI80" i="2"/>
  <c r="U29" i="2"/>
  <c r="AF26" i="2"/>
  <c r="AE28" i="2"/>
  <c r="K43" i="2"/>
  <c r="AB19" i="2"/>
  <c r="AI21" i="2"/>
  <c r="AE54" i="2"/>
  <c r="AI25" i="2"/>
  <c r="M20" i="2"/>
  <c r="K52" i="2"/>
  <c r="AF48" i="2"/>
  <c r="AE71" i="2"/>
  <c r="L73" i="2"/>
  <c r="H10" i="2"/>
  <c r="J56" i="2"/>
  <c r="R79" i="2"/>
  <c r="X74" i="2"/>
  <c r="X41" i="2"/>
  <c r="Y39" i="2"/>
  <c r="E64" i="2"/>
  <c r="AA52" i="2"/>
  <c r="AM50" i="2"/>
  <c r="T79" i="2"/>
  <c r="R13" i="2"/>
  <c r="O61" i="2"/>
  <c r="T21" i="2"/>
  <c r="Z73" i="2"/>
  <c r="Z33" i="2"/>
  <c r="AG80" i="2"/>
  <c r="V30" i="2"/>
  <c r="P80" i="2"/>
  <c r="AE59" i="2"/>
  <c r="J14" i="2"/>
  <c r="K48" i="2"/>
  <c r="J16" i="2"/>
  <c r="F39" i="2"/>
  <c r="M10" i="2"/>
  <c r="I8" i="2"/>
  <c r="V73" i="2"/>
  <c r="N37" i="2"/>
  <c r="AH13" i="2"/>
  <c r="F43" i="2"/>
  <c r="AA34" i="2"/>
  <c r="R6" i="2"/>
  <c r="AB49" i="2"/>
  <c r="E17" i="2"/>
  <c r="H48" i="2"/>
  <c r="AE70" i="2"/>
  <c r="Z66" i="2"/>
  <c r="K80" i="2"/>
  <c r="O44" i="2"/>
  <c r="AF77" i="2"/>
  <c r="AF28" i="2"/>
  <c r="AK49" i="2"/>
  <c r="G68" i="2"/>
  <c r="I68" i="2"/>
  <c r="AI8" i="2"/>
  <c r="AK74" i="2"/>
  <c r="AM31" i="2"/>
  <c r="AI68" i="2"/>
  <c r="AG14" i="2"/>
  <c r="E25" i="2"/>
  <c r="AE55" i="2"/>
  <c r="H46" i="2"/>
  <c r="O37" i="2"/>
  <c r="AI70" i="2"/>
  <c r="L21" i="2"/>
  <c r="AB66" i="2"/>
  <c r="AM48" i="2"/>
  <c r="G73" i="2"/>
  <c r="AJ71" i="2"/>
  <c r="AI33" i="2"/>
  <c r="AI47" i="2"/>
  <c r="AH14" i="2"/>
  <c r="AF4" i="2"/>
  <c r="G40" i="2"/>
  <c r="W61" i="2"/>
  <c r="K22" i="2"/>
  <c r="AE6" i="2"/>
  <c r="AJ41" i="2"/>
  <c r="S65" i="2"/>
  <c r="AA80" i="2"/>
  <c r="AF59" i="2"/>
  <c r="R45" i="2"/>
  <c r="M72" i="2"/>
  <c r="AF16" i="2"/>
  <c r="Y17" i="2"/>
  <c r="K47" i="2"/>
  <c r="AJ20" i="2"/>
  <c r="AK52" i="2"/>
  <c r="AL19" i="2"/>
  <c r="AE32" i="2"/>
  <c r="AF44" i="2"/>
  <c r="AG74" i="2"/>
  <c r="S80" i="2"/>
  <c r="AK67" i="2"/>
  <c r="AL27" i="2"/>
  <c r="AC70" i="2"/>
  <c r="K32" i="2"/>
  <c r="W18" i="2"/>
  <c r="H43" i="2"/>
  <c r="AH51" i="2"/>
  <c r="F74" i="2"/>
  <c r="AG28" i="2"/>
  <c r="AG10" i="2"/>
  <c r="AJ44" i="2"/>
  <c r="AB35" i="2"/>
  <c r="AE22" i="2"/>
  <c r="H5" i="2"/>
  <c r="E65" i="2"/>
  <c r="Z42" i="2"/>
  <c r="J26" i="2"/>
  <c r="AA54" i="2"/>
  <c r="AB56" i="2"/>
  <c r="AK21" i="2"/>
  <c r="L48" i="2"/>
  <c r="AM60" i="2"/>
  <c r="AB48" i="2"/>
  <c r="V37" i="2"/>
  <c r="U5" i="2"/>
  <c r="O65" i="2"/>
  <c r="AJ68" i="2"/>
  <c r="R23" i="2"/>
  <c r="G6" i="2"/>
  <c r="AG12" i="2"/>
  <c r="E67" i="2"/>
  <c r="AH74" i="2"/>
  <c r="N39" i="2"/>
  <c r="X5" i="2"/>
  <c r="AK28" i="2"/>
  <c r="W53" i="2"/>
  <c r="Y59" i="2"/>
  <c r="R80" i="2"/>
  <c r="O33" i="2"/>
  <c r="AD27" i="2"/>
  <c r="P29" i="2"/>
  <c r="J6" i="2"/>
  <c r="AD47" i="2"/>
  <c r="AB33" i="2"/>
  <c r="N18" i="2"/>
  <c r="R11" i="2"/>
  <c r="W34" i="2"/>
  <c r="V13" i="2"/>
  <c r="AK68" i="2"/>
  <c r="AA32" i="2"/>
  <c r="F16" i="2"/>
  <c r="AJ65" i="2"/>
  <c r="L9" i="2"/>
  <c r="AJ64" i="2"/>
  <c r="U55" i="2"/>
  <c r="AA59" i="2"/>
  <c r="AF54" i="2"/>
  <c r="AG50" i="2"/>
  <c r="Z19" i="2"/>
  <c r="AA48" i="2"/>
  <c r="AE12" i="2"/>
  <c r="H42" i="2"/>
  <c r="S72" i="2"/>
  <c r="I70" i="2"/>
  <c r="AF41" i="2"/>
  <c r="E73" i="2"/>
  <c r="AC66" i="2"/>
  <c r="E44" i="2"/>
  <c r="AL62" i="2"/>
  <c r="AJ8" i="2"/>
  <c r="N48" i="2"/>
  <c r="AA49" i="2"/>
  <c r="Z50" i="2"/>
  <c r="L46" i="2"/>
  <c r="O18" i="2"/>
  <c r="N38" i="2"/>
  <c r="L7" i="2"/>
  <c r="O8" i="2"/>
  <c r="AK46" i="2"/>
  <c r="AD55" i="2"/>
  <c r="AA4" i="2"/>
  <c r="K40" i="2"/>
  <c r="AI42" i="2"/>
  <c r="P40" i="2"/>
  <c r="J18" i="2"/>
  <c r="P74" i="2"/>
  <c r="AG9" i="2"/>
  <c r="K28" i="2"/>
  <c r="R37" i="2"/>
  <c r="AH11" i="2"/>
  <c r="H24" i="2"/>
  <c r="K8" i="2"/>
  <c r="AJ55" i="2"/>
  <c r="J5" i="2"/>
  <c r="E29" i="2"/>
  <c r="AM72" i="2"/>
  <c r="L44" i="2"/>
  <c r="AH76" i="2"/>
  <c r="E80" i="2"/>
  <c r="F41" i="2"/>
  <c r="U66" i="2"/>
  <c r="Y18" i="2"/>
  <c r="L47" i="2"/>
  <c r="AH22" i="2"/>
  <c r="G29" i="2"/>
  <c r="J79" i="2"/>
  <c r="AK14" i="2"/>
  <c r="V11" i="2"/>
  <c r="G30" i="2"/>
  <c r="I45" i="2"/>
  <c r="K4" i="2"/>
  <c r="N65" i="2"/>
  <c r="X53" i="2"/>
  <c r="AJ39" i="2"/>
  <c r="K34" i="2"/>
  <c r="J61" i="2"/>
  <c r="H37" i="2"/>
  <c r="G76" i="2"/>
  <c r="AF49" i="2"/>
  <c r="M63" i="2"/>
  <c r="P6" i="2"/>
  <c r="Z48" i="2"/>
  <c r="X4" i="2"/>
  <c r="U23" i="2"/>
  <c r="AH60" i="2"/>
  <c r="J62" i="2"/>
  <c r="AC76" i="2"/>
  <c r="AA23" i="2"/>
  <c r="AH70" i="2"/>
  <c r="X70" i="2"/>
  <c r="T5" i="2"/>
  <c r="X33" i="2"/>
  <c r="Z13" i="2"/>
  <c r="F66" i="2"/>
  <c r="H67" i="2"/>
  <c r="V25" i="2"/>
  <c r="K37" i="2"/>
  <c r="AD19" i="2"/>
  <c r="W80" i="2"/>
  <c r="AM42" i="2"/>
  <c r="R5" i="2"/>
  <c r="P69" i="2"/>
  <c r="AD74" i="2"/>
  <c r="W51" i="2"/>
  <c r="M55" i="2"/>
  <c r="S18" i="2"/>
  <c r="AF51" i="2"/>
  <c r="AA36" i="2"/>
  <c r="AL7" i="2"/>
  <c r="AA20" i="2"/>
  <c r="I16" i="2"/>
  <c r="I28" i="2"/>
  <c r="K46" i="2"/>
  <c r="AI9" i="2"/>
  <c r="M17" i="2"/>
  <c r="AA16" i="2"/>
  <c r="L13" i="2"/>
  <c r="Y22" i="2"/>
  <c r="U7" i="2"/>
  <c r="M54" i="2"/>
  <c r="U52" i="2"/>
  <c r="S71" i="2"/>
  <c r="I13" i="2"/>
  <c r="AE63" i="2"/>
  <c r="J17" i="2"/>
  <c r="N49" i="2"/>
  <c r="P24" i="2"/>
  <c r="U69" i="2"/>
  <c r="P13" i="2"/>
  <c r="J49" i="2"/>
  <c r="AF20" i="2"/>
  <c r="M45" i="2"/>
  <c r="T73" i="2"/>
  <c r="AM25" i="2"/>
  <c r="G36" i="2"/>
  <c r="R54" i="2"/>
  <c r="AF25" i="2"/>
  <c r="AA29" i="2"/>
  <c r="Z54" i="2"/>
  <c r="G49" i="2"/>
  <c r="K29" i="2"/>
  <c r="P50" i="2"/>
  <c r="M16" i="2"/>
  <c r="U35" i="2"/>
  <c r="AL51" i="2"/>
  <c r="AF61" i="2"/>
  <c r="AJ36" i="2"/>
  <c r="G11" i="2"/>
  <c r="W66" i="2"/>
  <c r="AK31" i="2"/>
  <c r="Y20" i="2"/>
  <c r="N24" i="2"/>
  <c r="AF22" i="2"/>
  <c r="H16" i="2"/>
  <c r="E53" i="2"/>
  <c r="G60" i="2"/>
  <c r="AL40" i="2"/>
  <c r="X13" i="2"/>
  <c r="H36" i="2"/>
  <c r="N47" i="2"/>
  <c r="M80" i="2"/>
  <c r="Z30" i="2"/>
  <c r="I50" i="2"/>
  <c r="R47" i="2"/>
  <c r="Z55" i="2"/>
  <c r="L42" i="2"/>
  <c r="AC21" i="2"/>
  <c r="AG22" i="2"/>
  <c r="E10" i="2"/>
  <c r="AL45" i="2"/>
  <c r="AD33" i="2"/>
  <c r="AJ38" i="2"/>
  <c r="AJ34" i="2"/>
  <c r="Y43" i="2"/>
  <c r="I37" i="2"/>
  <c r="W31" i="2"/>
  <c r="AB74" i="2"/>
  <c r="AB80" i="2"/>
  <c r="W70" i="2"/>
  <c r="AB29" i="2"/>
  <c r="N5" i="2"/>
  <c r="O73" i="2"/>
  <c r="R46" i="2"/>
  <c r="AK15" i="2"/>
  <c r="S16" i="2"/>
  <c r="AI75" i="2"/>
  <c r="AF10" i="2"/>
  <c r="AE24" i="2"/>
  <c r="S70" i="2"/>
  <c r="O17" i="2"/>
  <c r="X38" i="2"/>
  <c r="N4" i="2"/>
  <c r="AH54" i="2"/>
  <c r="N28" i="2"/>
  <c r="AL61" i="2"/>
  <c r="X56" i="2"/>
  <c r="T41" i="2"/>
  <c r="G61" i="2"/>
  <c r="AA62" i="2"/>
  <c r="V48" i="2"/>
  <c r="H70" i="2"/>
  <c r="J31" i="2"/>
  <c r="P67" i="2"/>
  <c r="O68" i="2"/>
  <c r="Z15" i="2"/>
  <c r="M79" i="2"/>
  <c r="AF79" i="2"/>
  <c r="AC71" i="2"/>
  <c r="AI62" i="2"/>
  <c r="T50" i="2"/>
  <c r="AC27" i="2"/>
  <c r="J54" i="2"/>
  <c r="AA42" i="2"/>
  <c r="S64" i="2"/>
  <c r="W77" i="2"/>
  <c r="AI26" i="2"/>
  <c r="AB8" i="2"/>
  <c r="AM43" i="2"/>
  <c r="AA21" i="2"/>
  <c r="AB62" i="2"/>
  <c r="AF30" i="2"/>
  <c r="E21" i="2"/>
  <c r="O7" i="2"/>
  <c r="F19" i="2"/>
  <c r="AG47" i="2"/>
  <c r="AD53" i="2"/>
  <c r="AM44" i="2"/>
  <c r="N52" i="2"/>
  <c r="N78" i="2"/>
  <c r="F80" i="2"/>
  <c r="F37" i="2"/>
  <c r="G35" i="2"/>
  <c r="F21" i="2"/>
  <c r="AH34" i="2"/>
  <c r="U44" i="2"/>
  <c r="AB68" i="2"/>
  <c r="V18" i="2"/>
  <c r="AC49" i="2"/>
  <c r="AF57" i="2"/>
  <c r="AM12" i="2"/>
  <c r="U50" i="2"/>
  <c r="R48" i="2"/>
  <c r="G22" i="2"/>
  <c r="G50" i="2"/>
  <c r="U79" i="2"/>
  <c r="V27" i="2"/>
  <c r="T4" i="2"/>
  <c r="W19" i="2"/>
  <c r="K45" i="2"/>
  <c r="AI12" i="2"/>
  <c r="I18" i="2"/>
  <c r="AG61" i="2"/>
  <c r="G75" i="2"/>
  <c r="P70" i="2"/>
  <c r="F51" i="2"/>
  <c r="L66" i="2"/>
  <c r="AD34" i="2"/>
  <c r="V51" i="2"/>
  <c r="U48" i="2"/>
  <c r="Z29" i="2"/>
  <c r="S66" i="2"/>
  <c r="N54" i="2"/>
  <c r="R18" i="2"/>
  <c r="AK29" i="2"/>
  <c r="I75" i="2"/>
  <c r="AC16" i="2"/>
  <c r="Y58" i="2"/>
  <c r="AG33" i="2"/>
  <c r="X61" i="2"/>
  <c r="O69" i="2"/>
  <c r="AF13" i="2"/>
  <c r="U54" i="2"/>
  <c r="AL18" i="2"/>
  <c r="G59" i="2"/>
  <c r="AD15" i="2"/>
  <c r="AI16" i="2"/>
  <c r="K55" i="2"/>
  <c r="H56" i="2"/>
  <c r="X7" i="2"/>
  <c r="AL38" i="2"/>
  <c r="Y48" i="2"/>
  <c r="S32" i="2"/>
  <c r="AG65" i="2"/>
  <c r="T16" i="2"/>
  <c r="AK47" i="2"/>
  <c r="AI31" i="2"/>
  <c r="E46" i="2"/>
  <c r="G66" i="2"/>
  <c r="AF65" i="2"/>
  <c r="AC79" i="2"/>
  <c r="AK53" i="2"/>
  <c r="AG72" i="2"/>
  <c r="Z51" i="2"/>
  <c r="AG73" i="2"/>
  <c r="AH55" i="2"/>
  <c r="AG43" i="2"/>
  <c r="M47" i="2"/>
  <c r="AG20" i="2"/>
  <c r="N68" i="2"/>
  <c r="N69" i="2"/>
  <c r="H58" i="2"/>
  <c r="AD50" i="2"/>
  <c r="AB64" i="2"/>
  <c r="K70" i="2"/>
  <c r="S54" i="2"/>
  <c r="V19" i="2"/>
  <c r="AB72" i="2"/>
  <c r="E22" i="2"/>
  <c r="AL14" i="2"/>
  <c r="AJ30" i="2"/>
  <c r="AJ19" i="2"/>
  <c r="AM62" i="2"/>
  <c r="Z68" i="2"/>
  <c r="AH6" i="2"/>
  <c r="AH62" i="2"/>
  <c r="AA56" i="2"/>
  <c r="AB79" i="2"/>
  <c r="I51" i="2"/>
  <c r="AC65" i="2"/>
  <c r="AC45" i="2"/>
  <c r="X64" i="2"/>
  <c r="T45" i="2"/>
  <c r="V14" i="2"/>
  <c r="AL30" i="2"/>
  <c r="M35" i="2"/>
  <c r="R44" i="2"/>
  <c r="AI7" i="2"/>
  <c r="M58" i="2"/>
  <c r="F11" i="2"/>
  <c r="T55" i="2"/>
  <c r="T14" i="2"/>
  <c r="P4" i="2"/>
  <c r="P59" i="2"/>
  <c r="AC18" i="2"/>
  <c r="T26" i="2"/>
  <c r="AL8" i="2"/>
  <c r="AD52" i="2"/>
  <c r="F71" i="2"/>
  <c r="AG70" i="2"/>
  <c r="I80" i="2"/>
  <c r="R38" i="2"/>
  <c r="AC78" i="2"/>
  <c r="G56" i="2"/>
  <c r="K76" i="2"/>
  <c r="AA46" i="2"/>
  <c r="E20" i="2"/>
  <c r="U37" i="2"/>
  <c r="M50" i="2"/>
  <c r="O35" i="2"/>
  <c r="AL56" i="2"/>
  <c r="U25" i="2"/>
  <c r="G46" i="2"/>
  <c r="R33" i="2"/>
  <c r="X20" i="2"/>
  <c r="AC64" i="2"/>
  <c r="Z10" i="2"/>
  <c r="AI17" i="2"/>
  <c r="AC22" i="2"/>
  <c r="AE72" i="2"/>
  <c r="U76" i="2"/>
  <c r="L56" i="2"/>
  <c r="O22" i="2"/>
  <c r="AL63" i="2"/>
  <c r="AM45" i="2"/>
  <c r="T53" i="2"/>
  <c r="T9" i="2"/>
  <c r="AB14" i="2"/>
  <c r="G34" i="2"/>
  <c r="J11" i="2"/>
  <c r="AI78" i="2"/>
  <c r="Y77" i="2"/>
  <c r="AC40" i="2"/>
  <c r="AI56" i="2"/>
  <c r="S27" i="2"/>
  <c r="I30" i="2"/>
  <c r="AH58" i="2"/>
  <c r="T27" i="2"/>
  <c r="K57" i="2"/>
  <c r="R36" i="2"/>
  <c r="AM27" i="2"/>
  <c r="AG23" i="2"/>
  <c r="AC56" i="2"/>
  <c r="AB10" i="2"/>
  <c r="L40" i="2"/>
  <c r="AJ51" i="2"/>
  <c r="Y11" i="2"/>
  <c r="M66" i="2"/>
  <c r="T40" i="2"/>
  <c r="X54" i="2"/>
  <c r="AG38" i="2"/>
  <c r="AB12" i="2"/>
  <c r="AH16" i="2"/>
  <c r="AB7" i="2"/>
  <c r="I29" i="2"/>
  <c r="F52" i="2"/>
  <c r="AI71" i="2"/>
  <c r="U74" i="2"/>
  <c r="K63" i="2"/>
  <c r="AA63" i="2"/>
  <c r="AL60" i="2"/>
  <c r="K71" i="2"/>
  <c r="R19" i="2"/>
  <c r="E75" i="2"/>
  <c r="AI72" i="2"/>
  <c r="Z7" i="2"/>
  <c r="U63" i="2"/>
  <c r="AB11" i="2"/>
  <c r="U75" i="2"/>
  <c r="J69" i="2"/>
  <c r="E72" i="2"/>
  <c r="X46" i="2"/>
  <c r="S59" i="2"/>
  <c r="AH31" i="2"/>
  <c r="AG41" i="2"/>
  <c r="AC73" i="2"/>
  <c r="I4" i="2"/>
  <c r="O74" i="2"/>
  <c r="AL42" i="2"/>
  <c r="I61" i="2"/>
  <c r="AK25" i="2"/>
  <c r="T62" i="2"/>
  <c r="W64" i="2"/>
  <c r="AD65" i="2"/>
  <c r="G48" i="2"/>
  <c r="AL76" i="2"/>
  <c r="AH35" i="2"/>
  <c r="J4" i="2"/>
  <c r="AJ33" i="2"/>
  <c r="P8" i="2"/>
  <c r="L38" i="2"/>
  <c r="Y24" i="2"/>
  <c r="AA18" i="2"/>
  <c r="X57" i="2"/>
  <c r="M61" i="2"/>
  <c r="AK12" i="2"/>
  <c r="AF43" i="2"/>
  <c r="G4" i="2"/>
  <c r="AM59" i="2"/>
  <c r="H38" i="2"/>
  <c r="S38" i="2"/>
  <c r="P14" i="2"/>
  <c r="AH57" i="2"/>
  <c r="J57" i="2"/>
  <c r="L62" i="2"/>
  <c r="H27" i="2"/>
  <c r="AH47" i="2"/>
  <c r="O72" i="2"/>
  <c r="Y78" i="2"/>
  <c r="AK60" i="2"/>
  <c r="E37" i="2"/>
  <c r="AL6" i="2"/>
  <c r="L76" i="2"/>
  <c r="AI28" i="2"/>
  <c r="T72" i="2"/>
  <c r="AK78" i="2"/>
  <c r="AE15" i="2"/>
  <c r="N29" i="2"/>
  <c r="AD61" i="2"/>
  <c r="P28" i="2"/>
  <c r="Y28" i="2"/>
  <c r="G19" i="2"/>
  <c r="N8" i="2"/>
  <c r="U33" i="2"/>
  <c r="AC59" i="2"/>
  <c r="K39" i="2"/>
  <c r="W44" i="2"/>
  <c r="AI57" i="2"/>
  <c r="AM28" i="2"/>
  <c r="AH10" i="2"/>
  <c r="AJ60" i="2"/>
  <c r="W50" i="2"/>
  <c r="V60" i="2"/>
  <c r="P78" i="2"/>
  <c r="AE66" i="2"/>
  <c r="AM32" i="2"/>
  <c r="S73" i="2"/>
  <c r="AG55" i="2"/>
  <c r="AF40" i="2"/>
  <c r="N30" i="2"/>
  <c r="R52" i="2"/>
  <c r="AL57" i="2"/>
  <c r="S51" i="2"/>
  <c r="L71" i="2"/>
  <c r="J66" i="2"/>
  <c r="M13" i="2"/>
  <c r="E9" i="2"/>
  <c r="M48" i="2"/>
  <c r="Z79" i="2"/>
  <c r="T68" i="2"/>
  <c r="AK58" i="2"/>
  <c r="R71" i="2"/>
  <c r="H51" i="2"/>
  <c r="G13" i="2"/>
  <c r="H21" i="2"/>
  <c r="J41" i="2"/>
  <c r="AK30" i="2"/>
  <c r="AD75" i="2"/>
  <c r="AM39" i="2"/>
  <c r="Y71" i="2"/>
  <c r="H59" i="2"/>
  <c r="AJ72" i="2"/>
  <c r="AI67" i="2"/>
  <c r="AF38" i="2"/>
  <c r="Z71" i="2"/>
  <c r="O14" i="2"/>
  <c r="L59" i="2"/>
  <c r="AE9" i="2"/>
  <c r="E27" i="2"/>
  <c r="S23" i="2"/>
  <c r="K60" i="2"/>
  <c r="T13" i="2"/>
  <c r="P58" i="2"/>
  <c r="H65" i="2"/>
  <c r="H19" i="2"/>
  <c r="L64" i="2"/>
  <c r="G43" i="2"/>
  <c r="F56" i="2"/>
  <c r="AM14" i="2"/>
  <c r="M33" i="2"/>
  <c r="AG71" i="2"/>
  <c r="AE78" i="2"/>
  <c r="I35" i="2"/>
  <c r="P26" i="2"/>
  <c r="U15" i="2"/>
  <c r="AE38" i="2"/>
  <c r="O4" i="2"/>
  <c r="W48" i="2"/>
  <c r="AJ14" i="2"/>
  <c r="N60" i="2"/>
  <c r="M39" i="2"/>
  <c r="O5" i="2"/>
  <c r="E60" i="2"/>
  <c r="J35" i="2"/>
  <c r="AD14" i="2"/>
  <c r="V4" i="2"/>
  <c r="O49" i="2"/>
  <c r="AK54" i="2"/>
  <c r="Y76" i="2"/>
  <c r="M44" i="2"/>
  <c r="AI45" i="2"/>
  <c r="X52" i="2"/>
  <c r="X21" i="2"/>
  <c r="AE50" i="2"/>
  <c r="G8" i="2"/>
  <c r="AG59" i="2"/>
  <c r="AI15" i="2"/>
  <c r="T7" i="2"/>
  <c r="AI79" i="2"/>
  <c r="AK43" i="2"/>
  <c r="T17" i="2"/>
  <c r="X11" i="2"/>
  <c r="L33" i="2"/>
  <c r="H69" i="2"/>
  <c r="H11" i="2"/>
  <c r="Z59" i="2"/>
  <c r="U22" i="2"/>
  <c r="W69" i="2"/>
  <c r="J80" i="2"/>
  <c r="AD79" i="2"/>
  <c r="T49" i="2"/>
  <c r="I44" i="2"/>
  <c r="Y31" i="2"/>
  <c r="AA41" i="2"/>
  <c r="Y13" i="2"/>
  <c r="S78" i="2"/>
  <c r="AJ10" i="2"/>
  <c r="AB27" i="2"/>
  <c r="R68" i="2"/>
  <c r="X79" i="2"/>
  <c r="AG54" i="2"/>
  <c r="AL73" i="2"/>
  <c r="AK37" i="2"/>
  <c r="I27" i="2"/>
  <c r="AE17" i="2"/>
  <c r="L19" i="2"/>
  <c r="G78" i="2"/>
  <c r="S74" i="2"/>
  <c r="AC77" i="2"/>
  <c r="AL53" i="2"/>
  <c r="Y10" i="2"/>
  <c r="V24" i="2"/>
  <c r="O48" i="2"/>
  <c r="O20" i="2"/>
  <c r="W15" i="2"/>
  <c r="K41" i="2"/>
  <c r="AF11" i="2"/>
  <c r="W71" i="2"/>
  <c r="AK75" i="2"/>
  <c r="W39" i="2"/>
  <c r="O76" i="2"/>
  <c r="N53" i="2"/>
  <c r="V33" i="2"/>
  <c r="AM75" i="2"/>
  <c r="Z80" i="2"/>
  <c r="AE65" i="2"/>
  <c r="X25" i="2"/>
  <c r="K19" i="2"/>
  <c r="I25" i="2"/>
  <c r="AJ76" i="2"/>
  <c r="L5" i="2"/>
  <c r="AC63" i="2"/>
  <c r="I12" i="2"/>
  <c r="S33" i="2"/>
  <c r="AE52" i="2"/>
  <c r="AF74" i="2"/>
  <c r="AE29" i="2"/>
  <c r="L12" i="2"/>
  <c r="Z67" i="2"/>
  <c r="X9" i="2"/>
  <c r="AA68" i="2"/>
  <c r="S13" i="2"/>
  <c r="AB75" i="2"/>
  <c r="AI54" i="2"/>
  <c r="X66" i="2"/>
  <c r="V70" i="2"/>
  <c r="I59" i="2"/>
  <c r="H40" i="2"/>
  <c r="AJ57" i="2"/>
  <c r="AG76" i="2"/>
  <c r="G12" i="2"/>
  <c r="AB41" i="2"/>
  <c r="M40" i="2"/>
  <c r="J12" i="2"/>
  <c r="AD28" i="2"/>
  <c r="M49" i="2"/>
  <c r="AG68" i="2"/>
  <c r="O60" i="2"/>
  <c r="S6" i="2"/>
  <c r="AL16" i="2"/>
  <c r="N34" i="2"/>
  <c r="AG6" i="2"/>
  <c r="R28" i="2"/>
  <c r="L72" i="2"/>
  <c r="U64" i="2"/>
  <c r="E28" i="2"/>
  <c r="N9" i="2"/>
  <c r="K51" i="2"/>
  <c r="AJ69" i="2"/>
  <c r="X31" i="2"/>
  <c r="AC13" i="2"/>
  <c r="I69" i="2"/>
  <c r="AM7" i="2"/>
  <c r="Y41" i="2"/>
  <c r="G37" i="2"/>
  <c r="N72" i="2"/>
  <c r="AB15" i="2"/>
  <c r="F67" i="2"/>
  <c r="AB78" i="2"/>
  <c r="T39" i="2"/>
  <c r="R49" i="2"/>
  <c r="H41" i="2"/>
  <c r="AF52" i="2"/>
  <c r="AF56" i="2"/>
  <c r="AK5" i="2"/>
  <c r="X40" i="2"/>
  <c r="AF35" i="2"/>
  <c r="AJ16" i="2"/>
  <c r="E24" i="2"/>
  <c r="H13" i="2"/>
  <c r="N75" i="2"/>
  <c r="P76" i="2"/>
  <c r="U24" i="2"/>
  <c r="AI43" i="2"/>
  <c r="Z70" i="2"/>
  <c r="AK23" i="2"/>
  <c r="AD66" i="2"/>
  <c r="Y12" i="2"/>
  <c r="AE47" i="2"/>
  <c r="I19" i="2"/>
  <c r="K53" i="2"/>
  <c r="V26" i="2"/>
  <c r="AH24" i="2"/>
  <c r="P23" i="2"/>
  <c r="G20" i="2"/>
  <c r="Z39" i="2"/>
  <c r="AB50" i="2"/>
  <c r="J43" i="2"/>
  <c r="V80" i="2"/>
  <c r="AM63" i="2"/>
  <c r="W68" i="2"/>
  <c r="L65" i="2"/>
  <c r="AE60" i="2"/>
  <c r="W62" i="2"/>
  <c r="R40" i="2"/>
  <c r="I9" i="2"/>
  <c r="F54" i="2"/>
  <c r="Z34" i="2"/>
  <c r="AJ42" i="2"/>
  <c r="AB4" i="2"/>
  <c r="X60" i="2"/>
  <c r="M21" i="2"/>
  <c r="I32" i="2"/>
  <c r="S37" i="2"/>
  <c r="J34" i="2"/>
  <c r="O19" i="2"/>
  <c r="Y29" i="2"/>
  <c r="I7" i="2"/>
  <c r="P75" i="2"/>
  <c r="J37" i="2"/>
  <c r="AL21" i="2"/>
  <c r="W6" i="2"/>
  <c r="AM8" i="2"/>
  <c r="U39" i="2"/>
  <c r="AE73" i="2"/>
  <c r="N46" i="2"/>
  <c r="U26" i="2"/>
  <c r="J15" i="2"/>
  <c r="I72" i="2"/>
  <c r="Y40" i="2"/>
  <c r="Z47" i="2"/>
  <c r="J44" i="2"/>
  <c r="AM17" i="2"/>
  <c r="Y15" i="2"/>
  <c r="AE11" i="2"/>
  <c r="N14" i="2"/>
  <c r="AI18" i="2"/>
  <c r="S57" i="2"/>
  <c r="P38" i="2"/>
  <c r="AD7" i="2"/>
  <c r="AI49" i="2"/>
  <c r="AJ50" i="2"/>
</calcChain>
</file>

<file path=xl/sharedStrings.xml><?xml version="1.0" encoding="utf-8"?>
<sst xmlns="http://schemas.openxmlformats.org/spreadsheetml/2006/main" count="5332" uniqueCount="1041">
  <si>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</si>
  <si>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</si>
  <si>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</si>
  <si>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</si>
  <si>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</si>
  <si>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</si>
  <si>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</si>
  <si>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</si>
  <si>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</si>
  <si>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</si>
  <si>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</si>
  <si>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</si>
  <si>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</si>
  <si>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</si>
  <si>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</si>
  <si>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</si>
  <si>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</si>
  <si>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</si>
  <si>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</si>
  <si>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</si>
  <si>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</si>
  <si>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</si>
  <si>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</si>
  <si>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</si>
  <si>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</si>
  <si>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</si>
  <si>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</si>
  <si>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</si>
  <si>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</si>
  <si>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</si>
  <si>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</si>
  <si>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</si>
  <si>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</si>
  <si>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</si>
  <si>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</si>
  <si>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</si>
  <si>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</si>
  <si>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</si>
  <si>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</si>
  <si>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</si>
  <si>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</si>
  <si>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</si>
  <si>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</si>
  <si>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</si>
  <si>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</si>
  <si>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</si>
  <si>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</si>
  <si>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</si>
  <si>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</si>
  <si>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</si>
  <si>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</si>
  <si>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</si>
  <si>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</si>
  <si>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</si>
  <si>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</si>
  <si>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</si>
  <si>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</si>
  <si>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</si>
  <si>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</si>
  <si>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</si>
  <si>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</si>
  <si>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</si>
  <si>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</si>
  <si>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</si>
  <si>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</si>
  <si>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</si>
  <si>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</si>
  <si>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</si>
  <si>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</si>
  <si>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</si>
  <si>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</si>
  <si>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</si>
  <si>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</si>
  <si>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</si>
  <si>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</si>
  <si>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</si>
  <si>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</si>
  <si>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</si>
  <si>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</si>
  <si>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</si>
  <si>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</si>
  <si>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</si>
  <si>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</si>
  <si>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</si>
  <si>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</si>
  <si>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</si>
  <si>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</si>
  <si>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</si>
  <si>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</si>
  <si>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</si>
  <si>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</si>
  <si>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</si>
  <si>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</si>
  <si>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</si>
  <si>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</si>
  <si>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</si>
  <si>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</si>
  <si>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</si>
  <si>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</si>
  <si>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</si>
  <si>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</si>
  <si>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</si>
  <si>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</si>
  <si>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</si>
  <si>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</si>
  <si>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</si>
  <si>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</si>
  <si>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</si>
  <si>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</si>
  <si>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</si>
  <si>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</si>
  <si>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</si>
  <si>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</si>
  <si>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</si>
  <si>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</si>
  <si>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</si>
  <si>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</si>
  <si>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</si>
  <si>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</si>
  <si>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</si>
  <si>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</si>
  <si>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</si>
  <si>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</si>
  <si>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</si>
  <si>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</si>
  <si>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</si>
  <si>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</si>
  <si>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</si>
  <si>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</si>
  <si>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</si>
  <si>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</si>
  <si>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</si>
  <si>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</si>
  <si>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</si>
  <si>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</si>
  <si>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</si>
  <si>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</si>
  <si>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</si>
  <si>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</si>
  <si>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</si>
  <si>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</si>
  <si>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</si>
  <si>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</si>
  <si>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</si>
  <si>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</si>
  <si>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</si>
  <si>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</si>
  <si>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</si>
  <si>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</si>
  <si>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</si>
  <si>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</si>
  <si>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</si>
  <si>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</si>
  <si>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</si>
  <si>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</si>
  <si>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</si>
  <si>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</si>
  <si>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</si>
  <si>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</si>
  <si>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</si>
  <si>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</si>
  <si>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</si>
  <si>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</si>
  <si>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</si>
  <si>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</si>
  <si>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</si>
  <si>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</si>
  <si>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</si>
  <si>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</si>
  <si>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</si>
  <si>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</si>
  <si>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</si>
  <si>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</si>
  <si>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</si>
  <si>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</si>
  <si>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</si>
  <si>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</si>
  <si>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</si>
  <si>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</si>
  <si>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</si>
  <si>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</si>
  <si>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</si>
  <si>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</si>
  <si>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</si>
  <si>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</si>
  <si>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</si>
  <si>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</si>
  <si>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</si>
  <si>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</si>
  <si>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</si>
  <si>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</si>
  <si>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</si>
  <si>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</si>
  <si>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</si>
  <si>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</si>
  <si>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</si>
  <si>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</si>
  <si>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</si>
  <si>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</si>
  <si>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</si>
  <si>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</si>
  <si>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</si>
  <si>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</si>
  <si>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</si>
  <si>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</si>
  <si>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</si>
  <si>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</si>
  <si>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</si>
  <si>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</si>
  <si>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</si>
  <si>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</si>
  <si>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</si>
  <si>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</si>
  <si>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</si>
  <si>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</si>
  <si>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</si>
  <si>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</si>
  <si>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</si>
  <si>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</si>
  <si>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</si>
  <si>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</si>
  <si>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</si>
  <si>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</si>
  <si>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</si>
  <si>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</si>
  <si>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</si>
  <si>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</si>
  <si>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</si>
  <si>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</si>
  <si>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</si>
  <si>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</si>
  <si>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</si>
  <si>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</si>
  <si>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</si>
  <si>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</si>
  <si>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</si>
  <si>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</si>
  <si>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</si>
  <si>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</si>
  <si>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</si>
  <si>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</si>
  <si>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</si>
  <si>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</si>
  <si>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</si>
  <si>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</si>
  <si>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</si>
  <si>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</si>
  <si>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</si>
  <si>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</si>
  <si>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</si>
  <si>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</si>
  <si>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</si>
  <si>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</si>
  <si>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</si>
  <si>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</si>
  <si>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</si>
  <si>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</si>
  <si>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</si>
  <si>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</si>
  <si>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</si>
  <si>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</si>
  <si>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</si>
  <si>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</si>
  <si>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</si>
  <si>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</si>
  <si>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</si>
  <si>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</si>
  <si>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</si>
  <si>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</si>
  <si>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</si>
  <si>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</si>
  <si>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</si>
  <si>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</si>
  <si>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</si>
  <si>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</si>
  <si>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</si>
  <si>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</si>
  <si>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</si>
  <si>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</si>
  <si>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</si>
  <si>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</si>
  <si>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</si>
  <si>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</si>
  <si>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</si>
  <si>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</si>
  <si>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</si>
  <si>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</si>
  <si>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</si>
  <si>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</si>
  <si>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</si>
  <si>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</si>
  <si>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</si>
  <si>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</si>
  <si>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</si>
  <si>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</si>
  <si>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</si>
  <si>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</si>
  <si>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</si>
  <si>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</si>
  <si>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</si>
  <si>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</si>
  <si>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</si>
  <si>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</si>
  <si>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</si>
  <si>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</si>
  <si>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</si>
  <si>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</si>
  <si>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</si>
  <si>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</si>
  <si>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</si>
  <si>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</si>
  <si>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</si>
  <si>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</si>
  <si>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</si>
  <si>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</si>
  <si>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</si>
  <si>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</si>
  <si>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</si>
  <si>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</si>
  <si>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</si>
  <si>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</si>
  <si>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</si>
  <si>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</si>
  <si>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</si>
  <si>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</si>
  <si>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</si>
  <si>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</si>
  <si>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</si>
  <si>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</si>
  <si>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</si>
  <si>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</si>
  <si>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</si>
  <si>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</si>
  <si>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</si>
  <si>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</si>
  <si>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</si>
  <si>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</si>
  <si>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</si>
  <si>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</si>
  <si>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</si>
  <si>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</si>
  <si>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</si>
  <si>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</si>
  <si>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</si>
  <si>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</si>
  <si>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</si>
  <si>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</si>
  <si>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</si>
  <si>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</si>
  <si>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</si>
  <si>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</si>
  <si>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</si>
  <si>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</si>
  <si>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</si>
  <si>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</si>
  <si>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</si>
  <si>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</si>
  <si>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</si>
  <si>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</si>
  <si>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</si>
  <si>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</si>
  <si>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</si>
  <si>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</si>
  <si>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</si>
  <si>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</si>
  <si>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</si>
  <si>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</si>
  <si>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</si>
  <si>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</si>
  <si>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</si>
  <si>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</si>
  <si>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</si>
  <si>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</si>
  <si>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</si>
  <si>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</si>
  <si>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</si>
  <si>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</si>
  <si>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</si>
  <si>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</si>
  <si>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</si>
  <si>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</si>
  <si>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</si>
  <si>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</si>
  <si>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</si>
  <si>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</si>
  <si>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</si>
  <si>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</si>
  <si>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</si>
  <si>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</si>
  <si>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</si>
  <si>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</si>
  <si>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</si>
  <si>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</si>
  <si>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</si>
  <si>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</si>
  <si>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</si>
  <si>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</si>
  <si>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</si>
  <si>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</si>
  <si>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</si>
  <si>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</si>
  <si>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</si>
  <si>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</si>
  <si>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</si>
  <si>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</si>
  <si>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</si>
  <si>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</si>
  <si>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</si>
  <si>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</si>
  <si>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</si>
  <si>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</si>
  <si>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</si>
  <si>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</si>
  <si>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</si>
  <si>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</si>
  <si>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</si>
  <si>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</si>
  <si>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</si>
  <si>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</si>
  <si>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</si>
  <si>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</si>
  <si>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</si>
  <si>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</si>
  <si>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</si>
  <si>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</si>
  <si>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</si>
  <si>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</si>
  <si>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</si>
  <si>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</si>
  <si>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</si>
  <si>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</si>
  <si>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</si>
  <si>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</si>
  <si>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</si>
  <si>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</si>
  <si>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</si>
  <si>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</si>
  <si>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</si>
  <si>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</si>
  <si>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</si>
  <si>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</si>
  <si>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</si>
  <si>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</si>
  <si>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</si>
  <si>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</si>
  <si>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</si>
  <si>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</si>
  <si>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</si>
  <si>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</si>
  <si>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</si>
  <si>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</si>
  <si>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</si>
  <si>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</si>
  <si>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</si>
  <si>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</si>
  <si>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</si>
  <si>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</si>
  <si>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</si>
  <si>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</si>
  <si>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</si>
  <si>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</si>
  <si>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</si>
  <si>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</si>
  <si>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</si>
  <si>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</si>
  <si>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</si>
  <si>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</si>
  <si>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</si>
  <si>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</si>
  <si>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</si>
  <si>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</si>
  <si>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</si>
  <si>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</si>
  <si>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</si>
  <si>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</si>
  <si>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</si>
  <si>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</si>
  <si>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</si>
  <si>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</si>
  <si>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</si>
  <si>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</si>
  <si>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</si>
  <si>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</si>
  <si>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</si>
  <si>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</si>
  <si>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</si>
  <si>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</si>
  <si>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</si>
  <si>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</si>
  <si>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</si>
  <si>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</si>
  <si>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</si>
  <si>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</si>
  <si>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</si>
  <si>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</si>
  <si>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</si>
  <si>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</si>
  <si>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</si>
  <si>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</si>
  <si>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</si>
  <si>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</si>
  <si>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</si>
  <si>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</si>
  <si>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</si>
  <si>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</si>
  <si>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</si>
  <si>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</si>
  <si>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</si>
  <si>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</si>
  <si>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</si>
  <si>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</si>
  <si>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</si>
  <si>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</si>
  <si>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</si>
  <si>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</si>
  <si>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</si>
  <si>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</si>
  <si>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</si>
  <si>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</si>
  <si>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</si>
  <si>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</si>
  <si>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</si>
  <si>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</si>
  <si>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</si>
  <si>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</si>
  <si>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</si>
  <si>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</si>
  <si>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</si>
  <si>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</si>
  <si>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</si>
  <si>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</si>
  <si>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</si>
  <si>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</si>
  <si>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</si>
  <si>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</si>
  <si>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</si>
  <si>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</si>
  <si>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</si>
  <si>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</si>
  <si>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</si>
  <si>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</si>
  <si>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</si>
  <si>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</si>
  <si>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</si>
  <si>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</si>
  <si>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</si>
  <si>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</si>
  <si>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</si>
  <si>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</si>
  <si>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</si>
  <si>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</si>
  <si>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</si>
  <si>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</si>
  <si>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</si>
  <si>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</si>
  <si>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</si>
  <si>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</si>
  <si>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</si>
  <si>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</si>
  <si>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</si>
  <si>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</si>
  <si>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</si>
  <si>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</si>
  <si>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</si>
  <si>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</si>
  <si>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</si>
  <si>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</si>
  <si>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</si>
  <si>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</si>
  <si>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</si>
  <si>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</si>
  <si>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</si>
  <si>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</si>
  <si>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</si>
  <si>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</si>
  <si>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</si>
  <si>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</si>
  <si>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</si>
  <si>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</si>
  <si>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</si>
  <si>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</si>
  <si>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</si>
  <si>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</si>
  <si>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</si>
  <si>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</si>
  <si>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</si>
  <si>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</si>
  <si>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</si>
  <si>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</si>
  <si>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</si>
  <si>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</si>
  <si>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</si>
  <si>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</si>
  <si>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</si>
  <si>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</si>
  <si>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</si>
  <si>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</si>
  <si>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</si>
  <si>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</si>
  <si>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</si>
  <si>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</si>
  <si>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</si>
  <si>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</si>
  <si>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</si>
  <si>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</si>
  <si>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</si>
  <si>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</si>
  <si>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</si>
  <si>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</si>
  <si>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</si>
  <si>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</si>
  <si>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</si>
  <si>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</si>
  <si>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</si>
  <si>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</si>
  <si>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</si>
  <si>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</si>
  <si>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</si>
  <si>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</si>
  <si>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</si>
  <si>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</si>
  <si>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</si>
  <si>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</si>
  <si>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</si>
  <si>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</si>
  <si>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</si>
  <si>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</si>
  <si>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</si>
  <si>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</si>
  <si>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</si>
  <si>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</si>
  <si>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</si>
  <si>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</si>
  <si>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</si>
  <si>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</si>
  <si>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</si>
  <si>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</si>
  <si>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</si>
  <si>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</si>
  <si>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</si>
  <si>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</si>
  <si>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</si>
  <si>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</si>
  <si>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</si>
  <si>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</si>
  <si>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</si>
  <si>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</si>
  <si>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</si>
  <si>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</si>
  <si>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</si>
  <si>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</si>
  <si>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</si>
  <si>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</si>
  <si>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</si>
  <si>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</si>
  <si>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</si>
  <si>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</si>
  <si>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</si>
  <si>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</si>
  <si>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</si>
  <si>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</si>
  <si>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</si>
  <si>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</si>
  <si>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</si>
  <si>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</si>
  <si>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</si>
  <si>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</si>
  <si>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</si>
  <si>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</si>
  <si>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</si>
  <si>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</si>
  <si>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</si>
  <si>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</si>
  <si>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</si>
  <si>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</si>
  <si>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</si>
  <si>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</si>
  <si>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</si>
  <si>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</si>
  <si>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</si>
  <si>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</si>
  <si>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</si>
  <si>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</si>
  <si>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</si>
  <si>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</si>
  <si>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</si>
  <si>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</si>
  <si>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</si>
  <si>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</si>
  <si>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</si>
  <si>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</si>
  <si>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</si>
  <si>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</si>
  <si>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</si>
  <si>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</si>
  <si>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</si>
  <si>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</si>
  <si>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</si>
  <si>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</si>
  <si>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</si>
  <si>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</si>
  <si>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</si>
  <si>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</si>
  <si>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</si>
  <si>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</si>
  <si>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</si>
  <si>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</si>
  <si>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</si>
  <si>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</si>
  <si>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</si>
  <si>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</si>
  <si>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</si>
  <si>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</si>
  <si>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</si>
  <si>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</si>
  <si>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</si>
  <si>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</si>
  <si>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</si>
  <si>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</si>
  <si>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</si>
  <si>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</si>
  <si>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</si>
  <si>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</si>
  <si>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</si>
  <si>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</si>
  <si>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</si>
  <si>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</si>
  <si>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</si>
  <si>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</si>
  <si>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</si>
  <si>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</si>
  <si>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</si>
  <si>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</si>
  <si>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</si>
  <si>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</si>
  <si>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</si>
  <si>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</si>
  <si>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</si>
  <si>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</si>
  <si>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</si>
  <si>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</si>
  <si>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</si>
  <si>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</si>
  <si>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</si>
  <si>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</si>
  <si>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</si>
  <si>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</si>
  <si>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</si>
  <si>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</si>
  <si>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</si>
  <si>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</si>
  <si>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</si>
  <si>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</si>
  <si>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</si>
  <si>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</si>
  <si>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</si>
  <si>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</si>
  <si>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</si>
  <si>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</si>
  <si>
    <t>6aadf328a9cbb60cee01af37</t>
  </si>
  <si>
    <t>18/09/2026 21:28:15</t>
  </si>
  <si>
    <t>18/09/2026 23:27:52</t>
  </si>
  <si>
    <t>18/09/2026</t>
  </si>
  <si>
    <t>6aadf328a9cbb60cee01af25</t>
  </si>
  <si>
    <t>18/09/2026 19:24:37</t>
  </si>
  <si>
    <t>6aadf327a9cbb60cee01af07</t>
  </si>
  <si>
    <t>18/09/2026 14:05:03</t>
  </si>
  <si>
    <t>18/09/2026 23:27:51</t>
  </si>
  <si>
    <t>6aad5f0a34389a7f1f0f9a87</t>
  </si>
  <si>
    <t>18/09/2026 10:38:21</t>
  </si>
  <si>
    <t>18/09/2026 12:55:54</t>
  </si>
  <si>
    <t>6aad5f0a34389a7f1f0f9a69</t>
  </si>
  <si>
    <t>18/09/2026 06:30:20</t>
  </si>
  <si>
    <t>6aad5f0934389a7f1f0f9a57</t>
  </si>
  <si>
    <t>18/09/2026 04:29:48</t>
  </si>
  <si>
    <t>18/09/2026 12:55:53</t>
  </si>
  <si>
    <t>6aaca6fe17abc09bd2f12b39</t>
  </si>
  <si>
    <t>17/09/2026 20:57:26</t>
  </si>
  <si>
    <t>17/09/2026 23:50:38</t>
  </si>
  <si>
    <t>17/09/2026</t>
  </si>
  <si>
    <t>6aaca6fd17abc09bd2f12b21</t>
  </si>
  <si>
    <t>17/09/2026 18:12:43</t>
  </si>
  <si>
    <t>17/09/2026 23:50:37</t>
  </si>
  <si>
    <t>6aaca6fd17abc09bd2f12b01</t>
  </si>
  <si>
    <t>17/09/2026 14:07:11</t>
  </si>
  <si>
    <t>6aac0edf5f66c2e508293386</t>
  </si>
  <si>
    <t>17/09/2026 11:19:02</t>
  </si>
  <si>
    <t>17/09/2026 13:01:35</t>
  </si>
  <si>
    <t>6aac0edf5f66c2e508293372</t>
  </si>
  <si>
    <t>17/09/2026 08:40:32</t>
  </si>
  <si>
    <t>6aac0edf5f66c2e50829335a</t>
  </si>
  <si>
    <t>17/09/2026 06:35:32</t>
  </si>
  <si>
    <t>6aac0ede5f66c2e508293348</t>
  </si>
  <si>
    <t>17/09/2026 04:36:51</t>
  </si>
  <si>
    <t>17/09/2026 13:01:34</t>
  </si>
  <si>
    <t>6ab1f4487b71afa134f4a1c6</t>
  </si>
  <si>
    <t>21/09/2026 20:58:53</t>
  </si>
  <si>
    <t>22/09/2026 00:21:44</t>
  </si>
  <si>
    <t>21/09/2026</t>
  </si>
  <si>
    <t>6ab1f4477b71afa134f4a1ac</t>
  </si>
  <si>
    <t>21/09/2026 18:24:17</t>
  </si>
  <si>
    <t>22/09/2026 00:21:43</t>
  </si>
  <si>
    <t>6ab1f4477b71afa134f4a194</t>
  </si>
  <si>
    <t>21/09/2026 13:05:58</t>
  </si>
  <si>
    <t>6ab154eb14246dbb8f7cd283</t>
  </si>
  <si>
    <t>21/09/2026 11:05:15</t>
  </si>
  <si>
    <t>21/09/2026 13:01:47</t>
  </si>
  <si>
    <t>6ab154ea14246dbb8f7cd271</t>
  </si>
  <si>
    <t>21/09/2026 08:23:09</t>
  </si>
  <si>
    <t>21/09/2026 13:01:46</t>
  </si>
  <si>
    <t>6ab154ea14246dbb8f7cd25f</t>
  </si>
  <si>
    <t>21/09/2026 06:30:20</t>
  </si>
  <si>
    <t>6ab154ea14246dbb8f7cd24d</t>
  </si>
  <si>
    <t>21/09/2026 04:31:26</t>
  </si>
  <si>
    <t>6ab3f5fe7dc9e21ef60b45dd</t>
  </si>
  <si>
    <t>23/09/2026 11:29:57</t>
  </si>
  <si>
    <t>23/09/2026 12:53:34</t>
  </si>
  <si>
    <t>23/09/2026</t>
  </si>
  <si>
    <t>6ab3f5fe7dc9e21ef60b45c9</t>
  </si>
  <si>
    <t>23/09/2026 08:35:21</t>
  </si>
  <si>
    <t>6ab3f5fe7dc9e21ef60b45b7</t>
  </si>
  <si>
    <t>23/09/2026 06:31:49</t>
  </si>
  <si>
    <t>6ab3f5fe7dc9e21ef60b45ab</t>
  </si>
  <si>
    <t>23/09/2026 04:54:28</t>
  </si>
  <si>
    <t>6ab33d982198fdc3939087f7</t>
  </si>
  <si>
    <t>22/09/2026 21:34:31</t>
  </si>
  <si>
    <t>22/09/2026 23:46:48</t>
  </si>
  <si>
    <t>22/09/2026</t>
  </si>
  <si>
    <t>6ab33d982198fdc3939087df</t>
  </si>
  <si>
    <t>22/09/2026 17:49:08</t>
  </si>
  <si>
    <t>6ab33d972198fdc3939087bb</t>
  </si>
  <si>
    <t>22/09/2026 14:20:24</t>
  </si>
  <si>
    <t>22/09/2026 23:46:47</t>
  </si>
  <si>
    <t>6ab2a66acffb29c3dcb6c7f6</t>
  </si>
  <si>
    <t>22/09/2026 11:34:38</t>
  </si>
  <si>
    <t>22/09/2026 13:01:46</t>
  </si>
  <si>
    <t>6ab2a66acffb29c3dcb6c7e2</t>
  </si>
  <si>
    <t>22/09/2026 08:54:27</t>
  </si>
  <si>
    <t>6ab2a66acffb29c3dcb6c7c4</t>
  </si>
  <si>
    <t>22/09/2026 06:14:24</t>
  </si>
  <si>
    <t>6ab2a669cffb29c3dcb6c7b2</t>
  </si>
  <si>
    <t>22/09/2026 04:29:39</t>
  </si>
  <si>
    <t>22/09/2026 13:01:45</t>
  </si>
  <si>
    <t>6ab48a81b91ebe7368fcc31b</t>
  </si>
  <si>
    <t>23/09/2026 21:13:58</t>
  </si>
  <si>
    <t>23/09/2026 23:27:13</t>
  </si>
  <si>
    <t>6ab48a81b91ebe7368fcc30f</t>
  </si>
  <si>
    <t>23/09/2026 18:18:53</t>
  </si>
  <si>
    <t>6ab48a81b91ebe7368fcc2e5</t>
  </si>
  <si>
    <t>23/09/2026 14:00:56</t>
  </si>
  <si>
    <t>6ab72b5c11cbfa0f2c786980</t>
  </si>
  <si>
    <t>25/09/2026 21:55:26</t>
  </si>
  <si>
    <t>25/09/2026 23:18:04</t>
  </si>
  <si>
    <t>25/09/2026</t>
  </si>
  <si>
    <t>6ab72b5c11cbfa0f2c786974</t>
  </si>
  <si>
    <t>25/09/2026 19:39:18</t>
  </si>
  <si>
    <t>6ab72b5c11cbfa0f2c78694a</t>
  </si>
  <si>
    <t>25/09/2026 14:09:53</t>
  </si>
  <si>
    <t>6ab69acafde5ec03d75893a4</t>
  </si>
  <si>
    <t>25/09/2026 11:32:50</t>
  </si>
  <si>
    <t>25/09/2026 13:01:14</t>
  </si>
  <si>
    <t>6ab69acafde5ec03d7589392</t>
  </si>
  <si>
    <t>25/09/2026 08:43:28</t>
  </si>
  <si>
    <t>6ab699afacf1d04b2dd91f4b</t>
  </si>
  <si>
    <t>25/09/2026 06:25:16</t>
  </si>
  <si>
    <t>25/09/2026 12:56:31</t>
  </si>
  <si>
    <t>6ab699afacf1d04b2dd91f45</t>
  </si>
  <si>
    <t>25/09/2026 04:27:10</t>
  </si>
  <si>
    <t>6ab5df3c99cfdd26d64307e6</t>
  </si>
  <si>
    <t>24/09/2026 20:37:19</t>
  </si>
  <si>
    <t>24/09/2026 23:41:00</t>
  </si>
  <si>
    <t>24/09/2026</t>
  </si>
  <si>
    <t>6ab5df3c99cfdd26d64307d4</t>
  </si>
  <si>
    <t>24/09/2026 18:45:10</t>
  </si>
  <si>
    <t>6ab5df3b99cfdd26d64307aa</t>
  </si>
  <si>
    <t>24/09/2026 13:52:48</t>
  </si>
  <si>
    <t>24/09/2026 23:40:59</t>
  </si>
  <si>
    <t>6ab5490e591c2004f134c33d</t>
  </si>
  <si>
    <t>24/09/2026 11:24:57</t>
  </si>
  <si>
    <t>24/09/2026 13:00:14</t>
  </si>
  <si>
    <t>6ab5490e591c2004f134c325</t>
  </si>
  <si>
    <t>24/09/2026 08:14:23</t>
  </si>
  <si>
    <t>6ab5490e591c2004f134c313</t>
  </si>
  <si>
    <t>24/09/2026 06:29:39</t>
  </si>
  <si>
    <t>6ab5490d591c2004f134c2fb</t>
  </si>
  <si>
    <t>24/09/2026 04:27:44</t>
  </si>
  <si>
    <t>24/09/2026 13:00:13</t>
  </si>
  <si>
    <t>6abb28971f4352de92673b0a</t>
  </si>
  <si>
    <t>28/09/2026 21:13:10</t>
  </si>
  <si>
    <t>28/09/2026 23:55:19</t>
  </si>
  <si>
    <t>28/09/2026</t>
  </si>
  <si>
    <t>6abb28971f4352de92673af2</t>
  </si>
  <si>
    <t>28/09/2026 19:09:46</t>
  </si>
  <si>
    <t>6abb28961f4352de92673ad4</t>
  </si>
  <si>
    <t>28/09/2026 14:06:02</t>
  </si>
  <si>
    <t>28/09/2026 23:55:18</t>
  </si>
  <si>
    <t>6aba9094acf1d04b2ddb06b4</t>
  </si>
  <si>
    <t>28/09/2026 11:35:46</t>
  </si>
  <si>
    <t>28/09/2026 13:06:44</t>
  </si>
  <si>
    <t>6aba9093acf1d04b2ddb069c</t>
  </si>
  <si>
    <t>28/09/2026 08:41:09</t>
  </si>
  <si>
    <t>28/09/2026 13:06:43</t>
  </si>
  <si>
    <t>6aba9093acf1d04b2ddb0684</t>
  </si>
  <si>
    <t>28/09/2026 06:28:40</t>
  </si>
  <si>
    <t>6aba9093acf1d04b2ddb0672</t>
  </si>
  <si>
    <t>28/09/2026 04:25:11</t>
  </si>
  <si>
    <t>6abc70e143ce2b65efeb7a4d</t>
  </si>
  <si>
    <t>29/09/2026 21:34:37</t>
  </si>
  <si>
    <t>29/09/2026 23:16:01</t>
  </si>
  <si>
    <t>29/09/2026</t>
  </si>
  <si>
    <t>6abc70e143ce2b65efeb7a3b</t>
  </si>
  <si>
    <t>29/09/2026 18:27:34</t>
  </si>
  <si>
    <t>6abc70e043ce2b65efeb7a17</t>
  </si>
  <si>
    <t>29/09/2026 14:05:27</t>
  </si>
  <si>
    <t>29/09/2026 23:16:00</t>
  </si>
  <si>
    <t>6abbe112d12b6fdcdf5519ef</t>
  </si>
  <si>
    <t>29/09/2026 11:07:05</t>
  </si>
  <si>
    <t>29/09/2026 13:02:26</t>
  </si>
  <si>
    <t>6abbe112d12b6fdcdf5519dd</t>
  </si>
  <si>
    <t>29/09/2026 08:38:00</t>
  </si>
  <si>
    <t>6abbe112d12b6fdcdf5519cb</t>
  </si>
  <si>
    <t>29/09/2026 06:54:58</t>
  </si>
  <si>
    <t>6abbe112d12b6fdcdf5519b3</t>
  </si>
  <si>
    <t>29/09/2026 04:28:40</t>
  </si>
  <si>
    <t>6abdc6d0a48ad3e47d9c4cd9</t>
  </si>
  <si>
    <t>30/09/2026 21:26:04</t>
  </si>
  <si>
    <t>30/09/2026 23:34:56</t>
  </si>
  <si>
    <t>30/09/2026</t>
  </si>
  <si>
    <t>6abdc6d0a48ad3e47d9c4cc7</t>
  </si>
  <si>
    <t>30/09/2026 19:03:03</t>
  </si>
  <si>
    <t>6abd806f8c70c570f30dc379</t>
  </si>
  <si>
    <t>30/09/2026 14:09:30</t>
  </si>
  <si>
    <t>30/09/2026 18:34:39</t>
  </si>
  <si>
    <t>6abd346f7f3e0285f25b9395</t>
  </si>
  <si>
    <t>30/09/2026 11:24:22</t>
  </si>
  <si>
    <t>30/09/2026 13:10:23</t>
  </si>
  <si>
    <t>6abd346f7f3e0285f25b9383</t>
  </si>
  <si>
    <t>30/09/2026 08:48:56</t>
  </si>
  <si>
    <t>6abd346f7f3e0285f25b9371</t>
  </si>
  <si>
    <t>30/09/2026 06:35:19</t>
  </si>
  <si>
    <t>6abd346e7f3e0285f25b9359</t>
  </si>
  <si>
    <t>30/09/2026 04:24:40</t>
  </si>
  <si>
    <t>30/09/2026 13:10:22</t>
  </si>
  <si>
    <t>6abf1961826700b8f0e1b938</t>
  </si>
  <si>
    <t>01/10/2026 21:46:16</t>
  </si>
  <si>
    <t>01/10/2026 23:39:29</t>
  </si>
  <si>
    <t>01/10/2026</t>
  </si>
  <si>
    <t>6abf1961826700b8f0e1b91e</t>
  </si>
  <si>
    <t>01/10/2026 19:14:04</t>
  </si>
  <si>
    <t>6abf1961826700b8f0e1b8f4</t>
  </si>
  <si>
    <t>01/10/2026 14:11:51</t>
  </si>
  <si>
    <t>6abe88111c9c14776a2d6325</t>
  </si>
  <si>
    <t>01/10/2026 11:34:12</t>
  </si>
  <si>
    <t>01/10/2026 13:19:29</t>
  </si>
  <si>
    <t>6abe88111c9c14776a2d630d</t>
  </si>
  <si>
    <t>01/10/2026 08:28:53</t>
  </si>
  <si>
    <t>6abe88111c9c14776a2d6301</t>
  </si>
  <si>
    <t>01/10/2026 06:27:15</t>
  </si>
  <si>
    <t>6abe88101c9c14776a2d62ef</t>
  </si>
  <si>
    <t>01/10/2026 04:28:16</t>
  </si>
  <si>
    <t>01/10/2026 13:19:28</t>
  </si>
  <si>
    <t>6ac45f339b7db2ba7646ac81</t>
  </si>
  <si>
    <t>05/10/2026 21:31:32</t>
  </si>
  <si>
    <t>05/10/2026 23:38:43</t>
  </si>
  <si>
    <t>05/10/2026</t>
  </si>
  <si>
    <t>6ac45f339b7db2ba7646ac63</t>
  </si>
  <si>
    <t>05/10/2026 19:04:12</t>
  </si>
  <si>
    <t>6ac45f339b7db2ba7646ac51</t>
  </si>
  <si>
    <t>05/10/2026 15:05:03</t>
  </si>
  <si>
    <t>6ac3bbfb76e463e032fa48b2</t>
  </si>
  <si>
    <t>05/10/2026 04:16:00</t>
  </si>
  <si>
    <t>05/10/2026 12:02:19</t>
  </si>
  <si>
    <t>6ac06c36486c261c1ca097ed</t>
  </si>
  <si>
    <t>02/10/2026 21:09:11</t>
  </si>
  <si>
    <t>02/10/2026 23:45:10</t>
  </si>
  <si>
    <t>02/10/2026</t>
  </si>
  <si>
    <t>6ac06c35486c261c1ca097d5</t>
  </si>
  <si>
    <t>02/10/2026 18:37:36</t>
  </si>
  <si>
    <t>02/10/2026 23:45:09</t>
  </si>
  <si>
    <t>6ac06c35486c261c1ca097b1</t>
  </si>
  <si>
    <t>02/10/2026 14:04:49</t>
  </si>
  <si>
    <t>6abfd3bebd86e569124a213c</t>
  </si>
  <si>
    <t>02/10/2026 11:16:49</t>
  </si>
  <si>
    <t>02/10/2026 12:54:38</t>
  </si>
  <si>
    <t>6abfd3bebd86e569124a2124</t>
  </si>
  <si>
    <t>02/10/2026 08:28:51</t>
  </si>
  <si>
    <t>6abfd3bebd86e569124a2110</t>
  </si>
  <si>
    <t>02/10/2026 06:30:31</t>
  </si>
  <si>
    <t>6abfd3bdbd86e569124a20f8</t>
  </si>
  <si>
    <t>02/10/2026 04:26:40</t>
  </si>
  <si>
    <t>02/10/2026 12:54:37</t>
  </si>
  <si>
    <t>6ac7bf67db68f2f72a1e620c</t>
  </si>
  <si>
    <t>08/10/2026 11:17:13</t>
  </si>
  <si>
    <t>08/10/2026 13:05:59</t>
  </si>
  <si>
    <t>08/10/2026</t>
  </si>
  <si>
    <t>6ac7bf67db68f2f72a1e61fa</t>
  </si>
  <si>
    <t>08/10/2026 08:37:24</t>
  </si>
  <si>
    <t>6ac7bf66db68f2f72a1e61e8</t>
  </si>
  <si>
    <t>08/10/2026 06:53:10</t>
  </si>
  <si>
    <t>08/10/2026 13:05:58</t>
  </si>
  <si>
    <t>6ac7bf66db68f2f72a1e61ce</t>
  </si>
  <si>
    <t>08/10/2026 04:45:06</t>
  </si>
  <si>
    <t>6ac7080e1363200b80961f73</t>
  </si>
  <si>
    <t>07/10/2026 20:41:01</t>
  </si>
  <si>
    <t>08/10/2026 00:03:42</t>
  </si>
  <si>
    <t>07/10/2026</t>
  </si>
  <si>
    <t>6ac7080e1363200b80961f5b</t>
  </si>
  <si>
    <t>07/10/2026 18:09:17</t>
  </si>
  <si>
    <t>6ac7080d1363200b80961f43</t>
  </si>
  <si>
    <t>07/10/2026 14:07:02</t>
  </si>
  <si>
    <t>08/10/2026 00:03:41</t>
  </si>
  <si>
    <t xml:space="preserve"> </t>
  </si>
  <si>
    <t>6ac66b4f5981b750ab1ef1b3</t>
  </si>
  <si>
    <t>07/10/2026 11:02:05</t>
  </si>
  <si>
    <t>07/10/2026 12:54:55</t>
  </si>
  <si>
    <t>6ac66b4f5981b750ab1ef1a1</t>
  </si>
  <si>
    <t>07/10/2026 08:25:45</t>
  </si>
  <si>
    <t>6ac66b4e5981b750ab1ef189</t>
  </si>
  <si>
    <t>07/10/2026 06:20:19</t>
  </si>
  <si>
    <t>07/10/2026 12:54:54</t>
  </si>
  <si>
    <t>6ac66b4e5981b750ab1ef175</t>
  </si>
  <si>
    <t>07/10/2026 04:23:33</t>
  </si>
  <si>
    <t>6ac5b4223cf16866fa6d76a1</t>
  </si>
  <si>
    <t>06/10/2026 22:00:41</t>
  </si>
  <si>
    <t>06/10/2026 23:53:22</t>
  </si>
  <si>
    <t>06/10/2026</t>
  </si>
  <si>
    <t>6ac5b4213cf16866fa6d7683</t>
  </si>
  <si>
    <t>06/10/2026 19:10:07</t>
  </si>
  <si>
    <t>06/10/2026 23:53:21</t>
  </si>
  <si>
    <t>6ac5b4213cf16866fa6d7665</t>
  </si>
  <si>
    <t>06/10/2026 14:01:03</t>
  </si>
  <si>
    <t>6ac51e7b682319dccbe9eec0</t>
  </si>
  <si>
    <t>06/10/2026 11:40:00</t>
  </si>
  <si>
    <t>06/10/2026 13:14:51</t>
  </si>
  <si>
    <t>6ac51e7a682319dccbe9eea8</t>
  </si>
  <si>
    <t>06/10/2026 08:29:34</t>
  </si>
  <si>
    <t>06/10/2026 13:14:50</t>
  </si>
  <si>
    <t>6ac51e7a682319dccbe9ee96</t>
  </si>
  <si>
    <t>06/10/2026 06:35:13</t>
  </si>
  <si>
    <t>6ac51e7a682319dccbe9ee7e</t>
  </si>
  <si>
    <t>06/10/2026 04:23:32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</si>
</sst>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1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303.640178472226" createdVersion="5" refreshedVersion="5" minRefreshableVersion="3" recordCount="357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10-09T00:00:00" count="63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1T00:00:00"/>
        <d v="2026-09-23T00:00:00"/>
        <d v="2026-09-22T00:00:00"/>
        <d v="2026-09-25T00:00:00"/>
        <d v="2026-09-24T00:00:00"/>
        <d v="2026-09-28T00:00:00"/>
        <d v="2026-09-29T00:00:00"/>
        <d v="2026-09-30T00:00:00"/>
        <d v="2026-10-01T00:00:00"/>
        <d v="2026-10-05T00:00:00"/>
        <d v="2026-10-02T00:00:00"/>
        <d v="2026-10-08T00:00:00"/>
        <d v="2026-10-07T00:00:00"/>
        <d v="2026-10-06T00:00:00"/>
        <d v="2026-05-03T00:00:00" u="1"/>
      </sharedItems>
    </cacheField>
    <cacheField name="Mês" numFmtId="14">
      <sharedItems count="10">
        <s v="JAN"/>
        <s v="FEV"/>
        <s v="MAR"/>
        <s v="ABR"/>
        <s v="MAI"/>
        <s v="JUN"/>
        <s v="AGO"/>
        <s v="JUL"/>
        <s v="SET"/>
        <s v="OU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3"/>
    </cacheField>
    <cacheField name="Pena após Repasse" numFmtId="0">
      <sharedItems containsMixedTypes="1" containsNumber="1" minValue="0" maxValue="62"/>
    </cacheField>
    <cacheField name="% Pena após Repasse" numFmtId="1">
      <sharedItems containsMixedTypes="1" containsNumber="1" minValue="0" maxValue="62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10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MixedTypes="1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3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Blank="1" containsMixedTypes="1" containsNumber="1" containsInteger="1" minValue="0" maxValue="7"/>
    </cacheField>
    <cacheField name="% Contaminação Após Extratora" numFmtId="2">
      <sharedItems containsMixedTypes="1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0" maxValue="27"/>
    </cacheField>
    <cacheField name="% Carcaças com Pacotes Mal Extraídos" numFmtId="2">
      <sharedItems containsSemiMixedTypes="0" containsString="0" containsNumber="1" minValue="0" maxValue="17.84"/>
    </cacheField>
    <cacheField name="Perda de pacotes na evisceradora" numFmtId="2">
      <sharedItems containsBlank="1" containsMixedTypes="1" containsNumber="1" containsInteger="1" minValue="0" maxValue="10"/>
    </cacheField>
    <cacheField name="% Perda de pacotes na evisceradora " numFmtId="2">
      <sharedItems containsBlank="1" containsMixedTypes="1" containsNumber="1" minValue="0" maxValue="7.6923076923076925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33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08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7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  <r>
    <x v="46"/>
    <x v="8"/>
    <s v="6aadf328a9cbb60cee01af37"/>
    <s v="18/09/2026 21:28:15"/>
    <s v="18/09/2026 23:27:52"/>
    <s v="Henrique"/>
    <s v="18/09/2026"/>
    <s v="Guapiaçu"/>
    <s v="2 ° Turno"/>
    <n v="146"/>
    <n v="2666"/>
    <s v="JOBILIANA APARECIDA MAXIMO BERGAMINI"/>
    <n v="20"/>
    <n v="20"/>
    <n v="0"/>
    <n v="0"/>
    <n v="0"/>
    <n v="0"/>
    <n v="1"/>
    <n v="1"/>
    <n v="0"/>
    <n v="0"/>
    <n v="0"/>
    <n v="0"/>
    <n v="6"/>
    <n v="2.054794520547945"/>
    <n v="5"/>
    <n v="3.4246575342465753"/>
    <n v="0"/>
    <n v="0"/>
    <n v="0"/>
    <n v="0"/>
    <n v="2"/>
    <n v="1.3698630136986301"/>
    <s v=""/>
    <n v="0"/>
    <n v="0"/>
    <n v="0"/>
    <n v="0"/>
    <s v=""/>
    <n v="6"/>
    <n v="4.10958904109589"/>
    <n v="5"/>
    <n v="3.4246575342465753"/>
    <n v="7"/>
    <n v="4.7945205479452051"/>
    <n v="0"/>
    <n v="0"/>
    <s v=""/>
    <n v="15"/>
    <n v="0"/>
    <n v="0"/>
    <n v="30"/>
    <n v="0"/>
    <n v="0"/>
    <n v="0"/>
    <n v="0"/>
    <n v="20"/>
    <n v="11"/>
    <n v="0"/>
    <n v="0"/>
    <s v=""/>
    <n v="33"/>
    <n v="0"/>
    <n v="0"/>
    <s v="assinatura"/>
    <n v="1042"/>
  </r>
  <r>
    <x v="46"/>
    <x v="8"/>
    <s v="6aadf328a9cbb60cee01af25"/>
    <s v="18/09/2026 19:24:37"/>
    <s v="18/09/2026 23:27:52"/>
    <s v="Henrique"/>
    <s v="18/09/2026"/>
    <s v="Guapiaçu"/>
    <s v="2 ° Turno"/>
    <n v="161"/>
    <n v="2700"/>
    <s v="JOBILIANA APARECIDA MAXIMO BERGAMINI"/>
    <n v="22"/>
    <n v="22"/>
    <n v="62"/>
    <n v="62"/>
    <n v="1"/>
    <n v="10"/>
    <n v="1"/>
    <n v="1"/>
    <n v="0"/>
    <n v="0"/>
    <n v="0"/>
    <n v="0"/>
    <n v="7"/>
    <n v="2.1739130434782608"/>
    <n v="15"/>
    <n v="9.316770186335404"/>
    <n v="0"/>
    <n v="0"/>
    <n v="1"/>
    <n v="0.6211180124223602"/>
    <n v="2"/>
    <n v="1.2422360248447204"/>
    <s v=""/>
    <n v="0"/>
    <n v="0"/>
    <n v="0"/>
    <n v="0"/>
    <s v=""/>
    <n v="11"/>
    <n v="6.8322981366459627"/>
    <n v="0"/>
    <n v="0"/>
    <n v="4"/>
    <n v="2.4844720496894408"/>
    <n v="0"/>
    <n v="0"/>
    <s v=""/>
    <n v="15"/>
    <n v="0"/>
    <n v="0"/>
    <n v="30"/>
    <n v="0"/>
    <n v="0"/>
    <n v="0"/>
    <n v="0"/>
    <n v="27"/>
    <n v="18"/>
    <n v="0"/>
    <n v="0"/>
    <s v=""/>
    <n v="10"/>
    <n v="0"/>
    <n v="0"/>
    <s v="assinatura"/>
    <n v="7185"/>
  </r>
  <r>
    <x v="46"/>
    <x v="8"/>
    <s v="6aadf327a9cbb60cee01af07"/>
    <s v="18/09/2026 14:05:03"/>
    <s v="18/09/2026 23:27:51"/>
    <s v="Henrique"/>
    <s v="18/09/2026"/>
    <s v="Guapiaçu"/>
    <s v="2 ° Turno"/>
    <n v="130"/>
    <n v="2871"/>
    <s v="JOBILIANA APARECIDA MAXIMO BERGAMINI"/>
    <n v="20"/>
    <n v="20"/>
    <n v="6"/>
    <n v="6"/>
    <n v="0"/>
    <n v="0"/>
    <n v="2"/>
    <n v="2"/>
    <n v="1"/>
    <n v="1"/>
    <n v="0"/>
    <n v="0"/>
    <s v=""/>
    <s v=""/>
    <n v="5"/>
    <n v="3.8461538461538463"/>
    <n v="0"/>
    <n v="0"/>
    <n v="1"/>
    <n v="0.76923076923076927"/>
    <n v="3"/>
    <n v="2.3076923076923079"/>
    <s v=""/>
    <n v="2"/>
    <n v="1.5384615384615385"/>
    <n v="0"/>
    <n v="0"/>
    <s v=""/>
    <n v="0"/>
    <n v="0"/>
    <n v="3"/>
    <n v="2.3076923076923079"/>
    <n v="4"/>
    <n v="3.0769230769230771"/>
    <n v="0"/>
    <n v="0"/>
    <s v=""/>
    <n v="16"/>
    <n v="0"/>
    <n v="0"/>
    <n v="32"/>
    <n v="0"/>
    <n v="0"/>
    <n v="0"/>
    <n v="0"/>
    <n v="23"/>
    <n v="11"/>
    <n v="0"/>
    <n v="0"/>
    <s v=""/>
    <n v="4"/>
    <n v="0"/>
    <n v="0"/>
    <s v="assinatura"/>
    <n v="11176"/>
  </r>
  <r>
    <x v="46"/>
    <x v="8"/>
    <s v="6aad5f0a34389a7f1f0f9a87"/>
    <s v="18/09/2026 10:38:21"/>
    <s v="18/09/2026 12:55:54"/>
    <s v="Henrique"/>
    <s v="18/09/2026"/>
    <s v="Guapiaçu"/>
    <s v="1 ° Turno"/>
    <n v="160"/>
    <n v="2934"/>
    <s v="EDMAR FELIPE MARTINS"/>
    <n v="31"/>
    <n v="31"/>
    <n v="10"/>
    <n v="10"/>
    <n v="0"/>
    <n v="0"/>
    <n v="2"/>
    <n v="2"/>
    <n v="1"/>
    <n v="1"/>
    <n v="0"/>
    <n v="0"/>
    <n v="7"/>
    <n v="2.1875"/>
    <n v="8"/>
    <n v="5"/>
    <n v="1"/>
    <n v="0.625"/>
    <n v="2"/>
    <n v="1.25"/>
    <n v="6"/>
    <n v="3.75"/>
    <s v=""/>
    <n v="4"/>
    <n v="2.5"/>
    <n v="3"/>
    <n v="1.875"/>
    <s v=""/>
    <n v="12"/>
    <n v="7.5"/>
    <n v="6"/>
    <n v="3.75"/>
    <n v="9"/>
    <n v="5.625"/>
    <n v="2"/>
    <n v="1.25"/>
    <s v=""/>
    <n v="17"/>
    <n v="1"/>
    <n v="1"/>
    <n v="34"/>
    <n v="2"/>
    <n v="2"/>
    <n v="2"/>
    <n v="1.25"/>
    <n v="26"/>
    <n v="21"/>
    <n v="1"/>
    <n v="10"/>
    <s v=""/>
    <n v="0"/>
    <n v="0"/>
    <n v="1"/>
    <s v="assinatura"/>
    <n v="3325"/>
  </r>
  <r>
    <x v="46"/>
    <x v="8"/>
    <s v="6aad5f0a34389a7f1f0f9a69"/>
    <s v="18/09/2026 06:30:20"/>
    <s v="18/09/2026 12:55:54"/>
    <s v="Henrique"/>
    <s v="18/09/2026"/>
    <s v="Guapiaçu"/>
    <s v="1 ° Turno"/>
    <n v="140"/>
    <n v="2919"/>
    <s v="EDMAR FELIPE MARTINS"/>
    <n v="44"/>
    <n v="44"/>
    <n v="20"/>
    <n v="20"/>
    <n v="0"/>
    <n v="0"/>
    <n v="1"/>
    <n v="1"/>
    <n v="1"/>
    <n v="1"/>
    <n v="0"/>
    <n v="0"/>
    <n v="3"/>
    <n v="1.0714285714285714"/>
    <n v="17"/>
    <n v="12.142857142857142"/>
    <n v="0"/>
    <n v="0"/>
    <n v="3"/>
    <n v="2.1428571428571428"/>
    <n v="7"/>
    <n v="5"/>
    <s v=""/>
    <n v="4"/>
    <n v="2.8571428571428572"/>
    <n v="2"/>
    <n v="1.4285714285714286"/>
    <s v=""/>
    <n v="5"/>
    <n v="3.5714285714285712"/>
    <n v="8"/>
    <n v="5.7142857142857144"/>
    <n v="9"/>
    <n v="6.4285714285714279"/>
    <n v="2"/>
    <n v="1.4285714285714286"/>
    <s v=""/>
    <n v="13"/>
    <n v="0"/>
    <n v="0"/>
    <n v="26"/>
    <n v="0"/>
    <n v="0"/>
    <n v="0"/>
    <n v="0"/>
    <n v="24"/>
    <n v="15"/>
    <n v="1"/>
    <n v="10"/>
    <s v=""/>
    <s v=""/>
    <s v=""/>
    <s v=""/>
    <s v="assinatura"/>
    <n v="3935"/>
  </r>
  <r>
    <x v="46"/>
    <x v="8"/>
    <s v="6aad5f0934389a7f1f0f9a57"/>
    <s v="18/09/2026 04:29:48"/>
    <s v="18/09/2026 12:55:53"/>
    <s v="Henrique"/>
    <s v="18/09/2026"/>
    <s v="Guapiaçu"/>
    <s v="1 ° Turno"/>
    <n v="150"/>
    <n v="2732"/>
    <s v="EDMAR FELIPE MARTINS"/>
    <n v="31"/>
    <n v="31"/>
    <n v="10"/>
    <n v="10"/>
    <n v="0"/>
    <n v="0"/>
    <n v="2"/>
    <n v="2"/>
    <n v="1"/>
    <n v="1"/>
    <n v="0"/>
    <n v="0"/>
    <n v="4"/>
    <n v="1.3333333333333335"/>
    <n v="8"/>
    <n v="5.3333333333333339"/>
    <n v="0"/>
    <n v="0"/>
    <n v="3"/>
    <n v="2"/>
    <n v="7"/>
    <n v="4.666666666666667"/>
    <s v=""/>
    <n v="3"/>
    <n v="2"/>
    <n v="2"/>
    <n v="1.3333333333333335"/>
    <s v=""/>
    <n v="8"/>
    <n v="5.3333333333333339"/>
    <n v="2"/>
    <n v="1.3333333333333335"/>
    <n v="6"/>
    <n v="4"/>
    <n v="1"/>
    <n v="0.66666666666666674"/>
    <s v=""/>
    <n v="19"/>
    <n v="0"/>
    <n v="0"/>
    <n v="38"/>
    <n v="0"/>
    <n v="0"/>
    <n v="2"/>
    <n v="1.3333333333333335"/>
    <n v="23"/>
    <n v="19"/>
    <n v="0"/>
    <n v="0"/>
    <s v=""/>
    <s v=""/>
    <s v=""/>
    <s v=""/>
    <s v="assinatura"/>
    <n v="1866"/>
  </r>
  <r>
    <x v="47"/>
    <x v="8"/>
    <s v="6aaca6fe17abc09bd2f12b39"/>
    <s v="17/09/2026 20:57:26"/>
    <s v="17/09/2026 23:50:38"/>
    <s v="Henrique"/>
    <s v="17/09/2026"/>
    <s v="Guapiaçu"/>
    <s v="2 ° Turno"/>
    <n v="161"/>
    <n v="2611"/>
    <s v="JOBILIANA APARECIDA MAXIMO BERGAMINI"/>
    <n v="20"/>
    <n v="20"/>
    <n v="6"/>
    <n v="6"/>
    <n v="0"/>
    <n v="0"/>
    <n v="1"/>
    <n v="1"/>
    <n v="0"/>
    <n v="0"/>
    <n v="0"/>
    <n v="0"/>
    <n v="7"/>
    <n v="2.1739130434782608"/>
    <n v="5"/>
    <n v="3.1055900621118013"/>
    <n v="0"/>
    <n v="0"/>
    <n v="0"/>
    <n v="0"/>
    <n v="2"/>
    <n v="1.2422360248447204"/>
    <s v=""/>
    <n v="0"/>
    <n v="0"/>
    <n v="0"/>
    <n v="0"/>
    <s v=""/>
    <n v="8"/>
    <n v="4.9689440993788816"/>
    <n v="5"/>
    <n v="3.1055900621118013"/>
    <n v="6"/>
    <n v="3.7267080745341614"/>
    <n v="0"/>
    <n v="0"/>
    <s v=""/>
    <n v="10"/>
    <n v="0"/>
    <n v="0"/>
    <n v="20"/>
    <n v="0"/>
    <n v="0"/>
    <n v="0"/>
    <n v="0"/>
    <n v="25"/>
    <n v="13"/>
    <n v="0"/>
    <n v="0"/>
    <s v=""/>
    <n v="0"/>
    <n v="0"/>
    <n v="0"/>
    <s v="assinatura"/>
    <n v="2163"/>
  </r>
  <r>
    <x v="47"/>
    <x v="8"/>
    <s v="6aaca6fd17abc09bd2f12b21"/>
    <s v="17/09/2026 18:12:43"/>
    <s v="17/09/2026 23:50:37"/>
    <s v="Henrique"/>
    <s v="17/09/2026"/>
    <s v="Guapiaçu"/>
    <s v="2 ° Turno"/>
    <n v="152"/>
    <n v="2295"/>
    <s v="JOBILIANA APARECIDA MAXIMO BERGAMINI"/>
    <n v="33"/>
    <n v="33"/>
    <n v="20"/>
    <n v="20"/>
    <n v="1"/>
    <n v="10"/>
    <n v="3"/>
    <n v="3"/>
    <n v="2"/>
    <n v="2"/>
    <n v="0"/>
    <n v="0"/>
    <n v="4"/>
    <n v="1.3157894736842104"/>
    <n v="18"/>
    <n v="11.842105263157894"/>
    <n v="0"/>
    <n v="0"/>
    <n v="0"/>
    <n v="0"/>
    <n v="2"/>
    <n v="1.3157894736842104"/>
    <s v=""/>
    <n v="0"/>
    <n v="0"/>
    <n v="0"/>
    <n v="0"/>
    <s v=""/>
    <n v="4"/>
    <n v="2.6315789473684208"/>
    <n v="3"/>
    <n v="1.9736842105263157"/>
    <n v="5"/>
    <n v="3.2894736842105261"/>
    <n v="0"/>
    <n v="0"/>
    <s v=""/>
    <n v="12"/>
    <n v="3"/>
    <n v="2"/>
    <n v="24"/>
    <n v="6"/>
    <n v="4"/>
    <n v="0"/>
    <n v="0"/>
    <n v="22"/>
    <n v="10"/>
    <n v="0"/>
    <n v="0"/>
    <s v=""/>
    <n v="0"/>
    <n v="0"/>
    <n v="0"/>
    <s v="assinatura"/>
    <n v="9874"/>
  </r>
  <r>
    <x v="47"/>
    <x v="8"/>
    <s v="6aaca6fd17abc09bd2f12b01"/>
    <s v="17/09/2026 14:07:11"/>
    <s v="17/09/2026 23:50:37"/>
    <s v="Henrique"/>
    <s v="17/09/2026"/>
    <s v="Guapiaçu"/>
    <s v="2 ° Turno"/>
    <n v="130"/>
    <n v="2573"/>
    <s v="JOBILIANA APARECIDA MAXIMO BERGAMINI"/>
    <n v="19"/>
    <n v="19"/>
    <n v="6"/>
    <n v="6"/>
    <n v="3"/>
    <n v="30"/>
    <n v="1"/>
    <n v="1"/>
    <n v="2"/>
    <n v="2"/>
    <n v="0"/>
    <n v="0"/>
    <n v="3"/>
    <n v="1.153846153846154"/>
    <n v="8"/>
    <n v="6.1538461538461542"/>
    <n v="0"/>
    <n v="0"/>
    <n v="3"/>
    <n v="2.3076923076923079"/>
    <n v="2"/>
    <n v="1.5384615384615385"/>
    <s v=""/>
    <n v="1"/>
    <n v="0.76923076923076927"/>
    <n v="0"/>
    <n v="0"/>
    <s v=""/>
    <n v="5"/>
    <n v="3.8461538461538463"/>
    <n v="3"/>
    <n v="2.3076923076923079"/>
    <n v="3"/>
    <n v="2.3076923076923079"/>
    <n v="1"/>
    <n v="0.76923076923076927"/>
    <s v=""/>
    <n v="10"/>
    <n v="0"/>
    <n v="0"/>
    <n v="20"/>
    <n v="0"/>
    <n v="0"/>
    <n v="0"/>
    <n v="0"/>
    <n v="15"/>
    <n v="18"/>
    <n v="0"/>
    <n v="0"/>
    <s v=""/>
    <n v="2"/>
    <n v="0"/>
    <n v="0"/>
    <s v="assinatura"/>
    <n v="9794"/>
  </r>
  <r>
    <x v="47"/>
    <x v="8"/>
    <s v="6aac0edf5f66c2e508293386"/>
    <s v="17/09/2026 11:19:02"/>
    <s v="17/09/2026 13:01:35"/>
    <s v="Henrique"/>
    <s v="17/09/2026"/>
    <s v="Guapiaçu"/>
    <s v="1 ° Turno"/>
    <n v="160"/>
    <n v="2694"/>
    <s v="EDMAR FELIPE MARTINS"/>
    <n v="33"/>
    <n v="33"/>
    <n v="13"/>
    <n v="13"/>
    <n v="0"/>
    <n v="0"/>
    <n v="1"/>
    <n v="1"/>
    <n v="1"/>
    <n v="1"/>
    <n v="0"/>
    <n v="0"/>
    <n v="7"/>
    <n v="2.1875"/>
    <n v="7"/>
    <n v="4.375"/>
    <n v="0"/>
    <n v="0"/>
    <n v="2"/>
    <n v="1.25"/>
    <n v="6"/>
    <n v="3.75"/>
    <s v=""/>
    <n v="4"/>
    <n v="2.5"/>
    <n v="3"/>
    <n v="1.875"/>
    <s v=""/>
    <n v="7"/>
    <n v="4.375"/>
    <n v="4"/>
    <n v="2.5"/>
    <n v="6"/>
    <n v="3.75"/>
    <n v="1"/>
    <n v="0.625"/>
    <s v=""/>
    <n v="16"/>
    <n v="0"/>
    <n v="0"/>
    <n v="32"/>
    <n v="0"/>
    <n v="0"/>
    <n v="0"/>
    <n v="0"/>
    <n v="28"/>
    <n v="10"/>
    <n v="1"/>
    <n v="10"/>
    <s v=""/>
    <s v=""/>
    <s v=""/>
    <s v=""/>
    <s v="assinatura"/>
    <n v="2244"/>
  </r>
  <r>
    <x v="47"/>
    <x v="8"/>
    <s v="6aac0edf5f66c2e508293372"/>
    <s v="17/09/2026 08:40:32"/>
    <s v="17/09/2026 13:01:35"/>
    <s v="Henrique"/>
    <s v="17/09/2026"/>
    <s v="Guapiaçu"/>
    <s v="1 ° Turno"/>
    <n v="130"/>
    <n v="2872"/>
    <s v="EDMAR FELIPE MARTINS"/>
    <n v="39"/>
    <n v="39"/>
    <n v="15"/>
    <n v="15"/>
    <n v="0"/>
    <n v="0"/>
    <n v="1"/>
    <n v="1"/>
    <n v="2"/>
    <n v="2"/>
    <n v="0"/>
    <n v="0"/>
    <n v="2"/>
    <n v="0.76923076923076927"/>
    <n v="7"/>
    <n v="5.384615384615385"/>
    <n v="0"/>
    <n v="0"/>
    <n v="2"/>
    <n v="1.5384615384615385"/>
    <n v="5"/>
    <n v="3.8461538461538463"/>
    <s v=""/>
    <n v="6"/>
    <n v="4.6153846153846159"/>
    <n v="2"/>
    <n v="1.5384615384615385"/>
    <s v=""/>
    <n v="8"/>
    <n v="6.1538461538461542"/>
    <n v="7"/>
    <n v="5.384615384615385"/>
    <n v="5"/>
    <n v="3.8461538461538463"/>
    <n v="1"/>
    <n v="0.76923076923076927"/>
    <s v=""/>
    <n v="19"/>
    <n v="0"/>
    <n v="0"/>
    <n v="38"/>
    <n v="0"/>
    <n v="0"/>
    <n v="0"/>
    <n v="0"/>
    <n v="22"/>
    <n v="15"/>
    <n v="1"/>
    <n v="10"/>
    <s v=""/>
    <s v=""/>
    <s v=""/>
    <s v=""/>
    <s v=""/>
    <n v="2004"/>
  </r>
  <r>
    <x v="47"/>
    <x v="8"/>
    <s v="6aac0edf5f66c2e50829335a"/>
    <s v="17/09/2026 06:35:32"/>
    <s v="17/09/2026 13:01:35"/>
    <s v="Henrique"/>
    <s v="17/09/2026"/>
    <s v="Guapiaçu"/>
    <s v="1 ° Turno"/>
    <n v="151"/>
    <n v="2774"/>
    <s v="EDMAR FELIPE MARTINS"/>
    <n v="53"/>
    <n v="53"/>
    <n v="21"/>
    <n v="21"/>
    <n v="0"/>
    <n v="0"/>
    <n v="1"/>
    <n v="1"/>
    <n v="1"/>
    <n v="1"/>
    <n v="0"/>
    <n v="0"/>
    <n v="5"/>
    <n v="1.6556291390728477"/>
    <n v="8"/>
    <n v="5.298013245033113"/>
    <n v="0"/>
    <n v="0"/>
    <n v="2"/>
    <n v="1.3245033112582782"/>
    <n v="7"/>
    <n v="4.6357615894039732"/>
    <s v=""/>
    <n v="4"/>
    <n v="2.6490066225165565"/>
    <n v="2"/>
    <n v="1.3245033112582782"/>
    <s v=""/>
    <n v="9"/>
    <n v="5.9602649006622519"/>
    <n v="4"/>
    <n v="2.6490066225165565"/>
    <n v="7"/>
    <n v="4.6357615894039732"/>
    <n v="1"/>
    <n v="0.66225165562913912"/>
    <s v=""/>
    <n v="17"/>
    <n v="0"/>
    <n v="0"/>
    <n v="34"/>
    <n v="0"/>
    <n v="0"/>
    <n v="0"/>
    <n v="0"/>
    <n v="27"/>
    <n v="13"/>
    <n v="1"/>
    <n v="10"/>
    <s v=""/>
    <n v="1"/>
    <n v="0"/>
    <n v="1"/>
    <s v="assinatura"/>
    <n v="3513"/>
  </r>
  <r>
    <x v="47"/>
    <x v="8"/>
    <s v="6aac0ede5f66c2e508293348"/>
    <s v="17/09/2026 04:36:51"/>
    <s v="17/09/2026 13:01:34"/>
    <s v="Henrique"/>
    <s v="17/09/2026"/>
    <s v="Guapiaçu"/>
    <s v="1 ° Turno"/>
    <n v="146"/>
    <n v="2800"/>
    <s v="EDMAR FELIPE MARTINS"/>
    <n v="25"/>
    <n v="25"/>
    <n v="11"/>
    <n v="11"/>
    <n v="0"/>
    <n v="0"/>
    <n v="1"/>
    <n v="1"/>
    <n v="1"/>
    <n v="1"/>
    <n v="0"/>
    <n v="0"/>
    <n v="6"/>
    <n v="2.054794520547945"/>
    <n v="3"/>
    <n v="2.054794520547945"/>
    <n v="0"/>
    <n v="0"/>
    <n v="2"/>
    <n v="1.3698630136986301"/>
    <n v="5"/>
    <n v="3.4246575342465753"/>
    <s v=""/>
    <n v="3"/>
    <n v="2.054794520547945"/>
    <n v="2"/>
    <n v="1.3698630136986301"/>
    <s v=""/>
    <n v="5"/>
    <n v="3.4246575342465753"/>
    <n v="2"/>
    <n v="1.3698630136986301"/>
    <n v="6"/>
    <n v="4.10958904109589"/>
    <n v="1"/>
    <n v="0.68493150684931503"/>
    <s v=""/>
    <n v="16"/>
    <n v="0"/>
    <n v="0"/>
    <n v="32"/>
    <n v="0"/>
    <n v="0"/>
    <n v="0"/>
    <n v="0"/>
    <n v="25"/>
    <n v="18"/>
    <n v="2"/>
    <n v="20"/>
    <s v=""/>
    <s v=""/>
    <s v=""/>
    <s v=""/>
    <s v="assinatura"/>
    <n v="1856"/>
  </r>
  <r>
    <x v="48"/>
    <x v="8"/>
    <s v="6ab1f4487b71afa134f4a1c6"/>
    <s v="21/09/2026 20:58:53"/>
    <s v="22/09/2026 00:21:44"/>
    <s v="Henrique"/>
    <s v="21/09/2026"/>
    <s v="Guapiaçu"/>
    <s v="2 ° Turno"/>
    <n v="151"/>
    <n v="2686"/>
    <s v="JOBILIANA APARECIDA MAXIMO BERGAMINI"/>
    <n v="20"/>
    <n v="20"/>
    <n v="5"/>
    <n v="5"/>
    <n v="0"/>
    <n v="0"/>
    <n v="1"/>
    <n v="1"/>
    <n v="0"/>
    <n v="0"/>
    <n v="0"/>
    <n v="0"/>
    <n v="10"/>
    <n v="3.311258278145695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5"/>
    <n v="3.3112582781456954"/>
    <n v="6"/>
    <n v="3.9735099337748347"/>
    <n v="0"/>
    <n v="0"/>
    <s v=""/>
    <n v="10"/>
    <n v="0"/>
    <n v="0"/>
    <n v="20"/>
    <n v="0"/>
    <n v="0"/>
    <n v="0"/>
    <n v="0"/>
    <n v="20"/>
    <n v="18"/>
    <n v="0"/>
    <n v="0"/>
    <s v=""/>
    <n v="9"/>
    <n v="0"/>
    <n v="0"/>
    <s v="assinatura"/>
    <n v="310"/>
  </r>
  <r>
    <x v="48"/>
    <x v="8"/>
    <s v="6ab1f4477b71afa134f4a1ac"/>
    <s v="21/09/2026 18:24:17"/>
    <s v="22/09/2026 00:21:43"/>
    <s v="Henrique"/>
    <s v="21/09/2026"/>
    <s v="Guapiaçu"/>
    <s v="2 ° Turno"/>
    <n v="114"/>
    <n v="2767"/>
    <s v="JOBILIANA APARECIDA MAXIMO BERGAMINI"/>
    <n v="19"/>
    <n v="19"/>
    <n v="12"/>
    <n v="12"/>
    <n v="0"/>
    <n v="0"/>
    <n v="2"/>
    <n v="2"/>
    <n v="1"/>
    <n v="1"/>
    <n v="4"/>
    <n v="20"/>
    <n v="5"/>
    <n v="2.1929824561403506"/>
    <n v="6"/>
    <n v="5.2631578947368416"/>
    <n v="0"/>
    <n v="0"/>
    <n v="2"/>
    <n v="1.7543859649122806"/>
    <n v="2"/>
    <n v="1.7543859649122806"/>
    <s v=""/>
    <n v="0"/>
    <n v="0"/>
    <n v="0"/>
    <n v="0"/>
    <s v=""/>
    <n v="11"/>
    <n v="9.6491228070175428"/>
    <n v="7"/>
    <n v="6.140350877192982"/>
    <n v="6"/>
    <n v="5.2631578947368416"/>
    <n v="0"/>
    <n v="0"/>
    <s v=""/>
    <n v="20"/>
    <n v="0"/>
    <n v="1"/>
    <n v="40"/>
    <n v="0"/>
    <n v="2"/>
    <n v="0"/>
    <n v="0"/>
    <n v="19"/>
    <n v="18"/>
    <n v="0"/>
    <n v="0"/>
    <s v=""/>
    <n v="10"/>
    <n v="0"/>
    <n v="0"/>
    <s v="assinatura"/>
    <n v="9225"/>
  </r>
  <r>
    <x v="48"/>
    <x v="8"/>
    <s v="6ab1f4477b71afa134f4a194"/>
    <s v="21/09/2026 13:05:58"/>
    <s v="22/09/2026 00:21:43"/>
    <s v="Henrique"/>
    <s v="21/09/2026"/>
    <s v="Guapiaçu"/>
    <s v="2 ° Turno"/>
    <n v="130"/>
    <n v="2813"/>
    <s v="JOBILIANA APARECIDA MAXIMO BERGAMINI"/>
    <n v="23"/>
    <n v="23"/>
    <n v="6"/>
    <n v="6"/>
    <n v="0"/>
    <n v="0"/>
    <n v="2"/>
    <n v="2"/>
    <n v="0"/>
    <n v="0"/>
    <n v="0"/>
    <n v="0"/>
    <n v="4"/>
    <n v="1.5384615384615385"/>
    <n v="6"/>
    <n v="4.6153846153846159"/>
    <n v="0"/>
    <n v="0"/>
    <n v="0"/>
    <n v="0"/>
    <n v="2"/>
    <n v="1.5384615384615385"/>
    <s v=""/>
    <n v="0"/>
    <n v="0"/>
    <n v="0"/>
    <n v="0"/>
    <s v=""/>
    <n v="5"/>
    <n v="3.8461538461538463"/>
    <n v="10"/>
    <n v="7.6923076923076925"/>
    <n v="4"/>
    <n v="3.0769230769230771"/>
    <n v="0"/>
    <n v="0"/>
    <s v=""/>
    <n v="18"/>
    <n v="0"/>
    <n v="0"/>
    <n v="36"/>
    <n v="0"/>
    <n v="0"/>
    <n v="1"/>
    <n v="0.76923076923076927"/>
    <n v="18"/>
    <n v="14"/>
    <n v="0"/>
    <n v="0"/>
    <s v=""/>
    <s v=""/>
    <s v=""/>
    <s v=""/>
    <s v="assinatura"/>
    <n v="13150"/>
  </r>
  <r>
    <x v="48"/>
    <x v="8"/>
    <s v="6ab154eb14246dbb8f7cd283"/>
    <s v="21/09/2026 11:05:15"/>
    <s v="21/09/2026 13:01:47"/>
    <s v="Henrique"/>
    <s v="21/09/2026"/>
    <s v="Guapiaçu"/>
    <s v="1 ° Turno"/>
    <n v="161"/>
    <n v="2846"/>
    <s v="EDMAR FELIPE MARTINS"/>
    <n v="35"/>
    <n v="35"/>
    <n v="14"/>
    <n v="14.000000000000002"/>
    <n v="0"/>
    <n v="0"/>
    <n v="4"/>
    <n v="4"/>
    <n v="1"/>
    <n v="1"/>
    <n v="0"/>
    <n v="0"/>
    <n v="1"/>
    <n v="0.3105590062111801"/>
    <n v="3"/>
    <n v="1.8633540372670807"/>
    <n v="0"/>
    <n v="0"/>
    <n v="3"/>
    <n v="1.8633540372670807"/>
    <n v="7"/>
    <n v="4.3478260869565215"/>
    <s v=""/>
    <n v="3"/>
    <n v="1.8633540372670807"/>
    <n v="3"/>
    <n v="1.8633540372670807"/>
    <s v=""/>
    <n v="6"/>
    <n v="3.7267080745341614"/>
    <n v="5"/>
    <n v="3.1055900621118013"/>
    <n v="6"/>
    <n v="3.7267080745341614"/>
    <n v="1"/>
    <n v="0.6211180124223602"/>
    <s v=""/>
    <n v="20"/>
    <n v="0"/>
    <n v="0"/>
    <n v="40"/>
    <n v="0"/>
    <n v="0"/>
    <n v="1"/>
    <n v="0.6211180124223602"/>
    <n v="27"/>
    <n v="15"/>
    <n v="1"/>
    <n v="10"/>
    <s v=""/>
    <s v=""/>
    <s v=""/>
    <s v=""/>
    <s v="assinatura"/>
    <n v="2650"/>
  </r>
  <r>
    <x v="48"/>
    <x v="8"/>
    <s v="6ab154ea14246dbb8f7cd271"/>
    <s v="21/09/2026 08:23:09"/>
    <s v="21/09/2026 13:01:46"/>
    <s v="Henrique"/>
    <s v="21/09/2026"/>
    <s v="Guapiaçu"/>
    <s v="1 ° Turno"/>
    <n v="150"/>
    <n v="2910"/>
    <s v="EDMAR FELIPE MARTINS"/>
    <n v="25"/>
    <n v="25"/>
    <n v="6"/>
    <n v="6"/>
    <n v="0"/>
    <n v="0"/>
    <n v="2"/>
    <n v="2"/>
    <n v="0"/>
    <n v="0"/>
    <n v="0"/>
    <n v="0"/>
    <n v="1"/>
    <n v="0.33333333333333337"/>
    <n v="3"/>
    <n v="2"/>
    <n v="0"/>
    <n v="0"/>
    <n v="0"/>
    <n v="0"/>
    <n v="6"/>
    <n v="4"/>
    <s v=""/>
    <n v="3"/>
    <n v="2"/>
    <n v="2"/>
    <n v="1.3333333333333335"/>
    <s v=""/>
    <n v="5"/>
    <n v="3.3333333333333335"/>
    <n v="2"/>
    <n v="1.3333333333333335"/>
    <n v="6"/>
    <n v="4"/>
    <n v="1"/>
    <n v="0.66666666666666674"/>
    <s v=""/>
    <n v="17"/>
    <n v="0"/>
    <n v="0"/>
    <n v="34"/>
    <n v="0"/>
    <n v="0"/>
    <n v="0"/>
    <n v="0"/>
    <n v="21"/>
    <n v="11"/>
    <n v="1"/>
    <n v="10"/>
    <s v=""/>
    <s v=""/>
    <s v=""/>
    <s v=""/>
    <s v=""/>
    <n v="1667"/>
  </r>
  <r>
    <x v="48"/>
    <x v="8"/>
    <s v="6ab154ea14246dbb8f7cd25f"/>
    <s v="21/09/2026 06:30:20"/>
    <s v="21/09/2026 13:01:46"/>
    <s v="Henrique"/>
    <s v="21/09/2026"/>
    <s v="Guapiaçu"/>
    <s v="1 ° Turno"/>
    <n v="156"/>
    <n v="2960"/>
    <s v="EDMAR FELIPE MARTINS"/>
    <n v="29"/>
    <n v="28.999999999999996"/>
    <n v="13"/>
    <n v="13"/>
    <n v="0"/>
    <n v="0"/>
    <n v="3"/>
    <n v="3"/>
    <n v="1"/>
    <n v="1"/>
    <n v="0"/>
    <n v="0"/>
    <n v="1"/>
    <n v="0.32051282051282048"/>
    <n v="2"/>
    <n v="1.2820512820512819"/>
    <n v="0"/>
    <n v="0"/>
    <n v="1"/>
    <n v="0.64102564102564097"/>
    <n v="9"/>
    <n v="5.7692307692307692"/>
    <s v=""/>
    <n v="3"/>
    <n v="1.9230769230769231"/>
    <n v="2"/>
    <n v="1.2820512820512819"/>
    <s v=""/>
    <n v="6"/>
    <n v="3.8461538461538463"/>
    <n v="8"/>
    <n v="5.1282051282051277"/>
    <n v="7"/>
    <n v="4.4871794871794872"/>
    <n v="1"/>
    <n v="0.64102564102564097"/>
    <s v=""/>
    <n v="19"/>
    <n v="0"/>
    <n v="0"/>
    <n v="38"/>
    <n v="0"/>
    <n v="0"/>
    <n v="0"/>
    <n v="0"/>
    <n v="20"/>
    <n v="9"/>
    <n v="1"/>
    <n v="10"/>
    <s v=""/>
    <s v=""/>
    <s v=""/>
    <s v=""/>
    <s v="assinatura"/>
    <n v="1497"/>
  </r>
  <r>
    <x v="48"/>
    <x v="8"/>
    <s v="6ab154ea14246dbb8f7cd24d"/>
    <s v="21/09/2026 04:31:26"/>
    <s v="21/09/2026 13:01:46"/>
    <s v="Henrique"/>
    <s v="21/09/2026"/>
    <s v="Guapiaçu"/>
    <s v="1 ° Turno"/>
    <n v="156"/>
    <n v="2910"/>
    <s v="EDMAR FELIPE MARTINS"/>
    <n v="22"/>
    <n v="22"/>
    <n v="8"/>
    <n v="8"/>
    <s v=""/>
    <s v=""/>
    <n v="2"/>
    <n v="2"/>
    <n v="1"/>
    <n v="1"/>
    <n v="0"/>
    <n v="0"/>
    <n v="3"/>
    <n v="0.96153846153846156"/>
    <n v="3"/>
    <n v="1.9230769230769231"/>
    <n v="0"/>
    <n v="0"/>
    <n v="1"/>
    <n v="0.64102564102564097"/>
    <n v="6"/>
    <n v="3.8461538461538463"/>
    <s v=""/>
    <n v="3"/>
    <n v="1.9230769230769231"/>
    <n v="1"/>
    <n v="0.64102564102564097"/>
    <s v=""/>
    <n v="5"/>
    <n v="3.2051282051282048"/>
    <n v="4"/>
    <n v="2.5641025641025639"/>
    <n v="6"/>
    <n v="3.8461538461538463"/>
    <n v="1"/>
    <n v="0.64102564102564097"/>
    <s v=""/>
    <n v="16"/>
    <n v="1"/>
    <n v="1"/>
    <n v="32"/>
    <n v="2"/>
    <n v="2"/>
    <n v="0"/>
    <n v="0"/>
    <n v="21"/>
    <n v="9"/>
    <n v="0"/>
    <n v="0"/>
    <s v=""/>
    <s v=""/>
    <s v=""/>
    <s v=""/>
    <s v="assinatura"/>
    <n v="2582"/>
  </r>
  <r>
    <x v="49"/>
    <x v="8"/>
    <s v="6ab3f5fe7dc9e21ef60b45dd"/>
    <s v="23/09/2026 11:29:57"/>
    <s v="23/09/2026 12:53:34"/>
    <s v="Henrique"/>
    <s v="23/09/2026"/>
    <s v="Guapiaçu"/>
    <s v="1 ° Turno"/>
    <n v="100"/>
    <n v="2765"/>
    <s v="EDMAR FELIPE MARTINS"/>
    <n v="51"/>
    <n v="51"/>
    <n v="14"/>
    <n v="14.000000000000002"/>
    <n v="0"/>
    <n v="0"/>
    <n v="3"/>
    <n v="3"/>
    <n v="1"/>
    <n v="1"/>
    <n v="6"/>
    <n v="30"/>
    <n v="2"/>
    <n v="1"/>
    <n v="3"/>
    <n v="3"/>
    <n v="0"/>
    <n v="0"/>
    <n v="2"/>
    <n v="2"/>
    <n v="4"/>
    <n v="4"/>
    <s v=""/>
    <n v="2"/>
    <n v="2"/>
    <n v="2"/>
    <n v="2"/>
    <s v=""/>
    <n v="4"/>
    <n v="4"/>
    <n v="3"/>
    <n v="3"/>
    <n v="6"/>
    <n v="6"/>
    <n v="3"/>
    <n v="3"/>
    <s v=""/>
    <n v="21"/>
    <n v="0"/>
    <n v="0"/>
    <n v="42"/>
    <n v="0"/>
    <n v="0"/>
    <n v="0"/>
    <n v="0"/>
    <n v="23"/>
    <n v="20"/>
    <n v="1"/>
    <n v="10"/>
    <s v=""/>
    <n v="0"/>
    <n v="0"/>
    <n v="1"/>
    <s v="assinatura"/>
    <n v="1699"/>
  </r>
  <r>
    <x v="49"/>
    <x v="8"/>
    <s v="6ab3f5fe7dc9e21ef60b45c9"/>
    <s v="23/09/2026 08:35:21"/>
    <s v="23/09/2026 12:53:34"/>
    <s v="Henrique"/>
    <s v="23/09/2026"/>
    <s v="Guapiaçu"/>
    <s v="1 ° Turno"/>
    <n v="135"/>
    <n v="2765"/>
    <s v="EDMAR FELIPE MARTINS"/>
    <n v="40"/>
    <n v="40"/>
    <n v="15"/>
    <n v="15"/>
    <n v="0"/>
    <n v="0"/>
    <n v="4"/>
    <n v="4"/>
    <n v="1"/>
    <n v="1"/>
    <n v="3"/>
    <n v="15"/>
    <n v="1"/>
    <n v="0.37037037037037041"/>
    <n v="3"/>
    <n v="2.2222222222222223"/>
    <n v="0"/>
    <n v="0"/>
    <n v="2"/>
    <n v="1.4814814814814816"/>
    <n v="6"/>
    <n v="4.4444444444444446"/>
    <s v=""/>
    <n v="3"/>
    <n v="2.2222222222222223"/>
    <n v="2"/>
    <n v="1.4814814814814816"/>
    <s v=""/>
    <n v="5"/>
    <n v="3.7037037037037033"/>
    <n v="2"/>
    <n v="1.4814814814814816"/>
    <n v="9"/>
    <n v="6.666666666666667"/>
    <n v="2"/>
    <n v="1.4814814814814816"/>
    <s v=""/>
    <n v="15"/>
    <n v="0"/>
    <n v="0"/>
    <n v="30"/>
    <n v="0"/>
    <n v="0"/>
    <n v="0"/>
    <n v="0"/>
    <n v="19"/>
    <n v="17"/>
    <n v="1"/>
    <n v="10"/>
    <s v=""/>
    <n v="2"/>
    <n v="0"/>
    <n v="1"/>
    <s v="assinatura"/>
    <n v="2096"/>
  </r>
  <r>
    <x v="49"/>
    <x v="8"/>
    <s v="6ab3f5fe7dc9e21ef60b45b7"/>
    <s v="23/09/2026 06:31:49"/>
    <s v="23/09/2026 12:53:34"/>
    <s v="Henrique"/>
    <s v="23/09/2026"/>
    <s v="Guapiaçu"/>
    <s v="1 ° Turno"/>
    <n v="110"/>
    <n v="2732"/>
    <s v="EDMAR FELIPE MARTINS"/>
    <n v="25"/>
    <n v="25"/>
    <n v="8"/>
    <n v="8"/>
    <n v="0"/>
    <n v="0"/>
    <n v="4"/>
    <n v="4"/>
    <n v="1"/>
    <n v="1"/>
    <n v="0"/>
    <n v="0"/>
    <n v="1"/>
    <n v="0.45454545454545453"/>
    <n v="8"/>
    <n v="7.2727272727272725"/>
    <n v="0"/>
    <n v="0"/>
    <n v="1"/>
    <n v="0.90909090909090906"/>
    <n v="6"/>
    <n v="5.4545454545454541"/>
    <s v=""/>
    <n v="3"/>
    <n v="2.7272727272727271"/>
    <n v="2"/>
    <n v="1.8181818181818181"/>
    <s v=""/>
    <n v="10"/>
    <n v="9.0909090909090917"/>
    <n v="2"/>
    <n v="1.8181818181818181"/>
    <n v="9"/>
    <n v="8.1818181818181817"/>
    <n v="2"/>
    <n v="1.8181818181818181"/>
    <s v=""/>
    <n v="13"/>
    <n v="0"/>
    <n v="0"/>
    <n v="26"/>
    <n v="0"/>
    <n v="0"/>
    <n v="0"/>
    <n v="0"/>
    <n v="25"/>
    <n v="19"/>
    <n v="1"/>
    <n v="10"/>
    <s v=""/>
    <s v=""/>
    <s v=""/>
    <s v=""/>
    <s v="assinatura"/>
    <n v="1705"/>
  </r>
  <r>
    <x v="49"/>
    <x v="8"/>
    <s v="6ab3f5fe7dc9e21ef60b45ab"/>
    <s v="23/09/2026 04:54:28"/>
    <s v="23/09/2026 12:53:34"/>
    <s v="Henrique"/>
    <s v="23/09/2026"/>
    <s v="Guapiaçu"/>
    <s v="1 ° Turno"/>
    <n v="125"/>
    <n v="2762"/>
    <s v="EDMAR FELIPE MARTINS"/>
    <n v="33"/>
    <n v="33"/>
    <n v="12"/>
    <n v="12"/>
    <n v="0"/>
    <n v="0"/>
    <n v="1"/>
    <n v="1"/>
    <n v="1"/>
    <n v="1"/>
    <n v="2"/>
    <n v="10"/>
    <n v="1"/>
    <n v="0.4"/>
    <n v="8"/>
    <n v="6.4"/>
    <n v="0"/>
    <n v="0"/>
    <n v="2"/>
    <n v="1.6"/>
    <n v="6"/>
    <n v="4.8"/>
    <s v=""/>
    <n v="3"/>
    <n v="2.4"/>
    <n v="2"/>
    <n v="1.6"/>
    <s v=""/>
    <n v="9"/>
    <n v="7.1999999999999993"/>
    <n v="4"/>
    <n v="3.2"/>
    <n v="7"/>
    <n v="5.6000000000000005"/>
    <n v="2"/>
    <n v="1.6"/>
    <s v=""/>
    <n v="15"/>
    <n v="0"/>
    <n v="0"/>
    <n v="30"/>
    <n v="0"/>
    <n v="0"/>
    <n v="0"/>
    <n v="0"/>
    <n v="26"/>
    <n v="23"/>
    <n v="1"/>
    <n v="10"/>
    <s v=""/>
    <s v=""/>
    <s v=""/>
    <s v=""/>
    <s v="assinatura"/>
    <n v="1695"/>
  </r>
  <r>
    <x v="50"/>
    <x v="8"/>
    <s v="6ab33d982198fdc3939087f7"/>
    <s v="22/09/2026 21:34:31"/>
    <s v="22/09/2026 23:46:48"/>
    <s v="Henrique"/>
    <s v="22/09/2026"/>
    <s v="Guapiaçu"/>
    <s v="2 ° Turno"/>
    <n v="151"/>
    <n v="2762"/>
    <s v="JOBILIANA APARECIDA MAXIMO BERGAMINI"/>
    <n v="20"/>
    <n v="20"/>
    <n v="5"/>
    <n v="5"/>
    <n v="0"/>
    <n v="0"/>
    <n v="1"/>
    <n v="1"/>
    <n v="1"/>
    <n v="1"/>
    <n v="0"/>
    <n v="0"/>
    <n v="6"/>
    <n v="1.986754966887417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4"/>
    <n v="2.6490066225165565"/>
    <n v="7"/>
    <n v="4.6357615894039732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274"/>
  </r>
  <r>
    <x v="50"/>
    <x v="8"/>
    <s v="6ab33d982198fdc3939087df"/>
    <s v="22/09/2026 17:49:08"/>
    <s v="22/09/2026 23:46:48"/>
    <s v="Henrique"/>
    <s v="22/09/2026"/>
    <s v="Guapiaçu"/>
    <s v="2 ° Turno"/>
    <n v="151"/>
    <n v="2758"/>
    <s v="JOBILIANA APARECIDA MAXIMO BERGAMINI"/>
    <n v="25"/>
    <n v="25"/>
    <n v="9"/>
    <n v="9"/>
    <n v="0"/>
    <n v="0"/>
    <n v="1"/>
    <n v="1"/>
    <n v="0"/>
    <n v="0"/>
    <n v="0"/>
    <n v="0"/>
    <n v="5"/>
    <n v="1.6556291390728477"/>
    <n v="19"/>
    <n v="12.582781456953644"/>
    <n v="0"/>
    <n v="0"/>
    <n v="1"/>
    <n v="0.66225165562913912"/>
    <n v="4"/>
    <n v="2.6490066225165565"/>
    <s v=""/>
    <n v="0"/>
    <n v="0"/>
    <n v="0"/>
    <n v="0"/>
    <s v=""/>
    <n v="6"/>
    <n v="3.9735099337748347"/>
    <n v="4"/>
    <n v="2.6490066225165565"/>
    <n v="9"/>
    <n v="5.9602649006622519"/>
    <n v="0"/>
    <n v="0"/>
    <s v=""/>
    <n v="19"/>
    <n v="0"/>
    <n v="0"/>
    <n v="38"/>
    <n v="0"/>
    <n v="0"/>
    <n v="3"/>
    <n v="1.9867549668874174"/>
    <n v="25"/>
    <n v="13"/>
    <n v="0"/>
    <n v="0"/>
    <s v=""/>
    <n v="1"/>
    <n v="0"/>
    <n v="0"/>
    <s v="assinatura"/>
    <n v="13832"/>
  </r>
  <r>
    <x v="50"/>
    <x v="8"/>
    <s v="6ab33d972198fdc3939087bb"/>
    <s v="22/09/2026 14:20:24"/>
    <s v="22/09/2026 23:46:47"/>
    <s v="Henrique"/>
    <s v="22/09/2026"/>
    <s v="Guapiaçu"/>
    <s v="2 ° Turno"/>
    <n v="151"/>
    <n v="2758"/>
    <s v="JOBILIANA APARECIDA MAXIMO BERGAMINI"/>
    <n v="21"/>
    <n v="21"/>
    <n v="4"/>
    <n v="4"/>
    <n v="1"/>
    <n v="10"/>
    <n v="1"/>
    <n v="1"/>
    <n v="0"/>
    <n v="0"/>
    <n v="0"/>
    <n v="0"/>
    <n v="3"/>
    <n v="0.99337748344370869"/>
    <n v="6"/>
    <n v="3.9735099337748347"/>
    <n v="0"/>
    <n v="0"/>
    <n v="2"/>
    <n v="1.3245033112582782"/>
    <n v="3"/>
    <n v="1.9867549668874174"/>
    <s v=""/>
    <n v="1"/>
    <n v="0.66225165562913912"/>
    <n v="0"/>
    <n v="0"/>
    <s v=""/>
    <n v="7"/>
    <n v="4.6357615894039732"/>
    <s v=""/>
    <s v=""/>
    <n v="5"/>
    <n v="3.3112582781456954"/>
    <n v="0"/>
    <n v="0"/>
    <s v=""/>
    <n v="16"/>
    <n v="2"/>
    <n v="2"/>
    <n v="32"/>
    <n v="4"/>
    <n v="4"/>
    <n v="1"/>
    <n v="0.66225165562913912"/>
    <n v="20"/>
    <n v="17"/>
    <n v="0"/>
    <n v="0"/>
    <s v=""/>
    <n v="0"/>
    <n v="0"/>
    <n v="0"/>
    <s v="assinatura"/>
    <n v="9164"/>
  </r>
  <r>
    <x v="50"/>
    <x v="8"/>
    <s v="6ab2a66acffb29c3dcb6c7f6"/>
    <s v="22/09/2026 11:34:38"/>
    <s v="22/09/2026 13:01:46"/>
    <s v="Henrique"/>
    <s v="22/09/2026"/>
    <s v="Guapiaçu"/>
    <s v="1 ° Turno"/>
    <n v="151"/>
    <n v="285"/>
    <s v="EDMAR FELIPE MARTINS"/>
    <n v="35"/>
    <n v="35"/>
    <n v="9"/>
    <n v="9"/>
    <n v="0"/>
    <n v="0"/>
    <n v="3"/>
    <n v="3"/>
    <n v="1"/>
    <n v="1"/>
    <n v="0"/>
    <n v="0"/>
    <n v="1"/>
    <n v="0.33112582781456956"/>
    <n v="8"/>
    <n v="5.298013245033113"/>
    <n v="0"/>
    <n v="0"/>
    <n v="2"/>
    <n v="1.3245033112582782"/>
    <n v="7"/>
    <n v="4.6357615894039732"/>
    <s v=""/>
    <n v="5"/>
    <n v="3.3112582781456954"/>
    <n v="2"/>
    <n v="1.3245033112582782"/>
    <s v=""/>
    <n v="9"/>
    <n v="5.9602649006622519"/>
    <n v="4"/>
    <n v="2.6490066225165565"/>
    <n v="7"/>
    <n v="4.6357615894039732"/>
    <n v="2"/>
    <n v="1.3245033112582782"/>
    <s v=""/>
    <n v="19"/>
    <n v="0"/>
    <n v="0"/>
    <n v="38"/>
    <n v="0"/>
    <n v="0"/>
    <n v="0"/>
    <n v="0"/>
    <n v="21"/>
    <n v="16"/>
    <n v="0"/>
    <n v="0"/>
    <s v=""/>
    <n v="0"/>
    <n v="0"/>
    <n v="1"/>
    <s v=""/>
    <n v="1400"/>
  </r>
  <r>
    <x v="50"/>
    <x v="8"/>
    <s v="6ab2a66acffb29c3dcb6c7e2"/>
    <s v="22/09/2026 08:54:27"/>
    <s v="22/09/2026 13:01:46"/>
    <s v="Henrique"/>
    <s v="22/09/2026"/>
    <s v="Guapiaçu"/>
    <s v="1 ° Turno"/>
    <n v="151"/>
    <n v="2856"/>
    <s v="EDMAR FELIPE MARTINS"/>
    <n v="39"/>
    <n v="39"/>
    <n v="25"/>
    <n v="25"/>
    <n v="0"/>
    <n v="0"/>
    <n v="2"/>
    <n v="2"/>
    <n v="1"/>
    <n v="1"/>
    <n v="0"/>
    <n v="0"/>
    <n v="1"/>
    <n v="0.33112582781456956"/>
    <n v="10"/>
    <n v="6.6225165562913908"/>
    <n v="0"/>
    <n v="0"/>
    <n v="2"/>
    <n v="1.3245033112582782"/>
    <n v="8"/>
    <n v="5.298013245033113"/>
    <s v=""/>
    <n v="2"/>
    <n v="1.3245033112582782"/>
    <n v="2"/>
    <n v="1.3245033112582782"/>
    <s v=""/>
    <n v="10"/>
    <n v="6.6225165562913908"/>
    <n v="6"/>
    <n v="3.9735099337748347"/>
    <n v="9"/>
    <n v="5.9602649006622519"/>
    <n v="2"/>
    <n v="1.3245033112582782"/>
    <s v=""/>
    <n v="15"/>
    <n v="0"/>
    <n v="0"/>
    <n v="30"/>
    <n v="0"/>
    <n v="0"/>
    <n v="1"/>
    <n v="0.66225165562913912"/>
    <n v="26"/>
    <n v="21"/>
    <n v="1"/>
    <n v="10"/>
    <s v=""/>
    <s v=""/>
    <s v=""/>
    <s v=""/>
    <s v="assinatura"/>
    <n v="2114"/>
  </r>
  <r>
    <x v="50"/>
    <x v="8"/>
    <s v="6ab2a66acffb29c3dcb6c7c4"/>
    <s v="22/09/2026 06:14:24"/>
    <s v="22/09/2026 13:01:46"/>
    <s v="Henrique"/>
    <s v="22/09/2026"/>
    <s v="Guapiaçu"/>
    <s v="1 ° Turno"/>
    <n v="146"/>
    <n v="2842"/>
    <s v="EDMAR FELIPE MARTINS"/>
    <n v="29"/>
    <n v="28.999999999999996"/>
    <n v="7"/>
    <n v="7.0000000000000009"/>
    <n v="0"/>
    <n v="0"/>
    <n v="5"/>
    <n v="5"/>
    <n v="1"/>
    <n v="1"/>
    <n v="0"/>
    <n v="0"/>
    <n v="3"/>
    <n v="1.0273972602739725"/>
    <n v="5"/>
    <n v="3.4246575342465753"/>
    <n v="0"/>
    <n v="0"/>
    <n v="4"/>
    <n v="2.7397260273972601"/>
    <n v="9"/>
    <n v="6.1643835616438354"/>
    <s v=""/>
    <n v="3"/>
    <n v="2.054794520547945"/>
    <n v="3"/>
    <n v="2.054794520547945"/>
    <s v=""/>
    <n v="8"/>
    <n v="5.4794520547945202"/>
    <n v="2"/>
    <n v="1.3698630136986301"/>
    <n v="9"/>
    <n v="6.1643835616438354"/>
    <n v="2"/>
    <n v="1.3698630136986301"/>
    <s v=""/>
    <n v="18"/>
    <n v="0"/>
    <n v="0"/>
    <n v="36"/>
    <n v="0"/>
    <n v="0"/>
    <n v="2"/>
    <n v="1.3698630136986301"/>
    <n v="25"/>
    <n v="21"/>
    <n v="1"/>
    <n v="10"/>
    <s v=""/>
    <n v="1"/>
    <n v="0"/>
    <n v="1"/>
    <s v="assinatura"/>
    <n v="3241"/>
  </r>
  <r>
    <x v="50"/>
    <x v="8"/>
    <s v="6ab2a669cffb29c3dcb6c7b2"/>
    <s v="22/09/2026 04:29:39"/>
    <s v="22/09/2026 13:01:45"/>
    <s v="Henrique"/>
    <s v="22/09/2026"/>
    <s v="Guapiaçu"/>
    <s v="1 ° Turno"/>
    <n v="130"/>
    <n v="2918"/>
    <s v="EDMAR FELIPE MARTINS"/>
    <n v="30"/>
    <n v="30"/>
    <n v="9"/>
    <n v="9"/>
    <n v="0"/>
    <n v="0"/>
    <n v="2"/>
    <n v="2"/>
    <n v="1"/>
    <n v="1"/>
    <n v="0"/>
    <n v="0"/>
    <n v="8"/>
    <n v="3.0769230769230771"/>
    <n v="12"/>
    <n v="9.2307692307692317"/>
    <n v="0"/>
    <n v="0"/>
    <n v="2"/>
    <n v="1.5384615384615385"/>
    <n v="7"/>
    <n v="5.384615384615385"/>
    <s v=""/>
    <n v="3"/>
    <n v="2.3076923076923079"/>
    <n v="3"/>
    <n v="2.3076923076923079"/>
    <s v=""/>
    <n v="5"/>
    <n v="3.8461538461538463"/>
    <n v="2"/>
    <n v="1.5384615384615385"/>
    <n v="13"/>
    <n v="10"/>
    <n v="3"/>
    <n v="2.3076923076923079"/>
    <s v=""/>
    <n v="20"/>
    <n v="1"/>
    <n v="1"/>
    <n v="40"/>
    <n v="2"/>
    <n v="2"/>
    <n v="1"/>
    <n v="0.76923076923076927"/>
    <n v="23"/>
    <n v="19"/>
    <n v="0"/>
    <n v="0"/>
    <s v=""/>
    <s v=""/>
    <s v=""/>
    <s v=""/>
    <s v="assinatura"/>
    <n v="2959"/>
  </r>
  <r>
    <x v="49"/>
    <x v="8"/>
    <s v="6ab48a81b91ebe7368fcc31b"/>
    <s v="23/09/2026 21:13:58"/>
    <s v="23/09/2026 23:27:13"/>
    <s v="Henrique"/>
    <s v="23/09/2026"/>
    <s v="Guapiaçu"/>
    <s v="2 ° Turno"/>
    <n v="141"/>
    <n v="2731"/>
    <s v="JOBILIANA APARECIDA MAXIMO BERGAMINI"/>
    <n v="20"/>
    <n v="20"/>
    <n v="4"/>
    <n v="4"/>
    <n v="0"/>
    <n v="0"/>
    <n v="1"/>
    <n v="1"/>
    <n v="0"/>
    <n v="0"/>
    <n v="0"/>
    <n v="0"/>
    <n v="2"/>
    <n v="0.70921985815602839"/>
    <n v="4"/>
    <n v="2.8368794326241136"/>
    <n v="0"/>
    <n v="0"/>
    <n v="1"/>
    <n v="0.70921985815602839"/>
    <n v="3"/>
    <n v="2.1276595744680851"/>
    <s v=""/>
    <n v="0"/>
    <n v="0"/>
    <n v="0"/>
    <n v="0"/>
    <s v=""/>
    <n v="4"/>
    <n v="2.8368794326241136"/>
    <n v="3"/>
    <n v="2.1276595744680851"/>
    <n v="6"/>
    <n v="4.2553191489361701"/>
    <n v="0"/>
    <n v="0"/>
    <s v=""/>
    <n v="19"/>
    <n v="0"/>
    <n v="0"/>
    <n v="38"/>
    <n v="0"/>
    <n v="0"/>
    <n v="0"/>
    <n v="0"/>
    <n v="20"/>
    <n v="17"/>
    <n v="0"/>
    <n v="0"/>
    <s v=""/>
    <n v="0"/>
    <n v="0"/>
    <n v="0"/>
    <s v="assinatura"/>
    <n v="227"/>
  </r>
  <r>
    <x v="49"/>
    <x v="8"/>
    <s v="6ab48a81b91ebe7368fcc30f"/>
    <s v="23/09/2026 18:18:53"/>
    <s v="23/09/2026 23:27:13"/>
    <s v="Henrique"/>
    <s v="23/09/2026"/>
    <s v="Guapiaçu"/>
    <s v="2 ° Turno"/>
    <n v="145"/>
    <n v="2820"/>
    <s v="JOBILIANA APARECIDA MAXIMO BERGAMINI"/>
    <n v="21"/>
    <n v="21"/>
    <n v="10"/>
    <n v="10"/>
    <n v="0"/>
    <n v="0"/>
    <n v="0"/>
    <n v="0"/>
    <n v="0"/>
    <n v="0"/>
    <n v="0"/>
    <n v="0"/>
    <n v="6"/>
    <n v="2.0689655172413794"/>
    <n v="8"/>
    <n v="5.5172413793103452"/>
    <n v="0"/>
    <n v="0"/>
    <n v="3"/>
    <n v="2.0689655172413794"/>
    <n v="2"/>
    <n v="1.3793103448275863"/>
    <s v=""/>
    <n v="1"/>
    <n v="0.68965517241379315"/>
    <n v="0"/>
    <n v="0"/>
    <s v=""/>
    <n v="8"/>
    <n v="5.5172413793103452"/>
    <n v="4"/>
    <n v="2.7586206896551726"/>
    <n v="5"/>
    <n v="3.4482758620689653"/>
    <n v="1"/>
    <n v="0.68965517241379315"/>
    <s v=""/>
    <n v="20"/>
    <n v="0"/>
    <n v="0"/>
    <n v="40"/>
    <n v="0"/>
    <n v="0"/>
    <n v="1"/>
    <n v="0.68965517241379315"/>
    <n v="23"/>
    <n v="14"/>
    <n v="0"/>
    <n v="0"/>
    <s v=""/>
    <n v="0"/>
    <n v="0"/>
    <n v="0"/>
    <s v="assinatura"/>
    <n v="10475"/>
  </r>
  <r>
    <x v="49"/>
    <x v="8"/>
    <s v="6ab48a81b91ebe7368fcc2e5"/>
    <s v="23/09/2026 14:00:56"/>
    <s v="23/09/2026 23:27:13"/>
    <s v="Henrique"/>
    <s v="23/09/2026"/>
    <s v="Guapiaçu"/>
    <s v="2 ° Turno"/>
    <n v="79"/>
    <n v="2765"/>
    <s v="JOBILIANA APARECIDA MAXIMO BERGAMINI"/>
    <n v="18"/>
    <n v="18"/>
    <n v="6"/>
    <n v="6"/>
    <n v="0"/>
    <n v="0"/>
    <n v="1"/>
    <n v="1"/>
    <n v="0"/>
    <n v="0"/>
    <n v="0"/>
    <n v="0"/>
    <n v="5"/>
    <n v="3.1645569620253164"/>
    <n v="1"/>
    <n v="1.2658227848101267"/>
    <n v="0"/>
    <n v="0"/>
    <n v="2"/>
    <n v="2.5316455696202533"/>
    <n v="0"/>
    <n v="0"/>
    <s v=""/>
    <n v="3"/>
    <n v="3.79746835443038"/>
    <n v="0"/>
    <n v="0"/>
    <s v=""/>
    <n v="5"/>
    <n v="6.3291139240506329"/>
    <n v="1"/>
    <n v="1.2658227848101267"/>
    <n v="4"/>
    <n v="5.0632911392405067"/>
    <n v="0"/>
    <n v="0"/>
    <s v=""/>
    <n v="16"/>
    <n v="0"/>
    <n v="0"/>
    <n v="32"/>
    <n v="0"/>
    <n v="0"/>
    <n v="0"/>
    <n v="0"/>
    <n v="25"/>
    <n v="17"/>
    <n v="0"/>
    <n v="0"/>
    <s v=""/>
    <n v="0"/>
    <n v="0"/>
    <n v="0"/>
    <s v="assinatura"/>
    <n v="10966"/>
  </r>
  <r>
    <x v="51"/>
    <x v="8"/>
    <s v="6ab72b5c11cbfa0f2c786980"/>
    <s v="25/09/2026 21:55:26"/>
    <s v="25/09/2026 23:18:04"/>
    <s v="Henrique"/>
    <s v="25/09/2026"/>
    <s v="Guapiaçu"/>
    <s v="2 ° Turno"/>
    <n v="110"/>
    <n v="2926"/>
    <s v="JOBILIANA APARECIDA MAXIMO BERGAMINI"/>
    <n v="20"/>
    <n v="20"/>
    <n v="9"/>
    <n v="9"/>
    <n v="0"/>
    <n v="0"/>
    <n v="0"/>
    <n v="0"/>
    <n v="0"/>
    <n v="0"/>
    <n v="0"/>
    <n v="0"/>
    <n v="5"/>
    <n v="2.2727272727272729"/>
    <n v="5"/>
    <n v="4.5454545454545459"/>
    <n v="0"/>
    <n v="0"/>
    <n v="1"/>
    <n v="0.90909090909090906"/>
    <n v="2"/>
    <n v="1.8181818181818181"/>
    <s v=""/>
    <n v="0"/>
    <n v="0"/>
    <n v="0"/>
    <n v="0"/>
    <s v=""/>
    <n v="7"/>
    <n v="6.3636363636363633"/>
    <n v="5"/>
    <n v="4.5454545454545459"/>
    <n v="6"/>
    <n v="5.4545454545454541"/>
    <n v="0"/>
    <n v="0"/>
    <s v=""/>
    <n v="19"/>
    <n v="0"/>
    <n v="0"/>
    <n v="38"/>
    <n v="0"/>
    <n v="0"/>
    <n v="0"/>
    <n v="0"/>
    <n v="20"/>
    <n v="18"/>
    <n v="0"/>
    <n v="0"/>
    <s v=""/>
    <n v="2"/>
    <n v="0"/>
    <n v="0"/>
    <s v="assinatura"/>
    <n v="271"/>
  </r>
  <r>
    <x v="51"/>
    <x v="8"/>
    <s v="6ab72b5c11cbfa0f2c786974"/>
    <s v="25/09/2026 19:39:18"/>
    <s v="25/09/2026 23:18:04"/>
    <s v="Henrique"/>
    <s v="25/09/2026"/>
    <s v="Guapiaçu"/>
    <s v="2 ° Turno"/>
    <n v="79"/>
    <n v="2926"/>
    <s v="JOBILIANA APARECIDA MAXIMO BERGAMINI"/>
    <n v="25"/>
    <n v="25"/>
    <n v="8"/>
    <n v="8"/>
    <n v="0"/>
    <n v="0"/>
    <n v="1"/>
    <n v="1"/>
    <n v="0"/>
    <n v="0"/>
    <n v="0"/>
    <n v="0"/>
    <n v="4"/>
    <n v="2.5316455696202533"/>
    <n v="8"/>
    <n v="10.126582278481013"/>
    <n v="0"/>
    <n v="0"/>
    <n v="0"/>
    <n v="0"/>
    <n v="1"/>
    <n v="1.2658227848101267"/>
    <s v=""/>
    <n v="0"/>
    <n v="0"/>
    <n v="0"/>
    <n v="0"/>
    <s v=""/>
    <n v="9"/>
    <n v="11.39240506329114"/>
    <n v="3"/>
    <n v="3.79746835443038"/>
    <n v="7"/>
    <n v="8.8607594936708853"/>
    <n v="1"/>
    <n v="1.2658227848101267"/>
    <s v=""/>
    <n v="20"/>
    <n v="0"/>
    <n v="0"/>
    <n v="40"/>
    <n v="0"/>
    <n v="0"/>
    <n v="0"/>
    <n v="0"/>
    <n v="20"/>
    <n v="19"/>
    <n v="0"/>
    <n v="0"/>
    <s v=""/>
    <n v="8"/>
    <n v="0"/>
    <n v="0"/>
    <s v="assinatura"/>
    <n v="7647"/>
  </r>
  <r>
    <x v="51"/>
    <x v="8"/>
    <s v="6ab72b5c11cbfa0f2c78694a"/>
    <s v="25/09/2026 14:09:53"/>
    <s v="25/09/2026 23:18:04"/>
    <s v="Henrique"/>
    <s v="25/09/2026"/>
    <s v="Guapiaçu"/>
    <s v="2 ° Turno"/>
    <n v="130"/>
    <n v="2908"/>
    <s v="JOBILIANA APARECIDA MAXIMO BERGAMINI"/>
    <n v="22"/>
    <n v="22"/>
    <n v="10"/>
    <n v="10"/>
    <n v="1"/>
    <n v="10"/>
    <n v="1"/>
    <n v="1"/>
    <n v="0"/>
    <n v="0"/>
    <n v="0"/>
    <n v="0"/>
    <n v="4"/>
    <n v="1.5384615384615385"/>
    <n v="6"/>
    <n v="4.6153846153846159"/>
    <n v="1"/>
    <n v="0.76923076923076927"/>
    <n v="1"/>
    <n v="0.76923076923076927"/>
    <n v="2"/>
    <n v="1.5384615384615385"/>
    <s v=""/>
    <n v="1"/>
    <n v="0.76923076923076927"/>
    <n v="0"/>
    <n v="0"/>
    <s v=""/>
    <n v="8"/>
    <n v="6.1538461538461542"/>
    <s v=""/>
    <s v=""/>
    <n v="6"/>
    <n v="4.6153846153846159"/>
    <n v="0"/>
    <n v="0"/>
    <s v=""/>
    <n v="19"/>
    <n v="0"/>
    <n v="0"/>
    <n v="38"/>
    <n v="0"/>
    <n v="0"/>
    <n v="2"/>
    <n v="1.5384615384615385"/>
    <n v="26"/>
    <n v="24"/>
    <n v="0"/>
    <n v="0"/>
    <s v=""/>
    <n v="0"/>
    <n v="0"/>
    <n v="0"/>
    <s v="assinatura"/>
    <n v="14736"/>
  </r>
  <r>
    <x v="51"/>
    <x v="8"/>
    <s v="6ab69acafde5ec03d75893a4"/>
    <s v="25/09/2026 11:32:50"/>
    <s v="25/09/2026 13:01:14"/>
    <s v="Henrique"/>
    <s v="25/09/2026"/>
    <s v="Guapiaçu"/>
    <s v="1 ° Turno"/>
    <n v="100"/>
    <n v="3079"/>
    <s v="EDMAR FELIPE MARTINS"/>
    <n v="47"/>
    <n v="47"/>
    <n v="19"/>
    <n v="19"/>
    <n v="0"/>
    <n v="0"/>
    <n v="3"/>
    <n v="3"/>
    <n v="1"/>
    <n v="1"/>
    <n v="0"/>
    <n v="0"/>
    <n v="2"/>
    <n v="1"/>
    <n v="6"/>
    <n v="6"/>
    <n v="0"/>
    <n v="0"/>
    <n v="4"/>
    <n v="4"/>
    <n v="9"/>
    <n v="9"/>
    <s v=""/>
    <n v="6"/>
    <n v="6"/>
    <n v="2"/>
    <n v="2"/>
    <s v=""/>
    <n v="12"/>
    <n v="12"/>
    <n v="2"/>
    <n v="2"/>
    <n v="9"/>
    <n v="9"/>
    <n v="2"/>
    <n v="2"/>
    <s v=""/>
    <n v="20"/>
    <n v="0"/>
    <n v="0"/>
    <n v="40"/>
    <n v="0"/>
    <n v="0"/>
    <n v="0"/>
    <n v="0"/>
    <n v="25"/>
    <n v="23"/>
    <n v="1"/>
    <n v="10"/>
    <s v=""/>
    <s v=""/>
    <s v=""/>
    <s v=""/>
    <s v="assinatura"/>
    <n v="1861"/>
  </r>
  <r>
    <x v="51"/>
    <x v="8"/>
    <s v="6ab69acafde5ec03d7589392"/>
    <s v="25/09/2026 08:43:28"/>
    <s v="25/09/2026 13:01:14"/>
    <s v="Henrique"/>
    <s v="25/09/2026"/>
    <s v="Guapiaçu"/>
    <s v="1 ° Turno"/>
    <n v="155"/>
    <n v="3088"/>
    <s v="EDMAR FELIPE MARTINS"/>
    <n v="43"/>
    <n v="43"/>
    <n v="22"/>
    <n v="22"/>
    <n v="0"/>
    <n v="0"/>
    <n v="2"/>
    <n v="2"/>
    <n v="1"/>
    <n v="1"/>
    <n v="0"/>
    <n v="0"/>
    <n v="1"/>
    <n v="0.32258064516129031"/>
    <n v="9"/>
    <n v="5.806451612903226"/>
    <n v="0"/>
    <n v="0"/>
    <n v="5"/>
    <n v="3.225806451612903"/>
    <n v="10"/>
    <n v="6.4516129032258061"/>
    <s v=""/>
    <n v="8"/>
    <n v="5.161290322580645"/>
    <n v="3"/>
    <n v="1.935483870967742"/>
    <s v=""/>
    <n v="12"/>
    <n v="7.741935483870968"/>
    <n v="2"/>
    <n v="1.2903225806451613"/>
    <n v="11"/>
    <n v="7.096774193548387"/>
    <n v="4"/>
    <n v="2.5806451612903225"/>
    <s v=""/>
    <n v="20"/>
    <n v="0"/>
    <n v="0"/>
    <n v="40"/>
    <n v="0"/>
    <n v="0"/>
    <n v="0"/>
    <n v="0"/>
    <n v="25"/>
    <n v="19"/>
    <n v="0"/>
    <n v="0"/>
    <s v=""/>
    <n v="0"/>
    <n v="0"/>
    <n v="1"/>
    <s v="assinatura"/>
    <n v="2519"/>
  </r>
  <r>
    <x v="51"/>
    <x v="8"/>
    <s v="6ab699afacf1d04b2dd91f4b"/>
    <s v="25/09/2026 06:25:16"/>
    <s v="25/09/2026 12:56:31"/>
    <s v="Henrique"/>
    <s v="25/09/2026"/>
    <s v="Guapiaçu"/>
    <s v="1 ° Turno"/>
    <n v="125"/>
    <n v="3100"/>
    <s v="EDMAR FELIPE MARTINS"/>
    <n v="40"/>
    <n v="40"/>
    <n v="21"/>
    <n v="21"/>
    <n v="0"/>
    <n v="0"/>
    <n v="2"/>
    <n v="2"/>
    <n v="1"/>
    <n v="1"/>
    <n v="0"/>
    <n v="0"/>
    <n v="1"/>
    <n v="0.4"/>
    <n v="9"/>
    <n v="7.1999999999999993"/>
    <n v="0"/>
    <n v="0"/>
    <n v="4"/>
    <n v="3.2"/>
    <n v="8"/>
    <n v="6.4"/>
    <s v=""/>
    <n v="7"/>
    <n v="5.6000000000000005"/>
    <n v="2"/>
    <n v="1.6"/>
    <s v=""/>
    <n v="13"/>
    <n v="10.4"/>
    <n v="2"/>
    <n v="1.6"/>
    <n v="12"/>
    <n v="9.6"/>
    <n v="3"/>
    <n v="2.4"/>
    <s v=""/>
    <n v="19"/>
    <n v="1"/>
    <n v="1"/>
    <n v="38"/>
    <n v="2"/>
    <n v="2"/>
    <n v="0"/>
    <n v="0"/>
    <n v="22"/>
    <n v="17"/>
    <n v="1"/>
    <n v="10"/>
    <s v=""/>
    <n v="0"/>
    <n v="0"/>
    <n v="2"/>
    <s v=""/>
    <n v="5985"/>
  </r>
  <r>
    <x v="51"/>
    <x v="8"/>
    <s v="6ab699afacf1d04b2dd91f45"/>
    <s v="25/09/2026 04:27:10"/>
    <s v="25/09/2026 12:56:31"/>
    <s v="Henrique"/>
    <s v="25/09/2026"/>
    <s v="Guapiaçu"/>
    <s v="1 ° Turno"/>
    <n v="137"/>
    <n v="3120"/>
    <s v="EDMAR FELIPE MARTINS"/>
    <n v="25"/>
    <n v="25"/>
    <n v="6"/>
    <n v="6"/>
    <n v="0"/>
    <n v="0"/>
    <n v="3"/>
    <n v="3"/>
    <n v="1"/>
    <n v="1"/>
    <n v="0"/>
    <n v="0"/>
    <n v="1"/>
    <n v="0.36496350364963503"/>
    <n v="7"/>
    <n v="5.1094890510948909"/>
    <n v="0"/>
    <n v="0"/>
    <n v="2"/>
    <n v="1.4598540145985401"/>
    <n v="7"/>
    <n v="5.1094890510948909"/>
    <s v=""/>
    <n v="5"/>
    <n v="3.6496350364963499"/>
    <n v="2"/>
    <n v="1.4598540145985401"/>
    <s v=""/>
    <n v="7"/>
    <n v="5.1094890510948909"/>
    <n v="1"/>
    <n v="0.72992700729927007"/>
    <n v="6"/>
    <n v="4.3795620437956204"/>
    <n v="2"/>
    <n v="1.4598540145985401"/>
    <s v=""/>
    <n v="21"/>
    <n v="0"/>
    <n v="0"/>
    <n v="42"/>
    <n v="0"/>
    <n v="0"/>
    <n v="0"/>
    <n v="0"/>
    <n v="15"/>
    <n v="19"/>
    <n v="1"/>
    <n v="10"/>
    <s v=""/>
    <s v=""/>
    <s v=""/>
    <s v=""/>
    <s v="assinatura"/>
    <n v="1829"/>
  </r>
  <r>
    <x v="52"/>
    <x v="8"/>
    <s v="6ab5df3c99cfdd26d64307e6"/>
    <s v="24/09/2026 20:37:19"/>
    <s v="24/09/2026 23:41:00"/>
    <s v="Henrique"/>
    <s v="24/09/2026"/>
    <s v="Guapiaçu"/>
    <s v="2 ° Turno"/>
    <n v="156"/>
    <n v="3001"/>
    <s v="JOBILIANA APARECIDA MAXIMO BERGAMINI"/>
    <n v="20"/>
    <n v="20"/>
    <n v="5"/>
    <n v="5"/>
    <n v="0"/>
    <n v="0"/>
    <n v="0"/>
    <n v="0"/>
    <n v="0"/>
    <n v="0"/>
    <n v="0"/>
    <n v="0"/>
    <n v="7"/>
    <n v="2.2435897435897436"/>
    <n v="4"/>
    <n v="2.5641025641025639"/>
    <n v="0"/>
    <n v="0"/>
    <n v="2"/>
    <n v="1.2820512820512819"/>
    <n v="2"/>
    <n v="1.2820512820512819"/>
    <s v=""/>
    <n v="0"/>
    <n v="0"/>
    <n v="0"/>
    <n v="0"/>
    <s v=""/>
    <n v="5"/>
    <n v="3.2051282051282048"/>
    <n v="5"/>
    <n v="3.2051282051282048"/>
    <n v="6"/>
    <n v="3.8461538461538463"/>
    <n v="1"/>
    <n v="0.64102564102564097"/>
    <s v=""/>
    <n v="19"/>
    <n v="0"/>
    <n v="0"/>
    <n v="38"/>
    <n v="0"/>
    <n v="0"/>
    <n v="0"/>
    <n v="0"/>
    <n v="20"/>
    <n v="16"/>
    <n v="0"/>
    <n v="0"/>
    <s v=""/>
    <n v="0"/>
    <n v="0"/>
    <n v="0"/>
    <s v="assinatura"/>
    <n v="1177"/>
  </r>
  <r>
    <x v="52"/>
    <x v="8"/>
    <s v="6ab5df3c99cfdd26d64307d4"/>
    <s v="24/09/2026 18:45:10"/>
    <s v="24/09/2026 23:41:00"/>
    <s v="Henrique"/>
    <s v="24/09/2026"/>
    <s v="Guapiaçu"/>
    <s v="2 ° Turno"/>
    <n v="151"/>
    <n v="3038"/>
    <s v="JOBILIANA APARECIDA MAXIMO BERGAMINI"/>
    <n v="20"/>
    <n v="20"/>
    <n v="6"/>
    <n v="6"/>
    <n v="0"/>
    <n v="0"/>
    <n v="1"/>
    <n v="1"/>
    <n v="0"/>
    <n v="0"/>
    <n v="0"/>
    <n v="0"/>
    <n v="6"/>
    <n v="1.9867549668874174"/>
    <n v="11"/>
    <n v="7.2847682119205297"/>
    <n v="0"/>
    <n v="0"/>
    <n v="1"/>
    <n v="0.66225165562913912"/>
    <n v="2"/>
    <n v="1.3245033112582782"/>
    <s v=""/>
    <n v="0"/>
    <n v="0"/>
    <n v="0"/>
    <n v="0"/>
    <s v=""/>
    <n v="8"/>
    <n v="5.298013245033113"/>
    <n v="6"/>
    <n v="3.9735099337748347"/>
    <n v="6"/>
    <n v="3.9735099337748347"/>
    <n v="0"/>
    <n v="0"/>
    <s v=""/>
    <n v="19"/>
    <n v="0"/>
    <n v="0"/>
    <n v="38"/>
    <n v="0"/>
    <n v="0"/>
    <n v="0"/>
    <n v="0"/>
    <n v="16"/>
    <n v="15"/>
    <n v="0"/>
    <n v="0"/>
    <s v=""/>
    <n v="1"/>
    <n v="0"/>
    <n v="0"/>
    <s v="assinatura"/>
    <n v="6645"/>
  </r>
  <r>
    <x v="52"/>
    <x v="8"/>
    <s v="6ab5df3b99cfdd26d64307aa"/>
    <s v="24/09/2026 13:52:48"/>
    <s v="24/09/2026 23:40:59"/>
    <s v="Henrique"/>
    <s v="24/09/2026"/>
    <s v="Guapiaçu"/>
    <s v="2 ° Turno"/>
    <n v="130"/>
    <n v="2171"/>
    <s v="JOBILIANA APARECIDA MAXIMO BERGAMINI"/>
    <n v="21"/>
    <n v="21"/>
    <n v="10"/>
    <n v="10"/>
    <n v="0"/>
    <n v="0"/>
    <n v="1"/>
    <n v="1"/>
    <n v="0"/>
    <n v="0"/>
    <n v="1"/>
    <n v="5"/>
    <n v="5"/>
    <n v="1.9230769230769231"/>
    <n v="1"/>
    <n v="0.76923076923076927"/>
    <n v="0"/>
    <n v="0"/>
    <n v="0"/>
    <n v="0"/>
    <n v="2"/>
    <n v="1.5384615384615385"/>
    <s v=""/>
    <n v="1"/>
    <n v="0.76923076923076927"/>
    <n v="0"/>
    <n v="0"/>
    <s v=""/>
    <n v="8"/>
    <n v="6.1538461538461542"/>
    <n v="10"/>
    <n v="7.6923076923076925"/>
    <n v="5"/>
    <n v="3.8461538461538463"/>
    <n v="0"/>
    <n v="0"/>
    <s v=""/>
    <n v="20"/>
    <n v="0"/>
    <n v="0"/>
    <n v="40"/>
    <n v="0"/>
    <n v="0"/>
    <n v="1"/>
    <n v="0.76923076923076927"/>
    <n v="16"/>
    <n v="12"/>
    <n v="0"/>
    <n v="0"/>
    <s v=""/>
    <n v="3"/>
    <n v="0"/>
    <n v="0"/>
    <s v="assinatura"/>
    <n v="12039"/>
  </r>
  <r>
    <x v="52"/>
    <x v="8"/>
    <s v="6ab5490e591c2004f134c33d"/>
    <s v="24/09/2026 11:24:57"/>
    <s v="24/09/2026 13:00:14"/>
    <s v="Henrique"/>
    <s v="24/09/2026"/>
    <s v="Guapiaçu"/>
    <s v="1 ° Turno"/>
    <n v="160"/>
    <n v="3140"/>
    <s v="EDMAR FELIPE MARTINS"/>
    <n v="44"/>
    <n v="44"/>
    <n v="29"/>
    <n v="28.999999999999996"/>
    <n v="0"/>
    <n v="0"/>
    <n v="4"/>
    <n v="4"/>
    <n v="1"/>
    <n v="1"/>
    <n v="0"/>
    <n v="0"/>
    <n v="2"/>
    <n v="0.625"/>
    <n v="3"/>
    <n v="1.875"/>
    <n v="0"/>
    <n v="0"/>
    <n v="1"/>
    <n v="0.625"/>
    <n v="7"/>
    <n v="4.375"/>
    <s v=""/>
    <n v="6"/>
    <n v="3.75"/>
    <n v="2"/>
    <n v="1.25"/>
    <s v=""/>
    <n v="9"/>
    <n v="5.625"/>
    <n v="3"/>
    <n v="1.875"/>
    <n v="7"/>
    <n v="4.375"/>
    <n v="2"/>
    <n v="1.25"/>
    <s v=""/>
    <n v="19"/>
    <n v="0"/>
    <n v="0"/>
    <n v="38"/>
    <n v="0"/>
    <n v="0"/>
    <n v="0"/>
    <n v="0"/>
    <n v="22"/>
    <n v="21"/>
    <n v="1"/>
    <n v="10"/>
    <s v=""/>
    <s v=""/>
    <s v=""/>
    <s v=""/>
    <s v="assinatura"/>
    <n v="2863"/>
  </r>
  <r>
    <x v="52"/>
    <x v="8"/>
    <s v="6ab5490e591c2004f134c325"/>
    <s v="24/09/2026 08:14:23"/>
    <s v="24/09/2026 13:00:14"/>
    <s v="Henrique"/>
    <s v="24/09/2026"/>
    <s v="Guapiaçu"/>
    <s v="1 ° Turno"/>
    <n v="151"/>
    <n v="3140"/>
    <s v="EDMAR FELIPE MARTINS"/>
    <n v="37"/>
    <n v="37"/>
    <n v="20"/>
    <n v="20"/>
    <n v="0"/>
    <n v="0"/>
    <n v="4"/>
    <n v="4"/>
    <n v="1"/>
    <n v="1"/>
    <n v="0"/>
    <n v="0"/>
    <n v="1"/>
    <n v="0.33112582781456956"/>
    <n v="5"/>
    <n v="3.3112582781456954"/>
    <n v="0"/>
    <n v="0"/>
    <n v="2"/>
    <n v="1.3245033112582782"/>
    <n v="6"/>
    <n v="3.9735099337748347"/>
    <s v=""/>
    <n v="5"/>
    <n v="3.3112582781456954"/>
    <n v="2"/>
    <n v="1.3245033112582782"/>
    <s v=""/>
    <n v="13"/>
    <n v="8.6092715231788084"/>
    <n v="3"/>
    <n v="1.9867549668874174"/>
    <n v="7"/>
    <n v="4.6357615894039732"/>
    <n v="2"/>
    <n v="1.3245033112582782"/>
    <s v=""/>
    <n v="20"/>
    <n v="0"/>
    <n v="0"/>
    <n v="40"/>
    <n v="0"/>
    <n v="0"/>
    <n v="1"/>
    <n v="0.66225165562913912"/>
    <n v="20"/>
    <n v="18"/>
    <n v="1"/>
    <n v="10"/>
    <s v=""/>
    <n v="2"/>
    <n v="0"/>
    <n v="1"/>
    <s v="assinatura"/>
    <n v="2051"/>
  </r>
  <r>
    <x v="52"/>
    <x v="8"/>
    <s v="6ab5490e591c2004f134c313"/>
    <s v="24/09/2026 06:29:39"/>
    <s v="24/09/2026 13:00:14"/>
    <s v="Henrique"/>
    <s v="24/09/2026"/>
    <s v="Guapiaçu"/>
    <s v="1 ° Turno"/>
    <n v="151"/>
    <n v="2937"/>
    <s v="EDMAR FELIPE MARTINS"/>
    <n v="37"/>
    <n v="37"/>
    <n v="8"/>
    <n v="8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7"/>
    <n v="4.6357615894039732"/>
    <n v="2"/>
    <n v="1.3245033112582782"/>
    <s v=""/>
    <n v="14"/>
    <n v="9.2715231788079464"/>
    <n v="3"/>
    <n v="1.9867549668874174"/>
    <n v="6"/>
    <n v="3.9735099337748347"/>
    <n v="1"/>
    <n v="0.66225165562913912"/>
    <s v=""/>
    <n v="19"/>
    <n v="0"/>
    <n v="0"/>
    <n v="38"/>
    <n v="0"/>
    <n v="0"/>
    <n v="0"/>
    <n v="0"/>
    <n v="22"/>
    <n v="17"/>
    <n v="0"/>
    <n v="0"/>
    <s v=""/>
    <s v=""/>
    <s v=""/>
    <s v=""/>
    <s v="assinatura"/>
    <n v="2396"/>
  </r>
  <r>
    <x v="52"/>
    <x v="8"/>
    <s v="6ab5490d591c2004f134c2fb"/>
    <s v="24/09/2026 04:27:44"/>
    <s v="24/09/2026 13:00:13"/>
    <s v="Henrique"/>
    <s v="24/09/2026"/>
    <s v="Guapiaçu"/>
    <s v="1 ° Turno"/>
    <n v="161"/>
    <n v="2937"/>
    <s v="EDMAR FELIPE MARTINS"/>
    <n v="41"/>
    <n v="41"/>
    <n v="22"/>
    <n v="22"/>
    <n v="0"/>
    <n v="0"/>
    <n v="2"/>
    <n v="2"/>
    <n v="1"/>
    <n v="1"/>
    <n v="0"/>
    <n v="0"/>
    <n v="1"/>
    <n v="0.3105590062111801"/>
    <n v="9"/>
    <n v="5.5900621118012426"/>
    <n v="0"/>
    <n v="0"/>
    <n v="2"/>
    <n v="1.2422360248447204"/>
    <n v="6"/>
    <n v="3.7267080745341614"/>
    <s v=""/>
    <n v="6"/>
    <n v="3.7267080745341614"/>
    <n v="2"/>
    <n v="1.2422360248447204"/>
    <s v=""/>
    <n v="14"/>
    <n v="8.695652173913043"/>
    <n v="3"/>
    <n v="1.8633540372670807"/>
    <n v="7"/>
    <n v="4.3478260869565215"/>
    <n v="2"/>
    <n v="1.2422360248447204"/>
    <s v=""/>
    <n v="20"/>
    <n v="0"/>
    <n v="0"/>
    <n v="40"/>
    <n v="0"/>
    <n v="0"/>
    <n v="0"/>
    <n v="0"/>
    <n v="14"/>
    <n v="9"/>
    <n v="0"/>
    <n v="0"/>
    <s v=""/>
    <s v=""/>
    <s v=""/>
    <s v=""/>
    <s v="assinatura"/>
    <n v="1403"/>
  </r>
  <r>
    <x v="53"/>
    <x v="8"/>
    <s v="6abb28971f4352de92673b0a"/>
    <s v="28/09/2026 21:13:10"/>
    <s v="28/09/2026 23:55:19"/>
    <s v="Henrique"/>
    <s v="28/09/2026"/>
    <s v="Guapiaçu"/>
    <s v="2 ° Turno"/>
    <n v="161"/>
    <n v="3225"/>
    <s v="JOBILIANA APARECIDA MAXIMO BERGAMINI"/>
    <n v="20"/>
    <n v="20"/>
    <n v="6"/>
    <n v="6"/>
    <n v="0"/>
    <n v="0"/>
    <n v="0"/>
    <n v="0"/>
    <n v="0"/>
    <n v="0"/>
    <n v="0"/>
    <n v="0"/>
    <n v="5"/>
    <n v="1.5527950310559007"/>
    <n v="4"/>
    <n v="2.4844720496894408"/>
    <n v="0"/>
    <n v="0"/>
    <n v="2"/>
    <n v="1.2422360248447204"/>
    <n v="3"/>
    <n v="1.8633540372670807"/>
    <s v=""/>
    <n v="0"/>
    <n v="0"/>
    <n v="0"/>
    <n v="0"/>
    <s v=""/>
    <n v="6"/>
    <n v="3.7267080745341614"/>
    <n v="4"/>
    <n v="2.4844720496894408"/>
    <n v="6"/>
    <n v="3.7267080745341614"/>
    <n v="0"/>
    <n v="0"/>
    <s v=""/>
    <n v="18"/>
    <n v="0"/>
    <n v="0"/>
    <n v="36"/>
    <n v="0"/>
    <n v="0"/>
    <n v="0"/>
    <n v="0"/>
    <n v="20"/>
    <n v="18"/>
    <n v="0"/>
    <n v="0"/>
    <s v=""/>
    <n v="0"/>
    <n v="0"/>
    <n v="0"/>
    <s v="assinatura"/>
    <n v="3787"/>
  </r>
  <r>
    <x v="53"/>
    <x v="8"/>
    <s v="6abb28971f4352de92673af2"/>
    <s v="28/09/2026 19:09:46"/>
    <s v="28/09/2026 23:55:19"/>
    <s v="Henrique"/>
    <s v="28/09/2026"/>
    <s v="Guapiaçu"/>
    <s v="2 ° Turno"/>
    <n v="79"/>
    <n v="3390"/>
    <s v="JOBILIANA APARECIDA MAXIMO BERGAMINI"/>
    <n v="17"/>
    <n v="17"/>
    <n v="16"/>
    <n v="16"/>
    <n v="0"/>
    <n v="0"/>
    <n v="1"/>
    <n v="1"/>
    <n v="0"/>
    <n v="0"/>
    <n v="1"/>
    <n v="5"/>
    <n v="5"/>
    <n v="3.1645569620253164"/>
    <n v="5"/>
    <n v="6.3291139240506329"/>
    <n v="0"/>
    <n v="0"/>
    <n v="3"/>
    <n v="3.79746835443038"/>
    <n v="2"/>
    <n v="2.5316455696202533"/>
    <s v=""/>
    <n v="1"/>
    <n v="1.2658227848101267"/>
    <n v="0"/>
    <n v="0"/>
    <s v=""/>
    <n v="11"/>
    <n v="13.924050632911392"/>
    <n v="5"/>
    <n v="6.3291139240506329"/>
    <n v="6"/>
    <n v="7.59493670886076"/>
    <n v="0"/>
    <n v="0"/>
    <s v=""/>
    <n v="19"/>
    <n v="0"/>
    <n v="0"/>
    <n v="38"/>
    <n v="0"/>
    <n v="0"/>
    <n v="0"/>
    <n v="0"/>
    <n v="19"/>
    <n v="17"/>
    <n v="0"/>
    <n v="0"/>
    <s v=""/>
    <n v="1"/>
    <n v="0"/>
    <n v="0"/>
    <s v="assinatura"/>
    <n v="10785"/>
  </r>
  <r>
    <x v="53"/>
    <x v="8"/>
    <s v="6abb28961f4352de92673ad4"/>
    <s v="28/09/2026 14:06:02"/>
    <s v="28/09/2026 23:55:18"/>
    <s v="Henrique"/>
    <s v="28/09/2026"/>
    <s v="Guapiaçu"/>
    <s v="2 ° Turno"/>
    <n v="130"/>
    <n v="3231"/>
    <s v="JOBILIANA APARECIDA MAXIMO BERGAMINI"/>
    <n v="16"/>
    <n v="16"/>
    <n v="6"/>
    <n v="6"/>
    <n v="0"/>
    <n v="0"/>
    <n v="3"/>
    <n v="3"/>
    <n v="2"/>
    <n v="2"/>
    <n v="1"/>
    <n v="5"/>
    <n v="4"/>
    <n v="1.5384615384615385"/>
    <n v="5"/>
    <n v="3.8461538461538463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1"/>
    <n v="0.76923076923076927"/>
    <s v=""/>
    <n v="19"/>
    <n v="0"/>
    <n v="0"/>
    <n v="38"/>
    <n v="0"/>
    <n v="0"/>
    <n v="0"/>
    <n v="0"/>
    <n v="20"/>
    <n v="19"/>
    <n v="0"/>
    <n v="0"/>
    <s v=""/>
    <n v="2"/>
    <n v="0"/>
    <n v="0"/>
    <s v="assinatura"/>
    <n v="10054"/>
  </r>
  <r>
    <x v="53"/>
    <x v="8"/>
    <s v="6aba9094acf1d04b2ddb06b4"/>
    <s v="28/09/2026 11:35:46"/>
    <s v="28/09/2026 13:06:44"/>
    <s v="Henrique"/>
    <s v="28/09/2026"/>
    <s v="Guapiaçu"/>
    <s v="1 ° Turno"/>
    <n v="120"/>
    <n v="3298"/>
    <s v="EDMAR FELIPE MARTINS"/>
    <n v="39"/>
    <n v="39"/>
    <n v="18"/>
    <n v="18"/>
    <n v="0"/>
    <n v="0"/>
    <n v="3"/>
    <n v="3"/>
    <n v="1"/>
    <n v="1"/>
    <n v="0"/>
    <n v="0"/>
    <n v="4"/>
    <n v="1.6666666666666667"/>
    <n v="2"/>
    <n v="1.6666666666666667"/>
    <n v="0"/>
    <n v="0"/>
    <n v="1"/>
    <n v="0.83333333333333337"/>
    <n v="4"/>
    <n v="3.3333333333333335"/>
    <s v=""/>
    <n v="7"/>
    <n v="5.833333333333333"/>
    <n v="2"/>
    <n v="1.6666666666666667"/>
    <s v=""/>
    <n v="11"/>
    <n v="9.1666666666666661"/>
    <n v="2"/>
    <n v="1.6666666666666667"/>
    <n v="7"/>
    <n v="5.833333333333333"/>
    <n v="2"/>
    <n v="1.6666666666666667"/>
    <s v=""/>
    <n v="20"/>
    <n v="0"/>
    <n v="0"/>
    <n v="40"/>
    <n v="0"/>
    <n v="0"/>
    <n v="1"/>
    <n v="0.83333333333333337"/>
    <n v="19"/>
    <n v="21"/>
    <n v="1"/>
    <n v="10"/>
    <s v=""/>
    <s v=""/>
    <s v=""/>
    <s v=""/>
    <s v="assinatura"/>
    <n v="1697"/>
  </r>
  <r>
    <x v="53"/>
    <x v="8"/>
    <s v="6aba9093acf1d04b2ddb069c"/>
    <s v="28/09/2026 08:41:09"/>
    <s v="28/09/2026 13:06:43"/>
    <s v="Henrique"/>
    <s v="28/09/2026"/>
    <s v="Guapiaçu"/>
    <s v="1 ° Turno"/>
    <n v="161"/>
    <n v="2867"/>
    <s v="EDMAR FELIPE MARTINS"/>
    <n v="30"/>
    <n v="30"/>
    <n v="13"/>
    <n v="13"/>
    <n v="0"/>
    <n v="0"/>
    <n v="1"/>
    <n v="1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7"/>
    <n v="4.3478260869565215"/>
    <n v="3"/>
    <n v="1.8633540372670807"/>
    <s v=""/>
    <n v="10"/>
    <n v="6.2111801242236027"/>
    <n v="1"/>
    <n v="0.6211180124223602"/>
    <n v="7"/>
    <n v="4.3478260869565215"/>
    <n v="1"/>
    <n v="0.6211180124223602"/>
    <s v=""/>
    <n v="17"/>
    <n v="0"/>
    <n v="0"/>
    <n v="34"/>
    <n v="0"/>
    <n v="0"/>
    <n v="0"/>
    <n v="0"/>
    <n v="19"/>
    <n v="25"/>
    <n v="1"/>
    <n v="10"/>
    <s v=""/>
    <n v="1"/>
    <n v="0"/>
    <n v="0"/>
    <s v="assinatura"/>
    <n v="2376"/>
  </r>
  <r>
    <x v="53"/>
    <x v="8"/>
    <s v="6aba9093acf1d04b2ddb0684"/>
    <s v="28/09/2026 06:28:40"/>
    <s v="28/09/2026 13:06:43"/>
    <s v="Henrique"/>
    <s v="28/09/2026"/>
    <s v="Guapiaçu"/>
    <s v="1 ° Turno"/>
    <n v="151"/>
    <n v="2953"/>
    <s v="EDMAR FELIPE MARTINS"/>
    <n v="28"/>
    <n v="28.000000000000004"/>
    <n v="12"/>
    <n v="12"/>
    <n v="0"/>
    <n v="0"/>
    <n v="2"/>
    <n v="2"/>
    <n v="1"/>
    <n v="1"/>
    <n v="0"/>
    <n v="0"/>
    <n v="1"/>
    <n v="0.33112582781456956"/>
    <n v="3"/>
    <n v="1.9867549668874174"/>
    <n v="0"/>
    <n v="0"/>
    <n v="2"/>
    <n v="1.3245033112582782"/>
    <n v="6"/>
    <n v="3.9735099337748347"/>
    <s v=""/>
    <n v="9"/>
    <n v="5.9602649006622519"/>
    <n v="2"/>
    <n v="1.3245033112582782"/>
    <s v=""/>
    <n v="14"/>
    <n v="9.2715231788079464"/>
    <n v="2"/>
    <n v="1.3245033112582782"/>
    <n v="7"/>
    <n v="4.6357615894039732"/>
    <n v="1"/>
    <n v="0.66225165562913912"/>
    <s v=""/>
    <n v="19"/>
    <n v="0"/>
    <n v="0"/>
    <n v="38"/>
    <n v="0"/>
    <n v="0"/>
    <n v="0"/>
    <n v="0"/>
    <n v="17"/>
    <n v="22"/>
    <n v="1"/>
    <n v="10"/>
    <s v=""/>
    <n v="1"/>
    <n v="0"/>
    <n v="1"/>
    <s v="assinatura"/>
    <n v="2966"/>
  </r>
  <r>
    <x v="53"/>
    <x v="8"/>
    <s v="6aba9093acf1d04b2ddb0672"/>
    <s v="28/09/2026 04:25:11"/>
    <s v="28/09/2026 13:06:43"/>
    <s v="Henrique"/>
    <s v="28/09/2026"/>
    <s v="Guapiaçu"/>
    <s v="1 ° Turno"/>
    <n v="160"/>
    <n v="3244"/>
    <s v="EDMAR FELIPE MARTINS"/>
    <n v="31"/>
    <n v="31"/>
    <n v="9"/>
    <n v="9"/>
    <n v="0"/>
    <n v="0"/>
    <n v="2"/>
    <n v="2"/>
    <n v="1"/>
    <n v="1"/>
    <n v="0"/>
    <n v="0"/>
    <n v="2"/>
    <n v="0.625"/>
    <n v="2"/>
    <n v="1.25"/>
    <n v="0"/>
    <n v="0"/>
    <n v="1"/>
    <n v="0.625"/>
    <n v="5"/>
    <n v="3.125"/>
    <s v=""/>
    <n v="2"/>
    <n v="1.25"/>
    <n v="1"/>
    <n v="0.625"/>
    <s v=""/>
    <n v="8"/>
    <n v="5"/>
    <n v="1"/>
    <n v="0.625"/>
    <n v="7"/>
    <n v="4.375"/>
    <n v="1"/>
    <n v="0.625"/>
    <s v=""/>
    <n v="19"/>
    <n v="0"/>
    <n v="0"/>
    <n v="38"/>
    <n v="0"/>
    <n v="0"/>
    <n v="0"/>
    <n v="0"/>
    <n v="16"/>
    <n v="13"/>
    <n v="0"/>
    <n v="0"/>
    <s v=""/>
    <s v=""/>
    <s v=""/>
    <s v=""/>
    <s v="assinatura"/>
    <n v="2291"/>
  </r>
  <r>
    <x v="54"/>
    <x v="8"/>
    <s v="6abc70e143ce2b65efeb7a4d"/>
    <s v="29/09/2026 21:34:37"/>
    <s v="29/09/2026 23:16:01"/>
    <s v="Henrique"/>
    <s v="29/09/2026"/>
    <s v="Guapiaçu"/>
    <s v="2 ° Turno"/>
    <n v="157"/>
    <n v="2965"/>
    <s v="JOBILIANA APARECIDA MAXIMO BERGAMINI"/>
    <n v="20"/>
    <n v="20"/>
    <n v="5"/>
    <n v="5"/>
    <n v="8"/>
    <n v="80"/>
    <n v="0"/>
    <n v="0"/>
    <n v="0"/>
    <n v="0"/>
    <n v="0"/>
    <n v="0"/>
    <n v="4"/>
    <n v="1.2738853503184715"/>
    <n v="4"/>
    <n v="2.547770700636943"/>
    <n v="0"/>
    <n v="0"/>
    <n v="1"/>
    <n v="0.63694267515923575"/>
    <n v="2"/>
    <n v="1.2738853503184715"/>
    <s v=""/>
    <n v="0"/>
    <n v="0"/>
    <n v="0"/>
    <n v="0"/>
    <s v=""/>
    <n v="5"/>
    <n v="3.1847133757961785"/>
    <n v="5"/>
    <n v="3.1847133757961785"/>
    <n v="6"/>
    <n v="3.8216560509554141"/>
    <n v="1"/>
    <n v="0.63694267515923575"/>
    <s v=""/>
    <n v="19"/>
    <n v="0"/>
    <n v="0"/>
    <n v="38"/>
    <n v="0"/>
    <n v="0"/>
    <n v="0"/>
    <n v="0"/>
    <n v="20"/>
    <n v="17"/>
    <n v="0"/>
    <n v="0"/>
    <s v=""/>
    <n v="2"/>
    <n v="0"/>
    <n v="0"/>
    <s v="assinatura"/>
    <n v="214"/>
  </r>
  <r>
    <x v="54"/>
    <x v="8"/>
    <s v="6abc70e143ce2b65efeb7a3b"/>
    <s v="29/09/2026 18:27:34"/>
    <s v="29/09/2026 23:16:01"/>
    <s v="Henrique"/>
    <s v="29/09/2026"/>
    <s v="Guapiaçu"/>
    <s v="2 ° Turno"/>
    <n v="79"/>
    <n v="2821"/>
    <s v="JOBILIANA APARECIDA MAXIMO BERGAMINI"/>
    <n v="20"/>
    <n v="20"/>
    <n v="5"/>
    <n v="5"/>
    <n v="0"/>
    <n v="0"/>
    <n v="1"/>
    <n v="1"/>
    <n v="0"/>
    <n v="0"/>
    <n v="0"/>
    <n v="0"/>
    <n v="6"/>
    <n v="3.79746835443038"/>
    <n v="5"/>
    <n v="6.3291139240506329"/>
    <n v="0"/>
    <n v="0"/>
    <n v="1"/>
    <n v="1.2658227848101267"/>
    <n v="2"/>
    <n v="2.5316455696202533"/>
    <s v=""/>
    <n v="0"/>
    <n v="0"/>
    <n v="0"/>
    <n v="0"/>
    <s v=""/>
    <n v="3"/>
    <n v="3.79746835443038"/>
    <n v="6"/>
    <n v="7.59493670886076"/>
    <n v="5"/>
    <n v="6.3291139240506329"/>
    <n v="0"/>
    <n v="0"/>
    <s v=""/>
    <n v="18"/>
    <n v="0"/>
    <n v="0"/>
    <n v="36"/>
    <n v="0"/>
    <n v="0"/>
    <n v="0"/>
    <n v="0"/>
    <n v="20"/>
    <n v="17"/>
    <n v="0"/>
    <n v="0"/>
    <s v=""/>
    <n v="4"/>
    <n v="0"/>
    <n v="0"/>
    <s v="assinatura"/>
    <n v="10836"/>
  </r>
  <r>
    <x v="54"/>
    <x v="8"/>
    <s v="6abc70e043ce2b65efeb7a17"/>
    <s v="29/09/2026 14:05:27"/>
    <s v="29/09/2026 23:16:00"/>
    <s v="Henrique"/>
    <s v="29/09/2026"/>
    <s v="Guapiaçu"/>
    <s v="2 ° Turno"/>
    <n v="161"/>
    <n v="3025"/>
    <s v="JOBILIANA APARECIDA MAXIMO BERGAMINI"/>
    <n v="22"/>
    <n v="22"/>
    <n v="6"/>
    <n v="6"/>
    <n v="0"/>
    <n v="0"/>
    <n v="1"/>
    <n v="1"/>
    <n v="0"/>
    <n v="0"/>
    <n v="0"/>
    <n v="0"/>
    <s v=""/>
    <s v=""/>
    <n v="5"/>
    <n v="3.1055900621118013"/>
    <n v="0"/>
    <n v="0"/>
    <n v="3"/>
    <n v="1.8633540372670807"/>
    <n v="2"/>
    <n v="1.2422360248447204"/>
    <s v=""/>
    <n v="0"/>
    <n v="0"/>
    <n v="0"/>
    <n v="0"/>
    <s v=""/>
    <n v="7"/>
    <n v="4.3478260869565215"/>
    <n v="5"/>
    <n v="3.1055900621118013"/>
    <n v="5"/>
    <n v="3.1055900621118013"/>
    <n v="0"/>
    <n v="0"/>
    <s v=""/>
    <n v="19"/>
    <n v="0"/>
    <n v="0"/>
    <n v="38"/>
    <n v="0"/>
    <n v="0"/>
    <n v="1"/>
    <n v="0.6211180124223602"/>
    <n v="19"/>
    <n v="16"/>
    <n v="0"/>
    <n v="0"/>
    <s v=""/>
    <n v="1"/>
    <n v="0"/>
    <n v="0"/>
    <s v="assinatura"/>
    <n v="20734"/>
  </r>
  <r>
    <x v="54"/>
    <x v="8"/>
    <s v="6abbe112d12b6fdcdf5519ef"/>
    <s v="29/09/2026 11:07:05"/>
    <s v="29/09/2026 13:02:26"/>
    <s v="Henrique"/>
    <s v="29/09/2026"/>
    <s v="Guapiaçu"/>
    <s v="1 ° Turno"/>
    <n v="150"/>
    <n v="3094"/>
    <s v="EDMAR FELIPE MARTINS"/>
    <n v="41"/>
    <n v="41"/>
    <n v="23"/>
    <n v="23"/>
    <n v="0"/>
    <n v="0"/>
    <n v="1"/>
    <n v="1"/>
    <n v="1"/>
    <n v="1"/>
    <n v="0"/>
    <n v="0"/>
    <n v="2"/>
    <n v="0.66666666666666674"/>
    <n v="2"/>
    <n v="1.3333333333333335"/>
    <n v="0"/>
    <n v="0"/>
    <n v="1"/>
    <n v="0.66666666666666674"/>
    <n v="5"/>
    <n v="3.3333333333333335"/>
    <s v=""/>
    <n v="5"/>
    <n v="3.3333333333333335"/>
    <n v="2"/>
    <n v="1.3333333333333335"/>
    <s v=""/>
    <n v="9"/>
    <n v="6"/>
    <n v="1"/>
    <n v="0.66666666666666674"/>
    <n v="7"/>
    <n v="4.666666666666667"/>
    <n v="1"/>
    <n v="0.66666666666666674"/>
    <s v=""/>
    <n v="19"/>
    <n v="0"/>
    <n v="0"/>
    <n v="38"/>
    <n v="0"/>
    <n v="0"/>
    <n v="2"/>
    <n v="1.3333333333333335"/>
    <n v="25"/>
    <n v="20"/>
    <n v="1"/>
    <n v="10"/>
    <s v=""/>
    <s v=""/>
    <s v=""/>
    <s v=""/>
    <s v="assinatura"/>
    <n v="1475"/>
  </r>
  <r>
    <x v="54"/>
    <x v="8"/>
    <s v="6abbe112d12b6fdcdf5519dd"/>
    <s v="29/09/2026 08:38:00"/>
    <s v="29/09/2026 13:02:26"/>
    <s v="Henrique"/>
    <s v="29/09/2026"/>
    <s v="Guapiaçu"/>
    <s v="1 ° Turno"/>
    <n v="160"/>
    <n v="3321"/>
    <s v="EDMAR FELIPE MARTINS"/>
    <n v="35"/>
    <n v="35"/>
    <n v="23"/>
    <n v="23"/>
    <n v="0"/>
    <n v="0"/>
    <n v="3"/>
    <n v="3"/>
    <n v="1"/>
    <n v="1"/>
    <n v="2"/>
    <n v="10"/>
    <n v="2"/>
    <n v="0.625"/>
    <n v="2"/>
    <n v="1.25"/>
    <n v="0"/>
    <n v="0"/>
    <n v="2"/>
    <n v="1.25"/>
    <n v="6"/>
    <n v="3.75"/>
    <s v=""/>
    <n v="7"/>
    <n v="4.375"/>
    <n v="3"/>
    <n v="1.875"/>
    <s v=""/>
    <n v="11"/>
    <n v="6.8750000000000009"/>
    <n v="1"/>
    <n v="0.625"/>
    <n v="6"/>
    <n v="3.75"/>
    <n v="1"/>
    <n v="0.625"/>
    <s v=""/>
    <n v="17"/>
    <n v="0"/>
    <n v="0"/>
    <n v="34"/>
    <n v="0"/>
    <n v="0"/>
    <n v="0"/>
    <n v="0"/>
    <n v="22"/>
    <n v="19"/>
    <n v="0"/>
    <n v="0"/>
    <s v=""/>
    <n v="0"/>
    <n v="0"/>
    <n v="1"/>
    <s v=""/>
    <n v="1851"/>
  </r>
  <r>
    <x v="54"/>
    <x v="8"/>
    <s v="6abbe112d12b6fdcdf5519cb"/>
    <s v="29/09/2026 06:54:58"/>
    <s v="29/09/2026 13:02:26"/>
    <s v="Henrique"/>
    <s v="29/09/2026"/>
    <s v="Guapiaçu"/>
    <s v="1 ° Turno"/>
    <n v="80"/>
    <n v="3018"/>
    <s v="EDMAR FELIPE MARTINS"/>
    <n v="33"/>
    <n v="33"/>
    <n v="20"/>
    <n v="20"/>
    <n v="0"/>
    <n v="0"/>
    <n v="1"/>
    <n v="1"/>
    <n v="1"/>
    <n v="1"/>
    <n v="3"/>
    <n v="15"/>
    <n v="2"/>
    <n v="1.25"/>
    <n v="2"/>
    <n v="2.5"/>
    <n v="0"/>
    <n v="0"/>
    <n v="2"/>
    <n v="2.5"/>
    <n v="4"/>
    <n v="5"/>
    <s v=""/>
    <n v="5"/>
    <n v="6.25"/>
    <n v="2"/>
    <n v="2.5"/>
    <s v=""/>
    <n v="10"/>
    <n v="12.5"/>
    <n v="2"/>
    <n v="2.5"/>
    <n v="6"/>
    <n v="7.5"/>
    <n v="2"/>
    <n v="2.5"/>
    <s v=""/>
    <n v="14"/>
    <n v="0"/>
    <n v="0"/>
    <n v="28"/>
    <n v="0"/>
    <n v="0"/>
    <n v="0"/>
    <n v="0"/>
    <n v="25"/>
    <n v="18"/>
    <n v="1"/>
    <n v="10"/>
    <s v=""/>
    <n v="0"/>
    <n v="0"/>
    <n v="1"/>
    <s v="assinatura"/>
    <n v="1968"/>
  </r>
  <r>
    <x v="54"/>
    <x v="8"/>
    <s v="6abbe112d12b6fdcdf5519b3"/>
    <s v="29/09/2026 04:28:40"/>
    <s v="29/09/2026 13:02:26"/>
    <s v="Henrique"/>
    <s v="29/09/2026"/>
    <s v="Guapiaçu"/>
    <s v="1 ° Turno"/>
    <n v="146"/>
    <n v="3019"/>
    <s v="EDMAR FELIPE MARTINS"/>
    <n v="30"/>
    <n v="30"/>
    <n v="11"/>
    <n v="11"/>
    <n v="0"/>
    <n v="0"/>
    <n v="4"/>
    <n v="4"/>
    <n v="1"/>
    <n v="1"/>
    <n v="0"/>
    <n v="0"/>
    <n v="2"/>
    <n v="0.68493150684931503"/>
    <n v="4"/>
    <n v="2.7397260273972601"/>
    <n v="0"/>
    <n v="0"/>
    <n v="3"/>
    <n v="2.054794520547945"/>
    <n v="6"/>
    <n v="4.10958904109589"/>
    <s v=""/>
    <n v="8"/>
    <n v="5.4794520547945202"/>
    <n v="2"/>
    <n v="1.3698630136986301"/>
    <s v=""/>
    <n v="11"/>
    <n v="7.5342465753424657"/>
    <n v="1"/>
    <n v="0.68493150684931503"/>
    <n v="6"/>
    <n v="4.10958904109589"/>
    <n v="2"/>
    <n v="1.3698630136986301"/>
    <s v=""/>
    <n v="19"/>
    <n v="0"/>
    <n v="0"/>
    <n v="38"/>
    <n v="0"/>
    <n v="0"/>
    <n v="0"/>
    <n v="0"/>
    <n v="20"/>
    <n v="18"/>
    <n v="1"/>
    <n v="10"/>
    <s v=""/>
    <s v=""/>
    <s v=""/>
    <s v=""/>
    <s v="assinatura"/>
    <n v="3447"/>
  </r>
  <r>
    <x v="55"/>
    <x v="8"/>
    <s v="6abdc6d0a48ad3e47d9c4cd9"/>
    <s v="30/09/2026 21:26:04"/>
    <s v="30/09/2026 23:34:56"/>
    <s v="Henrique"/>
    <s v="30/09/2026"/>
    <s v="Guapiaçu"/>
    <s v="2 ° Turno"/>
    <n v="151"/>
    <n v="3089"/>
    <s v="JOBILIANA APARECIDA MAXIMO BERGAMINI"/>
    <n v="20"/>
    <n v="20"/>
    <n v="6"/>
    <n v="6"/>
    <n v="0"/>
    <n v="0"/>
    <n v="1"/>
    <n v="1"/>
    <n v="0"/>
    <n v="0"/>
    <n v="0"/>
    <n v="0"/>
    <n v="3"/>
    <n v="0.99337748344370869"/>
    <n v="3"/>
    <n v="1.9867549668874174"/>
    <n v="0"/>
    <n v="0"/>
    <n v="2"/>
    <n v="1.3245033112582782"/>
    <n v="3"/>
    <n v="1.9867549668874174"/>
    <s v=""/>
    <n v="0"/>
    <n v="0"/>
    <n v="0"/>
    <n v="0"/>
    <s v=""/>
    <n v="4"/>
    <n v="2.6490066225165565"/>
    <n v="4"/>
    <n v="2.6490066225165565"/>
    <n v="5"/>
    <n v="3.3112582781456954"/>
    <n v="0"/>
    <n v="0"/>
    <s v=""/>
    <n v="16"/>
    <n v="0"/>
    <n v="0"/>
    <n v="32"/>
    <n v="0"/>
    <n v="0"/>
    <n v="0"/>
    <n v="0"/>
    <n v="20"/>
    <n v="17"/>
    <n v="0"/>
    <n v="0"/>
    <s v=""/>
    <n v="0"/>
    <n v="0"/>
    <n v="0"/>
    <s v="assinatura"/>
    <n v="1071"/>
  </r>
  <r>
    <x v="55"/>
    <x v="8"/>
    <s v="6abdc6d0a48ad3e47d9c4cc7"/>
    <s v="30/09/2026 19:03:03"/>
    <s v="30/09/2026 23:34:56"/>
    <s v="Henrique"/>
    <s v="30/09/2026"/>
    <s v="Guapiaçu"/>
    <s v="2 ° Turno"/>
    <n v="127"/>
    <n v="3146"/>
    <s v="JOBILIANA APARECIDA MAXIMO BERGAMINI"/>
    <n v="15"/>
    <n v="15"/>
    <n v="5"/>
    <n v="5"/>
    <n v="0"/>
    <n v="0"/>
    <n v="3"/>
    <n v="3"/>
    <n v="2"/>
    <n v="2"/>
    <n v="0"/>
    <n v="0"/>
    <n v="4"/>
    <n v="1.5748031496062991"/>
    <n v="15"/>
    <n v="11.811023622047244"/>
    <n v="0"/>
    <n v="0"/>
    <n v="3"/>
    <n v="2.3622047244094486"/>
    <n v="4"/>
    <n v="3.1496062992125982"/>
    <s v=""/>
    <n v="1"/>
    <n v="0.78740157480314954"/>
    <n v="0"/>
    <n v="0"/>
    <s v=""/>
    <n v="3"/>
    <n v="2.3622047244094486"/>
    <n v="2"/>
    <n v="1.5748031496062991"/>
    <n v="4"/>
    <n v="3.1496062992125982"/>
    <n v="0"/>
    <n v="0"/>
    <s v=""/>
    <n v="19"/>
    <n v="0"/>
    <n v="0"/>
    <n v="38"/>
    <n v="0"/>
    <n v="0"/>
    <n v="0"/>
    <n v="0"/>
    <n v="27"/>
    <n v="14"/>
    <n v="0"/>
    <n v="0"/>
    <s v=""/>
    <n v="0"/>
    <n v="0"/>
    <n v="0"/>
    <s v="assinatura"/>
    <n v="8188"/>
  </r>
  <r>
    <x v="55"/>
    <x v="8"/>
    <s v="6abd806f8c70c570f30dc379"/>
    <s v="30/09/2026 14:09:30"/>
    <s v="30/09/2026 18:34:39"/>
    <s v="Henrique"/>
    <s v="30/09/2026"/>
    <s v="Guapiaçu"/>
    <s v="2 ° Turno"/>
    <n v="133"/>
    <n v="2751"/>
    <s v="JOBILIANA APARECIDA MAXIMO BERGAMINI"/>
    <n v="20"/>
    <n v="20"/>
    <n v="8"/>
    <n v="8"/>
    <n v="0"/>
    <n v="0"/>
    <n v="1"/>
    <n v="1"/>
    <n v="0"/>
    <n v="0"/>
    <n v="0"/>
    <n v="0"/>
    <n v="4"/>
    <n v="1.5037593984962405"/>
    <n v="4"/>
    <n v="3.007518796992481"/>
    <n v="0"/>
    <n v="0"/>
    <n v="1"/>
    <n v="0.75187969924812026"/>
    <n v="1"/>
    <n v="0.75187969924812026"/>
    <s v=""/>
    <n v="0"/>
    <n v="0"/>
    <n v="0"/>
    <n v="0"/>
    <s v=""/>
    <n v="7"/>
    <n v="5.2631578947368416"/>
    <n v="6"/>
    <n v="4.5112781954887211"/>
    <n v="4"/>
    <n v="3.007518796992481"/>
    <n v="0"/>
    <n v="0"/>
    <s v=""/>
    <n v="16"/>
    <n v="0"/>
    <n v="0"/>
    <n v="32"/>
    <n v="0"/>
    <n v="0"/>
    <n v="4"/>
    <n v="3.007518796992481"/>
    <n v="20"/>
    <n v="17"/>
    <n v="0"/>
    <n v="0"/>
    <s v=""/>
    <n v="1"/>
    <n v="0"/>
    <n v="0"/>
    <s v="assinatura"/>
    <n v="11301"/>
  </r>
  <r>
    <x v="55"/>
    <x v="8"/>
    <s v="6abd346f7f3e0285f25b9395"/>
    <s v="30/09/2026 11:24:22"/>
    <s v="30/09/2026 13:10:23"/>
    <s v="Henrique"/>
    <s v="30/09/2026"/>
    <s v="Guapiaçu"/>
    <s v="1 ° Turno"/>
    <n v="161"/>
    <n v="2943"/>
    <s v="EDMAR FELIPE MARTINS"/>
    <n v="35"/>
    <n v="35"/>
    <n v="20"/>
    <n v="20"/>
    <n v="0"/>
    <n v="0"/>
    <n v="3"/>
    <n v="3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n v="1"/>
    <n v="0.6211180124223602"/>
    <n v="7"/>
    <n v="4.3478260869565215"/>
    <n v="1"/>
    <n v="0.6211180124223602"/>
    <s v=""/>
    <n v="19"/>
    <n v="0"/>
    <n v="0"/>
    <n v="38"/>
    <n v="0"/>
    <n v="0"/>
    <n v="0"/>
    <n v="0"/>
    <n v="21"/>
    <n v="16"/>
    <n v="1"/>
    <n v="10"/>
    <s v=""/>
    <s v=""/>
    <s v=""/>
    <s v=""/>
    <s v="assinatura"/>
    <n v="1416"/>
  </r>
  <r>
    <x v="55"/>
    <x v="8"/>
    <s v="6abd346f7f3e0285f25b9383"/>
    <s v="30/09/2026 08:48:56"/>
    <s v="30/09/2026 13:10:23"/>
    <s v="Henrique"/>
    <s v="30/09/2026"/>
    <s v="Guapiaçu"/>
    <s v="1 ° Turno"/>
    <n v="160"/>
    <n v="2775"/>
    <s v="EDMAR FELIPE MARTINS"/>
    <n v="49"/>
    <n v="49"/>
    <n v="31"/>
    <n v="31"/>
    <n v="0"/>
    <n v="0"/>
    <n v="2"/>
    <n v="2"/>
    <n v="1"/>
    <n v="1"/>
    <n v="0"/>
    <n v="0"/>
    <n v="5"/>
    <n v="1.5625"/>
    <n v="2"/>
    <n v="1.25"/>
    <n v="0"/>
    <n v="0"/>
    <n v="3"/>
    <n v="1.875"/>
    <n v="5"/>
    <n v="3.125"/>
    <s v=""/>
    <n v="3"/>
    <n v="1.875"/>
    <n v="3"/>
    <n v="1.875"/>
    <s v=""/>
    <n v="7"/>
    <n v="4.375"/>
    <n v="2"/>
    <n v="1.25"/>
    <n v="8"/>
    <n v="5"/>
    <n v="1"/>
    <n v="0.625"/>
    <s v=""/>
    <n v="20"/>
    <n v="0"/>
    <n v="0"/>
    <n v="40"/>
    <n v="0"/>
    <n v="0"/>
    <n v="0"/>
    <n v="0"/>
    <n v="19"/>
    <n v="17"/>
    <n v="1"/>
    <n v="10"/>
    <s v=""/>
    <n v="0"/>
    <n v="0"/>
    <n v="2"/>
    <s v="assinatura"/>
    <n v="1721"/>
  </r>
  <r>
    <x v="55"/>
    <x v="8"/>
    <s v="6abd346f7f3e0285f25b9371"/>
    <s v="30/09/2026 06:35:19"/>
    <s v="30/09/2026 13:10:23"/>
    <s v="Henrique"/>
    <s v="30/09/2026"/>
    <s v="Guapiaçu"/>
    <s v="1 ° Turno"/>
    <n v="135"/>
    <n v="2861"/>
    <s v="EDMAR FELIPE MARTINS"/>
    <n v="31"/>
    <n v="31"/>
    <n v="14"/>
    <n v="14.000000000000002"/>
    <n v="0"/>
    <n v="0"/>
    <n v="1"/>
    <n v="1"/>
    <n v="0"/>
    <n v="0"/>
    <n v="0"/>
    <n v="0"/>
    <n v="1"/>
    <n v="0.37037037037037041"/>
    <n v="3"/>
    <n v="2.2222222222222223"/>
    <n v="1"/>
    <n v="0.74074074074074081"/>
    <n v="1"/>
    <n v="0.74074074074074081"/>
    <n v="5"/>
    <n v="3.7037037037037033"/>
    <s v=""/>
    <n v="3"/>
    <n v="2.2222222222222223"/>
    <n v="1"/>
    <n v="0.74074074074074081"/>
    <s v=""/>
    <n v="5"/>
    <n v="3.7037037037037033"/>
    <n v="1"/>
    <n v="0.74074074074074081"/>
    <n v="6"/>
    <n v="4.4444444444444446"/>
    <n v="1"/>
    <n v="0.74074074074074081"/>
    <s v=""/>
    <n v="21"/>
    <n v="0"/>
    <n v="0"/>
    <n v="42"/>
    <n v="0"/>
    <n v="0"/>
    <n v="0"/>
    <n v="0"/>
    <n v="20"/>
    <n v="27"/>
    <n v="1"/>
    <n v="10"/>
    <s v=""/>
    <n v="0"/>
    <n v="0"/>
    <n v="1"/>
    <s v="assinatura"/>
    <n v="2325"/>
  </r>
  <r>
    <x v="55"/>
    <x v="8"/>
    <s v="6abd346e7f3e0285f25b9359"/>
    <s v="30/09/2026 04:24:40"/>
    <s v="30/09/2026 13:10:22"/>
    <s v="Henrique"/>
    <s v="30/09/2026"/>
    <s v="Guapiaçu"/>
    <s v="1 ° Turno"/>
    <n v="146"/>
    <n v="2949"/>
    <s v="EDMAR FELIPE MARTINS"/>
    <n v="29"/>
    <n v="28.999999999999996"/>
    <n v="11"/>
    <n v="11"/>
    <n v="0"/>
    <n v="0"/>
    <n v="3"/>
    <n v="3"/>
    <n v="1"/>
    <n v="1"/>
    <n v="0"/>
    <n v="0"/>
    <n v="1"/>
    <n v="0.34246575342465752"/>
    <n v="2"/>
    <n v="1.3698630136986301"/>
    <n v="0"/>
    <n v="0"/>
    <n v="1"/>
    <n v="0.68493150684931503"/>
    <n v="5"/>
    <n v="3.4246575342465753"/>
    <s v=""/>
    <n v="2"/>
    <n v="1.3698630136986301"/>
    <n v="2"/>
    <n v="1.3698630136986301"/>
    <s v=""/>
    <n v="6"/>
    <n v="4.10958904109589"/>
    <n v="1"/>
    <n v="0.68493150684931503"/>
    <n v="6"/>
    <n v="4.10958904109589"/>
    <n v="1"/>
    <n v="0.68493150684931503"/>
    <s v=""/>
    <n v="18"/>
    <n v="0"/>
    <n v="0"/>
    <n v="36"/>
    <n v="0"/>
    <n v="0"/>
    <n v="0"/>
    <n v="0"/>
    <n v="17"/>
    <n v="23"/>
    <n v="1"/>
    <n v="10"/>
    <s v=""/>
    <s v=""/>
    <s v=""/>
    <s v=""/>
    <s v="assinatura"/>
    <n v="1752"/>
  </r>
  <r>
    <x v="56"/>
    <x v="9"/>
    <s v="6abf1961826700b8f0e1b938"/>
    <s v="01/10/2026 21:46:16"/>
    <s v="01/10/2026 23:39:29"/>
    <s v="Henrique"/>
    <s v="01/10/2026"/>
    <s v="Guapiaçu"/>
    <s v="2 ° Turno"/>
    <n v="156"/>
    <n v="2978"/>
    <s v="JOBILIANA APARECIDA MAXIMO BERGAMINI"/>
    <n v="20"/>
    <n v="20"/>
    <n v="6"/>
    <n v="6"/>
    <n v="0"/>
    <n v="0"/>
    <n v="3"/>
    <n v="3"/>
    <n v="1"/>
    <n v="1"/>
    <n v="0"/>
    <n v="0"/>
    <n v="3"/>
    <n v="0.96153846153846156"/>
    <n v="2"/>
    <n v="1.2820512820512819"/>
    <n v="0"/>
    <n v="0"/>
    <n v="4"/>
    <n v="2.5641025641025639"/>
    <n v="2"/>
    <n v="1.2820512820512819"/>
    <s v=""/>
    <n v="0"/>
    <n v="0"/>
    <n v="0"/>
    <n v="0"/>
    <s v=""/>
    <n v="5"/>
    <n v="3.2051282051282048"/>
    <n v="6"/>
    <n v="3.8461538461538463"/>
    <n v="6"/>
    <n v="3.8461538461538463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3187"/>
  </r>
  <r>
    <x v="56"/>
    <x v="9"/>
    <s v="6abf1961826700b8f0e1b91e"/>
    <s v="01/10/2026 19:14:04"/>
    <s v="01/10/2026 23:39:29"/>
    <s v="Henrique"/>
    <s v="01/10/2026"/>
    <s v="Guapiaçu"/>
    <s v="2 ° Turno"/>
    <n v="140"/>
    <n v="3071"/>
    <s v="JOBILIANA APARECIDA MAXIMO BERGAMINI"/>
    <n v="10"/>
    <n v="10"/>
    <n v="6"/>
    <n v="6"/>
    <n v="0"/>
    <n v="0"/>
    <n v="3"/>
    <n v="3"/>
    <n v="1"/>
    <n v="1"/>
    <n v="1"/>
    <n v="5"/>
    <n v="4"/>
    <n v="1.4285714285714286"/>
    <n v="3"/>
    <n v="2.1428571428571428"/>
    <n v="0"/>
    <n v="0"/>
    <n v="1"/>
    <n v="0.7142857142857143"/>
    <n v="2"/>
    <n v="1.4285714285714286"/>
    <s v=""/>
    <n v="0"/>
    <n v="0"/>
    <n v="0"/>
    <n v="0"/>
    <s v=""/>
    <n v="5"/>
    <n v="3.5714285714285712"/>
    <n v="5"/>
    <n v="3.5714285714285712"/>
    <n v="8"/>
    <n v="5.7142857142857144"/>
    <n v="0"/>
    <n v="0"/>
    <s v=""/>
    <n v="19"/>
    <n v="0"/>
    <n v="0"/>
    <n v="38"/>
    <n v="0"/>
    <n v="0"/>
    <n v="1"/>
    <n v="0.7142857142857143"/>
    <n v="21"/>
    <n v="18"/>
    <n v="0"/>
    <n v="0"/>
    <s v=""/>
    <n v="4"/>
    <n v="0"/>
    <n v="0"/>
    <s v="assinatura"/>
    <n v="9122"/>
  </r>
  <r>
    <x v="56"/>
    <x v="9"/>
    <s v="6abf1961826700b8f0e1b8f4"/>
    <s v="01/10/2026 14:11:51"/>
    <s v="01/10/2026 23:39:29"/>
    <s v="Henrique"/>
    <s v="01/10/2026"/>
    <s v="Guapiaçu"/>
    <s v="2 ° Turno"/>
    <n v="99"/>
    <n v="3008"/>
    <s v="JOBILIANA APARECIDA MAXIMO BERGAMINI"/>
    <n v="8"/>
    <n v="8"/>
    <n v="5"/>
    <n v="5"/>
    <n v="0"/>
    <n v="0"/>
    <n v="2"/>
    <n v="2"/>
    <n v="1"/>
    <n v="1"/>
    <n v="0"/>
    <n v="0"/>
    <n v="5"/>
    <n v="2.5252525252525251"/>
    <n v="1"/>
    <n v="1.0101010101010102"/>
    <n v="0"/>
    <n v="0"/>
    <n v="1"/>
    <n v="1.0101010101010102"/>
    <n v="1"/>
    <n v="1.0101010101010102"/>
    <s v=""/>
    <n v="0"/>
    <n v="0"/>
    <n v="0"/>
    <n v="0"/>
    <s v=""/>
    <n v="3"/>
    <n v="3.0303030303030303"/>
    <n v="5"/>
    <n v="5.0505050505050502"/>
    <n v="4"/>
    <n v="4.0404040404040407"/>
    <n v="0"/>
    <n v="0"/>
    <s v=""/>
    <n v="16"/>
    <n v="0"/>
    <n v="2"/>
    <n v="32"/>
    <n v="0"/>
    <n v="4"/>
    <n v="0"/>
    <n v="0"/>
    <n v="18"/>
    <n v="10"/>
    <n v="0"/>
    <n v="0"/>
    <s v=""/>
    <n v="2"/>
    <n v="0"/>
    <n v="0"/>
    <s v="assinatura"/>
    <n v="9337"/>
  </r>
  <r>
    <x v="56"/>
    <x v="9"/>
    <s v="6abe88111c9c14776a2d6325"/>
    <s v="01/10/2026 11:34:12"/>
    <s v="01/10/2026 13:19:29"/>
    <s v="Henrique"/>
    <s v="01/10/2026"/>
    <s v="Guapiaçu"/>
    <s v="1 ° Turno"/>
    <n v="161"/>
    <n v="2980"/>
    <s v="EDMAR FELIPE MARTINS"/>
    <n v="51"/>
    <n v="51"/>
    <n v="33"/>
    <n v="33"/>
    <n v="0"/>
    <n v="0"/>
    <n v="1"/>
    <n v="1"/>
    <n v="1"/>
    <n v="1"/>
    <n v="0"/>
    <n v="0"/>
    <n v="5"/>
    <n v="1.5527950310559007"/>
    <n v="3"/>
    <n v="1.8633540372670807"/>
    <n v="0"/>
    <n v="0"/>
    <n v="1"/>
    <n v="0.6211180124223602"/>
    <n v="7"/>
    <n v="4.3478260869565215"/>
    <s v=""/>
    <n v="3"/>
    <n v="1.8633540372670807"/>
    <n v="3"/>
    <n v="1.8633540372670807"/>
    <s v=""/>
    <n v="7"/>
    <n v="4.3478260869565215"/>
    <n v="3"/>
    <n v="1.8633540372670807"/>
    <n v="8"/>
    <n v="4.9689440993788816"/>
    <n v="1"/>
    <n v="0.6211180124223602"/>
    <s v=""/>
    <n v="19"/>
    <n v="0"/>
    <n v="0"/>
    <n v="38"/>
    <n v="0"/>
    <n v="0"/>
    <n v="1"/>
    <n v="0.6211180124223602"/>
    <n v="20"/>
    <n v="21"/>
    <n v="1"/>
    <n v="10"/>
    <s v=""/>
    <n v="1"/>
    <n v="0"/>
    <n v="1"/>
    <s v="assinatura"/>
    <n v="3491"/>
  </r>
  <r>
    <x v="56"/>
    <x v="9"/>
    <s v="6abe88111c9c14776a2d630d"/>
    <s v="01/10/2026 08:28:53"/>
    <s v="01/10/2026 13:19:29"/>
    <s v="Henrique"/>
    <s v="01/10/2026"/>
    <s v="Guapiaçu"/>
    <s v="1 ° Turno"/>
    <n v="161"/>
    <n v="2972"/>
    <s v="EDMAR FELIPE MARTINS"/>
    <n v="53"/>
    <n v="53"/>
    <n v="29"/>
    <n v="28.999999999999996"/>
    <n v="0"/>
    <n v="0"/>
    <n v="3"/>
    <n v="3"/>
    <n v="1"/>
    <n v="1"/>
    <n v="0"/>
    <n v="0"/>
    <n v="4"/>
    <n v="1.2422360248447204"/>
    <n v="3"/>
    <n v="1.8633540372670807"/>
    <n v="0"/>
    <n v="0"/>
    <s v=""/>
    <s v=""/>
    <n v="6"/>
    <n v="3.7267080745341614"/>
    <s v=""/>
    <n v="2"/>
    <n v="1.2422360248447204"/>
    <n v="3"/>
    <n v="1.8633540372670807"/>
    <s v=""/>
    <n v="6"/>
    <n v="3.7267080745341614"/>
    <n v="2"/>
    <n v="1.2422360248447204"/>
    <n v="7"/>
    <n v="4.3478260869565215"/>
    <n v="1"/>
    <n v="0.6211180124223602"/>
    <s v=""/>
    <n v="19"/>
    <n v="3"/>
    <n v="3"/>
    <n v="38"/>
    <n v="6"/>
    <n v="6"/>
    <n v="1"/>
    <n v="0.6211180124223602"/>
    <n v="22"/>
    <n v="19"/>
    <n v="1"/>
    <n v="10"/>
    <s v=""/>
    <n v="0"/>
    <n v="0"/>
    <n v="2"/>
    <s v="assinatura"/>
    <n v="2032"/>
  </r>
  <r>
    <x v="56"/>
    <x v="9"/>
    <s v="6abe88111c9c14776a2d6301"/>
    <s v="01/10/2026 06:27:15"/>
    <s v="01/10/2026 13:19:29"/>
    <s v="Henrique"/>
    <s v="01/10/2026"/>
    <s v="Guapiaçu"/>
    <s v="1 ° Turno"/>
    <n v="161"/>
    <n v="2968"/>
    <s v="EDMAR FELIPE MARTINS"/>
    <n v="51"/>
    <n v="51"/>
    <n v="27"/>
    <n v="27"/>
    <n v="0"/>
    <n v="0"/>
    <n v="3"/>
    <n v="3"/>
    <n v="1"/>
    <n v="1"/>
    <n v="1"/>
    <n v="5"/>
    <n v="6"/>
    <n v="1.8633540372670807"/>
    <n v="3"/>
    <n v="1.8633540372670807"/>
    <n v="0"/>
    <n v="0"/>
    <n v="0"/>
    <n v="0"/>
    <n v="5"/>
    <n v="3.1055900621118013"/>
    <s v=""/>
    <n v="3"/>
    <n v="1.8633540372670807"/>
    <n v="3"/>
    <n v="1.8633540372670807"/>
    <s v=""/>
    <n v="8"/>
    <n v="4.9689440993788816"/>
    <n v="2"/>
    <n v="1.2422360248447204"/>
    <n v="7"/>
    <n v="4.3478260869565215"/>
    <n v="1"/>
    <n v="0.6211180124223602"/>
    <s v=""/>
    <n v="19"/>
    <n v="0"/>
    <n v="0"/>
    <n v="38"/>
    <n v="0"/>
    <n v="0"/>
    <n v="0"/>
    <n v="0"/>
    <n v="21"/>
    <n v="18"/>
    <n v="1"/>
    <n v="10"/>
    <s v=""/>
    <n v="0"/>
    <n v="0"/>
    <n v="1"/>
    <s v="assinatura"/>
    <n v="2405"/>
  </r>
  <r>
    <x v="56"/>
    <x v="9"/>
    <s v="6abe88101c9c14776a2d62ef"/>
    <s v="01/10/2026 04:28:16"/>
    <s v="01/10/2026 13:19:28"/>
    <s v="Henrique"/>
    <s v="01/10/2026"/>
    <s v="Guapiaçu"/>
    <s v="1 ° Turno"/>
    <n v="161"/>
    <n v="2945"/>
    <s v="EDMAR FELIPE MARTINS"/>
    <n v="42"/>
    <n v="42"/>
    <n v="20"/>
    <n v="20"/>
    <n v="0"/>
    <n v="0"/>
    <n v="2"/>
    <n v="2"/>
    <n v="0"/>
    <n v="0"/>
    <n v="0"/>
    <n v="0"/>
    <n v="4"/>
    <n v="1.2422360248447204"/>
    <n v="2"/>
    <n v="1.2422360248447204"/>
    <n v="0"/>
    <n v="0"/>
    <n v="0"/>
    <n v="0"/>
    <n v="5"/>
    <n v="3.1055900621118013"/>
    <s v=""/>
    <n v="3"/>
    <n v="1.8633540372670807"/>
    <n v="2"/>
    <n v="1.2422360248447204"/>
    <s v=""/>
    <n v="5"/>
    <n v="3.1055900621118013"/>
    <n v="2"/>
    <n v="1.2422360248447204"/>
    <n v="6"/>
    <n v="3.7267080745341614"/>
    <n v="1"/>
    <n v="0.6211180124223602"/>
    <s v=""/>
    <n v="19"/>
    <n v="0"/>
    <n v="0"/>
    <n v="38"/>
    <n v="0"/>
    <n v="0"/>
    <n v="0"/>
    <n v="0"/>
    <n v="23"/>
    <n v="19"/>
    <n v="1"/>
    <n v="10"/>
    <s v=""/>
    <s v=""/>
    <s v=""/>
    <s v=""/>
    <s v="assinatura"/>
    <n v="1682"/>
  </r>
  <r>
    <x v="57"/>
    <x v="9"/>
    <s v="6ac45f339b7db2ba7646ac81"/>
    <s v="05/10/2026 21:31:32"/>
    <s v="05/10/2026 23:38:43"/>
    <s v="Henrique"/>
    <s v="05/10/2026"/>
    <s v="Guapiaçu"/>
    <s v="2 ° Turno"/>
    <n v="161"/>
    <n v="2998"/>
    <s v="JOBILIANA APARECIDA MAXIMO BERGAMINI"/>
    <n v="20"/>
    <n v="20"/>
    <n v="6"/>
    <n v="6"/>
    <n v="0"/>
    <n v="0"/>
    <n v="1"/>
    <n v="1"/>
    <n v="0"/>
    <n v="0"/>
    <n v="0"/>
    <n v="0"/>
    <n v="6"/>
    <n v="1.8633540372670807"/>
    <n v="4"/>
    <n v="2.4844720496894408"/>
    <n v="0"/>
    <n v="0"/>
    <n v="6"/>
    <n v="3.7267080745341614"/>
    <n v="4"/>
    <n v="2.4844720496894408"/>
    <s v=""/>
    <n v="0"/>
    <n v="0"/>
    <n v="0"/>
    <n v="0"/>
    <s v=""/>
    <n v="6"/>
    <n v="3.7267080745341614"/>
    <n v="5"/>
    <n v="3.1055900621118013"/>
    <n v="6"/>
    <n v="3.7267080745341614"/>
    <n v="1"/>
    <n v="0.6211180124223602"/>
    <s v=""/>
    <n v="18"/>
    <n v="0"/>
    <n v="0"/>
    <n v="36"/>
    <n v="0"/>
    <n v="0"/>
    <n v="0"/>
    <n v="0"/>
    <n v="20"/>
    <n v="16"/>
    <n v="0"/>
    <n v="0"/>
    <s v=""/>
    <n v="0"/>
    <n v="0"/>
    <n v="0"/>
    <s v="assinatura"/>
    <n v="411"/>
  </r>
  <r>
    <x v="57"/>
    <x v="9"/>
    <s v="6ac45f339b7db2ba7646ac63"/>
    <s v="05/10/2026 19:04:12"/>
    <s v="05/10/2026 23:38:43"/>
    <s v="Henrique"/>
    <s v="05/10/2026"/>
    <s v="Guapiaçu"/>
    <s v="2 ° Turno"/>
    <n v="156"/>
    <n v="2914"/>
    <s v="JOBILIANA APARECIDA MAXIMO BERGAMINI"/>
    <n v="20"/>
    <n v="20"/>
    <n v="11"/>
    <n v="11"/>
    <n v="1"/>
    <n v="10"/>
    <n v="1"/>
    <n v="1"/>
    <n v="0"/>
    <n v="0"/>
    <n v="0"/>
    <n v="0"/>
    <n v="5"/>
    <n v="1.6025641025641024"/>
    <n v="4"/>
    <n v="2.5641025641025639"/>
    <n v="0"/>
    <n v="0"/>
    <n v="1"/>
    <n v="0.64102564102564097"/>
    <n v="2"/>
    <n v="1.2820512820512819"/>
    <s v=""/>
    <n v="0"/>
    <n v="0"/>
    <n v="0"/>
    <n v="0"/>
    <s v=""/>
    <n v="15"/>
    <n v="9.6153846153846168"/>
    <n v="3"/>
    <n v="1.9230769230769231"/>
    <n v="8"/>
    <n v="5.1282051282051277"/>
    <n v="0"/>
    <n v="0"/>
    <s v=""/>
    <n v="19"/>
    <n v="0"/>
    <n v="0"/>
    <n v="38"/>
    <n v="0"/>
    <n v="0"/>
    <n v="0"/>
    <n v="0"/>
    <n v="20"/>
    <n v="18"/>
    <n v="0"/>
    <n v="0"/>
    <s v=""/>
    <n v="3"/>
    <n v="0"/>
    <n v="0"/>
    <s v="assinatura"/>
    <n v="8354"/>
  </r>
  <r>
    <x v="57"/>
    <x v="9"/>
    <s v="6ac45f339b7db2ba7646ac51"/>
    <s v="05/10/2026 15:05:03"/>
    <s v="05/10/2026 23:38:43"/>
    <s v="Henrique"/>
    <s v="05/10/2026"/>
    <s v="Guapiaçu"/>
    <s v="2 ° Turno"/>
    <n v="89"/>
    <n v="2998"/>
    <s v="JOBILIANA APARECIDA MAXIMO BERGAMINI"/>
    <n v="9"/>
    <n v="9"/>
    <n v="4"/>
    <n v="4"/>
    <n v="1"/>
    <n v="10"/>
    <n v="2"/>
    <n v="2"/>
    <n v="1"/>
    <n v="1"/>
    <n v="1"/>
    <n v="5"/>
    <n v="3"/>
    <n v="1.6853932584269662"/>
    <n v="2"/>
    <n v="2.2471910112359552"/>
    <n v="0"/>
    <n v="0"/>
    <n v="1"/>
    <n v="1.1235955056179776"/>
    <n v="1"/>
    <n v="1.1235955056179776"/>
    <s v=""/>
    <n v="0"/>
    <n v="0"/>
    <n v="0"/>
    <n v="0"/>
    <s v=""/>
    <n v="7"/>
    <n v="7.8651685393258424"/>
    <n v="4"/>
    <n v="4.4943820224719104"/>
    <n v="5"/>
    <n v="5.6179775280898872"/>
    <n v="0"/>
    <n v="0"/>
    <s v=""/>
    <n v="16"/>
    <n v="0"/>
    <n v="0"/>
    <n v="32"/>
    <n v="0"/>
    <n v="0"/>
    <n v="0"/>
    <n v="0"/>
    <n v="23"/>
    <n v="22"/>
    <n v="0"/>
    <n v="0"/>
    <s v=""/>
    <n v="3"/>
    <n v="0"/>
    <n v="0"/>
    <s v="assinatura"/>
    <n v="9771"/>
  </r>
  <r>
    <x v="57"/>
    <x v="9"/>
    <s v="6ac3bbfb76e463e032fa48b2"/>
    <s v="05/10/2026 04:16:00"/>
    <s v="05/10/2026 12:02:19"/>
    <s v="Henrique"/>
    <s v="05/10/2026"/>
    <s v="Guapiaçu"/>
    <s v="1 ° Turno"/>
    <n v="156"/>
    <n v="2998"/>
    <s v="EDMAR FELIPE MARTINS"/>
    <n v="33"/>
    <n v="33"/>
    <n v="21"/>
    <n v="21"/>
    <n v="0"/>
    <n v="0"/>
    <n v="3"/>
    <n v="3"/>
    <n v="1"/>
    <n v="1"/>
    <n v="0"/>
    <n v="0"/>
    <n v="4"/>
    <n v="1.2820512820512819"/>
    <n v="3"/>
    <n v="1.9230769230769231"/>
    <n v="1"/>
    <n v="0.64102564102564097"/>
    <n v="2"/>
    <n v="1.2820512820512819"/>
    <n v="5"/>
    <n v="3.2051282051282048"/>
    <s v=""/>
    <n v="3"/>
    <n v="1.9230769230769231"/>
    <n v="3"/>
    <n v="1.9230769230769231"/>
    <s v=""/>
    <n v="6"/>
    <n v="3.8461538461538463"/>
    <n v="3"/>
    <n v="1.9230769230769231"/>
    <n v="7"/>
    <n v="4.4871794871794872"/>
    <n v="1"/>
    <n v="0.64102564102564097"/>
    <s v=""/>
    <n v="20"/>
    <n v="1"/>
    <n v="1"/>
    <n v="40"/>
    <n v="2"/>
    <n v="2"/>
    <n v="1"/>
    <n v="0.64102564102564097"/>
    <n v="15"/>
    <n v="24"/>
    <n v="0"/>
    <n v="0"/>
    <s v=""/>
    <s v=""/>
    <s v=""/>
    <s v=""/>
    <s v="assinatura"/>
    <n v="2493"/>
  </r>
  <r>
    <x v="58"/>
    <x v="9"/>
    <s v="6ac06c36486c261c1ca097ed"/>
    <s v="02/10/2026 21:09:11"/>
    <s v="02/10/2026 23:45:10"/>
    <s v="Henrique"/>
    <s v="02/10/2026"/>
    <s v="Guapiaçu"/>
    <s v="2 ° Turno"/>
    <n v="161"/>
    <n v="2813"/>
    <s v="JOBILIANA APARECIDA MAXIMO BERGAMINI"/>
    <n v="20"/>
    <n v="20"/>
    <n v="5"/>
    <n v="5"/>
    <n v="0"/>
    <n v="0"/>
    <n v="1"/>
    <n v="1"/>
    <n v="0"/>
    <n v="0"/>
    <n v="0"/>
    <n v="0"/>
    <n v="4"/>
    <n v="1.2422360248447204"/>
    <n v="2"/>
    <n v="1.2422360248447204"/>
    <n v="0"/>
    <n v="0"/>
    <n v="0"/>
    <n v="0"/>
    <n v="2"/>
    <n v="1.2422360248447204"/>
    <s v=""/>
    <n v="0"/>
    <n v="0"/>
    <n v="0"/>
    <n v="0"/>
    <s v=""/>
    <n v="4"/>
    <n v="2.4844720496894408"/>
    <n v="5"/>
    <n v="3.1055900621118013"/>
    <n v="6"/>
    <n v="3.7267080745341614"/>
    <n v="1"/>
    <n v="0.6211180124223602"/>
    <s v=""/>
    <n v="14"/>
    <n v="0"/>
    <n v="0"/>
    <n v="28"/>
    <n v="0"/>
    <n v="0"/>
    <n v="0"/>
    <n v="0"/>
    <n v="20"/>
    <n v="17"/>
    <n v="0"/>
    <n v="0"/>
    <s v=""/>
    <n v="1"/>
    <n v="0"/>
    <n v="0"/>
    <s v="assinatura"/>
    <n v="275"/>
  </r>
  <r>
    <x v="58"/>
    <x v="9"/>
    <s v="6ac06c35486c261c1ca097d5"/>
    <s v="02/10/2026 18:37:36"/>
    <s v="02/10/2026 23:45:09"/>
    <s v="Henrique"/>
    <s v="02/10/2026"/>
    <s v="Guapiaçu"/>
    <s v="2 ° Turno"/>
    <n v="156"/>
    <n v="2903"/>
    <s v="JOBILIANA APARECIDA MAXIMO BERGAMINI"/>
    <n v="13"/>
    <n v="13"/>
    <n v="8"/>
    <n v="8"/>
    <n v="2"/>
    <n v="20"/>
    <n v="1"/>
    <n v="1"/>
    <n v="0"/>
    <n v="0"/>
    <n v="0"/>
    <n v="0"/>
    <n v="6"/>
    <n v="1.9230769230769231"/>
    <n v="1"/>
    <n v="0.64102564102564097"/>
    <n v="0"/>
    <n v="0"/>
    <n v="0"/>
    <n v="0"/>
    <n v="1"/>
    <n v="0.64102564102564097"/>
    <s v=""/>
    <n v="0"/>
    <n v="0"/>
    <n v="0"/>
    <n v="0"/>
    <s v=""/>
    <n v="4"/>
    <n v="2.5641025641025639"/>
    <n v="6"/>
    <n v="3.8461538461538463"/>
    <n v="5"/>
    <n v="3.2051282051282048"/>
    <n v="0"/>
    <n v="0"/>
    <s v=""/>
    <n v="15"/>
    <n v="0"/>
    <n v="0"/>
    <n v="30"/>
    <n v="0"/>
    <n v="0"/>
    <n v="1"/>
    <n v="0.64102564102564097"/>
    <n v="21"/>
    <n v="19"/>
    <n v="0"/>
    <n v="0"/>
    <s v=""/>
    <n v="0"/>
    <n v="0"/>
    <n v="0"/>
    <s v="assinatura"/>
    <n v="7160"/>
  </r>
  <r>
    <x v="58"/>
    <x v="9"/>
    <s v="6ac06c35486c261c1ca097b1"/>
    <s v="02/10/2026 14:04:49"/>
    <s v="02/10/2026 23:45:09"/>
    <s v="Henrique"/>
    <s v="02/10/2026"/>
    <s v="Guapiaçu"/>
    <s v="2 ° Turno"/>
    <n v="116"/>
    <n v="5852"/>
    <s v="JOBILIANA APARECIDA MAXIMO BERGAMINI"/>
    <n v="10"/>
    <n v="10"/>
    <n v="5"/>
    <n v="5"/>
    <n v="0"/>
    <n v="0"/>
    <n v="3"/>
    <n v="3"/>
    <n v="2"/>
    <n v="2"/>
    <n v="0"/>
    <n v="0"/>
    <n v="4"/>
    <n v="1.7241379310344827"/>
    <n v="1"/>
    <n v="0.86206896551724133"/>
    <n v="0"/>
    <n v="0"/>
    <n v="1"/>
    <n v="0.86206896551724133"/>
    <n v="2"/>
    <n v="1.7241379310344827"/>
    <s v=""/>
    <n v="1"/>
    <n v="0.86206896551724133"/>
    <n v="0"/>
    <n v="0"/>
    <s v=""/>
    <n v="3"/>
    <n v="2.5862068965517242"/>
    <n v="6"/>
    <n v="5.1724137931034484"/>
    <n v="5"/>
    <n v="4.3103448275862073"/>
    <n v="0"/>
    <n v="0"/>
    <s v=""/>
    <n v="19"/>
    <n v="1"/>
    <n v="1"/>
    <n v="38"/>
    <n v="2"/>
    <n v="2"/>
    <n v="0"/>
    <n v="0"/>
    <n v="20"/>
    <n v="17"/>
    <n v="0"/>
    <n v="0"/>
    <s v=""/>
    <n v="3"/>
    <n v="0"/>
    <n v="0"/>
    <s v="assinatura"/>
    <n v="10795"/>
  </r>
  <r>
    <x v="58"/>
    <x v="9"/>
    <s v="6abfd3bebd86e569124a213c"/>
    <s v="02/10/2026 11:16:49"/>
    <s v="02/10/2026 12:54:38"/>
    <s v="Henrique"/>
    <s v="02/10/2026"/>
    <s v="Guapiaçu"/>
    <s v="1 ° Turno"/>
    <n v="151"/>
    <n v="2912"/>
    <s v="EDMAR FELIPE MARTINS"/>
    <n v="31"/>
    <n v="31"/>
    <n v="10"/>
    <n v="10"/>
    <n v="0"/>
    <n v="0"/>
    <n v="2"/>
    <n v="2"/>
    <n v="1"/>
    <n v="1"/>
    <n v="0"/>
    <n v="0"/>
    <n v="2"/>
    <n v="0.66225165562913912"/>
    <n v="3"/>
    <n v="1.9867549668874174"/>
    <n v="2"/>
    <n v="1.3245033112582782"/>
    <n v="2"/>
    <n v="1.3245033112582782"/>
    <n v="8"/>
    <n v="5.298013245033113"/>
    <s v=""/>
    <n v="2"/>
    <n v="1.3245033112582782"/>
    <n v="2"/>
    <n v="1.3245033112582782"/>
    <s v=""/>
    <n v="6"/>
    <n v="3.9735099337748347"/>
    <n v="2"/>
    <n v="1.3245033112582782"/>
    <n v="7"/>
    <n v="4.6357615894039732"/>
    <n v="3"/>
    <n v="1.9867549668874174"/>
    <s v=""/>
    <n v="21"/>
    <n v="0"/>
    <n v="0"/>
    <n v="42"/>
    <n v="0"/>
    <n v="0"/>
    <n v="1"/>
    <n v="0.66225165562913912"/>
    <n v="19"/>
    <n v="25"/>
    <n v="1"/>
    <n v="10"/>
    <s v=""/>
    <s v=""/>
    <s v=""/>
    <s v=""/>
    <s v="assinatura"/>
    <n v="1466"/>
  </r>
  <r>
    <x v="58"/>
    <x v="9"/>
    <s v="6abfd3bebd86e569124a2124"/>
    <s v="02/10/2026 08:28:51"/>
    <s v="02/10/2026 12:54:38"/>
    <s v="Henrique"/>
    <s v="02/10/2026"/>
    <s v="Guapiaçu"/>
    <s v="1 ° Turno"/>
    <n v="161"/>
    <n v="2981"/>
    <s v="EDMAR FELIPE MARTINS"/>
    <n v="33"/>
    <n v="33"/>
    <n v="14"/>
    <n v="14.000000000000002"/>
    <n v="0"/>
    <n v="0"/>
    <n v="2"/>
    <n v="2"/>
    <n v="1"/>
    <n v="1"/>
    <n v="0"/>
    <n v="0"/>
    <n v="4"/>
    <n v="1.2422360248447204"/>
    <n v="3"/>
    <n v="1.8633540372670807"/>
    <n v="0"/>
    <n v="0"/>
    <n v="2"/>
    <n v="1.2422360248447204"/>
    <n v="9"/>
    <n v="5.5900621118012426"/>
    <s v=""/>
    <n v="3"/>
    <n v="1.8633540372670807"/>
    <n v="3"/>
    <n v="1.8633540372670807"/>
    <s v=""/>
    <n v="5"/>
    <n v="3.1055900621118013"/>
    <n v="3"/>
    <n v="1.8633540372670807"/>
    <n v="8"/>
    <n v="4.9689440993788816"/>
    <n v="3"/>
    <n v="1.8633540372670807"/>
    <s v=""/>
    <n v="22"/>
    <n v="0"/>
    <n v="0"/>
    <n v="44"/>
    <n v="0"/>
    <n v="0"/>
    <n v="1"/>
    <n v="0.6211180124223602"/>
    <n v="21"/>
    <n v="19"/>
    <n v="1"/>
    <n v="10"/>
    <s v=""/>
    <n v="0"/>
    <n v="0"/>
    <n v="1"/>
    <s v=""/>
    <n v="1768"/>
  </r>
  <r>
    <x v="58"/>
    <x v="9"/>
    <s v="6abfd3bebd86e569124a2110"/>
    <s v="02/10/2026 06:30:31"/>
    <s v="02/10/2026 12:54:38"/>
    <s v="Henrique"/>
    <s v="02/10/2026"/>
    <s v="Guapiaçu"/>
    <s v="1 ° Turno"/>
    <n v="161"/>
    <n v="2860"/>
    <s v="EDMAR FELIPE MARTINS"/>
    <n v="39"/>
    <n v="39"/>
    <n v="26"/>
    <n v="26"/>
    <n v="0"/>
    <n v="0"/>
    <n v="1"/>
    <n v="1"/>
    <n v="0"/>
    <n v="0"/>
    <n v="0"/>
    <n v="0"/>
    <n v="3"/>
    <n v="0.93167701863354035"/>
    <n v="3"/>
    <n v="1.8633540372670807"/>
    <n v="0"/>
    <n v="0"/>
    <n v="2"/>
    <n v="1.2422360248447204"/>
    <n v="10"/>
    <n v="6.2111801242236027"/>
    <s v=""/>
    <n v="2"/>
    <n v="1.2422360248447204"/>
    <n v="2"/>
    <n v="1.2422360248447204"/>
    <s v=""/>
    <n v="6"/>
    <n v="3.7267080745341614"/>
    <n v="2"/>
    <n v="1.2422360248447204"/>
    <n v="7"/>
    <n v="4.3478260869565215"/>
    <n v="1"/>
    <n v="0.6211180124223602"/>
    <s v=""/>
    <n v="22"/>
    <n v="0"/>
    <n v="0"/>
    <n v="44"/>
    <n v="0"/>
    <n v="0"/>
    <n v="0"/>
    <n v="0"/>
    <n v="19"/>
    <n v="23"/>
    <n v="1"/>
    <n v="10"/>
    <s v=""/>
    <n v="0"/>
    <n v="0"/>
    <n v="1"/>
    <s v="assinatura"/>
    <n v="2231"/>
  </r>
  <r>
    <x v="58"/>
    <x v="9"/>
    <s v="6abfd3bdbd86e569124a20f8"/>
    <s v="02/10/2026 04:26:40"/>
    <s v="02/10/2026 12:54:37"/>
    <s v="Henrique"/>
    <s v="02/10/2026"/>
    <s v="Guapiaçu"/>
    <s v="1 ° Turno"/>
    <n v="161"/>
    <n v="2860"/>
    <s v="EDMAR FELIPE MARTINS"/>
    <n v="30"/>
    <n v="30"/>
    <n v="10"/>
    <n v="10"/>
    <n v="0"/>
    <n v="0"/>
    <n v="1"/>
    <n v="1"/>
    <n v="1"/>
    <n v="1"/>
    <n v="0"/>
    <n v="0"/>
    <n v="5"/>
    <n v="1.5527950310559007"/>
    <n v="3"/>
    <n v="1.8633540372670807"/>
    <n v="0"/>
    <n v="0"/>
    <n v="1"/>
    <n v="0.6211180124223602"/>
    <n v="8"/>
    <n v="4.9689440993788816"/>
    <s v=""/>
    <n v="2"/>
    <n v="1.2422360248447204"/>
    <n v="1"/>
    <n v="0.6211180124223602"/>
    <s v=""/>
    <n v="6"/>
    <n v="3.7267080745341614"/>
    <n v="2"/>
    <n v="1.2422360248447204"/>
    <n v="6"/>
    <n v="3.7267080745341614"/>
    <n v="1"/>
    <n v="0.6211180124223602"/>
    <s v=""/>
    <n v="19"/>
    <n v="0"/>
    <n v="0"/>
    <n v="38"/>
    <n v="0"/>
    <n v="0"/>
    <n v="0"/>
    <n v="0"/>
    <n v="19"/>
    <n v="25"/>
    <n v="1"/>
    <n v="10"/>
    <s v=""/>
    <s v=""/>
    <s v=""/>
    <s v=""/>
    <s v="assinatura"/>
    <n v="1768"/>
  </r>
  <r>
    <x v="59"/>
    <x v="9"/>
    <s v="6ac7bf67db68f2f72a1e620c"/>
    <s v="08/10/2026 11:17:13"/>
    <s v="08/10/2026 13:05:59"/>
    <s v="Henrique"/>
    <s v="08/10/2026"/>
    <s v="Guapiaçu"/>
    <s v="1 ° Turno"/>
    <n v="161"/>
    <n v="3225"/>
    <s v="EDMAR FELIPE MARTINS"/>
    <n v="29"/>
    <n v="28.999999999999996"/>
    <n v="11"/>
    <n v="11"/>
    <n v="0"/>
    <n v="0"/>
    <n v="1"/>
    <n v="1"/>
    <n v="1"/>
    <n v="1"/>
    <n v="0"/>
    <n v="0"/>
    <n v="2"/>
    <n v="0.6211180124223602"/>
    <n v="3"/>
    <n v="1.8633540372670807"/>
    <n v="1"/>
    <n v="0.6211180124223602"/>
    <n v="2"/>
    <n v="1.2422360248447204"/>
    <n v="7"/>
    <n v="4.3478260869565215"/>
    <s v=""/>
    <n v="3"/>
    <n v="1.8633540372670807"/>
    <n v="2"/>
    <n v="1.2422360248447204"/>
    <s v=""/>
    <n v="6"/>
    <n v="3.7267080745341614"/>
    <n v="2"/>
    <n v="1.2422360248447204"/>
    <n v="9"/>
    <n v="5.5900621118012426"/>
    <n v="1"/>
    <n v="0.6211180124223602"/>
    <s v=""/>
    <n v="20"/>
    <n v="0"/>
    <n v="0"/>
    <n v="40"/>
    <n v="0"/>
    <n v="0"/>
    <n v="2"/>
    <n v="1.2422360248447204"/>
    <n v="21"/>
    <n v="20"/>
    <n v="2"/>
    <n v="20"/>
    <s v=""/>
    <n v="1"/>
    <n v="0"/>
    <n v="2"/>
    <s v=""/>
    <n v="3188"/>
  </r>
  <r>
    <x v="59"/>
    <x v="9"/>
    <s v="6ac7bf67db68f2f72a1e61fa"/>
    <s v="08/10/2026 08:37:24"/>
    <s v="08/10/2026 13:05:59"/>
    <s v="Henrique"/>
    <s v="08/10/2026"/>
    <s v="Guapiaçu"/>
    <s v="1 ° Turno"/>
    <n v="161"/>
    <n v="2948"/>
    <s v="EDMAR FELIPE MARTINS"/>
    <n v="33"/>
    <n v="33"/>
    <n v="14"/>
    <n v="14.000000000000002"/>
    <n v="0"/>
    <n v="0"/>
    <n v="2"/>
    <n v="2"/>
    <s v=""/>
    <s v=""/>
    <n v="0"/>
    <n v="0"/>
    <n v="1"/>
    <n v="0.3105590062111801"/>
    <n v="10"/>
    <n v="6.2111801242236027"/>
    <n v="0"/>
    <n v="0"/>
    <n v="1"/>
    <n v="0.6211180124223602"/>
    <n v="9"/>
    <n v="5.5900621118012426"/>
    <s v=""/>
    <n v="2"/>
    <n v="1.2422360248447204"/>
    <n v="2"/>
    <n v="1.2422360248447204"/>
    <s v=""/>
    <n v="14"/>
    <n v="8.695652173913043"/>
    <n v="1"/>
    <n v="0.6211180124223602"/>
    <n v="7"/>
    <n v="4.3478260869565215"/>
    <n v="1"/>
    <n v="0.6211180124223602"/>
    <s v=""/>
    <n v="22"/>
    <n v="1"/>
    <n v="1"/>
    <n v="44"/>
    <n v="2"/>
    <n v="2"/>
    <n v="3"/>
    <n v="1.8633540372670807"/>
    <n v="16"/>
    <n v="18"/>
    <n v="1"/>
    <n v="10"/>
    <s v=""/>
    <n v="0"/>
    <n v="0"/>
    <n v="1"/>
    <s v=""/>
    <n v="1715"/>
  </r>
  <r>
    <x v="59"/>
    <x v="9"/>
    <s v="6ac7bf66db68f2f72a1e61e8"/>
    <s v="08/10/2026 06:53:10"/>
    <s v="08/10/2026 13:05:58"/>
    <s v="Henrique"/>
    <s v="08/10/2026"/>
    <s v="Guapiaçu"/>
    <s v="1 ° Turno"/>
    <n v="140"/>
    <n v="3052"/>
    <s v="EDMAR FELIPE MARTINS"/>
    <n v="23"/>
    <n v="23"/>
    <n v="6"/>
    <n v="6"/>
    <n v="0"/>
    <n v="0"/>
    <n v="2"/>
    <n v="2"/>
    <n v="0"/>
    <n v="0"/>
    <n v="0"/>
    <n v="0"/>
    <n v="1"/>
    <n v="0.35714285714285715"/>
    <n v="8"/>
    <n v="5.7142857142857144"/>
    <n v="1"/>
    <n v="0.7142857142857143"/>
    <n v="2"/>
    <n v="1.4285714285714286"/>
    <n v="9"/>
    <n v="6.4285714285714279"/>
    <s v=""/>
    <n v="2"/>
    <n v="1.4285714285714286"/>
    <n v="2"/>
    <n v="1.4285714285714286"/>
    <s v=""/>
    <n v="12"/>
    <n v="8.5714285714285712"/>
    <n v="2"/>
    <n v="1.4285714285714286"/>
    <n v="7"/>
    <n v="5"/>
    <n v="1"/>
    <n v="0.7142857142857143"/>
    <s v=""/>
    <n v="21"/>
    <n v="0"/>
    <n v="0"/>
    <n v="42"/>
    <n v="0"/>
    <n v="0"/>
    <n v="2"/>
    <n v="1.4285714285714286"/>
    <n v="17"/>
    <n v="19"/>
    <n v="1"/>
    <n v="10"/>
    <s v=""/>
    <n v="1"/>
    <n v="0"/>
    <n v="1"/>
    <s v="assinatura"/>
    <n v="1922"/>
  </r>
  <r>
    <x v="59"/>
    <x v="9"/>
    <s v="6ac7bf66db68f2f72a1e61ce"/>
    <s v="08/10/2026 04:45:06"/>
    <s v="08/10/2026 13:05:58"/>
    <s v="Henrique"/>
    <s v="08/10/2026"/>
    <s v="Guapiaçu"/>
    <s v="1 ° Turno"/>
    <n v="154"/>
    <n v="2835"/>
    <s v="EDMAR FELIPE MARTINS"/>
    <n v="29"/>
    <n v="28.999999999999996"/>
    <n v="19"/>
    <n v="19"/>
    <n v="0"/>
    <n v="0"/>
    <n v="2"/>
    <n v="2"/>
    <n v="1"/>
    <n v="1"/>
    <n v="0"/>
    <n v="0"/>
    <n v="3"/>
    <n v="0.97402597402597402"/>
    <n v="3"/>
    <n v="1.948051948051948"/>
    <n v="0"/>
    <n v="0"/>
    <n v="1"/>
    <n v="0.64935064935064934"/>
    <n v="9"/>
    <n v="5.8441558441558437"/>
    <s v=""/>
    <n v="2"/>
    <n v="1.2987012987012987"/>
    <n v="2"/>
    <n v="1.2987012987012987"/>
    <s v=""/>
    <n v="6"/>
    <n v="3.8961038961038961"/>
    <n v="1"/>
    <n v="0.64935064935064934"/>
    <n v="7"/>
    <n v="4.5454545454545459"/>
    <n v="1"/>
    <n v="0.64935064935064934"/>
    <s v=""/>
    <n v="20"/>
    <n v="0"/>
    <n v="0"/>
    <n v="40"/>
    <n v="0"/>
    <n v="0"/>
    <n v="0"/>
    <n v="0"/>
    <n v="13"/>
    <n v="19"/>
    <n v="1"/>
    <n v="10"/>
    <s v=""/>
    <s v=""/>
    <s v=""/>
    <s v=""/>
    <s v=""/>
    <n v="1753"/>
  </r>
  <r>
    <x v="60"/>
    <x v="9"/>
    <s v="6ac7080e1363200b80961f73"/>
    <s v="07/10/2026 20:41:01"/>
    <s v="08/10/2026 00:03:42"/>
    <s v="Henrique"/>
    <s v="07/10/2026"/>
    <s v="Guapiaçu"/>
    <s v="2 ° Turno"/>
    <n v="161"/>
    <n v="3160"/>
    <s v="JOBILIANA APARECIDA MAXIMO BERGAMINI"/>
    <n v="20"/>
    <n v="20"/>
    <n v="5"/>
    <n v="5"/>
    <n v="0"/>
    <n v="0"/>
    <n v="1"/>
    <n v="1"/>
    <n v="0"/>
    <n v="0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6"/>
    <n v="3.7267080745341614"/>
    <n v="4"/>
    <n v="2.4844720496894408"/>
    <n v="6"/>
    <n v="3.7267080745341614"/>
    <n v="0"/>
    <n v="0"/>
    <s v=""/>
    <n v="18"/>
    <n v="0"/>
    <n v="0"/>
    <n v="36"/>
    <n v="0"/>
    <n v="0"/>
    <n v="0"/>
    <n v="0"/>
    <n v="20"/>
    <n v="18"/>
    <n v="0"/>
    <n v="0"/>
    <s v=""/>
    <n v="0"/>
    <n v="0"/>
    <n v="0"/>
    <s v="assinatura"/>
    <n v="236"/>
  </r>
  <r>
    <x v="60"/>
    <x v="9"/>
    <s v="6ac7080e1363200b80961f5b"/>
    <s v="07/10/2026 18:09:17"/>
    <s v="08/10/2026 00:03:42"/>
    <s v="Henrique"/>
    <s v="07/10/2026"/>
    <s v="Guapiaçu"/>
    <s v="2 ° Turno"/>
    <n v="161"/>
    <n v="3050"/>
    <s v="JOBILIANA APARECIDA MAXIMO BERGAMINI"/>
    <n v="15"/>
    <n v="15"/>
    <n v="5"/>
    <n v="5"/>
    <n v="0"/>
    <n v="0"/>
    <n v="1"/>
    <n v="1"/>
    <n v="0"/>
    <n v="0"/>
    <n v="0"/>
    <n v="0"/>
    <n v="5"/>
    <n v="1.5527950310559007"/>
    <n v="4"/>
    <n v="2.4844720496894408"/>
    <n v="0"/>
    <n v="0"/>
    <n v="2"/>
    <n v="1.2422360248447204"/>
    <n v="1"/>
    <n v="0.6211180124223602"/>
    <s v=""/>
    <n v="0"/>
    <n v="0"/>
    <n v="0"/>
    <n v="0"/>
    <s v=""/>
    <n v="6"/>
    <n v="3.7267080745341614"/>
    <n v="6"/>
    <n v="3.7267080745341614"/>
    <n v="4"/>
    <n v="2.4844720496894408"/>
    <n v="1"/>
    <n v="0.6211180124223602"/>
    <s v=""/>
    <n v="19"/>
    <n v="1"/>
    <n v="1"/>
    <n v="38"/>
    <n v="2"/>
    <n v="2"/>
    <n v="1"/>
    <n v="0.6211180124223602"/>
    <n v="22"/>
    <n v="17"/>
    <n v="0"/>
    <n v="0"/>
    <s v=""/>
    <n v="6"/>
    <n v="0"/>
    <n v="0"/>
    <s v="assinatura"/>
    <n v="7136"/>
  </r>
  <r>
    <x v="60"/>
    <x v="9"/>
    <s v="6ac7080d1363200b80961f43"/>
    <s v="07/10/2026 14:07:02"/>
    <s v="08/10/2026 00:03:41"/>
    <s v="Henrique"/>
    <s v="07/10/2026"/>
    <s v="Guapiaçu"/>
    <s v="2 ° Turno"/>
    <n v="130"/>
    <n v="3050"/>
    <s v="JOBILIANA APARECIDA MAXIMO BERGAMINI"/>
    <n v="12"/>
    <n v="12"/>
    <n v="5"/>
    <n v="5"/>
    <n v="2"/>
    <n v="20"/>
    <n v="2"/>
    <n v="2"/>
    <n v="0"/>
    <n v="0"/>
    <n v="0"/>
    <n v="0"/>
    <n v="4"/>
    <n v="1.5384615384615385"/>
    <n v="5"/>
    <n v="3.8461538461538463"/>
    <n v="0"/>
    <n v="0"/>
    <n v="1"/>
    <n v="0.76923076923076927"/>
    <n v="1"/>
    <n v="0.76923076923076927"/>
    <s v=""/>
    <n v="0"/>
    <n v="0"/>
    <n v="0"/>
    <n v="0"/>
    <s v=" "/>
    <n v="8"/>
    <n v="6.1538461538461542"/>
    <n v="5"/>
    <n v="3.8461538461538463"/>
    <n v="6"/>
    <n v="4.6153846153846159"/>
    <n v="1"/>
    <n v="0.76923076923076927"/>
    <s v=""/>
    <n v="16"/>
    <n v="1"/>
    <n v="0"/>
    <n v="32"/>
    <n v="2"/>
    <n v="0"/>
    <n v="2"/>
    <n v="1.5384615384615385"/>
    <n v="20"/>
    <n v="16"/>
    <n v="0"/>
    <n v="0"/>
    <s v=""/>
    <n v="3"/>
    <n v="0"/>
    <n v="0"/>
    <s v="assinatura"/>
    <n v="8126"/>
  </r>
  <r>
    <x v="60"/>
    <x v="9"/>
    <s v="6ac66b4f5981b750ab1ef1b3"/>
    <s v="07/10/2026 11:02:05"/>
    <s v="07/10/2026 12:54:55"/>
    <s v="Henrique"/>
    <s v="07/10/2026"/>
    <s v="Guapiaçu"/>
    <s v="1 ° Turno"/>
    <n v="151"/>
    <n v="3136"/>
    <s v="EDMAR FELIPE MARTINS"/>
    <n v="31"/>
    <n v="31"/>
    <n v="21"/>
    <n v="21"/>
    <n v="0"/>
    <n v="0"/>
    <n v="3"/>
    <n v="3"/>
    <n v="0"/>
    <n v="0"/>
    <n v="0"/>
    <n v="0"/>
    <n v="4"/>
    <n v="1.3245033112582782"/>
    <n v="9"/>
    <n v="5.9602649006622519"/>
    <n v="0"/>
    <n v="0"/>
    <n v="2"/>
    <n v="1.3245033112582782"/>
    <n v="9"/>
    <n v="5.9602649006622519"/>
    <s v=""/>
    <n v="7"/>
    <n v="4.6357615894039732"/>
    <n v="3"/>
    <n v="1.9867549668874174"/>
    <s v=""/>
    <n v="10"/>
    <n v="6.6225165562913908"/>
    <n v="2"/>
    <n v="1.3245033112582782"/>
    <n v="6"/>
    <n v="3.9735099337748347"/>
    <n v="1"/>
    <n v="0.66225165562913912"/>
    <s v=""/>
    <n v="22"/>
    <n v="1"/>
    <n v="1"/>
    <n v="44"/>
    <n v="2"/>
    <n v="2"/>
    <n v="3"/>
    <n v="1.9867549668874174"/>
    <n v="21"/>
    <n v="18"/>
    <n v="1"/>
    <n v="10"/>
    <s v=""/>
    <s v=""/>
    <s v=""/>
    <s v=""/>
    <s v=""/>
    <n v="1982"/>
  </r>
  <r>
    <x v="60"/>
    <x v="9"/>
    <s v="6ac66b4f5981b750ab1ef1a1"/>
    <s v="07/10/2026 08:25:45"/>
    <s v="07/10/2026 12:54:55"/>
    <s v="Henrique"/>
    <s v="07/10/2026"/>
    <s v="Guapiaçu"/>
    <s v="1 ° Turno"/>
    <n v="110"/>
    <n v="2999"/>
    <s v="EDMAR FELIPE MARTINS"/>
    <n v="28"/>
    <n v="28.000000000000004"/>
    <n v="19"/>
    <n v="19"/>
    <n v="0"/>
    <n v="0"/>
    <n v="2"/>
    <n v="2"/>
    <n v="1"/>
    <n v="1"/>
    <n v="0"/>
    <n v="0"/>
    <n v="2"/>
    <n v="0.90909090909090906"/>
    <n v="2"/>
    <n v="1.8181818181818181"/>
    <n v="0"/>
    <n v="0"/>
    <n v="1"/>
    <n v="0.90909090909090906"/>
    <n v="5"/>
    <n v="4.5454545454545459"/>
    <s v=""/>
    <n v="4"/>
    <n v="3.6363636363636362"/>
    <n v="2"/>
    <n v="1.8181818181818181"/>
    <s v=""/>
    <n v="6"/>
    <n v="5.4545454545454541"/>
    <n v="2"/>
    <n v="1.8181818181818181"/>
    <n v="6"/>
    <n v="5.4545454545454541"/>
    <n v="1"/>
    <n v="0.90909090909090906"/>
    <s v=""/>
    <n v="21"/>
    <n v="0"/>
    <n v="0"/>
    <n v="42"/>
    <n v="0"/>
    <n v="0"/>
    <n v="2"/>
    <n v="1.8181818181818181"/>
    <n v="25"/>
    <n v="29"/>
    <n v="1"/>
    <n v="10"/>
    <s v=""/>
    <n v="1"/>
    <n v="0"/>
    <n v="2"/>
    <s v="assinatura"/>
    <n v="1905"/>
  </r>
  <r>
    <x v="60"/>
    <x v="9"/>
    <s v="6ac66b4e5981b750ab1ef189"/>
    <s v="07/10/2026 06:20:19"/>
    <s v="07/10/2026 12:54:54"/>
    <s v="Henrique"/>
    <s v="07/10/2026"/>
    <s v="Guapiaçu"/>
    <s v="1 ° Turno"/>
    <n v="161"/>
    <n v="3055"/>
    <s v="EDMAR FELIPE MARTINS"/>
    <n v="33"/>
    <n v="33"/>
    <n v="19"/>
    <n v="19"/>
    <n v="0"/>
    <n v="0"/>
    <n v="3"/>
    <n v="3"/>
    <n v="1"/>
    <n v="1"/>
    <n v="0"/>
    <n v="0"/>
    <n v="3"/>
    <n v="0.93167701863354035"/>
    <n v="8"/>
    <n v="4.9689440993788816"/>
    <n v="0"/>
    <n v="0"/>
    <n v="1"/>
    <n v="0.6211180124223602"/>
    <n v="6"/>
    <n v="3.7267080745341614"/>
    <s v=""/>
    <n v="3"/>
    <n v="1.8633540372670807"/>
    <n v="2"/>
    <n v="1.2422360248447204"/>
    <s v=""/>
    <n v="9"/>
    <n v="5.5900621118012426"/>
    <n v="3"/>
    <n v="1.8633540372670807"/>
    <n v="7"/>
    <n v="4.3478260869565215"/>
    <n v="1"/>
    <n v="0.6211180124223602"/>
    <s v=""/>
    <n v="20"/>
    <n v="1"/>
    <n v="1"/>
    <n v="40"/>
    <n v="2"/>
    <n v="2"/>
    <n v="3"/>
    <n v="1.8633540372670807"/>
    <n v="19"/>
    <n v="20"/>
    <n v="1"/>
    <n v="10"/>
    <s v=""/>
    <s v=""/>
    <s v=""/>
    <s v=""/>
    <s v=""/>
    <n v="3270"/>
  </r>
  <r>
    <x v="60"/>
    <x v="9"/>
    <s v="6ac66b4e5981b750ab1ef175"/>
    <s v="07/10/2026 04:23:33"/>
    <s v="07/10/2026 12:54:54"/>
    <s v="Henrique"/>
    <s v="07/10/2026"/>
    <s v="Guapiaçu"/>
    <s v="1 ° Turno"/>
    <n v="151"/>
    <n v="2999"/>
    <s v="EDMAR FELIPE MARTINS"/>
    <n v="28"/>
    <n v="28.000000000000004"/>
    <n v="15"/>
    <n v="15"/>
    <n v="0"/>
    <n v="0"/>
    <n v="1"/>
    <n v="1"/>
    <n v="1"/>
    <n v="1"/>
    <n v="0"/>
    <n v="0"/>
    <n v="2"/>
    <n v="0.66225165562913912"/>
    <n v="3"/>
    <n v="1.9867549668874174"/>
    <n v="0"/>
    <n v="0"/>
    <n v="2"/>
    <n v="1.3245033112582782"/>
    <n v="6"/>
    <n v="3.9735099337748347"/>
    <s v=""/>
    <n v="3"/>
    <n v="1.9867549668874174"/>
    <n v="3"/>
    <n v="1.9867549668874174"/>
    <s v=""/>
    <n v="9"/>
    <n v="5.9602649006622519"/>
    <n v="2"/>
    <n v="1.3245033112582782"/>
    <n v="10"/>
    <n v="6.6225165562913908"/>
    <n v="3"/>
    <n v="1.9867549668874174"/>
    <s v=""/>
    <n v="17"/>
    <n v="0"/>
    <n v="0"/>
    <n v="34"/>
    <n v="0"/>
    <n v="0"/>
    <n v="0"/>
    <n v="0"/>
    <n v="19"/>
    <n v="12"/>
    <n v="1"/>
    <n v="10"/>
    <s v=""/>
    <s v=""/>
    <s v=""/>
    <s v=""/>
    <s v="assinatura"/>
    <n v="1541"/>
  </r>
  <r>
    <x v="61"/>
    <x v="9"/>
    <s v="6ac5b4223cf16866fa6d76a1"/>
    <s v="06/10/2026 22:00:41"/>
    <s v="06/10/2026 23:53:22"/>
    <s v="Henrique"/>
    <s v="06/10/2026"/>
    <s v="Guapiaçu"/>
    <s v="2 ° Turno"/>
    <n v="156"/>
    <n v="2952"/>
    <s v="JOBILIANA APARECIDA MAXIMO BERGAMINI"/>
    <n v="20"/>
    <n v="20"/>
    <n v="6"/>
    <n v="6"/>
    <n v="0"/>
    <n v="0"/>
    <n v="0"/>
    <n v="0"/>
    <n v="0"/>
    <n v="0"/>
    <n v="0"/>
    <n v="0"/>
    <n v="6"/>
    <n v="1.9230769230769231"/>
    <n v="4"/>
    <n v="2.5641025641025639"/>
    <n v="0"/>
    <n v="0"/>
    <n v="1"/>
    <n v="0.64102564102564097"/>
    <n v="0"/>
    <n v="0"/>
    <s v=""/>
    <n v="0"/>
    <n v="0"/>
    <n v="0"/>
    <n v="0"/>
    <s v=""/>
    <n v="5"/>
    <n v="3.2051282051282048"/>
    <n v="4"/>
    <n v="2.5641025641025639"/>
    <n v="5"/>
    <n v="3.2051282051282048"/>
    <n v="0"/>
    <n v="0"/>
    <s v=""/>
    <n v="19"/>
    <n v="0"/>
    <n v="0"/>
    <n v="38"/>
    <n v="0"/>
    <n v="0"/>
    <n v="0"/>
    <n v="0"/>
    <n v="20"/>
    <n v="15"/>
    <n v="0"/>
    <n v="0"/>
    <s v=""/>
    <n v="0"/>
    <n v="0"/>
    <n v="0"/>
    <s v="assinatura"/>
    <n v="108"/>
  </r>
  <r>
    <x v="61"/>
    <x v="9"/>
    <s v="6ac5b4213cf16866fa6d7683"/>
    <s v="06/10/2026 19:10:07"/>
    <s v="06/10/2026 23:53:21"/>
    <s v="Henrique"/>
    <s v="06/10/2026"/>
    <s v="Guapiaçu"/>
    <s v="2 ° Turno"/>
    <n v="131"/>
    <n v="2952"/>
    <s v="JOBILIANA APARECIDA MAXIMO BERGAMINI"/>
    <n v="10"/>
    <n v="10"/>
    <n v="5"/>
    <n v="5"/>
    <n v="0"/>
    <n v="0"/>
    <n v="1"/>
    <n v="1"/>
    <n v="0"/>
    <n v="0"/>
    <n v="0"/>
    <n v="0"/>
    <n v="5"/>
    <n v="1.9083969465648856"/>
    <n v="7"/>
    <n v="5.343511450381679"/>
    <n v="0"/>
    <n v="0"/>
    <n v="1"/>
    <n v="0.76335877862595414"/>
    <n v="2"/>
    <n v="1.5267175572519083"/>
    <s v=""/>
    <n v="1"/>
    <n v="0.76335877862595414"/>
    <n v="0"/>
    <n v="0"/>
    <s v=""/>
    <n v="8"/>
    <n v="6.1068702290076331"/>
    <n v="5"/>
    <n v="3.8167938931297711"/>
    <n v="5"/>
    <n v="3.8167938931297711"/>
    <n v="0"/>
    <n v="0"/>
    <s v=""/>
    <n v="18"/>
    <n v="1"/>
    <n v="1"/>
    <n v="36"/>
    <n v="2"/>
    <n v="2"/>
    <n v="0"/>
    <n v="0"/>
    <n v="21"/>
    <n v="19"/>
    <n v="0"/>
    <n v="0"/>
    <s v=""/>
    <n v="0"/>
    <n v="0"/>
    <n v="0"/>
    <s v="assinatura"/>
    <n v="10222"/>
  </r>
  <r>
    <x v="61"/>
    <x v="9"/>
    <s v="6ac5b4213cf16866fa6d7665"/>
    <s v="06/10/2026 14:01:03"/>
    <s v="06/10/2026 23:53:21"/>
    <s v="Henrique"/>
    <s v="06/10/2026"/>
    <s v="Guapiaçu"/>
    <s v="2 ° Turno"/>
    <n v="130"/>
    <n v="2772"/>
    <s v="JOBILIANA APARECIDA MAXIMO BERGAMINI"/>
    <n v="9"/>
    <n v="9"/>
    <s v=""/>
    <s v=""/>
    <n v="10"/>
    <n v="100"/>
    <n v="1"/>
    <n v="1"/>
    <n v="0"/>
    <n v="0"/>
    <n v="0"/>
    <n v="0"/>
    <n v="5"/>
    <n v="1.9230769230769231"/>
    <n v="10"/>
    <n v="7.6923076923076925"/>
    <n v="0"/>
    <n v="0"/>
    <n v="2"/>
    <n v="1.5384615384615385"/>
    <n v="3"/>
    <n v="2.3076923076923079"/>
    <s v=""/>
    <n v="0"/>
    <n v="0"/>
    <n v="0"/>
    <n v="0"/>
    <s v=""/>
    <n v="4"/>
    <n v="3.0769230769230771"/>
    <n v="6"/>
    <n v="4.6153846153846159"/>
    <n v="4"/>
    <n v="3.0769230769230771"/>
    <n v="0"/>
    <n v="0"/>
    <s v=""/>
    <n v="16"/>
    <n v="1"/>
    <n v="0"/>
    <n v="32"/>
    <n v="2"/>
    <n v="0"/>
    <n v="0"/>
    <n v="0"/>
    <n v="20"/>
    <n v="17"/>
    <n v="0"/>
    <n v="0"/>
    <s v=""/>
    <n v="12"/>
    <n v="0"/>
    <n v="0"/>
    <s v="assinatura"/>
    <n v="14183"/>
  </r>
  <r>
    <x v="61"/>
    <x v="9"/>
    <s v="6ac51e7b682319dccbe9eec0"/>
    <s v="06/10/2026 11:40:00"/>
    <s v="06/10/2026 13:14:51"/>
    <s v="Henrique"/>
    <s v="06/10/2026"/>
    <s v="Guapiaçu"/>
    <s v="1 ° Turno"/>
    <n v="161"/>
    <n v="2893"/>
    <s v="EDMAR FELIPE MARTINS"/>
    <n v="27"/>
    <n v="27"/>
    <n v="12"/>
    <n v="12"/>
    <n v="0"/>
    <n v="0"/>
    <n v="2"/>
    <n v="2"/>
    <n v="1"/>
    <n v="1"/>
    <n v="0"/>
    <n v="0"/>
    <n v="2"/>
    <n v="0.6211180124223602"/>
    <n v="6"/>
    <n v="3.7267080745341614"/>
    <n v="0"/>
    <n v="0"/>
    <n v="2"/>
    <n v="1.2422360248447204"/>
    <n v="6"/>
    <n v="3.7267080745341614"/>
    <s v=""/>
    <n v="3"/>
    <n v="1.8633540372670807"/>
    <n v="3"/>
    <n v="1.8633540372670807"/>
    <s v=""/>
    <n v="6"/>
    <n v="3.7267080745341614"/>
    <n v="2"/>
    <n v="1.2422360248447204"/>
    <n v="7"/>
    <n v="4.3478260869565215"/>
    <n v="1"/>
    <n v="0.6211180124223602"/>
    <s v=""/>
    <n v="20"/>
    <n v="0"/>
    <n v="0"/>
    <n v="40"/>
    <n v="0"/>
    <n v="0"/>
    <n v="0"/>
    <n v="0"/>
    <n v="17"/>
    <n v="25"/>
    <n v="1"/>
    <n v="10"/>
    <s v=""/>
    <n v="1"/>
    <n v="0"/>
    <n v="2"/>
    <s v=""/>
    <n v="1856"/>
  </r>
  <r>
    <x v="61"/>
    <x v="9"/>
    <s v="6ac51e7a682319dccbe9eea8"/>
    <s v="06/10/2026 08:29:34"/>
    <s v="06/10/2026 13:14:50"/>
    <s v="Henrique"/>
    <s v="06/10/2026"/>
    <s v="Guapiaçu"/>
    <s v="1 ° Turno"/>
    <n v="161"/>
    <n v="3045"/>
    <s v="EDMAR FELIPE MARTINS"/>
    <n v="25"/>
    <n v="25"/>
    <n v="14"/>
    <n v="14.000000000000002"/>
    <n v="0"/>
    <n v="0"/>
    <n v="3"/>
    <n v="3"/>
    <s v=""/>
    <s v=""/>
    <n v="0"/>
    <n v="0"/>
    <n v="3"/>
    <n v="0.93167701863354035"/>
    <n v="5"/>
    <n v="3.1055900621118013"/>
    <n v="0"/>
    <n v="0"/>
    <n v="1"/>
    <n v="0.6211180124223602"/>
    <n v="8"/>
    <n v="4.9689440993788816"/>
    <s v=""/>
    <n v="3"/>
    <n v="1.8633540372670807"/>
    <n v="2"/>
    <n v="1.2422360248447204"/>
    <s v=""/>
    <n v="6"/>
    <n v="3.7267080745341614"/>
    <n v="2"/>
    <n v="1.2422360248447204"/>
    <n v="7"/>
    <n v="4.3478260869565215"/>
    <n v="1"/>
    <n v="0.6211180124223602"/>
    <s v=""/>
    <n v="20"/>
    <n v="0"/>
    <n v="0"/>
    <n v="40"/>
    <n v="0"/>
    <n v="0"/>
    <n v="2"/>
    <n v="1.2422360248447204"/>
    <n v="19"/>
    <n v="20"/>
    <n v="1"/>
    <n v="10"/>
    <s v=""/>
    <n v="1"/>
    <n v="0"/>
    <n v="1"/>
    <s v="assinatura"/>
    <n v="2796"/>
  </r>
  <r>
    <x v="61"/>
    <x v="9"/>
    <s v="6ac51e7a682319dccbe9ee96"/>
    <s v="06/10/2026 06:35:13"/>
    <s v="06/10/2026 13:14:50"/>
    <s v="Henrique"/>
    <s v="06/10/2026"/>
    <s v="Guapiaçu"/>
    <s v="1 ° Turno"/>
    <n v="156"/>
    <n v="3052"/>
    <s v="EDMAR FELIPE MARTINS"/>
    <n v="20"/>
    <n v="20"/>
    <n v="5"/>
    <n v="5"/>
    <n v="0"/>
    <n v="0"/>
    <n v="3"/>
    <n v="3"/>
    <n v="1"/>
    <n v="1"/>
    <n v="0"/>
    <n v="0"/>
    <n v="3"/>
    <n v="0.96153846153846156"/>
    <n v="6"/>
    <n v="3.8461538461538463"/>
    <n v="0"/>
    <n v="0"/>
    <n v="2"/>
    <n v="1.2820512820512819"/>
    <n v="7"/>
    <n v="4.4871794871794872"/>
    <s v=""/>
    <n v="2"/>
    <n v="1.2820512820512819"/>
    <n v="3"/>
    <n v="1.9230769230769231"/>
    <s v=""/>
    <n v="6"/>
    <n v="3.8461538461538463"/>
    <n v="4"/>
    <n v="2.5641025641025639"/>
    <n v="7"/>
    <n v="4.4871794871794872"/>
    <n v="1"/>
    <n v="0.64102564102564097"/>
    <s v=""/>
    <n v="19"/>
    <n v="0"/>
    <n v="0"/>
    <n v="38"/>
    <n v="0"/>
    <n v="0"/>
    <n v="1"/>
    <n v="0.64102564102564097"/>
    <n v="17"/>
    <n v="19"/>
    <n v="1"/>
    <n v="10"/>
    <s v=""/>
    <s v=""/>
    <s v=""/>
    <s v=""/>
    <s v="assinatura"/>
    <n v="1750"/>
  </r>
  <r>
    <x v="61"/>
    <x v="9"/>
    <s v="6ac51e7a682319dccbe9ee7e"/>
    <s v="06/10/2026 04:23:32"/>
    <s v="06/10/2026 13:14:50"/>
    <s v="Henrique"/>
    <s v="06/10/2026"/>
    <s v="Guapiaçu"/>
    <s v="1 ° Turno"/>
    <n v="156"/>
    <n v="3049"/>
    <s v="EDMAR FELIPE MARTINS"/>
    <n v="25"/>
    <n v="25"/>
    <n v="10"/>
    <n v="10"/>
    <n v="0"/>
    <n v="0"/>
    <n v="3"/>
    <n v="3"/>
    <n v="1"/>
    <n v="1"/>
    <n v="0"/>
    <n v="0"/>
    <n v="4"/>
    <n v="1.2820512820512819"/>
    <n v="8"/>
    <n v="5.1282051282051277"/>
    <n v="0"/>
    <n v="0"/>
    <n v="3"/>
    <n v="1.9230769230769231"/>
    <n v="8"/>
    <n v="5.1282051282051277"/>
    <s v=""/>
    <n v="3"/>
    <n v="1.9230769230769231"/>
    <n v="3"/>
    <n v="1.9230769230769231"/>
    <s v=""/>
    <n v="8"/>
    <n v="5.1282051282051277"/>
    <n v="3"/>
    <n v="1.9230769230769231"/>
    <n v="8"/>
    <n v="5.1282051282051277"/>
    <n v="1"/>
    <n v="0.64102564102564097"/>
    <s v=""/>
    <n v="20"/>
    <n v="0"/>
    <n v="0"/>
    <n v="40"/>
    <n v="0"/>
    <n v="0"/>
    <n v="0"/>
    <n v="0"/>
    <n v="18"/>
    <n v="25"/>
    <n v="0"/>
    <n v="0"/>
    <s v=""/>
    <s v=""/>
    <s v=""/>
    <s v=""/>
    <s v="assinatura"/>
    <n v="164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W114" firstHeaderRow="1" firstDataRow="2" firstDataCol="0"/>
  <pivotFields count="67">
    <pivotField axis="axisCol" numFmtId="14" showAll="0" sortType="ascending">
      <items count="64">
        <item x="0"/>
        <item x="1"/>
        <item x="2"/>
        <item x="3"/>
        <item x="4"/>
        <item x="5"/>
        <item m="1" x="62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x="47"/>
        <item x="46"/>
        <item x="48"/>
        <item x="50"/>
        <item x="49"/>
        <item x="52"/>
        <item x="51"/>
        <item x="53"/>
        <item x="54"/>
        <item x="55"/>
        <item x="56"/>
        <item x="58"/>
        <item x="57"/>
        <item x="61"/>
        <item x="60"/>
        <item x="59"/>
        <item t="default"/>
      </items>
    </pivotField>
    <pivotField showAll="0">
      <items count="11">
        <item h="1" x="0"/>
        <item h="1" x="1"/>
        <item h="1" x="2"/>
        <item h="1" x="3"/>
        <item h="1" x="4"/>
        <item h="1" x="5"/>
        <item h="1" x="7"/>
        <item h="1" x="6"/>
        <item h="1"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6">
    <i>
      <x v="57"/>
    </i>
    <i>
      <x v="58"/>
    </i>
    <i>
      <x v="59"/>
    </i>
    <i>
      <x v="60"/>
    </i>
    <i>
      <x v="61"/>
    </i>
    <i>
      <x v="62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10">
        <i x="0"/>
        <i x="1"/>
        <i x="2"/>
        <i x="3"/>
        <i x="4"/>
        <i x="5"/>
        <i x="7"/>
        <i x="6"/>
        <i x="8"/>
        <i x="9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62" dataDxfId="61">
  <autoFilter ref="A3:B83"/>
  <tableColumns count="2">
    <tableColumn id="2" name="Tipo" dataDxfId="60">
      <calculatedColumnFormula>VLOOKUP(Tabela2[[#This Row],[Item 1]],Apoio!$A$2:$B$41,2,0)</calculatedColumnFormula>
    </tableColumn>
    <tableColumn id="1" name="Item 1" dataDxfId="59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358" totalsRowShown="0" headerRowDxfId="58">
  <autoFilter ref="A1:BO358"/>
  <tableColumns count="67">
    <tableColumn id="54" name="Data Corrigida" dataDxfId="57">
      <calculatedColumnFormula>INT(Tabela1[[#This Row],[Data e Hora]])</calculatedColumnFormula>
    </tableColumn>
    <tableColumn id="55" name="Mês" dataDxfId="56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55"/>
    <tableColumn id="6" name="Unidade"/>
    <tableColumn id="7" name="Turno"/>
    <tableColumn id="8" name="Velocidade (FPM)" dataDxfId="54"/>
    <tableColumn id="9" name="Peso Médio (g)" dataDxfId="53"/>
    <tableColumn id="10" name="Responsável pelo Monitoramento"/>
    <tableColumn id="11" name="Pena após Depenadeira" dataDxfId="52"/>
    <tableColumn id="61" name="% Pena após Depenadeira" dataDxfId="51" dataCellStyle="Porcentagem">
      <calculatedColumnFormula>Tabela1[[#This Row],[Pena após Depenadeira]]/Tabela1[[#This Row],[Velocidade (FPM)]]*100</calculatedColumnFormula>
    </tableColumn>
    <tableColumn id="12" name="Pena após Repasse" dataDxfId="50"/>
    <tableColumn id="62" name="% Pena após Repasse" dataDxfId="49" dataCellStyle="Porcentagem">
      <calculatedColumnFormula>Tabela1[[#This Row],[Pena após Repasse]]/Tabela1[[#This Row],[Velocidade (FPM)]]*100</calculatedColumnFormula>
    </tableColumn>
    <tableColumn id="13" name="Carcaça Quebrada" dataDxfId="48"/>
    <tableColumn id="58" name="% Carcaça quebrada" dataDxfId="47"/>
    <tableColumn id="14" name="Fratura Branca" dataDxfId="46"/>
    <tableColumn id="59" name="% Fratura Branca" dataDxfId="45"/>
    <tableColumn id="15" name="Hematoma Fabrica" dataDxfId="44"/>
    <tableColumn id="60" name="% Hematoma Fabrica" dataDxfId="43"/>
    <tableColumn id="16" name="Peito Queimado" dataDxfId="42"/>
    <tableColumn id="56" name="% Peito Queimado" dataDxfId="41"/>
    <tableColumn id="17" name="Retorno Pés" dataDxfId="40"/>
    <tableColumn id="57" name="% Retorno Pés" dataDxfId="39">
      <calculatedColumnFormula>IFERROR(Tabela1[[#This Row],[Retorno Pés]]/Tabela1[[#This Row],[Velocidade (FPM)]]*100,"")</calculatedColumnFormula>
    </tableColumn>
    <tableColumn id="18" name="Cloca não Exposta" dataDxfId="38"/>
    <tableColumn id="19" name="% Clocaca mal Exposta" dataDxfId="37"/>
    <tableColumn id="20" name="Cloaca Rompida" dataDxfId="36"/>
    <tableColumn id="21" name="% Cloacas Rompidas" dataDxfId="35"/>
    <tableColumn id="22" name="Contaminação após extratora" dataDxfId="34"/>
    <tableColumn id="23" name="% Contaminação Após Extratora" dataDxfId="33"/>
    <tableColumn id="24" name="Corte no Reto" dataDxfId="32"/>
    <tableColumn id="25" name="% Corte no Reto" dataDxfId="31"/>
    <tableColumn id="26" name="Observações" dataDxfId="30"/>
    <tableColumn id="27" name="Abdome mal aberto" dataDxfId="29"/>
    <tableColumn id="28" name="% Abdome mal abertos" dataDxfId="28"/>
    <tableColumn id="29" name="Corte de Intestino" dataDxfId="27"/>
    <tableColumn id="30" name="% Corte de Intestino" dataDxfId="26"/>
    <tableColumn id="31" name="Observações 2" dataDxfId="25"/>
    <tableColumn id="32" name="Carcaças com Pacotes mal extraídos" dataDxfId="24"/>
    <tableColumn id="33" name="% Carcaças com Pacotes Mal Extraídos" dataDxfId="23"/>
    <tableColumn id="66" name="Perda de pacotes na evisceradora" dataDxfId="22"/>
    <tableColumn id="67" name="% Perda de pacotes na evisceradora " dataDxfId="21"/>
    <tableColumn id="34" name="Contaminação externa após a evisceradora" dataDxfId="20"/>
    <tableColumn id="35" name="% Contaminação Externa Após a Evisceradora" dataDxfId="19"/>
    <tableColumn id="36" name="Contaminação interna após a evisceradora" dataDxfId="18"/>
    <tableColumn id="37" name="% Contaminação Interna Após Evisceradora" dataDxfId="17"/>
    <tableColumn id="38" name="Observações 3" dataDxfId="16"/>
    <tableColumn id="39" name="Pro ventrículo não integro" dataDxfId="15"/>
    <tableColumn id="40" name="Retirada de Coração" dataDxfId="14"/>
    <tableColumn id="41" name="Retirada de Fígado" dataDxfId="13"/>
    <tableColumn id="42" name="% Pro ventrículo não integro" dataDxfId="12"/>
    <tableColumn id="43" name="% Retirada de Coração" dataDxfId="11"/>
    <tableColumn id="44" name="% Retirada de Fígado" dataDxfId="10"/>
    <tableColumn id="63" name="Presença de moela apos linha de retirada" dataDxfId="9"/>
    <tableColumn id="64" name="% Presença de moela apos linha de retirada" dataDxfId="8"/>
    <tableColumn id="45" name="% Queratina na moela" dataDxfId="7"/>
    <tableColumn id="46" name="% Erro de corte na moela" dataDxfId="6"/>
    <tableColumn id="47" name="Carcaças quebradas após papo - traquéia" dataDxfId="5"/>
    <tableColumn id="65" name="% Carcaças quebradas após papo - traquéia" dataDxfId="4"/>
    <tableColumn id="48" name="Miúdos Palma A" dataDxfId="3"/>
    <tableColumn id="49" name="Palma com Calos pós Chiller" dataDxfId="2"/>
    <tableColumn id="50" name="Palma com Fratura externa" dataDxfId="1"/>
    <tableColumn id="51" name="Palma com Fratura interna" dataDxfId="0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63"/>
  <sheetViews>
    <sheetView showGridLines="0" tabSelected="1" zoomScaleNormal="100" zoomScaleSheetLayoutView="100" workbookViewId="0">
      <pane xSplit="4" ySplit="5" topLeftCell="E51" activePane="bottomRight" state="frozen"/>
      <selection activeCell="B1" sqref="B1"/>
      <selection pane="topRight" activeCell="D1" sqref="D1"/>
      <selection pane="bottomLeft" activeCell="B6" sqref="B6"/>
      <selection pane="bottomRight" activeCell="N10" sqref="N10"/>
    </sheetView>
  </sheetViews>
  <sheetFormatPr defaultRowHeight="15" x14ac:dyDescent="0.25"/>
  <cols>
    <col min="1" max="1" width="17.7109375" hidden="1" customWidth="1"/>
    <col min="2" max="2" width="18.42578125" style="8" hidden="1" customWidth="1"/>
    <col min="3" max="3" width="30.5703125" style="8" customWidth="1"/>
    <col min="4" max="4" width="11.42578125" customWidth="1"/>
    <col min="5" max="16" width="8.5703125" customWidth="1"/>
    <col min="17" max="17" width="7.85546875" customWidth="1"/>
    <col min="18" max="39" width="10" customWidth="1"/>
    <col min="40" max="44" width="9.140625" style="20"/>
  </cols>
  <sheetData>
    <row r="1" spans="1:44" s="20" customFormat="1" ht="36" customHeight="1" x14ac:dyDescent="0.25">
      <c r="B1" s="19"/>
      <c r="C1" s="19"/>
    </row>
    <row r="2" spans="1:44" s="20" customFormat="1" ht="24.75" customHeight="1" x14ac:dyDescent="0.25">
      <c r="B2" s="19"/>
      <c r="C2" s="19"/>
    </row>
    <row r="3" spans="1:44" s="11" customFormat="1" ht="15.75" thickBot="1" x14ac:dyDescent="0.3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46296</v>
      </c>
      <c r="S3" s="30">
        <f t="shared" si="0"/>
        <v>46297</v>
      </c>
      <c r="T3" s="30">
        <f t="shared" si="0"/>
        <v>46300</v>
      </c>
      <c r="U3" s="30">
        <f t="shared" si="0"/>
        <v>46301</v>
      </c>
      <c r="V3" s="30">
        <f t="shared" si="0"/>
        <v>46302</v>
      </c>
      <c r="W3" s="30">
        <f t="shared" si="0"/>
        <v>46303</v>
      </c>
      <c r="X3" s="30" t="str">
        <f t="shared" si="0"/>
        <v/>
      </c>
      <c r="Y3" s="30" t="str">
        <f t="shared" si="0"/>
        <v/>
      </c>
      <c r="Z3" s="30" t="str">
        <f t="shared" si="0"/>
        <v/>
      </c>
      <c r="AA3" s="30" t="str">
        <f t="shared" si="0"/>
        <v/>
      </c>
      <c r="AB3" s="30" t="str">
        <f t="shared" si="0"/>
        <v/>
      </c>
      <c r="AC3" s="30" t="str">
        <f t="shared" si="0"/>
        <v/>
      </c>
      <c r="AD3" s="30" t="str">
        <f t="shared" si="0"/>
        <v/>
      </c>
      <c r="AE3" s="30" t="str">
        <f t="shared" si="0"/>
        <v/>
      </c>
      <c r="AF3" s="30" t="str">
        <f t="shared" si="0"/>
        <v/>
      </c>
      <c r="AG3" s="30" t="str">
        <f t="shared" si="0"/>
        <v/>
      </c>
      <c r="AH3" s="30" t="str">
        <f t="shared" si="0"/>
        <v/>
      </c>
      <c r="AI3" s="30" t="str">
        <f t="shared" si="0"/>
        <v/>
      </c>
      <c r="AJ3" s="30" t="str">
        <f t="shared" si="0"/>
        <v/>
      </c>
      <c r="AK3" s="30" t="str">
        <f t="shared" si="0"/>
        <v/>
      </c>
      <c r="AL3" s="30" t="str">
        <f t="shared" si="0"/>
        <v/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147 | 140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>155 | 140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161 | 132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>159 | 144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>156 | 135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>159 | 139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>143 | 151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 xml:space="preserve">154 | 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 xml:space="preserve"> | 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 xml:space="preserve"> | 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 xml:space="preserve"> | 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 xml:space="preserve"> | 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 xml:space="preserve"> | 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 xml:space="preserve"> | 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 xml:space="preserve"> | 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 xml:space="preserve"> | 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 xml:space="preserve"> | 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 xml:space="preserve"> | 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 xml:space="preserve"> | 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 xml:space="preserve"> | 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 xml:space="preserve"> | 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 xml:space="preserve"> | 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 xml:space="preserve"> | 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2849|2834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2989|3165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2966 | 3019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>2903 | 3856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>2998 | 2970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>3010 | 2892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>3047 | 3087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 xml:space="preserve">3015 | 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 xml:space="preserve"> | 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 xml:space="preserve"> | 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 xml:space="preserve"> | 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 xml:space="preserve"> | 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 xml:space="preserve"> | 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 xml:space="preserve"> | 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 xml:space="preserve"> | 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 xml:space="preserve"> | 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 xml:space="preserve"> | 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 xml:space="preserve"> | 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 xml:space="preserve"> | 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 xml:space="preserve"> | 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 xml:space="preserve"> | 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 xml:space="preserve"> | 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 xml:space="preserve"> | 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25">
      <c r="A6" s="50" t="str">
        <f>VLOOKUP(Tabela2[[#This Row],[Item 1]],Apoio!$A$2:$B$41,2,0)</f>
        <v>Escald</v>
      </c>
      <c r="B6" s="9" t="str">
        <f>IF(C6=0,B3,C6)</f>
        <v>% Pena após Depenadeira</v>
      </c>
      <c r="C6" s="61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0.31819277108433736</v>
      </c>
      <c r="N6" s="34">
        <f ca="1">IFERROR(AVERAGEIFS(INDIRECT("Tabela1["&amp;$B6&amp;"]"),Tabela1[Turno],$D6,Tabela1[Mês],N$3)/100,"")</f>
        <v>0.33047619047619053</v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58">
        <v>0.05</v>
      </c>
      <c r="R6" s="33">
        <f ca="1">IFERROR(AVERAGEIFS(INDIRECT("Tabela1["&amp;$B6&amp;"]"),Tabela1[Turno],$D6,Tabela1[Data Corrigida],R$3)/100,"")</f>
        <v>0.49249999999999999</v>
      </c>
      <c r="S6" s="34">
        <f ca="1">IFERROR(AVERAGEIFS(INDIRECT("Tabela1["&amp;$B6&amp;"]"),Tabela1[Turno],$D6,Tabela1[Data Corrigida],S$3)/100,"")</f>
        <v>0.33250000000000002</v>
      </c>
      <c r="T6" s="34">
        <f ca="1">IFERROR(AVERAGEIFS(INDIRECT("Tabela1["&amp;$B6&amp;"]"),Tabela1[Turno],$D6,Tabela1[Data Corrigida],T$3)/100,"")</f>
        <v>0.33</v>
      </c>
      <c r="U6" s="34">
        <f ca="1">IFERROR(AVERAGEIFS(INDIRECT("Tabela1["&amp;$B6&amp;"]"),Tabela1[Turno],$D6,Tabela1[Data Corrigida],U$3)/100,"")</f>
        <v>0.24249999999999999</v>
      </c>
      <c r="V6" s="34">
        <f ca="1">IFERROR(AVERAGEIFS(INDIRECT("Tabela1["&amp;$B6&amp;"]"),Tabela1[Turno],$D6,Tabela1[Data Corrigida],V$3)/100,"")</f>
        <v>0.3</v>
      </c>
      <c r="W6" s="34">
        <f ca="1">IFERROR(AVERAGEIFS(INDIRECT("Tabela1["&amp;$B6&amp;"]"),Tabela1[Turno],$D6,Tabela1[Data Corrigida],W$3)/100,"")</f>
        <v>0.28499999999999998</v>
      </c>
      <c r="X6" s="34" t="str">
        <f ca="1">IFERROR(AVERAGEIFS(INDIRECT("Tabela1["&amp;$B6&amp;"]"),Tabela1[Turno],$D6,Tabela1[Data Corrigida],X$3)/100,"")</f>
        <v/>
      </c>
      <c r="Y6" s="34" t="str">
        <f ca="1">IFERROR(AVERAGEIFS(INDIRECT("Tabela1["&amp;$B6&amp;"]"),Tabela1[Turno],$D6,Tabela1[Data Corrigida],Y$3)/100,"")</f>
        <v/>
      </c>
      <c r="Z6" s="34" t="str">
        <f ca="1">IFERROR(AVERAGEIFS(INDIRECT("Tabela1["&amp;$B6&amp;"]"),Tabela1[Turno],$D6,Tabela1[Data Corrigida],Z$3)/100,"")</f>
        <v/>
      </c>
      <c r="AA6" s="34" t="str">
        <f ca="1">IFERROR(AVERAGEIFS(INDIRECT("Tabela1["&amp;$B6&amp;"]"),Tabela1[Turno],$D6,Tabela1[Data Corrigida],AA$3)/100,"")</f>
        <v/>
      </c>
      <c r="AB6" s="34" t="str">
        <f ca="1">IFERROR(AVERAGEIFS(INDIRECT("Tabela1["&amp;$B6&amp;"]"),Tabela1[Turno],$D6,Tabela1[Data Corrigida],AB$3)/100,"")</f>
        <v/>
      </c>
      <c r="AC6" s="34" t="str">
        <f ca="1">IFERROR(AVERAGEIFS(INDIRECT("Tabela1["&amp;$B6&amp;"]"),Tabela1[Turno],$D6,Tabela1[Data Corrigida],AC$3)/100,"")</f>
        <v/>
      </c>
      <c r="AD6" s="34" t="str">
        <f ca="1">IFERROR(AVERAGEIFS(INDIRECT("Tabela1["&amp;$B6&amp;"]"),Tabela1[Turno],$D6,Tabela1[Data Corrigida],AD$3)/100,"")</f>
        <v/>
      </c>
      <c r="AE6" s="34" t="str">
        <f ca="1">IFERROR(AVERAGEIFS(INDIRECT("Tabela1["&amp;$B6&amp;"]"),Tabela1[Turno],$D6,Tabela1[Data Corrigida],AE$3)/100,"")</f>
        <v/>
      </c>
      <c r="AF6" s="34" t="str">
        <f ca="1">IFERROR(AVERAGEIFS(INDIRECT("Tabela1["&amp;$B6&amp;"]"),Tabela1[Turno],$D6,Tabela1[Data Corrigida],AF$3)/100,"")</f>
        <v/>
      </c>
      <c r="AG6" s="34" t="str">
        <f ca="1">IFERROR(AVERAGEIFS(INDIRECT("Tabela1["&amp;$B6&amp;"]"),Tabela1[Turno],$D6,Tabela1[Data Corrigida],AG$3)/100,"")</f>
        <v/>
      </c>
      <c r="AH6" s="34" t="str">
        <f ca="1">IFERROR(AVERAGEIFS(INDIRECT("Tabela1["&amp;$B6&amp;"]"),Tabela1[Turno],$D6,Tabela1[Data Corrigida],AH$3)/100,"")</f>
        <v/>
      </c>
      <c r="AI6" s="34" t="str">
        <f ca="1">IFERROR(AVERAGEIFS(INDIRECT("Tabela1["&amp;$B6&amp;"]"),Tabela1[Turno],$D6,Tabela1[Data Corrigida],AI$3)/100,"")</f>
        <v/>
      </c>
      <c r="AJ6" s="34" t="str">
        <f ca="1">IFERROR(AVERAGEIFS(INDIRECT("Tabela1["&amp;$B6&amp;"]"),Tabela1[Turno],$D6,Tabela1[Data Corrigida],AJ$3)/100,"")</f>
        <v/>
      </c>
      <c r="AK6" s="34" t="str">
        <f ca="1">IFERROR(AVERAGEIFS(INDIRECT("Tabela1["&amp;$B6&amp;"]"),Tabela1[Turno],$D6,Tabela1[Data Corrigida],AK$3)/100,"")</f>
        <v/>
      </c>
      <c r="AL6" s="34" t="str">
        <f ca="1">IFERROR(AVERAGEIFS(INDIRECT("Tabela1["&amp;$B6&amp;"]"),Tabela1[Turno],$D6,Tabela1[Data Corrigida],AL$3)/100,"")</f>
        <v/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25">
      <c r="A7" s="50" t="str">
        <f>VLOOKUP(Tabela2[[#This Row],[Item 1]],Apoio!$A$2:$B$41,2,0)</f>
        <v>Escald</v>
      </c>
      <c r="B7" s="9" t="str">
        <f>IF(C7=0,B6,C7)</f>
        <v>% Pena após Depenadeira</v>
      </c>
      <c r="C7" s="62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0.21126984126984127</v>
      </c>
      <c r="N7" s="36">
        <f ca="1">IFERROR(AVERAGEIFS(INDIRECT("Tabela1["&amp;$B7&amp;"]"),Tabela1[Turno],$D7,Tabela1[Mês],N$3)/100,"")</f>
        <v>0.14400000000000002</v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59"/>
      <c r="R7" s="35">
        <f ca="1">IFERROR(AVERAGEIFS(INDIRECT("Tabela1["&amp;$B7&amp;"]"),Tabela1[Turno],$D7,Tabela1[Data Corrigida],R$3)/100,"")</f>
        <v>0.12666666666666665</v>
      </c>
      <c r="S7" s="36">
        <f ca="1">IFERROR(AVERAGEIFS(INDIRECT("Tabela1["&amp;$B7&amp;"]"),Tabela1[Turno],$D7,Tabela1[Data Corrigida],S$3)/100,"")</f>
        <v>0.14333333333333334</v>
      </c>
      <c r="T7" s="36">
        <f ca="1">IFERROR(AVERAGEIFS(INDIRECT("Tabela1["&amp;$B7&amp;"]"),Tabela1[Turno],$D7,Tabela1[Data Corrigida],T$3)/100,"")</f>
        <v>0.16333333333333333</v>
      </c>
      <c r="U7" s="36">
        <f ca="1">IFERROR(AVERAGEIFS(INDIRECT("Tabela1["&amp;$B7&amp;"]"),Tabela1[Turno],$D7,Tabela1[Data Corrigida],U$3)/100,"")</f>
        <v>0.13</v>
      </c>
      <c r="V7" s="36">
        <f ca="1">IFERROR(AVERAGEIFS(INDIRECT("Tabela1["&amp;$B7&amp;"]"),Tabela1[Turno],$D7,Tabela1[Data Corrigida],V$3)/100,"")</f>
        <v>0.15666666666666665</v>
      </c>
      <c r="W7" s="36" t="str">
        <f ca="1">IFERROR(AVERAGEIFS(INDIRECT("Tabela1["&amp;$B7&amp;"]"),Tabela1[Turno],$D7,Tabela1[Data Corrigida],W$3)/100,"")</f>
        <v/>
      </c>
      <c r="X7" s="36" t="str">
        <f ca="1">IFERROR(AVERAGEIFS(INDIRECT("Tabela1["&amp;$B7&amp;"]"),Tabela1[Turno],$D7,Tabela1[Data Corrigida],X$3)/100,"")</f>
        <v/>
      </c>
      <c r="Y7" s="36" t="str">
        <f ca="1">IFERROR(AVERAGEIFS(INDIRECT("Tabela1["&amp;$B7&amp;"]"),Tabela1[Turno],$D7,Tabela1[Data Corrigida],Y$3)/100,"")</f>
        <v/>
      </c>
      <c r="Z7" s="36" t="str">
        <f ca="1">IFERROR(AVERAGEIFS(INDIRECT("Tabela1["&amp;$B7&amp;"]"),Tabela1[Turno],$D7,Tabela1[Data Corrigida],Z$3)/100,"")</f>
        <v/>
      </c>
      <c r="AA7" s="36" t="str">
        <f ca="1">IFERROR(AVERAGEIFS(INDIRECT("Tabela1["&amp;$B7&amp;"]"),Tabela1[Turno],$D7,Tabela1[Data Corrigida],AA$3)/100,"")</f>
        <v/>
      </c>
      <c r="AB7" s="36" t="str">
        <f ca="1">IFERROR(AVERAGEIFS(INDIRECT("Tabela1["&amp;$B7&amp;"]"),Tabela1[Turno],$D7,Tabela1[Data Corrigida],AB$3)/100,"")</f>
        <v/>
      </c>
      <c r="AC7" s="36" t="str">
        <f ca="1">IFERROR(AVERAGEIFS(INDIRECT("Tabela1["&amp;$B7&amp;"]"),Tabela1[Turno],$D7,Tabela1[Data Corrigida],AC$3)/100,"")</f>
        <v/>
      </c>
      <c r="AD7" s="36" t="str">
        <f ca="1">IFERROR(AVERAGEIFS(INDIRECT("Tabela1["&amp;$B7&amp;"]"),Tabela1[Turno],$D7,Tabela1[Data Corrigida],AD$3)/100,"")</f>
        <v/>
      </c>
      <c r="AE7" s="36" t="str">
        <f ca="1">IFERROR(AVERAGEIFS(INDIRECT("Tabela1["&amp;$B7&amp;"]"),Tabela1[Turno],$D7,Tabela1[Data Corrigida],AE$3)/100,"")</f>
        <v/>
      </c>
      <c r="AF7" s="36" t="str">
        <f ca="1">IFERROR(AVERAGEIFS(INDIRECT("Tabela1["&amp;$B7&amp;"]"),Tabela1[Turno],$D7,Tabela1[Data Corrigida],AF$3)/100,"")</f>
        <v/>
      </c>
      <c r="AG7" s="36" t="str">
        <f ca="1">IFERROR(AVERAGEIFS(INDIRECT("Tabela1["&amp;$B7&amp;"]"),Tabela1[Turno],$D7,Tabela1[Data Corrigida],AG$3)/100,"")</f>
        <v/>
      </c>
      <c r="AH7" s="36" t="str">
        <f ca="1">IFERROR(AVERAGEIFS(INDIRECT("Tabela1["&amp;$B7&amp;"]"),Tabela1[Turno],$D7,Tabela1[Data Corrigida],AH$3)/100,"")</f>
        <v/>
      </c>
      <c r="AI7" s="36" t="str">
        <f ca="1">IFERROR(AVERAGEIFS(INDIRECT("Tabela1["&amp;$B7&amp;"]"),Tabela1[Turno],$D7,Tabela1[Data Corrigida],AI$3)/100,"")</f>
        <v/>
      </c>
      <c r="AJ7" s="36" t="str">
        <f ca="1">IFERROR(AVERAGEIFS(INDIRECT("Tabela1["&amp;$B7&amp;"]"),Tabela1[Turno],$D7,Tabela1[Data Corrigida],AJ$3)/100,"")</f>
        <v/>
      </c>
      <c r="AK7" s="36" t="str">
        <f ca="1">IFERROR(AVERAGEIFS(INDIRECT("Tabela1["&amp;$B7&amp;"]"),Tabela1[Turno],$D7,Tabela1[Data Corrigida],AK$3)/100,"")</f>
        <v/>
      </c>
      <c r="AL7" s="36" t="str">
        <f ca="1">IFERROR(AVERAGEIFS(INDIRECT("Tabela1["&amp;$B7&amp;"]"),Tabela1[Turno],$D7,Tabela1[Data Corrigida],AL$3)/100,"")</f>
        <v/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3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0.27205479452054798</v>
      </c>
      <c r="N8" s="45">
        <f ca="1">IFERROR(AVERAGEIFS(INDIRECT("Tabela1["&amp;$B8&amp;"]"),Tabela1[Mês],N$3)/100,"")</f>
        <v>0.25277777777777777</v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0"/>
      <c r="R8" s="37">
        <f ca="1">IFERROR(AVERAGEIFS(INDIRECT("Tabela1["&amp;$B8&amp;"]"),Tabela1[Data Corrigida],R$3)/100,"")</f>
        <v>0.33571428571428569</v>
      </c>
      <c r="S8" s="38">
        <f ca="1">IFERROR(AVERAGEIFS(INDIRECT("Tabela1["&amp;$B8&amp;"]"),Tabela1[Data Corrigida],S$3)/100,"")</f>
        <v>0.25142857142857145</v>
      </c>
      <c r="T8" s="38">
        <f ca="1">IFERROR(AVERAGEIFS(INDIRECT("Tabela1["&amp;$B8&amp;"]"),Tabela1[Data Corrigida],T$3)/100,"")</f>
        <v>0.20499999999999999</v>
      </c>
      <c r="U8" s="38">
        <f ca="1">IFERROR(AVERAGEIFS(INDIRECT("Tabela1["&amp;$B8&amp;"]"),Tabela1[Data Corrigida],U$3)/100,"")</f>
        <v>0.19428571428571428</v>
      </c>
      <c r="V8" s="38">
        <f ca="1">IFERROR(AVERAGEIFS(INDIRECT("Tabela1["&amp;$B8&amp;"]"),Tabela1[Data Corrigida],V$3)/100,"")</f>
        <v>0.23857142857142857</v>
      </c>
      <c r="W8" s="38">
        <f ca="1">IFERROR(AVERAGEIFS(INDIRECT("Tabela1["&amp;$B8&amp;"]"),Tabela1[Data Corrigida],W$3)/100,"")</f>
        <v>0.28499999999999998</v>
      </c>
      <c r="X8" s="38" t="str">
        <f ca="1">IFERROR(AVERAGEIFS(INDIRECT("Tabela1["&amp;$B8&amp;"]"),Tabela1[Data Corrigida],X$3)/100,"")</f>
        <v/>
      </c>
      <c r="Y8" s="38" t="str">
        <f ca="1">IFERROR(AVERAGEIFS(INDIRECT("Tabela1["&amp;$B8&amp;"]"),Tabela1[Data Corrigida],Y$3)/100,"")</f>
        <v/>
      </c>
      <c r="Z8" s="38" t="str">
        <f ca="1">IFERROR(AVERAGEIFS(INDIRECT("Tabela1["&amp;$B8&amp;"]"),Tabela1[Data Corrigida],Z$3)/100,"")</f>
        <v/>
      </c>
      <c r="AA8" s="38" t="str">
        <f ca="1">IFERROR(AVERAGEIFS(INDIRECT("Tabela1["&amp;$B8&amp;"]"),Tabela1[Data Corrigida],AA$3)/100,"")</f>
        <v/>
      </c>
      <c r="AB8" s="38" t="str">
        <f ca="1">IFERROR(AVERAGEIFS(INDIRECT("Tabela1["&amp;$B8&amp;"]"),Tabela1[Data Corrigida],AB$3)/100,"")</f>
        <v/>
      </c>
      <c r="AC8" s="38" t="str">
        <f ca="1">IFERROR(AVERAGEIFS(INDIRECT("Tabela1["&amp;$B8&amp;"]"),Tabela1[Data Corrigida],AC$3)/100,"")</f>
        <v/>
      </c>
      <c r="AD8" s="38" t="str">
        <f ca="1">IFERROR(AVERAGEIFS(INDIRECT("Tabela1["&amp;$B8&amp;"]"),Tabela1[Data Corrigida],AD$3)/100,"")</f>
        <v/>
      </c>
      <c r="AE8" s="38" t="str">
        <f ca="1">IFERROR(AVERAGEIFS(INDIRECT("Tabela1["&amp;$B8&amp;"]"),Tabela1[Data Corrigida],AE$3)/100,"")</f>
        <v/>
      </c>
      <c r="AF8" s="38" t="str">
        <f ca="1">IFERROR(AVERAGEIFS(INDIRECT("Tabela1["&amp;$B8&amp;"]"),Tabela1[Data Corrigida],AF$3)/100,"")</f>
        <v/>
      </c>
      <c r="AG8" s="38" t="str">
        <f ca="1">IFERROR(AVERAGEIFS(INDIRECT("Tabela1["&amp;$B8&amp;"]"),Tabela1[Data Corrigida],AG$3)/100,"")</f>
        <v/>
      </c>
      <c r="AH8" s="38" t="str">
        <f ca="1">IFERROR(AVERAGEIFS(INDIRECT("Tabela1["&amp;$B8&amp;"]"),Tabela1[Data Corrigida],AH$3)/100,"")</f>
        <v/>
      </c>
      <c r="AI8" s="38" t="str">
        <f ca="1">IFERROR(AVERAGEIFS(INDIRECT("Tabela1["&amp;$B8&amp;"]"),Tabela1[Data Corrigida],AI$3)/100,"")</f>
        <v/>
      </c>
      <c r="AJ8" s="38" t="str">
        <f ca="1">IFERROR(AVERAGEIFS(INDIRECT("Tabela1["&amp;$B8&amp;"]"),Tabela1[Data Corrigida],AJ$3)/100,"")</f>
        <v/>
      </c>
      <c r="AK8" s="38" t="str">
        <f ca="1">IFERROR(AVERAGEIFS(INDIRECT("Tabela1["&amp;$B8&amp;"]"),Tabela1[Data Corrigida],AK$3)/100,"")</f>
        <v/>
      </c>
      <c r="AL8" s="38" t="str">
        <f ca="1">IFERROR(AVERAGEIFS(INDIRECT("Tabela1["&amp;$B8&amp;"]"),Tabela1[Data Corrigida],AL$3)/100,"")</f>
        <v/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25">
      <c r="A9" s="50" t="str">
        <f>VLOOKUP(Tabela2[[#This Row],[Item 1]],Apoio!$A$2:$B$41,2,0)</f>
        <v>Escald</v>
      </c>
      <c r="B9" s="9" t="str">
        <f t="shared" si="2"/>
        <v>% Pena após Repasse</v>
      </c>
      <c r="C9" s="61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0.13469879518072289</v>
      </c>
      <c r="N9" s="34">
        <f ca="1">IFERROR(AVERAGEIFS(INDIRECT("Tabela1["&amp;$B9&amp;"]"),Tabela1[Turno],$D9,Tabela1[Mês],N$3)/100,"")</f>
        <v>0.16904761904761906</v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58">
        <v>0</v>
      </c>
      <c r="R9" s="39">
        <f ca="1">IFERROR(AVERAGEIFS(INDIRECT("Tabela1["&amp;$B9&amp;"]"),Tabela1[Turno],$D9,Tabela1[Data Corrigida],R$3)/100,"")</f>
        <v>0.27250000000000002</v>
      </c>
      <c r="S9" s="40">
        <f ca="1">IFERROR(AVERAGEIFS(INDIRECT("Tabela1["&amp;$B9&amp;"]"),Tabela1[Turno],$D9,Tabela1[Data Corrigida],S$3)/100,"")</f>
        <v>0.15</v>
      </c>
      <c r="T9" s="40">
        <f ca="1">IFERROR(AVERAGEIFS(INDIRECT("Tabela1["&amp;$B9&amp;"]"),Tabela1[Turno],$D9,Tabela1[Data Corrigida],T$3)/100,"")</f>
        <v>0.21</v>
      </c>
      <c r="U9" s="40">
        <f ca="1">IFERROR(AVERAGEIFS(INDIRECT("Tabela1["&amp;$B9&amp;"]"),Tabela1[Turno],$D9,Tabela1[Data Corrigida],U$3)/100,"")</f>
        <v>0.10249999999999999</v>
      </c>
      <c r="V9" s="40">
        <f ca="1">IFERROR(AVERAGEIFS(INDIRECT("Tabela1["&amp;$B9&amp;"]"),Tabela1[Turno],$D9,Tabela1[Data Corrigida],V$3)/100,"")</f>
        <v>0.185</v>
      </c>
      <c r="W9" s="40">
        <f ca="1">IFERROR(AVERAGEIFS(INDIRECT("Tabela1["&amp;$B9&amp;"]"),Tabela1[Turno],$D9,Tabela1[Data Corrigida],W$3)/100,"")</f>
        <v>0.125</v>
      </c>
      <c r="X9" s="40" t="str">
        <f ca="1">IFERROR(AVERAGEIFS(INDIRECT("Tabela1["&amp;$B9&amp;"]"),Tabela1[Turno],$D9,Tabela1[Data Corrigida],X$3)/100,"")</f>
        <v/>
      </c>
      <c r="Y9" s="40" t="str">
        <f ca="1">IFERROR(AVERAGEIFS(INDIRECT("Tabela1["&amp;$B9&amp;"]"),Tabela1[Turno],$D9,Tabela1[Data Corrigida],Y$3)/100,"")</f>
        <v/>
      </c>
      <c r="Z9" s="40" t="str">
        <f ca="1">IFERROR(AVERAGEIFS(INDIRECT("Tabela1["&amp;$B9&amp;"]"),Tabela1[Turno],$D9,Tabela1[Data Corrigida],Z$3)/100,"")</f>
        <v/>
      </c>
      <c r="AA9" s="40" t="str">
        <f ca="1">IFERROR(AVERAGEIFS(INDIRECT("Tabela1["&amp;$B9&amp;"]"),Tabela1[Turno],$D9,Tabela1[Data Corrigida],AA$3)/100,"")</f>
        <v/>
      </c>
      <c r="AB9" s="40" t="str">
        <f ca="1">IFERROR(AVERAGEIFS(INDIRECT("Tabela1["&amp;$B9&amp;"]"),Tabela1[Turno],$D9,Tabela1[Data Corrigida],AB$3)/100,"")</f>
        <v/>
      </c>
      <c r="AC9" s="40" t="str">
        <f ca="1">IFERROR(AVERAGEIFS(INDIRECT("Tabela1["&amp;$B9&amp;"]"),Tabela1[Turno],$D9,Tabela1[Data Corrigida],AC$3)/100,"")</f>
        <v/>
      </c>
      <c r="AD9" s="40" t="str">
        <f ca="1">IFERROR(AVERAGEIFS(INDIRECT("Tabela1["&amp;$B9&amp;"]"),Tabela1[Turno],$D9,Tabela1[Data Corrigida],AD$3)/100,"")</f>
        <v/>
      </c>
      <c r="AE9" s="40" t="str">
        <f ca="1">IFERROR(AVERAGEIFS(INDIRECT("Tabela1["&amp;$B9&amp;"]"),Tabela1[Turno],$D9,Tabela1[Data Corrigida],AE$3)/100,"")</f>
        <v/>
      </c>
      <c r="AF9" s="40" t="str">
        <f ca="1">IFERROR(AVERAGEIFS(INDIRECT("Tabela1["&amp;$B9&amp;"]"),Tabela1[Turno],$D9,Tabela1[Data Corrigida],AF$3)/100,"")</f>
        <v/>
      </c>
      <c r="AG9" s="40" t="str">
        <f ca="1">IFERROR(AVERAGEIFS(INDIRECT("Tabela1["&amp;$B9&amp;"]"),Tabela1[Turno],$D9,Tabela1[Data Corrigida],AG$3)/100,"")</f>
        <v/>
      </c>
      <c r="AH9" s="40" t="str">
        <f ca="1">IFERROR(AVERAGEIFS(INDIRECT("Tabela1["&amp;$B9&amp;"]"),Tabela1[Turno],$D9,Tabela1[Data Corrigida],AH$3)/100,"")</f>
        <v/>
      </c>
      <c r="AI9" s="40" t="str">
        <f ca="1">IFERROR(AVERAGEIFS(INDIRECT("Tabela1["&amp;$B9&amp;"]"),Tabela1[Turno],$D9,Tabela1[Data Corrigida],AI$3)/100,"")</f>
        <v/>
      </c>
      <c r="AJ9" s="40" t="str">
        <f ca="1">IFERROR(AVERAGEIFS(INDIRECT("Tabela1["&amp;$B9&amp;"]"),Tabela1[Turno],$D9,Tabela1[Data Corrigida],AJ$3)/100,"")</f>
        <v/>
      </c>
      <c r="AK9" s="40" t="str">
        <f ca="1">IFERROR(AVERAGEIFS(INDIRECT("Tabela1["&amp;$B9&amp;"]"),Tabela1[Turno],$D9,Tabela1[Data Corrigida],AK$3)/100,"")</f>
        <v/>
      </c>
      <c r="AL9" s="40" t="str">
        <f ca="1">IFERROR(AVERAGEIFS(INDIRECT("Tabela1["&amp;$B9&amp;"]"),Tabela1[Turno],$D9,Tabela1[Data Corrigida],AL$3)/100,"")</f>
        <v/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25">
      <c r="A10" s="50" t="str">
        <f>VLOOKUP(Tabela2[[#This Row],[Item 1]],Apoio!$A$2:$B$41,2,0)</f>
        <v>Escald</v>
      </c>
      <c r="B10" s="9" t="str">
        <f t="shared" si="2"/>
        <v>% Pena após Repasse</v>
      </c>
      <c r="C10" s="62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8.8730158730158729E-2</v>
      </c>
      <c r="N10" s="36">
        <f ca="1">IFERROR(AVERAGEIFS(INDIRECT("Tabela1["&amp;$B10&amp;"]"),Tabela1[Turno],$D10,Tabela1[Mês],N$3)/100,"")</f>
        <v>5.8571428571428566E-2</v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59"/>
      <c r="R10" s="35">
        <f ca="1">IFERROR(AVERAGEIFS(INDIRECT("Tabela1["&amp;$B10&amp;"]"),Tabela1[Turno],$D10,Tabela1[Data Corrigida],R$3)/100,"")</f>
        <v>5.6666666666666671E-2</v>
      </c>
      <c r="S10" s="36">
        <f ca="1">IFERROR(AVERAGEIFS(INDIRECT("Tabela1["&amp;$B10&amp;"]"),Tabela1[Turno],$D10,Tabela1[Data Corrigida],S$3)/100,"")</f>
        <v>0.06</v>
      </c>
      <c r="T10" s="36">
        <f ca="1">IFERROR(AVERAGEIFS(INDIRECT("Tabela1["&amp;$B10&amp;"]"),Tabela1[Turno],$D10,Tabela1[Data Corrigida],T$3)/100,"")</f>
        <v>7.0000000000000007E-2</v>
      </c>
      <c r="U10" s="36">
        <f ca="1">IFERROR(AVERAGEIFS(INDIRECT("Tabela1["&amp;$B10&amp;"]"),Tabela1[Turno],$D10,Tabela1[Data Corrigida],U$3)/100,"")</f>
        <v>5.5E-2</v>
      </c>
      <c r="V10" s="36">
        <f ca="1">IFERROR(AVERAGEIFS(INDIRECT("Tabela1["&amp;$B10&amp;"]"),Tabela1[Turno],$D10,Tabela1[Data Corrigida],V$3)/100,"")</f>
        <v>0.05</v>
      </c>
      <c r="W10" s="36" t="str">
        <f ca="1">IFERROR(AVERAGEIFS(INDIRECT("Tabela1["&amp;$B10&amp;"]"),Tabela1[Turno],$D10,Tabela1[Data Corrigida],W$3)/100,"")</f>
        <v/>
      </c>
      <c r="X10" s="36" t="str">
        <f ca="1">IFERROR(AVERAGEIFS(INDIRECT("Tabela1["&amp;$B10&amp;"]"),Tabela1[Turno],$D10,Tabela1[Data Corrigida],X$3)/100,"")</f>
        <v/>
      </c>
      <c r="Y10" s="36" t="str">
        <f ca="1">IFERROR(AVERAGEIFS(INDIRECT("Tabela1["&amp;$B10&amp;"]"),Tabela1[Turno],$D10,Tabela1[Data Corrigida],Y$3)/100,"")</f>
        <v/>
      </c>
      <c r="Z10" s="36" t="str">
        <f ca="1">IFERROR(AVERAGEIFS(INDIRECT("Tabela1["&amp;$B10&amp;"]"),Tabela1[Turno],$D10,Tabela1[Data Corrigida],Z$3)/100,"")</f>
        <v/>
      </c>
      <c r="AA10" s="36" t="str">
        <f ca="1">IFERROR(AVERAGEIFS(INDIRECT("Tabela1["&amp;$B10&amp;"]"),Tabela1[Turno],$D10,Tabela1[Data Corrigida],AA$3)/100,"")</f>
        <v/>
      </c>
      <c r="AB10" s="36" t="str">
        <f ca="1">IFERROR(AVERAGEIFS(INDIRECT("Tabela1["&amp;$B10&amp;"]"),Tabela1[Turno],$D10,Tabela1[Data Corrigida],AB$3)/100,"")</f>
        <v/>
      </c>
      <c r="AC10" s="36" t="str">
        <f ca="1">IFERROR(AVERAGEIFS(INDIRECT("Tabela1["&amp;$B10&amp;"]"),Tabela1[Turno],$D10,Tabela1[Data Corrigida],AC$3)/100,"")</f>
        <v/>
      </c>
      <c r="AD10" s="36" t="str">
        <f ca="1">IFERROR(AVERAGEIFS(INDIRECT("Tabela1["&amp;$B10&amp;"]"),Tabela1[Turno],$D10,Tabela1[Data Corrigida],AD$3)/100,"")</f>
        <v/>
      </c>
      <c r="AE10" s="36" t="str">
        <f ca="1">IFERROR(AVERAGEIFS(INDIRECT("Tabela1["&amp;$B10&amp;"]"),Tabela1[Turno],$D10,Tabela1[Data Corrigida],AE$3)/100,"")</f>
        <v/>
      </c>
      <c r="AF10" s="36" t="str">
        <f ca="1">IFERROR(AVERAGEIFS(INDIRECT("Tabela1["&amp;$B10&amp;"]"),Tabela1[Turno],$D10,Tabela1[Data Corrigida],AF$3)/100,"")</f>
        <v/>
      </c>
      <c r="AG10" s="36" t="str">
        <f ca="1">IFERROR(AVERAGEIFS(INDIRECT("Tabela1["&amp;$B10&amp;"]"),Tabela1[Turno],$D10,Tabela1[Data Corrigida],AG$3)/100,"")</f>
        <v/>
      </c>
      <c r="AH10" s="36" t="str">
        <f ca="1">IFERROR(AVERAGEIFS(INDIRECT("Tabela1["&amp;$B10&amp;"]"),Tabela1[Turno],$D10,Tabela1[Data Corrigida],AH$3)/100,"")</f>
        <v/>
      </c>
      <c r="AI10" s="36" t="str">
        <f ca="1">IFERROR(AVERAGEIFS(INDIRECT("Tabela1["&amp;$B10&amp;"]"),Tabela1[Turno],$D10,Tabela1[Data Corrigida],AI$3)/100,"")</f>
        <v/>
      </c>
      <c r="AJ10" s="36" t="str">
        <f ca="1">IFERROR(AVERAGEIFS(INDIRECT("Tabela1["&amp;$B10&amp;"]"),Tabela1[Turno],$D10,Tabela1[Data Corrigida],AJ$3)/100,"")</f>
        <v/>
      </c>
      <c r="AK10" s="36" t="str">
        <f ca="1">IFERROR(AVERAGEIFS(INDIRECT("Tabela1["&amp;$B10&amp;"]"),Tabela1[Turno],$D10,Tabela1[Data Corrigida],AK$3)/100,"")</f>
        <v/>
      </c>
      <c r="AL10" s="36" t="str">
        <f ca="1">IFERROR(AVERAGEIFS(INDIRECT("Tabela1["&amp;$B10&amp;"]"),Tabela1[Turno],$D10,Tabela1[Data Corrigida],AL$3)/100,"")</f>
        <v/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">
      <c r="A11" s="50" t="str">
        <f>VLOOKUP(Tabela2[[#This Row],[Item 1]],Apoio!$A$2:$B$41,2,0)</f>
        <v>Escald</v>
      </c>
      <c r="B11" s="9" t="str">
        <f t="shared" si="2"/>
        <v>% Pena após Repasse</v>
      </c>
      <c r="C11" s="63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0.11486301369863014</v>
      </c>
      <c r="N11" s="45">
        <f ca="1">IFERROR(AVERAGEIFS(INDIRECT("Tabela1["&amp;$B11&amp;"]"),Tabela1[Mês],N$3)/100,"")</f>
        <v>0.12485714285714286</v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0"/>
      <c r="R11" s="42">
        <f ca="1">IFERROR(AVERAGEIFS(INDIRECT("Tabela1["&amp;$B11&amp;"]"),Tabela1[Data Corrigida],R$3)/100,"")</f>
        <v>0.18</v>
      </c>
      <c r="S11" s="43">
        <f ca="1">IFERROR(AVERAGEIFS(INDIRECT("Tabela1["&amp;$B11&amp;"]"),Tabela1[Data Corrigida],S$3)/100,"")</f>
        <v>0.11142857142857142</v>
      </c>
      <c r="T11" s="43">
        <f ca="1">IFERROR(AVERAGEIFS(INDIRECT("Tabela1["&amp;$B11&amp;"]"),Tabela1[Data Corrigida],T$3)/100,"")</f>
        <v>0.105</v>
      </c>
      <c r="U11" s="43">
        <f ca="1">IFERROR(AVERAGEIFS(INDIRECT("Tabela1["&amp;$B11&amp;"]"),Tabela1[Data Corrigida],U$3)/100,"")</f>
        <v>8.6666666666666656E-2</v>
      </c>
      <c r="V11" s="43">
        <f ca="1">IFERROR(AVERAGEIFS(INDIRECT("Tabela1["&amp;$B11&amp;"]"),Tabela1[Data Corrigida],V$3)/100,"")</f>
        <v>0.12714285714285714</v>
      </c>
      <c r="W11" s="43">
        <f ca="1">IFERROR(AVERAGEIFS(INDIRECT("Tabela1["&amp;$B11&amp;"]"),Tabela1[Data Corrigida],W$3)/100,"")</f>
        <v>0.125</v>
      </c>
      <c r="X11" s="43" t="str">
        <f ca="1">IFERROR(AVERAGEIFS(INDIRECT("Tabela1["&amp;$B11&amp;"]"),Tabela1[Data Corrigida],X$3)/100,"")</f>
        <v/>
      </c>
      <c r="Y11" s="43" t="str">
        <f ca="1">IFERROR(AVERAGEIFS(INDIRECT("Tabela1["&amp;$B11&amp;"]"),Tabela1[Data Corrigida],Y$3)/100,"")</f>
        <v/>
      </c>
      <c r="Z11" s="43" t="str">
        <f ca="1">IFERROR(AVERAGEIFS(INDIRECT("Tabela1["&amp;$B11&amp;"]"),Tabela1[Data Corrigida],Z$3)/100,"")</f>
        <v/>
      </c>
      <c r="AA11" s="43" t="str">
        <f ca="1">IFERROR(AVERAGEIFS(INDIRECT("Tabela1["&amp;$B11&amp;"]"),Tabela1[Data Corrigida],AA$3)/100,"")</f>
        <v/>
      </c>
      <c r="AB11" s="43" t="str">
        <f ca="1">IFERROR(AVERAGEIFS(INDIRECT("Tabela1["&amp;$B11&amp;"]"),Tabela1[Data Corrigida],AB$3)/100,"")</f>
        <v/>
      </c>
      <c r="AC11" s="43" t="str">
        <f ca="1">IFERROR(AVERAGEIFS(INDIRECT("Tabela1["&amp;$B11&amp;"]"),Tabela1[Data Corrigida],AC$3)/100,"")</f>
        <v/>
      </c>
      <c r="AD11" s="43" t="str">
        <f ca="1">IFERROR(AVERAGEIFS(INDIRECT("Tabela1["&amp;$B11&amp;"]"),Tabela1[Data Corrigida],AD$3)/100,"")</f>
        <v/>
      </c>
      <c r="AE11" s="43" t="str">
        <f ca="1">IFERROR(AVERAGEIFS(INDIRECT("Tabela1["&amp;$B11&amp;"]"),Tabela1[Data Corrigida],AE$3)/100,"")</f>
        <v/>
      </c>
      <c r="AF11" s="43" t="str">
        <f ca="1">IFERROR(AVERAGEIFS(INDIRECT("Tabela1["&amp;$B11&amp;"]"),Tabela1[Data Corrigida],AF$3)/100,"")</f>
        <v/>
      </c>
      <c r="AG11" s="43" t="str">
        <f ca="1">IFERROR(AVERAGEIFS(INDIRECT("Tabela1["&amp;$B11&amp;"]"),Tabela1[Data Corrigida],AG$3)/100,"")</f>
        <v/>
      </c>
      <c r="AH11" s="43" t="str">
        <f ca="1">IFERROR(AVERAGEIFS(INDIRECT("Tabela1["&amp;$B11&amp;"]"),Tabela1[Data Corrigida],AH$3)/100,"")</f>
        <v/>
      </c>
      <c r="AI11" s="43" t="str">
        <f ca="1">IFERROR(AVERAGEIFS(INDIRECT("Tabela1["&amp;$B11&amp;"]"),Tabela1[Data Corrigida],AI$3)/100,"")</f>
        <v/>
      </c>
      <c r="AJ11" s="43" t="str">
        <f ca="1">IFERROR(AVERAGEIFS(INDIRECT("Tabela1["&amp;$B11&amp;"]"),Tabela1[Data Corrigida],AJ$3)/100,"")</f>
        <v/>
      </c>
      <c r="AK11" s="43" t="str">
        <f ca="1">IFERROR(AVERAGEIFS(INDIRECT("Tabela1["&amp;$B11&amp;"]"),Tabela1[Data Corrigida],AK$3)/100,"")</f>
        <v/>
      </c>
      <c r="AL11" s="43" t="str">
        <f ca="1">IFERROR(AVERAGEIFS(INDIRECT("Tabela1["&amp;$B11&amp;"]"),Tabela1[Data Corrigida],AL$3)/100,"")</f>
        <v/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25">
      <c r="A12" s="50" t="str">
        <f>VLOOKUP(Tabela2[[#This Row],[Item 1]],Apoio!$A$2:$B$41,2,0)</f>
        <v>Escald</v>
      </c>
      <c r="B12" s="9" t="str">
        <f t="shared" si="2"/>
        <v>Carcaça Quebrada</v>
      </c>
      <c r="C12" s="61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1.2195121951219512E-3</v>
      </c>
      <c r="N12" s="34">
        <f ca="1">IFERROR(AVERAGEIFS(INDIRECT("Tabela1["&amp;$B12&amp;"]"),Tabela1[Turno],$D12,Tabela1[Mês],N$3)/20,"")</f>
        <v>0</v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58">
        <v>0</v>
      </c>
      <c r="R12" s="33">
        <f ca="1">IFERROR(AVERAGEIFS(INDIRECT("Tabela1["&amp;$B12&amp;"]"),Tabela1[Turno],$D12,Tabela1[Data Corrigida],R$3)/20,"")</f>
        <v>0</v>
      </c>
      <c r="S12" s="34">
        <f ca="1">IFERROR(AVERAGEIFS(INDIRECT("Tabela1["&amp;$B12&amp;"]"),Tabela1[Turno],$D12,Tabela1[Data Corrigida],S$3)/20,"")</f>
        <v>0</v>
      </c>
      <c r="T12" s="34">
        <f ca="1">IFERROR(AVERAGEIFS(INDIRECT("Tabela1["&amp;$B12&amp;"]"),Tabela1[Turno],$D12,Tabela1[Data Corrigida],T$3)/20,"")</f>
        <v>0</v>
      </c>
      <c r="U12" s="34">
        <f ca="1">IFERROR(AVERAGEIFS(INDIRECT("Tabela1["&amp;$B12&amp;"]"),Tabela1[Turno],$D12,Tabela1[Data Corrigida],U$3)/20,"")</f>
        <v>0</v>
      </c>
      <c r="V12" s="34">
        <f ca="1">IFERROR(AVERAGEIFS(INDIRECT("Tabela1["&amp;$B12&amp;"]"),Tabela1[Turno],$D12,Tabela1[Data Corrigida],V$3)/20,"")</f>
        <v>0</v>
      </c>
      <c r="W12" s="34">
        <f ca="1">IFERROR(AVERAGEIFS(INDIRECT("Tabela1["&amp;$B12&amp;"]"),Tabela1[Turno],$D12,Tabela1[Data Corrigida],W$3)/20,"")</f>
        <v>0</v>
      </c>
      <c r="X12" s="34" t="str">
        <f ca="1">IFERROR(AVERAGEIFS(INDIRECT("Tabela1["&amp;$B12&amp;"]"),Tabela1[Turno],$D12,Tabela1[Data Corrigida],X$3)/20,"")</f>
        <v/>
      </c>
      <c r="Y12" s="34" t="str">
        <f ca="1">IFERROR(AVERAGEIFS(INDIRECT("Tabela1["&amp;$B12&amp;"]"),Tabela1[Turno],$D12,Tabela1[Data Corrigida],Y$3)/20,"")</f>
        <v/>
      </c>
      <c r="Z12" s="34" t="str">
        <f ca="1">IFERROR(AVERAGEIFS(INDIRECT("Tabela1["&amp;$B12&amp;"]"),Tabela1[Turno],$D12,Tabela1[Data Corrigida],Z$3)/20,"")</f>
        <v/>
      </c>
      <c r="AA12" s="34" t="str">
        <f ca="1">IFERROR(AVERAGEIFS(INDIRECT("Tabela1["&amp;$B12&amp;"]"),Tabela1[Turno],$D12,Tabela1[Data Corrigida],AA$3)/20,"")</f>
        <v/>
      </c>
      <c r="AB12" s="34" t="str">
        <f ca="1">IFERROR(AVERAGEIFS(INDIRECT("Tabela1["&amp;$B12&amp;"]"),Tabela1[Turno],$D12,Tabela1[Data Corrigida],AB$3)/20,"")</f>
        <v/>
      </c>
      <c r="AC12" s="34" t="str">
        <f ca="1">IFERROR(AVERAGEIFS(INDIRECT("Tabela1["&amp;$B12&amp;"]"),Tabela1[Turno],$D12,Tabela1[Data Corrigida],AC$3)/20,"")</f>
        <v/>
      </c>
      <c r="AD12" s="34" t="str">
        <f ca="1">IFERROR(AVERAGEIFS(INDIRECT("Tabela1["&amp;$B12&amp;"]"),Tabela1[Turno],$D12,Tabela1[Data Corrigida],AD$3)/20,"")</f>
        <v/>
      </c>
      <c r="AE12" s="34" t="str">
        <f ca="1">IFERROR(AVERAGEIFS(INDIRECT("Tabela1["&amp;$B12&amp;"]"),Tabela1[Turno],$D12,Tabela1[Data Corrigida],AE$3)/20,"")</f>
        <v/>
      </c>
      <c r="AF12" s="34" t="str">
        <f ca="1">IFERROR(AVERAGEIFS(INDIRECT("Tabela1["&amp;$B12&amp;"]"),Tabela1[Turno],$D12,Tabela1[Data Corrigida],AF$3)/20,"")</f>
        <v/>
      </c>
      <c r="AG12" s="34" t="str">
        <f ca="1">IFERROR(AVERAGEIFS(INDIRECT("Tabela1["&amp;$B12&amp;"]"),Tabela1[Turno],$D12,Tabela1[Data Corrigida],AG$3)/20,"")</f>
        <v/>
      </c>
      <c r="AH12" s="34" t="str">
        <f ca="1">IFERROR(AVERAGEIFS(INDIRECT("Tabela1["&amp;$B12&amp;"]"),Tabela1[Turno],$D12,Tabela1[Data Corrigida],AH$3)/20,"")</f>
        <v/>
      </c>
      <c r="AI12" s="34" t="str">
        <f ca="1">IFERROR(AVERAGEIFS(INDIRECT("Tabela1["&amp;$B12&amp;"]"),Tabela1[Turno],$D12,Tabela1[Data Corrigida],AI$3)/20,"")</f>
        <v/>
      </c>
      <c r="AJ12" s="34" t="str">
        <f ca="1">IFERROR(AVERAGEIFS(INDIRECT("Tabela1["&amp;$B12&amp;"]"),Tabela1[Turno],$D12,Tabela1[Data Corrigida],AJ$3)/20,"")</f>
        <v/>
      </c>
      <c r="AK12" s="34" t="str">
        <f ca="1">IFERROR(AVERAGEIFS(INDIRECT("Tabela1["&amp;$B12&amp;"]"),Tabela1[Turno],$D12,Tabela1[Data Corrigida],AK$3)/20,"")</f>
        <v/>
      </c>
      <c r="AL12" s="34" t="str">
        <f ca="1">IFERROR(AVERAGEIFS(INDIRECT("Tabela1["&amp;$B12&amp;"]"),Tabela1[Turno],$D12,Tabela1[Data Corrigida],AL$3)/20,"")</f>
        <v/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25">
      <c r="A13" s="50" t="str">
        <f>VLOOKUP(Tabela2[[#This Row],[Item 1]],Apoio!$A$2:$B$41,2,0)</f>
        <v>Escald</v>
      </c>
      <c r="B13" s="9" t="str">
        <f t="shared" si="2"/>
        <v>Carcaça Quebrada</v>
      </c>
      <c r="C13" s="62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3.0952380952380953E-2</v>
      </c>
      <c r="N13" s="36">
        <f ca="1">IFERROR(AVERAGEIFS(INDIRECT("Tabela1["&amp;$B13&amp;"]"),Tabela1[Turno],$D13,Tabela1[Mês],N$3)/20,"")</f>
        <v>5.333333333333333E-2</v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59"/>
      <c r="R13" s="35">
        <f ca="1">IFERROR(AVERAGEIFS(INDIRECT("Tabela1["&amp;$B13&amp;"]"),Tabela1[Turno],$D13,Tabela1[Data Corrigida],R$3)/20,"")</f>
        <v>0</v>
      </c>
      <c r="S13" s="36">
        <f ca="1">IFERROR(AVERAGEIFS(INDIRECT("Tabela1["&amp;$B13&amp;"]"),Tabela1[Turno],$D13,Tabela1[Data Corrigida],S$3)/20,"")</f>
        <v>3.3333333333333333E-2</v>
      </c>
      <c r="T13" s="36">
        <f ca="1">IFERROR(AVERAGEIFS(INDIRECT("Tabela1["&amp;$B13&amp;"]"),Tabela1[Turno],$D13,Tabela1[Data Corrigida],T$3)/20,"")</f>
        <v>3.3333333333333333E-2</v>
      </c>
      <c r="U13" s="36">
        <f ca="1">IFERROR(AVERAGEIFS(INDIRECT("Tabela1["&amp;$B13&amp;"]"),Tabela1[Turno],$D13,Tabela1[Data Corrigida],U$3)/20,"")</f>
        <v>0.16666666666666669</v>
      </c>
      <c r="V13" s="36">
        <f ca="1">IFERROR(AVERAGEIFS(INDIRECT("Tabela1["&amp;$B13&amp;"]"),Tabela1[Turno],$D13,Tabela1[Data Corrigida],V$3)/20,"")</f>
        <v>3.3333333333333333E-2</v>
      </c>
      <c r="W13" s="36" t="str">
        <f ca="1">IFERROR(AVERAGEIFS(INDIRECT("Tabela1["&amp;$B13&amp;"]"),Tabela1[Turno],$D13,Tabela1[Data Corrigida],W$3)/20,"")</f>
        <v/>
      </c>
      <c r="X13" s="36" t="str">
        <f ca="1">IFERROR(AVERAGEIFS(INDIRECT("Tabela1["&amp;$B13&amp;"]"),Tabela1[Turno],$D13,Tabela1[Data Corrigida],X$3)/20,"")</f>
        <v/>
      </c>
      <c r="Y13" s="36" t="str">
        <f ca="1">IFERROR(AVERAGEIFS(INDIRECT("Tabela1["&amp;$B13&amp;"]"),Tabela1[Turno],$D13,Tabela1[Data Corrigida],Y$3)/20,"")</f>
        <v/>
      </c>
      <c r="Z13" s="36" t="str">
        <f ca="1">IFERROR(AVERAGEIFS(INDIRECT("Tabela1["&amp;$B13&amp;"]"),Tabela1[Turno],$D13,Tabela1[Data Corrigida],Z$3)/20,"")</f>
        <v/>
      </c>
      <c r="AA13" s="36" t="str">
        <f ca="1">IFERROR(AVERAGEIFS(INDIRECT("Tabela1["&amp;$B13&amp;"]"),Tabela1[Turno],$D13,Tabela1[Data Corrigida],AA$3)/20,"")</f>
        <v/>
      </c>
      <c r="AB13" s="36" t="str">
        <f ca="1">IFERROR(AVERAGEIFS(INDIRECT("Tabela1["&amp;$B13&amp;"]"),Tabela1[Turno],$D13,Tabela1[Data Corrigida],AB$3)/20,"")</f>
        <v/>
      </c>
      <c r="AC13" s="36" t="str">
        <f ca="1">IFERROR(AVERAGEIFS(INDIRECT("Tabela1["&amp;$B13&amp;"]"),Tabela1[Turno],$D13,Tabela1[Data Corrigida],AC$3)/20,"")</f>
        <v/>
      </c>
      <c r="AD13" s="36" t="str">
        <f ca="1">IFERROR(AVERAGEIFS(INDIRECT("Tabela1["&amp;$B13&amp;"]"),Tabela1[Turno],$D13,Tabela1[Data Corrigida],AD$3)/20,"")</f>
        <v/>
      </c>
      <c r="AE13" s="36" t="str">
        <f ca="1">IFERROR(AVERAGEIFS(INDIRECT("Tabela1["&amp;$B13&amp;"]"),Tabela1[Turno],$D13,Tabela1[Data Corrigida],AE$3)/20,"")</f>
        <v/>
      </c>
      <c r="AF13" s="36" t="str">
        <f ca="1">IFERROR(AVERAGEIFS(INDIRECT("Tabela1["&amp;$B13&amp;"]"),Tabela1[Turno],$D13,Tabela1[Data Corrigida],AF$3)/20,"")</f>
        <v/>
      </c>
      <c r="AG13" s="36" t="str">
        <f ca="1">IFERROR(AVERAGEIFS(INDIRECT("Tabela1["&amp;$B13&amp;"]"),Tabela1[Turno],$D13,Tabela1[Data Corrigida],AG$3)/20,"")</f>
        <v/>
      </c>
      <c r="AH13" s="36" t="str">
        <f ca="1">IFERROR(AVERAGEIFS(INDIRECT("Tabela1["&amp;$B13&amp;"]"),Tabela1[Turno],$D13,Tabela1[Data Corrigida],AH$3)/20,"")</f>
        <v/>
      </c>
      <c r="AI13" s="36" t="str">
        <f ca="1">IFERROR(AVERAGEIFS(INDIRECT("Tabela1["&amp;$B13&amp;"]"),Tabela1[Turno],$D13,Tabela1[Data Corrigida],AI$3)/20,"")</f>
        <v/>
      </c>
      <c r="AJ13" s="36" t="str">
        <f ca="1">IFERROR(AVERAGEIFS(INDIRECT("Tabela1["&amp;$B13&amp;"]"),Tabela1[Turno],$D13,Tabela1[Data Corrigida],AJ$3)/20,"")</f>
        <v/>
      </c>
      <c r="AK13" s="36" t="str">
        <f ca="1">IFERROR(AVERAGEIFS(INDIRECT("Tabela1["&amp;$B13&amp;"]"),Tabela1[Turno],$D13,Tabela1[Data Corrigida],AK$3)/20,"")</f>
        <v/>
      </c>
      <c r="AL13" s="36" t="str">
        <f ca="1">IFERROR(AVERAGEIFS(INDIRECT("Tabela1["&amp;$B13&amp;"]"),Tabela1[Turno],$D13,Tabela1[Data Corrigida],AL$3)/20,"")</f>
        <v/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">
      <c r="A14" s="50" t="str">
        <f>VLOOKUP(Tabela2[[#This Row],[Item 1]],Apoio!$A$2:$B$41,2,0)</f>
        <v>Escald</v>
      </c>
      <c r="B14" s="9" t="str">
        <f t="shared" si="2"/>
        <v>Carcaça Quebrada</v>
      </c>
      <c r="C14" s="63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1.413793103448276E-2</v>
      </c>
      <c r="N14" s="45">
        <f ca="1">IFERROR(AVERAGEIFS(INDIRECT("Tabela1["&amp;$B14&amp;"]"),Tabela1[Mês],N$3)/20,"")</f>
        <v>2.222222222222222E-2</v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0"/>
      <c r="R14" s="37">
        <f ca="1">IFERROR(AVERAGEIFS(INDIRECT("Tabela1["&amp;$B14&amp;"]"),Tabela1[Data Corrigida],R$3)/20,"")</f>
        <v>0</v>
      </c>
      <c r="S14" s="38">
        <f ca="1">IFERROR(AVERAGEIFS(INDIRECT("Tabela1["&amp;$B14&amp;"]"),Tabela1[Data Corrigida],S$3)/20,"")</f>
        <v>1.4285714285714285E-2</v>
      </c>
      <c r="T14" s="38">
        <f ca="1">IFERROR(AVERAGEIFS(INDIRECT("Tabela1["&amp;$B14&amp;"]"),Tabela1[Data Corrigida],T$3)/20,"")</f>
        <v>2.5000000000000001E-2</v>
      </c>
      <c r="U14" s="38">
        <f ca="1">IFERROR(AVERAGEIFS(INDIRECT("Tabela1["&amp;$B14&amp;"]"),Tabela1[Data Corrigida],U$3)/20,"")</f>
        <v>7.1428571428571425E-2</v>
      </c>
      <c r="V14" s="38">
        <f ca="1">IFERROR(AVERAGEIFS(INDIRECT("Tabela1["&amp;$B14&amp;"]"),Tabela1[Data Corrigida],V$3)/20,"")</f>
        <v>1.4285714285714285E-2</v>
      </c>
      <c r="W14" s="38">
        <f ca="1">IFERROR(AVERAGEIFS(INDIRECT("Tabela1["&amp;$B14&amp;"]"),Tabela1[Data Corrigida],W$3)/20,"")</f>
        <v>0</v>
      </c>
      <c r="X14" s="38" t="str">
        <f ca="1">IFERROR(AVERAGEIFS(INDIRECT("Tabela1["&amp;$B14&amp;"]"),Tabela1[Data Corrigida],X$3)/20,"")</f>
        <v/>
      </c>
      <c r="Y14" s="38" t="str">
        <f ca="1">IFERROR(AVERAGEIFS(INDIRECT("Tabela1["&amp;$B14&amp;"]"),Tabela1[Data Corrigida],Y$3)/20,"")</f>
        <v/>
      </c>
      <c r="Z14" s="38" t="str">
        <f ca="1">IFERROR(AVERAGEIFS(INDIRECT("Tabela1["&amp;$B14&amp;"]"),Tabela1[Data Corrigida],Z$3)/20,"")</f>
        <v/>
      </c>
      <c r="AA14" s="38" t="str">
        <f ca="1">IFERROR(AVERAGEIFS(INDIRECT("Tabela1["&amp;$B14&amp;"]"),Tabela1[Data Corrigida],AA$3)/20,"")</f>
        <v/>
      </c>
      <c r="AB14" s="38" t="str">
        <f ca="1">IFERROR(AVERAGEIFS(INDIRECT("Tabela1["&amp;$B14&amp;"]"),Tabela1[Data Corrigida],AB$3)/20,"")</f>
        <v/>
      </c>
      <c r="AC14" s="38" t="str">
        <f ca="1">IFERROR(AVERAGEIFS(INDIRECT("Tabela1["&amp;$B14&amp;"]"),Tabela1[Data Corrigida],AC$3)/20,"")</f>
        <v/>
      </c>
      <c r="AD14" s="38" t="str">
        <f ca="1">IFERROR(AVERAGEIFS(INDIRECT("Tabela1["&amp;$B14&amp;"]"),Tabela1[Data Corrigida],AD$3)/20,"")</f>
        <v/>
      </c>
      <c r="AE14" s="38" t="str">
        <f ca="1">IFERROR(AVERAGEIFS(INDIRECT("Tabela1["&amp;$B14&amp;"]"),Tabela1[Data Corrigida],AE$3)/20,"")</f>
        <v/>
      </c>
      <c r="AF14" s="38" t="str">
        <f ca="1">IFERROR(AVERAGEIFS(INDIRECT("Tabela1["&amp;$B14&amp;"]"),Tabela1[Data Corrigida],AF$3)/20,"")</f>
        <v/>
      </c>
      <c r="AG14" s="38" t="str">
        <f ca="1">IFERROR(AVERAGEIFS(INDIRECT("Tabela1["&amp;$B14&amp;"]"),Tabela1[Data Corrigida],AG$3)/20,"")</f>
        <v/>
      </c>
      <c r="AH14" s="38" t="str">
        <f ca="1">IFERROR(AVERAGEIFS(INDIRECT("Tabela1["&amp;$B14&amp;"]"),Tabela1[Data Corrigida],AH$3)/20,"")</f>
        <v/>
      </c>
      <c r="AI14" s="38" t="str">
        <f ca="1">IFERROR(AVERAGEIFS(INDIRECT("Tabela1["&amp;$B14&amp;"]"),Tabela1[Data Corrigida],AI$3)/20,"")</f>
        <v/>
      </c>
      <c r="AJ14" s="38" t="str">
        <f ca="1">IFERROR(AVERAGEIFS(INDIRECT("Tabela1["&amp;$B14&amp;"]"),Tabela1[Data Corrigida],AJ$3)/20,"")</f>
        <v/>
      </c>
      <c r="AK14" s="38" t="str">
        <f ca="1">IFERROR(AVERAGEIFS(INDIRECT("Tabela1["&amp;$B14&amp;"]"),Tabela1[Data Corrigida],AK$3)/20,"")</f>
        <v/>
      </c>
      <c r="AL14" s="38" t="str">
        <f ca="1">IFERROR(AVERAGEIFS(INDIRECT("Tabela1["&amp;$B14&amp;"]"),Tabela1[Data Corrigida],AL$3)/20,"")</f>
        <v/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25">
      <c r="A15" s="50" t="str">
        <f>VLOOKUP(Tabela2[[#This Row],[Item 1]],Apoio!$A$2:$B$41,2,0)</f>
        <v>Escald</v>
      </c>
      <c r="B15" s="9" t="str">
        <f t="shared" si="2"/>
        <v>Fratura Branca</v>
      </c>
      <c r="C15" s="61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2.3012048192771088E-2</v>
      </c>
      <c r="N15" s="34">
        <f ca="1">IFERROR(AVERAGEIFS(INDIRECT("Tabela1["&amp;$B15&amp;"]"),Tabela1[Turno],$D15,Tabela1[Mês],N$3)/100,"")</f>
        <v>2.1428571428571429E-2</v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58">
        <v>0.01</v>
      </c>
      <c r="R15" s="39">
        <f ca="1">IFERROR(AVERAGEIFS(INDIRECT("Tabela1["&amp;$B15&amp;"]"),Tabela1[Turno],$D15,Tabela1[Data Corrigida],R$3)/100,"")</f>
        <v>2.2499999999999999E-2</v>
      </c>
      <c r="S15" s="40">
        <f ca="1">IFERROR(AVERAGEIFS(INDIRECT("Tabela1["&amp;$B15&amp;"]"),Tabela1[Turno],$D15,Tabela1[Data Corrigida],S$3)/100,"")</f>
        <v>1.4999999999999999E-2</v>
      </c>
      <c r="T15" s="40">
        <f ca="1">IFERROR(AVERAGEIFS(INDIRECT("Tabela1["&amp;$B15&amp;"]"),Tabela1[Turno],$D15,Tabela1[Data Corrigida],T$3)/100,"")</f>
        <v>0.03</v>
      </c>
      <c r="U15" s="40">
        <f ca="1">IFERROR(AVERAGEIFS(INDIRECT("Tabela1["&amp;$B15&amp;"]"),Tabela1[Turno],$D15,Tabela1[Data Corrigida],U$3)/100,"")</f>
        <v>2.75E-2</v>
      </c>
      <c r="V15" s="40">
        <f ca="1">IFERROR(AVERAGEIFS(INDIRECT("Tabela1["&amp;$B15&amp;"]"),Tabela1[Turno],$D15,Tabela1[Data Corrigida],V$3)/100,"")</f>
        <v>2.2499999999999999E-2</v>
      </c>
      <c r="W15" s="40">
        <f ca="1">IFERROR(AVERAGEIFS(INDIRECT("Tabela1["&amp;$B15&amp;"]"),Tabela1[Turno],$D15,Tabela1[Data Corrigida],W$3)/100,"")</f>
        <v>1.7500000000000002E-2</v>
      </c>
      <c r="X15" s="40" t="str">
        <f ca="1">IFERROR(AVERAGEIFS(INDIRECT("Tabela1["&amp;$B15&amp;"]"),Tabela1[Turno],$D15,Tabela1[Data Corrigida],X$3)/100,"")</f>
        <v/>
      </c>
      <c r="Y15" s="40" t="str">
        <f ca="1">IFERROR(AVERAGEIFS(INDIRECT("Tabela1["&amp;$B15&amp;"]"),Tabela1[Turno],$D15,Tabela1[Data Corrigida],Y$3)/100,"")</f>
        <v/>
      </c>
      <c r="Z15" s="40" t="str">
        <f ca="1">IFERROR(AVERAGEIFS(INDIRECT("Tabela1["&amp;$B15&amp;"]"),Tabela1[Turno],$D15,Tabela1[Data Corrigida],Z$3)/100,"")</f>
        <v/>
      </c>
      <c r="AA15" s="40" t="str">
        <f ca="1">IFERROR(AVERAGEIFS(INDIRECT("Tabela1["&amp;$B15&amp;"]"),Tabela1[Turno],$D15,Tabela1[Data Corrigida],AA$3)/100,"")</f>
        <v/>
      </c>
      <c r="AB15" s="40" t="str">
        <f ca="1">IFERROR(AVERAGEIFS(INDIRECT("Tabela1["&amp;$B15&amp;"]"),Tabela1[Turno],$D15,Tabela1[Data Corrigida],AB$3)/100,"")</f>
        <v/>
      </c>
      <c r="AC15" s="40" t="str">
        <f ca="1">IFERROR(AVERAGEIFS(INDIRECT("Tabela1["&amp;$B15&amp;"]"),Tabela1[Turno],$D15,Tabela1[Data Corrigida],AC$3)/100,"")</f>
        <v/>
      </c>
      <c r="AD15" s="40" t="str">
        <f ca="1">IFERROR(AVERAGEIFS(INDIRECT("Tabela1["&amp;$B15&amp;"]"),Tabela1[Turno],$D15,Tabela1[Data Corrigida],AD$3)/100,"")</f>
        <v/>
      </c>
      <c r="AE15" s="40" t="str">
        <f ca="1">IFERROR(AVERAGEIFS(INDIRECT("Tabela1["&amp;$B15&amp;"]"),Tabela1[Turno],$D15,Tabela1[Data Corrigida],AE$3)/100,"")</f>
        <v/>
      </c>
      <c r="AF15" s="40" t="str">
        <f ca="1">IFERROR(AVERAGEIFS(INDIRECT("Tabela1["&amp;$B15&amp;"]"),Tabela1[Turno],$D15,Tabela1[Data Corrigida],AF$3)/100,"")</f>
        <v/>
      </c>
      <c r="AG15" s="40" t="str">
        <f ca="1">IFERROR(AVERAGEIFS(INDIRECT("Tabela1["&amp;$B15&amp;"]"),Tabela1[Turno],$D15,Tabela1[Data Corrigida],AG$3)/100,"")</f>
        <v/>
      </c>
      <c r="AH15" s="40" t="str">
        <f ca="1">IFERROR(AVERAGEIFS(INDIRECT("Tabela1["&amp;$B15&amp;"]"),Tabela1[Turno],$D15,Tabela1[Data Corrigida],AH$3)/100,"")</f>
        <v/>
      </c>
      <c r="AI15" s="40" t="str">
        <f ca="1">IFERROR(AVERAGEIFS(INDIRECT("Tabela1["&amp;$B15&amp;"]"),Tabela1[Turno],$D15,Tabela1[Data Corrigida],AI$3)/100,"")</f>
        <v/>
      </c>
      <c r="AJ15" s="40" t="str">
        <f ca="1">IFERROR(AVERAGEIFS(INDIRECT("Tabela1["&amp;$B15&amp;"]"),Tabela1[Turno],$D15,Tabela1[Data Corrigida],AJ$3)/100,"")</f>
        <v/>
      </c>
      <c r="AK15" s="40" t="str">
        <f ca="1">IFERROR(AVERAGEIFS(INDIRECT("Tabela1["&amp;$B15&amp;"]"),Tabela1[Turno],$D15,Tabela1[Data Corrigida],AK$3)/100,"")</f>
        <v/>
      </c>
      <c r="AL15" s="40" t="str">
        <f ca="1">IFERROR(AVERAGEIFS(INDIRECT("Tabela1["&amp;$B15&amp;"]"),Tabela1[Turno],$D15,Tabela1[Data Corrigida],AL$3)/100,"")</f>
        <v/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25">
      <c r="A16" s="50" t="str">
        <f>VLOOKUP(Tabela2[[#This Row],[Item 1]],Apoio!$A$2:$B$41,2,0)</f>
        <v>Escald</v>
      </c>
      <c r="B16" s="9" t="str">
        <f t="shared" si="2"/>
        <v>Fratura Branca</v>
      </c>
      <c r="C16" s="62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9.0476190476190474E-3</v>
      </c>
      <c r="N16" s="36">
        <f ca="1">IFERROR(AVERAGEIFS(INDIRECT("Tabela1["&amp;$B16&amp;"]"),Tabela1[Turno],$D16,Tabela1[Mês],N$3)/100,"")</f>
        <v>1.5333333333333334E-2</v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59"/>
      <c r="R16" s="35">
        <f ca="1">IFERROR(AVERAGEIFS(INDIRECT("Tabela1["&amp;$B16&amp;"]"),Tabela1[Turno],$D16,Tabela1[Data Corrigida],R$3)/100,"")</f>
        <v>2.6666666666666665E-2</v>
      </c>
      <c r="S16" s="36">
        <f ca="1">IFERROR(AVERAGEIFS(INDIRECT("Tabela1["&amp;$B16&amp;"]"),Tabela1[Turno],$D16,Tabela1[Data Corrigida],S$3)/100,"")</f>
        <v>1.6666666666666666E-2</v>
      </c>
      <c r="T16" s="36">
        <f ca="1">IFERROR(AVERAGEIFS(INDIRECT("Tabela1["&amp;$B16&amp;"]"),Tabela1[Turno],$D16,Tabela1[Data Corrigida],T$3)/100,"")</f>
        <v>1.3333333333333332E-2</v>
      </c>
      <c r="U16" s="36">
        <f ca="1">IFERROR(AVERAGEIFS(INDIRECT("Tabela1["&amp;$B16&amp;"]"),Tabela1[Turno],$D16,Tabela1[Data Corrigida],U$3)/100,"")</f>
        <v>6.6666666666666662E-3</v>
      </c>
      <c r="V16" s="36">
        <f ca="1">IFERROR(AVERAGEIFS(INDIRECT("Tabela1["&amp;$B16&amp;"]"),Tabela1[Turno],$D16,Tabela1[Data Corrigida],V$3)/100,"")</f>
        <v>1.3333333333333332E-2</v>
      </c>
      <c r="W16" s="36" t="str">
        <f ca="1">IFERROR(AVERAGEIFS(INDIRECT("Tabela1["&amp;$B16&amp;"]"),Tabela1[Turno],$D16,Tabela1[Data Corrigida],W$3)/100,"")</f>
        <v/>
      </c>
      <c r="X16" s="36" t="str">
        <f ca="1">IFERROR(AVERAGEIFS(INDIRECT("Tabela1["&amp;$B16&amp;"]"),Tabela1[Turno],$D16,Tabela1[Data Corrigida],X$3)/100,"")</f>
        <v/>
      </c>
      <c r="Y16" s="36" t="str">
        <f ca="1">IFERROR(AVERAGEIFS(INDIRECT("Tabela1["&amp;$B16&amp;"]"),Tabela1[Turno],$D16,Tabela1[Data Corrigida],Y$3)/100,"")</f>
        <v/>
      </c>
      <c r="Z16" s="36" t="str">
        <f ca="1">IFERROR(AVERAGEIFS(INDIRECT("Tabela1["&amp;$B16&amp;"]"),Tabela1[Turno],$D16,Tabela1[Data Corrigida],Z$3)/100,"")</f>
        <v/>
      </c>
      <c r="AA16" s="36" t="str">
        <f ca="1">IFERROR(AVERAGEIFS(INDIRECT("Tabela1["&amp;$B16&amp;"]"),Tabela1[Turno],$D16,Tabela1[Data Corrigida],AA$3)/100,"")</f>
        <v/>
      </c>
      <c r="AB16" s="36" t="str">
        <f ca="1">IFERROR(AVERAGEIFS(INDIRECT("Tabela1["&amp;$B16&amp;"]"),Tabela1[Turno],$D16,Tabela1[Data Corrigida],AB$3)/100,"")</f>
        <v/>
      </c>
      <c r="AC16" s="36" t="str">
        <f ca="1">IFERROR(AVERAGEIFS(INDIRECT("Tabela1["&amp;$B16&amp;"]"),Tabela1[Turno],$D16,Tabela1[Data Corrigida],AC$3)/100,"")</f>
        <v/>
      </c>
      <c r="AD16" s="36" t="str">
        <f ca="1">IFERROR(AVERAGEIFS(INDIRECT("Tabela1["&amp;$B16&amp;"]"),Tabela1[Turno],$D16,Tabela1[Data Corrigida],AD$3)/100,"")</f>
        <v/>
      </c>
      <c r="AE16" s="36" t="str">
        <f ca="1">IFERROR(AVERAGEIFS(INDIRECT("Tabela1["&amp;$B16&amp;"]"),Tabela1[Turno],$D16,Tabela1[Data Corrigida],AE$3)/100,"")</f>
        <v/>
      </c>
      <c r="AF16" s="36" t="str">
        <f ca="1">IFERROR(AVERAGEIFS(INDIRECT("Tabela1["&amp;$B16&amp;"]"),Tabela1[Turno],$D16,Tabela1[Data Corrigida],AF$3)/100,"")</f>
        <v/>
      </c>
      <c r="AG16" s="36" t="str">
        <f ca="1">IFERROR(AVERAGEIFS(INDIRECT("Tabela1["&amp;$B16&amp;"]"),Tabela1[Turno],$D16,Tabela1[Data Corrigida],AG$3)/100,"")</f>
        <v/>
      </c>
      <c r="AH16" s="36" t="str">
        <f ca="1">IFERROR(AVERAGEIFS(INDIRECT("Tabela1["&amp;$B16&amp;"]"),Tabela1[Turno],$D16,Tabela1[Data Corrigida],AH$3)/100,"")</f>
        <v/>
      </c>
      <c r="AI16" s="36" t="str">
        <f ca="1">IFERROR(AVERAGEIFS(INDIRECT("Tabela1["&amp;$B16&amp;"]"),Tabela1[Turno],$D16,Tabela1[Data Corrigida],AI$3)/100,"")</f>
        <v/>
      </c>
      <c r="AJ16" s="36" t="str">
        <f ca="1">IFERROR(AVERAGEIFS(INDIRECT("Tabela1["&amp;$B16&amp;"]"),Tabela1[Turno],$D16,Tabela1[Data Corrigida],AJ$3)/100,"")</f>
        <v/>
      </c>
      <c r="AK16" s="36" t="str">
        <f ca="1">IFERROR(AVERAGEIFS(INDIRECT("Tabela1["&amp;$B16&amp;"]"),Tabela1[Turno],$D16,Tabela1[Data Corrigida],AK$3)/100,"")</f>
        <v/>
      </c>
      <c r="AL16" s="36" t="str">
        <f ca="1">IFERROR(AVERAGEIFS(INDIRECT("Tabela1["&amp;$B16&amp;"]"),Tabela1[Turno],$D16,Tabela1[Data Corrigida],AL$3)/100,"")</f>
        <v/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">
      <c r="A17" s="50" t="str">
        <f>VLOOKUP(Tabela2[[#This Row],[Item 1]],Apoio!$A$2:$B$41,2,0)</f>
        <v>Escald</v>
      </c>
      <c r="B17" s="9" t="str">
        <f t="shared" si="2"/>
        <v>Fratura Branca</v>
      </c>
      <c r="C17" s="63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1.6986301369863014E-2</v>
      </c>
      <c r="N17" s="45">
        <f ca="1">IFERROR(AVERAGEIFS(INDIRECT("Tabela1["&amp;$B17&amp;"]"),Tabela1[Mês],N$3)/100,"")</f>
        <v>1.8888888888888889E-2</v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0"/>
      <c r="R17" s="42">
        <f ca="1">IFERROR(AVERAGEIFS(INDIRECT("Tabela1["&amp;$B17&amp;"]"),Tabela1[Data Corrigida],R$3)/100,"")</f>
        <v>2.4285714285714285E-2</v>
      </c>
      <c r="S17" s="43">
        <f ca="1">IFERROR(AVERAGEIFS(INDIRECT("Tabela1["&amp;$B17&amp;"]"),Tabela1[Data Corrigida],S$3)/100,"")</f>
        <v>1.5714285714285715E-2</v>
      </c>
      <c r="T17" s="43">
        <f ca="1">IFERROR(AVERAGEIFS(INDIRECT("Tabela1["&amp;$B17&amp;"]"),Tabela1[Data Corrigida],T$3)/100,"")</f>
        <v>1.7500000000000002E-2</v>
      </c>
      <c r="U17" s="43">
        <f ca="1">IFERROR(AVERAGEIFS(INDIRECT("Tabela1["&amp;$B17&amp;"]"),Tabela1[Data Corrigida],U$3)/100,"")</f>
        <v>1.8571428571428572E-2</v>
      </c>
      <c r="V17" s="43">
        <f ca="1">IFERROR(AVERAGEIFS(INDIRECT("Tabela1["&amp;$B17&amp;"]"),Tabela1[Data Corrigida],V$3)/100,"")</f>
        <v>1.8571428571428572E-2</v>
      </c>
      <c r="W17" s="43">
        <f ca="1">IFERROR(AVERAGEIFS(INDIRECT("Tabela1["&amp;$B17&amp;"]"),Tabela1[Data Corrigida],W$3)/100,"")</f>
        <v>1.7500000000000002E-2</v>
      </c>
      <c r="X17" s="43" t="str">
        <f ca="1">IFERROR(AVERAGEIFS(INDIRECT("Tabela1["&amp;$B17&amp;"]"),Tabela1[Data Corrigida],X$3)/100,"")</f>
        <v/>
      </c>
      <c r="Y17" s="43" t="str">
        <f ca="1">IFERROR(AVERAGEIFS(INDIRECT("Tabela1["&amp;$B17&amp;"]"),Tabela1[Data Corrigida],Y$3)/100,"")</f>
        <v/>
      </c>
      <c r="Z17" s="43" t="str">
        <f ca="1">IFERROR(AVERAGEIFS(INDIRECT("Tabela1["&amp;$B17&amp;"]"),Tabela1[Data Corrigida],Z$3)/100,"")</f>
        <v/>
      </c>
      <c r="AA17" s="43" t="str">
        <f ca="1">IFERROR(AVERAGEIFS(INDIRECT("Tabela1["&amp;$B17&amp;"]"),Tabela1[Data Corrigida],AA$3)/100,"")</f>
        <v/>
      </c>
      <c r="AB17" s="43" t="str">
        <f ca="1">IFERROR(AVERAGEIFS(INDIRECT("Tabela1["&amp;$B17&amp;"]"),Tabela1[Data Corrigida],AB$3)/100,"")</f>
        <v/>
      </c>
      <c r="AC17" s="43" t="str">
        <f ca="1">IFERROR(AVERAGEIFS(INDIRECT("Tabela1["&amp;$B17&amp;"]"),Tabela1[Data Corrigida],AC$3)/100,"")</f>
        <v/>
      </c>
      <c r="AD17" s="43" t="str">
        <f ca="1">IFERROR(AVERAGEIFS(INDIRECT("Tabela1["&amp;$B17&amp;"]"),Tabela1[Data Corrigida],AD$3)/100,"")</f>
        <v/>
      </c>
      <c r="AE17" s="43" t="str">
        <f ca="1">IFERROR(AVERAGEIFS(INDIRECT("Tabela1["&amp;$B17&amp;"]"),Tabela1[Data Corrigida],AE$3)/100,"")</f>
        <v/>
      </c>
      <c r="AF17" s="43" t="str">
        <f ca="1">IFERROR(AVERAGEIFS(INDIRECT("Tabela1["&amp;$B17&amp;"]"),Tabela1[Data Corrigida],AF$3)/100,"")</f>
        <v/>
      </c>
      <c r="AG17" s="43" t="str">
        <f ca="1">IFERROR(AVERAGEIFS(INDIRECT("Tabela1["&amp;$B17&amp;"]"),Tabela1[Data Corrigida],AG$3)/100,"")</f>
        <v/>
      </c>
      <c r="AH17" s="43" t="str">
        <f ca="1">IFERROR(AVERAGEIFS(INDIRECT("Tabela1["&amp;$B17&amp;"]"),Tabela1[Data Corrigida],AH$3)/100,"")</f>
        <v/>
      </c>
      <c r="AI17" s="43" t="str">
        <f ca="1">IFERROR(AVERAGEIFS(INDIRECT("Tabela1["&amp;$B17&amp;"]"),Tabela1[Data Corrigida],AI$3)/100,"")</f>
        <v/>
      </c>
      <c r="AJ17" s="43" t="str">
        <f ca="1">IFERROR(AVERAGEIFS(INDIRECT("Tabela1["&amp;$B17&amp;"]"),Tabela1[Data Corrigida],AJ$3)/100,"")</f>
        <v/>
      </c>
      <c r="AK17" s="43" t="str">
        <f ca="1">IFERROR(AVERAGEIFS(INDIRECT("Tabela1["&amp;$B17&amp;"]"),Tabela1[Data Corrigida],AK$3)/100,"")</f>
        <v/>
      </c>
      <c r="AL17" s="43" t="str">
        <f ca="1">IFERROR(AVERAGEIFS(INDIRECT("Tabela1["&amp;$B17&amp;"]"),Tabela1[Data Corrigida],AL$3)/100,"")</f>
        <v/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25">
      <c r="A18" s="50" t="str">
        <f>VLOOKUP(Tabela2[[#This Row],[Item 1]],Apoio!$A$2:$B$41,2,0)</f>
        <v>Escald</v>
      </c>
      <c r="B18" s="9" t="str">
        <f t="shared" si="2"/>
        <v>Peito Queimado</v>
      </c>
      <c r="C18" s="61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9.7560975609756097E-3</v>
      </c>
      <c r="N18" s="34">
        <f ca="1">IFERROR(AVERAGEIFS(INDIRECT("Tabela1["&amp;$B18&amp;"]"),Tabela1[Turno],$D18,Tabela1[Mês],N$3)/20,"")</f>
        <v>2.3809523809523807E-3</v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58">
        <v>0</v>
      </c>
      <c r="R18" s="33">
        <f ca="1">IFERROR(AVERAGEIFS(INDIRECT("Tabela1["&amp;$B18&amp;"]"),Tabela1[Turno],$D18,Tabela1[Data Corrigida],R$3)/20,"")</f>
        <v>1.2500000000000001E-2</v>
      </c>
      <c r="S18" s="34">
        <f ca="1">IFERROR(AVERAGEIFS(INDIRECT("Tabela1["&amp;$B18&amp;"]"),Tabela1[Turno],$D18,Tabela1[Data Corrigida],S$3)/20,"")</f>
        <v>0</v>
      </c>
      <c r="T18" s="34">
        <f ca="1">IFERROR(AVERAGEIFS(INDIRECT("Tabela1["&amp;$B18&amp;"]"),Tabela1[Turno],$D18,Tabela1[Data Corrigida],T$3)/20,"")</f>
        <v>0</v>
      </c>
      <c r="U18" s="34">
        <f ca="1">IFERROR(AVERAGEIFS(INDIRECT("Tabela1["&amp;$B18&amp;"]"),Tabela1[Turno],$D18,Tabela1[Data Corrigida],U$3)/20,"")</f>
        <v>0</v>
      </c>
      <c r="V18" s="34">
        <f ca="1">IFERROR(AVERAGEIFS(INDIRECT("Tabela1["&amp;$B18&amp;"]"),Tabela1[Turno],$D18,Tabela1[Data Corrigida],V$3)/20,"")</f>
        <v>0</v>
      </c>
      <c r="W18" s="34">
        <f ca="1">IFERROR(AVERAGEIFS(INDIRECT("Tabela1["&amp;$B18&amp;"]"),Tabela1[Turno],$D18,Tabela1[Data Corrigida],W$3)/20,"")</f>
        <v>0</v>
      </c>
      <c r="X18" s="34" t="str">
        <f ca="1">IFERROR(AVERAGEIFS(INDIRECT("Tabela1["&amp;$B18&amp;"]"),Tabela1[Turno],$D18,Tabela1[Data Corrigida],X$3)/20,"")</f>
        <v/>
      </c>
      <c r="Y18" s="34" t="str">
        <f ca="1">IFERROR(AVERAGEIFS(INDIRECT("Tabela1["&amp;$B18&amp;"]"),Tabela1[Turno],$D18,Tabela1[Data Corrigida],Y$3)/20,"")</f>
        <v/>
      </c>
      <c r="Z18" s="34" t="str">
        <f ca="1">IFERROR(AVERAGEIFS(INDIRECT("Tabela1["&amp;$B18&amp;"]"),Tabela1[Turno],$D18,Tabela1[Data Corrigida],Z$3)/20,"")</f>
        <v/>
      </c>
      <c r="AA18" s="34" t="str">
        <f ca="1">IFERROR(AVERAGEIFS(INDIRECT("Tabela1["&amp;$B18&amp;"]"),Tabela1[Turno],$D18,Tabela1[Data Corrigida],AA$3)/20,"")</f>
        <v/>
      </c>
      <c r="AB18" s="34" t="str">
        <f ca="1">IFERROR(AVERAGEIFS(INDIRECT("Tabela1["&amp;$B18&amp;"]"),Tabela1[Turno],$D18,Tabela1[Data Corrigida],AB$3)/20,"")</f>
        <v/>
      </c>
      <c r="AC18" s="34" t="str">
        <f ca="1">IFERROR(AVERAGEIFS(INDIRECT("Tabela1["&amp;$B18&amp;"]"),Tabela1[Turno],$D18,Tabela1[Data Corrigida],AC$3)/20,"")</f>
        <v/>
      </c>
      <c r="AD18" s="34" t="str">
        <f ca="1">IFERROR(AVERAGEIFS(INDIRECT("Tabela1["&amp;$B18&amp;"]"),Tabela1[Turno],$D18,Tabela1[Data Corrigida],AD$3)/20,"")</f>
        <v/>
      </c>
      <c r="AE18" s="34" t="str">
        <f ca="1">IFERROR(AVERAGEIFS(INDIRECT("Tabela1["&amp;$B18&amp;"]"),Tabela1[Turno],$D18,Tabela1[Data Corrigida],AE$3)/20,"")</f>
        <v/>
      </c>
      <c r="AF18" s="34" t="str">
        <f ca="1">IFERROR(AVERAGEIFS(INDIRECT("Tabela1["&amp;$B18&amp;"]"),Tabela1[Turno],$D18,Tabela1[Data Corrigida],AF$3)/20,"")</f>
        <v/>
      </c>
      <c r="AG18" s="34" t="str">
        <f ca="1">IFERROR(AVERAGEIFS(INDIRECT("Tabela1["&amp;$B18&amp;"]"),Tabela1[Turno],$D18,Tabela1[Data Corrigida],AG$3)/20,"")</f>
        <v/>
      </c>
      <c r="AH18" s="34" t="str">
        <f ca="1">IFERROR(AVERAGEIFS(INDIRECT("Tabela1["&amp;$B18&amp;"]"),Tabela1[Turno],$D18,Tabela1[Data Corrigida],AH$3)/20,"")</f>
        <v/>
      </c>
      <c r="AI18" s="34" t="str">
        <f ca="1">IFERROR(AVERAGEIFS(INDIRECT("Tabela1["&amp;$B18&amp;"]"),Tabela1[Turno],$D18,Tabela1[Data Corrigida],AI$3)/20,"")</f>
        <v/>
      </c>
      <c r="AJ18" s="34" t="str">
        <f ca="1">IFERROR(AVERAGEIFS(INDIRECT("Tabela1["&amp;$B18&amp;"]"),Tabela1[Turno],$D18,Tabela1[Data Corrigida],AJ$3)/20,"")</f>
        <v/>
      </c>
      <c r="AK18" s="34" t="str">
        <f ca="1">IFERROR(AVERAGEIFS(INDIRECT("Tabela1["&amp;$B18&amp;"]"),Tabela1[Turno],$D18,Tabela1[Data Corrigida],AK$3)/20,"")</f>
        <v/>
      </c>
      <c r="AL18" s="34" t="str">
        <f ca="1">IFERROR(AVERAGEIFS(INDIRECT("Tabela1["&amp;$B18&amp;"]"),Tabela1[Turno],$D18,Tabela1[Data Corrigida],AL$3)/20,"")</f>
        <v/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25">
      <c r="A19" s="50" t="str">
        <f>VLOOKUP(Tabela2[[#This Row],[Item 1]],Apoio!$A$2:$B$41,2,0)</f>
        <v>Escald</v>
      </c>
      <c r="B19" s="9" t="str">
        <f t="shared" si="2"/>
        <v>Peito Queimado</v>
      </c>
      <c r="C19" s="62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7.1428571428571426E-3</v>
      </c>
      <c r="N19" s="36">
        <f ca="1">IFERROR(AVERAGEIFS(INDIRECT("Tabela1["&amp;$B19&amp;"]"),Tabela1[Turno],$D19,Tabela1[Mês],N$3)/20,"")</f>
        <v>6.6666666666666662E-3</v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59"/>
      <c r="R19" s="35">
        <f ca="1">IFERROR(AVERAGEIFS(INDIRECT("Tabela1["&amp;$B19&amp;"]"),Tabela1[Turno],$D19,Tabela1[Data Corrigida],R$3)/20,"")</f>
        <v>1.6666666666666666E-2</v>
      </c>
      <c r="S19" s="36">
        <f ca="1">IFERROR(AVERAGEIFS(INDIRECT("Tabela1["&amp;$B19&amp;"]"),Tabela1[Turno],$D19,Tabela1[Data Corrigida],S$3)/20,"")</f>
        <v>0</v>
      </c>
      <c r="T19" s="36">
        <f ca="1">IFERROR(AVERAGEIFS(INDIRECT("Tabela1["&amp;$B19&amp;"]"),Tabela1[Turno],$D19,Tabela1[Data Corrigida],T$3)/20,"")</f>
        <v>1.6666666666666666E-2</v>
      </c>
      <c r="U19" s="36">
        <f ca="1">IFERROR(AVERAGEIFS(INDIRECT("Tabela1["&amp;$B19&amp;"]"),Tabela1[Turno],$D19,Tabela1[Data Corrigida],U$3)/20,"")</f>
        <v>0</v>
      </c>
      <c r="V19" s="36">
        <f ca="1">IFERROR(AVERAGEIFS(INDIRECT("Tabela1["&amp;$B19&amp;"]"),Tabela1[Turno],$D19,Tabela1[Data Corrigida],V$3)/20,"")</f>
        <v>0</v>
      </c>
      <c r="W19" s="36" t="str">
        <f ca="1">IFERROR(AVERAGEIFS(INDIRECT("Tabela1["&amp;$B19&amp;"]"),Tabela1[Turno],$D19,Tabela1[Data Corrigida],W$3)/20,"")</f>
        <v/>
      </c>
      <c r="X19" s="36" t="str">
        <f ca="1">IFERROR(AVERAGEIFS(INDIRECT("Tabela1["&amp;$B19&amp;"]"),Tabela1[Turno],$D19,Tabela1[Data Corrigida],X$3)/20,"")</f>
        <v/>
      </c>
      <c r="Y19" s="36" t="str">
        <f ca="1">IFERROR(AVERAGEIFS(INDIRECT("Tabela1["&amp;$B19&amp;"]"),Tabela1[Turno],$D19,Tabela1[Data Corrigida],Y$3)/20,"")</f>
        <v/>
      </c>
      <c r="Z19" s="36" t="str">
        <f ca="1">IFERROR(AVERAGEIFS(INDIRECT("Tabela1["&amp;$B19&amp;"]"),Tabela1[Turno],$D19,Tabela1[Data Corrigida],Z$3)/20,"")</f>
        <v/>
      </c>
      <c r="AA19" s="36" t="str">
        <f ca="1">IFERROR(AVERAGEIFS(INDIRECT("Tabela1["&amp;$B19&amp;"]"),Tabela1[Turno],$D19,Tabela1[Data Corrigida],AA$3)/20,"")</f>
        <v/>
      </c>
      <c r="AB19" s="36" t="str">
        <f ca="1">IFERROR(AVERAGEIFS(INDIRECT("Tabela1["&amp;$B19&amp;"]"),Tabela1[Turno],$D19,Tabela1[Data Corrigida],AB$3)/20,"")</f>
        <v/>
      </c>
      <c r="AC19" s="36" t="str">
        <f ca="1">IFERROR(AVERAGEIFS(INDIRECT("Tabela1["&amp;$B19&amp;"]"),Tabela1[Turno],$D19,Tabela1[Data Corrigida],AC$3)/20,"")</f>
        <v/>
      </c>
      <c r="AD19" s="36" t="str">
        <f ca="1">IFERROR(AVERAGEIFS(INDIRECT("Tabela1["&amp;$B19&amp;"]"),Tabela1[Turno],$D19,Tabela1[Data Corrigida],AD$3)/20,"")</f>
        <v/>
      </c>
      <c r="AE19" s="36" t="str">
        <f ca="1">IFERROR(AVERAGEIFS(INDIRECT("Tabela1["&amp;$B19&amp;"]"),Tabela1[Turno],$D19,Tabela1[Data Corrigida],AE$3)/20,"")</f>
        <v/>
      </c>
      <c r="AF19" s="36" t="str">
        <f ca="1">IFERROR(AVERAGEIFS(INDIRECT("Tabela1["&amp;$B19&amp;"]"),Tabela1[Turno],$D19,Tabela1[Data Corrigida],AF$3)/20,"")</f>
        <v/>
      </c>
      <c r="AG19" s="36" t="str">
        <f ca="1">IFERROR(AVERAGEIFS(INDIRECT("Tabela1["&amp;$B19&amp;"]"),Tabela1[Turno],$D19,Tabela1[Data Corrigida],AG$3)/20,"")</f>
        <v/>
      </c>
      <c r="AH19" s="36" t="str">
        <f ca="1">IFERROR(AVERAGEIFS(INDIRECT("Tabela1["&amp;$B19&amp;"]"),Tabela1[Turno],$D19,Tabela1[Data Corrigida],AH$3)/20,"")</f>
        <v/>
      </c>
      <c r="AI19" s="36" t="str">
        <f ca="1">IFERROR(AVERAGEIFS(INDIRECT("Tabela1["&amp;$B19&amp;"]"),Tabela1[Turno],$D19,Tabela1[Data Corrigida],AI$3)/20,"")</f>
        <v/>
      </c>
      <c r="AJ19" s="36" t="str">
        <f ca="1">IFERROR(AVERAGEIFS(INDIRECT("Tabela1["&amp;$B19&amp;"]"),Tabela1[Turno],$D19,Tabela1[Data Corrigida],AJ$3)/20,"")</f>
        <v/>
      </c>
      <c r="AK19" s="36" t="str">
        <f ca="1">IFERROR(AVERAGEIFS(INDIRECT("Tabela1["&amp;$B19&amp;"]"),Tabela1[Turno],$D19,Tabela1[Data Corrigida],AK$3)/20,"")</f>
        <v/>
      </c>
      <c r="AL19" s="36" t="str">
        <f ca="1">IFERROR(AVERAGEIFS(INDIRECT("Tabela1["&amp;$B19&amp;"]"),Tabela1[Turno],$D19,Tabela1[Data Corrigida],AL$3)/20,"")</f>
        <v/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">
      <c r="A20" s="50" t="str">
        <f>VLOOKUP(Tabela2[[#This Row],[Item 1]],Apoio!$A$2:$B$41,2,0)</f>
        <v>Escald</v>
      </c>
      <c r="B20" s="9" t="str">
        <f t="shared" si="2"/>
        <v>Peito Queimado</v>
      </c>
      <c r="C20" s="63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8.6206896551724137E-3</v>
      </c>
      <c r="N20" s="45">
        <f ca="1">IFERROR(AVERAGEIFS(INDIRECT("Tabela1["&amp;$B20&amp;"]"),Tabela1[Mês],N$3)/20,"")</f>
        <v>4.1666666666666666E-3</v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0"/>
      <c r="R20" s="37">
        <f ca="1">IFERROR(AVERAGEIFS(INDIRECT("Tabela1["&amp;$B20&amp;"]"),Tabela1[Data Corrigida],R$3)/20,"")</f>
        <v>1.4285714285714285E-2</v>
      </c>
      <c r="S20" s="38">
        <f ca="1">IFERROR(AVERAGEIFS(INDIRECT("Tabela1["&amp;$B20&amp;"]"),Tabela1[Data Corrigida],S$3)/20,"")</f>
        <v>0</v>
      </c>
      <c r="T20" s="38">
        <f ca="1">IFERROR(AVERAGEIFS(INDIRECT("Tabela1["&amp;$B20&amp;"]"),Tabela1[Data Corrigida],T$3)/20,"")</f>
        <v>1.2500000000000001E-2</v>
      </c>
      <c r="U20" s="38">
        <f ca="1">IFERROR(AVERAGEIFS(INDIRECT("Tabela1["&amp;$B20&amp;"]"),Tabela1[Data Corrigida],U$3)/20,"")</f>
        <v>0</v>
      </c>
      <c r="V20" s="38">
        <f ca="1">IFERROR(AVERAGEIFS(INDIRECT("Tabela1["&amp;$B20&amp;"]"),Tabela1[Data Corrigida],V$3)/20,"")</f>
        <v>0</v>
      </c>
      <c r="W20" s="38">
        <f ca="1">IFERROR(AVERAGEIFS(INDIRECT("Tabela1["&amp;$B20&amp;"]"),Tabela1[Data Corrigida],W$3)/20,"")</f>
        <v>0</v>
      </c>
      <c r="X20" s="38" t="str">
        <f ca="1">IFERROR(AVERAGEIFS(INDIRECT("Tabela1["&amp;$B20&amp;"]"),Tabela1[Data Corrigida],X$3)/20,"")</f>
        <v/>
      </c>
      <c r="Y20" s="38" t="str">
        <f ca="1">IFERROR(AVERAGEIFS(INDIRECT("Tabela1["&amp;$B20&amp;"]"),Tabela1[Data Corrigida],Y$3)/20,"")</f>
        <v/>
      </c>
      <c r="Z20" s="38" t="str">
        <f ca="1">IFERROR(AVERAGEIFS(INDIRECT("Tabela1["&amp;$B20&amp;"]"),Tabela1[Data Corrigida],Z$3)/20,"")</f>
        <v/>
      </c>
      <c r="AA20" s="38" t="str">
        <f ca="1">IFERROR(AVERAGEIFS(INDIRECT("Tabela1["&amp;$B20&amp;"]"),Tabela1[Data Corrigida],AA$3)/20,"")</f>
        <v/>
      </c>
      <c r="AB20" s="38" t="str">
        <f ca="1">IFERROR(AVERAGEIFS(INDIRECT("Tabela1["&amp;$B20&amp;"]"),Tabela1[Data Corrigida],AB$3)/20,"")</f>
        <v/>
      </c>
      <c r="AC20" s="38" t="str">
        <f ca="1">IFERROR(AVERAGEIFS(INDIRECT("Tabela1["&amp;$B20&amp;"]"),Tabela1[Data Corrigida],AC$3)/20,"")</f>
        <v/>
      </c>
      <c r="AD20" s="38" t="str">
        <f ca="1">IFERROR(AVERAGEIFS(INDIRECT("Tabela1["&amp;$B20&amp;"]"),Tabela1[Data Corrigida],AD$3)/20,"")</f>
        <v/>
      </c>
      <c r="AE20" s="38" t="str">
        <f ca="1">IFERROR(AVERAGEIFS(INDIRECT("Tabela1["&amp;$B20&amp;"]"),Tabela1[Data Corrigida],AE$3)/20,"")</f>
        <v/>
      </c>
      <c r="AF20" s="38" t="str">
        <f ca="1">IFERROR(AVERAGEIFS(INDIRECT("Tabela1["&amp;$B20&amp;"]"),Tabela1[Data Corrigida],AF$3)/20,"")</f>
        <v/>
      </c>
      <c r="AG20" s="38" t="str">
        <f ca="1">IFERROR(AVERAGEIFS(INDIRECT("Tabela1["&amp;$B20&amp;"]"),Tabela1[Data Corrigida],AG$3)/20,"")</f>
        <v/>
      </c>
      <c r="AH20" s="38" t="str">
        <f ca="1">IFERROR(AVERAGEIFS(INDIRECT("Tabela1["&amp;$B20&amp;"]"),Tabela1[Data Corrigida],AH$3)/20,"")</f>
        <v/>
      </c>
      <c r="AI20" s="38" t="str">
        <f ca="1">IFERROR(AVERAGEIFS(INDIRECT("Tabela1["&amp;$B20&amp;"]"),Tabela1[Data Corrigida],AI$3)/20,"")</f>
        <v/>
      </c>
      <c r="AJ20" s="38" t="str">
        <f ca="1">IFERROR(AVERAGEIFS(INDIRECT("Tabela1["&amp;$B20&amp;"]"),Tabela1[Data Corrigida],AJ$3)/20,"")</f>
        <v/>
      </c>
      <c r="AK20" s="38" t="str">
        <f ca="1">IFERROR(AVERAGEIFS(INDIRECT("Tabela1["&amp;$B20&amp;"]"),Tabela1[Data Corrigida],AK$3)/20,"")</f>
        <v/>
      </c>
      <c r="AL20" s="38" t="str">
        <f ca="1">IFERROR(AVERAGEIFS(INDIRECT("Tabela1["&amp;$B20&amp;"]"),Tabela1[Data Corrigida],AL$3)/20,"")</f>
        <v/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25">
      <c r="A21" s="50" t="str">
        <f>VLOOKUP(Tabela2[[#This Row],[Item 1]],Apoio!$A$2:$B$41,2,0)</f>
        <v>Escald</v>
      </c>
      <c r="B21" s="9" t="str">
        <f t="shared" si="2"/>
        <v>% Retorno Pés</v>
      </c>
      <c r="C21" s="61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7.4797886907679734E-3</v>
      </c>
      <c r="N21" s="34">
        <f ca="1">IFERROR(AVERAGEIFS(INDIRECT("Tabela1["&amp;$B21&amp;"]"),Tabela1[Turno],$D21,Tabela1[Mês],N$3)/100,"")</f>
        <v>1.02182788806128E-2</v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58">
        <v>0.01</v>
      </c>
      <c r="R21" s="39">
        <f ca="1">IFERROR(AVERAGEIFS(INDIRECT("Tabela1["&amp;$B21&amp;"]"),Tabela1[Turno],$D21,Tabela1[Data Corrigida],R$3)/100,"")</f>
        <v>1.4751552795031056E-2</v>
      </c>
      <c r="S21" s="40">
        <f ca="1">IFERROR(AVERAGEIFS(INDIRECT("Tabela1["&amp;$B21&amp;"]"),Tabela1[Turno],$D21,Tabela1[Data Corrigida],S$3)/100,"")</f>
        <v>1.0972399325408251E-2</v>
      </c>
      <c r="T21" s="40">
        <f ca="1">IFERROR(AVERAGEIFS(INDIRECT("Tabela1["&amp;$B21&amp;"]"),Tabela1[Turno],$D21,Tabela1[Data Corrigida],T$3)/100,"")</f>
        <v>1.282051282051282E-2</v>
      </c>
      <c r="U21" s="40">
        <f ca="1">IFERROR(AVERAGEIFS(INDIRECT("Tabela1["&amp;$B21&amp;"]"),Tabela1[Turno],$D21,Tabela1[Data Corrigida],U$3)/100,"")</f>
        <v>9.4909619366141101E-3</v>
      </c>
      <c r="V21" s="40">
        <f ca="1">IFERROR(AVERAGEIFS(INDIRECT("Tabela1["&amp;$B21&amp;"]"),Tabela1[Turno],$D21,Tabela1[Data Corrigida],V$3)/100,"")</f>
        <v>9.568807236529666E-3</v>
      </c>
      <c r="W21" s="40">
        <f ca="1">IFERROR(AVERAGEIFS(INDIRECT("Tabela1["&amp;$B21&amp;"]"),Tabela1[Turno],$D21,Tabela1[Data Corrigida],W$3)/100,"")</f>
        <v>5.6571146245059292E-3</v>
      </c>
      <c r="X21" s="40" t="str">
        <f ca="1">IFERROR(AVERAGEIFS(INDIRECT("Tabela1["&amp;$B21&amp;"]"),Tabela1[Turno],$D21,Tabela1[Data Corrigida],X$3)/100,"")</f>
        <v/>
      </c>
      <c r="Y21" s="40" t="str">
        <f ca="1">IFERROR(AVERAGEIFS(INDIRECT("Tabela1["&amp;$B21&amp;"]"),Tabela1[Turno],$D21,Tabela1[Data Corrigida],Y$3)/100,"")</f>
        <v/>
      </c>
      <c r="Z21" s="40" t="str">
        <f ca="1">IFERROR(AVERAGEIFS(INDIRECT("Tabela1["&amp;$B21&amp;"]"),Tabela1[Turno],$D21,Tabela1[Data Corrigida],Z$3)/100,"")</f>
        <v/>
      </c>
      <c r="AA21" s="40" t="str">
        <f ca="1">IFERROR(AVERAGEIFS(INDIRECT("Tabela1["&amp;$B21&amp;"]"),Tabela1[Turno],$D21,Tabela1[Data Corrigida],AA$3)/100,"")</f>
        <v/>
      </c>
      <c r="AB21" s="40" t="str">
        <f ca="1">IFERROR(AVERAGEIFS(INDIRECT("Tabela1["&amp;$B21&amp;"]"),Tabela1[Turno],$D21,Tabela1[Data Corrigida],AB$3)/100,"")</f>
        <v/>
      </c>
      <c r="AC21" s="40" t="str">
        <f ca="1">IFERROR(AVERAGEIFS(INDIRECT("Tabela1["&amp;$B21&amp;"]"),Tabela1[Turno],$D21,Tabela1[Data Corrigida],AC$3)/100,"")</f>
        <v/>
      </c>
      <c r="AD21" s="40" t="str">
        <f ca="1">IFERROR(AVERAGEIFS(INDIRECT("Tabela1["&amp;$B21&amp;"]"),Tabela1[Turno],$D21,Tabela1[Data Corrigida],AD$3)/100,"")</f>
        <v/>
      </c>
      <c r="AE21" s="40" t="str">
        <f ca="1">IFERROR(AVERAGEIFS(INDIRECT("Tabela1["&amp;$B21&amp;"]"),Tabela1[Turno],$D21,Tabela1[Data Corrigida],AE$3)/100,"")</f>
        <v/>
      </c>
      <c r="AF21" s="40" t="str">
        <f ca="1">IFERROR(AVERAGEIFS(INDIRECT("Tabela1["&amp;$B21&amp;"]"),Tabela1[Turno],$D21,Tabela1[Data Corrigida],AF$3)/100,"")</f>
        <v/>
      </c>
      <c r="AG21" s="40" t="str">
        <f ca="1">IFERROR(AVERAGEIFS(INDIRECT("Tabela1["&amp;$B21&amp;"]"),Tabela1[Turno],$D21,Tabela1[Data Corrigida],AG$3)/100,"")</f>
        <v/>
      </c>
      <c r="AH21" s="40" t="str">
        <f ca="1">IFERROR(AVERAGEIFS(INDIRECT("Tabela1["&amp;$B21&amp;"]"),Tabela1[Turno],$D21,Tabela1[Data Corrigida],AH$3)/100,"")</f>
        <v/>
      </c>
      <c r="AI21" s="40" t="str">
        <f ca="1">IFERROR(AVERAGEIFS(INDIRECT("Tabela1["&amp;$B21&amp;"]"),Tabela1[Turno],$D21,Tabela1[Data Corrigida],AI$3)/100,"")</f>
        <v/>
      </c>
      <c r="AJ21" s="40" t="str">
        <f ca="1">IFERROR(AVERAGEIFS(INDIRECT("Tabela1["&amp;$B21&amp;"]"),Tabela1[Turno],$D21,Tabela1[Data Corrigida],AJ$3)/100,"")</f>
        <v/>
      </c>
      <c r="AK21" s="40" t="str">
        <f ca="1">IFERROR(AVERAGEIFS(INDIRECT("Tabela1["&amp;$B21&amp;"]"),Tabela1[Turno],$D21,Tabela1[Data Corrigida],AK$3)/100,"")</f>
        <v/>
      </c>
      <c r="AL21" s="40" t="str">
        <f ca="1">IFERROR(AVERAGEIFS(INDIRECT("Tabela1["&amp;$B21&amp;"]"),Tabela1[Turno],$D21,Tabela1[Data Corrigida],AL$3)/100,"")</f>
        <v/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25">
      <c r="A22" s="50" t="str">
        <f>VLOOKUP(Tabela2[[#This Row],[Item 1]],Apoio!$A$2:$B$41,2,0)</f>
        <v>Escald</v>
      </c>
      <c r="B22" s="9" t="str">
        <f t="shared" si="2"/>
        <v>% Retorno Pés</v>
      </c>
      <c r="C22" s="62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1.9011498659411402E-2</v>
      </c>
      <c r="N22" s="36">
        <f ca="1">IFERROR(AVERAGEIFS(INDIRECT("Tabela1["&amp;$B22&amp;"]"),Tabela1[Turno],$D22,Tabela1[Mês],N$3)/100,"")</f>
        <v>1.7110190728053296E-2</v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59"/>
      <c r="R22" s="35">
        <f ca="1">IFERROR(AVERAGEIFS(INDIRECT("Tabela1["&amp;$B22&amp;"]"),Tabela1[Turno],$D22,Tabela1[Data Corrigida],R$3)/100,"")</f>
        <v>1.6384541384541384E-2</v>
      </c>
      <c r="S22" s="36">
        <f ca="1">IFERROR(AVERAGEIFS(INDIRECT("Tabela1["&amp;$B22&amp;"]"),Tabela1[Turno],$D22,Tabela1[Data Corrigida],S$3)/100,"")</f>
        <v>1.6298169596520421E-2</v>
      </c>
      <c r="T22" s="36">
        <f ca="1">IFERROR(AVERAGEIFS(INDIRECT("Tabela1["&amp;$B22&amp;"]"),Tabela1[Turno],$D22,Tabela1[Data Corrigida],T$3)/100,"")</f>
        <v>1.7171037994193832E-2</v>
      </c>
      <c r="U22" s="36">
        <f ca="1">IFERROR(AVERAGEIFS(INDIRECT("Tabela1["&amp;$B22&amp;"]"),Tabela1[Turno],$D22,Tabela1[Data Corrigida],U$3)/100,"")</f>
        <v>1.9181835975729103E-2</v>
      </c>
      <c r="V22" s="36">
        <f ca="1">IFERROR(AVERAGEIFS(INDIRECT("Tabela1["&amp;$B22&amp;"]"),Tabela1[Turno],$D22,Tabela1[Data Corrigida],V$3)/100,"")</f>
        <v>1.6515368689281731E-2</v>
      </c>
      <c r="W22" s="36" t="str">
        <f ca="1">IFERROR(AVERAGEIFS(INDIRECT("Tabela1["&amp;$B22&amp;"]"),Tabela1[Turno],$D22,Tabela1[Data Corrigida],W$3)/100,"")</f>
        <v/>
      </c>
      <c r="X22" s="36" t="str">
        <f ca="1">IFERROR(AVERAGEIFS(INDIRECT("Tabela1["&amp;$B22&amp;"]"),Tabela1[Turno],$D22,Tabela1[Data Corrigida],X$3)/100,"")</f>
        <v/>
      </c>
      <c r="Y22" s="36" t="str">
        <f ca="1">IFERROR(AVERAGEIFS(INDIRECT("Tabela1["&amp;$B22&amp;"]"),Tabela1[Turno],$D22,Tabela1[Data Corrigida],Y$3)/100,"")</f>
        <v/>
      </c>
      <c r="Z22" s="36" t="str">
        <f ca="1">IFERROR(AVERAGEIFS(INDIRECT("Tabela1["&amp;$B22&amp;"]"),Tabela1[Turno],$D22,Tabela1[Data Corrigida],Z$3)/100,"")</f>
        <v/>
      </c>
      <c r="AA22" s="36" t="str">
        <f ca="1">IFERROR(AVERAGEIFS(INDIRECT("Tabela1["&amp;$B22&amp;"]"),Tabela1[Turno],$D22,Tabela1[Data Corrigida],AA$3)/100,"")</f>
        <v/>
      </c>
      <c r="AB22" s="36" t="str">
        <f ca="1">IFERROR(AVERAGEIFS(INDIRECT("Tabela1["&amp;$B22&amp;"]"),Tabela1[Turno],$D22,Tabela1[Data Corrigida],AB$3)/100,"")</f>
        <v/>
      </c>
      <c r="AC22" s="36" t="str">
        <f ca="1">IFERROR(AVERAGEIFS(INDIRECT("Tabela1["&amp;$B22&amp;"]"),Tabela1[Turno],$D22,Tabela1[Data Corrigida],AC$3)/100,"")</f>
        <v/>
      </c>
      <c r="AD22" s="36" t="str">
        <f ca="1">IFERROR(AVERAGEIFS(INDIRECT("Tabela1["&amp;$B22&amp;"]"),Tabela1[Turno],$D22,Tabela1[Data Corrigida],AD$3)/100,"")</f>
        <v/>
      </c>
      <c r="AE22" s="36" t="str">
        <f ca="1">IFERROR(AVERAGEIFS(INDIRECT("Tabela1["&amp;$B22&amp;"]"),Tabela1[Turno],$D22,Tabela1[Data Corrigida],AE$3)/100,"")</f>
        <v/>
      </c>
      <c r="AF22" s="36" t="str">
        <f ca="1">IFERROR(AVERAGEIFS(INDIRECT("Tabela1["&amp;$B22&amp;"]"),Tabela1[Turno],$D22,Tabela1[Data Corrigida],AF$3)/100,"")</f>
        <v/>
      </c>
      <c r="AG22" s="36" t="str">
        <f ca="1">IFERROR(AVERAGEIFS(INDIRECT("Tabela1["&amp;$B22&amp;"]"),Tabela1[Turno],$D22,Tabela1[Data Corrigida],AG$3)/100,"")</f>
        <v/>
      </c>
      <c r="AH22" s="36" t="str">
        <f ca="1">IFERROR(AVERAGEIFS(INDIRECT("Tabela1["&amp;$B22&amp;"]"),Tabela1[Turno],$D22,Tabela1[Data Corrigida],AH$3)/100,"")</f>
        <v/>
      </c>
      <c r="AI22" s="36" t="str">
        <f ca="1">IFERROR(AVERAGEIFS(INDIRECT("Tabela1["&amp;$B22&amp;"]"),Tabela1[Turno],$D22,Tabela1[Data Corrigida],AI$3)/100,"")</f>
        <v/>
      </c>
      <c r="AJ22" s="36" t="str">
        <f ca="1">IFERROR(AVERAGEIFS(INDIRECT("Tabela1["&amp;$B22&amp;"]"),Tabela1[Turno],$D22,Tabela1[Data Corrigida],AJ$3)/100,"")</f>
        <v/>
      </c>
      <c r="AK22" s="36" t="str">
        <f ca="1">IFERROR(AVERAGEIFS(INDIRECT("Tabela1["&amp;$B22&amp;"]"),Tabela1[Turno],$D22,Tabela1[Data Corrigida],AK$3)/100,"")</f>
        <v/>
      </c>
      <c r="AL22" s="36" t="str">
        <f ca="1">IFERROR(AVERAGEIFS(INDIRECT("Tabela1["&amp;$B22&amp;"]"),Tabela1[Turno],$D22,Tabela1[Data Corrigida],AL$3)/100,"")</f>
        <v/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">
      <c r="A23" s="50" t="str">
        <f>VLOOKUP(Tabela2[[#This Row],[Item 1]],Apoio!$A$2:$B$41,2,0)</f>
        <v>Escald</v>
      </c>
      <c r="B23" s="9" t="str">
        <f t="shared" si="2"/>
        <v>% Retorno Pés</v>
      </c>
      <c r="C23" s="63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1.2364749163596098E-2</v>
      </c>
      <c r="N23" s="45">
        <f ca="1">IFERROR(AVERAGEIFS(INDIRECT("Tabela1["&amp;$B23&amp;"]"),Tabela1[Mês],N$3)/100,"")</f>
        <v>1.3089908817046341E-2</v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0"/>
      <c r="R23" s="37">
        <f ca="1">IFERROR(AVERAGEIFS(INDIRECT("Tabela1["&amp;$B23&amp;"]"),Tabela1[Data Corrigida],R$3)/100,"")</f>
        <v>1.545140504767834E-2</v>
      </c>
      <c r="S23" s="38">
        <f ca="1">IFERROR(AVERAGEIFS(INDIRECT("Tabela1["&amp;$B23&amp;"]"),Tabela1[Data Corrigida],S$3)/100,"")</f>
        <v>1.3254872298742037E-2</v>
      </c>
      <c r="T23" s="38">
        <f ca="1">IFERROR(AVERAGEIFS(INDIRECT("Tabela1["&amp;$B23&amp;"]"),Tabela1[Data Corrigida],T$3)/100,"")</f>
        <v>1.608340670077358E-2</v>
      </c>
      <c r="U23" s="38">
        <f ca="1">IFERROR(AVERAGEIFS(INDIRECT("Tabela1["&amp;$B23&amp;"]"),Tabela1[Data Corrigida],U$3)/100,"")</f>
        <v>1.3644193667663396E-2</v>
      </c>
      <c r="V23" s="38">
        <f ca="1">IFERROR(AVERAGEIFS(INDIRECT("Tabela1["&amp;$B23&amp;"]"),Tabela1[Data Corrigida],V$3)/100,"")</f>
        <v>1.254590500199484E-2</v>
      </c>
      <c r="W23" s="38">
        <f ca="1">IFERROR(AVERAGEIFS(INDIRECT("Tabela1["&amp;$B23&amp;"]"),Tabela1[Data Corrigida],W$3)/100,"")</f>
        <v>5.6571146245059292E-3</v>
      </c>
      <c r="X23" s="38" t="str">
        <f ca="1">IFERROR(AVERAGEIFS(INDIRECT("Tabela1["&amp;$B23&amp;"]"),Tabela1[Data Corrigida],X$3)/100,"")</f>
        <v/>
      </c>
      <c r="Y23" s="38" t="str">
        <f ca="1">IFERROR(AVERAGEIFS(INDIRECT("Tabela1["&amp;$B23&amp;"]"),Tabela1[Data Corrigida],Y$3)/100,"")</f>
        <v/>
      </c>
      <c r="Z23" s="38" t="str">
        <f ca="1">IFERROR(AVERAGEIFS(INDIRECT("Tabela1["&amp;$B23&amp;"]"),Tabela1[Data Corrigida],Z$3)/100,"")</f>
        <v/>
      </c>
      <c r="AA23" s="38" t="str">
        <f ca="1">IFERROR(AVERAGEIFS(INDIRECT("Tabela1["&amp;$B23&amp;"]"),Tabela1[Data Corrigida],AA$3)/100,"")</f>
        <v/>
      </c>
      <c r="AB23" s="38" t="str">
        <f ca="1">IFERROR(AVERAGEIFS(INDIRECT("Tabela1["&amp;$B23&amp;"]"),Tabela1[Data Corrigida],AB$3)/100,"")</f>
        <v/>
      </c>
      <c r="AC23" s="38" t="str">
        <f ca="1">IFERROR(AVERAGEIFS(INDIRECT("Tabela1["&amp;$B23&amp;"]"),Tabela1[Data Corrigida],AC$3)/100,"")</f>
        <v/>
      </c>
      <c r="AD23" s="38" t="str">
        <f ca="1">IFERROR(AVERAGEIFS(INDIRECT("Tabela1["&amp;$B23&amp;"]"),Tabela1[Data Corrigida],AD$3)/100,"")</f>
        <v/>
      </c>
      <c r="AE23" s="38" t="str">
        <f ca="1">IFERROR(AVERAGEIFS(INDIRECT("Tabela1["&amp;$B23&amp;"]"),Tabela1[Data Corrigida],AE$3)/100,"")</f>
        <v/>
      </c>
      <c r="AF23" s="38" t="str">
        <f ca="1">IFERROR(AVERAGEIFS(INDIRECT("Tabela1["&amp;$B23&amp;"]"),Tabela1[Data Corrigida],AF$3)/100,"")</f>
        <v/>
      </c>
      <c r="AG23" s="38" t="str">
        <f ca="1">IFERROR(AVERAGEIFS(INDIRECT("Tabela1["&amp;$B23&amp;"]"),Tabela1[Data Corrigida],AG$3)/100,"")</f>
        <v/>
      </c>
      <c r="AH23" s="38" t="str">
        <f ca="1">IFERROR(AVERAGEIFS(INDIRECT("Tabela1["&amp;$B23&amp;"]"),Tabela1[Data Corrigida],AH$3)/100,"")</f>
        <v/>
      </c>
      <c r="AI23" s="38" t="str">
        <f ca="1">IFERROR(AVERAGEIFS(INDIRECT("Tabela1["&amp;$B23&amp;"]"),Tabela1[Data Corrigida],AI$3)/100,"")</f>
        <v/>
      </c>
      <c r="AJ23" s="38" t="str">
        <f ca="1">IFERROR(AVERAGEIFS(INDIRECT("Tabela1["&amp;$B23&amp;"]"),Tabela1[Data Corrigida],AJ$3)/100,"")</f>
        <v/>
      </c>
      <c r="AK23" s="38" t="str">
        <f ca="1">IFERROR(AVERAGEIFS(INDIRECT("Tabela1["&amp;$B23&amp;"]"),Tabela1[Data Corrigida],AK$3)/100,"")</f>
        <v/>
      </c>
      <c r="AL23" s="38" t="str">
        <f ca="1">IFERROR(AVERAGEIFS(INDIRECT("Tabela1["&amp;$B23&amp;"]"),Tabela1[Data Corrigida],AL$3)/100,"")</f>
        <v/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25">
      <c r="A24" s="50" t="str">
        <f>VLOOKUP(Tabela2[[#This Row],[Item 1]],Apoio!$A$2:$B$41,2,0)</f>
        <v>Eviscer</v>
      </c>
      <c r="B24" s="9" t="str">
        <f t="shared" si="2"/>
        <v>% Clocaca mal Exposta</v>
      </c>
      <c r="C24" s="61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3.8468725943525392E-2</v>
      </c>
      <c r="N24" s="34">
        <f ca="1">IFERROR(AVERAGEIFS(INDIRECT("Tabela1["&amp;$B24&amp;"]"),Tabela1[Turno],$D24,Tabela1[Mês],N$3)/100,"")</f>
        <v>2.9814222313502475E-2</v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58">
        <v>0.03</v>
      </c>
      <c r="R24" s="33">
        <f ca="1">IFERROR(AVERAGEIFS(INDIRECT("Tabela1["&amp;$B24&amp;"]"),Tabela1[Turno],$D24,Tabela1[Data Corrigida],R$3)/100,"")</f>
        <v>1.7080745341614904E-2</v>
      </c>
      <c r="S24" s="34">
        <f ca="1">IFERROR(AVERAGEIFS(INDIRECT("Tabela1["&amp;$B24&amp;"]"),Tabela1[Turno],$D24,Tabela1[Data Corrigida],S$3)/100,"")</f>
        <v>1.8942042696721648E-2</v>
      </c>
      <c r="T24" s="34">
        <f ca="1">IFERROR(AVERAGEIFS(INDIRECT("Tabela1["&amp;$B24&amp;"]"),Tabela1[Turno],$D24,Tabela1[Data Corrigida],T$3)/100,"")</f>
        <v>1.9230769230769232E-2</v>
      </c>
      <c r="U24" s="34">
        <f ca="1">IFERROR(AVERAGEIFS(INDIRECT("Tabela1["&amp;$B24&amp;"]"),Tabela1[Turno],$D24,Tabela1[Data Corrigida],U$3)/100,"")</f>
        <v>3.9516642777512344E-2</v>
      </c>
      <c r="V24" s="34">
        <f ca="1">IFERROR(AVERAGEIFS(INDIRECT("Tabela1["&amp;$B24&amp;"]"),Tabela1[Turno],$D24,Tabela1[Data Corrigida],V$3)/100,"")</f>
        <v>3.6835364462775924E-2</v>
      </c>
      <c r="W24" s="34">
        <f ca="1">IFERROR(AVERAGEIFS(INDIRECT("Tabela1["&amp;$B24&amp;"]"),Tabela1[Turno],$D24,Tabela1[Data Corrigida],W$3)/100,"")</f>
        <v>3.934217955957086E-2</v>
      </c>
      <c r="X24" s="34" t="str">
        <f ca="1">IFERROR(AVERAGEIFS(INDIRECT("Tabela1["&amp;$B24&amp;"]"),Tabela1[Turno],$D24,Tabela1[Data Corrigida],X$3)/100,"")</f>
        <v/>
      </c>
      <c r="Y24" s="34" t="str">
        <f ca="1">IFERROR(AVERAGEIFS(INDIRECT("Tabela1["&amp;$B24&amp;"]"),Tabela1[Turno],$D24,Tabela1[Data Corrigida],Y$3)/100,"")</f>
        <v/>
      </c>
      <c r="Z24" s="34" t="str">
        <f ca="1">IFERROR(AVERAGEIFS(INDIRECT("Tabela1["&amp;$B24&amp;"]"),Tabela1[Turno],$D24,Tabela1[Data Corrigida],Z$3)/100,"")</f>
        <v/>
      </c>
      <c r="AA24" s="34" t="str">
        <f ca="1">IFERROR(AVERAGEIFS(INDIRECT("Tabela1["&amp;$B24&amp;"]"),Tabela1[Turno],$D24,Tabela1[Data Corrigida],AA$3)/100,"")</f>
        <v/>
      </c>
      <c r="AB24" s="34" t="str">
        <f ca="1">IFERROR(AVERAGEIFS(INDIRECT("Tabela1["&amp;$B24&amp;"]"),Tabela1[Turno],$D24,Tabela1[Data Corrigida],AB$3)/100,"")</f>
        <v/>
      </c>
      <c r="AC24" s="34" t="str">
        <f ca="1">IFERROR(AVERAGEIFS(INDIRECT("Tabela1["&amp;$B24&amp;"]"),Tabela1[Turno],$D24,Tabela1[Data Corrigida],AC$3)/100,"")</f>
        <v/>
      </c>
      <c r="AD24" s="34" t="str">
        <f ca="1">IFERROR(AVERAGEIFS(INDIRECT("Tabela1["&amp;$B24&amp;"]"),Tabela1[Turno],$D24,Tabela1[Data Corrigida],AD$3)/100,"")</f>
        <v/>
      </c>
      <c r="AE24" s="34" t="str">
        <f ca="1">IFERROR(AVERAGEIFS(INDIRECT("Tabela1["&amp;$B24&amp;"]"),Tabela1[Turno],$D24,Tabela1[Data Corrigida],AE$3)/100,"")</f>
        <v/>
      </c>
      <c r="AF24" s="34" t="str">
        <f ca="1">IFERROR(AVERAGEIFS(INDIRECT("Tabela1["&amp;$B24&amp;"]"),Tabela1[Turno],$D24,Tabela1[Data Corrigida],AF$3)/100,"")</f>
        <v/>
      </c>
      <c r="AG24" s="34" t="str">
        <f ca="1">IFERROR(AVERAGEIFS(INDIRECT("Tabela1["&amp;$B24&amp;"]"),Tabela1[Turno],$D24,Tabela1[Data Corrigida],AG$3)/100,"")</f>
        <v/>
      </c>
      <c r="AH24" s="34" t="str">
        <f ca="1">IFERROR(AVERAGEIFS(INDIRECT("Tabela1["&amp;$B24&amp;"]"),Tabela1[Turno],$D24,Tabela1[Data Corrigida],AH$3)/100,"")</f>
        <v/>
      </c>
      <c r="AI24" s="34" t="str">
        <f ca="1">IFERROR(AVERAGEIFS(INDIRECT("Tabela1["&amp;$B24&amp;"]"),Tabela1[Turno],$D24,Tabela1[Data Corrigida],AI$3)/100,"")</f>
        <v/>
      </c>
      <c r="AJ24" s="34" t="str">
        <f ca="1">IFERROR(AVERAGEIFS(INDIRECT("Tabela1["&amp;$B24&amp;"]"),Tabela1[Turno],$D24,Tabela1[Data Corrigida],AJ$3)/100,"")</f>
        <v/>
      </c>
      <c r="AK24" s="34" t="str">
        <f ca="1">IFERROR(AVERAGEIFS(INDIRECT("Tabela1["&amp;$B24&amp;"]"),Tabela1[Turno],$D24,Tabela1[Data Corrigida],AK$3)/100,"")</f>
        <v/>
      </c>
      <c r="AL24" s="34" t="str">
        <f ca="1">IFERROR(AVERAGEIFS(INDIRECT("Tabela1["&amp;$B24&amp;"]"),Tabela1[Turno],$D24,Tabela1[Data Corrigida],AL$3)/100,"")</f>
        <v/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25">
      <c r="A25" s="50" t="str">
        <f>VLOOKUP(Tabela2[[#This Row],[Item 1]],Apoio!$A$2:$B$41,2,0)</f>
        <v>Eviscer</v>
      </c>
      <c r="B25" s="9" t="str">
        <f t="shared" si="2"/>
        <v>% Clocaca mal Exposta</v>
      </c>
      <c r="C25" s="62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5.2811496203440854E-2</v>
      </c>
      <c r="N25" s="36">
        <f ca="1">IFERROR(AVERAGEIFS(INDIRECT("Tabela1["&amp;$B25&amp;"]"),Tabela1[Turno],$D25,Tabela1[Mês],N$3)/100,"")</f>
        <v>2.5927416895833107E-2</v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59"/>
      <c r="R25" s="35">
        <f ca="1">IFERROR(AVERAGEIFS(INDIRECT("Tabela1["&amp;$B25&amp;"]"),Tabela1[Turno],$D25,Tabela1[Data Corrigida],R$3)/100,"")</f>
        <v>1.4783364783364783E-2</v>
      </c>
      <c r="S25" s="36">
        <f ca="1">IFERROR(AVERAGEIFS(INDIRECT("Tabela1["&amp;$B25&amp;"]"),Tabela1[Turno],$D25,Tabela1[Data Corrigida],S$3)/100,"")</f>
        <v>9.1511021046253426E-3</v>
      </c>
      <c r="T25" s="36">
        <f ca="1">IFERROR(AVERAGEIFS(INDIRECT("Tabela1["&amp;$B25&amp;"]"),Tabela1[Turno],$D25,Tabela1[Data Corrigida],T$3)/100,"")</f>
        <v>2.4319218750093196E-2</v>
      </c>
      <c r="U25" s="36">
        <f ca="1">IFERROR(AVERAGEIFS(INDIRECT("Tabela1["&amp;$B25&amp;"]"),Tabela1[Turno],$D25,Tabela1[Data Corrigida],U$3)/100,"")</f>
        <v>5.1999739022639782E-2</v>
      </c>
      <c r="V25" s="36">
        <f ca="1">IFERROR(AVERAGEIFS(INDIRECT("Tabela1["&amp;$B25&amp;"]"),Tabela1[Turno],$D25,Tabela1[Data Corrigida],V$3)/100,"")</f>
        <v>2.9383659818442424E-2</v>
      </c>
      <c r="W25" s="36" t="str">
        <f ca="1">IFERROR(AVERAGEIFS(INDIRECT("Tabela1["&amp;$B25&amp;"]"),Tabela1[Turno],$D25,Tabela1[Data Corrigida],W$3)/100,"")</f>
        <v/>
      </c>
      <c r="X25" s="36" t="str">
        <f ca="1">IFERROR(AVERAGEIFS(INDIRECT("Tabela1["&amp;$B25&amp;"]"),Tabela1[Turno],$D25,Tabela1[Data Corrigida],X$3)/100,"")</f>
        <v/>
      </c>
      <c r="Y25" s="36" t="str">
        <f ca="1">IFERROR(AVERAGEIFS(INDIRECT("Tabela1["&amp;$B25&amp;"]"),Tabela1[Turno],$D25,Tabela1[Data Corrigida],Y$3)/100,"")</f>
        <v/>
      </c>
      <c r="Z25" s="36" t="str">
        <f ca="1">IFERROR(AVERAGEIFS(INDIRECT("Tabela1["&amp;$B25&amp;"]"),Tabela1[Turno],$D25,Tabela1[Data Corrigida],Z$3)/100,"")</f>
        <v/>
      </c>
      <c r="AA25" s="36" t="str">
        <f ca="1">IFERROR(AVERAGEIFS(INDIRECT("Tabela1["&amp;$B25&amp;"]"),Tabela1[Turno],$D25,Tabela1[Data Corrigida],AA$3)/100,"")</f>
        <v/>
      </c>
      <c r="AB25" s="36" t="str">
        <f ca="1">IFERROR(AVERAGEIFS(INDIRECT("Tabela1["&amp;$B25&amp;"]"),Tabela1[Turno],$D25,Tabela1[Data Corrigida],AB$3)/100,"")</f>
        <v/>
      </c>
      <c r="AC25" s="36" t="str">
        <f ca="1">IFERROR(AVERAGEIFS(INDIRECT("Tabela1["&amp;$B25&amp;"]"),Tabela1[Turno],$D25,Tabela1[Data Corrigida],AC$3)/100,"")</f>
        <v/>
      </c>
      <c r="AD25" s="36" t="str">
        <f ca="1">IFERROR(AVERAGEIFS(INDIRECT("Tabela1["&amp;$B25&amp;"]"),Tabela1[Turno],$D25,Tabela1[Data Corrigida],AD$3)/100,"")</f>
        <v/>
      </c>
      <c r="AE25" s="36" t="str">
        <f ca="1">IFERROR(AVERAGEIFS(INDIRECT("Tabela1["&amp;$B25&amp;"]"),Tabela1[Turno],$D25,Tabela1[Data Corrigida],AE$3)/100,"")</f>
        <v/>
      </c>
      <c r="AF25" s="36" t="str">
        <f ca="1">IFERROR(AVERAGEIFS(INDIRECT("Tabela1["&amp;$B25&amp;"]"),Tabela1[Turno],$D25,Tabela1[Data Corrigida],AF$3)/100,"")</f>
        <v/>
      </c>
      <c r="AG25" s="36" t="str">
        <f ca="1">IFERROR(AVERAGEIFS(INDIRECT("Tabela1["&amp;$B25&amp;"]"),Tabela1[Turno],$D25,Tabela1[Data Corrigida],AG$3)/100,"")</f>
        <v/>
      </c>
      <c r="AH25" s="36" t="str">
        <f ca="1">IFERROR(AVERAGEIFS(INDIRECT("Tabela1["&amp;$B25&amp;"]"),Tabela1[Turno],$D25,Tabela1[Data Corrigida],AH$3)/100,"")</f>
        <v/>
      </c>
      <c r="AI25" s="36" t="str">
        <f ca="1">IFERROR(AVERAGEIFS(INDIRECT("Tabela1["&amp;$B25&amp;"]"),Tabela1[Turno],$D25,Tabela1[Data Corrigida],AI$3)/100,"")</f>
        <v/>
      </c>
      <c r="AJ25" s="36" t="str">
        <f ca="1">IFERROR(AVERAGEIFS(INDIRECT("Tabela1["&amp;$B25&amp;"]"),Tabela1[Turno],$D25,Tabela1[Data Corrigida],AJ$3)/100,"")</f>
        <v/>
      </c>
      <c r="AK25" s="36" t="str">
        <f ca="1">IFERROR(AVERAGEIFS(INDIRECT("Tabela1["&amp;$B25&amp;"]"),Tabela1[Turno],$D25,Tabela1[Data Corrigida],AK$3)/100,"")</f>
        <v/>
      </c>
      <c r="AL25" s="36" t="str">
        <f ca="1">IFERROR(AVERAGEIFS(INDIRECT("Tabela1["&amp;$B25&amp;"]"),Tabela1[Turno],$D25,Tabela1[Data Corrigida],AL$3)/100,"")</f>
        <v/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">
      <c r="A26" s="50" t="str">
        <f>VLOOKUP(Tabela2[[#This Row],[Item 1]],Apoio!$A$2:$B$41,2,0)</f>
        <v>Eviscer</v>
      </c>
      <c r="B26" s="9" t="str">
        <f t="shared" si="2"/>
        <v>% Clocaca mal Exposta</v>
      </c>
      <c r="C26" s="63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4.4657729548831349E-2</v>
      </c>
      <c r="N26" s="45">
        <f ca="1">IFERROR(AVERAGEIFS(INDIRECT("Tabela1["&amp;$B26&amp;"]"),Tabela1[Mês],N$3)/100,"")</f>
        <v>2.8194720056140241E-2</v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0"/>
      <c r="R26" s="37">
        <f ca="1">IFERROR(AVERAGEIFS(INDIRECT("Tabela1["&amp;$B26&amp;"]"),Tabela1[Data Corrigida],R$3)/100,"")</f>
        <v>1.6096153673793426E-2</v>
      </c>
      <c r="S26" s="38">
        <f ca="1">IFERROR(AVERAGEIFS(INDIRECT("Tabela1["&amp;$B26&amp;"]"),Tabela1[Data Corrigida],S$3)/100,"")</f>
        <v>1.4745925300108948E-2</v>
      </c>
      <c r="T26" s="38">
        <f ca="1">IFERROR(AVERAGEIFS(INDIRECT("Tabela1["&amp;$B26&amp;"]"),Tabela1[Data Corrigida],T$3)/100,"")</f>
        <v>2.3047106370262208E-2</v>
      </c>
      <c r="U26" s="38">
        <f ca="1">IFERROR(AVERAGEIFS(INDIRECT("Tabela1["&amp;$B26&amp;"]"),Tabela1[Data Corrigida],U$3)/100,"")</f>
        <v>4.4866541168281246E-2</v>
      </c>
      <c r="V26" s="38">
        <f ca="1">IFERROR(AVERAGEIFS(INDIRECT("Tabela1["&amp;$B26&amp;"]"),Tabela1[Data Corrigida],V$3)/100,"")</f>
        <v>3.3641776758061563E-2</v>
      </c>
      <c r="W26" s="38">
        <f ca="1">IFERROR(AVERAGEIFS(INDIRECT("Tabela1["&amp;$B26&amp;"]"),Tabela1[Data Corrigida],W$3)/100,"")</f>
        <v>3.934217955957086E-2</v>
      </c>
      <c r="X26" s="38" t="str">
        <f ca="1">IFERROR(AVERAGEIFS(INDIRECT("Tabela1["&amp;$B26&amp;"]"),Tabela1[Data Corrigida],X$3)/100,"")</f>
        <v/>
      </c>
      <c r="Y26" s="38" t="str">
        <f ca="1">IFERROR(AVERAGEIFS(INDIRECT("Tabela1["&amp;$B26&amp;"]"),Tabela1[Data Corrigida],Y$3)/100,"")</f>
        <v/>
      </c>
      <c r="Z26" s="38" t="str">
        <f ca="1">IFERROR(AVERAGEIFS(INDIRECT("Tabela1["&amp;$B26&amp;"]"),Tabela1[Data Corrigida],Z$3)/100,"")</f>
        <v/>
      </c>
      <c r="AA26" s="38" t="str">
        <f ca="1">IFERROR(AVERAGEIFS(INDIRECT("Tabela1["&amp;$B26&amp;"]"),Tabela1[Data Corrigida],AA$3)/100,"")</f>
        <v/>
      </c>
      <c r="AB26" s="38" t="str">
        <f ca="1">IFERROR(AVERAGEIFS(INDIRECT("Tabela1["&amp;$B26&amp;"]"),Tabela1[Data Corrigida],AB$3)/100,"")</f>
        <v/>
      </c>
      <c r="AC26" s="38" t="str">
        <f ca="1">IFERROR(AVERAGEIFS(INDIRECT("Tabela1["&amp;$B26&amp;"]"),Tabela1[Data Corrigida],AC$3)/100,"")</f>
        <v/>
      </c>
      <c r="AD26" s="38" t="str">
        <f ca="1">IFERROR(AVERAGEIFS(INDIRECT("Tabela1["&amp;$B26&amp;"]"),Tabela1[Data Corrigida],AD$3)/100,"")</f>
        <v/>
      </c>
      <c r="AE26" s="38" t="str">
        <f ca="1">IFERROR(AVERAGEIFS(INDIRECT("Tabela1["&amp;$B26&amp;"]"),Tabela1[Data Corrigida],AE$3)/100,"")</f>
        <v/>
      </c>
      <c r="AF26" s="38" t="str">
        <f ca="1">IFERROR(AVERAGEIFS(INDIRECT("Tabela1["&amp;$B26&amp;"]"),Tabela1[Data Corrigida],AF$3)/100,"")</f>
        <v/>
      </c>
      <c r="AG26" s="38" t="str">
        <f ca="1">IFERROR(AVERAGEIFS(INDIRECT("Tabela1["&amp;$B26&amp;"]"),Tabela1[Data Corrigida],AG$3)/100,"")</f>
        <v/>
      </c>
      <c r="AH26" s="38" t="str">
        <f ca="1">IFERROR(AVERAGEIFS(INDIRECT("Tabela1["&amp;$B26&amp;"]"),Tabela1[Data Corrigida],AH$3)/100,"")</f>
        <v/>
      </c>
      <c r="AI26" s="38" t="str">
        <f ca="1">IFERROR(AVERAGEIFS(INDIRECT("Tabela1["&amp;$B26&amp;"]"),Tabela1[Data Corrigida],AI$3)/100,"")</f>
        <v/>
      </c>
      <c r="AJ26" s="38" t="str">
        <f ca="1">IFERROR(AVERAGEIFS(INDIRECT("Tabela1["&amp;$B26&amp;"]"),Tabela1[Data Corrigida],AJ$3)/100,"")</f>
        <v/>
      </c>
      <c r="AK26" s="38" t="str">
        <f ca="1">IFERROR(AVERAGEIFS(INDIRECT("Tabela1["&amp;$B26&amp;"]"),Tabela1[Data Corrigida],AK$3)/100,"")</f>
        <v/>
      </c>
      <c r="AL26" s="38" t="str">
        <f ca="1">IFERROR(AVERAGEIFS(INDIRECT("Tabela1["&amp;$B26&amp;"]"),Tabela1[Data Corrigida],AL$3)/100,"")</f>
        <v/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25">
      <c r="A27" s="50" t="str">
        <f>VLOOKUP(Tabela2[[#This Row],[Item 1]],Apoio!$A$2:$B$41,2,0)</f>
        <v>Eviscer</v>
      </c>
      <c r="B27" s="9" t="str">
        <f t="shared" si="2"/>
        <v>% Cloacas Rompidas</v>
      </c>
      <c r="C27" s="61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4.8326225621614073E-4</v>
      </c>
      <c r="N27" s="34">
        <f ca="1">IFERROR(AVERAGEIFS(INDIRECT("Tabela1["&amp;$B27&amp;"]"),Tabela1[Turno],$D27,Tabela1[Mês],N$3)/100,"")</f>
        <v>1.5718727042819017E-3</v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58">
        <v>0.02</v>
      </c>
      <c r="R27" s="39">
        <f ca="1">IFERROR(AVERAGEIFS(INDIRECT("Tabela1["&amp;$B27&amp;"]"),Tabela1[Turno],$D27,Tabela1[Data Corrigida],R$3)/100,"")</f>
        <v>0</v>
      </c>
      <c r="S27" s="40">
        <f ca="1">IFERROR(AVERAGEIFS(INDIRECT("Tabela1["&amp;$B27&amp;"]"),Tabela1[Turno],$D27,Tabela1[Data Corrigida],S$3)/100,"")</f>
        <v>3.3112582781456958E-3</v>
      </c>
      <c r="T27" s="40">
        <f ca="1">IFERROR(AVERAGEIFS(INDIRECT("Tabela1["&amp;$B27&amp;"]"),Tabela1[Turno],$D27,Tabela1[Data Corrigida],T$3)/100,"")</f>
        <v>6.41025641025641E-3</v>
      </c>
      <c r="U27" s="40">
        <f ca="1">IFERROR(AVERAGEIFS(INDIRECT("Tabela1["&amp;$B27&amp;"]"),Tabela1[Turno],$D27,Tabela1[Data Corrigida],U$3)/100,"")</f>
        <v>0</v>
      </c>
      <c r="V27" s="40">
        <f ca="1">IFERROR(AVERAGEIFS(INDIRECT("Tabela1["&amp;$B27&amp;"]"),Tabela1[Turno],$D27,Tabela1[Data Corrigida],V$3)/100,"")</f>
        <v>0</v>
      </c>
      <c r="W27" s="40">
        <f ca="1">IFERROR(AVERAGEIFS(INDIRECT("Tabela1["&amp;$B27&amp;"]"),Tabela1[Turno],$D27,Tabela1[Data Corrigida],W$3)/100,"")</f>
        <v>3.3385093167701864E-3</v>
      </c>
      <c r="X27" s="40" t="str">
        <f ca="1">IFERROR(AVERAGEIFS(INDIRECT("Tabela1["&amp;$B27&amp;"]"),Tabela1[Turno],$D27,Tabela1[Data Corrigida],X$3)/100,"")</f>
        <v/>
      </c>
      <c r="Y27" s="40" t="str">
        <f ca="1">IFERROR(AVERAGEIFS(INDIRECT("Tabela1["&amp;$B27&amp;"]"),Tabela1[Turno],$D27,Tabela1[Data Corrigida],Y$3)/100,"")</f>
        <v/>
      </c>
      <c r="Z27" s="40" t="str">
        <f ca="1">IFERROR(AVERAGEIFS(INDIRECT("Tabela1["&amp;$B27&amp;"]"),Tabela1[Turno],$D27,Tabela1[Data Corrigida],Z$3)/100,"")</f>
        <v/>
      </c>
      <c r="AA27" s="40" t="str">
        <f ca="1">IFERROR(AVERAGEIFS(INDIRECT("Tabela1["&amp;$B27&amp;"]"),Tabela1[Turno],$D27,Tabela1[Data Corrigida],AA$3)/100,"")</f>
        <v/>
      </c>
      <c r="AB27" s="40" t="str">
        <f ca="1">IFERROR(AVERAGEIFS(INDIRECT("Tabela1["&amp;$B27&amp;"]"),Tabela1[Turno],$D27,Tabela1[Data Corrigida],AB$3)/100,"")</f>
        <v/>
      </c>
      <c r="AC27" s="40" t="str">
        <f ca="1">IFERROR(AVERAGEIFS(INDIRECT("Tabela1["&amp;$B27&amp;"]"),Tabela1[Turno],$D27,Tabela1[Data Corrigida],AC$3)/100,"")</f>
        <v/>
      </c>
      <c r="AD27" s="40" t="str">
        <f ca="1">IFERROR(AVERAGEIFS(INDIRECT("Tabela1["&amp;$B27&amp;"]"),Tabela1[Turno],$D27,Tabela1[Data Corrigida],AD$3)/100,"")</f>
        <v/>
      </c>
      <c r="AE27" s="40" t="str">
        <f ca="1">IFERROR(AVERAGEIFS(INDIRECT("Tabela1["&amp;$B27&amp;"]"),Tabela1[Turno],$D27,Tabela1[Data Corrigida],AE$3)/100,"")</f>
        <v/>
      </c>
      <c r="AF27" s="40" t="str">
        <f ca="1">IFERROR(AVERAGEIFS(INDIRECT("Tabela1["&amp;$B27&amp;"]"),Tabela1[Turno],$D27,Tabela1[Data Corrigida],AF$3)/100,"")</f>
        <v/>
      </c>
      <c r="AG27" s="40" t="str">
        <f ca="1">IFERROR(AVERAGEIFS(INDIRECT("Tabela1["&amp;$B27&amp;"]"),Tabela1[Turno],$D27,Tabela1[Data Corrigida],AG$3)/100,"")</f>
        <v/>
      </c>
      <c r="AH27" s="40" t="str">
        <f ca="1">IFERROR(AVERAGEIFS(INDIRECT("Tabela1["&amp;$B27&amp;"]"),Tabela1[Turno],$D27,Tabela1[Data Corrigida],AH$3)/100,"")</f>
        <v/>
      </c>
      <c r="AI27" s="40" t="str">
        <f ca="1">IFERROR(AVERAGEIFS(INDIRECT("Tabela1["&amp;$B27&amp;"]"),Tabela1[Turno],$D27,Tabela1[Data Corrigida],AI$3)/100,"")</f>
        <v/>
      </c>
      <c r="AJ27" s="40" t="str">
        <f ca="1">IFERROR(AVERAGEIFS(INDIRECT("Tabela1["&amp;$B27&amp;"]"),Tabela1[Turno],$D27,Tabela1[Data Corrigida],AJ$3)/100,"")</f>
        <v/>
      </c>
      <c r="AK27" s="40" t="str">
        <f ca="1">IFERROR(AVERAGEIFS(INDIRECT("Tabela1["&amp;$B27&amp;"]"),Tabela1[Turno],$D27,Tabela1[Data Corrigida],AK$3)/100,"")</f>
        <v/>
      </c>
      <c r="AL27" s="40" t="str">
        <f ca="1">IFERROR(AVERAGEIFS(INDIRECT("Tabela1["&amp;$B27&amp;"]"),Tabela1[Turno],$D27,Tabela1[Data Corrigida],AL$3)/100,"")</f>
        <v/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25">
      <c r="A28" s="50" t="str">
        <f>VLOOKUP(Tabela2[[#This Row],[Item 1]],Apoio!$A$2:$B$41,2,0)</f>
        <v>Eviscer</v>
      </c>
      <c r="B28" s="9" t="str">
        <f t="shared" si="2"/>
        <v>% Cloacas Rompidas</v>
      </c>
      <c r="C28" s="62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2.2721943251744579E-4</v>
      </c>
      <c r="N28" s="36">
        <f ca="1">IFERROR(AVERAGEIFS(INDIRECT("Tabela1["&amp;$B28&amp;"]"),Tabela1[Turno],$D28,Tabela1[Mês],N$3)/100,"")</f>
        <v>0</v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59"/>
      <c r="R28" s="35">
        <f ca="1">IFERROR(AVERAGEIFS(INDIRECT("Tabela1["&amp;$B28&amp;"]"),Tabela1[Turno],$D28,Tabela1[Data Corrigida],R$3)/100,"")</f>
        <v>0</v>
      </c>
      <c r="S28" s="36">
        <f ca="1">IFERROR(AVERAGEIFS(INDIRECT("Tabela1["&amp;$B28&amp;"]"),Tabela1[Turno],$D28,Tabela1[Data Corrigida],S$3)/100,"")</f>
        <v>0</v>
      </c>
      <c r="T28" s="36">
        <f ca="1">IFERROR(AVERAGEIFS(INDIRECT("Tabela1["&amp;$B28&amp;"]"),Tabela1[Turno],$D28,Tabela1[Data Corrigida],T$3)/100,"")</f>
        <v>0</v>
      </c>
      <c r="U28" s="36">
        <f ca="1">IFERROR(AVERAGEIFS(INDIRECT("Tabela1["&amp;$B28&amp;"]"),Tabela1[Turno],$D28,Tabela1[Data Corrigida],U$3)/100,"")</f>
        <v>0</v>
      </c>
      <c r="V28" s="36">
        <f ca="1">IFERROR(AVERAGEIFS(INDIRECT("Tabela1["&amp;$B28&amp;"]"),Tabela1[Turno],$D28,Tabela1[Data Corrigida],V$3)/100,"")</f>
        <v>0</v>
      </c>
      <c r="W28" s="36" t="str">
        <f ca="1">IFERROR(AVERAGEIFS(INDIRECT("Tabela1["&amp;$B28&amp;"]"),Tabela1[Turno],$D28,Tabela1[Data Corrigida],W$3)/100,"")</f>
        <v/>
      </c>
      <c r="X28" s="36" t="str">
        <f ca="1">IFERROR(AVERAGEIFS(INDIRECT("Tabela1["&amp;$B28&amp;"]"),Tabela1[Turno],$D28,Tabela1[Data Corrigida],X$3)/100,"")</f>
        <v/>
      </c>
      <c r="Y28" s="36" t="str">
        <f ca="1">IFERROR(AVERAGEIFS(INDIRECT("Tabela1["&amp;$B28&amp;"]"),Tabela1[Turno],$D28,Tabela1[Data Corrigida],Y$3)/100,"")</f>
        <v/>
      </c>
      <c r="Z28" s="36" t="str">
        <f ca="1">IFERROR(AVERAGEIFS(INDIRECT("Tabela1["&amp;$B28&amp;"]"),Tabela1[Turno],$D28,Tabela1[Data Corrigida],Z$3)/100,"")</f>
        <v/>
      </c>
      <c r="AA28" s="36" t="str">
        <f ca="1">IFERROR(AVERAGEIFS(INDIRECT("Tabela1["&amp;$B28&amp;"]"),Tabela1[Turno],$D28,Tabela1[Data Corrigida],AA$3)/100,"")</f>
        <v/>
      </c>
      <c r="AB28" s="36" t="str">
        <f ca="1">IFERROR(AVERAGEIFS(INDIRECT("Tabela1["&amp;$B28&amp;"]"),Tabela1[Turno],$D28,Tabela1[Data Corrigida],AB$3)/100,"")</f>
        <v/>
      </c>
      <c r="AC28" s="36" t="str">
        <f ca="1">IFERROR(AVERAGEIFS(INDIRECT("Tabela1["&amp;$B28&amp;"]"),Tabela1[Turno],$D28,Tabela1[Data Corrigida],AC$3)/100,"")</f>
        <v/>
      </c>
      <c r="AD28" s="36" t="str">
        <f ca="1">IFERROR(AVERAGEIFS(INDIRECT("Tabela1["&amp;$B28&amp;"]"),Tabela1[Turno],$D28,Tabela1[Data Corrigida],AD$3)/100,"")</f>
        <v/>
      </c>
      <c r="AE28" s="36" t="str">
        <f ca="1">IFERROR(AVERAGEIFS(INDIRECT("Tabela1["&amp;$B28&amp;"]"),Tabela1[Turno],$D28,Tabela1[Data Corrigida],AE$3)/100,"")</f>
        <v/>
      </c>
      <c r="AF28" s="36" t="str">
        <f ca="1">IFERROR(AVERAGEIFS(INDIRECT("Tabela1["&amp;$B28&amp;"]"),Tabela1[Turno],$D28,Tabela1[Data Corrigida],AF$3)/100,"")</f>
        <v/>
      </c>
      <c r="AG28" s="36" t="str">
        <f ca="1">IFERROR(AVERAGEIFS(INDIRECT("Tabela1["&amp;$B28&amp;"]"),Tabela1[Turno],$D28,Tabela1[Data Corrigida],AG$3)/100,"")</f>
        <v/>
      </c>
      <c r="AH28" s="36" t="str">
        <f ca="1">IFERROR(AVERAGEIFS(INDIRECT("Tabela1["&amp;$B28&amp;"]"),Tabela1[Turno],$D28,Tabela1[Data Corrigida],AH$3)/100,"")</f>
        <v/>
      </c>
      <c r="AI28" s="36" t="str">
        <f ca="1">IFERROR(AVERAGEIFS(INDIRECT("Tabela1["&amp;$B28&amp;"]"),Tabela1[Turno],$D28,Tabela1[Data Corrigida],AI$3)/100,"")</f>
        <v/>
      </c>
      <c r="AJ28" s="36" t="str">
        <f ca="1">IFERROR(AVERAGEIFS(INDIRECT("Tabela1["&amp;$B28&amp;"]"),Tabela1[Turno],$D28,Tabela1[Data Corrigida],AJ$3)/100,"")</f>
        <v/>
      </c>
      <c r="AK28" s="36" t="str">
        <f ca="1">IFERROR(AVERAGEIFS(INDIRECT("Tabela1["&amp;$B28&amp;"]"),Tabela1[Turno],$D28,Tabela1[Data Corrigida],AK$3)/100,"")</f>
        <v/>
      </c>
      <c r="AL28" s="36" t="str">
        <f ca="1">IFERROR(AVERAGEIFS(INDIRECT("Tabela1["&amp;$B28&amp;"]"),Tabela1[Turno],$D28,Tabela1[Data Corrigida],AL$3)/100,"")</f>
        <v/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">
      <c r="A29" s="50" t="str">
        <f>VLOOKUP(Tabela2[[#This Row],[Item 1]],Apoio!$A$2:$B$41,2,0)</f>
        <v>Eviscer</v>
      </c>
      <c r="B29" s="9" t="str">
        <f t="shared" si="2"/>
        <v>% Cloacas Rompidas</v>
      </c>
      <c r="C29" s="63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3.7277802407218325E-4</v>
      </c>
      <c r="N29" s="45">
        <f ca="1">IFERROR(AVERAGEIFS(INDIRECT("Tabela1["&amp;$B29&amp;"]"),Tabela1[Mês],N$3)/100,"")</f>
        <v>9.1692574416444271E-4</v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0"/>
      <c r="R29" s="42">
        <f ca="1">IFERROR(AVERAGEIFS(INDIRECT("Tabela1["&amp;$B29&amp;"]"),Tabela1[Data Corrigida],R$3)/100,"")</f>
        <v>0</v>
      </c>
      <c r="S29" s="43">
        <f ca="1">IFERROR(AVERAGEIFS(INDIRECT("Tabela1["&amp;$B29&amp;"]"),Tabela1[Data Corrigida],S$3)/100,"")</f>
        <v>1.8921475875118259E-3</v>
      </c>
      <c r="T29" s="43">
        <f ca="1">IFERROR(AVERAGEIFS(INDIRECT("Tabela1["&amp;$B29&amp;"]"),Tabela1[Data Corrigida],T$3)/100,"")</f>
        <v>1.6025641025641025E-3</v>
      </c>
      <c r="U29" s="43">
        <f ca="1">IFERROR(AVERAGEIFS(INDIRECT("Tabela1["&amp;$B29&amp;"]"),Tabela1[Data Corrigida],U$3)/100,"")</f>
        <v>0</v>
      </c>
      <c r="V29" s="43">
        <f ca="1">IFERROR(AVERAGEIFS(INDIRECT("Tabela1["&amp;$B29&amp;"]"),Tabela1[Data Corrigida],V$3)/100,"")</f>
        <v>0</v>
      </c>
      <c r="W29" s="43">
        <f ca="1">IFERROR(AVERAGEIFS(INDIRECT("Tabela1["&amp;$B29&amp;"]"),Tabela1[Data Corrigida],W$3)/100,"")</f>
        <v>3.3385093167701864E-3</v>
      </c>
      <c r="X29" s="43" t="str">
        <f ca="1">IFERROR(AVERAGEIFS(INDIRECT("Tabela1["&amp;$B29&amp;"]"),Tabela1[Data Corrigida],X$3)/100,"")</f>
        <v/>
      </c>
      <c r="Y29" s="43" t="str">
        <f ca="1">IFERROR(AVERAGEIFS(INDIRECT("Tabela1["&amp;$B29&amp;"]"),Tabela1[Data Corrigida],Y$3)/100,"")</f>
        <v/>
      </c>
      <c r="Z29" s="43" t="str">
        <f ca="1">IFERROR(AVERAGEIFS(INDIRECT("Tabela1["&amp;$B29&amp;"]"),Tabela1[Data Corrigida],Z$3)/100,"")</f>
        <v/>
      </c>
      <c r="AA29" s="43" t="str">
        <f ca="1">IFERROR(AVERAGEIFS(INDIRECT("Tabela1["&amp;$B29&amp;"]"),Tabela1[Data Corrigida],AA$3)/100,"")</f>
        <v/>
      </c>
      <c r="AB29" s="43" t="str">
        <f ca="1">IFERROR(AVERAGEIFS(INDIRECT("Tabela1["&amp;$B29&amp;"]"),Tabela1[Data Corrigida],AB$3)/100,"")</f>
        <v/>
      </c>
      <c r="AC29" s="43" t="str">
        <f ca="1">IFERROR(AVERAGEIFS(INDIRECT("Tabela1["&amp;$B29&amp;"]"),Tabela1[Data Corrigida],AC$3)/100,"")</f>
        <v/>
      </c>
      <c r="AD29" s="43" t="str">
        <f ca="1">IFERROR(AVERAGEIFS(INDIRECT("Tabela1["&amp;$B29&amp;"]"),Tabela1[Data Corrigida],AD$3)/100,"")</f>
        <v/>
      </c>
      <c r="AE29" s="43" t="str">
        <f ca="1">IFERROR(AVERAGEIFS(INDIRECT("Tabela1["&amp;$B29&amp;"]"),Tabela1[Data Corrigida],AE$3)/100,"")</f>
        <v/>
      </c>
      <c r="AF29" s="43" t="str">
        <f ca="1">IFERROR(AVERAGEIFS(INDIRECT("Tabela1["&amp;$B29&amp;"]"),Tabela1[Data Corrigida],AF$3)/100,"")</f>
        <v/>
      </c>
      <c r="AG29" s="43" t="str">
        <f ca="1">IFERROR(AVERAGEIFS(INDIRECT("Tabela1["&amp;$B29&amp;"]"),Tabela1[Data Corrigida],AG$3)/100,"")</f>
        <v/>
      </c>
      <c r="AH29" s="43" t="str">
        <f ca="1">IFERROR(AVERAGEIFS(INDIRECT("Tabela1["&amp;$B29&amp;"]"),Tabela1[Data Corrigida],AH$3)/100,"")</f>
        <v/>
      </c>
      <c r="AI29" s="43" t="str">
        <f ca="1">IFERROR(AVERAGEIFS(INDIRECT("Tabela1["&amp;$B29&amp;"]"),Tabela1[Data Corrigida],AI$3)/100,"")</f>
        <v/>
      </c>
      <c r="AJ29" s="43" t="str">
        <f ca="1">IFERROR(AVERAGEIFS(INDIRECT("Tabela1["&amp;$B29&amp;"]"),Tabela1[Data Corrigida],AJ$3)/100,"")</f>
        <v/>
      </c>
      <c r="AK29" s="43" t="str">
        <f ca="1">IFERROR(AVERAGEIFS(INDIRECT("Tabela1["&amp;$B29&amp;"]"),Tabela1[Data Corrigida],AK$3)/100,"")</f>
        <v/>
      </c>
      <c r="AL29" s="43" t="str">
        <f ca="1">IFERROR(AVERAGEIFS(INDIRECT("Tabela1["&amp;$B29&amp;"]"),Tabela1[Data Corrigida],AL$3)/100,"")</f>
        <v/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25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61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1.1277139709713382E-2</v>
      </c>
      <c r="N30" s="34">
        <f ca="1">IFERROR(AVERAGEIFS(INDIRECT("Tabela1["&amp;$B30&amp;"]"),Tabela1[Turno],$D30,Tabela1[Mês],N$3)/100,"")</f>
        <v>9.7611182847289965E-3</v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58">
        <v>0.02</v>
      </c>
      <c r="R30" s="33">
        <f ca="1">IFERROR(AVERAGEIFS(INDIRECT("Tabela1["&amp;$B30&amp;"]"),Tabela1[Turno],$D30,Tabela1[Data Corrigida],R$3)/100,"")</f>
        <v>2.0703933747412005E-3</v>
      </c>
      <c r="S30" s="34">
        <f ca="1">IFERROR(AVERAGEIFS(INDIRECT("Tabela1["&amp;$B30&amp;"]"),Tabela1[Turno],$D30,Tabela1[Data Corrigida],S$3)/100,"")</f>
        <v>1.1075233433425197E-2</v>
      </c>
      <c r="T30" s="34">
        <f ca="1">IFERROR(AVERAGEIFS(INDIRECT("Tabela1["&amp;$B30&amp;"]"),Tabela1[Turno],$D30,Tabela1[Data Corrigida],T$3)/100,"")</f>
        <v>1.282051282051282E-2</v>
      </c>
      <c r="U30" s="34">
        <f ca="1">IFERROR(AVERAGEIFS(INDIRECT("Tabela1["&amp;$B30&amp;"]"),Tabela1[Turno],$D30,Tabela1[Data Corrigida],U$3)/100,"")</f>
        <v>1.2671205605988214E-2</v>
      </c>
      <c r="V30" s="34">
        <f ca="1">IFERROR(AVERAGEIFS(INDIRECT("Tabela1["&amp;$B30&amp;"]"),Tabela1[Turno],$D30,Tabela1[Data Corrigida],V$3)/100,"")</f>
        <v>1.0448038860074565E-2</v>
      </c>
      <c r="W30" s="34">
        <f ca="1">IFERROR(AVERAGEIFS(INDIRECT("Tabela1["&amp;$B30&amp;"]"),Tabela1[Turno],$D30,Tabela1[Data Corrigida],W$3)/100,"")</f>
        <v>9.8531902879728968E-3</v>
      </c>
      <c r="X30" s="34" t="str">
        <f ca="1">IFERROR(AVERAGEIFS(INDIRECT("Tabela1["&amp;$B30&amp;"]"),Tabela1[Turno],$D30,Tabela1[Data Corrigida],X$3)/100,"")</f>
        <v/>
      </c>
      <c r="Y30" s="34" t="str">
        <f ca="1">IFERROR(AVERAGEIFS(INDIRECT("Tabela1["&amp;$B30&amp;"]"),Tabela1[Turno],$D30,Tabela1[Data Corrigida],Y$3)/100,"")</f>
        <v/>
      </c>
      <c r="Z30" s="34" t="str">
        <f ca="1">IFERROR(AVERAGEIFS(INDIRECT("Tabela1["&amp;$B30&amp;"]"),Tabela1[Turno],$D30,Tabela1[Data Corrigida],Z$3)/100,"")</f>
        <v/>
      </c>
      <c r="AA30" s="34" t="str">
        <f ca="1">IFERROR(AVERAGEIFS(INDIRECT("Tabela1["&amp;$B30&amp;"]"),Tabela1[Turno],$D30,Tabela1[Data Corrigida],AA$3)/100,"")</f>
        <v/>
      </c>
      <c r="AB30" s="34" t="str">
        <f ca="1">IFERROR(AVERAGEIFS(INDIRECT("Tabela1["&amp;$B30&amp;"]"),Tabela1[Turno],$D30,Tabela1[Data Corrigida],AB$3)/100,"")</f>
        <v/>
      </c>
      <c r="AC30" s="34" t="str">
        <f ca="1">IFERROR(AVERAGEIFS(INDIRECT("Tabela1["&amp;$B30&amp;"]"),Tabela1[Turno],$D30,Tabela1[Data Corrigida],AC$3)/100,"")</f>
        <v/>
      </c>
      <c r="AD30" s="34" t="str">
        <f ca="1">IFERROR(AVERAGEIFS(INDIRECT("Tabela1["&amp;$B30&amp;"]"),Tabela1[Turno],$D30,Tabela1[Data Corrigida],AD$3)/100,"")</f>
        <v/>
      </c>
      <c r="AE30" s="34" t="str">
        <f ca="1">IFERROR(AVERAGEIFS(INDIRECT("Tabela1["&amp;$B30&amp;"]"),Tabela1[Turno],$D30,Tabela1[Data Corrigida],AE$3)/100,"")</f>
        <v/>
      </c>
      <c r="AF30" s="34" t="str">
        <f ca="1">IFERROR(AVERAGEIFS(INDIRECT("Tabela1["&amp;$B30&amp;"]"),Tabela1[Turno],$D30,Tabela1[Data Corrigida],AF$3)/100,"")</f>
        <v/>
      </c>
      <c r="AG30" s="34" t="str">
        <f ca="1">IFERROR(AVERAGEIFS(INDIRECT("Tabela1["&amp;$B30&amp;"]"),Tabela1[Turno],$D30,Tabela1[Data Corrigida],AG$3)/100,"")</f>
        <v/>
      </c>
      <c r="AH30" s="34" t="str">
        <f ca="1">IFERROR(AVERAGEIFS(INDIRECT("Tabela1["&amp;$B30&amp;"]"),Tabela1[Turno],$D30,Tabela1[Data Corrigida],AH$3)/100,"")</f>
        <v/>
      </c>
      <c r="AI30" s="34" t="str">
        <f ca="1">IFERROR(AVERAGEIFS(INDIRECT("Tabela1["&amp;$B30&amp;"]"),Tabela1[Turno],$D30,Tabela1[Data Corrigida],AI$3)/100,"")</f>
        <v/>
      </c>
      <c r="AJ30" s="34" t="str">
        <f ca="1">IFERROR(AVERAGEIFS(INDIRECT("Tabela1["&amp;$B30&amp;"]"),Tabela1[Turno],$D30,Tabela1[Data Corrigida],AJ$3)/100,"")</f>
        <v/>
      </c>
      <c r="AK30" s="34" t="str">
        <f ca="1">IFERROR(AVERAGEIFS(INDIRECT("Tabela1["&amp;$B30&amp;"]"),Tabela1[Turno],$D30,Tabela1[Data Corrigida],AK$3)/100,"")</f>
        <v/>
      </c>
      <c r="AL30" s="34" t="str">
        <f ca="1">IFERROR(AVERAGEIFS(INDIRECT("Tabela1["&amp;$B30&amp;"]"),Tabela1[Turno],$D30,Tabela1[Data Corrigida],AL$3)/100,"")</f>
        <v/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25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62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8.4333465756653361E-3</v>
      </c>
      <c r="N31" s="36">
        <f ca="1">IFERROR(AVERAGEIFS(INDIRECT("Tabela1["&amp;$B31&amp;"]"),Tabela1[Turno],$D31,Tabela1[Mês],N$3)/100,"")</f>
        <v>1.0811545493196866E-2</v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59"/>
      <c r="R31" s="35">
        <f ca="1">IFERROR(AVERAGEIFS(INDIRECT("Tabela1["&amp;$B31&amp;"]"),Tabela1[Turno],$D31,Tabela1[Data Corrigida],R$3)/100,"")</f>
        <v>1.4294964294964296E-2</v>
      </c>
      <c r="S31" s="36">
        <f ca="1">IFERROR(AVERAGEIFS(INDIRECT("Tabela1["&amp;$B31&amp;"]"),Tabela1[Turno],$D31,Tabela1[Data Corrigida],S$3)/100,"")</f>
        <v>2.8735632183908046E-3</v>
      </c>
      <c r="T31" s="36">
        <f ca="1">IFERROR(AVERAGEIFS(INDIRECT("Tabela1["&amp;$B31&amp;"]"),Tabela1[Turno],$D31,Tabela1[Data Corrigida],T$3)/100,"")</f>
        <v>1.8304430737259268E-2</v>
      </c>
      <c r="U31" s="36">
        <f ca="1">IFERROR(AVERAGEIFS(INDIRECT("Tabela1["&amp;$B31&amp;"]"),Tabela1[Turno],$D31,Tabela1[Data Corrigida],U$3)/100,"")</f>
        <v>9.8094865270437794E-3</v>
      </c>
      <c r="V31" s="36">
        <f ca="1">IFERROR(AVERAGEIFS(INDIRECT("Tabela1["&amp;$B31&amp;"]"),Tabela1[Turno],$D31,Tabela1[Data Corrigida],V$3)/100,"")</f>
        <v>8.7752826883261657E-3</v>
      </c>
      <c r="W31" s="36" t="str">
        <f ca="1">IFERROR(AVERAGEIFS(INDIRECT("Tabela1["&amp;$B31&amp;"]"),Tabela1[Turno],$D31,Tabela1[Data Corrigida],W$3)/100,"")</f>
        <v/>
      </c>
      <c r="X31" s="36" t="str">
        <f ca="1">IFERROR(AVERAGEIFS(INDIRECT("Tabela1["&amp;$B31&amp;"]"),Tabela1[Turno],$D31,Tabela1[Data Corrigida],X$3)/100,"")</f>
        <v/>
      </c>
      <c r="Y31" s="36" t="str">
        <f ca="1">IFERROR(AVERAGEIFS(INDIRECT("Tabela1["&amp;$B31&amp;"]"),Tabela1[Turno],$D31,Tabela1[Data Corrigida],Y$3)/100,"")</f>
        <v/>
      </c>
      <c r="Z31" s="36" t="str">
        <f ca="1">IFERROR(AVERAGEIFS(INDIRECT("Tabela1["&amp;$B31&amp;"]"),Tabela1[Turno],$D31,Tabela1[Data Corrigida],Z$3)/100,"")</f>
        <v/>
      </c>
      <c r="AA31" s="36" t="str">
        <f ca="1">IFERROR(AVERAGEIFS(INDIRECT("Tabela1["&amp;$B31&amp;"]"),Tabela1[Turno],$D31,Tabela1[Data Corrigida],AA$3)/100,"")</f>
        <v/>
      </c>
      <c r="AB31" s="36" t="str">
        <f ca="1">IFERROR(AVERAGEIFS(INDIRECT("Tabela1["&amp;$B31&amp;"]"),Tabela1[Turno],$D31,Tabela1[Data Corrigida],AB$3)/100,"")</f>
        <v/>
      </c>
      <c r="AC31" s="36" t="str">
        <f ca="1">IFERROR(AVERAGEIFS(INDIRECT("Tabela1["&amp;$B31&amp;"]"),Tabela1[Turno],$D31,Tabela1[Data Corrigida],AC$3)/100,"")</f>
        <v/>
      </c>
      <c r="AD31" s="36" t="str">
        <f ca="1">IFERROR(AVERAGEIFS(INDIRECT("Tabela1["&amp;$B31&amp;"]"),Tabela1[Turno],$D31,Tabela1[Data Corrigida],AD$3)/100,"")</f>
        <v/>
      </c>
      <c r="AE31" s="36" t="str">
        <f ca="1">IFERROR(AVERAGEIFS(INDIRECT("Tabela1["&amp;$B31&amp;"]"),Tabela1[Turno],$D31,Tabela1[Data Corrigida],AE$3)/100,"")</f>
        <v/>
      </c>
      <c r="AF31" s="36" t="str">
        <f ca="1">IFERROR(AVERAGEIFS(INDIRECT("Tabela1["&amp;$B31&amp;"]"),Tabela1[Turno],$D31,Tabela1[Data Corrigida],AF$3)/100,"")</f>
        <v/>
      </c>
      <c r="AG31" s="36" t="str">
        <f ca="1">IFERROR(AVERAGEIFS(INDIRECT("Tabela1["&amp;$B31&amp;"]"),Tabela1[Turno],$D31,Tabela1[Data Corrigida],AG$3)/100,"")</f>
        <v/>
      </c>
      <c r="AH31" s="36" t="str">
        <f ca="1">IFERROR(AVERAGEIFS(INDIRECT("Tabela1["&amp;$B31&amp;"]"),Tabela1[Turno],$D31,Tabela1[Data Corrigida],AH$3)/100,"")</f>
        <v/>
      </c>
      <c r="AI31" s="36" t="str">
        <f ca="1">IFERROR(AVERAGEIFS(INDIRECT("Tabela1["&amp;$B31&amp;"]"),Tabela1[Turno],$D31,Tabela1[Data Corrigida],AI$3)/100,"")</f>
        <v/>
      </c>
      <c r="AJ31" s="36" t="str">
        <f ca="1">IFERROR(AVERAGEIFS(INDIRECT("Tabela1["&amp;$B31&amp;"]"),Tabela1[Turno],$D31,Tabela1[Data Corrigida],AJ$3)/100,"")</f>
        <v/>
      </c>
      <c r="AK31" s="36" t="str">
        <f ca="1">IFERROR(AVERAGEIFS(INDIRECT("Tabela1["&amp;$B31&amp;"]"),Tabela1[Turno],$D31,Tabela1[Data Corrigida],AK$3)/100,"")</f>
        <v/>
      </c>
      <c r="AL31" s="36" t="str">
        <f ca="1">IFERROR(AVERAGEIFS(INDIRECT("Tabela1["&amp;$B31&amp;"]"),Tabela1[Turno],$D31,Tabela1[Data Corrigida],AL$3)/100,"")</f>
        <v/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3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1.0050023494336481E-2</v>
      </c>
      <c r="N32" s="45">
        <f ca="1">IFERROR(AVERAGEIFS(INDIRECT("Tabela1["&amp;$B32&amp;"]"),Tabela1[Mês],N$3)/100,"")</f>
        <v>1.0211301374072369E-2</v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0"/>
      <c r="R32" s="37">
        <f ca="1">IFERROR(AVERAGEIFS(INDIRECT("Tabela1["&amp;$B32&amp;"]"),Tabela1[Data Corrigida],R$3)/100,"")</f>
        <v>8.1826788348527482E-3</v>
      </c>
      <c r="S32" s="38">
        <f ca="1">IFERROR(AVERAGEIFS(INDIRECT("Tabela1["&amp;$B32&amp;"]"),Tabela1[Data Corrigida],S$3)/100,"")</f>
        <v>7.5602319126961718E-3</v>
      </c>
      <c r="T32" s="38">
        <f ca="1">IFERROR(AVERAGEIFS(INDIRECT("Tabela1["&amp;$B32&amp;"]"),Tabela1[Data Corrigida],T$3)/100,"")</f>
        <v>1.6933451258072656E-2</v>
      </c>
      <c r="U32" s="38">
        <f ca="1">IFERROR(AVERAGEIFS(INDIRECT("Tabela1["&amp;$B32&amp;"]"),Tabela1[Data Corrigida],U$3)/100,"")</f>
        <v>1.1444754572154886E-2</v>
      </c>
      <c r="V32" s="38">
        <f ca="1">IFERROR(AVERAGEIFS(INDIRECT("Tabela1["&amp;$B32&amp;"]"),Tabela1[Data Corrigida],V$3)/100,"")</f>
        <v>9.7311433578966804E-3</v>
      </c>
      <c r="W32" s="38">
        <f ca="1">IFERROR(AVERAGEIFS(INDIRECT("Tabela1["&amp;$B32&amp;"]"),Tabela1[Data Corrigida],W$3)/100,"")</f>
        <v>9.8531902879728968E-3</v>
      </c>
      <c r="X32" s="38" t="str">
        <f ca="1">IFERROR(AVERAGEIFS(INDIRECT("Tabela1["&amp;$B32&amp;"]"),Tabela1[Data Corrigida],X$3)/100,"")</f>
        <v/>
      </c>
      <c r="Y32" s="38" t="str">
        <f ca="1">IFERROR(AVERAGEIFS(INDIRECT("Tabela1["&amp;$B32&amp;"]"),Tabela1[Data Corrigida],Y$3)/100,"")</f>
        <v/>
      </c>
      <c r="Z32" s="38" t="str">
        <f ca="1">IFERROR(AVERAGEIFS(INDIRECT("Tabela1["&amp;$B32&amp;"]"),Tabela1[Data Corrigida],Z$3)/100,"")</f>
        <v/>
      </c>
      <c r="AA32" s="38" t="str">
        <f ca="1">IFERROR(AVERAGEIFS(INDIRECT("Tabela1["&amp;$B32&amp;"]"),Tabela1[Data Corrigida],AA$3)/100,"")</f>
        <v/>
      </c>
      <c r="AB32" s="38" t="str">
        <f ca="1">IFERROR(AVERAGEIFS(INDIRECT("Tabela1["&amp;$B32&amp;"]"),Tabela1[Data Corrigida],AB$3)/100,"")</f>
        <v/>
      </c>
      <c r="AC32" s="38" t="str">
        <f ca="1">IFERROR(AVERAGEIFS(INDIRECT("Tabela1["&amp;$B32&amp;"]"),Tabela1[Data Corrigida],AC$3)/100,"")</f>
        <v/>
      </c>
      <c r="AD32" s="38" t="str">
        <f ca="1">IFERROR(AVERAGEIFS(INDIRECT("Tabela1["&amp;$B32&amp;"]"),Tabela1[Data Corrigida],AD$3)/100,"")</f>
        <v/>
      </c>
      <c r="AE32" s="38" t="str">
        <f ca="1">IFERROR(AVERAGEIFS(INDIRECT("Tabela1["&amp;$B32&amp;"]"),Tabela1[Data Corrigida],AE$3)/100,"")</f>
        <v/>
      </c>
      <c r="AF32" s="38" t="str">
        <f ca="1">IFERROR(AVERAGEIFS(INDIRECT("Tabela1["&amp;$B32&amp;"]"),Tabela1[Data Corrigida],AF$3)/100,"")</f>
        <v/>
      </c>
      <c r="AG32" s="38" t="str">
        <f ca="1">IFERROR(AVERAGEIFS(INDIRECT("Tabela1["&amp;$B32&amp;"]"),Tabela1[Data Corrigida],AG$3)/100,"")</f>
        <v/>
      </c>
      <c r="AH32" s="38" t="str">
        <f ca="1">IFERROR(AVERAGEIFS(INDIRECT("Tabela1["&amp;$B32&amp;"]"),Tabela1[Data Corrigida],AH$3)/100,"")</f>
        <v/>
      </c>
      <c r="AI32" s="38" t="str">
        <f ca="1">IFERROR(AVERAGEIFS(INDIRECT("Tabela1["&amp;$B32&amp;"]"),Tabela1[Data Corrigida],AI$3)/100,"")</f>
        <v/>
      </c>
      <c r="AJ32" s="38" t="str">
        <f ca="1">IFERROR(AVERAGEIFS(INDIRECT("Tabela1["&amp;$B32&amp;"]"),Tabela1[Data Corrigida],AJ$3)/100,"")</f>
        <v/>
      </c>
      <c r="AK32" s="38" t="str">
        <f ca="1">IFERROR(AVERAGEIFS(INDIRECT("Tabela1["&amp;$B32&amp;"]"),Tabela1[Data Corrigida],AK$3)/100,"")</f>
        <v/>
      </c>
      <c r="AL32" s="38" t="str">
        <f ca="1">IFERROR(AVERAGEIFS(INDIRECT("Tabela1["&amp;$B32&amp;"]"),Tabela1[Data Corrigida],AL$3)/100,"")</f>
        <v/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25">
      <c r="A33" s="50" t="str">
        <f>VLOOKUP(Tabela2[[#This Row],[Item 1]],Apoio!$A$2:$B$41,2,0)</f>
        <v>Eviscer</v>
      </c>
      <c r="B33" s="9" t="str">
        <f t="shared" si="2"/>
        <v>% Corte no Reto</v>
      </c>
      <c r="C33" s="61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4.0589337497278243E-2</v>
      </c>
      <c r="N33" s="34">
        <f ca="1">IFERROR(AVERAGEIFS(INDIRECT("Tabela1["&amp;$B33&amp;"]"),Tabela1[Turno],$D33,Tabela1[Mês],N$3)/100,"")</f>
        <v>4.6803157993565624E-2</v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58">
        <v>0.02</v>
      </c>
      <c r="R33" s="39">
        <f ca="1">IFERROR(AVERAGEIFS(INDIRECT("Tabela1["&amp;$B33&amp;"]"),Tabela1[Turno],$D33,Tabela1[Data Corrigida],R$3)/100,"")</f>
        <v>3.5714285714285712E-2</v>
      </c>
      <c r="S33" s="40">
        <f ca="1">IFERROR(AVERAGEIFS(INDIRECT("Tabela1["&amp;$B33&amp;"]"),Tabela1[Turno],$D33,Tabela1[Data Corrigida],S$3)/100,"")</f>
        <v>5.5170498951092099E-2</v>
      </c>
      <c r="T33" s="40">
        <f ca="1">IFERROR(AVERAGEIFS(INDIRECT("Tabela1["&amp;$B33&amp;"]"),Tabela1[Turno],$D33,Tabela1[Data Corrigida],T$3)/100,"")</f>
        <v>3.2051282051282048E-2</v>
      </c>
      <c r="U33" s="40">
        <f ca="1">IFERROR(AVERAGEIFS(INDIRECT("Tabela1["&amp;$B33&amp;"]"),Tabela1[Turno],$D33,Tabela1[Data Corrigida],U$3)/100,"")</f>
        <v>4.5777591973244151E-2</v>
      </c>
      <c r="V33" s="40">
        <f ca="1">IFERROR(AVERAGEIFS(INDIRECT("Tabela1["&amp;$B33&amp;"]"),Tabela1[Turno],$D33,Tabela1[Data Corrigida],V$3)/100,"")</f>
        <v>4.5514843636064485E-2</v>
      </c>
      <c r="W33" s="40">
        <f ca="1">IFERROR(AVERAGEIFS(INDIRECT("Tabela1["&amp;$B33&amp;"]"),Tabela1[Turno],$D33,Tabela1[Data Corrigida],W$3)/100,"")</f>
        <v>5.5526538678712586E-2</v>
      </c>
      <c r="X33" s="40" t="str">
        <f ca="1">IFERROR(AVERAGEIFS(INDIRECT("Tabela1["&amp;$B33&amp;"]"),Tabela1[Turno],$D33,Tabela1[Data Corrigida],X$3)/100,"")</f>
        <v/>
      </c>
      <c r="Y33" s="40" t="str">
        <f ca="1">IFERROR(AVERAGEIFS(INDIRECT("Tabela1["&amp;$B33&amp;"]"),Tabela1[Turno],$D33,Tabela1[Data Corrigida],Y$3)/100,"")</f>
        <v/>
      </c>
      <c r="Z33" s="40" t="str">
        <f ca="1">IFERROR(AVERAGEIFS(INDIRECT("Tabela1["&amp;$B33&amp;"]"),Tabela1[Turno],$D33,Tabela1[Data Corrigida],Z$3)/100,"")</f>
        <v/>
      </c>
      <c r="AA33" s="40" t="str">
        <f ca="1">IFERROR(AVERAGEIFS(INDIRECT("Tabela1["&amp;$B33&amp;"]"),Tabela1[Turno],$D33,Tabela1[Data Corrigida],AA$3)/100,"")</f>
        <v/>
      </c>
      <c r="AB33" s="40" t="str">
        <f ca="1">IFERROR(AVERAGEIFS(INDIRECT("Tabela1["&amp;$B33&amp;"]"),Tabela1[Turno],$D33,Tabela1[Data Corrigida],AB$3)/100,"")</f>
        <v/>
      </c>
      <c r="AC33" s="40" t="str">
        <f ca="1">IFERROR(AVERAGEIFS(INDIRECT("Tabela1["&amp;$B33&amp;"]"),Tabela1[Turno],$D33,Tabela1[Data Corrigida],AC$3)/100,"")</f>
        <v/>
      </c>
      <c r="AD33" s="40" t="str">
        <f ca="1">IFERROR(AVERAGEIFS(INDIRECT("Tabela1["&amp;$B33&amp;"]"),Tabela1[Turno],$D33,Tabela1[Data Corrigida],AD$3)/100,"")</f>
        <v/>
      </c>
      <c r="AE33" s="40" t="str">
        <f ca="1">IFERROR(AVERAGEIFS(INDIRECT("Tabela1["&amp;$B33&amp;"]"),Tabela1[Turno],$D33,Tabela1[Data Corrigida],AE$3)/100,"")</f>
        <v/>
      </c>
      <c r="AF33" s="40" t="str">
        <f ca="1">IFERROR(AVERAGEIFS(INDIRECT("Tabela1["&amp;$B33&amp;"]"),Tabela1[Turno],$D33,Tabela1[Data Corrigida],AF$3)/100,"")</f>
        <v/>
      </c>
      <c r="AG33" s="40" t="str">
        <f ca="1">IFERROR(AVERAGEIFS(INDIRECT("Tabela1["&amp;$B33&amp;"]"),Tabela1[Turno],$D33,Tabela1[Data Corrigida],AG$3)/100,"")</f>
        <v/>
      </c>
      <c r="AH33" s="40" t="str">
        <f ca="1">IFERROR(AVERAGEIFS(INDIRECT("Tabela1["&amp;$B33&amp;"]"),Tabela1[Turno],$D33,Tabela1[Data Corrigida],AH$3)/100,"")</f>
        <v/>
      </c>
      <c r="AI33" s="40" t="str">
        <f ca="1">IFERROR(AVERAGEIFS(INDIRECT("Tabela1["&amp;$B33&amp;"]"),Tabela1[Turno],$D33,Tabela1[Data Corrigida],AI$3)/100,"")</f>
        <v/>
      </c>
      <c r="AJ33" s="40" t="str">
        <f ca="1">IFERROR(AVERAGEIFS(INDIRECT("Tabela1["&amp;$B33&amp;"]"),Tabela1[Turno],$D33,Tabela1[Data Corrigida],AJ$3)/100,"")</f>
        <v/>
      </c>
      <c r="AK33" s="40" t="str">
        <f ca="1">IFERROR(AVERAGEIFS(INDIRECT("Tabela1["&amp;$B33&amp;"]"),Tabela1[Turno],$D33,Tabela1[Data Corrigida],AK$3)/100,"")</f>
        <v/>
      </c>
      <c r="AL33" s="40" t="str">
        <f ca="1">IFERROR(AVERAGEIFS(INDIRECT("Tabela1["&amp;$B33&amp;"]"),Tabela1[Turno],$D33,Tabela1[Data Corrigida],AL$3)/100,"")</f>
        <v/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25">
      <c r="A34" s="50" t="str">
        <f>VLOOKUP(Tabela2[[#This Row],[Item 1]],Apoio!$A$2:$B$41,2,0)</f>
        <v>Eviscer</v>
      </c>
      <c r="B34" s="9" t="str">
        <f t="shared" si="2"/>
        <v>% Corte no Reto</v>
      </c>
      <c r="C34" s="62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1.5577655859850255E-2</v>
      </c>
      <c r="N34" s="36">
        <f ca="1">IFERROR(AVERAGEIFS(INDIRECT("Tabela1["&amp;$B34&amp;"]"),Tabela1[Turno],$D34,Tabela1[Mês],N$3)/100,"")</f>
        <v>1.2456824550952888E-2</v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59"/>
      <c r="R34" s="35">
        <f ca="1">IFERROR(AVERAGEIFS(INDIRECT("Tabela1["&amp;$B34&amp;"]"),Tabela1[Turno],$D34,Tabela1[Data Corrigida],R$3)/100,"")</f>
        <v>1.2402412402412404E-2</v>
      </c>
      <c r="S34" s="36">
        <f ca="1">IFERROR(AVERAGEIFS(INDIRECT("Tabela1["&amp;$B34&amp;"]"),Tabela1[Turno],$D34,Tabela1[Data Corrigida],S$3)/100,"")</f>
        <v>1.2024665323016145E-2</v>
      </c>
      <c r="T34" s="36">
        <f ca="1">IFERROR(AVERAGEIFS(INDIRECT("Tabela1["&amp;$B34&amp;"]"),Tabela1[Turno],$D34,Tabela1[Data Corrigida],T$3)/100,"")</f>
        <v>1.6300396124529003E-2</v>
      </c>
      <c r="U34" s="36">
        <f ca="1">IFERROR(AVERAGEIFS(INDIRECT("Tabela1["&amp;$B34&amp;"]"),Tabela1[Turno],$D34,Tabela1[Data Corrigida],U$3)/100,"")</f>
        <v>1.2781366216480721E-2</v>
      </c>
      <c r="V34" s="36">
        <f ca="1">IFERROR(AVERAGEIFS(INDIRECT("Tabela1["&amp;$B34&amp;"]"),Tabela1[Turno],$D34,Tabela1[Data Corrigida],V$3)/100,"")</f>
        <v>8.7752826883261657E-3</v>
      </c>
      <c r="W34" s="36" t="str">
        <f ca="1">IFERROR(AVERAGEIFS(INDIRECT("Tabela1["&amp;$B34&amp;"]"),Tabela1[Turno],$D34,Tabela1[Data Corrigida],W$3)/100,"")</f>
        <v/>
      </c>
      <c r="X34" s="36" t="str">
        <f ca="1">IFERROR(AVERAGEIFS(INDIRECT("Tabela1["&amp;$B34&amp;"]"),Tabela1[Turno],$D34,Tabela1[Data Corrigida],X$3)/100,"")</f>
        <v/>
      </c>
      <c r="Y34" s="36" t="str">
        <f ca="1">IFERROR(AVERAGEIFS(INDIRECT("Tabela1["&amp;$B34&amp;"]"),Tabela1[Turno],$D34,Tabela1[Data Corrigida],Y$3)/100,"")</f>
        <v/>
      </c>
      <c r="Z34" s="36" t="str">
        <f ca="1">IFERROR(AVERAGEIFS(INDIRECT("Tabela1["&amp;$B34&amp;"]"),Tabela1[Turno],$D34,Tabela1[Data Corrigida],Z$3)/100,"")</f>
        <v/>
      </c>
      <c r="AA34" s="36" t="str">
        <f ca="1">IFERROR(AVERAGEIFS(INDIRECT("Tabela1["&amp;$B34&amp;"]"),Tabela1[Turno],$D34,Tabela1[Data Corrigida],AA$3)/100,"")</f>
        <v/>
      </c>
      <c r="AB34" s="36" t="str">
        <f ca="1">IFERROR(AVERAGEIFS(INDIRECT("Tabela1["&amp;$B34&amp;"]"),Tabela1[Turno],$D34,Tabela1[Data Corrigida],AB$3)/100,"")</f>
        <v/>
      </c>
      <c r="AC34" s="36" t="str">
        <f ca="1">IFERROR(AVERAGEIFS(INDIRECT("Tabela1["&amp;$B34&amp;"]"),Tabela1[Turno],$D34,Tabela1[Data Corrigida],AC$3)/100,"")</f>
        <v/>
      </c>
      <c r="AD34" s="36" t="str">
        <f ca="1">IFERROR(AVERAGEIFS(INDIRECT("Tabela1["&amp;$B34&amp;"]"),Tabela1[Turno],$D34,Tabela1[Data Corrigida],AD$3)/100,"")</f>
        <v/>
      </c>
      <c r="AE34" s="36" t="str">
        <f ca="1">IFERROR(AVERAGEIFS(INDIRECT("Tabela1["&amp;$B34&amp;"]"),Tabela1[Turno],$D34,Tabela1[Data Corrigida],AE$3)/100,"")</f>
        <v/>
      </c>
      <c r="AF34" s="36" t="str">
        <f ca="1">IFERROR(AVERAGEIFS(INDIRECT("Tabela1["&amp;$B34&amp;"]"),Tabela1[Turno],$D34,Tabela1[Data Corrigida],AF$3)/100,"")</f>
        <v/>
      </c>
      <c r="AG34" s="36" t="str">
        <f ca="1">IFERROR(AVERAGEIFS(INDIRECT("Tabela1["&amp;$B34&amp;"]"),Tabela1[Turno],$D34,Tabela1[Data Corrigida],AG$3)/100,"")</f>
        <v/>
      </c>
      <c r="AH34" s="36" t="str">
        <f ca="1">IFERROR(AVERAGEIFS(INDIRECT("Tabela1["&amp;$B34&amp;"]"),Tabela1[Turno],$D34,Tabela1[Data Corrigida],AH$3)/100,"")</f>
        <v/>
      </c>
      <c r="AI34" s="36" t="str">
        <f ca="1">IFERROR(AVERAGEIFS(INDIRECT("Tabela1["&amp;$B34&amp;"]"),Tabela1[Turno],$D34,Tabela1[Data Corrigida],AI$3)/100,"")</f>
        <v/>
      </c>
      <c r="AJ34" s="36" t="str">
        <f ca="1">IFERROR(AVERAGEIFS(INDIRECT("Tabela1["&amp;$B34&amp;"]"),Tabela1[Turno],$D34,Tabela1[Data Corrigida],AJ$3)/100,"")</f>
        <v/>
      </c>
      <c r="AK34" s="36" t="str">
        <f ca="1">IFERROR(AVERAGEIFS(INDIRECT("Tabela1["&amp;$B34&amp;"]"),Tabela1[Turno],$D34,Tabela1[Data Corrigida],AK$3)/100,"")</f>
        <v/>
      </c>
      <c r="AL34" s="36" t="str">
        <f ca="1">IFERROR(AVERAGEIFS(INDIRECT("Tabela1["&amp;$B34&amp;"]"),Tabela1[Turno],$D34,Tabela1[Data Corrigida],AL$3)/100,"")</f>
        <v/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">
      <c r="A35" s="50" t="str">
        <f>VLOOKUP(Tabela2[[#This Row],[Item 1]],Apoio!$A$2:$B$41,2,0)</f>
        <v>Eviscer</v>
      </c>
      <c r="B35" s="9" t="str">
        <f t="shared" si="2"/>
        <v>% Corte no Reto</v>
      </c>
      <c r="C35" s="63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2.9796625557840142E-2</v>
      </c>
      <c r="N35" s="45">
        <f ca="1">IFERROR(AVERAGEIFS(INDIRECT("Tabela1["&amp;$B35&amp;"]"),Tabela1[Mês],N$3)/100,"")</f>
        <v>3.2492185725810321E-2</v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0"/>
      <c r="R35" s="42">
        <f ca="1">IFERROR(AVERAGEIFS(INDIRECT("Tabela1["&amp;$B35&amp;"]"),Tabela1[Data Corrigida],R$3)/100,"")</f>
        <v>2.5723482866340009E-2</v>
      </c>
      <c r="S35" s="43">
        <f ca="1">IFERROR(AVERAGEIFS(INDIRECT("Tabela1["&amp;$B35&amp;"]"),Tabela1[Data Corrigida],S$3)/100,"")</f>
        <v>3.6679427396202405E-2</v>
      </c>
      <c r="T35" s="43">
        <f ca="1">IFERROR(AVERAGEIFS(INDIRECT("Tabela1["&amp;$B35&amp;"]"),Tabela1[Data Corrigida],T$3)/100,"")</f>
        <v>2.0238117606217264E-2</v>
      </c>
      <c r="U35" s="43">
        <f ca="1">IFERROR(AVERAGEIFS(INDIRECT("Tabela1["&amp;$B35&amp;"]"),Tabela1[Data Corrigida],U$3)/100,"")</f>
        <v>3.1636352363202683E-2</v>
      </c>
      <c r="V35" s="43">
        <f ca="1">IFERROR(AVERAGEIFS(INDIRECT("Tabela1["&amp;$B35&amp;"]"),Tabela1[Data Corrigida],V$3)/100,"")</f>
        <v>2.9769317515605208E-2</v>
      </c>
      <c r="W35" s="43">
        <f ca="1">IFERROR(AVERAGEIFS(INDIRECT("Tabela1["&amp;$B35&amp;"]"),Tabela1[Data Corrigida],W$3)/100,"")</f>
        <v>5.5526538678712586E-2</v>
      </c>
      <c r="X35" s="43" t="str">
        <f ca="1">IFERROR(AVERAGEIFS(INDIRECT("Tabela1["&amp;$B35&amp;"]"),Tabela1[Data Corrigida],X$3)/100,"")</f>
        <v/>
      </c>
      <c r="Y35" s="43" t="str">
        <f ca="1">IFERROR(AVERAGEIFS(INDIRECT("Tabela1["&amp;$B35&amp;"]"),Tabela1[Data Corrigida],Y$3)/100,"")</f>
        <v/>
      </c>
      <c r="Z35" s="43" t="str">
        <f ca="1">IFERROR(AVERAGEIFS(INDIRECT("Tabela1["&amp;$B35&amp;"]"),Tabela1[Data Corrigida],Z$3)/100,"")</f>
        <v/>
      </c>
      <c r="AA35" s="43" t="str">
        <f ca="1">IFERROR(AVERAGEIFS(INDIRECT("Tabela1["&amp;$B35&amp;"]"),Tabela1[Data Corrigida],AA$3)/100,"")</f>
        <v/>
      </c>
      <c r="AB35" s="43" t="str">
        <f ca="1">IFERROR(AVERAGEIFS(INDIRECT("Tabela1["&amp;$B35&amp;"]"),Tabela1[Data Corrigida],AB$3)/100,"")</f>
        <v/>
      </c>
      <c r="AC35" s="43" t="str">
        <f ca="1">IFERROR(AVERAGEIFS(INDIRECT("Tabela1["&amp;$B35&amp;"]"),Tabela1[Data Corrigida],AC$3)/100,"")</f>
        <v/>
      </c>
      <c r="AD35" s="43" t="str">
        <f ca="1">IFERROR(AVERAGEIFS(INDIRECT("Tabela1["&amp;$B35&amp;"]"),Tabela1[Data Corrigida],AD$3)/100,"")</f>
        <v/>
      </c>
      <c r="AE35" s="43" t="str">
        <f ca="1">IFERROR(AVERAGEIFS(INDIRECT("Tabela1["&amp;$B35&amp;"]"),Tabela1[Data Corrigida],AE$3)/100,"")</f>
        <v/>
      </c>
      <c r="AF35" s="43" t="str">
        <f ca="1">IFERROR(AVERAGEIFS(INDIRECT("Tabela1["&amp;$B35&amp;"]"),Tabela1[Data Corrigida],AF$3)/100,"")</f>
        <v/>
      </c>
      <c r="AG35" s="43" t="str">
        <f ca="1">IFERROR(AVERAGEIFS(INDIRECT("Tabela1["&amp;$B35&amp;"]"),Tabela1[Data Corrigida],AG$3)/100,"")</f>
        <v/>
      </c>
      <c r="AH35" s="43" t="str">
        <f ca="1">IFERROR(AVERAGEIFS(INDIRECT("Tabela1["&amp;$B35&amp;"]"),Tabela1[Data Corrigida],AH$3)/100,"")</f>
        <v/>
      </c>
      <c r="AI35" s="43" t="str">
        <f ca="1">IFERROR(AVERAGEIFS(INDIRECT("Tabela1["&amp;$B35&amp;"]"),Tabela1[Data Corrigida],AI$3)/100,"")</f>
        <v/>
      </c>
      <c r="AJ35" s="43" t="str">
        <f ca="1">IFERROR(AVERAGEIFS(INDIRECT("Tabela1["&amp;$B35&amp;"]"),Tabela1[Data Corrigida],AJ$3)/100,"")</f>
        <v/>
      </c>
      <c r="AK35" s="43" t="str">
        <f ca="1">IFERROR(AVERAGEIFS(INDIRECT("Tabela1["&amp;$B35&amp;"]"),Tabela1[Data Corrigida],AK$3)/100,"")</f>
        <v/>
      </c>
      <c r="AL35" s="43" t="str">
        <f ca="1">IFERROR(AVERAGEIFS(INDIRECT("Tabela1["&amp;$B35&amp;"]"),Tabela1[Data Corrigida],AL$3)/100,"")</f>
        <v/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25">
      <c r="A36" s="50" t="str">
        <f>VLOOKUP(Tabela2[[#This Row],[Item 1]],Apoio!$A$2:$B$41,2,0)</f>
        <v>Eviscer</v>
      </c>
      <c r="B36" s="9" t="str">
        <f t="shared" si="2"/>
        <v>% Abdome mal abertos</v>
      </c>
      <c r="C36" s="61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2.6255454648916543E-2</v>
      </c>
      <c r="N36" s="34">
        <f ca="1">IFERROR(AVERAGEIFS(INDIRECT("Tabela1["&amp;$B36&amp;"]"),Tabela1[Turno],$D36,Tabela1[Mês],N$3)/100,"")</f>
        <v>1.872125607471747E-2</v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58">
        <v>0.02</v>
      </c>
      <c r="R36" s="33">
        <f ca="1">IFERROR(AVERAGEIFS(INDIRECT("Tabela1["&amp;$B36&amp;"]"),Tabela1[Turno],$D36,Tabela1[Data Corrigida],R$3)/100,"")</f>
        <v>1.7080745341614908E-2</v>
      </c>
      <c r="S36" s="34">
        <f ca="1">IFERROR(AVERAGEIFS(INDIRECT("Tabela1["&amp;$B36&amp;"]"),Tabela1[Turno],$D36,Tabela1[Data Corrigida],S$3)/100,"")</f>
        <v>1.4180823495536999E-2</v>
      </c>
      <c r="T36" s="34">
        <f ca="1">IFERROR(AVERAGEIFS(INDIRECT("Tabela1["&amp;$B36&amp;"]"),Tabela1[Turno],$D36,Tabela1[Data Corrigida],T$3)/100,"")</f>
        <v>1.9230769230769232E-2</v>
      </c>
      <c r="U36" s="34">
        <f ca="1">IFERROR(AVERAGEIFS(INDIRECT("Tabela1["&amp;$B36&amp;"]"),Tabela1[Turno],$D36,Tabela1[Data Corrigida],U$3)/100,"")</f>
        <v>1.7329590699155916E-2</v>
      </c>
      <c r="V36" s="34">
        <f ca="1">IFERROR(AVERAGEIFS(INDIRECT("Tabela1["&amp;$B36&amp;"]"),Tabela1[Turno],$D36,Tabela1[Data Corrigida],V$3)/100,"")</f>
        <v>3.0305585574805272E-2</v>
      </c>
      <c r="W36" s="34">
        <f ca="1">IFERROR(AVERAGEIFS(INDIRECT("Tabela1["&amp;$B36&amp;"]"),Tabela1[Turno],$D36,Tabela1[Data Corrigida],W$3)/100,"")</f>
        <v>1.4582156973461323E-2</v>
      </c>
      <c r="X36" s="34" t="str">
        <f ca="1">IFERROR(AVERAGEIFS(INDIRECT("Tabela1["&amp;$B36&amp;"]"),Tabela1[Turno],$D36,Tabela1[Data Corrigida],X$3)/100,"")</f>
        <v/>
      </c>
      <c r="Y36" s="34" t="str">
        <f ca="1">IFERROR(AVERAGEIFS(INDIRECT("Tabela1["&amp;$B36&amp;"]"),Tabela1[Turno],$D36,Tabela1[Data Corrigida],Y$3)/100,"")</f>
        <v/>
      </c>
      <c r="Z36" s="34" t="str">
        <f ca="1">IFERROR(AVERAGEIFS(INDIRECT("Tabela1["&amp;$B36&amp;"]"),Tabela1[Turno],$D36,Tabela1[Data Corrigida],Z$3)/100,"")</f>
        <v/>
      </c>
      <c r="AA36" s="34" t="str">
        <f ca="1">IFERROR(AVERAGEIFS(INDIRECT("Tabela1["&amp;$B36&amp;"]"),Tabela1[Turno],$D36,Tabela1[Data Corrigida],AA$3)/100,"")</f>
        <v/>
      </c>
      <c r="AB36" s="34" t="str">
        <f ca="1">IFERROR(AVERAGEIFS(INDIRECT("Tabela1["&amp;$B36&amp;"]"),Tabela1[Turno],$D36,Tabela1[Data Corrigida],AB$3)/100,"")</f>
        <v/>
      </c>
      <c r="AC36" s="34" t="str">
        <f ca="1">IFERROR(AVERAGEIFS(INDIRECT("Tabela1["&amp;$B36&amp;"]"),Tabela1[Turno],$D36,Tabela1[Data Corrigida],AC$3)/100,"")</f>
        <v/>
      </c>
      <c r="AD36" s="34" t="str">
        <f ca="1">IFERROR(AVERAGEIFS(INDIRECT("Tabela1["&amp;$B36&amp;"]"),Tabela1[Turno],$D36,Tabela1[Data Corrigida],AD$3)/100,"")</f>
        <v/>
      </c>
      <c r="AE36" s="34" t="str">
        <f ca="1">IFERROR(AVERAGEIFS(INDIRECT("Tabela1["&amp;$B36&amp;"]"),Tabela1[Turno],$D36,Tabela1[Data Corrigida],AE$3)/100,"")</f>
        <v/>
      </c>
      <c r="AF36" s="34" t="str">
        <f ca="1">IFERROR(AVERAGEIFS(INDIRECT("Tabela1["&amp;$B36&amp;"]"),Tabela1[Turno],$D36,Tabela1[Data Corrigida],AF$3)/100,"")</f>
        <v/>
      </c>
      <c r="AG36" s="34" t="str">
        <f ca="1">IFERROR(AVERAGEIFS(INDIRECT("Tabela1["&amp;$B36&amp;"]"),Tabela1[Turno],$D36,Tabela1[Data Corrigida],AG$3)/100,"")</f>
        <v/>
      </c>
      <c r="AH36" s="34" t="str">
        <f ca="1">IFERROR(AVERAGEIFS(INDIRECT("Tabela1["&amp;$B36&amp;"]"),Tabela1[Turno],$D36,Tabela1[Data Corrigida],AH$3)/100,"")</f>
        <v/>
      </c>
      <c r="AI36" s="34" t="str">
        <f ca="1">IFERROR(AVERAGEIFS(INDIRECT("Tabela1["&amp;$B36&amp;"]"),Tabela1[Turno],$D36,Tabela1[Data Corrigida],AI$3)/100,"")</f>
        <v/>
      </c>
      <c r="AJ36" s="34" t="str">
        <f ca="1">IFERROR(AVERAGEIFS(INDIRECT("Tabela1["&amp;$B36&amp;"]"),Tabela1[Turno],$D36,Tabela1[Data Corrigida],AJ$3)/100,"")</f>
        <v/>
      </c>
      <c r="AK36" s="34" t="str">
        <f ca="1">IFERROR(AVERAGEIFS(INDIRECT("Tabela1["&amp;$B36&amp;"]"),Tabela1[Turno],$D36,Tabela1[Data Corrigida],AK$3)/100,"")</f>
        <v/>
      </c>
      <c r="AL36" s="34" t="str">
        <f ca="1">IFERROR(AVERAGEIFS(INDIRECT("Tabela1["&amp;$B36&amp;"]"),Tabela1[Turno],$D36,Tabela1[Data Corrigida],AL$3)/100,"")</f>
        <v/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25">
      <c r="A37" s="50" t="str">
        <f>VLOOKUP(Tabela2[[#This Row],[Item 1]],Apoio!$A$2:$B$41,2,0)</f>
        <v>Eviscer</v>
      </c>
      <c r="B37" s="9" t="str">
        <f t="shared" si="2"/>
        <v>% Abdome mal abertos</v>
      </c>
      <c r="C37" s="62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2.0780884801304693E-3</v>
      </c>
      <c r="N37" s="36">
        <f ca="1">IFERROR(AVERAGEIFS(INDIRECT("Tabela1["&amp;$B37&amp;"]"),Tabela1[Turno],$D37,Tabela1[Mês],N$3)/100,"")</f>
        <v>1.0836184960954637E-3</v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59"/>
      <c r="R37" s="35">
        <f ca="1">IFERROR(AVERAGEIFS(INDIRECT("Tabela1["&amp;$B37&amp;"]"),Tabela1[Turno],$D37,Tabela1[Data Corrigida],R$3)/100,"")</f>
        <v>0</v>
      </c>
      <c r="S37" s="36">
        <f ca="1">IFERROR(AVERAGEIFS(INDIRECT("Tabela1["&amp;$B37&amp;"]"),Tabela1[Turno],$D37,Tabela1[Data Corrigida],S$3)/100,"")</f>
        <v>2.8735632183908046E-3</v>
      </c>
      <c r="T37" s="36">
        <f ca="1">IFERROR(AVERAGEIFS(INDIRECT("Tabela1["&amp;$B37&amp;"]"),Tabela1[Turno],$D37,Tabela1[Data Corrigida],T$3)/100,"")</f>
        <v>0</v>
      </c>
      <c r="U37" s="36">
        <f ca="1">IFERROR(AVERAGEIFS(INDIRECT("Tabela1["&amp;$B37&amp;"]"),Tabela1[Turno],$D37,Tabela1[Data Corrigida],U$3)/100,"")</f>
        <v>2.5445292620865142E-3</v>
      </c>
      <c r="V37" s="36">
        <f ca="1">IFERROR(AVERAGEIFS(INDIRECT("Tabela1["&amp;$B37&amp;"]"),Tabela1[Turno],$D37,Tabela1[Data Corrigida],V$3)/100,"")</f>
        <v>0</v>
      </c>
      <c r="W37" s="36" t="str">
        <f ca="1">IFERROR(AVERAGEIFS(INDIRECT("Tabela1["&amp;$B37&amp;"]"),Tabela1[Turno],$D37,Tabela1[Data Corrigida],W$3)/100,"")</f>
        <v/>
      </c>
      <c r="X37" s="36" t="str">
        <f ca="1">IFERROR(AVERAGEIFS(INDIRECT("Tabela1["&amp;$B37&amp;"]"),Tabela1[Turno],$D37,Tabela1[Data Corrigida],X$3)/100,"")</f>
        <v/>
      </c>
      <c r="Y37" s="36" t="str">
        <f ca="1">IFERROR(AVERAGEIFS(INDIRECT("Tabela1["&amp;$B37&amp;"]"),Tabela1[Turno],$D37,Tabela1[Data Corrigida],Y$3)/100,"")</f>
        <v/>
      </c>
      <c r="Z37" s="36" t="str">
        <f ca="1">IFERROR(AVERAGEIFS(INDIRECT("Tabela1["&amp;$B37&amp;"]"),Tabela1[Turno],$D37,Tabela1[Data Corrigida],Z$3)/100,"")</f>
        <v/>
      </c>
      <c r="AA37" s="36" t="str">
        <f ca="1">IFERROR(AVERAGEIFS(INDIRECT("Tabela1["&amp;$B37&amp;"]"),Tabela1[Turno],$D37,Tabela1[Data Corrigida],AA$3)/100,"")</f>
        <v/>
      </c>
      <c r="AB37" s="36" t="str">
        <f ca="1">IFERROR(AVERAGEIFS(INDIRECT("Tabela1["&amp;$B37&amp;"]"),Tabela1[Turno],$D37,Tabela1[Data Corrigida],AB$3)/100,"")</f>
        <v/>
      </c>
      <c r="AC37" s="36" t="str">
        <f ca="1">IFERROR(AVERAGEIFS(INDIRECT("Tabela1["&amp;$B37&amp;"]"),Tabela1[Turno],$D37,Tabela1[Data Corrigida],AC$3)/100,"")</f>
        <v/>
      </c>
      <c r="AD37" s="36" t="str">
        <f ca="1">IFERROR(AVERAGEIFS(INDIRECT("Tabela1["&amp;$B37&amp;"]"),Tabela1[Turno],$D37,Tabela1[Data Corrigida],AD$3)/100,"")</f>
        <v/>
      </c>
      <c r="AE37" s="36" t="str">
        <f ca="1">IFERROR(AVERAGEIFS(INDIRECT("Tabela1["&amp;$B37&amp;"]"),Tabela1[Turno],$D37,Tabela1[Data Corrigida],AE$3)/100,"")</f>
        <v/>
      </c>
      <c r="AF37" s="36" t="str">
        <f ca="1">IFERROR(AVERAGEIFS(INDIRECT("Tabela1["&amp;$B37&amp;"]"),Tabela1[Turno],$D37,Tabela1[Data Corrigida],AF$3)/100,"")</f>
        <v/>
      </c>
      <c r="AG37" s="36" t="str">
        <f ca="1">IFERROR(AVERAGEIFS(INDIRECT("Tabela1["&amp;$B37&amp;"]"),Tabela1[Turno],$D37,Tabela1[Data Corrigida],AG$3)/100,"")</f>
        <v/>
      </c>
      <c r="AH37" s="36" t="str">
        <f ca="1">IFERROR(AVERAGEIFS(INDIRECT("Tabela1["&amp;$B37&amp;"]"),Tabela1[Turno],$D37,Tabela1[Data Corrigida],AH$3)/100,"")</f>
        <v/>
      </c>
      <c r="AI37" s="36" t="str">
        <f ca="1">IFERROR(AVERAGEIFS(INDIRECT("Tabela1["&amp;$B37&amp;"]"),Tabela1[Turno],$D37,Tabela1[Data Corrigida],AI$3)/100,"")</f>
        <v/>
      </c>
      <c r="AJ37" s="36" t="str">
        <f ca="1">IFERROR(AVERAGEIFS(INDIRECT("Tabela1["&amp;$B37&amp;"]"),Tabela1[Turno],$D37,Tabela1[Data Corrigida],AJ$3)/100,"")</f>
        <v/>
      </c>
      <c r="AK37" s="36" t="str">
        <f ca="1">IFERROR(AVERAGEIFS(INDIRECT("Tabela1["&amp;$B37&amp;"]"),Tabela1[Turno],$D37,Tabela1[Data Corrigida],AK$3)/100,"")</f>
        <v/>
      </c>
      <c r="AL37" s="36" t="str">
        <f ca="1">IFERROR(AVERAGEIFS(INDIRECT("Tabela1["&amp;$B37&amp;"]"),Tabela1[Turno],$D37,Tabela1[Data Corrigida],AL$3)/100,"")</f>
        <v/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">
      <c r="A38" s="50" t="str">
        <f>VLOOKUP(Tabela2[[#This Row],[Item 1]],Apoio!$A$2:$B$41,2,0)</f>
        <v>Eviscer</v>
      </c>
      <c r="B38" s="9" t="str">
        <f t="shared" si="2"/>
        <v>% Abdome mal abertos</v>
      </c>
      <c r="C38" s="63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1.5822755548686937E-2</v>
      </c>
      <c r="N38" s="45">
        <f ca="1">IFERROR(AVERAGEIFS(INDIRECT("Tabela1["&amp;$B38&amp;"]"),Tabela1[Mês],N$3)/100,"")</f>
        <v>1.13722404169583E-2</v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0"/>
      <c r="R38" s="37">
        <f ca="1">IFERROR(AVERAGEIFS(INDIRECT("Tabela1["&amp;$B38&amp;"]"),Tabela1[Data Corrigida],R$3)/100,"")</f>
        <v>9.7604259094942331E-3</v>
      </c>
      <c r="S38" s="38">
        <f ca="1">IFERROR(AVERAGEIFS(INDIRECT("Tabela1["&amp;$B38&amp;"]"),Tabela1[Data Corrigida],S$3)/100,"")</f>
        <v>9.3348548053314873E-3</v>
      </c>
      <c r="T38" s="38">
        <f ca="1">IFERROR(AVERAGEIFS(INDIRECT("Tabela1["&amp;$B38&amp;"]"),Tabela1[Data Corrigida],T$3)/100,"")</f>
        <v>4.807692307692308E-3</v>
      </c>
      <c r="U38" s="38">
        <f ca="1">IFERROR(AVERAGEIFS(INDIRECT("Tabela1["&amp;$B38&amp;"]"),Tabela1[Data Corrigida],U$3)/100,"")</f>
        <v>1.0993135797554746E-2</v>
      </c>
      <c r="V38" s="38">
        <f ca="1">IFERROR(AVERAGEIFS(INDIRECT("Tabela1["&amp;$B38&amp;"]"),Tabela1[Data Corrigida],V$3)/100,"")</f>
        <v>1.7317477471317299E-2</v>
      </c>
      <c r="W38" s="38">
        <f ca="1">IFERROR(AVERAGEIFS(INDIRECT("Tabela1["&amp;$B38&amp;"]"),Tabela1[Data Corrigida],W$3)/100,"")</f>
        <v>1.4582156973461323E-2</v>
      </c>
      <c r="X38" s="38" t="str">
        <f ca="1">IFERROR(AVERAGEIFS(INDIRECT("Tabela1["&amp;$B38&amp;"]"),Tabela1[Data Corrigida],X$3)/100,"")</f>
        <v/>
      </c>
      <c r="Y38" s="38" t="str">
        <f ca="1">IFERROR(AVERAGEIFS(INDIRECT("Tabela1["&amp;$B38&amp;"]"),Tabela1[Data Corrigida],Y$3)/100,"")</f>
        <v/>
      </c>
      <c r="Z38" s="38" t="str">
        <f ca="1">IFERROR(AVERAGEIFS(INDIRECT("Tabela1["&amp;$B38&amp;"]"),Tabela1[Data Corrigida],Z$3)/100,"")</f>
        <v/>
      </c>
      <c r="AA38" s="38" t="str">
        <f ca="1">IFERROR(AVERAGEIFS(INDIRECT("Tabela1["&amp;$B38&amp;"]"),Tabela1[Data Corrigida],AA$3)/100,"")</f>
        <v/>
      </c>
      <c r="AB38" s="38" t="str">
        <f ca="1">IFERROR(AVERAGEIFS(INDIRECT("Tabela1["&amp;$B38&amp;"]"),Tabela1[Data Corrigida],AB$3)/100,"")</f>
        <v/>
      </c>
      <c r="AC38" s="38" t="str">
        <f ca="1">IFERROR(AVERAGEIFS(INDIRECT("Tabela1["&amp;$B38&amp;"]"),Tabela1[Data Corrigida],AC$3)/100,"")</f>
        <v/>
      </c>
      <c r="AD38" s="38" t="str">
        <f ca="1">IFERROR(AVERAGEIFS(INDIRECT("Tabela1["&amp;$B38&amp;"]"),Tabela1[Data Corrigida],AD$3)/100,"")</f>
        <v/>
      </c>
      <c r="AE38" s="38" t="str">
        <f ca="1">IFERROR(AVERAGEIFS(INDIRECT("Tabela1["&amp;$B38&amp;"]"),Tabela1[Data Corrigida],AE$3)/100,"")</f>
        <v/>
      </c>
      <c r="AF38" s="38" t="str">
        <f ca="1">IFERROR(AVERAGEIFS(INDIRECT("Tabela1["&amp;$B38&amp;"]"),Tabela1[Data Corrigida],AF$3)/100,"")</f>
        <v/>
      </c>
      <c r="AG38" s="38" t="str">
        <f ca="1">IFERROR(AVERAGEIFS(INDIRECT("Tabela1["&amp;$B38&amp;"]"),Tabela1[Data Corrigida],AG$3)/100,"")</f>
        <v/>
      </c>
      <c r="AH38" s="38" t="str">
        <f ca="1">IFERROR(AVERAGEIFS(INDIRECT("Tabela1["&amp;$B38&amp;"]"),Tabela1[Data Corrigida],AH$3)/100,"")</f>
        <v/>
      </c>
      <c r="AI38" s="38" t="str">
        <f ca="1">IFERROR(AVERAGEIFS(INDIRECT("Tabela1["&amp;$B38&amp;"]"),Tabela1[Data Corrigida],AI$3)/100,"")</f>
        <v/>
      </c>
      <c r="AJ38" s="38" t="str">
        <f ca="1">IFERROR(AVERAGEIFS(INDIRECT("Tabela1["&amp;$B38&amp;"]"),Tabela1[Data Corrigida],AJ$3)/100,"")</f>
        <v/>
      </c>
      <c r="AK38" s="38" t="str">
        <f ca="1">IFERROR(AVERAGEIFS(INDIRECT("Tabela1["&amp;$B38&amp;"]"),Tabela1[Data Corrigida],AK$3)/100,"")</f>
        <v/>
      </c>
      <c r="AL38" s="38" t="str">
        <f ca="1">IFERROR(AVERAGEIFS(INDIRECT("Tabela1["&amp;$B38&amp;"]"),Tabela1[Data Corrigida],AL$3)/100,"")</f>
        <v/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25">
      <c r="A39" s="50" t="str">
        <f>VLOOKUP(Tabela2[[#This Row],[Item 1]],Apoio!$A$2:$B$41,2,0)</f>
        <v>Eviscer</v>
      </c>
      <c r="B39" s="9" t="str">
        <f t="shared" si="2"/>
        <v>% Corte de Intestino</v>
      </c>
      <c r="C39" s="61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1.4026812645817994E-2</v>
      </c>
      <c r="N39" s="34">
        <f ca="1">IFERROR(AVERAGEIFS(INDIRECT("Tabela1["&amp;$B39&amp;"]"),Tabela1[Turno],$D39,Tabela1[Mês],N$3)/100,"")</f>
        <v>1.5716191860735484E-2</v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58">
        <v>0.02</v>
      </c>
      <c r="R39" s="39">
        <f ca="1">IFERROR(AVERAGEIFS(INDIRECT("Tabela1["&amp;$B39&amp;"]"),Tabela1[Turno],$D39,Tabela1[Data Corrigida],R$3)/100,"")</f>
        <v>1.7080745341614904E-2</v>
      </c>
      <c r="S39" s="40">
        <f ca="1">IFERROR(AVERAGEIFS(INDIRECT("Tabela1["&amp;$B39&amp;"]"),Tabela1[Turno],$D39,Tabela1[Data Corrigida],S$3)/100,"")</f>
        <v>1.2628028464481099E-2</v>
      </c>
      <c r="T39" s="40">
        <f ca="1">IFERROR(AVERAGEIFS(INDIRECT("Tabela1["&amp;$B39&amp;"]"),Tabela1[Turno],$D39,Tabela1[Data Corrigida],T$3)/100,"")</f>
        <v>1.9230769230769232E-2</v>
      </c>
      <c r="U39" s="40">
        <f ca="1">IFERROR(AVERAGEIFS(INDIRECT("Tabela1["&amp;$B39&amp;"]"),Tabela1[Turno],$D39,Tabela1[Data Corrigida],U$3)/100,"")</f>
        <v>1.737935977066412E-2</v>
      </c>
      <c r="V39" s="40">
        <f ca="1">IFERROR(AVERAGEIFS(INDIRECT("Tabela1["&amp;$B39&amp;"]"),Tabela1[Turno],$D39,Tabela1[Data Corrigida],V$3)/100,"")</f>
        <v>1.7584819442003435E-2</v>
      </c>
      <c r="W39" s="40">
        <f ca="1">IFERROR(AVERAGEIFS(INDIRECT("Tabela1["&amp;$B39&amp;"]"),Tabela1[Turno],$D39,Tabela1[Data Corrigida],W$3)/100,"")</f>
        <v>1.3029361942405419E-2</v>
      </c>
      <c r="X39" s="40" t="str">
        <f ca="1">IFERROR(AVERAGEIFS(INDIRECT("Tabela1["&amp;$B39&amp;"]"),Tabela1[Turno],$D39,Tabela1[Data Corrigida],X$3)/100,"")</f>
        <v/>
      </c>
      <c r="Y39" s="40" t="str">
        <f ca="1">IFERROR(AVERAGEIFS(INDIRECT("Tabela1["&amp;$B39&amp;"]"),Tabela1[Turno],$D39,Tabela1[Data Corrigida],Y$3)/100,"")</f>
        <v/>
      </c>
      <c r="Z39" s="40" t="str">
        <f ca="1">IFERROR(AVERAGEIFS(INDIRECT("Tabela1["&amp;$B39&amp;"]"),Tabela1[Turno],$D39,Tabela1[Data Corrigida],Z$3)/100,"")</f>
        <v/>
      </c>
      <c r="AA39" s="40" t="str">
        <f ca="1">IFERROR(AVERAGEIFS(INDIRECT("Tabela1["&amp;$B39&amp;"]"),Tabela1[Turno],$D39,Tabela1[Data Corrigida],AA$3)/100,"")</f>
        <v/>
      </c>
      <c r="AB39" s="40" t="str">
        <f ca="1">IFERROR(AVERAGEIFS(INDIRECT("Tabela1["&amp;$B39&amp;"]"),Tabela1[Turno],$D39,Tabela1[Data Corrigida],AB$3)/100,"")</f>
        <v/>
      </c>
      <c r="AC39" s="40" t="str">
        <f ca="1">IFERROR(AVERAGEIFS(INDIRECT("Tabela1["&amp;$B39&amp;"]"),Tabela1[Turno],$D39,Tabela1[Data Corrigida],AC$3)/100,"")</f>
        <v/>
      </c>
      <c r="AD39" s="40" t="str">
        <f ca="1">IFERROR(AVERAGEIFS(INDIRECT("Tabela1["&amp;$B39&amp;"]"),Tabela1[Turno],$D39,Tabela1[Data Corrigida],AD$3)/100,"")</f>
        <v/>
      </c>
      <c r="AE39" s="40" t="str">
        <f ca="1">IFERROR(AVERAGEIFS(INDIRECT("Tabela1["&amp;$B39&amp;"]"),Tabela1[Turno],$D39,Tabela1[Data Corrigida],AE$3)/100,"")</f>
        <v/>
      </c>
      <c r="AF39" s="40" t="str">
        <f ca="1">IFERROR(AVERAGEIFS(INDIRECT("Tabela1["&amp;$B39&amp;"]"),Tabela1[Turno],$D39,Tabela1[Data Corrigida],AF$3)/100,"")</f>
        <v/>
      </c>
      <c r="AG39" s="40" t="str">
        <f ca="1">IFERROR(AVERAGEIFS(INDIRECT("Tabela1["&amp;$B39&amp;"]"),Tabela1[Turno],$D39,Tabela1[Data Corrigida],AG$3)/100,"")</f>
        <v/>
      </c>
      <c r="AH39" s="40" t="str">
        <f ca="1">IFERROR(AVERAGEIFS(INDIRECT("Tabela1["&amp;$B39&amp;"]"),Tabela1[Turno],$D39,Tabela1[Data Corrigida],AH$3)/100,"")</f>
        <v/>
      </c>
      <c r="AI39" s="40" t="str">
        <f ca="1">IFERROR(AVERAGEIFS(INDIRECT("Tabela1["&amp;$B39&amp;"]"),Tabela1[Turno],$D39,Tabela1[Data Corrigida],AI$3)/100,"")</f>
        <v/>
      </c>
      <c r="AJ39" s="40" t="str">
        <f ca="1">IFERROR(AVERAGEIFS(INDIRECT("Tabela1["&amp;$B39&amp;"]"),Tabela1[Turno],$D39,Tabela1[Data Corrigida],AJ$3)/100,"")</f>
        <v/>
      </c>
      <c r="AK39" s="40" t="str">
        <f ca="1">IFERROR(AVERAGEIFS(INDIRECT("Tabela1["&amp;$B39&amp;"]"),Tabela1[Turno],$D39,Tabela1[Data Corrigida],AK$3)/100,"")</f>
        <v/>
      </c>
      <c r="AL39" s="40" t="str">
        <f ca="1">IFERROR(AVERAGEIFS(INDIRECT("Tabela1["&amp;$B39&amp;"]"),Tabela1[Turno],$D39,Tabela1[Data Corrigida],AL$3)/100,"")</f>
        <v/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25">
      <c r="A40" s="50" t="str">
        <f>VLOOKUP(Tabela2[[#This Row],[Item 1]],Apoio!$A$2:$B$41,2,0)</f>
        <v>Eviscer</v>
      </c>
      <c r="B40" s="9" t="str">
        <f t="shared" si="2"/>
        <v>% Corte de Intestino</v>
      </c>
      <c r="C40" s="62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>
        <f ca="1">IFERROR(AVERAGEIFS(INDIRECT("Tabela1["&amp;$B40&amp;"]"),Tabela1[Turno],$D40,Tabela1[Mês],N$3)/100,"")</f>
        <v>0</v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59"/>
      <c r="R40" s="35">
        <f ca="1">IFERROR(AVERAGEIFS(INDIRECT("Tabela1["&amp;$B40&amp;"]"),Tabela1[Turno],$D40,Tabela1[Data Corrigida],R$3)/100,"")</f>
        <v>0</v>
      </c>
      <c r="S40" s="36">
        <f ca="1">IFERROR(AVERAGEIFS(INDIRECT("Tabela1["&amp;$B40&amp;"]"),Tabela1[Turno],$D40,Tabela1[Data Corrigida],S$3)/100,"")</f>
        <v>0</v>
      </c>
      <c r="T40" s="36">
        <f ca="1">IFERROR(AVERAGEIFS(INDIRECT("Tabela1["&amp;$B40&amp;"]"),Tabela1[Turno],$D40,Tabela1[Data Corrigida],T$3)/100,"")</f>
        <v>0</v>
      </c>
      <c r="U40" s="36">
        <f ca="1">IFERROR(AVERAGEIFS(INDIRECT("Tabela1["&amp;$B40&amp;"]"),Tabela1[Turno],$D40,Tabela1[Data Corrigida],U$3)/100,"")</f>
        <v>0</v>
      </c>
      <c r="V40" s="36">
        <f ca="1">IFERROR(AVERAGEIFS(INDIRECT("Tabela1["&amp;$B40&amp;"]"),Tabela1[Turno],$D40,Tabela1[Data Corrigida],V$3)/100,"")</f>
        <v>0</v>
      </c>
      <c r="W40" s="36" t="str">
        <f ca="1">IFERROR(AVERAGEIFS(INDIRECT("Tabela1["&amp;$B40&amp;"]"),Tabela1[Turno],$D40,Tabela1[Data Corrigida],W$3)/100,"")</f>
        <v/>
      </c>
      <c r="X40" s="36" t="str">
        <f ca="1">IFERROR(AVERAGEIFS(INDIRECT("Tabela1["&amp;$B40&amp;"]"),Tabela1[Turno],$D40,Tabela1[Data Corrigida],X$3)/100,"")</f>
        <v/>
      </c>
      <c r="Y40" s="36" t="str">
        <f ca="1">IFERROR(AVERAGEIFS(INDIRECT("Tabela1["&amp;$B40&amp;"]"),Tabela1[Turno],$D40,Tabela1[Data Corrigida],Y$3)/100,"")</f>
        <v/>
      </c>
      <c r="Z40" s="36" t="str">
        <f ca="1">IFERROR(AVERAGEIFS(INDIRECT("Tabela1["&amp;$B40&amp;"]"),Tabela1[Turno],$D40,Tabela1[Data Corrigida],Z$3)/100,"")</f>
        <v/>
      </c>
      <c r="AA40" s="36" t="str">
        <f ca="1">IFERROR(AVERAGEIFS(INDIRECT("Tabela1["&amp;$B40&amp;"]"),Tabela1[Turno],$D40,Tabela1[Data Corrigida],AA$3)/100,"")</f>
        <v/>
      </c>
      <c r="AB40" s="36" t="str">
        <f ca="1">IFERROR(AVERAGEIFS(INDIRECT("Tabela1["&amp;$B40&amp;"]"),Tabela1[Turno],$D40,Tabela1[Data Corrigida],AB$3)/100,"")</f>
        <v/>
      </c>
      <c r="AC40" s="36" t="str">
        <f ca="1">IFERROR(AVERAGEIFS(INDIRECT("Tabela1["&amp;$B40&amp;"]"),Tabela1[Turno],$D40,Tabela1[Data Corrigida],AC$3)/100,"")</f>
        <v/>
      </c>
      <c r="AD40" s="36" t="str">
        <f ca="1">IFERROR(AVERAGEIFS(INDIRECT("Tabela1["&amp;$B40&amp;"]"),Tabela1[Turno],$D40,Tabela1[Data Corrigida],AD$3)/100,"")</f>
        <v/>
      </c>
      <c r="AE40" s="36" t="str">
        <f ca="1">IFERROR(AVERAGEIFS(INDIRECT("Tabela1["&amp;$B40&amp;"]"),Tabela1[Turno],$D40,Tabela1[Data Corrigida],AE$3)/100,"")</f>
        <v/>
      </c>
      <c r="AF40" s="36" t="str">
        <f ca="1">IFERROR(AVERAGEIFS(INDIRECT("Tabela1["&amp;$B40&amp;"]"),Tabela1[Turno],$D40,Tabela1[Data Corrigida],AF$3)/100,"")</f>
        <v/>
      </c>
      <c r="AG40" s="36" t="str">
        <f ca="1">IFERROR(AVERAGEIFS(INDIRECT("Tabela1["&amp;$B40&amp;"]"),Tabela1[Turno],$D40,Tabela1[Data Corrigida],AG$3)/100,"")</f>
        <v/>
      </c>
      <c r="AH40" s="36" t="str">
        <f ca="1">IFERROR(AVERAGEIFS(INDIRECT("Tabela1["&amp;$B40&amp;"]"),Tabela1[Turno],$D40,Tabela1[Data Corrigida],AH$3)/100,"")</f>
        <v/>
      </c>
      <c r="AI40" s="36" t="str">
        <f ca="1">IFERROR(AVERAGEIFS(INDIRECT("Tabela1["&amp;$B40&amp;"]"),Tabela1[Turno],$D40,Tabela1[Data Corrigida],AI$3)/100,"")</f>
        <v/>
      </c>
      <c r="AJ40" s="36" t="str">
        <f ca="1">IFERROR(AVERAGEIFS(INDIRECT("Tabela1["&amp;$B40&amp;"]"),Tabela1[Turno],$D40,Tabela1[Data Corrigida],AJ$3)/100,"")</f>
        <v/>
      </c>
      <c r="AK40" s="36" t="str">
        <f ca="1">IFERROR(AVERAGEIFS(INDIRECT("Tabela1["&amp;$B40&amp;"]"),Tabela1[Turno],$D40,Tabela1[Data Corrigida],AK$3)/100,"")</f>
        <v/>
      </c>
      <c r="AL40" s="36" t="str">
        <f ca="1">IFERROR(AVERAGEIFS(INDIRECT("Tabela1["&amp;$B40&amp;"]"),Tabela1[Turno],$D40,Tabela1[Data Corrigida],AL$3)/100,"")</f>
        <v/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">
      <c r="A41" s="50" t="str">
        <f>VLOOKUP(Tabela2[[#This Row],[Item 1]],Apoio!$A$2:$B$41,2,0)</f>
        <v>Eviscer</v>
      </c>
      <c r="B41" s="9" t="str">
        <f t="shared" si="2"/>
        <v>% Corte de Intestino</v>
      </c>
      <c r="C41" s="63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7.9741469150883121E-3</v>
      </c>
      <c r="N41" s="45">
        <f ca="1">IFERROR(AVERAGEIFS(INDIRECT("Tabela1["&amp;$B41&amp;"]"),Tabela1[Mês],N$3)/100,"")</f>
        <v>9.1677785854290313E-3</v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0"/>
      <c r="R41" s="42">
        <f ca="1">IFERROR(AVERAGEIFS(INDIRECT("Tabela1["&amp;$B41&amp;"]"),Tabela1[Data Corrigida],R$3)/100,"")</f>
        <v>9.7604259094942313E-3</v>
      </c>
      <c r="S41" s="43">
        <f ca="1">IFERROR(AVERAGEIFS(INDIRECT("Tabela1["&amp;$B41&amp;"]"),Tabela1[Data Corrigida],S$3)/100,"")</f>
        <v>7.2160162654177707E-3</v>
      </c>
      <c r="T41" s="43">
        <f ca="1">IFERROR(AVERAGEIFS(INDIRECT("Tabela1["&amp;$B41&amp;"]"),Tabela1[Data Corrigida],T$3)/100,"")</f>
        <v>4.807692307692308E-3</v>
      </c>
      <c r="U41" s="43">
        <f ca="1">IFERROR(AVERAGEIFS(INDIRECT("Tabela1["&amp;$B41&amp;"]"),Tabela1[Data Corrigida],U$3)/100,"")</f>
        <v>9.9310627260937832E-3</v>
      </c>
      <c r="V41" s="43">
        <f ca="1">IFERROR(AVERAGEIFS(INDIRECT("Tabela1["&amp;$B41&amp;"]"),Tabela1[Data Corrigida],V$3)/100,"")</f>
        <v>1.0048468252573391E-2</v>
      </c>
      <c r="W41" s="43">
        <f ca="1">IFERROR(AVERAGEIFS(INDIRECT("Tabela1["&amp;$B41&amp;"]"),Tabela1[Data Corrigida],W$3)/100,"")</f>
        <v>1.3029361942405419E-2</v>
      </c>
      <c r="X41" s="43" t="str">
        <f ca="1">IFERROR(AVERAGEIFS(INDIRECT("Tabela1["&amp;$B41&amp;"]"),Tabela1[Data Corrigida],X$3)/100,"")</f>
        <v/>
      </c>
      <c r="Y41" s="43" t="str">
        <f ca="1">IFERROR(AVERAGEIFS(INDIRECT("Tabela1["&amp;$B41&amp;"]"),Tabela1[Data Corrigida],Y$3)/100,"")</f>
        <v/>
      </c>
      <c r="Z41" s="43" t="str">
        <f ca="1">IFERROR(AVERAGEIFS(INDIRECT("Tabela1["&amp;$B41&amp;"]"),Tabela1[Data Corrigida],Z$3)/100,"")</f>
        <v/>
      </c>
      <c r="AA41" s="43" t="str">
        <f ca="1">IFERROR(AVERAGEIFS(INDIRECT("Tabela1["&amp;$B41&amp;"]"),Tabela1[Data Corrigida],AA$3)/100,"")</f>
        <v/>
      </c>
      <c r="AB41" s="43" t="str">
        <f ca="1">IFERROR(AVERAGEIFS(INDIRECT("Tabela1["&amp;$B41&amp;"]"),Tabela1[Data Corrigida],AB$3)/100,"")</f>
        <v/>
      </c>
      <c r="AC41" s="43" t="str">
        <f ca="1">IFERROR(AVERAGEIFS(INDIRECT("Tabela1["&amp;$B41&amp;"]"),Tabela1[Data Corrigida],AC$3)/100,"")</f>
        <v/>
      </c>
      <c r="AD41" s="43" t="str">
        <f ca="1">IFERROR(AVERAGEIFS(INDIRECT("Tabela1["&amp;$B41&amp;"]"),Tabela1[Data Corrigida],AD$3)/100,"")</f>
        <v/>
      </c>
      <c r="AE41" s="43" t="str">
        <f ca="1">IFERROR(AVERAGEIFS(INDIRECT("Tabela1["&amp;$B41&amp;"]"),Tabela1[Data Corrigida],AE$3)/100,"")</f>
        <v/>
      </c>
      <c r="AF41" s="43" t="str">
        <f ca="1">IFERROR(AVERAGEIFS(INDIRECT("Tabela1["&amp;$B41&amp;"]"),Tabela1[Data Corrigida],AF$3)/100,"")</f>
        <v/>
      </c>
      <c r="AG41" s="43" t="str">
        <f ca="1">IFERROR(AVERAGEIFS(INDIRECT("Tabela1["&amp;$B41&amp;"]"),Tabela1[Data Corrigida],AG$3)/100,"")</f>
        <v/>
      </c>
      <c r="AH41" s="43" t="str">
        <f ca="1">IFERROR(AVERAGEIFS(INDIRECT("Tabela1["&amp;$B41&amp;"]"),Tabela1[Data Corrigida],AH$3)/100,"")</f>
        <v/>
      </c>
      <c r="AI41" s="43" t="str">
        <f ca="1">IFERROR(AVERAGEIFS(INDIRECT("Tabela1["&amp;$B41&amp;"]"),Tabela1[Data Corrigida],AI$3)/100,"")</f>
        <v/>
      </c>
      <c r="AJ41" s="43" t="str">
        <f ca="1">IFERROR(AVERAGEIFS(INDIRECT("Tabela1["&amp;$B41&amp;"]"),Tabela1[Data Corrigida],AJ$3)/100,"")</f>
        <v/>
      </c>
      <c r="AK41" s="43" t="str">
        <f ca="1">IFERROR(AVERAGEIFS(INDIRECT("Tabela1["&amp;$B41&amp;"]"),Tabela1[Data Corrigida],AK$3)/100,"")</f>
        <v/>
      </c>
      <c r="AL41" s="43" t="str">
        <f ca="1">IFERROR(AVERAGEIFS(INDIRECT("Tabela1["&amp;$B41&amp;"]"),Tabela1[Data Corrigida],AL$3)/100,"")</f>
        <v/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25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61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5.8084407401589239E-2</v>
      </c>
      <c r="N42" s="34">
        <f ca="1">IFERROR(AVERAGEIFS(INDIRECT("Tabela1["&amp;$B42&amp;"]"),Tabela1[Turno],$D42,Tabela1[Mês],N$3)/100,"")</f>
        <v>4.7367997703236887E-2</v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58">
        <v>0.04</v>
      </c>
      <c r="R42" s="33">
        <f ca="1">IFERROR(AVERAGEIFS(INDIRECT("Tabela1["&amp;$B42&amp;"]"),Tabela1[Turno],$D42,Tabela1[Data Corrigida],R$3)/100,"")</f>
        <v>4.0372670807453409E-2</v>
      </c>
      <c r="S42" s="34">
        <f ca="1">IFERROR(AVERAGEIFS(INDIRECT("Tabela1["&amp;$B42&amp;"]"),Tabela1[Turno],$D42,Tabela1[Data Corrigida],S$3)/100,"")</f>
        <v>3.63312903623874E-2</v>
      </c>
      <c r="T42" s="34">
        <f ca="1">IFERROR(AVERAGEIFS(INDIRECT("Tabela1["&amp;$B42&amp;"]"),Tabela1[Turno],$D42,Tabela1[Data Corrigida],T$3)/100,"")</f>
        <v>3.8461538461538464E-2</v>
      </c>
      <c r="U42" s="34">
        <f ca="1">IFERROR(AVERAGEIFS(INDIRECT("Tabela1["&amp;$B42&amp;"]"),Tabela1[Turno],$D42,Tabela1[Data Corrigida],U$3)/100,"")</f>
        <v>4.106943780856824E-2</v>
      </c>
      <c r="V42" s="34">
        <f ca="1">IFERROR(AVERAGEIFS(INDIRECT("Tabela1["&amp;$B42&amp;"]"),Tabela1[Turno],$D42,Tabela1[Data Corrigida],V$3)/100,"")</f>
        <v>5.9068472558250845E-2</v>
      </c>
      <c r="W42" s="34">
        <f ca="1">IFERROR(AVERAGEIFS(INDIRECT("Tabela1["&amp;$B42&amp;"]"),Tabela1[Turno],$D42,Tabela1[Data Corrigida],W$3)/100,"")</f>
        <v>6.2224731789949174E-2</v>
      </c>
      <c r="X42" s="34" t="str">
        <f ca="1">IFERROR(AVERAGEIFS(INDIRECT("Tabela1["&amp;$B42&amp;"]"),Tabela1[Turno],$D42,Tabela1[Data Corrigida],X$3)/100,"")</f>
        <v/>
      </c>
      <c r="Y42" s="34" t="str">
        <f ca="1">IFERROR(AVERAGEIFS(INDIRECT("Tabela1["&amp;$B42&amp;"]"),Tabela1[Turno],$D42,Tabela1[Data Corrigida],Y$3)/100,"")</f>
        <v/>
      </c>
      <c r="Z42" s="34" t="str">
        <f ca="1">IFERROR(AVERAGEIFS(INDIRECT("Tabela1["&amp;$B42&amp;"]"),Tabela1[Turno],$D42,Tabela1[Data Corrigida],Z$3)/100,"")</f>
        <v/>
      </c>
      <c r="AA42" s="34" t="str">
        <f ca="1">IFERROR(AVERAGEIFS(INDIRECT("Tabela1["&amp;$B42&amp;"]"),Tabela1[Turno],$D42,Tabela1[Data Corrigida],AA$3)/100,"")</f>
        <v/>
      </c>
      <c r="AB42" s="34" t="str">
        <f ca="1">IFERROR(AVERAGEIFS(INDIRECT("Tabela1["&amp;$B42&amp;"]"),Tabela1[Turno],$D42,Tabela1[Data Corrigida],AB$3)/100,"")</f>
        <v/>
      </c>
      <c r="AC42" s="34" t="str">
        <f ca="1">IFERROR(AVERAGEIFS(INDIRECT("Tabela1["&amp;$B42&amp;"]"),Tabela1[Turno],$D42,Tabela1[Data Corrigida],AC$3)/100,"")</f>
        <v/>
      </c>
      <c r="AD42" s="34" t="str">
        <f ca="1">IFERROR(AVERAGEIFS(INDIRECT("Tabela1["&amp;$B42&amp;"]"),Tabela1[Turno],$D42,Tabela1[Data Corrigida],AD$3)/100,"")</f>
        <v/>
      </c>
      <c r="AE42" s="34" t="str">
        <f ca="1">IFERROR(AVERAGEIFS(INDIRECT("Tabela1["&amp;$B42&amp;"]"),Tabela1[Turno],$D42,Tabela1[Data Corrigida],AE$3)/100,"")</f>
        <v/>
      </c>
      <c r="AF42" s="34" t="str">
        <f ca="1">IFERROR(AVERAGEIFS(INDIRECT("Tabela1["&amp;$B42&amp;"]"),Tabela1[Turno],$D42,Tabela1[Data Corrigida],AF$3)/100,"")</f>
        <v/>
      </c>
      <c r="AG42" s="34" t="str">
        <f ca="1">IFERROR(AVERAGEIFS(INDIRECT("Tabela1["&amp;$B42&amp;"]"),Tabela1[Turno],$D42,Tabela1[Data Corrigida],AG$3)/100,"")</f>
        <v/>
      </c>
      <c r="AH42" s="34" t="str">
        <f ca="1">IFERROR(AVERAGEIFS(INDIRECT("Tabela1["&amp;$B42&amp;"]"),Tabela1[Turno],$D42,Tabela1[Data Corrigida],AH$3)/100,"")</f>
        <v/>
      </c>
      <c r="AI42" s="34" t="str">
        <f ca="1">IFERROR(AVERAGEIFS(INDIRECT("Tabela1["&amp;$B42&amp;"]"),Tabela1[Turno],$D42,Tabela1[Data Corrigida],AI$3)/100,"")</f>
        <v/>
      </c>
      <c r="AJ42" s="34" t="str">
        <f ca="1">IFERROR(AVERAGEIFS(INDIRECT("Tabela1["&amp;$B42&amp;"]"),Tabela1[Turno],$D42,Tabela1[Data Corrigida],AJ$3)/100,"")</f>
        <v/>
      </c>
      <c r="AK42" s="34" t="str">
        <f ca="1">IFERROR(AVERAGEIFS(INDIRECT("Tabela1["&amp;$B42&amp;"]"),Tabela1[Turno],$D42,Tabela1[Data Corrigida],AK$3)/100,"")</f>
        <v/>
      </c>
      <c r="AL42" s="34" t="str">
        <f ca="1">IFERROR(AVERAGEIFS(INDIRECT("Tabela1["&amp;$B42&amp;"]"),Tabela1[Turno],$D42,Tabela1[Data Corrigida],AL$3)/100,"")</f>
        <v/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25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62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5.6970535423727854E-2</v>
      </c>
      <c r="N43" s="36">
        <f ca="1">IFERROR(AVERAGEIFS(INDIRECT("Tabela1["&amp;$B43&amp;"]"),Tabela1[Turno],$D43,Tabela1[Mês],N$3)/100,"")</f>
        <v>4.3096724240281034E-2</v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59"/>
      <c r="R43" s="35">
        <f ca="1">IFERROR(AVERAGEIFS(INDIRECT("Tabela1["&amp;$B43&amp;"]"),Tabela1[Turno],$D43,Tabela1[Data Corrigida],R$3)/100,"")</f>
        <v>3.2689532689532681E-2</v>
      </c>
      <c r="S43" s="36">
        <f ca="1">IFERROR(AVERAGEIFS(INDIRECT("Tabela1["&amp;$B43&amp;"]"),Tabela1[Turno],$D43,Tabela1[Data Corrigida],S$3)/100,"")</f>
        <v>2.5449271701145762E-2</v>
      </c>
      <c r="T43" s="36">
        <f ca="1">IFERROR(AVERAGEIFS(INDIRECT("Tabela1["&amp;$B43&amp;"]"),Tabela1[Turno],$D43,Tabela1[Data Corrigida],T$3)/100,"")</f>
        <v>7.0690870764148747E-2</v>
      </c>
      <c r="U43" s="36">
        <f ca="1">IFERROR(AVERAGEIFS(INDIRECT("Tabela1["&amp;$B43&amp;"]"),Tabela1[Turno],$D43,Tabela1[Data Corrigida],U$3)/100,"")</f>
        <v>4.1296405036863042E-2</v>
      </c>
      <c r="V43" s="36">
        <f ca="1">IFERROR(AVERAGEIFS(INDIRECT("Tabela1["&amp;$B43&amp;"]"),Tabela1[Turno],$D43,Tabela1[Data Corrigida],V$3)/100,"")</f>
        <v>4.5357541009714925E-2</v>
      </c>
      <c r="W43" s="36" t="str">
        <f ca="1">IFERROR(AVERAGEIFS(INDIRECT("Tabela1["&amp;$B43&amp;"]"),Tabela1[Turno],$D43,Tabela1[Data Corrigida],W$3)/100,"")</f>
        <v/>
      </c>
      <c r="X43" s="36" t="str">
        <f ca="1">IFERROR(AVERAGEIFS(INDIRECT("Tabela1["&amp;$B43&amp;"]"),Tabela1[Turno],$D43,Tabela1[Data Corrigida],X$3)/100,"")</f>
        <v/>
      </c>
      <c r="Y43" s="36" t="str">
        <f ca="1">IFERROR(AVERAGEIFS(INDIRECT("Tabela1["&amp;$B43&amp;"]"),Tabela1[Turno],$D43,Tabela1[Data Corrigida],Y$3)/100,"")</f>
        <v/>
      </c>
      <c r="Z43" s="36" t="str">
        <f ca="1">IFERROR(AVERAGEIFS(INDIRECT("Tabela1["&amp;$B43&amp;"]"),Tabela1[Turno],$D43,Tabela1[Data Corrigida],Z$3)/100,"")</f>
        <v/>
      </c>
      <c r="AA43" s="36" t="str">
        <f ca="1">IFERROR(AVERAGEIFS(INDIRECT("Tabela1["&amp;$B43&amp;"]"),Tabela1[Turno],$D43,Tabela1[Data Corrigida],AA$3)/100,"")</f>
        <v/>
      </c>
      <c r="AB43" s="36" t="str">
        <f ca="1">IFERROR(AVERAGEIFS(INDIRECT("Tabela1["&amp;$B43&amp;"]"),Tabela1[Turno],$D43,Tabela1[Data Corrigida],AB$3)/100,"")</f>
        <v/>
      </c>
      <c r="AC43" s="36" t="str">
        <f ca="1">IFERROR(AVERAGEIFS(INDIRECT("Tabela1["&amp;$B43&amp;"]"),Tabela1[Turno],$D43,Tabela1[Data Corrigida],AC$3)/100,"")</f>
        <v/>
      </c>
      <c r="AD43" s="36" t="str">
        <f ca="1">IFERROR(AVERAGEIFS(INDIRECT("Tabela1["&amp;$B43&amp;"]"),Tabela1[Turno],$D43,Tabela1[Data Corrigida],AD$3)/100,"")</f>
        <v/>
      </c>
      <c r="AE43" s="36" t="str">
        <f ca="1">IFERROR(AVERAGEIFS(INDIRECT("Tabela1["&amp;$B43&amp;"]"),Tabela1[Turno],$D43,Tabela1[Data Corrigida],AE$3)/100,"")</f>
        <v/>
      </c>
      <c r="AF43" s="36" t="str">
        <f ca="1">IFERROR(AVERAGEIFS(INDIRECT("Tabela1["&amp;$B43&amp;"]"),Tabela1[Turno],$D43,Tabela1[Data Corrigida],AF$3)/100,"")</f>
        <v/>
      </c>
      <c r="AG43" s="36" t="str">
        <f ca="1">IFERROR(AVERAGEIFS(INDIRECT("Tabela1["&amp;$B43&amp;"]"),Tabela1[Turno],$D43,Tabela1[Data Corrigida],AG$3)/100,"")</f>
        <v/>
      </c>
      <c r="AH43" s="36" t="str">
        <f ca="1">IFERROR(AVERAGEIFS(INDIRECT("Tabela1["&amp;$B43&amp;"]"),Tabela1[Turno],$D43,Tabela1[Data Corrigida],AH$3)/100,"")</f>
        <v/>
      </c>
      <c r="AI43" s="36" t="str">
        <f ca="1">IFERROR(AVERAGEIFS(INDIRECT("Tabela1["&amp;$B43&amp;"]"),Tabela1[Turno],$D43,Tabela1[Data Corrigida],AI$3)/100,"")</f>
        <v/>
      </c>
      <c r="AJ43" s="36" t="str">
        <f ca="1">IFERROR(AVERAGEIFS(INDIRECT("Tabela1["&amp;$B43&amp;"]"),Tabela1[Turno],$D43,Tabela1[Data Corrigida],AJ$3)/100,"")</f>
        <v/>
      </c>
      <c r="AK43" s="36" t="str">
        <f ca="1">IFERROR(AVERAGEIFS(INDIRECT("Tabela1["&amp;$B43&amp;"]"),Tabela1[Turno],$D43,Tabela1[Data Corrigida],AK$3)/100,"")</f>
        <v/>
      </c>
      <c r="AL43" s="36" t="str">
        <f ca="1">IFERROR(AVERAGEIFS(INDIRECT("Tabela1["&amp;$B43&amp;"]"),Tabela1[Turno],$D43,Tabela1[Data Corrigida],AL$3)/100,"")</f>
        <v/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3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5.7603764013881904E-2</v>
      </c>
      <c r="N44" s="45">
        <f ca="1">IFERROR(AVERAGEIFS(INDIRECT("Tabela1["&amp;$B44&amp;"]"),Tabela1[Mês],N$3)/100,"")</f>
        <v>4.5588300427005291E-2</v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0"/>
      <c r="R44" s="37">
        <f ca="1">IFERROR(AVERAGEIFS(INDIRECT("Tabela1["&amp;$B44&amp;"]"),Tabela1[Data Corrigida],R$3)/100,"")</f>
        <v>3.7079897328344526E-2</v>
      </c>
      <c r="S44" s="38">
        <f ca="1">IFERROR(AVERAGEIFS(INDIRECT("Tabela1["&amp;$B44&amp;"]"),Tabela1[Data Corrigida],S$3)/100,"")</f>
        <v>3.1667568078998128E-2</v>
      </c>
      <c r="T44" s="38">
        <f ca="1">IFERROR(AVERAGEIFS(INDIRECT("Tabela1["&amp;$B44&amp;"]"),Tabela1[Data Corrigida],T$3)/100,"")</f>
        <v>6.2633537688496166E-2</v>
      </c>
      <c r="U44" s="38">
        <f ca="1">IFERROR(AVERAGEIFS(INDIRECT("Tabela1["&amp;$B44&amp;"]"),Tabela1[Data Corrigida],U$3)/100,"")</f>
        <v>4.1166709477837446E-2</v>
      </c>
      <c r="V44" s="38">
        <f ca="1">IFERROR(AVERAGEIFS(INDIRECT("Tabela1["&amp;$B44&amp;"]"),Tabela1[Data Corrigida],V$3)/100,"")</f>
        <v>5.3192359037449739E-2</v>
      </c>
      <c r="W44" s="38">
        <f ca="1">IFERROR(AVERAGEIFS(INDIRECT("Tabela1["&amp;$B44&amp;"]"),Tabela1[Data Corrigida],W$3)/100,"")</f>
        <v>6.2224731789949174E-2</v>
      </c>
      <c r="X44" s="38" t="str">
        <f ca="1">IFERROR(AVERAGEIFS(INDIRECT("Tabela1["&amp;$B44&amp;"]"),Tabela1[Data Corrigida],X$3)/100,"")</f>
        <v/>
      </c>
      <c r="Y44" s="38" t="str">
        <f ca="1">IFERROR(AVERAGEIFS(INDIRECT("Tabela1["&amp;$B44&amp;"]"),Tabela1[Data Corrigida],Y$3)/100,"")</f>
        <v/>
      </c>
      <c r="Z44" s="38" t="str">
        <f ca="1">IFERROR(AVERAGEIFS(INDIRECT("Tabela1["&amp;$B44&amp;"]"),Tabela1[Data Corrigida],Z$3)/100,"")</f>
        <v/>
      </c>
      <c r="AA44" s="38" t="str">
        <f ca="1">IFERROR(AVERAGEIFS(INDIRECT("Tabela1["&amp;$B44&amp;"]"),Tabela1[Data Corrigida],AA$3)/100,"")</f>
        <v/>
      </c>
      <c r="AB44" s="38" t="str">
        <f ca="1">IFERROR(AVERAGEIFS(INDIRECT("Tabela1["&amp;$B44&amp;"]"),Tabela1[Data Corrigida],AB$3)/100,"")</f>
        <v/>
      </c>
      <c r="AC44" s="38" t="str">
        <f ca="1">IFERROR(AVERAGEIFS(INDIRECT("Tabela1["&amp;$B44&amp;"]"),Tabela1[Data Corrigida],AC$3)/100,"")</f>
        <v/>
      </c>
      <c r="AD44" s="38" t="str">
        <f ca="1">IFERROR(AVERAGEIFS(INDIRECT("Tabela1["&amp;$B44&amp;"]"),Tabela1[Data Corrigida],AD$3)/100,"")</f>
        <v/>
      </c>
      <c r="AE44" s="38" t="str">
        <f ca="1">IFERROR(AVERAGEIFS(INDIRECT("Tabela1["&amp;$B44&amp;"]"),Tabela1[Data Corrigida],AE$3)/100,"")</f>
        <v/>
      </c>
      <c r="AF44" s="38" t="str">
        <f ca="1">IFERROR(AVERAGEIFS(INDIRECT("Tabela1["&amp;$B44&amp;"]"),Tabela1[Data Corrigida],AF$3)/100,"")</f>
        <v/>
      </c>
      <c r="AG44" s="38" t="str">
        <f ca="1">IFERROR(AVERAGEIFS(INDIRECT("Tabela1["&amp;$B44&amp;"]"),Tabela1[Data Corrigida],AG$3)/100,"")</f>
        <v/>
      </c>
      <c r="AH44" s="38" t="str">
        <f ca="1">IFERROR(AVERAGEIFS(INDIRECT("Tabela1["&amp;$B44&amp;"]"),Tabela1[Data Corrigida],AH$3)/100,"")</f>
        <v/>
      </c>
      <c r="AI44" s="38" t="str">
        <f ca="1">IFERROR(AVERAGEIFS(INDIRECT("Tabela1["&amp;$B44&amp;"]"),Tabela1[Data Corrigida],AI$3)/100,"")</f>
        <v/>
      </c>
      <c r="AJ44" s="38" t="str">
        <f ca="1">IFERROR(AVERAGEIFS(INDIRECT("Tabela1["&amp;$B44&amp;"]"),Tabela1[Data Corrigida],AJ$3)/100,"")</f>
        <v/>
      </c>
      <c r="AK44" s="38" t="str">
        <f ca="1">IFERROR(AVERAGEIFS(INDIRECT("Tabela1["&amp;$B44&amp;"]"),Tabela1[Data Corrigida],AK$3)/100,"")</f>
        <v/>
      </c>
      <c r="AL44" s="38" t="str">
        <f ca="1">IFERROR(AVERAGEIFS(INDIRECT("Tabela1["&amp;$B44&amp;"]"),Tabela1[Data Corrigida],AL$3)/100,"")</f>
        <v/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25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61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4.8122921418127219E-2</v>
      </c>
      <c r="N45" s="34">
        <f ca="1">IFERROR(AVERAGEIFS(INDIRECT("Tabela1["&amp;$B45&amp;"]"),Tabela1[Turno],$D45,Tabela1[Mês],N$3)/100,"")</f>
        <v>4.6547857738265364E-2</v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58">
        <v>0.05</v>
      </c>
      <c r="R45" s="39">
        <f ca="1">IFERROR(AVERAGEIFS(INDIRECT("Tabela1["&amp;$B45&amp;"]"),Tabela1[Turno],$D45,Tabela1[Data Corrigida],R$3)/100,"")</f>
        <v>4.3478260869565216E-2</v>
      </c>
      <c r="S45" s="40">
        <f ca="1">IFERROR(AVERAGEIFS(INDIRECT("Tabela1["&amp;$B45&amp;"]"),Tabela1[Turno],$D45,Tabela1[Data Corrigida],S$3)/100,"")</f>
        <v>4.4198099625683843E-2</v>
      </c>
      <c r="T45" s="40">
        <f ca="1">IFERROR(AVERAGEIFS(INDIRECT("Tabela1["&amp;$B45&amp;"]"),Tabela1[Turno],$D45,Tabela1[Data Corrigida],T$3)/100,"")</f>
        <v>4.4871794871794872E-2</v>
      </c>
      <c r="U45" s="40">
        <f ca="1">IFERROR(AVERAGEIFS(INDIRECT("Tabela1["&amp;$B45&amp;"]"),Tabela1[Turno],$D45,Tabela1[Data Corrigida],U$3)/100,"")</f>
        <v>4.5777591973244151E-2</v>
      </c>
      <c r="V45" s="40">
        <f ca="1">IFERROR(AVERAGEIFS(INDIRECT("Tabela1["&amp;$B45&amp;"]"),Tabela1[Turno],$D45,Tabela1[Data Corrigida],V$3)/100,"")</f>
        <v>5.0995995078920497E-2</v>
      </c>
      <c r="W45" s="40">
        <f ca="1">IFERROR(AVERAGEIFS(INDIRECT("Tabela1["&amp;$B45&amp;"]"),Tabela1[Turno],$D45,Tabela1[Data Corrigida],W$3)/100,"")</f>
        <v>4.870835686053078E-2</v>
      </c>
      <c r="X45" s="40" t="str">
        <f ca="1">IFERROR(AVERAGEIFS(INDIRECT("Tabela1["&amp;$B45&amp;"]"),Tabela1[Turno],$D45,Tabela1[Data Corrigida],X$3)/100,"")</f>
        <v/>
      </c>
      <c r="Y45" s="40" t="str">
        <f ca="1">IFERROR(AVERAGEIFS(INDIRECT("Tabela1["&amp;$B45&amp;"]"),Tabela1[Turno],$D45,Tabela1[Data Corrigida],Y$3)/100,"")</f>
        <v/>
      </c>
      <c r="Z45" s="40" t="str">
        <f ca="1">IFERROR(AVERAGEIFS(INDIRECT("Tabela1["&amp;$B45&amp;"]"),Tabela1[Turno],$D45,Tabela1[Data Corrigida],Z$3)/100,"")</f>
        <v/>
      </c>
      <c r="AA45" s="40" t="str">
        <f ca="1">IFERROR(AVERAGEIFS(INDIRECT("Tabela1["&amp;$B45&amp;"]"),Tabela1[Turno],$D45,Tabela1[Data Corrigida],AA$3)/100,"")</f>
        <v/>
      </c>
      <c r="AB45" s="40" t="str">
        <f ca="1">IFERROR(AVERAGEIFS(INDIRECT("Tabela1["&amp;$B45&amp;"]"),Tabela1[Turno],$D45,Tabela1[Data Corrigida],AB$3)/100,"")</f>
        <v/>
      </c>
      <c r="AC45" s="40" t="str">
        <f ca="1">IFERROR(AVERAGEIFS(INDIRECT("Tabela1["&amp;$B45&amp;"]"),Tabela1[Turno],$D45,Tabela1[Data Corrigida],AC$3)/100,"")</f>
        <v/>
      </c>
      <c r="AD45" s="40" t="str">
        <f ca="1">IFERROR(AVERAGEIFS(INDIRECT("Tabela1["&amp;$B45&amp;"]"),Tabela1[Turno],$D45,Tabela1[Data Corrigida],AD$3)/100,"")</f>
        <v/>
      </c>
      <c r="AE45" s="40" t="str">
        <f ca="1">IFERROR(AVERAGEIFS(INDIRECT("Tabela1["&amp;$B45&amp;"]"),Tabela1[Turno],$D45,Tabela1[Data Corrigida],AE$3)/100,"")</f>
        <v/>
      </c>
      <c r="AF45" s="40" t="str">
        <f ca="1">IFERROR(AVERAGEIFS(INDIRECT("Tabela1["&amp;$B45&amp;"]"),Tabela1[Turno],$D45,Tabela1[Data Corrigida],AF$3)/100,"")</f>
        <v/>
      </c>
      <c r="AG45" s="40" t="str">
        <f ca="1">IFERROR(AVERAGEIFS(INDIRECT("Tabela1["&amp;$B45&amp;"]"),Tabela1[Turno],$D45,Tabela1[Data Corrigida],AG$3)/100,"")</f>
        <v/>
      </c>
      <c r="AH45" s="40" t="str">
        <f ca="1">IFERROR(AVERAGEIFS(INDIRECT("Tabela1["&amp;$B45&amp;"]"),Tabela1[Turno],$D45,Tabela1[Data Corrigida],AH$3)/100,"")</f>
        <v/>
      </c>
      <c r="AI45" s="40" t="str">
        <f ca="1">IFERROR(AVERAGEIFS(INDIRECT("Tabela1["&amp;$B45&amp;"]"),Tabela1[Turno],$D45,Tabela1[Data Corrigida],AI$3)/100,"")</f>
        <v/>
      </c>
      <c r="AJ45" s="40" t="str">
        <f ca="1">IFERROR(AVERAGEIFS(INDIRECT("Tabela1["&amp;$B45&amp;"]"),Tabela1[Turno],$D45,Tabela1[Data Corrigida],AJ$3)/100,"")</f>
        <v/>
      </c>
      <c r="AK45" s="40" t="str">
        <f ca="1">IFERROR(AVERAGEIFS(INDIRECT("Tabela1["&amp;$B45&amp;"]"),Tabela1[Turno],$D45,Tabela1[Data Corrigida],AK$3)/100,"")</f>
        <v/>
      </c>
      <c r="AL45" s="40" t="str">
        <f ca="1">IFERROR(AVERAGEIFS(INDIRECT("Tabela1["&amp;$B45&amp;"]"),Tabela1[Turno],$D45,Tabela1[Data Corrigida],AL$3)/100,"")</f>
        <v/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25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62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4.0861822319631556E-2</v>
      </c>
      <c r="N46" s="36">
        <f ca="1">IFERROR(AVERAGEIFS(INDIRECT("Tabela1["&amp;$B46&amp;"]"),Tabela1[Turno],$D46,Tabela1[Mês],N$3)/100,"")</f>
        <v>4.016088356914041E-2</v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59"/>
      <c r="R46" s="35">
        <f ca="1">IFERROR(AVERAGEIFS(INDIRECT("Tabela1["&amp;$B46&amp;"]"),Tabela1[Turno],$D46,Tabela1[Data Corrigida],R$3)/100,"")</f>
        <v>4.5336145336145328E-2</v>
      </c>
      <c r="S46" s="36">
        <f ca="1">IFERROR(AVERAGEIFS(INDIRECT("Tabela1["&amp;$B46&amp;"]"),Tabela1[Turno],$D46,Tabela1[Data Corrigida],S$3)/100,"")</f>
        <v>3.7473937024161914E-2</v>
      </c>
      <c r="T46" s="36">
        <f ca="1">IFERROR(AVERAGEIFS(INDIRECT("Tabela1["&amp;$B46&amp;"]"),Tabela1[Turno],$D46,Tabela1[Data Corrigida],T$3)/100,"")</f>
        <v>4.8242969102763926E-2</v>
      </c>
      <c r="U46" s="36">
        <f ca="1">IFERROR(AVERAGEIFS(INDIRECT("Tabela1["&amp;$B46&amp;"]"),Tabela1[Turno],$D46,Tabela1[Data Corrigida],U$3)/100,"")</f>
        <v>3.3662817250603508E-2</v>
      </c>
      <c r="V46" s="36">
        <f ca="1">IFERROR(AVERAGEIFS(INDIRECT("Tabela1["&amp;$B46&amp;"]"),Tabela1[Turno],$D46,Tabela1[Data Corrigida],V$3)/100,"")</f>
        <v>3.6088549132027394E-2</v>
      </c>
      <c r="W46" s="36" t="str">
        <f ca="1">IFERROR(AVERAGEIFS(INDIRECT("Tabela1["&amp;$B46&amp;"]"),Tabela1[Turno],$D46,Tabela1[Data Corrigida],W$3)/100,"")</f>
        <v/>
      </c>
      <c r="X46" s="36" t="str">
        <f ca="1">IFERROR(AVERAGEIFS(INDIRECT("Tabela1["&amp;$B46&amp;"]"),Tabela1[Turno],$D46,Tabela1[Data Corrigida],X$3)/100,"")</f>
        <v/>
      </c>
      <c r="Y46" s="36" t="str">
        <f ca="1">IFERROR(AVERAGEIFS(INDIRECT("Tabela1["&amp;$B46&amp;"]"),Tabela1[Turno],$D46,Tabela1[Data Corrigida],Y$3)/100,"")</f>
        <v/>
      </c>
      <c r="Z46" s="36" t="str">
        <f ca="1">IFERROR(AVERAGEIFS(INDIRECT("Tabela1["&amp;$B46&amp;"]"),Tabela1[Turno],$D46,Tabela1[Data Corrigida],Z$3)/100,"")</f>
        <v/>
      </c>
      <c r="AA46" s="36" t="str">
        <f ca="1">IFERROR(AVERAGEIFS(INDIRECT("Tabela1["&amp;$B46&amp;"]"),Tabela1[Turno],$D46,Tabela1[Data Corrigida],AA$3)/100,"")</f>
        <v/>
      </c>
      <c r="AB46" s="36" t="str">
        <f ca="1">IFERROR(AVERAGEIFS(INDIRECT("Tabela1["&amp;$B46&amp;"]"),Tabela1[Turno],$D46,Tabela1[Data Corrigida],AB$3)/100,"")</f>
        <v/>
      </c>
      <c r="AC46" s="36" t="str">
        <f ca="1">IFERROR(AVERAGEIFS(INDIRECT("Tabela1["&amp;$B46&amp;"]"),Tabela1[Turno],$D46,Tabela1[Data Corrigida],AC$3)/100,"")</f>
        <v/>
      </c>
      <c r="AD46" s="36" t="str">
        <f ca="1">IFERROR(AVERAGEIFS(INDIRECT("Tabela1["&amp;$B46&amp;"]"),Tabela1[Turno],$D46,Tabela1[Data Corrigida],AD$3)/100,"")</f>
        <v/>
      </c>
      <c r="AE46" s="36" t="str">
        <f ca="1">IFERROR(AVERAGEIFS(INDIRECT("Tabela1["&amp;$B46&amp;"]"),Tabela1[Turno],$D46,Tabela1[Data Corrigida],AE$3)/100,"")</f>
        <v/>
      </c>
      <c r="AF46" s="36" t="str">
        <f ca="1">IFERROR(AVERAGEIFS(INDIRECT("Tabela1["&amp;$B46&amp;"]"),Tabela1[Turno],$D46,Tabela1[Data Corrigida],AF$3)/100,"")</f>
        <v/>
      </c>
      <c r="AG46" s="36" t="str">
        <f ca="1">IFERROR(AVERAGEIFS(INDIRECT("Tabela1["&amp;$B46&amp;"]"),Tabela1[Turno],$D46,Tabela1[Data Corrigida],AG$3)/100,"")</f>
        <v/>
      </c>
      <c r="AH46" s="36" t="str">
        <f ca="1">IFERROR(AVERAGEIFS(INDIRECT("Tabela1["&amp;$B46&amp;"]"),Tabela1[Turno],$D46,Tabela1[Data Corrigida],AH$3)/100,"")</f>
        <v/>
      </c>
      <c r="AI46" s="36" t="str">
        <f ca="1">IFERROR(AVERAGEIFS(INDIRECT("Tabela1["&amp;$B46&amp;"]"),Tabela1[Turno],$D46,Tabela1[Data Corrigida],AI$3)/100,"")</f>
        <v/>
      </c>
      <c r="AJ46" s="36" t="str">
        <f ca="1">IFERROR(AVERAGEIFS(INDIRECT("Tabela1["&amp;$B46&amp;"]"),Tabela1[Turno],$D46,Tabela1[Data Corrigida],AJ$3)/100,"")</f>
        <v/>
      </c>
      <c r="AK46" s="36" t="str">
        <f ca="1">IFERROR(AVERAGEIFS(INDIRECT("Tabela1["&amp;$B46&amp;"]"),Tabela1[Turno],$D46,Tabela1[Data Corrigida],AK$3)/100,"")</f>
        <v/>
      </c>
      <c r="AL46" s="36" t="str">
        <f ca="1">IFERROR(AVERAGEIFS(INDIRECT("Tabela1["&amp;$B46&amp;"]"),Tabela1[Turno],$D46,Tabela1[Data Corrigida],AL$3)/100,"")</f>
        <v/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3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4.4989707423570877E-2</v>
      </c>
      <c r="N47" s="45">
        <f ca="1">IFERROR(AVERAGEIFS(INDIRECT("Tabela1["&amp;$B47&amp;"]"),Tabela1[Mês],N$3)/100,"")</f>
        <v>4.388661850112998E-2</v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0"/>
      <c r="R47" s="42">
        <f ca="1">IFERROR(AVERAGEIFS(INDIRECT("Tabela1["&amp;$B47&amp;"]"),Tabela1[Data Corrigida],R$3)/100,"")</f>
        <v>4.4274497069528122E-2</v>
      </c>
      <c r="S47" s="43">
        <f ca="1">IFERROR(AVERAGEIFS(INDIRECT("Tabela1["&amp;$B47&amp;"]"),Tabela1[Data Corrigida],S$3)/100,"")</f>
        <v>4.1316315653603025E-2</v>
      </c>
      <c r="T47" s="43">
        <f ca="1">IFERROR(AVERAGEIFS(INDIRECT("Tabela1["&amp;$B47&amp;"]"),Tabela1[Data Corrigida],T$3)/100,"")</f>
        <v>4.7400175545021669E-2</v>
      </c>
      <c r="U47" s="43">
        <f ca="1">IFERROR(AVERAGEIFS(INDIRECT("Tabela1["&amp;$B47&amp;"]"),Tabela1[Data Corrigida],U$3)/100,"")</f>
        <v>4.0585545663541014E-2</v>
      </c>
      <c r="V47" s="43">
        <f ca="1">IFERROR(AVERAGEIFS(INDIRECT("Tabela1["&amp;$B47&amp;"]"),Tabela1[Data Corrigida],V$3)/100,"")</f>
        <v>4.4607089673109168E-2</v>
      </c>
      <c r="W47" s="43">
        <f ca="1">IFERROR(AVERAGEIFS(INDIRECT("Tabela1["&amp;$B47&amp;"]"),Tabela1[Data Corrigida],W$3)/100,"")</f>
        <v>4.870835686053078E-2</v>
      </c>
      <c r="X47" s="43" t="str">
        <f ca="1">IFERROR(AVERAGEIFS(INDIRECT("Tabela1["&amp;$B47&amp;"]"),Tabela1[Data Corrigida],X$3)/100,"")</f>
        <v/>
      </c>
      <c r="Y47" s="43" t="str">
        <f ca="1">IFERROR(AVERAGEIFS(INDIRECT("Tabela1["&amp;$B47&amp;"]"),Tabela1[Data Corrigida],Y$3)/100,"")</f>
        <v/>
      </c>
      <c r="Z47" s="43" t="str">
        <f ca="1">IFERROR(AVERAGEIFS(INDIRECT("Tabela1["&amp;$B47&amp;"]"),Tabela1[Data Corrigida],Z$3)/100,"")</f>
        <v/>
      </c>
      <c r="AA47" s="43" t="str">
        <f ca="1">IFERROR(AVERAGEIFS(INDIRECT("Tabela1["&amp;$B47&amp;"]"),Tabela1[Data Corrigida],AA$3)/100,"")</f>
        <v/>
      </c>
      <c r="AB47" s="43" t="str">
        <f ca="1">IFERROR(AVERAGEIFS(INDIRECT("Tabela1["&amp;$B47&amp;"]"),Tabela1[Data Corrigida],AB$3)/100,"")</f>
        <v/>
      </c>
      <c r="AC47" s="43" t="str">
        <f ca="1">IFERROR(AVERAGEIFS(INDIRECT("Tabela1["&amp;$B47&amp;"]"),Tabela1[Data Corrigida],AC$3)/100,"")</f>
        <v/>
      </c>
      <c r="AD47" s="43" t="str">
        <f ca="1">IFERROR(AVERAGEIFS(INDIRECT("Tabela1["&amp;$B47&amp;"]"),Tabela1[Data Corrigida],AD$3)/100,"")</f>
        <v/>
      </c>
      <c r="AE47" s="43" t="str">
        <f ca="1">IFERROR(AVERAGEIFS(INDIRECT("Tabela1["&amp;$B47&amp;"]"),Tabela1[Data Corrigida],AE$3)/100,"")</f>
        <v/>
      </c>
      <c r="AF47" s="43" t="str">
        <f ca="1">IFERROR(AVERAGEIFS(INDIRECT("Tabela1["&amp;$B47&amp;"]"),Tabela1[Data Corrigida],AF$3)/100,"")</f>
        <v/>
      </c>
      <c r="AG47" s="43" t="str">
        <f ca="1">IFERROR(AVERAGEIFS(INDIRECT("Tabela1["&amp;$B47&amp;"]"),Tabela1[Data Corrigida],AG$3)/100,"")</f>
        <v/>
      </c>
      <c r="AH47" s="43" t="str">
        <f ca="1">IFERROR(AVERAGEIFS(INDIRECT("Tabela1["&amp;$B47&amp;"]"),Tabela1[Data Corrigida],AH$3)/100,"")</f>
        <v/>
      </c>
      <c r="AI47" s="43" t="str">
        <f ca="1">IFERROR(AVERAGEIFS(INDIRECT("Tabela1["&amp;$B47&amp;"]"),Tabela1[Data Corrigida],AI$3)/100,"")</f>
        <v/>
      </c>
      <c r="AJ47" s="43" t="str">
        <f ca="1">IFERROR(AVERAGEIFS(INDIRECT("Tabela1["&amp;$B47&amp;"]"),Tabela1[Data Corrigida],AJ$3)/100,"")</f>
        <v/>
      </c>
      <c r="AK47" s="43" t="str">
        <f ca="1">IFERROR(AVERAGEIFS(INDIRECT("Tabela1["&amp;$B47&amp;"]"),Tabela1[Data Corrigida],AK$3)/100,"")</f>
        <v/>
      </c>
      <c r="AL47" s="43" t="str">
        <f ca="1">IFERROR(AVERAGEIFS(INDIRECT("Tabela1["&amp;$B47&amp;"]"),Tabela1[Data Corrigida],AL$3)/100,"")</f>
        <v/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25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61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1.0567469865847829E-2</v>
      </c>
      <c r="N48" s="34">
        <f ca="1">IFERROR(AVERAGEIFS(INDIRECT("Tabela1["&amp;$B48&amp;"]"),Tabela1[Turno],$D48,Tabela1[Mês],N$3)/100,"")</f>
        <v>8.3462942662481995E-3</v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58">
        <v>0.01</v>
      </c>
      <c r="R48" s="33">
        <f ca="1">IFERROR(AVERAGEIFS(INDIRECT("Tabela1["&amp;$B48&amp;"]"),Tabela1[Turno],$D48,Tabela1[Data Corrigida],R$3)/100,"")</f>
        <v>6.2111801242236021E-3</v>
      </c>
      <c r="S48" s="34">
        <f ca="1">IFERROR(AVERAGEIFS(INDIRECT("Tabela1["&amp;$B48&amp;"]"),Tabela1[Turno],$D48,Tabela1[Data Corrigida],S$3)/100,"")</f>
        <v>1.2730862572498045E-2</v>
      </c>
      <c r="T48" s="34">
        <f ca="1">IFERROR(AVERAGEIFS(INDIRECT("Tabela1["&amp;$B48&amp;"]"),Tabela1[Turno],$D48,Tabela1[Data Corrigida],T$3)/100,"")</f>
        <v>6.41025641025641E-3</v>
      </c>
      <c r="U48" s="34">
        <f ca="1">IFERROR(AVERAGEIFS(INDIRECT("Tabela1["&amp;$B48&amp;"]"),Tabela1[Turno],$D48,Tabela1[Data Corrigida],U$3)/100,"")</f>
        <v>6.3107182672400052E-3</v>
      </c>
      <c r="V48" s="34">
        <f ca="1">IFERROR(AVERAGEIFS(INDIRECT("Tabela1["&amp;$B48&amp;"]"),Tabela1[Turno],$D48,Tabela1[Data Corrigida],V$3)/100,"")</f>
        <v>1.0448038860074565E-2</v>
      </c>
      <c r="W48" s="34">
        <f ca="1">IFERROR(AVERAGEIFS(INDIRECT("Tabela1["&amp;$B48&amp;"]"),Tabela1[Turno],$D48,Tabela1[Data Corrigida],W$3)/100,"")</f>
        <v>6.5146809712027095E-3</v>
      </c>
      <c r="X48" s="34" t="str">
        <f ca="1">IFERROR(AVERAGEIFS(INDIRECT("Tabela1["&amp;$B48&amp;"]"),Tabela1[Turno],$D48,Tabela1[Data Corrigida],X$3)/100,"")</f>
        <v/>
      </c>
      <c r="Y48" s="34" t="str">
        <f ca="1">IFERROR(AVERAGEIFS(INDIRECT("Tabela1["&amp;$B48&amp;"]"),Tabela1[Turno],$D48,Tabela1[Data Corrigida],Y$3)/100,"")</f>
        <v/>
      </c>
      <c r="Z48" s="34" t="str">
        <f ca="1">IFERROR(AVERAGEIFS(INDIRECT("Tabela1["&amp;$B48&amp;"]"),Tabela1[Turno],$D48,Tabela1[Data Corrigida],Z$3)/100,"")</f>
        <v/>
      </c>
      <c r="AA48" s="34" t="str">
        <f ca="1">IFERROR(AVERAGEIFS(INDIRECT("Tabela1["&amp;$B48&amp;"]"),Tabela1[Turno],$D48,Tabela1[Data Corrigida],AA$3)/100,"")</f>
        <v/>
      </c>
      <c r="AB48" s="34" t="str">
        <f ca="1">IFERROR(AVERAGEIFS(INDIRECT("Tabela1["&amp;$B48&amp;"]"),Tabela1[Turno],$D48,Tabela1[Data Corrigida],AB$3)/100,"")</f>
        <v/>
      </c>
      <c r="AC48" s="34" t="str">
        <f ca="1">IFERROR(AVERAGEIFS(INDIRECT("Tabela1["&amp;$B48&amp;"]"),Tabela1[Turno],$D48,Tabela1[Data Corrigida],AC$3)/100,"")</f>
        <v/>
      </c>
      <c r="AD48" s="34" t="str">
        <f ca="1">IFERROR(AVERAGEIFS(INDIRECT("Tabela1["&amp;$B48&amp;"]"),Tabela1[Turno],$D48,Tabela1[Data Corrigida],AD$3)/100,"")</f>
        <v/>
      </c>
      <c r="AE48" s="34" t="str">
        <f ca="1">IFERROR(AVERAGEIFS(INDIRECT("Tabela1["&amp;$B48&amp;"]"),Tabela1[Turno],$D48,Tabela1[Data Corrigida],AE$3)/100,"")</f>
        <v/>
      </c>
      <c r="AF48" s="34" t="str">
        <f ca="1">IFERROR(AVERAGEIFS(INDIRECT("Tabela1["&amp;$B48&amp;"]"),Tabela1[Turno],$D48,Tabela1[Data Corrigida],AF$3)/100,"")</f>
        <v/>
      </c>
      <c r="AG48" s="34" t="str">
        <f ca="1">IFERROR(AVERAGEIFS(INDIRECT("Tabela1["&amp;$B48&amp;"]"),Tabela1[Turno],$D48,Tabela1[Data Corrigida],AG$3)/100,"")</f>
        <v/>
      </c>
      <c r="AH48" s="34" t="str">
        <f ca="1">IFERROR(AVERAGEIFS(INDIRECT("Tabela1["&amp;$B48&amp;"]"),Tabela1[Turno],$D48,Tabela1[Data Corrigida],AH$3)/100,"")</f>
        <v/>
      </c>
      <c r="AI48" s="34" t="str">
        <f ca="1">IFERROR(AVERAGEIFS(INDIRECT("Tabela1["&amp;$B48&amp;"]"),Tabela1[Turno],$D48,Tabela1[Data Corrigida],AI$3)/100,"")</f>
        <v/>
      </c>
      <c r="AJ48" s="34" t="str">
        <f ca="1">IFERROR(AVERAGEIFS(INDIRECT("Tabela1["&amp;$B48&amp;"]"),Tabela1[Turno],$D48,Tabela1[Data Corrigida],AJ$3)/100,"")</f>
        <v/>
      </c>
      <c r="AK48" s="34" t="str">
        <f ca="1">IFERROR(AVERAGEIFS(INDIRECT("Tabela1["&amp;$B48&amp;"]"),Tabela1[Turno],$D48,Tabela1[Data Corrigida],AK$3)/100,"")</f>
        <v/>
      </c>
      <c r="AL48" s="34" t="str">
        <f ca="1">IFERROR(AVERAGEIFS(INDIRECT("Tabela1["&amp;$B48&amp;"]"),Tabela1[Turno],$D48,Tabela1[Data Corrigida],AL$3)/100,"")</f>
        <v/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25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62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1.0897844273586323E-3</v>
      </c>
      <c r="N49" s="36">
        <f ca="1">IFERROR(AVERAGEIFS(INDIRECT("Tabela1["&amp;$B49&amp;"]"),Tabela1[Turno],$D49,Tabela1[Mês],N$3)/100,"")</f>
        <v>1.7550565376652334E-3</v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59"/>
      <c r="R49" s="35">
        <f ca="1">IFERROR(AVERAGEIFS(INDIRECT("Tabela1["&amp;$B49&amp;"]"),Tabela1[Turno],$D49,Tabela1[Data Corrigida],R$3)/100,"")</f>
        <v>0</v>
      </c>
      <c r="S49" s="36">
        <f ca="1">IFERROR(AVERAGEIFS(INDIRECT("Tabela1["&amp;$B49&amp;"]"),Tabela1[Turno],$D49,Tabela1[Data Corrigida],S$3)/100,"")</f>
        <v>2.0703933747412005E-3</v>
      </c>
      <c r="T49" s="36">
        <f ca="1">IFERROR(AVERAGEIFS(INDIRECT("Tabela1["&amp;$B49&amp;"]"),Tabela1[Turno],$D49,Tabela1[Data Corrigida],T$3)/100,"")</f>
        <v>2.0703933747412005E-3</v>
      </c>
      <c r="U49" s="36">
        <f ca="1">IFERROR(AVERAGEIFS(INDIRECT("Tabela1["&amp;$B49&amp;"]"),Tabela1[Turno],$D49,Tabela1[Data Corrigida],U$3)/100,"")</f>
        <v>0</v>
      </c>
      <c r="V49" s="36">
        <f ca="1">IFERROR(AVERAGEIFS(INDIRECT("Tabela1["&amp;$B49&amp;"]"),Tabela1[Turno],$D49,Tabela1[Data Corrigida],V$3)/100,"")</f>
        <v>4.6344959388437655E-3</v>
      </c>
      <c r="W49" s="36" t="str">
        <f ca="1">IFERROR(AVERAGEIFS(INDIRECT("Tabela1["&amp;$B49&amp;"]"),Tabela1[Turno],$D49,Tabela1[Data Corrigida],W$3)/100,"")</f>
        <v/>
      </c>
      <c r="X49" s="36" t="str">
        <f ca="1">IFERROR(AVERAGEIFS(INDIRECT("Tabela1["&amp;$B49&amp;"]"),Tabela1[Turno],$D49,Tabela1[Data Corrigida],X$3)/100,"")</f>
        <v/>
      </c>
      <c r="Y49" s="36" t="str">
        <f ca="1">IFERROR(AVERAGEIFS(INDIRECT("Tabela1["&amp;$B49&amp;"]"),Tabela1[Turno],$D49,Tabela1[Data Corrigida],Y$3)/100,"")</f>
        <v/>
      </c>
      <c r="Z49" s="36" t="str">
        <f ca="1">IFERROR(AVERAGEIFS(INDIRECT("Tabela1["&amp;$B49&amp;"]"),Tabela1[Turno],$D49,Tabela1[Data Corrigida],Z$3)/100,"")</f>
        <v/>
      </c>
      <c r="AA49" s="36" t="str">
        <f ca="1">IFERROR(AVERAGEIFS(INDIRECT("Tabela1["&amp;$B49&amp;"]"),Tabela1[Turno],$D49,Tabela1[Data Corrigida],AA$3)/100,"")</f>
        <v/>
      </c>
      <c r="AB49" s="36" t="str">
        <f ca="1">IFERROR(AVERAGEIFS(INDIRECT("Tabela1["&amp;$B49&amp;"]"),Tabela1[Turno],$D49,Tabela1[Data Corrigida],AB$3)/100,"")</f>
        <v/>
      </c>
      <c r="AC49" s="36" t="str">
        <f ca="1">IFERROR(AVERAGEIFS(INDIRECT("Tabela1["&amp;$B49&amp;"]"),Tabela1[Turno],$D49,Tabela1[Data Corrigida],AC$3)/100,"")</f>
        <v/>
      </c>
      <c r="AD49" s="36" t="str">
        <f ca="1">IFERROR(AVERAGEIFS(INDIRECT("Tabela1["&amp;$B49&amp;"]"),Tabela1[Turno],$D49,Tabela1[Data Corrigida],AD$3)/100,"")</f>
        <v/>
      </c>
      <c r="AE49" s="36" t="str">
        <f ca="1">IFERROR(AVERAGEIFS(INDIRECT("Tabela1["&amp;$B49&amp;"]"),Tabela1[Turno],$D49,Tabela1[Data Corrigida],AE$3)/100,"")</f>
        <v/>
      </c>
      <c r="AF49" s="36" t="str">
        <f ca="1">IFERROR(AVERAGEIFS(INDIRECT("Tabela1["&amp;$B49&amp;"]"),Tabela1[Turno],$D49,Tabela1[Data Corrigida],AF$3)/100,"")</f>
        <v/>
      </c>
      <c r="AG49" s="36" t="str">
        <f ca="1">IFERROR(AVERAGEIFS(INDIRECT("Tabela1["&amp;$B49&amp;"]"),Tabela1[Turno],$D49,Tabela1[Data Corrigida],AG$3)/100,"")</f>
        <v/>
      </c>
      <c r="AH49" s="36" t="str">
        <f ca="1">IFERROR(AVERAGEIFS(INDIRECT("Tabela1["&amp;$B49&amp;"]"),Tabela1[Turno],$D49,Tabela1[Data Corrigida],AH$3)/100,"")</f>
        <v/>
      </c>
      <c r="AI49" s="36" t="str">
        <f ca="1">IFERROR(AVERAGEIFS(INDIRECT("Tabela1["&amp;$B49&amp;"]"),Tabela1[Turno],$D49,Tabela1[Data Corrigida],AI$3)/100,"")</f>
        <v/>
      </c>
      <c r="AJ49" s="36" t="str">
        <f ca="1">IFERROR(AVERAGEIFS(INDIRECT("Tabela1["&amp;$B49&amp;"]"),Tabela1[Turno],$D49,Tabela1[Data Corrigida],AJ$3)/100,"")</f>
        <v/>
      </c>
      <c r="AK49" s="36" t="str">
        <f ca="1">IFERROR(AVERAGEIFS(INDIRECT("Tabela1["&amp;$B49&amp;"]"),Tabela1[Turno],$D49,Tabela1[Data Corrigida],AK$3)/100,"")</f>
        <v/>
      </c>
      <c r="AL49" s="36" t="str">
        <f ca="1">IFERROR(AVERAGEIFS(INDIRECT("Tabela1["&amp;$B49&amp;"]"),Tabela1[Turno],$D49,Tabela1[Data Corrigida],AL$3)/100,"")</f>
        <v/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3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6.4777836834860525E-3</v>
      </c>
      <c r="N50" s="45">
        <f ca="1">IFERROR(AVERAGEIFS(INDIRECT("Tabela1["&amp;$B50&amp;"]"),Tabela1[Mês],N$3)/100,"")</f>
        <v>5.5999452126719636E-3</v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0"/>
      <c r="R50" s="37">
        <f ca="1">IFERROR(AVERAGEIFS(INDIRECT("Tabela1["&amp;$B50&amp;"]"),Tabela1[Data Corrigida],R$3)/100,"")</f>
        <v>3.5492457852706301E-3</v>
      </c>
      <c r="S50" s="38">
        <f ca="1">IFERROR(AVERAGEIFS(INDIRECT("Tabela1["&amp;$B50&amp;"]"),Tabela1[Data Corrigida],S$3)/100,"")</f>
        <v>8.1620900591736836E-3</v>
      </c>
      <c r="T50" s="38">
        <f ca="1">IFERROR(AVERAGEIFS(INDIRECT("Tabela1["&amp;$B50&amp;"]"),Tabela1[Data Corrigida],T$3)/100,"")</f>
        <v>3.1553591336200026E-3</v>
      </c>
      <c r="U50" s="38">
        <f ca="1">IFERROR(AVERAGEIFS(INDIRECT("Tabela1["&amp;$B50&amp;"]"),Tabela1[Data Corrigida],U$3)/100,"")</f>
        <v>3.6061247241371457E-3</v>
      </c>
      <c r="V50" s="38">
        <f ca="1">IFERROR(AVERAGEIFS(INDIRECT("Tabela1["&amp;$B50&amp;"]"),Tabela1[Data Corrigida],V$3)/100,"")</f>
        <v>7.9565204652613641E-3</v>
      </c>
      <c r="W50" s="38">
        <f ca="1">IFERROR(AVERAGEIFS(INDIRECT("Tabela1["&amp;$B50&amp;"]"),Tabela1[Data Corrigida],W$3)/100,"")</f>
        <v>6.5146809712027095E-3</v>
      </c>
      <c r="X50" s="38" t="str">
        <f ca="1">IFERROR(AVERAGEIFS(INDIRECT("Tabela1["&amp;$B50&amp;"]"),Tabela1[Data Corrigida],X$3)/100,"")</f>
        <v/>
      </c>
      <c r="Y50" s="38" t="str">
        <f ca="1">IFERROR(AVERAGEIFS(INDIRECT("Tabela1["&amp;$B50&amp;"]"),Tabela1[Data Corrigida],Y$3)/100,"")</f>
        <v/>
      </c>
      <c r="Z50" s="38" t="str">
        <f ca="1">IFERROR(AVERAGEIFS(INDIRECT("Tabela1["&amp;$B50&amp;"]"),Tabela1[Data Corrigida],Z$3)/100,"")</f>
        <v/>
      </c>
      <c r="AA50" s="38" t="str">
        <f ca="1">IFERROR(AVERAGEIFS(INDIRECT("Tabela1["&amp;$B50&amp;"]"),Tabela1[Data Corrigida],AA$3)/100,"")</f>
        <v/>
      </c>
      <c r="AB50" s="38" t="str">
        <f ca="1">IFERROR(AVERAGEIFS(INDIRECT("Tabela1["&amp;$B50&amp;"]"),Tabela1[Data Corrigida],AB$3)/100,"")</f>
        <v/>
      </c>
      <c r="AC50" s="38" t="str">
        <f ca="1">IFERROR(AVERAGEIFS(INDIRECT("Tabela1["&amp;$B50&amp;"]"),Tabela1[Data Corrigida],AC$3)/100,"")</f>
        <v/>
      </c>
      <c r="AD50" s="38" t="str">
        <f ca="1">IFERROR(AVERAGEIFS(INDIRECT("Tabela1["&amp;$B50&amp;"]"),Tabela1[Data Corrigida],AD$3)/100,"")</f>
        <v/>
      </c>
      <c r="AE50" s="38" t="str">
        <f ca="1">IFERROR(AVERAGEIFS(INDIRECT("Tabela1["&amp;$B50&amp;"]"),Tabela1[Data Corrigida],AE$3)/100,"")</f>
        <v/>
      </c>
      <c r="AF50" s="38" t="str">
        <f ca="1">IFERROR(AVERAGEIFS(INDIRECT("Tabela1["&amp;$B50&amp;"]"),Tabela1[Data Corrigida],AF$3)/100,"")</f>
        <v/>
      </c>
      <c r="AG50" s="38" t="str">
        <f ca="1">IFERROR(AVERAGEIFS(INDIRECT("Tabela1["&amp;$B50&amp;"]"),Tabela1[Data Corrigida],AG$3)/100,"")</f>
        <v/>
      </c>
      <c r="AH50" s="38" t="str">
        <f ca="1">IFERROR(AVERAGEIFS(INDIRECT("Tabela1["&amp;$B50&amp;"]"),Tabela1[Data Corrigida],AH$3)/100,"")</f>
        <v/>
      </c>
      <c r="AI50" s="38" t="str">
        <f ca="1">IFERROR(AVERAGEIFS(INDIRECT("Tabela1["&amp;$B50&amp;"]"),Tabela1[Data Corrigida],AI$3)/100,"")</f>
        <v/>
      </c>
      <c r="AJ50" s="38" t="str">
        <f ca="1">IFERROR(AVERAGEIFS(INDIRECT("Tabela1["&amp;$B50&amp;"]"),Tabela1[Data Corrigida],AJ$3)/100,"")</f>
        <v/>
      </c>
      <c r="AK50" s="38" t="str">
        <f ca="1">IFERROR(AVERAGEIFS(INDIRECT("Tabela1["&amp;$B50&amp;"]"),Tabela1[Data Corrigida],AK$3)/100,"")</f>
        <v/>
      </c>
      <c r="AL50" s="38" t="str">
        <f ca="1">IFERROR(AVERAGEIFS(INDIRECT("Tabela1["&amp;$B50&amp;"]"),Tabela1[Data Corrigida],AL$3)/100,"")</f>
        <v/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25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61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0.35132530120481931</v>
      </c>
      <c r="N51" s="34">
        <f ca="1">IFERROR(AVERAGEIFS(INDIRECT("Tabela1["&amp;$B51&amp;"]"),Tabela1[Turno],$D51,Tabela1[Mês],N$3)/100,"")</f>
        <v>0.40190476190476188</v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58">
        <v>0.02</v>
      </c>
      <c r="R51" s="39">
        <f ca="1">IFERROR(AVERAGEIFS(INDIRECT("Tabela1["&amp;$B51&amp;"]"),Tabela1[Turno],$D51,Tabela1[Data Corrigida],R$3)/100,"")</f>
        <v>0.38</v>
      </c>
      <c r="S51" s="40">
        <f ca="1">IFERROR(AVERAGEIFS(INDIRECT("Tabela1["&amp;$B51&amp;"]"),Tabela1[Turno],$D51,Tabela1[Data Corrigida],S$3)/100,"")</f>
        <v>0.42</v>
      </c>
      <c r="T51" s="40">
        <f ca="1">IFERROR(AVERAGEIFS(INDIRECT("Tabela1["&amp;$B51&amp;"]"),Tabela1[Turno],$D51,Tabela1[Data Corrigida],T$3)/100,"")</f>
        <v>0.4</v>
      </c>
      <c r="U51" s="40">
        <f ca="1">IFERROR(AVERAGEIFS(INDIRECT("Tabela1["&amp;$B51&amp;"]"),Tabela1[Turno],$D51,Tabela1[Data Corrigida],U$3)/100,"")</f>
        <v>0.39500000000000002</v>
      </c>
      <c r="V51" s="40">
        <f ca="1">IFERROR(AVERAGEIFS(INDIRECT("Tabela1["&amp;$B51&amp;"]"),Tabela1[Turno],$D51,Tabela1[Data Corrigida],V$3)/100,"")</f>
        <v>0.4</v>
      </c>
      <c r="W51" s="40">
        <f ca="1">IFERROR(AVERAGEIFS(INDIRECT("Tabela1["&amp;$B51&amp;"]"),Tabela1[Turno],$D51,Tabela1[Data Corrigida],W$3)/100,"")</f>
        <v>0.41499999999999998</v>
      </c>
      <c r="X51" s="40" t="str">
        <f ca="1">IFERROR(AVERAGEIFS(INDIRECT("Tabela1["&amp;$B51&amp;"]"),Tabela1[Turno],$D51,Tabela1[Data Corrigida],X$3)/100,"")</f>
        <v/>
      </c>
      <c r="Y51" s="40" t="str">
        <f ca="1">IFERROR(AVERAGEIFS(INDIRECT("Tabela1["&amp;$B51&amp;"]"),Tabela1[Turno],$D51,Tabela1[Data Corrigida],Y$3)/100,"")</f>
        <v/>
      </c>
      <c r="Z51" s="40" t="str">
        <f ca="1">IFERROR(AVERAGEIFS(INDIRECT("Tabela1["&amp;$B51&amp;"]"),Tabela1[Turno],$D51,Tabela1[Data Corrigida],Z$3)/100,"")</f>
        <v/>
      </c>
      <c r="AA51" s="40" t="str">
        <f ca="1">IFERROR(AVERAGEIFS(INDIRECT("Tabela1["&amp;$B51&amp;"]"),Tabela1[Turno],$D51,Tabela1[Data Corrigida],AA$3)/100,"")</f>
        <v/>
      </c>
      <c r="AB51" s="40" t="str">
        <f ca="1">IFERROR(AVERAGEIFS(INDIRECT("Tabela1["&amp;$B51&amp;"]"),Tabela1[Turno],$D51,Tabela1[Data Corrigida],AB$3)/100,"")</f>
        <v/>
      </c>
      <c r="AC51" s="40" t="str">
        <f ca="1">IFERROR(AVERAGEIFS(INDIRECT("Tabela1["&amp;$B51&amp;"]"),Tabela1[Turno],$D51,Tabela1[Data Corrigida],AC$3)/100,"")</f>
        <v/>
      </c>
      <c r="AD51" s="40" t="str">
        <f ca="1">IFERROR(AVERAGEIFS(INDIRECT("Tabela1["&amp;$B51&amp;"]"),Tabela1[Turno],$D51,Tabela1[Data Corrigida],AD$3)/100,"")</f>
        <v/>
      </c>
      <c r="AE51" s="40" t="str">
        <f ca="1">IFERROR(AVERAGEIFS(INDIRECT("Tabela1["&amp;$B51&amp;"]"),Tabela1[Turno],$D51,Tabela1[Data Corrigida],AE$3)/100,"")</f>
        <v/>
      </c>
      <c r="AF51" s="40" t="str">
        <f ca="1">IFERROR(AVERAGEIFS(INDIRECT("Tabela1["&amp;$B51&amp;"]"),Tabela1[Turno],$D51,Tabela1[Data Corrigida],AF$3)/100,"")</f>
        <v/>
      </c>
      <c r="AG51" s="40" t="str">
        <f ca="1">IFERROR(AVERAGEIFS(INDIRECT("Tabela1["&amp;$B51&amp;"]"),Tabela1[Turno],$D51,Tabela1[Data Corrigida],AG$3)/100,"")</f>
        <v/>
      </c>
      <c r="AH51" s="40" t="str">
        <f ca="1">IFERROR(AVERAGEIFS(INDIRECT("Tabela1["&amp;$B51&amp;"]"),Tabela1[Turno],$D51,Tabela1[Data Corrigida],AH$3)/100,"")</f>
        <v/>
      </c>
      <c r="AI51" s="40" t="str">
        <f ca="1">IFERROR(AVERAGEIFS(INDIRECT("Tabela1["&amp;$B51&amp;"]"),Tabela1[Turno],$D51,Tabela1[Data Corrigida],AI$3)/100,"")</f>
        <v/>
      </c>
      <c r="AJ51" s="40" t="str">
        <f ca="1">IFERROR(AVERAGEIFS(INDIRECT("Tabela1["&amp;$B51&amp;"]"),Tabela1[Turno],$D51,Tabela1[Data Corrigida],AJ$3)/100,"")</f>
        <v/>
      </c>
      <c r="AK51" s="40" t="str">
        <f ca="1">IFERROR(AVERAGEIFS(INDIRECT("Tabela1["&amp;$B51&amp;"]"),Tabela1[Turno],$D51,Tabela1[Data Corrigida],AK$3)/100,"")</f>
        <v/>
      </c>
      <c r="AL51" s="40" t="str">
        <f ca="1">IFERROR(AVERAGEIFS(INDIRECT("Tabela1["&amp;$B51&amp;"]"),Tabela1[Turno],$D51,Tabela1[Data Corrigida],AL$3)/100,"")</f>
        <v/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25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62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0.24158730158730157</v>
      </c>
      <c r="N52" s="36">
        <f ca="1">IFERROR(AVERAGEIFS(INDIRECT("Tabela1["&amp;$B52&amp;"]"),Tabela1[Turno],$D52,Tabela1[Mês],N$3)/100,"")</f>
        <v>0.34399999999999997</v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59"/>
      <c r="R52" s="35">
        <f ca="1">IFERROR(AVERAGEIFS(INDIRECT("Tabela1["&amp;$B52&amp;"]"),Tabela1[Turno],$D52,Tabela1[Data Corrigida],R$3)/100,"")</f>
        <v>0.34</v>
      </c>
      <c r="S52" s="36">
        <f ca="1">IFERROR(AVERAGEIFS(INDIRECT("Tabela1["&amp;$B52&amp;"]"),Tabela1[Turno],$D52,Tabela1[Data Corrigida],S$3)/100,"")</f>
        <v>0.32</v>
      </c>
      <c r="T52" s="36">
        <f ca="1">IFERROR(AVERAGEIFS(INDIRECT("Tabela1["&amp;$B52&amp;"]"),Tabela1[Turno],$D52,Tabela1[Data Corrigida],T$3)/100,"")</f>
        <v>0.35333333333333333</v>
      </c>
      <c r="U52" s="36">
        <f ca="1">IFERROR(AVERAGEIFS(INDIRECT("Tabela1["&amp;$B52&amp;"]"),Tabela1[Turno],$D52,Tabela1[Data Corrigida],U$3)/100,"")</f>
        <v>0.35333333333333333</v>
      </c>
      <c r="V52" s="36">
        <f ca="1">IFERROR(AVERAGEIFS(INDIRECT("Tabela1["&amp;$B52&amp;"]"),Tabela1[Turno],$D52,Tabela1[Data Corrigida],V$3)/100,"")</f>
        <v>0.35333333333333333</v>
      </c>
      <c r="W52" s="36" t="str">
        <f ca="1">IFERROR(AVERAGEIFS(INDIRECT("Tabela1["&amp;$B52&amp;"]"),Tabela1[Turno],$D52,Tabela1[Data Corrigida],W$3)/100,"")</f>
        <v/>
      </c>
      <c r="X52" s="36" t="str">
        <f ca="1">IFERROR(AVERAGEIFS(INDIRECT("Tabela1["&amp;$B52&amp;"]"),Tabela1[Turno],$D52,Tabela1[Data Corrigida],X$3)/100,"")</f>
        <v/>
      </c>
      <c r="Y52" s="36" t="str">
        <f ca="1">IFERROR(AVERAGEIFS(INDIRECT("Tabela1["&amp;$B52&amp;"]"),Tabela1[Turno],$D52,Tabela1[Data Corrigida],Y$3)/100,"")</f>
        <v/>
      </c>
      <c r="Z52" s="36" t="str">
        <f ca="1">IFERROR(AVERAGEIFS(INDIRECT("Tabela1["&amp;$B52&amp;"]"),Tabela1[Turno],$D52,Tabela1[Data Corrigida],Z$3)/100,"")</f>
        <v/>
      </c>
      <c r="AA52" s="36" t="str">
        <f ca="1">IFERROR(AVERAGEIFS(INDIRECT("Tabela1["&amp;$B52&amp;"]"),Tabela1[Turno],$D52,Tabela1[Data Corrigida],AA$3)/100,"")</f>
        <v/>
      </c>
      <c r="AB52" s="36" t="str">
        <f ca="1">IFERROR(AVERAGEIFS(INDIRECT("Tabela1["&amp;$B52&amp;"]"),Tabela1[Turno],$D52,Tabela1[Data Corrigida],AB$3)/100,"")</f>
        <v/>
      </c>
      <c r="AC52" s="36" t="str">
        <f ca="1">IFERROR(AVERAGEIFS(INDIRECT("Tabela1["&amp;$B52&amp;"]"),Tabela1[Turno],$D52,Tabela1[Data Corrigida],AC$3)/100,"")</f>
        <v/>
      </c>
      <c r="AD52" s="36" t="str">
        <f ca="1">IFERROR(AVERAGEIFS(INDIRECT("Tabela1["&amp;$B52&amp;"]"),Tabela1[Turno],$D52,Tabela1[Data Corrigida],AD$3)/100,"")</f>
        <v/>
      </c>
      <c r="AE52" s="36" t="str">
        <f ca="1">IFERROR(AVERAGEIFS(INDIRECT("Tabela1["&amp;$B52&amp;"]"),Tabela1[Turno],$D52,Tabela1[Data Corrigida],AE$3)/100,"")</f>
        <v/>
      </c>
      <c r="AF52" s="36" t="str">
        <f ca="1">IFERROR(AVERAGEIFS(INDIRECT("Tabela1["&amp;$B52&amp;"]"),Tabela1[Turno],$D52,Tabela1[Data Corrigida],AF$3)/100,"")</f>
        <v/>
      </c>
      <c r="AG52" s="36" t="str">
        <f ca="1">IFERROR(AVERAGEIFS(INDIRECT("Tabela1["&amp;$B52&amp;"]"),Tabela1[Turno],$D52,Tabela1[Data Corrigida],AG$3)/100,"")</f>
        <v/>
      </c>
      <c r="AH52" s="36" t="str">
        <f ca="1">IFERROR(AVERAGEIFS(INDIRECT("Tabela1["&amp;$B52&amp;"]"),Tabela1[Turno],$D52,Tabela1[Data Corrigida],AH$3)/100,"")</f>
        <v/>
      </c>
      <c r="AI52" s="36" t="str">
        <f ca="1">IFERROR(AVERAGEIFS(INDIRECT("Tabela1["&amp;$B52&amp;"]"),Tabela1[Turno],$D52,Tabela1[Data Corrigida],AI$3)/100,"")</f>
        <v/>
      </c>
      <c r="AJ52" s="36" t="str">
        <f ca="1">IFERROR(AVERAGEIFS(INDIRECT("Tabela1["&amp;$B52&amp;"]"),Tabela1[Turno],$D52,Tabela1[Data Corrigida],AJ$3)/100,"")</f>
        <v/>
      </c>
      <c r="AK52" s="36" t="str">
        <f ca="1">IFERROR(AVERAGEIFS(INDIRECT("Tabela1["&amp;$B52&amp;"]"),Tabela1[Turno],$D52,Tabela1[Data Corrigida],AK$3)/100,"")</f>
        <v/>
      </c>
      <c r="AL52" s="36" t="str">
        <f ca="1">IFERROR(AVERAGEIFS(INDIRECT("Tabela1["&amp;$B52&amp;"]"),Tabela1[Turno],$D52,Tabela1[Data Corrigida],AL$3)/100,"")</f>
        <v/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3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0.30397260273972604</v>
      </c>
      <c r="N53" s="45">
        <f ca="1">IFERROR(AVERAGEIFS(INDIRECT("Tabela1["&amp;$B53&amp;"]"),Tabela1[Mês],N$3)/100,"")</f>
        <v>0.37777777777777777</v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0"/>
      <c r="R53" s="52">
        <f ca="1">IFERROR(AVERAGEIFS(INDIRECT("Tabela1["&amp;$B53&amp;"]"),Tabela1[Data Corrigida],R$3)/100,"")</f>
        <v>0.36285714285714282</v>
      </c>
      <c r="S53" s="53">
        <f ca="1">IFERROR(AVERAGEIFS(INDIRECT("Tabela1["&amp;$B53&amp;"]"),Tabela1[Data Corrigida],S$3)/100,"")</f>
        <v>0.37714285714285717</v>
      </c>
      <c r="T53" s="53">
        <f ca="1">IFERROR(AVERAGEIFS(INDIRECT("Tabela1["&amp;$B53&amp;"]"),Tabela1[Data Corrigida],T$3)/100,"")</f>
        <v>0.36499999999999999</v>
      </c>
      <c r="U53" s="53">
        <f ca="1">IFERROR(AVERAGEIFS(INDIRECT("Tabela1["&amp;$B53&amp;"]"),Tabela1[Data Corrigida],U$3)/100,"")</f>
        <v>0.37714285714285717</v>
      </c>
      <c r="V53" s="53">
        <f ca="1">IFERROR(AVERAGEIFS(INDIRECT("Tabela1["&amp;$B53&amp;"]"),Tabela1[Data Corrigida],V$3)/100,"")</f>
        <v>0.38</v>
      </c>
      <c r="W53" s="53">
        <f ca="1">IFERROR(AVERAGEIFS(INDIRECT("Tabela1["&amp;$B53&amp;"]"),Tabela1[Data Corrigida],W$3)/100,"")</f>
        <v>0.41499999999999998</v>
      </c>
      <c r="X53" s="53" t="str">
        <f ca="1">IFERROR(AVERAGEIFS(INDIRECT("Tabela1["&amp;$B53&amp;"]"),Tabela1[Data Corrigida],X$3)/100,"")</f>
        <v/>
      </c>
      <c r="Y53" s="53" t="str">
        <f ca="1">IFERROR(AVERAGEIFS(INDIRECT("Tabela1["&amp;$B53&amp;"]"),Tabela1[Data Corrigida],Y$3)/100,"")</f>
        <v/>
      </c>
      <c r="Z53" s="53" t="str">
        <f ca="1">IFERROR(AVERAGEIFS(INDIRECT("Tabela1["&amp;$B53&amp;"]"),Tabela1[Data Corrigida],Z$3)/100,"")</f>
        <v/>
      </c>
      <c r="AA53" s="53" t="str">
        <f ca="1">IFERROR(AVERAGEIFS(INDIRECT("Tabela1["&amp;$B53&amp;"]"),Tabela1[Data Corrigida],AA$3)/100,"")</f>
        <v/>
      </c>
      <c r="AB53" s="53" t="str">
        <f ca="1">IFERROR(AVERAGEIFS(INDIRECT("Tabela1["&amp;$B53&amp;"]"),Tabela1[Data Corrigida],AB$3)/100,"")</f>
        <v/>
      </c>
      <c r="AC53" s="53" t="str">
        <f ca="1">IFERROR(AVERAGEIFS(INDIRECT("Tabela1["&amp;$B53&amp;"]"),Tabela1[Data Corrigida],AC$3)/100,"")</f>
        <v/>
      </c>
      <c r="AD53" s="53" t="str">
        <f ca="1">IFERROR(AVERAGEIFS(INDIRECT("Tabela1["&amp;$B53&amp;"]"),Tabela1[Data Corrigida],AD$3)/100,"")</f>
        <v/>
      </c>
      <c r="AE53" s="53" t="str">
        <f ca="1">IFERROR(AVERAGEIFS(INDIRECT("Tabela1["&amp;$B53&amp;"]"),Tabela1[Data Corrigida],AE$3)/100,"")</f>
        <v/>
      </c>
      <c r="AF53" s="53" t="str">
        <f ca="1">IFERROR(AVERAGEIFS(INDIRECT("Tabela1["&amp;$B53&amp;"]"),Tabela1[Data Corrigida],AF$3)/100,"")</f>
        <v/>
      </c>
      <c r="AG53" s="53" t="str">
        <f ca="1">IFERROR(AVERAGEIFS(INDIRECT("Tabela1["&amp;$B53&amp;"]"),Tabela1[Data Corrigida],AG$3)/100,"")</f>
        <v/>
      </c>
      <c r="AH53" s="53" t="str">
        <f ca="1">IFERROR(AVERAGEIFS(INDIRECT("Tabela1["&amp;$B53&amp;"]"),Tabela1[Data Corrigida],AH$3)/100,"")</f>
        <v/>
      </c>
      <c r="AI53" s="53" t="str">
        <f ca="1">IFERROR(AVERAGEIFS(INDIRECT("Tabela1["&amp;$B53&amp;"]"),Tabela1[Data Corrigida],AI$3)/100,"")</f>
        <v/>
      </c>
      <c r="AJ53" s="53" t="str">
        <f ca="1">IFERROR(AVERAGEIFS(INDIRECT("Tabela1["&amp;$B53&amp;"]"),Tabela1[Data Corrigida],AJ$3)/100,"")</f>
        <v/>
      </c>
      <c r="AK53" s="53" t="str">
        <f ca="1">IFERROR(AVERAGEIFS(INDIRECT("Tabela1["&amp;$B53&amp;"]"),Tabela1[Data Corrigida],AK$3)/100,"")</f>
        <v/>
      </c>
      <c r="AL53" s="53" t="str">
        <f ca="1">IFERROR(AVERAGEIFS(INDIRECT("Tabela1["&amp;$B53&amp;"]"),Tabela1[Data Corrigida],AL$3)/100,"")</f>
        <v/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25">
      <c r="A54" s="50" t="str">
        <f>VLOOKUP(Tabela2[[#This Row],[Item 1]],Apoio!$A$2:$B$41,2,0)</f>
        <v>Míudos</v>
      </c>
      <c r="B54" s="9" t="str">
        <f t="shared" si="2"/>
        <v>% Retirada de Coração</v>
      </c>
      <c r="C54" s="61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1.2195121951219512E-3</v>
      </c>
      <c r="N54" s="34">
        <f ca="1">IFERROR(AVERAGEIFS(INDIRECT("Tabela1["&amp;$B54&amp;"]"),Tabela1[Turno],$D54,Tabela1[Mês],N$3)/100,"")</f>
        <v>6.6666666666666662E-3</v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58">
        <v>0.01</v>
      </c>
      <c r="R54" s="39">
        <f ca="1">IFERROR(AVERAGEIFS(INDIRECT("Tabela1["&amp;$B54&amp;"]"),Tabela1[Turno],$D54,Tabela1[Data Corrigida],R$3)/100,"")</f>
        <v>1.4999999999999999E-2</v>
      </c>
      <c r="S54" s="40">
        <f ca="1">IFERROR(AVERAGEIFS(INDIRECT("Tabela1["&amp;$B54&amp;"]"),Tabela1[Turno],$D54,Tabela1[Data Corrigida],S$3)/100,"")</f>
        <v>0</v>
      </c>
      <c r="T54" s="40">
        <f ca="1">IFERROR(AVERAGEIFS(INDIRECT("Tabela1["&amp;$B54&amp;"]"),Tabela1[Turno],$D54,Tabela1[Data Corrigida],T$3)/100,"")</f>
        <v>0.02</v>
      </c>
      <c r="U54" s="40">
        <f ca="1">IFERROR(AVERAGEIFS(INDIRECT("Tabela1["&amp;$B54&amp;"]"),Tabela1[Turno],$D54,Tabela1[Data Corrigida],U$3)/100,"")</f>
        <v>0</v>
      </c>
      <c r="V54" s="40">
        <f ca="1">IFERROR(AVERAGEIFS(INDIRECT("Tabela1["&amp;$B54&amp;"]"),Tabela1[Turno],$D54,Tabela1[Data Corrigida],V$3)/100,"")</f>
        <v>0.01</v>
      </c>
      <c r="W54" s="40">
        <f ca="1">IFERROR(AVERAGEIFS(INDIRECT("Tabela1["&amp;$B54&amp;"]"),Tabela1[Turno],$D54,Tabela1[Data Corrigida],W$3)/100,"")</f>
        <v>5.0000000000000001E-3</v>
      </c>
      <c r="X54" s="40" t="str">
        <f ca="1">IFERROR(AVERAGEIFS(INDIRECT("Tabela1["&amp;$B54&amp;"]"),Tabela1[Turno],$D54,Tabela1[Data Corrigida],X$3)/100,"")</f>
        <v/>
      </c>
      <c r="Y54" s="40" t="str">
        <f ca="1">IFERROR(AVERAGEIFS(INDIRECT("Tabela1["&amp;$B54&amp;"]"),Tabela1[Turno],$D54,Tabela1[Data Corrigida],Y$3)/100,"")</f>
        <v/>
      </c>
      <c r="Z54" s="40" t="str">
        <f ca="1">IFERROR(AVERAGEIFS(INDIRECT("Tabela1["&amp;$B54&amp;"]"),Tabela1[Turno],$D54,Tabela1[Data Corrigida],Z$3)/100,"")</f>
        <v/>
      </c>
      <c r="AA54" s="40" t="str">
        <f ca="1">IFERROR(AVERAGEIFS(INDIRECT("Tabela1["&amp;$B54&amp;"]"),Tabela1[Turno],$D54,Tabela1[Data Corrigida],AA$3)/100,"")</f>
        <v/>
      </c>
      <c r="AB54" s="40" t="str">
        <f ca="1">IFERROR(AVERAGEIFS(INDIRECT("Tabela1["&amp;$B54&amp;"]"),Tabela1[Turno],$D54,Tabela1[Data Corrigida],AB$3)/100,"")</f>
        <v/>
      </c>
      <c r="AC54" s="40" t="str">
        <f ca="1">IFERROR(AVERAGEIFS(INDIRECT("Tabela1["&amp;$B54&amp;"]"),Tabela1[Turno],$D54,Tabela1[Data Corrigida],AC$3)/100,"")</f>
        <v/>
      </c>
      <c r="AD54" s="40" t="str">
        <f ca="1">IFERROR(AVERAGEIFS(INDIRECT("Tabela1["&amp;$B54&amp;"]"),Tabela1[Turno],$D54,Tabela1[Data Corrigida],AD$3)/100,"")</f>
        <v/>
      </c>
      <c r="AE54" s="40" t="str">
        <f ca="1">IFERROR(AVERAGEIFS(INDIRECT("Tabela1["&amp;$B54&amp;"]"),Tabela1[Turno],$D54,Tabela1[Data Corrigida],AE$3)/100,"")</f>
        <v/>
      </c>
      <c r="AF54" s="40" t="str">
        <f ca="1">IFERROR(AVERAGEIFS(INDIRECT("Tabela1["&amp;$B54&amp;"]"),Tabela1[Turno],$D54,Tabela1[Data Corrigida],AF$3)/100,"")</f>
        <v/>
      </c>
      <c r="AG54" s="40" t="str">
        <f ca="1">IFERROR(AVERAGEIFS(INDIRECT("Tabela1["&amp;$B54&amp;"]"),Tabela1[Turno],$D54,Tabela1[Data Corrigida],AG$3)/100,"")</f>
        <v/>
      </c>
      <c r="AH54" s="40" t="str">
        <f ca="1">IFERROR(AVERAGEIFS(INDIRECT("Tabela1["&amp;$B54&amp;"]"),Tabela1[Turno],$D54,Tabela1[Data Corrigida],AH$3)/100,"")</f>
        <v/>
      </c>
      <c r="AI54" s="40" t="str">
        <f ca="1">IFERROR(AVERAGEIFS(INDIRECT("Tabela1["&amp;$B54&amp;"]"),Tabela1[Turno],$D54,Tabela1[Data Corrigida],AI$3)/100,"")</f>
        <v/>
      </c>
      <c r="AJ54" s="40" t="str">
        <f ca="1">IFERROR(AVERAGEIFS(INDIRECT("Tabela1["&amp;$B54&amp;"]"),Tabela1[Turno],$D54,Tabela1[Data Corrigida],AJ$3)/100,"")</f>
        <v/>
      </c>
      <c r="AK54" s="40" t="str">
        <f ca="1">IFERROR(AVERAGEIFS(INDIRECT("Tabela1["&amp;$B54&amp;"]"),Tabela1[Turno],$D54,Tabela1[Data Corrigida],AK$3)/100,"")</f>
        <v/>
      </c>
      <c r="AL54" s="40" t="str">
        <f ca="1">IFERROR(AVERAGEIFS(INDIRECT("Tabela1["&amp;$B54&amp;"]"),Tabela1[Turno],$D54,Tabela1[Data Corrigida],AL$3)/100,"")</f>
        <v/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25">
      <c r="A55" s="50" t="str">
        <f>VLOOKUP(Tabela2[[#This Row],[Item 1]],Apoio!$A$2:$B$41,2,0)</f>
        <v>Míudos</v>
      </c>
      <c r="B55" s="9" t="str">
        <f t="shared" si="2"/>
        <v>% Retirada de Coração</v>
      </c>
      <c r="C55" s="62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4.4444444444444444E-3</v>
      </c>
      <c r="N55" s="36">
        <f ca="1">IFERROR(AVERAGEIFS(INDIRECT("Tabela1["&amp;$B55&amp;"]"),Tabela1[Turno],$D55,Tabela1[Mês],N$3)/100,"")</f>
        <v>6.6666666666666662E-3</v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59"/>
      <c r="R55" s="35">
        <f ca="1">IFERROR(AVERAGEIFS(INDIRECT("Tabela1["&amp;$B55&amp;"]"),Tabela1[Turno],$D55,Tabela1[Data Corrigida],R$3)/100,"")</f>
        <v>0</v>
      </c>
      <c r="S55" s="36">
        <f ca="1">IFERROR(AVERAGEIFS(INDIRECT("Tabela1["&amp;$B55&amp;"]"),Tabela1[Turno],$D55,Tabela1[Data Corrigida],S$3)/100,"")</f>
        <v>6.6666666666666662E-3</v>
      </c>
      <c r="T55" s="36">
        <f ca="1">IFERROR(AVERAGEIFS(INDIRECT("Tabela1["&amp;$B55&amp;"]"),Tabela1[Turno],$D55,Tabela1[Data Corrigida],T$3)/100,"")</f>
        <v>0</v>
      </c>
      <c r="U55" s="36">
        <f ca="1">IFERROR(AVERAGEIFS(INDIRECT("Tabela1["&amp;$B55&amp;"]"),Tabela1[Turno],$D55,Tabela1[Data Corrigida],U$3)/100,"")</f>
        <v>1.3333333333333332E-2</v>
      </c>
      <c r="V55" s="36">
        <f ca="1">IFERROR(AVERAGEIFS(INDIRECT("Tabela1["&amp;$B55&amp;"]"),Tabela1[Turno],$D55,Tabela1[Data Corrigida],V$3)/100,"")</f>
        <v>1.3333333333333332E-2</v>
      </c>
      <c r="W55" s="36" t="str">
        <f ca="1">IFERROR(AVERAGEIFS(INDIRECT("Tabela1["&amp;$B55&amp;"]"),Tabela1[Turno],$D55,Tabela1[Data Corrigida],W$3)/100,"")</f>
        <v/>
      </c>
      <c r="X55" s="36" t="str">
        <f ca="1">IFERROR(AVERAGEIFS(INDIRECT("Tabela1["&amp;$B55&amp;"]"),Tabela1[Turno],$D55,Tabela1[Data Corrigida],X$3)/100,"")</f>
        <v/>
      </c>
      <c r="Y55" s="36" t="str">
        <f ca="1">IFERROR(AVERAGEIFS(INDIRECT("Tabela1["&amp;$B55&amp;"]"),Tabela1[Turno],$D55,Tabela1[Data Corrigida],Y$3)/100,"")</f>
        <v/>
      </c>
      <c r="Z55" s="36" t="str">
        <f ca="1">IFERROR(AVERAGEIFS(INDIRECT("Tabela1["&amp;$B55&amp;"]"),Tabela1[Turno],$D55,Tabela1[Data Corrigida],Z$3)/100,"")</f>
        <v/>
      </c>
      <c r="AA55" s="36" t="str">
        <f ca="1">IFERROR(AVERAGEIFS(INDIRECT("Tabela1["&amp;$B55&amp;"]"),Tabela1[Turno],$D55,Tabela1[Data Corrigida],AA$3)/100,"")</f>
        <v/>
      </c>
      <c r="AB55" s="36" t="str">
        <f ca="1">IFERROR(AVERAGEIFS(INDIRECT("Tabela1["&amp;$B55&amp;"]"),Tabela1[Turno],$D55,Tabela1[Data Corrigida],AB$3)/100,"")</f>
        <v/>
      </c>
      <c r="AC55" s="36" t="str">
        <f ca="1">IFERROR(AVERAGEIFS(INDIRECT("Tabela1["&amp;$B55&amp;"]"),Tabela1[Turno],$D55,Tabela1[Data Corrigida],AC$3)/100,"")</f>
        <v/>
      </c>
      <c r="AD55" s="36" t="str">
        <f ca="1">IFERROR(AVERAGEIFS(INDIRECT("Tabela1["&amp;$B55&amp;"]"),Tabela1[Turno],$D55,Tabela1[Data Corrigida],AD$3)/100,"")</f>
        <v/>
      </c>
      <c r="AE55" s="36" t="str">
        <f ca="1">IFERROR(AVERAGEIFS(INDIRECT("Tabela1["&amp;$B55&amp;"]"),Tabela1[Turno],$D55,Tabela1[Data Corrigida],AE$3)/100,"")</f>
        <v/>
      </c>
      <c r="AF55" s="36" t="str">
        <f ca="1">IFERROR(AVERAGEIFS(INDIRECT("Tabela1["&amp;$B55&amp;"]"),Tabela1[Turno],$D55,Tabela1[Data Corrigida],AF$3)/100,"")</f>
        <v/>
      </c>
      <c r="AG55" s="36" t="str">
        <f ca="1">IFERROR(AVERAGEIFS(INDIRECT("Tabela1["&amp;$B55&amp;"]"),Tabela1[Turno],$D55,Tabela1[Data Corrigida],AG$3)/100,"")</f>
        <v/>
      </c>
      <c r="AH55" s="36" t="str">
        <f ca="1">IFERROR(AVERAGEIFS(INDIRECT("Tabela1["&amp;$B55&amp;"]"),Tabela1[Turno],$D55,Tabela1[Data Corrigida],AH$3)/100,"")</f>
        <v/>
      </c>
      <c r="AI55" s="36" t="str">
        <f ca="1">IFERROR(AVERAGEIFS(INDIRECT("Tabela1["&amp;$B55&amp;"]"),Tabela1[Turno],$D55,Tabela1[Data Corrigida],AI$3)/100,"")</f>
        <v/>
      </c>
      <c r="AJ55" s="36" t="str">
        <f ca="1">IFERROR(AVERAGEIFS(INDIRECT("Tabela1["&amp;$B55&amp;"]"),Tabela1[Turno],$D55,Tabela1[Data Corrigida],AJ$3)/100,"")</f>
        <v/>
      </c>
      <c r="AK55" s="36" t="str">
        <f ca="1">IFERROR(AVERAGEIFS(INDIRECT("Tabela1["&amp;$B55&amp;"]"),Tabela1[Turno],$D55,Tabela1[Data Corrigida],AK$3)/100,"")</f>
        <v/>
      </c>
      <c r="AL55" s="36" t="str">
        <f ca="1">IFERROR(AVERAGEIFS(INDIRECT("Tabela1["&amp;$B55&amp;"]"),Tabela1[Turno],$D55,Tabela1[Data Corrigida],AL$3)/100,"")</f>
        <v/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">
      <c r="A56" s="50" t="str">
        <f>VLOOKUP(Tabela2[[#This Row],[Item 1]],Apoio!$A$2:$B$41,2,0)</f>
        <v>Míudos</v>
      </c>
      <c r="B56" s="9" t="str">
        <f t="shared" si="2"/>
        <v>% Retirada de Coração</v>
      </c>
      <c r="C56" s="63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2.620689655172414E-3</v>
      </c>
      <c r="N56" s="45">
        <f ca="1">IFERROR(AVERAGEIFS(INDIRECT("Tabela1["&amp;$B56&amp;"]"),Tabela1[Mês],N$3)/100,"")</f>
        <v>6.6666666666666662E-3</v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0"/>
      <c r="R56" s="37">
        <f ca="1">IFERROR(AVERAGEIFS(INDIRECT("Tabela1["&amp;$B56&amp;"]"),Tabela1[Data Corrigida],R$3)/100,"")</f>
        <v>8.5714285714285701E-3</v>
      </c>
      <c r="S56" s="38">
        <f ca="1">IFERROR(AVERAGEIFS(INDIRECT("Tabela1["&amp;$B56&amp;"]"),Tabela1[Data Corrigida],S$3)/100,"")</f>
        <v>2.8571428571428571E-3</v>
      </c>
      <c r="T56" s="38">
        <f ca="1">IFERROR(AVERAGEIFS(INDIRECT("Tabela1["&amp;$B56&amp;"]"),Tabela1[Data Corrigida],T$3)/100,"")</f>
        <v>5.0000000000000001E-3</v>
      </c>
      <c r="U56" s="38">
        <f ca="1">IFERROR(AVERAGEIFS(INDIRECT("Tabela1["&amp;$B56&amp;"]"),Tabela1[Data Corrigida],U$3)/100,"")</f>
        <v>5.7142857142857143E-3</v>
      </c>
      <c r="V56" s="38">
        <f ca="1">IFERROR(AVERAGEIFS(INDIRECT("Tabela1["&amp;$B56&amp;"]"),Tabela1[Data Corrigida],V$3)/100,"")</f>
        <v>1.1428571428571429E-2</v>
      </c>
      <c r="W56" s="38">
        <f ca="1">IFERROR(AVERAGEIFS(INDIRECT("Tabela1["&amp;$B56&amp;"]"),Tabela1[Data Corrigida],W$3)/100,"")</f>
        <v>5.0000000000000001E-3</v>
      </c>
      <c r="X56" s="38" t="str">
        <f ca="1">IFERROR(AVERAGEIFS(INDIRECT("Tabela1["&amp;$B56&amp;"]"),Tabela1[Data Corrigida],X$3)/100,"")</f>
        <v/>
      </c>
      <c r="Y56" s="38" t="str">
        <f ca="1">IFERROR(AVERAGEIFS(INDIRECT("Tabela1["&amp;$B56&amp;"]"),Tabela1[Data Corrigida],Y$3)/100,"")</f>
        <v/>
      </c>
      <c r="Z56" s="38" t="str">
        <f ca="1">IFERROR(AVERAGEIFS(INDIRECT("Tabela1["&amp;$B56&amp;"]"),Tabela1[Data Corrigida],Z$3)/100,"")</f>
        <v/>
      </c>
      <c r="AA56" s="38" t="str">
        <f ca="1">IFERROR(AVERAGEIFS(INDIRECT("Tabela1["&amp;$B56&amp;"]"),Tabela1[Data Corrigida],AA$3)/100,"")</f>
        <v/>
      </c>
      <c r="AB56" s="38" t="str">
        <f ca="1">IFERROR(AVERAGEIFS(INDIRECT("Tabela1["&amp;$B56&amp;"]"),Tabela1[Data Corrigida],AB$3)/100,"")</f>
        <v/>
      </c>
      <c r="AC56" s="38" t="str">
        <f ca="1">IFERROR(AVERAGEIFS(INDIRECT("Tabela1["&amp;$B56&amp;"]"),Tabela1[Data Corrigida],AC$3)/100,"")</f>
        <v/>
      </c>
      <c r="AD56" s="38" t="str">
        <f ca="1">IFERROR(AVERAGEIFS(INDIRECT("Tabela1["&amp;$B56&amp;"]"),Tabela1[Data Corrigida],AD$3)/100,"")</f>
        <v/>
      </c>
      <c r="AE56" s="38" t="str">
        <f ca="1">IFERROR(AVERAGEIFS(INDIRECT("Tabela1["&amp;$B56&amp;"]"),Tabela1[Data Corrigida],AE$3)/100,"")</f>
        <v/>
      </c>
      <c r="AF56" s="38" t="str">
        <f ca="1">IFERROR(AVERAGEIFS(INDIRECT("Tabela1["&amp;$B56&amp;"]"),Tabela1[Data Corrigida],AF$3)/100,"")</f>
        <v/>
      </c>
      <c r="AG56" s="38" t="str">
        <f ca="1">IFERROR(AVERAGEIFS(INDIRECT("Tabela1["&amp;$B56&amp;"]"),Tabela1[Data Corrigida],AG$3)/100,"")</f>
        <v/>
      </c>
      <c r="AH56" s="38" t="str">
        <f ca="1">IFERROR(AVERAGEIFS(INDIRECT("Tabela1["&amp;$B56&amp;"]"),Tabela1[Data Corrigida],AH$3)/100,"")</f>
        <v/>
      </c>
      <c r="AI56" s="38" t="str">
        <f ca="1">IFERROR(AVERAGEIFS(INDIRECT("Tabela1["&amp;$B56&amp;"]"),Tabela1[Data Corrigida],AI$3)/100,"")</f>
        <v/>
      </c>
      <c r="AJ56" s="38" t="str">
        <f ca="1">IFERROR(AVERAGEIFS(INDIRECT("Tabela1["&amp;$B56&amp;"]"),Tabela1[Data Corrigida],AJ$3)/100,"")</f>
        <v/>
      </c>
      <c r="AK56" s="38" t="str">
        <f ca="1">IFERROR(AVERAGEIFS(INDIRECT("Tabela1["&amp;$B56&amp;"]"),Tabela1[Data Corrigida],AK$3)/100,"")</f>
        <v/>
      </c>
      <c r="AL56" s="38" t="str">
        <f ca="1">IFERROR(AVERAGEIFS(INDIRECT("Tabela1["&amp;$B56&amp;"]"),Tabela1[Data Corrigida],AL$3)/100,"")</f>
        <v/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25">
      <c r="A57" s="50" t="str">
        <f>VLOOKUP(Tabela2[[#This Row],[Item 1]],Apoio!$A$2:$B$41,2,0)</f>
        <v>Míudos</v>
      </c>
      <c r="B57" s="9" t="str">
        <f t="shared" si="2"/>
        <v>% Retirada de Fígado</v>
      </c>
      <c r="C57" s="61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1.2195121951219512E-3</v>
      </c>
      <c r="N57" s="34">
        <f ca="1">IFERROR(AVERAGEIFS(INDIRECT("Tabela1["&amp;$B57&amp;"]"),Tabela1[Turno],$D57,Tabela1[Mês],N$3)/100,"")</f>
        <v>6.6666666666666662E-3</v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58">
        <v>0.01</v>
      </c>
      <c r="R57" s="39">
        <f ca="1">IFERROR(AVERAGEIFS(INDIRECT("Tabela1["&amp;$B57&amp;"]"),Tabela1[Turno],$D57,Tabela1[Data Corrigida],R$3)/100,"")</f>
        <v>1.4999999999999999E-2</v>
      </c>
      <c r="S57" s="40">
        <f ca="1">IFERROR(AVERAGEIFS(INDIRECT("Tabela1["&amp;$B57&amp;"]"),Tabela1[Turno],$D57,Tabela1[Data Corrigida],S$3)/100,"")</f>
        <v>0</v>
      </c>
      <c r="T57" s="40">
        <f ca="1">IFERROR(AVERAGEIFS(INDIRECT("Tabela1["&amp;$B57&amp;"]"),Tabela1[Turno],$D57,Tabela1[Data Corrigida],T$3)/100,"")</f>
        <v>0.02</v>
      </c>
      <c r="U57" s="40">
        <f ca="1">IFERROR(AVERAGEIFS(INDIRECT("Tabela1["&amp;$B57&amp;"]"),Tabela1[Turno],$D57,Tabela1[Data Corrigida],U$3)/100,"")</f>
        <v>0</v>
      </c>
      <c r="V57" s="40">
        <f ca="1">IFERROR(AVERAGEIFS(INDIRECT("Tabela1["&amp;$B57&amp;"]"),Tabela1[Turno],$D57,Tabela1[Data Corrigida],V$3)/100,"")</f>
        <v>0.01</v>
      </c>
      <c r="W57" s="40">
        <f ca="1">IFERROR(AVERAGEIFS(INDIRECT("Tabela1["&amp;$B57&amp;"]"),Tabela1[Turno],$D57,Tabela1[Data Corrigida],W$3)/100,"")</f>
        <v>5.0000000000000001E-3</v>
      </c>
      <c r="X57" s="40" t="str">
        <f ca="1">IFERROR(AVERAGEIFS(INDIRECT("Tabela1["&amp;$B57&amp;"]"),Tabela1[Turno],$D57,Tabela1[Data Corrigida],X$3)/100,"")</f>
        <v/>
      </c>
      <c r="Y57" s="40" t="str">
        <f ca="1">IFERROR(AVERAGEIFS(INDIRECT("Tabela1["&amp;$B57&amp;"]"),Tabela1[Turno],$D57,Tabela1[Data Corrigida],Y$3)/100,"")</f>
        <v/>
      </c>
      <c r="Z57" s="40" t="str">
        <f ca="1">IFERROR(AVERAGEIFS(INDIRECT("Tabela1["&amp;$B57&amp;"]"),Tabela1[Turno],$D57,Tabela1[Data Corrigida],Z$3)/100,"")</f>
        <v/>
      </c>
      <c r="AA57" s="40" t="str">
        <f ca="1">IFERROR(AVERAGEIFS(INDIRECT("Tabela1["&amp;$B57&amp;"]"),Tabela1[Turno],$D57,Tabela1[Data Corrigida],AA$3)/100,"")</f>
        <v/>
      </c>
      <c r="AB57" s="40" t="str">
        <f ca="1">IFERROR(AVERAGEIFS(INDIRECT("Tabela1["&amp;$B57&amp;"]"),Tabela1[Turno],$D57,Tabela1[Data Corrigida],AB$3)/100,"")</f>
        <v/>
      </c>
      <c r="AC57" s="40" t="str">
        <f ca="1">IFERROR(AVERAGEIFS(INDIRECT("Tabela1["&amp;$B57&amp;"]"),Tabela1[Turno],$D57,Tabela1[Data Corrigida],AC$3)/100,"")</f>
        <v/>
      </c>
      <c r="AD57" s="40" t="str">
        <f ca="1">IFERROR(AVERAGEIFS(INDIRECT("Tabela1["&amp;$B57&amp;"]"),Tabela1[Turno],$D57,Tabela1[Data Corrigida],AD$3)/100,"")</f>
        <v/>
      </c>
      <c r="AE57" s="40" t="str">
        <f ca="1">IFERROR(AVERAGEIFS(INDIRECT("Tabela1["&amp;$B57&amp;"]"),Tabela1[Turno],$D57,Tabela1[Data Corrigida],AE$3)/100,"")</f>
        <v/>
      </c>
      <c r="AF57" s="40" t="str">
        <f ca="1">IFERROR(AVERAGEIFS(INDIRECT("Tabela1["&amp;$B57&amp;"]"),Tabela1[Turno],$D57,Tabela1[Data Corrigida],AF$3)/100,"")</f>
        <v/>
      </c>
      <c r="AG57" s="40" t="str">
        <f ca="1">IFERROR(AVERAGEIFS(INDIRECT("Tabela1["&amp;$B57&amp;"]"),Tabela1[Turno],$D57,Tabela1[Data Corrigida],AG$3)/100,"")</f>
        <v/>
      </c>
      <c r="AH57" s="40" t="str">
        <f ca="1">IFERROR(AVERAGEIFS(INDIRECT("Tabela1["&amp;$B57&amp;"]"),Tabela1[Turno],$D57,Tabela1[Data Corrigida],AH$3)/100,"")</f>
        <v/>
      </c>
      <c r="AI57" s="40" t="str">
        <f ca="1">IFERROR(AVERAGEIFS(INDIRECT("Tabela1["&amp;$B57&amp;"]"),Tabela1[Turno],$D57,Tabela1[Data Corrigida],AI$3)/100,"")</f>
        <v/>
      </c>
      <c r="AJ57" s="40" t="str">
        <f ca="1">IFERROR(AVERAGEIFS(INDIRECT("Tabela1["&amp;$B57&amp;"]"),Tabela1[Turno],$D57,Tabela1[Data Corrigida],AJ$3)/100,"")</f>
        <v/>
      </c>
      <c r="AK57" s="40" t="str">
        <f ca="1">IFERROR(AVERAGEIFS(INDIRECT("Tabela1["&amp;$B57&amp;"]"),Tabela1[Turno],$D57,Tabela1[Data Corrigida],AK$3)/100,"")</f>
        <v/>
      </c>
      <c r="AL57" s="40" t="str">
        <f ca="1">IFERROR(AVERAGEIFS(INDIRECT("Tabela1["&amp;$B57&amp;"]"),Tabela1[Turno],$D57,Tabela1[Data Corrigida],AL$3)/100,"")</f>
        <v/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25">
      <c r="A58" s="50" t="str">
        <f>VLOOKUP(Tabela2[[#This Row],[Item 1]],Apoio!$A$2:$B$41,2,0)</f>
        <v>Míudos</v>
      </c>
      <c r="B58" s="9" t="str">
        <f t="shared" si="2"/>
        <v>% Retirada de Fígado</v>
      </c>
      <c r="C58" s="62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3.8095238095238095E-3</v>
      </c>
      <c r="N58" s="36">
        <f ca="1">IFERROR(AVERAGEIFS(INDIRECT("Tabela1["&amp;$B58&amp;"]"),Tabela1[Turno],$D58,Tabela1[Mês],N$3)/100,"")</f>
        <v>6.6666666666666662E-3</v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59"/>
      <c r="R58" s="35">
        <f ca="1">IFERROR(AVERAGEIFS(INDIRECT("Tabela1["&amp;$B58&amp;"]"),Tabela1[Turno],$D58,Tabela1[Data Corrigida],R$3)/100,"")</f>
        <v>1.3333333333333332E-2</v>
      </c>
      <c r="S58" s="36">
        <f ca="1">IFERROR(AVERAGEIFS(INDIRECT("Tabela1["&amp;$B58&amp;"]"),Tabela1[Turno],$D58,Tabela1[Data Corrigida],S$3)/100,"")</f>
        <v>6.6666666666666662E-3</v>
      </c>
      <c r="T58" s="36">
        <f ca="1">IFERROR(AVERAGEIFS(INDIRECT("Tabela1["&amp;$B58&amp;"]"),Tabela1[Turno],$D58,Tabela1[Data Corrigida],T$3)/100,"")</f>
        <v>0</v>
      </c>
      <c r="U58" s="36">
        <f ca="1">IFERROR(AVERAGEIFS(INDIRECT("Tabela1["&amp;$B58&amp;"]"),Tabela1[Turno],$D58,Tabela1[Data Corrigida],U$3)/100,"")</f>
        <v>6.6666666666666662E-3</v>
      </c>
      <c r="V58" s="36">
        <f ca="1">IFERROR(AVERAGEIFS(INDIRECT("Tabela1["&amp;$B58&amp;"]"),Tabela1[Turno],$D58,Tabela1[Data Corrigida],V$3)/100,"")</f>
        <v>6.6666666666666662E-3</v>
      </c>
      <c r="W58" s="36" t="str">
        <f ca="1">IFERROR(AVERAGEIFS(INDIRECT("Tabela1["&amp;$B58&amp;"]"),Tabela1[Turno],$D58,Tabela1[Data Corrigida],W$3)/100,"")</f>
        <v/>
      </c>
      <c r="X58" s="36" t="str">
        <f ca="1">IFERROR(AVERAGEIFS(INDIRECT("Tabela1["&amp;$B58&amp;"]"),Tabela1[Turno],$D58,Tabela1[Data Corrigida],X$3)/100,"")</f>
        <v/>
      </c>
      <c r="Y58" s="36" t="str">
        <f ca="1">IFERROR(AVERAGEIFS(INDIRECT("Tabela1["&amp;$B58&amp;"]"),Tabela1[Turno],$D58,Tabela1[Data Corrigida],Y$3)/100,"")</f>
        <v/>
      </c>
      <c r="Z58" s="36" t="str">
        <f ca="1">IFERROR(AVERAGEIFS(INDIRECT("Tabela1["&amp;$B58&amp;"]"),Tabela1[Turno],$D58,Tabela1[Data Corrigida],Z$3)/100,"")</f>
        <v/>
      </c>
      <c r="AA58" s="36" t="str">
        <f ca="1">IFERROR(AVERAGEIFS(INDIRECT("Tabela1["&amp;$B58&amp;"]"),Tabela1[Turno],$D58,Tabela1[Data Corrigida],AA$3)/100,"")</f>
        <v/>
      </c>
      <c r="AB58" s="36" t="str">
        <f ca="1">IFERROR(AVERAGEIFS(INDIRECT("Tabela1["&amp;$B58&amp;"]"),Tabela1[Turno],$D58,Tabela1[Data Corrigida],AB$3)/100,"")</f>
        <v/>
      </c>
      <c r="AC58" s="36" t="str">
        <f ca="1">IFERROR(AVERAGEIFS(INDIRECT("Tabela1["&amp;$B58&amp;"]"),Tabela1[Turno],$D58,Tabela1[Data Corrigida],AC$3)/100,"")</f>
        <v/>
      </c>
      <c r="AD58" s="36" t="str">
        <f ca="1">IFERROR(AVERAGEIFS(INDIRECT("Tabela1["&amp;$B58&amp;"]"),Tabela1[Turno],$D58,Tabela1[Data Corrigida],AD$3)/100,"")</f>
        <v/>
      </c>
      <c r="AE58" s="36" t="str">
        <f ca="1">IFERROR(AVERAGEIFS(INDIRECT("Tabela1["&amp;$B58&amp;"]"),Tabela1[Turno],$D58,Tabela1[Data Corrigida],AE$3)/100,"")</f>
        <v/>
      </c>
      <c r="AF58" s="36" t="str">
        <f ca="1">IFERROR(AVERAGEIFS(INDIRECT("Tabela1["&amp;$B58&amp;"]"),Tabela1[Turno],$D58,Tabela1[Data Corrigida],AF$3)/100,"")</f>
        <v/>
      </c>
      <c r="AG58" s="36" t="str">
        <f ca="1">IFERROR(AVERAGEIFS(INDIRECT("Tabela1["&amp;$B58&amp;"]"),Tabela1[Turno],$D58,Tabela1[Data Corrigida],AG$3)/100,"")</f>
        <v/>
      </c>
      <c r="AH58" s="36" t="str">
        <f ca="1">IFERROR(AVERAGEIFS(INDIRECT("Tabela1["&amp;$B58&amp;"]"),Tabela1[Turno],$D58,Tabela1[Data Corrigida],AH$3)/100,"")</f>
        <v/>
      </c>
      <c r="AI58" s="36" t="str">
        <f ca="1">IFERROR(AVERAGEIFS(INDIRECT("Tabela1["&amp;$B58&amp;"]"),Tabela1[Turno],$D58,Tabela1[Data Corrigida],AI$3)/100,"")</f>
        <v/>
      </c>
      <c r="AJ58" s="36" t="str">
        <f ca="1">IFERROR(AVERAGEIFS(INDIRECT("Tabela1["&amp;$B58&amp;"]"),Tabela1[Turno],$D58,Tabela1[Data Corrigida],AJ$3)/100,"")</f>
        <v/>
      </c>
      <c r="AK58" s="36" t="str">
        <f ca="1">IFERROR(AVERAGEIFS(INDIRECT("Tabela1["&amp;$B58&amp;"]"),Tabela1[Turno],$D58,Tabela1[Data Corrigida],AK$3)/100,"")</f>
        <v/>
      </c>
      <c r="AL58" s="36" t="str">
        <f ca="1">IFERROR(AVERAGEIFS(INDIRECT("Tabela1["&amp;$B58&amp;"]"),Tabela1[Turno],$D58,Tabela1[Data Corrigida],AL$3)/100,"")</f>
        <v/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">
      <c r="A59" s="50" t="str">
        <f>VLOOKUP(Tabela2[[#This Row],[Item 1]],Apoio!$A$2:$B$41,2,0)</f>
        <v>Míudos</v>
      </c>
      <c r="B59" s="9" t="str">
        <f t="shared" si="2"/>
        <v>% Retirada de Fígado</v>
      </c>
      <c r="C59" s="63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2.3448275862068967E-3</v>
      </c>
      <c r="N59" s="45">
        <f ca="1">IFERROR(AVERAGEIFS(INDIRECT("Tabela1["&amp;$B59&amp;"]"),Tabela1[Mês],N$3)/100,"")</f>
        <v>6.6666666666666662E-3</v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0"/>
      <c r="R59" s="42">
        <f ca="1">IFERROR(AVERAGEIFS(INDIRECT("Tabela1["&amp;$B59&amp;"]"),Tabela1[Data Corrigida],R$3)/100,"")</f>
        <v>1.4285714285714285E-2</v>
      </c>
      <c r="S59" s="43">
        <f ca="1">IFERROR(AVERAGEIFS(INDIRECT("Tabela1["&amp;$B59&amp;"]"),Tabela1[Data Corrigida],S$3)/100,"")</f>
        <v>2.8571428571428571E-3</v>
      </c>
      <c r="T59" s="43">
        <f ca="1">IFERROR(AVERAGEIFS(INDIRECT("Tabela1["&amp;$B59&amp;"]"),Tabela1[Data Corrigida],T$3)/100,"")</f>
        <v>5.0000000000000001E-3</v>
      </c>
      <c r="U59" s="43">
        <f ca="1">IFERROR(AVERAGEIFS(INDIRECT("Tabela1["&amp;$B59&amp;"]"),Tabela1[Data Corrigida],U$3)/100,"")</f>
        <v>2.8571428571428571E-3</v>
      </c>
      <c r="V59" s="43">
        <f ca="1">IFERROR(AVERAGEIFS(INDIRECT("Tabela1["&amp;$B59&amp;"]"),Tabela1[Data Corrigida],V$3)/100,"")</f>
        <v>8.5714285714285701E-3</v>
      </c>
      <c r="W59" s="43">
        <f ca="1">IFERROR(AVERAGEIFS(INDIRECT("Tabela1["&amp;$B59&amp;"]"),Tabela1[Data Corrigida],W$3)/100,"")</f>
        <v>5.0000000000000001E-3</v>
      </c>
      <c r="X59" s="43" t="str">
        <f ca="1">IFERROR(AVERAGEIFS(INDIRECT("Tabela1["&amp;$B59&amp;"]"),Tabela1[Data Corrigida],X$3)/100,"")</f>
        <v/>
      </c>
      <c r="Y59" s="43" t="str">
        <f ca="1">IFERROR(AVERAGEIFS(INDIRECT("Tabela1["&amp;$B59&amp;"]"),Tabela1[Data Corrigida],Y$3)/100,"")</f>
        <v/>
      </c>
      <c r="Z59" s="43" t="str">
        <f ca="1">IFERROR(AVERAGEIFS(INDIRECT("Tabela1["&amp;$B59&amp;"]"),Tabela1[Data Corrigida],Z$3)/100,"")</f>
        <v/>
      </c>
      <c r="AA59" s="43" t="str">
        <f ca="1">IFERROR(AVERAGEIFS(INDIRECT("Tabela1["&amp;$B59&amp;"]"),Tabela1[Data Corrigida],AA$3)/100,"")</f>
        <v/>
      </c>
      <c r="AB59" s="43" t="str">
        <f ca="1">IFERROR(AVERAGEIFS(INDIRECT("Tabela1["&amp;$B59&amp;"]"),Tabela1[Data Corrigida],AB$3)/100,"")</f>
        <v/>
      </c>
      <c r="AC59" s="43" t="str">
        <f ca="1">IFERROR(AVERAGEIFS(INDIRECT("Tabela1["&amp;$B59&amp;"]"),Tabela1[Data Corrigida],AC$3)/100,"")</f>
        <v/>
      </c>
      <c r="AD59" s="43" t="str">
        <f ca="1">IFERROR(AVERAGEIFS(INDIRECT("Tabela1["&amp;$B59&amp;"]"),Tabela1[Data Corrigida],AD$3)/100,"")</f>
        <v/>
      </c>
      <c r="AE59" s="43" t="str">
        <f ca="1">IFERROR(AVERAGEIFS(INDIRECT("Tabela1["&amp;$B59&amp;"]"),Tabela1[Data Corrigida],AE$3)/100,"")</f>
        <v/>
      </c>
      <c r="AF59" s="43" t="str">
        <f ca="1">IFERROR(AVERAGEIFS(INDIRECT("Tabela1["&amp;$B59&amp;"]"),Tabela1[Data Corrigida],AF$3)/100,"")</f>
        <v/>
      </c>
      <c r="AG59" s="43" t="str">
        <f ca="1">IFERROR(AVERAGEIFS(INDIRECT("Tabela1["&amp;$B59&amp;"]"),Tabela1[Data Corrigida],AG$3)/100,"")</f>
        <v/>
      </c>
      <c r="AH59" s="43" t="str">
        <f ca="1">IFERROR(AVERAGEIFS(INDIRECT("Tabela1["&amp;$B59&amp;"]"),Tabela1[Data Corrigida],AH$3)/100,"")</f>
        <v/>
      </c>
      <c r="AI59" s="43" t="str">
        <f ca="1">IFERROR(AVERAGEIFS(INDIRECT("Tabela1["&amp;$B59&amp;"]"),Tabela1[Data Corrigida],AI$3)/100,"")</f>
        <v/>
      </c>
      <c r="AJ59" s="43" t="str">
        <f ca="1">IFERROR(AVERAGEIFS(INDIRECT("Tabela1["&amp;$B59&amp;"]"),Tabela1[Data Corrigida],AJ$3)/100,"")</f>
        <v/>
      </c>
      <c r="AK59" s="43" t="str">
        <f ca="1">IFERROR(AVERAGEIFS(INDIRECT("Tabela1["&amp;$B59&amp;"]"),Tabela1[Data Corrigida],AK$3)/100,"")</f>
        <v/>
      </c>
      <c r="AL59" s="43" t="str">
        <f ca="1">IFERROR(AVERAGEIFS(INDIRECT("Tabela1["&amp;$B59&amp;"]"),Tabela1[Data Corrigida],AL$3)/100,"")</f>
        <v/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25">
      <c r="A60" s="50" t="str">
        <f>VLOOKUP(Tabela2[[#This Row],[Item 1]],Apoio!$A$2:$B$41,2,0)</f>
        <v>Míudos</v>
      </c>
      <c r="B60" s="9" t="str">
        <f t="shared" si="2"/>
        <v>% Queratina na moela</v>
      </c>
      <c r="C60" s="61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0.21216867469879516</v>
      </c>
      <c r="N60" s="34">
        <f ca="1">IFERROR(AVERAGEIFS(INDIRECT("Tabela1["&amp;$B60&amp;"]"),Tabela1[Turno],$D60,Tabela1[Mês],N$3)/100,"")</f>
        <v>0.19095238095238096</v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58">
        <v>0.3</v>
      </c>
      <c r="R60" s="33">
        <f ca="1">IFERROR(AVERAGEIFS(INDIRECT("Tabela1["&amp;$B60&amp;"]"),Tabela1[Turno],$D60,Tabela1[Data Corrigida],R$3)/100,"")</f>
        <v>0.215</v>
      </c>
      <c r="S60" s="34">
        <f ca="1">IFERROR(AVERAGEIFS(INDIRECT("Tabela1["&amp;$B60&amp;"]"),Tabela1[Turno],$D60,Tabela1[Data Corrigida],S$3)/100,"")</f>
        <v>0.19500000000000001</v>
      </c>
      <c r="T60" s="34">
        <f ca="1">IFERROR(AVERAGEIFS(INDIRECT("Tabela1["&amp;$B60&amp;"]"),Tabela1[Turno],$D60,Tabela1[Data Corrigida],T$3)/100,"")</f>
        <v>0.15</v>
      </c>
      <c r="U60" s="34">
        <f ca="1">IFERROR(AVERAGEIFS(INDIRECT("Tabela1["&amp;$B60&amp;"]"),Tabela1[Turno],$D60,Tabela1[Data Corrigida],U$3)/100,"")</f>
        <v>0.17749999999999999</v>
      </c>
      <c r="V60" s="34">
        <f ca="1">IFERROR(AVERAGEIFS(INDIRECT("Tabela1["&amp;$B60&amp;"]"),Tabela1[Turno],$D60,Tabela1[Data Corrigida],V$3)/100,"")</f>
        <v>0.21</v>
      </c>
      <c r="W60" s="34">
        <f ca="1">IFERROR(AVERAGEIFS(INDIRECT("Tabela1["&amp;$B60&amp;"]"),Tabela1[Turno],$D60,Tabela1[Data Corrigida],W$3)/100,"")</f>
        <v>0.16750000000000001</v>
      </c>
      <c r="X60" s="34" t="str">
        <f ca="1">IFERROR(AVERAGEIFS(INDIRECT("Tabela1["&amp;$B60&amp;"]"),Tabela1[Turno],$D60,Tabela1[Data Corrigida],X$3)/100,"")</f>
        <v/>
      </c>
      <c r="Y60" s="34" t="str">
        <f ca="1">IFERROR(AVERAGEIFS(INDIRECT("Tabela1["&amp;$B60&amp;"]"),Tabela1[Turno],$D60,Tabela1[Data Corrigida],Y$3)/100,"")</f>
        <v/>
      </c>
      <c r="Z60" s="34" t="str">
        <f ca="1">IFERROR(AVERAGEIFS(INDIRECT("Tabela1["&amp;$B60&amp;"]"),Tabela1[Turno],$D60,Tabela1[Data Corrigida],Z$3)/100,"")</f>
        <v/>
      </c>
      <c r="AA60" s="34" t="str">
        <f ca="1">IFERROR(AVERAGEIFS(INDIRECT("Tabela1["&amp;$B60&amp;"]"),Tabela1[Turno],$D60,Tabela1[Data Corrigida],AA$3)/100,"")</f>
        <v/>
      </c>
      <c r="AB60" s="34" t="str">
        <f ca="1">IFERROR(AVERAGEIFS(INDIRECT("Tabela1["&amp;$B60&amp;"]"),Tabela1[Turno],$D60,Tabela1[Data Corrigida],AB$3)/100,"")</f>
        <v/>
      </c>
      <c r="AC60" s="34" t="str">
        <f ca="1">IFERROR(AVERAGEIFS(INDIRECT("Tabela1["&amp;$B60&amp;"]"),Tabela1[Turno],$D60,Tabela1[Data Corrigida],AC$3)/100,"")</f>
        <v/>
      </c>
      <c r="AD60" s="34" t="str">
        <f ca="1">IFERROR(AVERAGEIFS(INDIRECT("Tabela1["&amp;$B60&amp;"]"),Tabela1[Turno],$D60,Tabela1[Data Corrigida],AD$3)/100,"")</f>
        <v/>
      </c>
      <c r="AE60" s="34" t="str">
        <f ca="1">IFERROR(AVERAGEIFS(INDIRECT("Tabela1["&amp;$B60&amp;"]"),Tabela1[Turno],$D60,Tabela1[Data Corrigida],AE$3)/100,"")</f>
        <v/>
      </c>
      <c r="AF60" s="34" t="str">
        <f ca="1">IFERROR(AVERAGEIFS(INDIRECT("Tabela1["&amp;$B60&amp;"]"),Tabela1[Turno],$D60,Tabela1[Data Corrigida],AF$3)/100,"")</f>
        <v/>
      </c>
      <c r="AG60" s="34" t="str">
        <f ca="1">IFERROR(AVERAGEIFS(INDIRECT("Tabela1["&amp;$B60&amp;"]"),Tabela1[Turno],$D60,Tabela1[Data Corrigida],AG$3)/100,"")</f>
        <v/>
      </c>
      <c r="AH60" s="34" t="str">
        <f ca="1">IFERROR(AVERAGEIFS(INDIRECT("Tabela1["&amp;$B60&amp;"]"),Tabela1[Turno],$D60,Tabela1[Data Corrigida],AH$3)/100,"")</f>
        <v/>
      </c>
      <c r="AI60" s="34" t="str">
        <f ca="1">IFERROR(AVERAGEIFS(INDIRECT("Tabela1["&amp;$B60&amp;"]"),Tabela1[Turno],$D60,Tabela1[Data Corrigida],AI$3)/100,"")</f>
        <v/>
      </c>
      <c r="AJ60" s="34" t="str">
        <f ca="1">IFERROR(AVERAGEIFS(INDIRECT("Tabela1["&amp;$B60&amp;"]"),Tabela1[Turno],$D60,Tabela1[Data Corrigida],AJ$3)/100,"")</f>
        <v/>
      </c>
      <c r="AK60" s="34" t="str">
        <f ca="1">IFERROR(AVERAGEIFS(INDIRECT("Tabela1["&amp;$B60&amp;"]"),Tabela1[Turno],$D60,Tabela1[Data Corrigida],AK$3)/100,"")</f>
        <v/>
      </c>
      <c r="AL60" s="34" t="str">
        <f ca="1">IFERROR(AVERAGEIFS(INDIRECT("Tabela1["&amp;$B60&amp;"]"),Tabela1[Turno],$D60,Tabela1[Data Corrigida],AL$3)/100,"")</f>
        <v/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25">
      <c r="A61" s="50" t="str">
        <f>VLOOKUP(Tabela2[[#This Row],[Item 1]],Apoio!$A$2:$B$41,2,0)</f>
        <v>Míudos</v>
      </c>
      <c r="B61" s="9" t="str">
        <f t="shared" si="2"/>
        <v>% Queratina na moela</v>
      </c>
      <c r="C61" s="62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0.14047619047619048</v>
      </c>
      <c r="N61" s="36">
        <f ca="1">IFERROR(AVERAGEIFS(INDIRECT("Tabela1["&amp;$B61&amp;"]"),Tabela1[Turno],$D61,Tabela1[Mês],N$3)/100,"")</f>
        <v>0.20399999999999999</v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59"/>
      <c r="R61" s="35">
        <f ca="1">IFERROR(AVERAGEIFS(INDIRECT("Tabela1["&amp;$B61&amp;"]"),Tabela1[Turno],$D61,Tabela1[Data Corrigida],R$3)/100,"")</f>
        <v>0.19666666666666668</v>
      </c>
      <c r="S61" s="36">
        <f ca="1">IFERROR(AVERAGEIFS(INDIRECT("Tabela1["&amp;$B61&amp;"]"),Tabela1[Turno],$D61,Tabela1[Data Corrigida],S$3)/100,"")</f>
        <v>0.20333333333333331</v>
      </c>
      <c r="T61" s="36">
        <f ca="1">IFERROR(AVERAGEIFS(INDIRECT("Tabela1["&amp;$B61&amp;"]"),Tabela1[Turno],$D61,Tabela1[Data Corrigida],T$3)/100,"")</f>
        <v>0.21</v>
      </c>
      <c r="U61" s="36">
        <f ca="1">IFERROR(AVERAGEIFS(INDIRECT("Tabela1["&amp;$B61&amp;"]"),Tabela1[Turno],$D61,Tabela1[Data Corrigida],U$3)/100,"")</f>
        <v>0.20333333333333331</v>
      </c>
      <c r="V61" s="36">
        <f ca="1">IFERROR(AVERAGEIFS(INDIRECT("Tabela1["&amp;$B61&amp;"]"),Tabela1[Turno],$D61,Tabela1[Data Corrigida],V$3)/100,"")</f>
        <v>0.20666666666666667</v>
      </c>
      <c r="W61" s="36" t="str">
        <f ca="1">IFERROR(AVERAGEIFS(INDIRECT("Tabela1["&amp;$B61&amp;"]"),Tabela1[Turno],$D61,Tabela1[Data Corrigida],W$3)/100,"")</f>
        <v/>
      </c>
      <c r="X61" s="36" t="str">
        <f ca="1">IFERROR(AVERAGEIFS(INDIRECT("Tabela1["&amp;$B61&amp;"]"),Tabela1[Turno],$D61,Tabela1[Data Corrigida],X$3)/100,"")</f>
        <v/>
      </c>
      <c r="Y61" s="36" t="str">
        <f ca="1">IFERROR(AVERAGEIFS(INDIRECT("Tabela1["&amp;$B61&amp;"]"),Tabela1[Turno],$D61,Tabela1[Data Corrigida],Y$3)/100,"")</f>
        <v/>
      </c>
      <c r="Z61" s="36" t="str">
        <f ca="1">IFERROR(AVERAGEIFS(INDIRECT("Tabela1["&amp;$B61&amp;"]"),Tabela1[Turno],$D61,Tabela1[Data Corrigida],Z$3)/100,"")</f>
        <v/>
      </c>
      <c r="AA61" s="36" t="str">
        <f ca="1">IFERROR(AVERAGEIFS(INDIRECT("Tabela1["&amp;$B61&amp;"]"),Tabela1[Turno],$D61,Tabela1[Data Corrigida],AA$3)/100,"")</f>
        <v/>
      </c>
      <c r="AB61" s="36" t="str">
        <f ca="1">IFERROR(AVERAGEIFS(INDIRECT("Tabela1["&amp;$B61&amp;"]"),Tabela1[Turno],$D61,Tabela1[Data Corrigida],AB$3)/100,"")</f>
        <v/>
      </c>
      <c r="AC61" s="36" t="str">
        <f ca="1">IFERROR(AVERAGEIFS(INDIRECT("Tabela1["&amp;$B61&amp;"]"),Tabela1[Turno],$D61,Tabela1[Data Corrigida],AC$3)/100,"")</f>
        <v/>
      </c>
      <c r="AD61" s="36" t="str">
        <f ca="1">IFERROR(AVERAGEIFS(INDIRECT("Tabela1["&amp;$B61&amp;"]"),Tabela1[Turno],$D61,Tabela1[Data Corrigida],AD$3)/100,"")</f>
        <v/>
      </c>
      <c r="AE61" s="36" t="str">
        <f ca="1">IFERROR(AVERAGEIFS(INDIRECT("Tabela1["&amp;$B61&amp;"]"),Tabela1[Turno],$D61,Tabela1[Data Corrigida],AE$3)/100,"")</f>
        <v/>
      </c>
      <c r="AF61" s="36" t="str">
        <f ca="1">IFERROR(AVERAGEIFS(INDIRECT("Tabela1["&amp;$B61&amp;"]"),Tabela1[Turno],$D61,Tabela1[Data Corrigida],AF$3)/100,"")</f>
        <v/>
      </c>
      <c r="AG61" s="36" t="str">
        <f ca="1">IFERROR(AVERAGEIFS(INDIRECT("Tabela1["&amp;$B61&amp;"]"),Tabela1[Turno],$D61,Tabela1[Data Corrigida],AG$3)/100,"")</f>
        <v/>
      </c>
      <c r="AH61" s="36" t="str">
        <f ca="1">IFERROR(AVERAGEIFS(INDIRECT("Tabela1["&amp;$B61&amp;"]"),Tabela1[Turno],$D61,Tabela1[Data Corrigida],AH$3)/100,"")</f>
        <v/>
      </c>
      <c r="AI61" s="36" t="str">
        <f ca="1">IFERROR(AVERAGEIFS(INDIRECT("Tabela1["&amp;$B61&amp;"]"),Tabela1[Turno],$D61,Tabela1[Data Corrigida],AI$3)/100,"")</f>
        <v/>
      </c>
      <c r="AJ61" s="36" t="str">
        <f ca="1">IFERROR(AVERAGEIFS(INDIRECT("Tabela1["&amp;$B61&amp;"]"),Tabela1[Turno],$D61,Tabela1[Data Corrigida],AJ$3)/100,"")</f>
        <v/>
      </c>
      <c r="AK61" s="36" t="str">
        <f ca="1">IFERROR(AVERAGEIFS(INDIRECT("Tabela1["&amp;$B61&amp;"]"),Tabela1[Turno],$D61,Tabela1[Data Corrigida],AK$3)/100,"")</f>
        <v/>
      </c>
      <c r="AL61" s="36" t="str">
        <f ca="1">IFERROR(AVERAGEIFS(INDIRECT("Tabela1["&amp;$B61&amp;"]"),Tabela1[Turno],$D61,Tabela1[Data Corrigida],AL$3)/100,"")</f>
        <v/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">
      <c r="A62" s="50" t="str">
        <f>VLOOKUP(Tabela2[[#This Row],[Item 1]],Apoio!$A$2:$B$41,2,0)</f>
        <v>Míudos</v>
      </c>
      <c r="B62" s="9" t="str">
        <f t="shared" si="2"/>
        <v>% Queratina na moela</v>
      </c>
      <c r="C62" s="63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0.18123287671232877</v>
      </c>
      <c r="N62" s="45">
        <f ca="1">IFERROR(AVERAGEIFS(INDIRECT("Tabela1["&amp;$B62&amp;"]"),Tabela1[Mês],N$3)/100,"")</f>
        <v>0.19638888888888889</v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0"/>
      <c r="R62" s="37">
        <f ca="1">IFERROR(AVERAGEIFS(INDIRECT("Tabela1["&amp;$B62&amp;"]"),Tabela1[Data Corrigida],R$3)/100,"")</f>
        <v>0.20714285714285716</v>
      </c>
      <c r="S62" s="38">
        <f ca="1">IFERROR(AVERAGEIFS(INDIRECT("Tabela1["&amp;$B62&amp;"]"),Tabela1[Data Corrigida],S$3)/100,"")</f>
        <v>0.19857142857142857</v>
      </c>
      <c r="T62" s="38">
        <f ca="1">IFERROR(AVERAGEIFS(INDIRECT("Tabela1["&amp;$B62&amp;"]"),Tabela1[Data Corrigida],T$3)/100,"")</f>
        <v>0.19500000000000001</v>
      </c>
      <c r="U62" s="38">
        <f ca="1">IFERROR(AVERAGEIFS(INDIRECT("Tabela1["&amp;$B62&amp;"]"),Tabela1[Data Corrigida],U$3)/100,"")</f>
        <v>0.18857142857142858</v>
      </c>
      <c r="V62" s="38">
        <f ca="1">IFERROR(AVERAGEIFS(INDIRECT("Tabela1["&amp;$B62&amp;"]"),Tabela1[Data Corrigida],V$3)/100,"")</f>
        <v>0.20857142857142857</v>
      </c>
      <c r="W62" s="38">
        <f ca="1">IFERROR(AVERAGEIFS(INDIRECT("Tabela1["&amp;$B62&amp;"]"),Tabela1[Data Corrigida],W$3)/100,"")</f>
        <v>0.16750000000000001</v>
      </c>
      <c r="X62" s="38" t="str">
        <f ca="1">IFERROR(AVERAGEIFS(INDIRECT("Tabela1["&amp;$B62&amp;"]"),Tabela1[Data Corrigida],X$3)/100,"")</f>
        <v/>
      </c>
      <c r="Y62" s="38" t="str">
        <f ca="1">IFERROR(AVERAGEIFS(INDIRECT("Tabela1["&amp;$B62&amp;"]"),Tabela1[Data Corrigida],Y$3)/100,"")</f>
        <v/>
      </c>
      <c r="Z62" s="38" t="str">
        <f ca="1">IFERROR(AVERAGEIFS(INDIRECT("Tabela1["&amp;$B62&amp;"]"),Tabela1[Data Corrigida],Z$3)/100,"")</f>
        <v/>
      </c>
      <c r="AA62" s="38" t="str">
        <f ca="1">IFERROR(AVERAGEIFS(INDIRECT("Tabela1["&amp;$B62&amp;"]"),Tabela1[Data Corrigida],AA$3)/100,"")</f>
        <v/>
      </c>
      <c r="AB62" s="38" t="str">
        <f ca="1">IFERROR(AVERAGEIFS(INDIRECT("Tabela1["&amp;$B62&amp;"]"),Tabela1[Data Corrigida],AB$3)/100,"")</f>
        <v/>
      </c>
      <c r="AC62" s="38" t="str">
        <f ca="1">IFERROR(AVERAGEIFS(INDIRECT("Tabela1["&amp;$B62&amp;"]"),Tabela1[Data Corrigida],AC$3)/100,"")</f>
        <v/>
      </c>
      <c r="AD62" s="38" t="str">
        <f ca="1">IFERROR(AVERAGEIFS(INDIRECT("Tabela1["&amp;$B62&amp;"]"),Tabela1[Data Corrigida],AD$3)/100,"")</f>
        <v/>
      </c>
      <c r="AE62" s="38" t="str">
        <f ca="1">IFERROR(AVERAGEIFS(INDIRECT("Tabela1["&amp;$B62&amp;"]"),Tabela1[Data Corrigida],AE$3)/100,"")</f>
        <v/>
      </c>
      <c r="AF62" s="38" t="str">
        <f ca="1">IFERROR(AVERAGEIFS(INDIRECT("Tabela1["&amp;$B62&amp;"]"),Tabela1[Data Corrigida],AF$3)/100,"")</f>
        <v/>
      </c>
      <c r="AG62" s="38" t="str">
        <f ca="1">IFERROR(AVERAGEIFS(INDIRECT("Tabela1["&amp;$B62&amp;"]"),Tabela1[Data Corrigida],AG$3)/100,"")</f>
        <v/>
      </c>
      <c r="AH62" s="38" t="str">
        <f ca="1">IFERROR(AVERAGEIFS(INDIRECT("Tabela1["&amp;$B62&amp;"]"),Tabela1[Data Corrigida],AH$3)/100,"")</f>
        <v/>
      </c>
      <c r="AI62" s="38" t="str">
        <f ca="1">IFERROR(AVERAGEIFS(INDIRECT("Tabela1["&amp;$B62&amp;"]"),Tabela1[Data Corrigida],AI$3)/100,"")</f>
        <v/>
      </c>
      <c r="AJ62" s="38" t="str">
        <f ca="1">IFERROR(AVERAGEIFS(INDIRECT("Tabela1["&amp;$B62&amp;"]"),Tabela1[Data Corrigida],AJ$3)/100,"")</f>
        <v/>
      </c>
      <c r="AK62" s="38" t="str">
        <f ca="1">IFERROR(AVERAGEIFS(INDIRECT("Tabela1["&amp;$B62&amp;"]"),Tabela1[Data Corrigida],AK$3)/100,"")</f>
        <v/>
      </c>
      <c r="AL62" s="38" t="str">
        <f ca="1">IFERROR(AVERAGEIFS(INDIRECT("Tabela1["&amp;$B62&amp;"]"),Tabela1[Data Corrigida],AL$3)/100,"")</f>
        <v/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25">
      <c r="A63" s="50" t="str">
        <f>VLOOKUP(Tabela2[[#This Row],[Item 1]],Apoio!$A$2:$B$41,2,0)</f>
        <v>Eviscer</v>
      </c>
      <c r="B63" s="9" t="str">
        <f t="shared" si="2"/>
        <v>% Erro de corte na moela</v>
      </c>
      <c r="C63" s="61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0.17048192771084339</v>
      </c>
      <c r="N63" s="34">
        <f ca="1">IFERROR(AVERAGEIFS(INDIRECT("Tabela1["&amp;$B63&amp;"]"),Tabela1[Turno],$D63,Tabela1[Mês],N$3)/100,"")</f>
        <v>0.20809523809523811</v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58">
        <v>0.15</v>
      </c>
      <c r="R63" s="39">
        <f ca="1">IFERROR(AVERAGEIFS(INDIRECT("Tabela1["&amp;$B63&amp;"]"),Tabela1[Turno],$D63,Tabela1[Data Corrigida],R$3)/100,"")</f>
        <v>0.1925</v>
      </c>
      <c r="S63" s="40">
        <f ca="1">IFERROR(AVERAGEIFS(INDIRECT("Tabela1["&amp;$B63&amp;"]"),Tabela1[Turno],$D63,Tabela1[Data Corrigida],S$3)/100,"")</f>
        <v>0.23</v>
      </c>
      <c r="T63" s="40">
        <f ca="1">IFERROR(AVERAGEIFS(INDIRECT("Tabela1["&amp;$B63&amp;"]"),Tabela1[Turno],$D63,Tabela1[Data Corrigida],T$3)/100,"")</f>
        <v>0.24</v>
      </c>
      <c r="U63" s="40">
        <f ca="1">IFERROR(AVERAGEIFS(INDIRECT("Tabela1["&amp;$B63&amp;"]"),Tabela1[Turno],$D63,Tabela1[Data Corrigida],U$3)/100,"")</f>
        <v>0.2225</v>
      </c>
      <c r="V63" s="40">
        <f ca="1">IFERROR(AVERAGEIFS(INDIRECT("Tabela1["&amp;$B63&amp;"]"),Tabela1[Turno],$D63,Tabela1[Data Corrigida],V$3)/100,"")</f>
        <v>0.19750000000000001</v>
      </c>
      <c r="W63" s="40">
        <f ca="1">IFERROR(AVERAGEIFS(INDIRECT("Tabela1["&amp;$B63&amp;"]"),Tabela1[Turno],$D63,Tabela1[Data Corrigida],W$3)/100,"")</f>
        <v>0.19</v>
      </c>
      <c r="X63" s="40" t="str">
        <f ca="1">IFERROR(AVERAGEIFS(INDIRECT("Tabela1["&amp;$B63&amp;"]"),Tabela1[Turno],$D63,Tabela1[Data Corrigida],X$3)/100,"")</f>
        <v/>
      </c>
      <c r="Y63" s="40" t="str">
        <f ca="1">IFERROR(AVERAGEIFS(INDIRECT("Tabela1["&amp;$B63&amp;"]"),Tabela1[Turno],$D63,Tabela1[Data Corrigida],Y$3)/100,"")</f>
        <v/>
      </c>
      <c r="Z63" s="40" t="str">
        <f ca="1">IFERROR(AVERAGEIFS(INDIRECT("Tabela1["&amp;$B63&amp;"]"),Tabela1[Turno],$D63,Tabela1[Data Corrigida],Z$3)/100,"")</f>
        <v/>
      </c>
      <c r="AA63" s="40" t="str">
        <f ca="1">IFERROR(AVERAGEIFS(INDIRECT("Tabela1["&amp;$B63&amp;"]"),Tabela1[Turno],$D63,Tabela1[Data Corrigida],AA$3)/100,"")</f>
        <v/>
      </c>
      <c r="AB63" s="40" t="str">
        <f ca="1">IFERROR(AVERAGEIFS(INDIRECT("Tabela1["&amp;$B63&amp;"]"),Tabela1[Turno],$D63,Tabela1[Data Corrigida],AB$3)/100,"")</f>
        <v/>
      </c>
      <c r="AC63" s="40" t="str">
        <f ca="1">IFERROR(AVERAGEIFS(INDIRECT("Tabela1["&amp;$B63&amp;"]"),Tabela1[Turno],$D63,Tabela1[Data Corrigida],AC$3)/100,"")</f>
        <v/>
      </c>
      <c r="AD63" s="40" t="str">
        <f ca="1">IFERROR(AVERAGEIFS(INDIRECT("Tabela1["&amp;$B63&amp;"]"),Tabela1[Turno],$D63,Tabela1[Data Corrigida],AD$3)/100,"")</f>
        <v/>
      </c>
      <c r="AE63" s="40" t="str">
        <f ca="1">IFERROR(AVERAGEIFS(INDIRECT("Tabela1["&amp;$B63&amp;"]"),Tabela1[Turno],$D63,Tabela1[Data Corrigida],AE$3)/100,"")</f>
        <v/>
      </c>
      <c r="AF63" s="40" t="str">
        <f ca="1">IFERROR(AVERAGEIFS(INDIRECT("Tabela1["&amp;$B63&amp;"]"),Tabela1[Turno],$D63,Tabela1[Data Corrigida],AF$3)/100,"")</f>
        <v/>
      </c>
      <c r="AG63" s="40" t="str">
        <f ca="1">IFERROR(AVERAGEIFS(INDIRECT("Tabela1["&amp;$B63&amp;"]"),Tabela1[Turno],$D63,Tabela1[Data Corrigida],AG$3)/100,"")</f>
        <v/>
      </c>
      <c r="AH63" s="40" t="str">
        <f ca="1">IFERROR(AVERAGEIFS(INDIRECT("Tabela1["&amp;$B63&amp;"]"),Tabela1[Turno],$D63,Tabela1[Data Corrigida],AH$3)/100,"")</f>
        <v/>
      </c>
      <c r="AI63" s="40" t="str">
        <f ca="1">IFERROR(AVERAGEIFS(INDIRECT("Tabela1["&amp;$B63&amp;"]"),Tabela1[Turno],$D63,Tabela1[Data Corrigida],AI$3)/100,"")</f>
        <v/>
      </c>
      <c r="AJ63" s="40" t="str">
        <f ca="1">IFERROR(AVERAGEIFS(INDIRECT("Tabela1["&amp;$B63&amp;"]"),Tabela1[Turno],$D63,Tabela1[Data Corrigida],AJ$3)/100,"")</f>
        <v/>
      </c>
      <c r="AK63" s="40" t="str">
        <f ca="1">IFERROR(AVERAGEIFS(INDIRECT("Tabela1["&amp;$B63&amp;"]"),Tabela1[Turno],$D63,Tabela1[Data Corrigida],AK$3)/100,"")</f>
        <v/>
      </c>
      <c r="AL63" s="40" t="str">
        <f ca="1">IFERROR(AVERAGEIFS(INDIRECT("Tabela1["&amp;$B63&amp;"]"),Tabela1[Turno],$D63,Tabela1[Data Corrigida],AL$3)/100,"")</f>
        <v/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25">
      <c r="A64" s="50" t="str">
        <f>VLOOKUP(Tabela2[[#This Row],[Item 1]],Apoio!$A$2:$B$41,2,0)</f>
        <v>Eviscer</v>
      </c>
      <c r="B64" s="9" t="str">
        <f t="shared" si="2"/>
        <v>% Erro de corte na moela</v>
      </c>
      <c r="C64" s="62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0.10412698412698412</v>
      </c>
      <c r="N64" s="36">
        <f ca="1">IFERROR(AVERAGEIFS(INDIRECT("Tabela1["&amp;$B64&amp;"]"),Tabela1[Turno],$D64,Tabela1[Mês],N$3)/100,"")</f>
        <v>0.17133333333333334</v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59"/>
      <c r="R64" s="35">
        <f ca="1">IFERROR(AVERAGEIFS(INDIRECT("Tabela1["&amp;$B64&amp;"]"),Tabela1[Turno],$D64,Tabela1[Data Corrigida],R$3)/100,"")</f>
        <v>0.15333333333333335</v>
      </c>
      <c r="S64" s="36">
        <f ca="1">IFERROR(AVERAGEIFS(INDIRECT("Tabela1["&amp;$B64&amp;"]"),Tabela1[Turno],$D64,Tabela1[Data Corrigida],S$3)/100,"")</f>
        <v>0.17666666666666667</v>
      </c>
      <c r="T64" s="36">
        <f ca="1">IFERROR(AVERAGEIFS(INDIRECT("Tabela1["&amp;$B64&amp;"]"),Tabela1[Turno],$D64,Tabela1[Data Corrigida],T$3)/100,"")</f>
        <v>0.18666666666666668</v>
      </c>
      <c r="U64" s="36">
        <f ca="1">IFERROR(AVERAGEIFS(INDIRECT("Tabela1["&amp;$B64&amp;"]"),Tabela1[Turno],$D64,Tabela1[Data Corrigida],U$3)/100,"")</f>
        <v>0.17</v>
      </c>
      <c r="V64" s="36">
        <f ca="1">IFERROR(AVERAGEIFS(INDIRECT("Tabela1["&amp;$B64&amp;"]"),Tabela1[Turno],$D64,Tabela1[Data Corrigida],V$3)/100,"")</f>
        <v>0.17</v>
      </c>
      <c r="W64" s="36" t="str">
        <f ca="1">IFERROR(AVERAGEIFS(INDIRECT("Tabela1["&amp;$B64&amp;"]"),Tabela1[Turno],$D64,Tabela1[Data Corrigida],W$3)/100,"")</f>
        <v/>
      </c>
      <c r="X64" s="36" t="str">
        <f ca="1">IFERROR(AVERAGEIFS(INDIRECT("Tabela1["&amp;$B64&amp;"]"),Tabela1[Turno],$D64,Tabela1[Data Corrigida],X$3)/100,"")</f>
        <v/>
      </c>
      <c r="Y64" s="36" t="str">
        <f ca="1">IFERROR(AVERAGEIFS(INDIRECT("Tabela1["&amp;$B64&amp;"]"),Tabela1[Turno],$D64,Tabela1[Data Corrigida],Y$3)/100,"")</f>
        <v/>
      </c>
      <c r="Z64" s="36" t="str">
        <f ca="1">IFERROR(AVERAGEIFS(INDIRECT("Tabela1["&amp;$B64&amp;"]"),Tabela1[Turno],$D64,Tabela1[Data Corrigida],Z$3)/100,"")</f>
        <v/>
      </c>
      <c r="AA64" s="36" t="str">
        <f ca="1">IFERROR(AVERAGEIFS(INDIRECT("Tabela1["&amp;$B64&amp;"]"),Tabela1[Turno],$D64,Tabela1[Data Corrigida],AA$3)/100,"")</f>
        <v/>
      </c>
      <c r="AB64" s="36" t="str">
        <f ca="1">IFERROR(AVERAGEIFS(INDIRECT("Tabela1["&amp;$B64&amp;"]"),Tabela1[Turno],$D64,Tabela1[Data Corrigida],AB$3)/100,"")</f>
        <v/>
      </c>
      <c r="AC64" s="36" t="str">
        <f ca="1">IFERROR(AVERAGEIFS(INDIRECT("Tabela1["&amp;$B64&amp;"]"),Tabela1[Turno],$D64,Tabela1[Data Corrigida],AC$3)/100,"")</f>
        <v/>
      </c>
      <c r="AD64" s="36" t="str">
        <f ca="1">IFERROR(AVERAGEIFS(INDIRECT("Tabela1["&amp;$B64&amp;"]"),Tabela1[Turno],$D64,Tabela1[Data Corrigida],AD$3)/100,"")</f>
        <v/>
      </c>
      <c r="AE64" s="36" t="str">
        <f ca="1">IFERROR(AVERAGEIFS(INDIRECT("Tabela1["&amp;$B64&amp;"]"),Tabela1[Turno],$D64,Tabela1[Data Corrigida],AE$3)/100,"")</f>
        <v/>
      </c>
      <c r="AF64" s="36" t="str">
        <f ca="1">IFERROR(AVERAGEIFS(INDIRECT("Tabela1["&amp;$B64&amp;"]"),Tabela1[Turno],$D64,Tabela1[Data Corrigida],AF$3)/100,"")</f>
        <v/>
      </c>
      <c r="AG64" s="36" t="str">
        <f ca="1">IFERROR(AVERAGEIFS(INDIRECT("Tabela1["&amp;$B64&amp;"]"),Tabela1[Turno],$D64,Tabela1[Data Corrigida],AG$3)/100,"")</f>
        <v/>
      </c>
      <c r="AH64" s="36" t="str">
        <f ca="1">IFERROR(AVERAGEIFS(INDIRECT("Tabela1["&amp;$B64&amp;"]"),Tabela1[Turno],$D64,Tabela1[Data Corrigida],AH$3)/100,"")</f>
        <v/>
      </c>
      <c r="AI64" s="36" t="str">
        <f ca="1">IFERROR(AVERAGEIFS(INDIRECT("Tabela1["&amp;$B64&amp;"]"),Tabela1[Turno],$D64,Tabela1[Data Corrigida],AI$3)/100,"")</f>
        <v/>
      </c>
      <c r="AJ64" s="36" t="str">
        <f ca="1">IFERROR(AVERAGEIFS(INDIRECT("Tabela1["&amp;$B64&amp;"]"),Tabela1[Turno],$D64,Tabela1[Data Corrigida],AJ$3)/100,"")</f>
        <v/>
      </c>
      <c r="AK64" s="36" t="str">
        <f ca="1">IFERROR(AVERAGEIFS(INDIRECT("Tabela1["&amp;$B64&amp;"]"),Tabela1[Turno],$D64,Tabela1[Data Corrigida],AK$3)/100,"")</f>
        <v/>
      </c>
      <c r="AL64" s="36" t="str">
        <f ca="1">IFERROR(AVERAGEIFS(INDIRECT("Tabela1["&amp;$B64&amp;"]"),Tabela1[Turno],$D64,Tabela1[Data Corrigida],AL$3)/100,"")</f>
        <v/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3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0.14184931506849316</v>
      </c>
      <c r="N65" s="45">
        <f ca="1">IFERROR(AVERAGEIFS(INDIRECT("Tabela1["&amp;$B65&amp;"]"),Tabela1[Mês],N$3)/100,"")</f>
        <v>0.1927777777777778</v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0"/>
      <c r="R65" s="37">
        <f ca="1">IFERROR(AVERAGEIFS(INDIRECT("Tabela1["&amp;$B65&amp;"]"),Tabela1[Data Corrigida],R$3)/100,"")</f>
        <v>0.17571428571428574</v>
      </c>
      <c r="S65" s="38">
        <f ca="1">IFERROR(AVERAGEIFS(INDIRECT("Tabela1["&amp;$B65&amp;"]"),Tabela1[Data Corrigida],S$3)/100,"")</f>
        <v>0.20714285714285716</v>
      </c>
      <c r="T65" s="38">
        <f ca="1">IFERROR(AVERAGEIFS(INDIRECT("Tabela1["&amp;$B65&amp;"]"),Tabela1[Data Corrigida],T$3)/100,"")</f>
        <v>0.2</v>
      </c>
      <c r="U65" s="38">
        <f ca="1">IFERROR(AVERAGEIFS(INDIRECT("Tabela1["&amp;$B65&amp;"]"),Tabela1[Data Corrigida],U$3)/100,"")</f>
        <v>0.2</v>
      </c>
      <c r="V65" s="38">
        <f ca="1">IFERROR(AVERAGEIFS(INDIRECT("Tabela1["&amp;$B65&amp;"]"),Tabela1[Data Corrigida],V$3)/100,"")</f>
        <v>0.18571428571428572</v>
      </c>
      <c r="W65" s="38">
        <f ca="1">IFERROR(AVERAGEIFS(INDIRECT("Tabela1["&amp;$B65&amp;"]"),Tabela1[Data Corrigida],W$3)/100,"")</f>
        <v>0.19</v>
      </c>
      <c r="X65" s="38" t="str">
        <f ca="1">IFERROR(AVERAGEIFS(INDIRECT("Tabela1["&amp;$B65&amp;"]"),Tabela1[Data Corrigida],X$3)/100,"")</f>
        <v/>
      </c>
      <c r="Y65" s="38" t="str">
        <f ca="1">IFERROR(AVERAGEIFS(INDIRECT("Tabela1["&amp;$B65&amp;"]"),Tabela1[Data Corrigida],Y$3)/100,"")</f>
        <v/>
      </c>
      <c r="Z65" s="38" t="str">
        <f ca="1">IFERROR(AVERAGEIFS(INDIRECT("Tabela1["&amp;$B65&amp;"]"),Tabela1[Data Corrigida],Z$3)/100,"")</f>
        <v/>
      </c>
      <c r="AA65" s="38" t="str">
        <f ca="1">IFERROR(AVERAGEIFS(INDIRECT("Tabela1["&amp;$B65&amp;"]"),Tabela1[Data Corrigida],AA$3)/100,"")</f>
        <v/>
      </c>
      <c r="AB65" s="38" t="str">
        <f ca="1">IFERROR(AVERAGEIFS(INDIRECT("Tabela1["&amp;$B65&amp;"]"),Tabela1[Data Corrigida],AB$3)/100,"")</f>
        <v/>
      </c>
      <c r="AC65" s="38" t="str">
        <f ca="1">IFERROR(AVERAGEIFS(INDIRECT("Tabela1["&amp;$B65&amp;"]"),Tabela1[Data Corrigida],AC$3)/100,"")</f>
        <v/>
      </c>
      <c r="AD65" s="38" t="str">
        <f ca="1">IFERROR(AVERAGEIFS(INDIRECT("Tabela1["&amp;$B65&amp;"]"),Tabela1[Data Corrigida],AD$3)/100,"")</f>
        <v/>
      </c>
      <c r="AE65" s="38" t="str">
        <f ca="1">IFERROR(AVERAGEIFS(INDIRECT("Tabela1["&amp;$B65&amp;"]"),Tabela1[Data Corrigida],AE$3)/100,"")</f>
        <v/>
      </c>
      <c r="AF65" s="38" t="str">
        <f ca="1">IFERROR(AVERAGEIFS(INDIRECT("Tabela1["&amp;$B65&amp;"]"),Tabela1[Data Corrigida],AF$3)/100,"")</f>
        <v/>
      </c>
      <c r="AG65" s="38" t="str">
        <f ca="1">IFERROR(AVERAGEIFS(INDIRECT("Tabela1["&amp;$B65&amp;"]"),Tabela1[Data Corrigida],AG$3)/100,"")</f>
        <v/>
      </c>
      <c r="AH65" s="38" t="str">
        <f ca="1">IFERROR(AVERAGEIFS(INDIRECT("Tabela1["&amp;$B65&amp;"]"),Tabela1[Data Corrigida],AH$3)/100,"")</f>
        <v/>
      </c>
      <c r="AI65" s="38" t="str">
        <f ca="1">IFERROR(AVERAGEIFS(INDIRECT("Tabela1["&amp;$B65&amp;"]"),Tabela1[Data Corrigida],AI$3)/100,"")</f>
        <v/>
      </c>
      <c r="AJ65" s="38" t="str">
        <f ca="1">IFERROR(AVERAGEIFS(INDIRECT("Tabela1["&amp;$B65&amp;"]"),Tabela1[Data Corrigida],AJ$3)/100,"")</f>
        <v/>
      </c>
      <c r="AK65" s="38" t="str">
        <f ca="1">IFERROR(AVERAGEIFS(INDIRECT("Tabela1["&amp;$B65&amp;"]"),Tabela1[Data Corrigida],AK$3)/100,"")</f>
        <v/>
      </c>
      <c r="AL65" s="38" t="str">
        <f ca="1">IFERROR(AVERAGEIFS(INDIRECT("Tabela1["&amp;$B65&amp;"]"),Tabela1[Data Corrigida],AL$3)/100,"")</f>
        <v/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25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61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1.7992424242424244E-2</v>
      </c>
      <c r="N66" s="34">
        <f ca="1">IFERROR(AVERAGEIFS(INDIRECT("Tabela1["&amp;$B66&amp;"]"),Tabela1[Turno],$D66,Tabela1[Mês],N$3)/32,"")</f>
        <v>1.7045454545454544E-2</v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58">
        <v>0.03</v>
      </c>
      <c r="R66" s="33">
        <f ca="1">IFERROR(AVERAGEIFS(INDIRECT("Tabela1["&amp;$B66&amp;"]"),Tabela1[Turno],$D66,Tabela1[Data Corrigida],R$3)/32,"")</f>
        <v>1.0416666666666666E-2</v>
      </c>
      <c r="S66" s="34">
        <f ca="1">IFERROR(AVERAGEIFS(INDIRECT("Tabela1["&amp;$B66&amp;"]"),Tabela1[Turno],$D66,Tabela1[Data Corrigida],S$3)/32,"")</f>
        <v>0</v>
      </c>
      <c r="T66" s="34" t="str">
        <f ca="1">IFERROR(AVERAGEIFS(INDIRECT("Tabela1["&amp;$B66&amp;"]"),Tabela1[Turno],$D66,Tabela1[Data Corrigida],T$3)/32,"")</f>
        <v/>
      </c>
      <c r="U66" s="34">
        <f ca="1">IFERROR(AVERAGEIFS(INDIRECT("Tabela1["&amp;$B66&amp;"]"),Tabela1[Turno],$D66,Tabela1[Data Corrigida],U$3)/32,"")</f>
        <v>3.125E-2</v>
      </c>
      <c r="V66" s="34">
        <f ca="1">IFERROR(AVERAGEIFS(INDIRECT("Tabela1["&amp;$B66&amp;"]"),Tabela1[Turno],$D66,Tabela1[Data Corrigida],V$3)/32,"")</f>
        <v>3.125E-2</v>
      </c>
      <c r="W66" s="34">
        <f ca="1">IFERROR(AVERAGEIFS(INDIRECT("Tabela1["&amp;$B66&amp;"]"),Tabela1[Turno],$D66,Tabela1[Data Corrigida],W$3)/32,"")</f>
        <v>2.0833333333333332E-2</v>
      </c>
      <c r="X66" s="34" t="str">
        <f ca="1">IFERROR(AVERAGEIFS(INDIRECT("Tabela1["&amp;$B66&amp;"]"),Tabela1[Turno],$D66,Tabela1[Data Corrigida],X$3)/32,"")</f>
        <v/>
      </c>
      <c r="Y66" s="34" t="str">
        <f ca="1">IFERROR(AVERAGEIFS(INDIRECT("Tabela1["&amp;$B66&amp;"]"),Tabela1[Turno],$D66,Tabela1[Data Corrigida],Y$3)/32,"")</f>
        <v/>
      </c>
      <c r="Z66" s="34" t="str">
        <f ca="1">IFERROR(AVERAGEIFS(INDIRECT("Tabela1["&amp;$B66&amp;"]"),Tabela1[Turno],$D66,Tabela1[Data Corrigida],Z$3)/32,"")</f>
        <v/>
      </c>
      <c r="AA66" s="34" t="str">
        <f ca="1">IFERROR(AVERAGEIFS(INDIRECT("Tabela1["&amp;$B66&amp;"]"),Tabela1[Turno],$D66,Tabela1[Data Corrigida],AA$3)/32,"")</f>
        <v/>
      </c>
      <c r="AB66" s="34" t="str">
        <f ca="1">IFERROR(AVERAGEIFS(INDIRECT("Tabela1["&amp;$B66&amp;"]"),Tabela1[Turno],$D66,Tabela1[Data Corrigida],AB$3)/32,"")</f>
        <v/>
      </c>
      <c r="AC66" s="34" t="str">
        <f ca="1">IFERROR(AVERAGEIFS(INDIRECT("Tabela1["&amp;$B66&amp;"]"),Tabela1[Turno],$D66,Tabela1[Data Corrigida],AC$3)/32,"")</f>
        <v/>
      </c>
      <c r="AD66" s="34" t="str">
        <f ca="1">IFERROR(AVERAGEIFS(INDIRECT("Tabela1["&amp;$B66&amp;"]"),Tabela1[Turno],$D66,Tabela1[Data Corrigida],AD$3)/32,"")</f>
        <v/>
      </c>
      <c r="AE66" s="34" t="str">
        <f ca="1">IFERROR(AVERAGEIFS(INDIRECT("Tabela1["&amp;$B66&amp;"]"),Tabela1[Turno],$D66,Tabela1[Data Corrigida],AE$3)/32,"")</f>
        <v/>
      </c>
      <c r="AF66" s="34" t="str">
        <f ca="1">IFERROR(AVERAGEIFS(INDIRECT("Tabela1["&amp;$B66&amp;"]"),Tabela1[Turno],$D66,Tabela1[Data Corrigida],AF$3)/32,"")</f>
        <v/>
      </c>
      <c r="AG66" s="34" t="str">
        <f ca="1">IFERROR(AVERAGEIFS(INDIRECT("Tabela1["&amp;$B66&amp;"]"),Tabela1[Turno],$D66,Tabela1[Data Corrigida],AG$3)/32,"")</f>
        <v/>
      </c>
      <c r="AH66" s="34" t="str">
        <f ca="1">IFERROR(AVERAGEIFS(INDIRECT("Tabela1["&amp;$B66&amp;"]"),Tabela1[Turno],$D66,Tabela1[Data Corrigida],AH$3)/32,"")</f>
        <v/>
      </c>
      <c r="AI66" s="34" t="str">
        <f ca="1">IFERROR(AVERAGEIFS(INDIRECT("Tabela1["&amp;$B66&amp;"]"),Tabela1[Turno],$D66,Tabela1[Data Corrigida],AI$3)/32,"")</f>
        <v/>
      </c>
      <c r="AJ66" s="34" t="str">
        <f ca="1">IFERROR(AVERAGEIFS(INDIRECT("Tabela1["&amp;$B66&amp;"]"),Tabela1[Turno],$D66,Tabela1[Data Corrigida],AJ$3)/32,"")</f>
        <v/>
      </c>
      <c r="AK66" s="34" t="str">
        <f ca="1">IFERROR(AVERAGEIFS(INDIRECT("Tabela1["&amp;$B66&amp;"]"),Tabela1[Turno],$D66,Tabela1[Data Corrigida],AK$3)/32,"")</f>
        <v/>
      </c>
      <c r="AL66" s="34" t="str">
        <f ca="1">IFERROR(AVERAGEIFS(INDIRECT("Tabela1["&amp;$B66&amp;"]"),Tabela1[Turno],$D66,Tabela1[Data Corrigida],AL$3)/32,"")</f>
        <v/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25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62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9.8790322580645157E-2</v>
      </c>
      <c r="N67" s="36">
        <f ca="1">IFERROR(AVERAGEIFS(INDIRECT("Tabela1["&amp;$B67&amp;"]"),Tabela1[Turno],$D67,Tabela1[Mês],N$3)/32,"")</f>
        <v>7.7083333333333337E-2</v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59"/>
      <c r="R67" s="35">
        <f ca="1">IFERROR(AVERAGEIFS(INDIRECT("Tabela1["&amp;$B67&amp;"]"),Tabela1[Turno],$D67,Tabela1[Data Corrigida],R$3)/32,"")</f>
        <v>6.25E-2</v>
      </c>
      <c r="S67" s="36">
        <f ca="1">IFERROR(AVERAGEIFS(INDIRECT("Tabela1["&amp;$B67&amp;"]"),Tabela1[Turno],$D67,Tabela1[Data Corrigida],S$3)/32,"")</f>
        <v>4.1666666666666664E-2</v>
      </c>
      <c r="T67" s="36">
        <f ca="1">IFERROR(AVERAGEIFS(INDIRECT("Tabela1["&amp;$B67&amp;"]"),Tabela1[Turno],$D67,Tabela1[Data Corrigida],T$3)/32,"")</f>
        <v>6.25E-2</v>
      </c>
      <c r="U67" s="36">
        <f ca="1">IFERROR(AVERAGEIFS(INDIRECT("Tabela1["&amp;$B67&amp;"]"),Tabela1[Turno],$D67,Tabela1[Data Corrigida],U$3)/32,"")</f>
        <v>0.125</v>
      </c>
      <c r="V67" s="36">
        <f ca="1">IFERROR(AVERAGEIFS(INDIRECT("Tabela1["&amp;$B67&amp;"]"),Tabela1[Turno],$D67,Tabela1[Data Corrigida],V$3)/32,"")</f>
        <v>9.375E-2</v>
      </c>
      <c r="W67" s="36" t="str">
        <f ca="1">IFERROR(AVERAGEIFS(INDIRECT("Tabela1["&amp;$B67&amp;"]"),Tabela1[Turno],$D67,Tabela1[Data Corrigida],W$3)/32,"")</f>
        <v/>
      </c>
      <c r="X67" s="36" t="str">
        <f ca="1">IFERROR(AVERAGEIFS(INDIRECT("Tabela1["&amp;$B67&amp;"]"),Tabela1[Turno],$D67,Tabela1[Data Corrigida],X$3)/32,"")</f>
        <v/>
      </c>
      <c r="Y67" s="36" t="str">
        <f ca="1">IFERROR(AVERAGEIFS(INDIRECT("Tabela1["&amp;$B67&amp;"]"),Tabela1[Turno],$D67,Tabela1[Data Corrigida],Y$3)/32,"")</f>
        <v/>
      </c>
      <c r="Z67" s="36" t="str">
        <f ca="1">IFERROR(AVERAGEIFS(INDIRECT("Tabela1["&amp;$B67&amp;"]"),Tabela1[Turno],$D67,Tabela1[Data Corrigida],Z$3)/32,"")</f>
        <v/>
      </c>
      <c r="AA67" s="36" t="str">
        <f ca="1">IFERROR(AVERAGEIFS(INDIRECT("Tabela1["&amp;$B67&amp;"]"),Tabela1[Turno],$D67,Tabela1[Data Corrigida],AA$3)/32,"")</f>
        <v/>
      </c>
      <c r="AB67" s="36" t="str">
        <f ca="1">IFERROR(AVERAGEIFS(INDIRECT("Tabela1["&amp;$B67&amp;"]"),Tabela1[Turno],$D67,Tabela1[Data Corrigida],AB$3)/32,"")</f>
        <v/>
      </c>
      <c r="AC67" s="36" t="str">
        <f ca="1">IFERROR(AVERAGEIFS(INDIRECT("Tabela1["&amp;$B67&amp;"]"),Tabela1[Turno],$D67,Tabela1[Data Corrigida],AC$3)/32,"")</f>
        <v/>
      </c>
      <c r="AD67" s="36" t="str">
        <f ca="1">IFERROR(AVERAGEIFS(INDIRECT("Tabela1["&amp;$B67&amp;"]"),Tabela1[Turno],$D67,Tabela1[Data Corrigida],AD$3)/32,"")</f>
        <v/>
      </c>
      <c r="AE67" s="36" t="str">
        <f ca="1">IFERROR(AVERAGEIFS(INDIRECT("Tabela1["&amp;$B67&amp;"]"),Tabela1[Turno],$D67,Tabela1[Data Corrigida],AE$3)/32,"")</f>
        <v/>
      </c>
      <c r="AF67" s="36" t="str">
        <f ca="1">IFERROR(AVERAGEIFS(INDIRECT("Tabela1["&amp;$B67&amp;"]"),Tabela1[Turno],$D67,Tabela1[Data Corrigida],AF$3)/32,"")</f>
        <v/>
      </c>
      <c r="AG67" s="36" t="str">
        <f ca="1">IFERROR(AVERAGEIFS(INDIRECT("Tabela1["&amp;$B67&amp;"]"),Tabela1[Turno],$D67,Tabela1[Data Corrigida],AG$3)/32,"")</f>
        <v/>
      </c>
      <c r="AH67" s="36" t="str">
        <f ca="1">IFERROR(AVERAGEIFS(INDIRECT("Tabela1["&amp;$B67&amp;"]"),Tabela1[Turno],$D67,Tabela1[Data Corrigida],AH$3)/32,"")</f>
        <v/>
      </c>
      <c r="AI67" s="36" t="str">
        <f ca="1">IFERROR(AVERAGEIFS(INDIRECT("Tabela1["&amp;$B67&amp;"]"),Tabela1[Turno],$D67,Tabela1[Data Corrigida],AI$3)/32,"")</f>
        <v/>
      </c>
      <c r="AJ67" s="36" t="str">
        <f ca="1">IFERROR(AVERAGEIFS(INDIRECT("Tabela1["&amp;$B67&amp;"]"),Tabela1[Turno],$D67,Tabela1[Data Corrigida],AJ$3)/32,"")</f>
        <v/>
      </c>
      <c r="AK67" s="36" t="str">
        <f ca="1">IFERROR(AVERAGEIFS(INDIRECT("Tabela1["&amp;$B67&amp;"]"),Tabela1[Turno],$D67,Tabela1[Data Corrigida],AK$3)/32,"")</f>
        <v/>
      </c>
      <c r="AL67" s="36" t="str">
        <f ca="1">IFERROR(AVERAGEIFS(INDIRECT("Tabela1["&amp;$B67&amp;"]"),Tabela1[Turno],$D67,Tabela1[Data Corrigida],AL$3)/32,"")</f>
        <v/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3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7.0723684210526314E-2</v>
      </c>
      <c r="N68" s="45">
        <f ca="1">IFERROR(AVERAGEIFS(INDIRECT("Tabela1["&amp;$B68&amp;"]"),Tabela1[Mês],N$3)/32,"")</f>
        <v>5.1682692307692304E-2</v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0"/>
      <c r="R68" s="37">
        <f ca="1">IFERROR(AVERAGEIFS(INDIRECT("Tabela1["&amp;$B68&amp;"]"),Tabela1[Data Corrigida],R$3)/32,"")</f>
        <v>3.6458333333333336E-2</v>
      </c>
      <c r="S68" s="38">
        <f ca="1">IFERROR(AVERAGEIFS(INDIRECT("Tabela1["&amp;$B68&amp;"]"),Tabela1[Data Corrigida],S$3)/32,"")</f>
        <v>2.5000000000000001E-2</v>
      </c>
      <c r="T68" s="38">
        <f ca="1">IFERROR(AVERAGEIFS(INDIRECT("Tabela1["&amp;$B68&amp;"]"),Tabela1[Data Corrigida],T$3)/32,"")</f>
        <v>6.25E-2</v>
      </c>
      <c r="U68" s="38">
        <f ca="1">IFERROR(AVERAGEIFS(INDIRECT("Tabela1["&amp;$B68&amp;"]"),Tabela1[Data Corrigida],U$3)/32,"")</f>
        <v>8.7499999999999994E-2</v>
      </c>
      <c r="V68" s="38">
        <f ca="1">IFERROR(AVERAGEIFS(INDIRECT("Tabela1["&amp;$B68&amp;"]"),Tabela1[Data Corrigida],V$3)/32,"")</f>
        <v>7.8125E-2</v>
      </c>
      <c r="W68" s="38">
        <f ca="1">IFERROR(AVERAGEIFS(INDIRECT("Tabela1["&amp;$B68&amp;"]"),Tabela1[Data Corrigida],W$3)/32,"")</f>
        <v>2.0833333333333332E-2</v>
      </c>
      <c r="X68" s="38" t="str">
        <f ca="1">IFERROR(AVERAGEIFS(INDIRECT("Tabela1["&amp;$B68&amp;"]"),Tabela1[Data Corrigida],X$3)/32,"")</f>
        <v/>
      </c>
      <c r="Y68" s="38" t="str">
        <f ca="1">IFERROR(AVERAGEIFS(INDIRECT("Tabela1["&amp;$B68&amp;"]"),Tabela1[Data Corrigida],Y$3)/32,"")</f>
        <v/>
      </c>
      <c r="Z68" s="38" t="str">
        <f ca="1">IFERROR(AVERAGEIFS(INDIRECT("Tabela1["&amp;$B68&amp;"]"),Tabela1[Data Corrigida],Z$3)/32,"")</f>
        <v/>
      </c>
      <c r="AA68" s="38" t="str">
        <f ca="1">IFERROR(AVERAGEIFS(INDIRECT("Tabela1["&amp;$B68&amp;"]"),Tabela1[Data Corrigida],AA$3)/32,"")</f>
        <v/>
      </c>
      <c r="AB68" s="38" t="str">
        <f ca="1">IFERROR(AVERAGEIFS(INDIRECT("Tabela1["&amp;$B68&amp;"]"),Tabela1[Data Corrigida],AB$3)/32,"")</f>
        <v/>
      </c>
      <c r="AC68" s="38" t="str">
        <f ca="1">IFERROR(AVERAGEIFS(INDIRECT("Tabela1["&amp;$B68&amp;"]"),Tabela1[Data Corrigida],AC$3)/32,"")</f>
        <v/>
      </c>
      <c r="AD68" s="38" t="str">
        <f ca="1">IFERROR(AVERAGEIFS(INDIRECT("Tabela1["&amp;$B68&amp;"]"),Tabela1[Data Corrigida],AD$3)/32,"")</f>
        <v/>
      </c>
      <c r="AE68" s="38" t="str">
        <f ca="1">IFERROR(AVERAGEIFS(INDIRECT("Tabela1["&amp;$B68&amp;"]"),Tabela1[Data Corrigida],AE$3)/32,"")</f>
        <v/>
      </c>
      <c r="AF68" s="38" t="str">
        <f ca="1">IFERROR(AVERAGEIFS(INDIRECT("Tabela1["&amp;$B68&amp;"]"),Tabela1[Data Corrigida],AF$3)/32,"")</f>
        <v/>
      </c>
      <c r="AG68" s="38" t="str">
        <f ca="1">IFERROR(AVERAGEIFS(INDIRECT("Tabela1["&amp;$B68&amp;"]"),Tabela1[Data Corrigida],AG$3)/32,"")</f>
        <v/>
      </c>
      <c r="AH68" s="38" t="str">
        <f ca="1">IFERROR(AVERAGEIFS(INDIRECT("Tabela1["&amp;$B68&amp;"]"),Tabela1[Data Corrigida],AH$3)/32,"")</f>
        <v/>
      </c>
      <c r="AI68" s="38" t="str">
        <f ca="1">IFERROR(AVERAGEIFS(INDIRECT("Tabela1["&amp;$B68&amp;"]"),Tabela1[Data Corrigida],AI$3)/32,"")</f>
        <v/>
      </c>
      <c r="AJ68" s="38" t="str">
        <f ca="1">IFERROR(AVERAGEIFS(INDIRECT("Tabela1["&amp;$B68&amp;"]"),Tabela1[Data Corrigida],AJ$3)/32,"")</f>
        <v/>
      </c>
      <c r="AK68" s="38" t="str">
        <f ca="1">IFERROR(AVERAGEIFS(INDIRECT("Tabela1["&amp;$B68&amp;"]"),Tabela1[Data Corrigida],AK$3)/32,"")</f>
        <v/>
      </c>
      <c r="AL68" s="38" t="str">
        <f ca="1">IFERROR(AVERAGEIFS(INDIRECT("Tabela1["&amp;$B68&amp;"]"),Tabela1[Data Corrigida],AL$3)/32,"")</f>
        <v/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25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61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>
        <f ca="1">IFERROR(AVERAGEIFS(INDIRECT("Tabela1["&amp;$B69&amp;"]"),Tabela1[Turno],$D69,Tabela1[Mês],N$3)/32,"")</f>
        <v>0</v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58">
        <v>0</v>
      </c>
      <c r="R69" s="33">
        <f ca="1">IFERROR(AVERAGEIFS(INDIRECT("Tabela1["&amp;$B69&amp;"]"),Tabela1[Turno],$D69,Tabela1[Data Corrigida],R$3)/32,"")</f>
        <v>0</v>
      </c>
      <c r="S69" s="34">
        <f ca="1">IFERROR(AVERAGEIFS(INDIRECT("Tabela1["&amp;$B69&amp;"]"),Tabela1[Turno],$D69,Tabela1[Data Corrigida],S$3)/32,"")</f>
        <v>0</v>
      </c>
      <c r="T69" s="34" t="str">
        <f ca="1">IFERROR(AVERAGEIFS(INDIRECT("Tabela1["&amp;$B69&amp;"]"),Tabela1[Turno],$D69,Tabela1[Data Corrigida],T$3)/32,"")</f>
        <v/>
      </c>
      <c r="U69" s="34">
        <f ca="1">IFERROR(AVERAGEIFS(INDIRECT("Tabela1["&amp;$B69&amp;"]"),Tabela1[Turno],$D69,Tabela1[Data Corrigida],U$3)/32,"")</f>
        <v>0</v>
      </c>
      <c r="V69" s="34">
        <f ca="1">IFERROR(AVERAGEIFS(INDIRECT("Tabela1["&amp;$B69&amp;"]"),Tabela1[Turno],$D69,Tabela1[Data Corrigida],V$3)/32,"")</f>
        <v>0</v>
      </c>
      <c r="W69" s="34">
        <f ca="1">IFERROR(AVERAGEIFS(INDIRECT("Tabela1["&amp;$B69&amp;"]"),Tabela1[Turno],$D69,Tabela1[Data Corrigida],W$3)/32,"")</f>
        <v>0</v>
      </c>
      <c r="X69" s="34" t="str">
        <f ca="1">IFERROR(AVERAGEIFS(INDIRECT("Tabela1["&amp;$B69&amp;"]"),Tabela1[Turno],$D69,Tabela1[Data Corrigida],X$3)/32,"")</f>
        <v/>
      </c>
      <c r="Y69" s="34" t="str">
        <f ca="1">IFERROR(AVERAGEIFS(INDIRECT("Tabela1["&amp;$B69&amp;"]"),Tabela1[Turno],$D69,Tabela1[Data Corrigida],Y$3)/32,"")</f>
        <v/>
      </c>
      <c r="Z69" s="34" t="str">
        <f ca="1">IFERROR(AVERAGEIFS(INDIRECT("Tabela1["&amp;$B69&amp;"]"),Tabela1[Turno],$D69,Tabela1[Data Corrigida],Z$3)/32,"")</f>
        <v/>
      </c>
      <c r="AA69" s="34" t="str">
        <f ca="1">IFERROR(AVERAGEIFS(INDIRECT("Tabela1["&amp;$B69&amp;"]"),Tabela1[Turno],$D69,Tabela1[Data Corrigida],AA$3)/32,"")</f>
        <v/>
      </c>
      <c r="AB69" s="34" t="str">
        <f ca="1">IFERROR(AVERAGEIFS(INDIRECT("Tabela1["&amp;$B69&amp;"]"),Tabela1[Turno],$D69,Tabela1[Data Corrigida],AB$3)/32,"")</f>
        <v/>
      </c>
      <c r="AC69" s="34" t="str">
        <f ca="1">IFERROR(AVERAGEIFS(INDIRECT("Tabela1["&amp;$B69&amp;"]"),Tabela1[Turno],$D69,Tabela1[Data Corrigida],AC$3)/32,"")</f>
        <v/>
      </c>
      <c r="AD69" s="34" t="str">
        <f ca="1">IFERROR(AVERAGEIFS(INDIRECT("Tabela1["&amp;$B69&amp;"]"),Tabela1[Turno],$D69,Tabela1[Data Corrigida],AD$3)/32,"")</f>
        <v/>
      </c>
      <c r="AE69" s="34" t="str">
        <f ca="1">IFERROR(AVERAGEIFS(INDIRECT("Tabela1["&amp;$B69&amp;"]"),Tabela1[Turno],$D69,Tabela1[Data Corrigida],AE$3)/32,"")</f>
        <v/>
      </c>
      <c r="AF69" s="34" t="str">
        <f ca="1">IFERROR(AVERAGEIFS(INDIRECT("Tabela1["&amp;$B69&amp;"]"),Tabela1[Turno],$D69,Tabela1[Data Corrigida],AF$3)/32,"")</f>
        <v/>
      </c>
      <c r="AG69" s="34" t="str">
        <f ca="1">IFERROR(AVERAGEIFS(INDIRECT("Tabela1["&amp;$B69&amp;"]"),Tabela1[Turno],$D69,Tabela1[Data Corrigida],AG$3)/32,"")</f>
        <v/>
      </c>
      <c r="AH69" s="34" t="str">
        <f ca="1">IFERROR(AVERAGEIFS(INDIRECT("Tabela1["&amp;$B69&amp;"]"),Tabela1[Turno],$D69,Tabela1[Data Corrigida],AH$3)/32,"")</f>
        <v/>
      </c>
      <c r="AI69" s="34" t="str">
        <f ca="1">IFERROR(AVERAGEIFS(INDIRECT("Tabela1["&amp;$B69&amp;"]"),Tabela1[Turno],$D69,Tabela1[Data Corrigida],AI$3)/32,"")</f>
        <v/>
      </c>
      <c r="AJ69" s="34" t="str">
        <f ca="1">IFERROR(AVERAGEIFS(INDIRECT("Tabela1["&amp;$B69&amp;"]"),Tabela1[Turno],$D69,Tabela1[Data Corrigida],AJ$3)/32,"")</f>
        <v/>
      </c>
      <c r="AK69" s="34" t="str">
        <f ca="1">IFERROR(AVERAGEIFS(INDIRECT("Tabela1["&amp;$B69&amp;"]"),Tabela1[Turno],$D69,Tabela1[Data Corrigida],AK$3)/32,"")</f>
        <v/>
      </c>
      <c r="AL69" s="34" t="str">
        <f ca="1">IFERROR(AVERAGEIFS(INDIRECT("Tabela1["&amp;$B69&amp;"]"),Tabela1[Turno],$D69,Tabela1[Data Corrigida],AL$3)/32,"")</f>
        <v/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25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62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>
        <f ca="1">IFERROR(AVERAGEIFS(INDIRECT("Tabela1["&amp;$B70&amp;"]"),Tabela1[Turno],$D70,Tabela1[Mês],N$3)/32,"")</f>
        <v>0</v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59"/>
      <c r="R70" s="35">
        <f ca="1">IFERROR(AVERAGEIFS(INDIRECT("Tabela1["&amp;$B70&amp;"]"),Tabela1[Turno],$D70,Tabela1[Data Corrigida],R$3)/32,"")</f>
        <v>0</v>
      </c>
      <c r="S70" s="36">
        <f ca="1">IFERROR(AVERAGEIFS(INDIRECT("Tabela1["&amp;$B70&amp;"]"),Tabela1[Turno],$D70,Tabela1[Data Corrigida],S$3)/32,"")</f>
        <v>0</v>
      </c>
      <c r="T70" s="36">
        <f ca="1">IFERROR(AVERAGEIFS(INDIRECT("Tabela1["&amp;$B70&amp;"]"),Tabela1[Turno],$D70,Tabela1[Data Corrigida],T$3)/32,"")</f>
        <v>0</v>
      </c>
      <c r="U70" s="36">
        <f ca="1">IFERROR(AVERAGEIFS(INDIRECT("Tabela1["&amp;$B70&amp;"]"),Tabela1[Turno],$D70,Tabela1[Data Corrigida],U$3)/32,"")</f>
        <v>0</v>
      </c>
      <c r="V70" s="36">
        <f ca="1">IFERROR(AVERAGEIFS(INDIRECT("Tabela1["&amp;$B70&amp;"]"),Tabela1[Turno],$D70,Tabela1[Data Corrigida],V$3)/32,"")</f>
        <v>0</v>
      </c>
      <c r="W70" s="36" t="str">
        <f ca="1">IFERROR(AVERAGEIFS(INDIRECT("Tabela1["&amp;$B70&amp;"]"),Tabela1[Turno],$D70,Tabela1[Data Corrigida],W$3)/32,"")</f>
        <v/>
      </c>
      <c r="X70" s="36" t="str">
        <f ca="1">IFERROR(AVERAGEIFS(INDIRECT("Tabela1["&amp;$B70&amp;"]"),Tabela1[Turno],$D70,Tabela1[Data Corrigida],X$3)/32,"")</f>
        <v/>
      </c>
      <c r="Y70" s="36" t="str">
        <f ca="1">IFERROR(AVERAGEIFS(INDIRECT("Tabela1["&amp;$B70&amp;"]"),Tabela1[Turno],$D70,Tabela1[Data Corrigida],Y$3)/32,"")</f>
        <v/>
      </c>
      <c r="Z70" s="36" t="str">
        <f ca="1">IFERROR(AVERAGEIFS(INDIRECT("Tabela1["&amp;$B70&amp;"]"),Tabela1[Turno],$D70,Tabela1[Data Corrigida],Z$3)/32,"")</f>
        <v/>
      </c>
      <c r="AA70" s="36" t="str">
        <f ca="1">IFERROR(AVERAGEIFS(INDIRECT("Tabela1["&amp;$B70&amp;"]"),Tabela1[Turno],$D70,Tabela1[Data Corrigida],AA$3)/32,"")</f>
        <v/>
      </c>
      <c r="AB70" s="36" t="str">
        <f ca="1">IFERROR(AVERAGEIFS(INDIRECT("Tabela1["&amp;$B70&amp;"]"),Tabela1[Turno],$D70,Tabela1[Data Corrigida],AB$3)/32,"")</f>
        <v/>
      </c>
      <c r="AC70" s="36" t="str">
        <f ca="1">IFERROR(AVERAGEIFS(INDIRECT("Tabela1["&amp;$B70&amp;"]"),Tabela1[Turno],$D70,Tabela1[Data Corrigida],AC$3)/32,"")</f>
        <v/>
      </c>
      <c r="AD70" s="36" t="str">
        <f ca="1">IFERROR(AVERAGEIFS(INDIRECT("Tabela1["&amp;$B70&amp;"]"),Tabela1[Turno],$D70,Tabela1[Data Corrigida],AD$3)/32,"")</f>
        <v/>
      </c>
      <c r="AE70" s="36" t="str">
        <f ca="1">IFERROR(AVERAGEIFS(INDIRECT("Tabela1["&amp;$B70&amp;"]"),Tabela1[Turno],$D70,Tabela1[Data Corrigida],AE$3)/32,"")</f>
        <v/>
      </c>
      <c r="AF70" s="36" t="str">
        <f ca="1">IFERROR(AVERAGEIFS(INDIRECT("Tabela1["&amp;$B70&amp;"]"),Tabela1[Turno],$D70,Tabela1[Data Corrigida],AF$3)/32,"")</f>
        <v/>
      </c>
      <c r="AG70" s="36" t="str">
        <f ca="1">IFERROR(AVERAGEIFS(INDIRECT("Tabela1["&amp;$B70&amp;"]"),Tabela1[Turno],$D70,Tabela1[Data Corrigida],AG$3)/32,"")</f>
        <v/>
      </c>
      <c r="AH70" s="36" t="str">
        <f ca="1">IFERROR(AVERAGEIFS(INDIRECT("Tabela1["&amp;$B70&amp;"]"),Tabela1[Turno],$D70,Tabela1[Data Corrigida],AH$3)/32,"")</f>
        <v/>
      </c>
      <c r="AI70" s="36" t="str">
        <f ca="1">IFERROR(AVERAGEIFS(INDIRECT("Tabela1["&amp;$B70&amp;"]"),Tabela1[Turno],$D70,Tabela1[Data Corrigida],AI$3)/32,"")</f>
        <v/>
      </c>
      <c r="AJ70" s="36" t="str">
        <f ca="1">IFERROR(AVERAGEIFS(INDIRECT("Tabela1["&amp;$B70&amp;"]"),Tabela1[Turno],$D70,Tabela1[Data Corrigida],AJ$3)/32,"")</f>
        <v/>
      </c>
      <c r="AK70" s="36" t="str">
        <f ca="1">IFERROR(AVERAGEIFS(INDIRECT("Tabela1["&amp;$B70&amp;"]"),Tabela1[Turno],$D70,Tabela1[Data Corrigida],AK$3)/32,"")</f>
        <v/>
      </c>
      <c r="AL70" s="36" t="str">
        <f ca="1">IFERROR(AVERAGEIFS(INDIRECT("Tabela1["&amp;$B70&amp;"]"),Tabela1[Turno],$D70,Tabela1[Data Corrigida],AL$3)/32,"")</f>
        <v/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3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>
        <f ca="1">IFERROR(AVERAGEIFS(INDIRECT("Tabela1["&amp;$B71&amp;"]"),Tabela1[Mês],N$3)/32,"")</f>
        <v>0</v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0"/>
      <c r="R71" s="37">
        <f ca="1">IFERROR(AVERAGEIFS(INDIRECT("Tabela1["&amp;$B71&amp;"]"),Tabela1[Data Corrigida],R$3)/32,"")</f>
        <v>0</v>
      </c>
      <c r="S71" s="38">
        <f ca="1">IFERROR(AVERAGEIFS(INDIRECT("Tabela1["&amp;$B71&amp;"]"),Tabela1[Data Corrigida],S$3)/32,"")</f>
        <v>0</v>
      </c>
      <c r="T71" s="38">
        <f ca="1">IFERROR(AVERAGEIFS(INDIRECT("Tabela1["&amp;$B71&amp;"]"),Tabela1[Data Corrigida],T$3)/32,"")</f>
        <v>0</v>
      </c>
      <c r="U71" s="38">
        <f ca="1">IFERROR(AVERAGEIFS(INDIRECT("Tabela1["&amp;$B71&amp;"]"),Tabela1[Data Corrigida],U$3)/32,"")</f>
        <v>0</v>
      </c>
      <c r="V71" s="38">
        <f ca="1">IFERROR(AVERAGEIFS(INDIRECT("Tabela1["&amp;$B71&amp;"]"),Tabela1[Data Corrigida],V$3)/32,"")</f>
        <v>0</v>
      </c>
      <c r="W71" s="38">
        <f ca="1">IFERROR(AVERAGEIFS(INDIRECT("Tabela1["&amp;$B71&amp;"]"),Tabela1[Data Corrigida],W$3)/32,"")</f>
        <v>0</v>
      </c>
      <c r="X71" s="38" t="str">
        <f ca="1">IFERROR(AVERAGEIFS(INDIRECT("Tabela1["&amp;$B71&amp;"]"),Tabela1[Data Corrigida],X$3)/32,"")</f>
        <v/>
      </c>
      <c r="Y71" s="38" t="str">
        <f ca="1">IFERROR(AVERAGEIFS(INDIRECT("Tabela1["&amp;$B71&amp;"]"),Tabela1[Data Corrigida],Y$3)/32,"")</f>
        <v/>
      </c>
      <c r="Z71" s="38" t="str">
        <f ca="1">IFERROR(AVERAGEIFS(INDIRECT("Tabela1["&amp;$B71&amp;"]"),Tabela1[Data Corrigida],Z$3)/32,"")</f>
        <v/>
      </c>
      <c r="AA71" s="38" t="str">
        <f ca="1">IFERROR(AVERAGEIFS(INDIRECT("Tabela1["&amp;$B71&amp;"]"),Tabela1[Data Corrigida],AA$3)/32,"")</f>
        <v/>
      </c>
      <c r="AB71" s="38" t="str">
        <f ca="1">IFERROR(AVERAGEIFS(INDIRECT("Tabela1["&amp;$B71&amp;"]"),Tabela1[Data Corrigida],AB$3)/32,"")</f>
        <v/>
      </c>
      <c r="AC71" s="38" t="str">
        <f ca="1">IFERROR(AVERAGEIFS(INDIRECT("Tabela1["&amp;$B71&amp;"]"),Tabela1[Data Corrigida],AC$3)/32,"")</f>
        <v/>
      </c>
      <c r="AD71" s="38" t="str">
        <f ca="1">IFERROR(AVERAGEIFS(INDIRECT("Tabela1["&amp;$B71&amp;"]"),Tabela1[Data Corrigida],AD$3)/32,"")</f>
        <v/>
      </c>
      <c r="AE71" s="38" t="str">
        <f ca="1">IFERROR(AVERAGEIFS(INDIRECT("Tabela1["&amp;$B71&amp;"]"),Tabela1[Data Corrigida],AE$3)/32,"")</f>
        <v/>
      </c>
      <c r="AF71" s="38" t="str">
        <f ca="1">IFERROR(AVERAGEIFS(INDIRECT("Tabela1["&amp;$B71&amp;"]"),Tabela1[Data Corrigida],AF$3)/32,"")</f>
        <v/>
      </c>
      <c r="AG71" s="38" t="str">
        <f ca="1">IFERROR(AVERAGEIFS(INDIRECT("Tabela1["&amp;$B71&amp;"]"),Tabela1[Data Corrigida],AG$3)/32,"")</f>
        <v/>
      </c>
      <c r="AH71" s="38" t="str">
        <f ca="1">IFERROR(AVERAGEIFS(INDIRECT("Tabela1["&amp;$B71&amp;"]"),Tabela1[Data Corrigida],AH$3)/32,"")</f>
        <v/>
      </c>
      <c r="AI71" s="38" t="str">
        <f ca="1">IFERROR(AVERAGEIFS(INDIRECT("Tabela1["&amp;$B71&amp;"]"),Tabela1[Data Corrigida],AI$3)/32,"")</f>
        <v/>
      </c>
      <c r="AJ71" s="38" t="str">
        <f ca="1">IFERROR(AVERAGEIFS(INDIRECT("Tabela1["&amp;$B71&amp;"]"),Tabela1[Data Corrigida],AJ$3)/32,"")</f>
        <v/>
      </c>
      <c r="AK71" s="38" t="str">
        <f ca="1">IFERROR(AVERAGEIFS(INDIRECT("Tabela1["&amp;$B71&amp;"]"),Tabela1[Data Corrigida],AK$3)/32,"")</f>
        <v/>
      </c>
      <c r="AL71" s="38" t="str">
        <f ca="1">IFERROR(AVERAGEIFS(INDIRECT("Tabela1["&amp;$B71&amp;"]"),Tabela1[Data Corrigida],AL$3)/32,"")</f>
        <v/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25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61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3.6931818181818184E-2</v>
      </c>
      <c r="N72" s="34">
        <f ca="1">IFERROR(AVERAGEIFS(INDIRECT("Tabela1["&amp;$B72&amp;"]"),Tabela1[Turno],$D72,Tabela1[Mês],N$3)/32,"")</f>
        <v>4.261363636363636E-2</v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58">
        <v>0</v>
      </c>
      <c r="R72" s="33">
        <f ca="1">IFERROR(AVERAGEIFS(INDIRECT("Tabela1["&amp;$B72&amp;"]"),Tabela1[Turno],$D72,Tabela1[Data Corrigida],R$3)/32,"")</f>
        <v>4.1666666666666664E-2</v>
      </c>
      <c r="S72" s="34">
        <f ca="1">IFERROR(AVERAGEIFS(INDIRECT("Tabela1["&amp;$B72&amp;"]"),Tabela1[Turno],$D72,Tabela1[Data Corrigida],S$3)/32,"")</f>
        <v>3.125E-2</v>
      </c>
      <c r="T72" s="34" t="str">
        <f ca="1">IFERROR(AVERAGEIFS(INDIRECT("Tabela1["&amp;$B72&amp;"]"),Tabela1[Turno],$D72,Tabela1[Data Corrigida],T$3)/32,"")</f>
        <v/>
      </c>
      <c r="U72" s="34">
        <f ca="1">IFERROR(AVERAGEIFS(INDIRECT("Tabela1["&amp;$B72&amp;"]"),Tabela1[Turno],$D72,Tabela1[Data Corrigida],U$3)/32,"")</f>
        <v>4.6875E-2</v>
      </c>
      <c r="V72" s="34">
        <f ca="1">IFERROR(AVERAGEIFS(INDIRECT("Tabela1["&amp;$B72&amp;"]"),Tabela1[Turno],$D72,Tabela1[Data Corrigida],V$3)/32,"")</f>
        <v>6.25E-2</v>
      </c>
      <c r="W72" s="34">
        <f ca="1">IFERROR(AVERAGEIFS(INDIRECT("Tabela1["&amp;$B72&amp;"]"),Tabela1[Turno],$D72,Tabela1[Data Corrigida],W$3)/32,"")</f>
        <v>4.1666666666666664E-2</v>
      </c>
      <c r="X72" s="34" t="str">
        <f ca="1">IFERROR(AVERAGEIFS(INDIRECT("Tabela1["&amp;$B72&amp;"]"),Tabela1[Turno],$D72,Tabela1[Data Corrigida],X$3)/32,"")</f>
        <v/>
      </c>
      <c r="Y72" s="34" t="str">
        <f ca="1">IFERROR(AVERAGEIFS(INDIRECT("Tabela1["&amp;$B72&amp;"]"),Tabela1[Turno],$D72,Tabela1[Data Corrigida],Y$3)/32,"")</f>
        <v/>
      </c>
      <c r="Z72" s="34" t="str">
        <f ca="1">IFERROR(AVERAGEIFS(INDIRECT("Tabela1["&amp;$B72&amp;"]"),Tabela1[Turno],$D72,Tabela1[Data Corrigida],Z$3)/32,"")</f>
        <v/>
      </c>
      <c r="AA72" s="34" t="str">
        <f ca="1">IFERROR(AVERAGEIFS(INDIRECT("Tabela1["&amp;$B72&amp;"]"),Tabela1[Turno],$D72,Tabela1[Data Corrigida],AA$3)/32,"")</f>
        <v/>
      </c>
      <c r="AB72" s="34" t="str">
        <f ca="1">IFERROR(AVERAGEIFS(INDIRECT("Tabela1["&amp;$B72&amp;"]"),Tabela1[Turno],$D72,Tabela1[Data Corrigida],AB$3)/32,"")</f>
        <v/>
      </c>
      <c r="AC72" s="34" t="str">
        <f ca="1">IFERROR(AVERAGEIFS(INDIRECT("Tabela1["&amp;$B72&amp;"]"),Tabela1[Turno],$D72,Tabela1[Data Corrigida],AC$3)/32,"")</f>
        <v/>
      </c>
      <c r="AD72" s="34" t="str">
        <f ca="1">IFERROR(AVERAGEIFS(INDIRECT("Tabela1["&amp;$B72&amp;"]"),Tabela1[Turno],$D72,Tabela1[Data Corrigida],AD$3)/32,"")</f>
        <v/>
      </c>
      <c r="AE72" s="34" t="str">
        <f ca="1">IFERROR(AVERAGEIFS(INDIRECT("Tabela1["&amp;$B72&amp;"]"),Tabela1[Turno],$D72,Tabela1[Data Corrigida],AE$3)/32,"")</f>
        <v/>
      </c>
      <c r="AF72" s="34" t="str">
        <f ca="1">IFERROR(AVERAGEIFS(INDIRECT("Tabela1["&amp;$B72&amp;"]"),Tabela1[Turno],$D72,Tabela1[Data Corrigida],AF$3)/32,"")</f>
        <v/>
      </c>
      <c r="AG72" s="34" t="str">
        <f ca="1">IFERROR(AVERAGEIFS(INDIRECT("Tabela1["&amp;$B72&amp;"]"),Tabela1[Turno],$D72,Tabela1[Data Corrigida],AG$3)/32,"")</f>
        <v/>
      </c>
      <c r="AH72" s="34" t="str">
        <f ca="1">IFERROR(AVERAGEIFS(INDIRECT("Tabela1["&amp;$B72&amp;"]"),Tabela1[Turno],$D72,Tabela1[Data Corrigida],AH$3)/32,"")</f>
        <v/>
      </c>
      <c r="AI72" s="34" t="str">
        <f ca="1">IFERROR(AVERAGEIFS(INDIRECT("Tabela1["&amp;$B72&amp;"]"),Tabela1[Turno],$D72,Tabela1[Data Corrigida],AI$3)/32,"")</f>
        <v/>
      </c>
      <c r="AJ72" s="34" t="str">
        <f ca="1">IFERROR(AVERAGEIFS(INDIRECT("Tabela1["&amp;$B72&amp;"]"),Tabela1[Turno],$D72,Tabela1[Data Corrigida],AJ$3)/32,"")</f>
        <v/>
      </c>
      <c r="AK72" s="34" t="str">
        <f ca="1">IFERROR(AVERAGEIFS(INDIRECT("Tabela1["&amp;$B72&amp;"]"),Tabela1[Turno],$D72,Tabela1[Data Corrigida],AK$3)/32,"")</f>
        <v/>
      </c>
      <c r="AL72" s="34" t="str">
        <f ca="1">IFERROR(AVERAGEIFS(INDIRECT("Tabela1["&amp;$B72&amp;"]"),Tabela1[Turno],$D72,Tabela1[Data Corrigida],AL$3)/32,"")</f>
        <v/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25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62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>
        <f ca="1">IFERROR(AVERAGEIFS(INDIRECT("Tabela1["&amp;$B73&amp;"]"),Tabela1[Turno],$D73,Tabela1[Mês],N$3)/32,"")</f>
        <v>0</v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59"/>
      <c r="R73" s="35">
        <f ca="1">IFERROR(AVERAGEIFS(INDIRECT("Tabela1["&amp;$B73&amp;"]"),Tabela1[Turno],$D73,Tabela1[Data Corrigida],R$3)/32,"")</f>
        <v>0</v>
      </c>
      <c r="S73" s="36">
        <f ca="1">IFERROR(AVERAGEIFS(INDIRECT("Tabela1["&amp;$B73&amp;"]"),Tabela1[Turno],$D73,Tabela1[Data Corrigida],S$3)/32,"")</f>
        <v>0</v>
      </c>
      <c r="T73" s="36">
        <f ca="1">IFERROR(AVERAGEIFS(INDIRECT("Tabela1["&amp;$B73&amp;"]"),Tabela1[Turno],$D73,Tabela1[Data Corrigida],T$3)/32,"")</f>
        <v>0</v>
      </c>
      <c r="U73" s="36">
        <f ca="1">IFERROR(AVERAGEIFS(INDIRECT("Tabela1["&amp;$B73&amp;"]"),Tabela1[Turno],$D73,Tabela1[Data Corrigida],U$3)/32,"")</f>
        <v>0</v>
      </c>
      <c r="V73" s="36">
        <f ca="1">IFERROR(AVERAGEIFS(INDIRECT("Tabela1["&amp;$B73&amp;"]"),Tabela1[Turno],$D73,Tabela1[Data Corrigida],V$3)/32,"")</f>
        <v>0</v>
      </c>
      <c r="W73" s="36" t="str">
        <f ca="1">IFERROR(AVERAGEIFS(INDIRECT("Tabela1["&amp;$B73&amp;"]"),Tabela1[Turno],$D73,Tabela1[Data Corrigida],W$3)/32,"")</f>
        <v/>
      </c>
      <c r="X73" s="36" t="str">
        <f ca="1">IFERROR(AVERAGEIFS(INDIRECT("Tabela1["&amp;$B73&amp;"]"),Tabela1[Turno],$D73,Tabela1[Data Corrigida],X$3)/32,"")</f>
        <v/>
      </c>
      <c r="Y73" s="36" t="str">
        <f ca="1">IFERROR(AVERAGEIFS(INDIRECT("Tabela1["&amp;$B73&amp;"]"),Tabela1[Turno],$D73,Tabela1[Data Corrigida],Y$3)/32,"")</f>
        <v/>
      </c>
      <c r="Z73" s="36" t="str">
        <f ca="1">IFERROR(AVERAGEIFS(INDIRECT("Tabela1["&amp;$B73&amp;"]"),Tabela1[Turno],$D73,Tabela1[Data Corrigida],Z$3)/32,"")</f>
        <v/>
      </c>
      <c r="AA73" s="36" t="str">
        <f ca="1">IFERROR(AVERAGEIFS(INDIRECT("Tabela1["&amp;$B73&amp;"]"),Tabela1[Turno],$D73,Tabela1[Data Corrigida],AA$3)/32,"")</f>
        <v/>
      </c>
      <c r="AB73" s="36" t="str">
        <f ca="1">IFERROR(AVERAGEIFS(INDIRECT("Tabela1["&amp;$B73&amp;"]"),Tabela1[Turno],$D73,Tabela1[Data Corrigida],AB$3)/32,"")</f>
        <v/>
      </c>
      <c r="AC73" s="36" t="str">
        <f ca="1">IFERROR(AVERAGEIFS(INDIRECT("Tabela1["&amp;$B73&amp;"]"),Tabela1[Turno],$D73,Tabela1[Data Corrigida],AC$3)/32,"")</f>
        <v/>
      </c>
      <c r="AD73" s="36" t="str">
        <f ca="1">IFERROR(AVERAGEIFS(INDIRECT("Tabela1["&amp;$B73&amp;"]"),Tabela1[Turno],$D73,Tabela1[Data Corrigida],AD$3)/32,"")</f>
        <v/>
      </c>
      <c r="AE73" s="36" t="str">
        <f ca="1">IFERROR(AVERAGEIFS(INDIRECT("Tabela1["&amp;$B73&amp;"]"),Tabela1[Turno],$D73,Tabela1[Data Corrigida],AE$3)/32,"")</f>
        <v/>
      </c>
      <c r="AF73" s="36" t="str">
        <f ca="1">IFERROR(AVERAGEIFS(INDIRECT("Tabela1["&amp;$B73&amp;"]"),Tabela1[Turno],$D73,Tabela1[Data Corrigida],AF$3)/32,"")</f>
        <v/>
      </c>
      <c r="AG73" s="36" t="str">
        <f ca="1">IFERROR(AVERAGEIFS(INDIRECT("Tabela1["&amp;$B73&amp;"]"),Tabela1[Turno],$D73,Tabela1[Data Corrigida],AG$3)/32,"")</f>
        <v/>
      </c>
      <c r="AH73" s="36" t="str">
        <f ca="1">IFERROR(AVERAGEIFS(INDIRECT("Tabela1["&amp;$B73&amp;"]"),Tabela1[Turno],$D73,Tabela1[Data Corrigida],AH$3)/32,"")</f>
        <v/>
      </c>
      <c r="AI73" s="36" t="str">
        <f ca="1">IFERROR(AVERAGEIFS(INDIRECT("Tabela1["&amp;$B73&amp;"]"),Tabela1[Turno],$D73,Tabela1[Data Corrigida],AI$3)/32,"")</f>
        <v/>
      </c>
      <c r="AJ73" s="36" t="str">
        <f ca="1">IFERROR(AVERAGEIFS(INDIRECT("Tabela1["&amp;$B73&amp;"]"),Tabela1[Turno],$D73,Tabela1[Data Corrigida],AJ$3)/32,"")</f>
        <v/>
      </c>
      <c r="AK73" s="36" t="str">
        <f ca="1">IFERROR(AVERAGEIFS(INDIRECT("Tabela1["&amp;$B73&amp;"]"),Tabela1[Turno],$D73,Tabela1[Data Corrigida],AK$3)/32,"")</f>
        <v/>
      </c>
      <c r="AL73" s="36" t="str">
        <f ca="1">IFERROR(AVERAGEIFS(INDIRECT("Tabela1["&amp;$B73&amp;"]"),Tabela1[Turno],$D73,Tabela1[Data Corrigida],AL$3)/32,"")</f>
        <v/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3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1.2965425531914893E-2</v>
      </c>
      <c r="N74" s="45">
        <f ca="1">IFERROR(AVERAGEIFS(INDIRECT("Tabela1["&amp;$B74&amp;"]"),Tabela1[Mês],N$3)/32,"")</f>
        <v>1.8028846153846152E-2</v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0"/>
      <c r="R74" s="37">
        <f ca="1">IFERROR(AVERAGEIFS(INDIRECT("Tabela1["&amp;$B74&amp;"]"),Tabela1[Data Corrigida],R$3)/32,"")</f>
        <v>2.0833333333333332E-2</v>
      </c>
      <c r="S74" s="38">
        <f ca="1">IFERROR(AVERAGEIFS(INDIRECT("Tabela1["&amp;$B74&amp;"]"),Tabela1[Data Corrigida],S$3)/32,"")</f>
        <v>1.2500000000000001E-2</v>
      </c>
      <c r="T74" s="38">
        <f ca="1">IFERROR(AVERAGEIFS(INDIRECT("Tabela1["&amp;$B74&amp;"]"),Tabela1[Data Corrigida],T$3)/32,"")</f>
        <v>0</v>
      </c>
      <c r="U74" s="38">
        <f ca="1">IFERROR(AVERAGEIFS(INDIRECT("Tabela1["&amp;$B74&amp;"]"),Tabela1[Data Corrigida],U$3)/32,"")</f>
        <v>1.8749999999999999E-2</v>
      </c>
      <c r="V74" s="38">
        <f ca="1">IFERROR(AVERAGEIFS(INDIRECT("Tabela1["&amp;$B74&amp;"]"),Tabela1[Data Corrigida],V$3)/32,"")</f>
        <v>1.5625E-2</v>
      </c>
      <c r="W74" s="38">
        <f ca="1">IFERROR(AVERAGEIFS(INDIRECT("Tabela1["&amp;$B74&amp;"]"),Tabela1[Data Corrigida],W$3)/32,"")</f>
        <v>4.1666666666666664E-2</v>
      </c>
      <c r="X74" s="38" t="str">
        <f ca="1">IFERROR(AVERAGEIFS(INDIRECT("Tabela1["&amp;$B74&amp;"]"),Tabela1[Data Corrigida],X$3)/32,"")</f>
        <v/>
      </c>
      <c r="Y74" s="38" t="str">
        <f ca="1">IFERROR(AVERAGEIFS(INDIRECT("Tabela1["&amp;$B74&amp;"]"),Tabela1[Data Corrigida],Y$3)/32,"")</f>
        <v/>
      </c>
      <c r="Z74" s="38" t="str">
        <f ca="1">IFERROR(AVERAGEIFS(INDIRECT("Tabela1["&amp;$B74&amp;"]"),Tabela1[Data Corrigida],Z$3)/32,"")</f>
        <v/>
      </c>
      <c r="AA74" s="38" t="str">
        <f ca="1">IFERROR(AVERAGEIFS(INDIRECT("Tabela1["&amp;$B74&amp;"]"),Tabela1[Data Corrigida],AA$3)/32,"")</f>
        <v/>
      </c>
      <c r="AB74" s="38" t="str">
        <f ca="1">IFERROR(AVERAGEIFS(INDIRECT("Tabela1["&amp;$B74&amp;"]"),Tabela1[Data Corrigida],AB$3)/32,"")</f>
        <v/>
      </c>
      <c r="AC74" s="38" t="str">
        <f ca="1">IFERROR(AVERAGEIFS(INDIRECT("Tabela1["&amp;$B74&amp;"]"),Tabela1[Data Corrigida],AC$3)/32,"")</f>
        <v/>
      </c>
      <c r="AD74" s="38" t="str">
        <f ca="1">IFERROR(AVERAGEIFS(INDIRECT("Tabela1["&amp;$B74&amp;"]"),Tabela1[Data Corrigida],AD$3)/32,"")</f>
        <v/>
      </c>
      <c r="AE74" s="38" t="str">
        <f ca="1">IFERROR(AVERAGEIFS(INDIRECT("Tabela1["&amp;$B74&amp;"]"),Tabela1[Data Corrigida],AE$3)/32,"")</f>
        <v/>
      </c>
      <c r="AF74" s="38" t="str">
        <f ca="1">IFERROR(AVERAGEIFS(INDIRECT("Tabela1["&amp;$B74&amp;"]"),Tabela1[Data Corrigida],AF$3)/32,"")</f>
        <v/>
      </c>
      <c r="AG74" s="38" t="str">
        <f ca="1">IFERROR(AVERAGEIFS(INDIRECT("Tabela1["&amp;$B74&amp;"]"),Tabela1[Data Corrigida],AG$3)/32,"")</f>
        <v/>
      </c>
      <c r="AH74" s="38" t="str">
        <f ca="1">IFERROR(AVERAGEIFS(INDIRECT("Tabela1["&amp;$B74&amp;"]"),Tabela1[Data Corrigida],AH$3)/32,"")</f>
        <v/>
      </c>
      <c r="AI74" s="38" t="str">
        <f ca="1">IFERROR(AVERAGEIFS(INDIRECT("Tabela1["&amp;$B74&amp;"]"),Tabela1[Data Corrigida],AI$3)/32,"")</f>
        <v/>
      </c>
      <c r="AJ74" s="38" t="str">
        <f ca="1">IFERROR(AVERAGEIFS(INDIRECT("Tabela1["&amp;$B74&amp;"]"),Tabela1[Data Corrigida],AJ$3)/32,"")</f>
        <v/>
      </c>
      <c r="AK74" s="38" t="str">
        <f ca="1">IFERROR(AVERAGEIFS(INDIRECT("Tabela1["&amp;$B74&amp;"]"),Tabela1[Data Corrigida],AK$3)/32,"")</f>
        <v/>
      </c>
      <c r="AL74" s="38" t="str">
        <f ca="1">IFERROR(AVERAGEIFS(INDIRECT("Tabela1["&amp;$B74&amp;"]"),Tabela1[Data Corrigida],AL$3)/32,"")</f>
        <v/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25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61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2.8201219512195123E-2</v>
      </c>
      <c r="N75" s="34">
        <f ca="1">IFERROR(AVERAGEIFS(INDIRECT("Tabela1["&amp;$B75&amp;"]"),Tabela1[Turno],$D75,Tabela1[Mês],N$3)/32,"")</f>
        <v>2.976190476190476E-2</v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58">
        <v>0.01</v>
      </c>
      <c r="R75" s="33">
        <f ca="1">IFERROR(AVERAGEIFS(INDIRECT("Tabela1["&amp;$B75&amp;"]"),Tabela1[Turno],$D75,Tabela1[Data Corrigida],R$3)/32,"")</f>
        <v>3.125E-2</v>
      </c>
      <c r="S75" s="34">
        <f ca="1">IFERROR(AVERAGEIFS(INDIRECT("Tabela1["&amp;$B75&amp;"]"),Tabela1[Turno],$D75,Tabela1[Data Corrigida],S$3)/32,"")</f>
        <v>3.125E-2</v>
      </c>
      <c r="T75" s="34">
        <f ca="1">IFERROR(AVERAGEIFS(INDIRECT("Tabela1["&amp;$B75&amp;"]"),Tabela1[Turno],$D75,Tabela1[Data Corrigida],T$3)/32,"")</f>
        <v>0</v>
      </c>
      <c r="U75" s="34">
        <f ca="1">IFERROR(AVERAGEIFS(INDIRECT("Tabela1["&amp;$B75&amp;"]"),Tabela1[Turno],$D75,Tabela1[Data Corrigida],U$3)/32,"")</f>
        <v>2.34375E-2</v>
      </c>
      <c r="V75" s="34">
        <f ca="1">IFERROR(AVERAGEIFS(INDIRECT("Tabela1["&amp;$B75&amp;"]"),Tabela1[Turno],$D75,Tabela1[Data Corrigida],V$3)/32,"")</f>
        <v>3.125E-2</v>
      </c>
      <c r="W75" s="34">
        <f ca="1">IFERROR(AVERAGEIFS(INDIRECT("Tabela1["&amp;$B75&amp;"]"),Tabela1[Turno],$D75,Tabela1[Data Corrigida],W$3)/32,"")</f>
        <v>3.90625E-2</v>
      </c>
      <c r="X75" s="34" t="str">
        <f ca="1">IFERROR(AVERAGEIFS(INDIRECT("Tabela1["&amp;$B75&amp;"]"),Tabela1[Turno],$D75,Tabela1[Data Corrigida],X$3)/32,"")</f>
        <v/>
      </c>
      <c r="Y75" s="34" t="str">
        <f ca="1">IFERROR(AVERAGEIFS(INDIRECT("Tabela1["&amp;$B75&amp;"]"),Tabela1[Turno],$D75,Tabela1[Data Corrigida],Y$3)/32,"")</f>
        <v/>
      </c>
      <c r="Z75" s="34" t="str">
        <f ca="1">IFERROR(AVERAGEIFS(INDIRECT("Tabela1["&amp;$B75&amp;"]"),Tabela1[Turno],$D75,Tabela1[Data Corrigida],Z$3)/32,"")</f>
        <v/>
      </c>
      <c r="AA75" s="34" t="str">
        <f ca="1">IFERROR(AVERAGEIFS(INDIRECT("Tabela1["&amp;$B75&amp;"]"),Tabela1[Turno],$D75,Tabela1[Data Corrigida],AA$3)/32,"")</f>
        <v/>
      </c>
      <c r="AB75" s="34" t="str">
        <f ca="1">IFERROR(AVERAGEIFS(INDIRECT("Tabela1["&amp;$B75&amp;"]"),Tabela1[Turno],$D75,Tabela1[Data Corrigida],AB$3)/32,"")</f>
        <v/>
      </c>
      <c r="AC75" s="34" t="str">
        <f ca="1">IFERROR(AVERAGEIFS(INDIRECT("Tabela1["&amp;$B75&amp;"]"),Tabela1[Turno],$D75,Tabela1[Data Corrigida],AC$3)/32,"")</f>
        <v/>
      </c>
      <c r="AD75" s="34" t="str">
        <f ca="1">IFERROR(AVERAGEIFS(INDIRECT("Tabela1["&amp;$B75&amp;"]"),Tabela1[Turno],$D75,Tabela1[Data Corrigida],AD$3)/32,"")</f>
        <v/>
      </c>
      <c r="AE75" s="34" t="str">
        <f ca="1">IFERROR(AVERAGEIFS(INDIRECT("Tabela1["&amp;$B75&amp;"]"),Tabela1[Turno],$D75,Tabela1[Data Corrigida],AE$3)/32,"")</f>
        <v/>
      </c>
      <c r="AF75" s="34" t="str">
        <f ca="1">IFERROR(AVERAGEIFS(INDIRECT("Tabela1["&amp;$B75&amp;"]"),Tabela1[Turno],$D75,Tabela1[Data Corrigida],AF$3)/32,"")</f>
        <v/>
      </c>
      <c r="AG75" s="34" t="str">
        <f ca="1">IFERROR(AVERAGEIFS(INDIRECT("Tabela1["&amp;$B75&amp;"]"),Tabela1[Turno],$D75,Tabela1[Data Corrigida],AG$3)/32,"")</f>
        <v/>
      </c>
      <c r="AH75" s="34" t="str">
        <f ca="1">IFERROR(AVERAGEIFS(INDIRECT("Tabela1["&amp;$B75&amp;"]"),Tabela1[Turno],$D75,Tabela1[Data Corrigida],AH$3)/32,"")</f>
        <v/>
      </c>
      <c r="AI75" s="34" t="str">
        <f ca="1">IFERROR(AVERAGEIFS(INDIRECT("Tabela1["&amp;$B75&amp;"]"),Tabela1[Turno],$D75,Tabela1[Data Corrigida],AI$3)/32,"")</f>
        <v/>
      </c>
      <c r="AJ75" s="34" t="str">
        <f ca="1">IFERROR(AVERAGEIFS(INDIRECT("Tabela1["&amp;$B75&amp;"]"),Tabela1[Turno],$D75,Tabela1[Data Corrigida],AJ$3)/32,"")</f>
        <v/>
      </c>
      <c r="AK75" s="34" t="str">
        <f ca="1">IFERROR(AVERAGEIFS(INDIRECT("Tabela1["&amp;$B75&amp;"]"),Tabela1[Turno],$D75,Tabela1[Data Corrigida],AK$3)/32,"")</f>
        <v/>
      </c>
      <c r="AL75" s="34" t="str">
        <f ca="1">IFERROR(AVERAGEIFS(INDIRECT("Tabela1["&amp;$B75&amp;"]"),Tabela1[Turno],$D75,Tabela1[Data Corrigida],AL$3)/32,"")</f>
        <v/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25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62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>
        <f ca="1">IFERROR(AVERAGEIFS(INDIRECT("Tabela1["&amp;$B76&amp;"]"),Tabela1[Turno],$D76,Tabela1[Mês],N$3)/32,"")</f>
        <v>0</v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59"/>
      <c r="R76" s="35">
        <f ca="1">IFERROR(AVERAGEIFS(INDIRECT("Tabela1["&amp;$B76&amp;"]"),Tabela1[Turno],$D76,Tabela1[Data Corrigida],R$3)/32,"")</f>
        <v>0</v>
      </c>
      <c r="S76" s="36">
        <f ca="1">IFERROR(AVERAGEIFS(INDIRECT("Tabela1["&amp;$B76&amp;"]"),Tabela1[Turno],$D76,Tabela1[Data Corrigida],S$3)/32,"")</f>
        <v>0</v>
      </c>
      <c r="T76" s="36">
        <f ca="1">IFERROR(AVERAGEIFS(INDIRECT("Tabela1["&amp;$B76&amp;"]"),Tabela1[Turno],$D76,Tabela1[Data Corrigida],T$3)/32,"")</f>
        <v>0</v>
      </c>
      <c r="U76" s="36">
        <f ca="1">IFERROR(AVERAGEIFS(INDIRECT("Tabela1["&amp;$B76&amp;"]"),Tabela1[Turno],$D76,Tabela1[Data Corrigida],U$3)/32,"")</f>
        <v>0</v>
      </c>
      <c r="V76" s="36">
        <f ca="1">IFERROR(AVERAGEIFS(INDIRECT("Tabela1["&amp;$B76&amp;"]"),Tabela1[Turno],$D76,Tabela1[Data Corrigida],V$3)/32,"")</f>
        <v>0</v>
      </c>
      <c r="W76" s="36" t="str">
        <f ca="1">IFERROR(AVERAGEIFS(INDIRECT("Tabela1["&amp;$B76&amp;"]"),Tabela1[Turno],$D76,Tabela1[Data Corrigida],W$3)/32,"")</f>
        <v/>
      </c>
      <c r="X76" s="36" t="str">
        <f ca="1">IFERROR(AVERAGEIFS(INDIRECT("Tabela1["&amp;$B76&amp;"]"),Tabela1[Turno],$D76,Tabela1[Data Corrigida],X$3)/32,"")</f>
        <v/>
      </c>
      <c r="Y76" s="36" t="str">
        <f ca="1">IFERROR(AVERAGEIFS(INDIRECT("Tabela1["&amp;$B76&amp;"]"),Tabela1[Turno],$D76,Tabela1[Data Corrigida],Y$3)/32,"")</f>
        <v/>
      </c>
      <c r="Z76" s="36" t="str">
        <f ca="1">IFERROR(AVERAGEIFS(INDIRECT("Tabela1["&amp;$B76&amp;"]"),Tabela1[Turno],$D76,Tabela1[Data Corrigida],Z$3)/32,"")</f>
        <v/>
      </c>
      <c r="AA76" s="36" t="str">
        <f ca="1">IFERROR(AVERAGEIFS(INDIRECT("Tabela1["&amp;$B76&amp;"]"),Tabela1[Turno],$D76,Tabela1[Data Corrigida],AA$3)/32,"")</f>
        <v/>
      </c>
      <c r="AB76" s="36" t="str">
        <f ca="1">IFERROR(AVERAGEIFS(INDIRECT("Tabela1["&amp;$B76&amp;"]"),Tabela1[Turno],$D76,Tabela1[Data Corrigida],AB$3)/32,"")</f>
        <v/>
      </c>
      <c r="AC76" s="36" t="str">
        <f ca="1">IFERROR(AVERAGEIFS(INDIRECT("Tabela1["&amp;$B76&amp;"]"),Tabela1[Turno],$D76,Tabela1[Data Corrigida],AC$3)/32,"")</f>
        <v/>
      </c>
      <c r="AD76" s="36" t="str">
        <f ca="1">IFERROR(AVERAGEIFS(INDIRECT("Tabela1["&amp;$B76&amp;"]"),Tabela1[Turno],$D76,Tabela1[Data Corrigida],AD$3)/32,"")</f>
        <v/>
      </c>
      <c r="AE76" s="36" t="str">
        <f ca="1">IFERROR(AVERAGEIFS(INDIRECT("Tabela1["&amp;$B76&amp;"]"),Tabela1[Turno],$D76,Tabela1[Data Corrigida],AE$3)/32,"")</f>
        <v/>
      </c>
      <c r="AF76" s="36" t="str">
        <f ca="1">IFERROR(AVERAGEIFS(INDIRECT("Tabela1["&amp;$B76&amp;"]"),Tabela1[Turno],$D76,Tabela1[Data Corrigida],AF$3)/32,"")</f>
        <v/>
      </c>
      <c r="AG76" s="36" t="str">
        <f ca="1">IFERROR(AVERAGEIFS(INDIRECT("Tabela1["&amp;$B76&amp;"]"),Tabela1[Turno],$D76,Tabela1[Data Corrigida],AG$3)/32,"")</f>
        <v/>
      </c>
      <c r="AH76" s="36" t="str">
        <f ca="1">IFERROR(AVERAGEIFS(INDIRECT("Tabela1["&amp;$B76&amp;"]"),Tabela1[Turno],$D76,Tabela1[Data Corrigida],AH$3)/32,"")</f>
        <v/>
      </c>
      <c r="AI76" s="36" t="str">
        <f ca="1">IFERROR(AVERAGEIFS(INDIRECT("Tabela1["&amp;$B76&amp;"]"),Tabela1[Turno],$D76,Tabela1[Data Corrigida],AI$3)/32,"")</f>
        <v/>
      </c>
      <c r="AJ76" s="36" t="str">
        <f ca="1">IFERROR(AVERAGEIFS(INDIRECT("Tabela1["&amp;$B76&amp;"]"),Tabela1[Turno],$D76,Tabela1[Data Corrigida],AJ$3)/32,"")</f>
        <v/>
      </c>
      <c r="AK76" s="36" t="str">
        <f ca="1">IFERROR(AVERAGEIFS(INDIRECT("Tabela1["&amp;$B76&amp;"]"),Tabela1[Turno],$D76,Tabela1[Data Corrigida],AK$3)/32,"")</f>
        <v/>
      </c>
      <c r="AL76" s="36" t="str">
        <f ca="1">IFERROR(AVERAGEIFS(INDIRECT("Tabela1["&amp;$B76&amp;"]"),Tabela1[Turno],$D76,Tabela1[Data Corrigida],AL$3)/32,"")</f>
        <v/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3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1.6171328671328672E-2</v>
      </c>
      <c r="N77" s="45">
        <f ca="1">IFERROR(AVERAGEIFS(INDIRECT("Tabela1["&amp;$B77&amp;"]"),Tabela1[Mês],N$3)/32,"")</f>
        <v>1.7361111111111112E-2</v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0"/>
      <c r="R77" s="37">
        <f ca="1">IFERROR(AVERAGEIFS(INDIRECT("Tabela1["&amp;$B77&amp;"]"),Tabela1[Data Corrigida],R$3)/32,"")</f>
        <v>1.7857142857142856E-2</v>
      </c>
      <c r="S77" s="38">
        <f ca="1">IFERROR(AVERAGEIFS(INDIRECT("Tabela1["&amp;$B77&amp;"]"),Tabela1[Data Corrigida],S$3)/32,"")</f>
        <v>1.7857142857142856E-2</v>
      </c>
      <c r="T77" s="38">
        <f ca="1">IFERROR(AVERAGEIFS(INDIRECT("Tabela1["&amp;$B77&amp;"]"),Tabela1[Data Corrigida],T$3)/32,"")</f>
        <v>0</v>
      </c>
      <c r="U77" s="38">
        <f ca="1">IFERROR(AVERAGEIFS(INDIRECT("Tabela1["&amp;$B77&amp;"]"),Tabela1[Data Corrigida],U$3)/32,"")</f>
        <v>1.3392857142857142E-2</v>
      </c>
      <c r="V77" s="38">
        <f ca="1">IFERROR(AVERAGEIFS(INDIRECT("Tabela1["&amp;$B77&amp;"]"),Tabela1[Data Corrigida],V$3)/32,"")</f>
        <v>1.7857142857142856E-2</v>
      </c>
      <c r="W77" s="38">
        <f ca="1">IFERROR(AVERAGEIFS(INDIRECT("Tabela1["&amp;$B77&amp;"]"),Tabela1[Data Corrigida],W$3)/32,"")</f>
        <v>3.90625E-2</v>
      </c>
      <c r="X77" s="38" t="str">
        <f ca="1">IFERROR(AVERAGEIFS(INDIRECT("Tabela1["&amp;$B77&amp;"]"),Tabela1[Data Corrigida],X$3)/32,"")</f>
        <v/>
      </c>
      <c r="Y77" s="38" t="str">
        <f ca="1">IFERROR(AVERAGEIFS(INDIRECT("Tabela1["&amp;$B77&amp;"]"),Tabela1[Data Corrigida],Y$3)/32,"")</f>
        <v/>
      </c>
      <c r="Z77" s="38" t="str">
        <f ca="1">IFERROR(AVERAGEIFS(INDIRECT("Tabela1["&amp;$B77&amp;"]"),Tabela1[Data Corrigida],Z$3)/32,"")</f>
        <v/>
      </c>
      <c r="AA77" s="38" t="str">
        <f ca="1">IFERROR(AVERAGEIFS(INDIRECT("Tabela1["&amp;$B77&amp;"]"),Tabela1[Data Corrigida],AA$3)/32,"")</f>
        <v/>
      </c>
      <c r="AB77" s="38" t="str">
        <f ca="1">IFERROR(AVERAGEIFS(INDIRECT("Tabela1["&amp;$B77&amp;"]"),Tabela1[Data Corrigida],AB$3)/32,"")</f>
        <v/>
      </c>
      <c r="AC77" s="38" t="str">
        <f ca="1">IFERROR(AVERAGEIFS(INDIRECT("Tabela1["&amp;$B77&amp;"]"),Tabela1[Data Corrigida],AC$3)/32,"")</f>
        <v/>
      </c>
      <c r="AD77" s="38" t="str">
        <f ca="1">IFERROR(AVERAGEIFS(INDIRECT("Tabela1["&amp;$B77&amp;"]"),Tabela1[Data Corrigida],AD$3)/32,"")</f>
        <v/>
      </c>
      <c r="AE77" s="38" t="str">
        <f ca="1">IFERROR(AVERAGEIFS(INDIRECT("Tabela1["&amp;$B77&amp;"]"),Tabela1[Data Corrigida],AE$3)/32,"")</f>
        <v/>
      </c>
      <c r="AF77" s="38" t="str">
        <f ca="1">IFERROR(AVERAGEIFS(INDIRECT("Tabela1["&amp;$B77&amp;"]"),Tabela1[Data Corrigida],AF$3)/32,"")</f>
        <v/>
      </c>
      <c r="AG77" s="38" t="str">
        <f ca="1">IFERROR(AVERAGEIFS(INDIRECT("Tabela1["&amp;$B77&amp;"]"),Tabela1[Data Corrigida],AG$3)/32,"")</f>
        <v/>
      </c>
      <c r="AH77" s="38" t="str">
        <f ca="1">IFERROR(AVERAGEIFS(INDIRECT("Tabela1["&amp;$B77&amp;"]"),Tabela1[Data Corrigida],AH$3)/32,"")</f>
        <v/>
      </c>
      <c r="AI77" s="38" t="str">
        <f ca="1">IFERROR(AVERAGEIFS(INDIRECT("Tabela1["&amp;$B77&amp;"]"),Tabela1[Data Corrigida],AI$3)/32,"")</f>
        <v/>
      </c>
      <c r="AJ77" s="38" t="str">
        <f ca="1">IFERROR(AVERAGEIFS(INDIRECT("Tabela1["&amp;$B77&amp;"]"),Tabela1[Data Corrigida],AJ$3)/32,"")</f>
        <v/>
      </c>
      <c r="AK77" s="38" t="str">
        <f ca="1">IFERROR(AVERAGEIFS(INDIRECT("Tabela1["&amp;$B77&amp;"]"),Tabela1[Data Corrigida],AK$3)/32,"")</f>
        <v/>
      </c>
      <c r="AL77" s="38" t="str">
        <f ca="1">IFERROR(AVERAGEIFS(INDIRECT("Tabela1["&amp;$B77&amp;"]"),Tabela1[Data Corrigida],AL$3)/32,"")</f>
        <v/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25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61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4.5581803689406526E-3</v>
      </c>
      <c r="N78" s="34">
        <f ca="1">IFERROR(AVERAGEIFS(INDIRECT("Tabela1["&amp;$B78&amp;"]"),Tabela1[Turno],$D78,Tabela1[Mês],N$3)/100,"")</f>
        <v>7.2630215775294129E-3</v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58">
        <v>0</v>
      </c>
      <c r="R78" s="33">
        <f ca="1">IFERROR(AVERAGEIFS(INDIRECT("Tabela1["&amp;$B78&amp;"]"),Tabela1[Turno],$D78,Tabela1[Data Corrigida],R$3)/100,"")</f>
        <v>3.105590062111801E-3</v>
      </c>
      <c r="S78" s="34">
        <f ca="1">IFERROR(AVERAGEIFS(INDIRECT("Tabela1["&amp;$B78&amp;"]"),Tabela1[Turno],$D78,Tabela1[Data Corrigida],S$3)/100,"")</f>
        <v>3.2084241701287484E-3</v>
      </c>
      <c r="T78" s="34">
        <f ca="1">IFERROR(AVERAGEIFS(INDIRECT("Tabela1["&amp;$B78&amp;"]"),Tabela1[Turno],$D78,Tabela1[Data Corrigida],T$3)/100,"")</f>
        <v>6.41025641025641E-3</v>
      </c>
      <c r="U78" s="34">
        <f ca="1">IFERROR(AVERAGEIFS(INDIRECT("Tabela1["&amp;$B78&amp;"]"),Tabela1[Turno],$D78,Tabela1[Data Corrigida],U$3)/100,"")</f>
        <v>4.7081541646759031E-3</v>
      </c>
      <c r="V78" s="34">
        <f ca="1">IFERROR(AVERAGEIFS(INDIRECT("Tabela1["&amp;$B78&amp;"]"),Tabela1[Turno],$D78,Tabela1[Data Corrigida],V$3)/100,"")</f>
        <v>1.4170727055840791E-2</v>
      </c>
      <c r="W78" s="34">
        <f ca="1">IFERROR(AVERAGEIFS(INDIRECT("Tabela1["&amp;$B78&amp;"]"),Tabela1[Turno],$D78,Tabela1[Data Corrigida],W$3)/100,"")</f>
        <v>1.1335403726708075E-2</v>
      </c>
      <c r="X78" s="34" t="str">
        <f ca="1">IFERROR(AVERAGEIFS(INDIRECT("Tabela1["&amp;$B78&amp;"]"),Tabela1[Turno],$D78,Tabela1[Data Corrigida],X$3)/100,"")</f>
        <v/>
      </c>
      <c r="Y78" s="34" t="str">
        <f ca="1">IFERROR(AVERAGEIFS(INDIRECT("Tabela1["&amp;$B78&amp;"]"),Tabela1[Turno],$D78,Tabela1[Data Corrigida],Y$3)/100,"")</f>
        <v/>
      </c>
      <c r="Z78" s="34" t="str">
        <f ca="1">IFERROR(AVERAGEIFS(INDIRECT("Tabela1["&amp;$B78&amp;"]"),Tabela1[Turno],$D78,Tabela1[Data Corrigida],Z$3)/100,"")</f>
        <v/>
      </c>
      <c r="AA78" s="34" t="str">
        <f ca="1">IFERROR(AVERAGEIFS(INDIRECT("Tabela1["&amp;$B78&amp;"]"),Tabela1[Turno],$D78,Tabela1[Data Corrigida],AA$3)/100,"")</f>
        <v/>
      </c>
      <c r="AB78" s="34" t="str">
        <f ca="1">IFERROR(AVERAGEIFS(INDIRECT("Tabela1["&amp;$B78&amp;"]"),Tabela1[Turno],$D78,Tabela1[Data Corrigida],AB$3)/100,"")</f>
        <v/>
      </c>
      <c r="AC78" s="34" t="str">
        <f ca="1">IFERROR(AVERAGEIFS(INDIRECT("Tabela1["&amp;$B78&amp;"]"),Tabela1[Turno],$D78,Tabela1[Data Corrigida],AC$3)/100,"")</f>
        <v/>
      </c>
      <c r="AD78" s="34" t="str">
        <f ca="1">IFERROR(AVERAGEIFS(INDIRECT("Tabela1["&amp;$B78&amp;"]"),Tabela1[Turno],$D78,Tabela1[Data Corrigida],AD$3)/100,"")</f>
        <v/>
      </c>
      <c r="AE78" s="34" t="str">
        <f ca="1">IFERROR(AVERAGEIFS(INDIRECT("Tabela1["&amp;$B78&amp;"]"),Tabela1[Turno],$D78,Tabela1[Data Corrigida],AE$3)/100,"")</f>
        <v/>
      </c>
      <c r="AF78" s="34" t="str">
        <f ca="1">IFERROR(AVERAGEIFS(INDIRECT("Tabela1["&amp;$B78&amp;"]"),Tabela1[Turno],$D78,Tabela1[Data Corrigida],AF$3)/100,"")</f>
        <v/>
      </c>
      <c r="AG78" s="34" t="str">
        <f ca="1">IFERROR(AVERAGEIFS(INDIRECT("Tabela1["&amp;$B78&amp;"]"),Tabela1[Turno],$D78,Tabela1[Data Corrigida],AG$3)/100,"")</f>
        <v/>
      </c>
      <c r="AH78" s="34" t="str">
        <f ca="1">IFERROR(AVERAGEIFS(INDIRECT("Tabela1["&amp;$B78&amp;"]"),Tabela1[Turno],$D78,Tabela1[Data Corrigida],AH$3)/100,"")</f>
        <v/>
      </c>
      <c r="AI78" s="34" t="str">
        <f ca="1">IFERROR(AVERAGEIFS(INDIRECT("Tabela1["&amp;$B78&amp;"]"),Tabela1[Turno],$D78,Tabela1[Data Corrigida],AI$3)/100,"")</f>
        <v/>
      </c>
      <c r="AJ78" s="34" t="str">
        <f ca="1">IFERROR(AVERAGEIFS(INDIRECT("Tabela1["&amp;$B78&amp;"]"),Tabela1[Turno],$D78,Tabela1[Data Corrigida],AJ$3)/100,"")</f>
        <v/>
      </c>
      <c r="AK78" s="34" t="str">
        <f ca="1">IFERROR(AVERAGEIFS(INDIRECT("Tabela1["&amp;$B78&amp;"]"),Tabela1[Turno],$D78,Tabela1[Data Corrigida],AK$3)/100,"")</f>
        <v/>
      </c>
      <c r="AL78" s="34" t="str">
        <f ca="1">IFERROR(AVERAGEIFS(INDIRECT("Tabela1["&amp;$B78&amp;"]"),Tabela1[Turno],$D78,Tabela1[Data Corrigida],AL$3)/100,"")</f>
        <v/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25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62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2.605151728329896E-3</v>
      </c>
      <c r="N79" s="36">
        <f ca="1">IFERROR(AVERAGEIFS(INDIRECT("Tabela1["&amp;$B79&amp;"]"),Tabela1[Turno],$D79,Tabela1[Mês],N$3)/100,"")</f>
        <v>2.3432606041301697E-3</v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59"/>
      <c r="R79" s="35">
        <f ca="1">IFERROR(AVERAGEIFS(INDIRECT("Tabela1["&amp;$B79&amp;"]"),Tabela1[Turno],$D79,Tabela1[Data Corrigida],R$3)/100,"")</f>
        <v>2.3809523809523812E-3</v>
      </c>
      <c r="S79" s="36">
        <f ca="1">IFERROR(AVERAGEIFS(INDIRECT("Tabela1["&amp;$B79&amp;"]"),Tabela1[Turno],$D79,Tabela1[Data Corrigida],S$3)/100,"")</f>
        <v>2.1367521367521365E-3</v>
      </c>
      <c r="T79" s="36">
        <f ca="1">IFERROR(AVERAGEIFS(INDIRECT("Tabela1["&amp;$B79&amp;"]"),Tabela1[Turno],$D79,Tabela1[Data Corrigida],T$3)/100,"")</f>
        <v>0</v>
      </c>
      <c r="U79" s="36">
        <f ca="1">IFERROR(AVERAGEIFS(INDIRECT("Tabela1["&amp;$B79&amp;"]"),Tabela1[Turno],$D79,Tabela1[Data Corrigida],U$3)/100,"")</f>
        <v>0</v>
      </c>
      <c r="V79" s="36">
        <f ca="1">IFERROR(AVERAGEIFS(INDIRECT("Tabela1["&amp;$B79&amp;"]"),Tabela1[Turno],$D79,Tabela1[Data Corrigida],V$3)/100,"")</f>
        <v>7.1985985029463292E-3</v>
      </c>
      <c r="W79" s="36" t="str">
        <f ca="1">IFERROR(AVERAGEIFS(INDIRECT("Tabela1["&amp;$B79&amp;"]"),Tabela1[Turno],$D79,Tabela1[Data Corrigida],W$3)/100,"")</f>
        <v/>
      </c>
      <c r="X79" s="36" t="str">
        <f ca="1">IFERROR(AVERAGEIFS(INDIRECT("Tabela1["&amp;$B79&amp;"]"),Tabela1[Turno],$D79,Tabela1[Data Corrigida],X$3)/100,"")</f>
        <v/>
      </c>
      <c r="Y79" s="36" t="str">
        <f ca="1">IFERROR(AVERAGEIFS(INDIRECT("Tabela1["&amp;$B79&amp;"]"),Tabela1[Turno],$D79,Tabela1[Data Corrigida],Y$3)/100,"")</f>
        <v/>
      </c>
      <c r="Z79" s="36" t="str">
        <f ca="1">IFERROR(AVERAGEIFS(INDIRECT("Tabela1["&amp;$B79&amp;"]"),Tabela1[Turno],$D79,Tabela1[Data Corrigida],Z$3)/100,"")</f>
        <v/>
      </c>
      <c r="AA79" s="36" t="str">
        <f ca="1">IFERROR(AVERAGEIFS(INDIRECT("Tabela1["&amp;$B79&amp;"]"),Tabela1[Turno],$D79,Tabela1[Data Corrigida],AA$3)/100,"")</f>
        <v/>
      </c>
      <c r="AB79" s="36" t="str">
        <f ca="1">IFERROR(AVERAGEIFS(INDIRECT("Tabela1["&amp;$B79&amp;"]"),Tabela1[Turno],$D79,Tabela1[Data Corrigida],AB$3)/100,"")</f>
        <v/>
      </c>
      <c r="AC79" s="36" t="str">
        <f ca="1">IFERROR(AVERAGEIFS(INDIRECT("Tabela1["&amp;$B79&amp;"]"),Tabela1[Turno],$D79,Tabela1[Data Corrigida],AC$3)/100,"")</f>
        <v/>
      </c>
      <c r="AD79" s="36" t="str">
        <f ca="1">IFERROR(AVERAGEIFS(INDIRECT("Tabela1["&amp;$B79&amp;"]"),Tabela1[Turno],$D79,Tabela1[Data Corrigida],AD$3)/100,"")</f>
        <v/>
      </c>
      <c r="AE79" s="36" t="str">
        <f ca="1">IFERROR(AVERAGEIFS(INDIRECT("Tabela1["&amp;$B79&amp;"]"),Tabela1[Turno],$D79,Tabela1[Data Corrigida],AE$3)/100,"")</f>
        <v/>
      </c>
      <c r="AF79" s="36" t="str">
        <f ca="1">IFERROR(AVERAGEIFS(INDIRECT("Tabela1["&amp;$B79&amp;"]"),Tabela1[Turno],$D79,Tabela1[Data Corrigida],AF$3)/100,"")</f>
        <v/>
      </c>
      <c r="AG79" s="36" t="str">
        <f ca="1">IFERROR(AVERAGEIFS(INDIRECT("Tabela1["&amp;$B79&amp;"]"),Tabela1[Turno],$D79,Tabela1[Data Corrigida],AG$3)/100,"")</f>
        <v/>
      </c>
      <c r="AH79" s="36" t="str">
        <f ca="1">IFERROR(AVERAGEIFS(INDIRECT("Tabela1["&amp;$B79&amp;"]"),Tabela1[Turno],$D79,Tabela1[Data Corrigida],AH$3)/100,"")</f>
        <v/>
      </c>
      <c r="AI79" s="36" t="str">
        <f ca="1">IFERROR(AVERAGEIFS(INDIRECT("Tabela1["&amp;$B79&amp;"]"),Tabela1[Turno],$D79,Tabela1[Data Corrigida],AI$3)/100,"")</f>
        <v/>
      </c>
      <c r="AJ79" s="36" t="str">
        <f ca="1">IFERROR(AVERAGEIFS(INDIRECT("Tabela1["&amp;$B79&amp;"]"),Tabela1[Turno],$D79,Tabela1[Data Corrigida],AJ$3)/100,"")</f>
        <v/>
      </c>
      <c r="AK79" s="36" t="str">
        <f ca="1">IFERROR(AVERAGEIFS(INDIRECT("Tabela1["&amp;$B79&amp;"]"),Tabela1[Turno],$D79,Tabela1[Data Corrigida],AK$3)/100,"")</f>
        <v/>
      </c>
      <c r="AL79" s="36" t="str">
        <f ca="1">IFERROR(AVERAGEIFS(INDIRECT("Tabela1["&amp;$B79&amp;"]"),Tabela1[Turno],$D79,Tabela1[Data Corrigida],AL$3)/100,"")</f>
        <v/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3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3.7154351336086129E-3</v>
      </c>
      <c r="N80" s="45">
        <f ca="1">IFERROR(AVERAGEIFS(INDIRECT("Tabela1["&amp;$B80&amp;"]"),Tabela1[Mês],N$3)/100,"")</f>
        <v>5.2131211719463957E-3</v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0"/>
      <c r="R80" s="37">
        <f ca="1">IFERROR(AVERAGEIFS(INDIRECT("Tabela1["&amp;$B80&amp;"]"),Tabela1[Data Corrigida],R$3)/100,"")</f>
        <v>2.7950310559006208E-3</v>
      </c>
      <c r="S80" s="38">
        <f ca="1">IFERROR(AVERAGEIFS(INDIRECT("Tabela1["&amp;$B80&amp;"]"),Tabela1[Data Corrigida],S$3)/100,"")</f>
        <v>2.7491361558244862E-3</v>
      </c>
      <c r="T80" s="38">
        <f ca="1">IFERROR(AVERAGEIFS(INDIRECT("Tabela1["&amp;$B80&amp;"]"),Tabela1[Data Corrigida],T$3)/100,"")</f>
        <v>1.6025641025641025E-3</v>
      </c>
      <c r="U80" s="38">
        <f ca="1">IFERROR(AVERAGEIFS(INDIRECT("Tabela1["&amp;$B80&amp;"]"),Tabela1[Data Corrigida],U$3)/100,"")</f>
        <v>2.6903738083862306E-3</v>
      </c>
      <c r="V80" s="38">
        <f ca="1">IFERROR(AVERAGEIFS(INDIRECT("Tabela1["&amp;$B80&amp;"]"),Tabela1[Data Corrigida],V$3)/100,"")</f>
        <v>1.1182671961743164E-2</v>
      </c>
      <c r="W80" s="38">
        <f ca="1">IFERROR(AVERAGEIFS(INDIRECT("Tabela1["&amp;$B80&amp;"]"),Tabela1[Data Corrigida],W$3)/100,"")</f>
        <v>1.1335403726708075E-2</v>
      </c>
      <c r="X80" s="38" t="str">
        <f ca="1">IFERROR(AVERAGEIFS(INDIRECT("Tabela1["&amp;$B80&amp;"]"),Tabela1[Data Corrigida],X$3)/100,"")</f>
        <v/>
      </c>
      <c r="Y80" s="38" t="str">
        <f ca="1">IFERROR(AVERAGEIFS(INDIRECT("Tabela1["&amp;$B80&amp;"]"),Tabela1[Data Corrigida],Y$3)/100,"")</f>
        <v/>
      </c>
      <c r="Z80" s="38" t="str">
        <f ca="1">IFERROR(AVERAGEIFS(INDIRECT("Tabela1["&amp;$B80&amp;"]"),Tabela1[Data Corrigida],Z$3)/100,"")</f>
        <v/>
      </c>
      <c r="AA80" s="38" t="str">
        <f ca="1">IFERROR(AVERAGEIFS(INDIRECT("Tabela1["&amp;$B80&amp;"]"),Tabela1[Data Corrigida],AA$3)/100,"")</f>
        <v/>
      </c>
      <c r="AB80" s="38" t="str">
        <f ca="1">IFERROR(AVERAGEIFS(INDIRECT("Tabela1["&amp;$B80&amp;"]"),Tabela1[Data Corrigida],AB$3)/100,"")</f>
        <v/>
      </c>
      <c r="AC80" s="38" t="str">
        <f ca="1">IFERROR(AVERAGEIFS(INDIRECT("Tabela1["&amp;$B80&amp;"]"),Tabela1[Data Corrigida],AC$3)/100,"")</f>
        <v/>
      </c>
      <c r="AD80" s="38" t="str">
        <f ca="1">IFERROR(AVERAGEIFS(INDIRECT("Tabela1["&amp;$B80&amp;"]"),Tabela1[Data Corrigida],AD$3)/100,"")</f>
        <v/>
      </c>
      <c r="AE80" s="38" t="str">
        <f ca="1">IFERROR(AVERAGEIFS(INDIRECT("Tabela1["&amp;$B80&amp;"]"),Tabela1[Data Corrigida],AE$3)/100,"")</f>
        <v/>
      </c>
      <c r="AF80" s="38" t="str">
        <f ca="1">IFERROR(AVERAGEIFS(INDIRECT("Tabela1["&amp;$B80&amp;"]"),Tabela1[Data Corrigida],AF$3)/100,"")</f>
        <v/>
      </c>
      <c r="AG80" s="38" t="str">
        <f ca="1">IFERROR(AVERAGEIFS(INDIRECT("Tabela1["&amp;$B80&amp;"]"),Tabela1[Data Corrigida],AG$3)/100,"")</f>
        <v/>
      </c>
      <c r="AH80" s="38" t="str">
        <f ca="1">IFERROR(AVERAGEIFS(INDIRECT("Tabela1["&amp;$B80&amp;"]"),Tabela1[Data Corrigida],AH$3)/100,"")</f>
        <v/>
      </c>
      <c r="AI80" s="38" t="str">
        <f ca="1">IFERROR(AVERAGEIFS(INDIRECT("Tabela1["&amp;$B80&amp;"]"),Tabela1[Data Corrigida],AI$3)/100,"")</f>
        <v/>
      </c>
      <c r="AJ80" s="38" t="str">
        <f ca="1">IFERROR(AVERAGEIFS(INDIRECT("Tabela1["&amp;$B80&amp;"]"),Tabela1[Data Corrigida],AJ$3)/100,"")</f>
        <v/>
      </c>
      <c r="AK80" s="38" t="str">
        <f ca="1">IFERROR(AVERAGEIFS(INDIRECT("Tabela1["&amp;$B80&amp;"]"),Tabela1[Data Corrigida],AK$3)/100,"")</f>
        <v/>
      </c>
      <c r="AL80" s="38" t="str">
        <f ca="1">IFERROR(AVERAGEIFS(INDIRECT("Tabela1["&amp;$B80&amp;"]"),Tabela1[Data Corrigida],AL$3)/100,"")</f>
        <v/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25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61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1.9580030290998338E-2</v>
      </c>
      <c r="N81" s="34">
        <f ca="1">IFERROR(AVERAGEIFS(INDIRECT("Tabela1["&amp;$B81&amp;"]"),Tabela1[Turno],$D81,Tabela1[Mês],N$3)/100,"")</f>
        <v>1.4489970744341194E-2</v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58">
        <v>0</v>
      </c>
      <c r="R81" s="33">
        <f ca="1">IFERROR(AVERAGEIFS(INDIRECT("Tabela1["&amp;$B81&amp;"]"),Tabela1[Turno],$D81,Tabela1[Data Corrigida],R$3)/100,"")</f>
        <v>1.3975155279503104E-2</v>
      </c>
      <c r="S81" s="34">
        <f ca="1">IFERROR(AVERAGEIFS(INDIRECT("Tabela1["&amp;$B81&amp;"]"),Tabela1[Turno],$D81,Tabela1[Data Corrigida],S$3)/100,"")</f>
        <v>1.4180823495536999E-2</v>
      </c>
      <c r="T81" s="34">
        <f ca="1">IFERROR(AVERAGEIFS(INDIRECT("Tabela1["&amp;$B81&amp;"]"),Tabela1[Turno],$D81,Tabela1[Data Corrigida],T$3)/100,"")</f>
        <v>1.9230769230769232E-2</v>
      </c>
      <c r="U81" s="34">
        <f ca="1">IFERROR(AVERAGEIFS(INDIRECT("Tabela1["&amp;$B81&amp;"]"),Tabela1[Turno],$D81,Tabela1[Data Corrigida],U$3)/100,"")</f>
        <v>1.742912884217232E-2</v>
      </c>
      <c r="V81" s="34">
        <f ca="1">IFERROR(AVERAGEIFS(INDIRECT("Tabela1["&amp;$B81&amp;"]"),Tabela1[Turno],$D81,Tabela1[Data Corrigida],V$3)/100,"")</f>
        <v>1.5826356194913637E-2</v>
      </c>
      <c r="W81" s="34">
        <f ca="1">IFERROR(AVERAGEIFS(INDIRECT("Tabela1["&amp;$B81&amp;"]"),Tabela1[Turno],$D81,Tabela1[Data Corrigida],W$3)/100,"")</f>
        <v>9.8531902879728968E-3</v>
      </c>
      <c r="X81" s="34" t="str">
        <f ca="1">IFERROR(AVERAGEIFS(INDIRECT("Tabela1["&amp;$B81&amp;"]"),Tabela1[Turno],$D81,Tabela1[Data Corrigida],X$3)/100,"")</f>
        <v/>
      </c>
      <c r="Y81" s="34" t="str">
        <f ca="1">IFERROR(AVERAGEIFS(INDIRECT("Tabela1["&amp;$B81&amp;"]"),Tabela1[Turno],$D81,Tabela1[Data Corrigida],Y$3)/100,"")</f>
        <v/>
      </c>
      <c r="Z81" s="34" t="str">
        <f ca="1">IFERROR(AVERAGEIFS(INDIRECT("Tabela1["&amp;$B81&amp;"]"),Tabela1[Turno],$D81,Tabela1[Data Corrigida],Z$3)/100,"")</f>
        <v/>
      </c>
      <c r="AA81" s="34" t="str">
        <f ca="1">IFERROR(AVERAGEIFS(INDIRECT("Tabela1["&amp;$B81&amp;"]"),Tabela1[Turno],$D81,Tabela1[Data Corrigida],AA$3)/100,"")</f>
        <v/>
      </c>
      <c r="AB81" s="34" t="str">
        <f ca="1">IFERROR(AVERAGEIFS(INDIRECT("Tabela1["&amp;$B81&amp;"]"),Tabela1[Turno],$D81,Tabela1[Data Corrigida],AB$3)/100,"")</f>
        <v/>
      </c>
      <c r="AC81" s="34" t="str">
        <f ca="1">IFERROR(AVERAGEIFS(INDIRECT("Tabela1["&amp;$B81&amp;"]"),Tabela1[Turno],$D81,Tabela1[Data Corrigida],AC$3)/100,"")</f>
        <v/>
      </c>
      <c r="AD81" s="34" t="str">
        <f ca="1">IFERROR(AVERAGEIFS(INDIRECT("Tabela1["&amp;$B81&amp;"]"),Tabela1[Turno],$D81,Tabela1[Data Corrigida],AD$3)/100,"")</f>
        <v/>
      </c>
      <c r="AE81" s="34" t="str">
        <f ca="1">IFERROR(AVERAGEIFS(INDIRECT("Tabela1["&amp;$B81&amp;"]"),Tabela1[Turno],$D81,Tabela1[Data Corrigida],AE$3)/100,"")</f>
        <v/>
      </c>
      <c r="AF81" s="34" t="str">
        <f ca="1">IFERROR(AVERAGEIFS(INDIRECT("Tabela1["&amp;$B81&amp;"]"),Tabela1[Turno],$D81,Tabela1[Data Corrigida],AF$3)/100,"")</f>
        <v/>
      </c>
      <c r="AG81" s="34" t="str">
        <f ca="1">IFERROR(AVERAGEIFS(INDIRECT("Tabela1["&amp;$B81&amp;"]"),Tabela1[Turno],$D81,Tabela1[Data Corrigida],AG$3)/100,"")</f>
        <v/>
      </c>
      <c r="AH81" s="34" t="str">
        <f ca="1">IFERROR(AVERAGEIFS(INDIRECT("Tabela1["&amp;$B81&amp;"]"),Tabela1[Turno],$D81,Tabela1[Data Corrigida],AH$3)/100,"")</f>
        <v/>
      </c>
      <c r="AI81" s="34" t="str">
        <f ca="1">IFERROR(AVERAGEIFS(INDIRECT("Tabela1["&amp;$B81&amp;"]"),Tabela1[Turno],$D81,Tabela1[Data Corrigida],AI$3)/100,"")</f>
        <v/>
      </c>
      <c r="AJ81" s="34" t="str">
        <f ca="1">IFERROR(AVERAGEIFS(INDIRECT("Tabela1["&amp;$B81&amp;"]"),Tabela1[Turno],$D81,Tabela1[Data Corrigida],AJ$3)/100,"")</f>
        <v/>
      </c>
      <c r="AK81" s="34" t="str">
        <f ca="1">IFERROR(AVERAGEIFS(INDIRECT("Tabela1["&amp;$B81&amp;"]"),Tabela1[Turno],$D81,Tabela1[Data Corrigida],AK$3)/100,"")</f>
        <v/>
      </c>
      <c r="AL81" s="34" t="str">
        <f ca="1">IFERROR(AVERAGEIFS(INDIRECT("Tabela1["&amp;$B81&amp;"]"),Tabela1[Turno],$D81,Tabela1[Data Corrigida],AL$3)/100,"")</f>
        <v/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25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62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3.2446523496796054E-2</v>
      </c>
      <c r="N82" s="36">
        <f ca="1">IFERROR(AVERAGEIFS(INDIRECT("Tabela1["&amp;$B82&amp;"]"),Tabela1[Turno],$D82,Tabela1[Mês],N$3)/100,"")</f>
        <v>3.6779272813407732E-2</v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59"/>
      <c r="R82" s="35">
        <f ca="1">IFERROR(AVERAGEIFS(INDIRECT("Tabela1["&amp;$B82&amp;"]"),Tabela1[Turno],$D82,Tabela1[Data Corrigida],R$3)/100,"")</f>
        <v>4.1560291560291562E-2</v>
      </c>
      <c r="S82" s="36">
        <f ca="1">IFERROR(AVERAGEIFS(INDIRECT("Tabela1["&amp;$B82&amp;"]"),Tabela1[Turno],$D82,Tabela1[Data Corrigida],S$3)/100,"")</f>
        <v>4.0413859004563651E-2</v>
      </c>
      <c r="T82" s="36">
        <f ca="1">IFERROR(AVERAGEIFS(INDIRECT("Tabela1["&amp;$B82&amp;"]"),Tabela1[Turno],$D82,Tabela1[Data Corrigida],T$3)/100,"")</f>
        <v>3.1743496692202118E-2</v>
      </c>
      <c r="U82" s="36">
        <f ca="1">IFERROR(AVERAGEIFS(INDIRECT("Tabela1["&amp;$B82&amp;"]"),Tabela1[Turno],$D82,Tabela1[Data Corrigida],U$3)/100,"")</f>
        <v>3.6654270242056503E-2</v>
      </c>
      <c r="V82" s="36">
        <f ca="1">IFERROR(AVERAGEIFS(INDIRECT("Tabela1["&amp;$B82&amp;"]"),Tabela1[Turno],$D82,Tabela1[Data Corrigida],V$3)/100,"")</f>
        <v>3.3524446567924832E-2</v>
      </c>
      <c r="W82" s="36" t="str">
        <f ca="1">IFERROR(AVERAGEIFS(INDIRECT("Tabela1["&amp;$B82&amp;"]"),Tabela1[Turno],$D82,Tabela1[Data Corrigida],W$3)/100,"")</f>
        <v/>
      </c>
      <c r="X82" s="36" t="str">
        <f ca="1">IFERROR(AVERAGEIFS(INDIRECT("Tabela1["&amp;$B82&amp;"]"),Tabela1[Turno],$D82,Tabela1[Data Corrigida],X$3)/100,"")</f>
        <v/>
      </c>
      <c r="Y82" s="36" t="str">
        <f ca="1">IFERROR(AVERAGEIFS(INDIRECT("Tabela1["&amp;$B82&amp;"]"),Tabela1[Turno],$D82,Tabela1[Data Corrigida],Y$3)/100,"")</f>
        <v/>
      </c>
      <c r="Z82" s="36" t="str">
        <f ca="1">IFERROR(AVERAGEIFS(INDIRECT("Tabela1["&amp;$B82&amp;"]"),Tabela1[Turno],$D82,Tabela1[Data Corrigida],Z$3)/100,"")</f>
        <v/>
      </c>
      <c r="AA82" s="36" t="str">
        <f ca="1">IFERROR(AVERAGEIFS(INDIRECT("Tabela1["&amp;$B82&amp;"]"),Tabela1[Turno],$D82,Tabela1[Data Corrigida],AA$3)/100,"")</f>
        <v/>
      </c>
      <c r="AB82" s="36" t="str">
        <f ca="1">IFERROR(AVERAGEIFS(INDIRECT("Tabela1["&amp;$B82&amp;"]"),Tabela1[Turno],$D82,Tabela1[Data Corrigida],AB$3)/100,"")</f>
        <v/>
      </c>
      <c r="AC82" s="36" t="str">
        <f ca="1">IFERROR(AVERAGEIFS(INDIRECT("Tabela1["&amp;$B82&amp;"]"),Tabela1[Turno],$D82,Tabela1[Data Corrigida],AC$3)/100,"")</f>
        <v/>
      </c>
      <c r="AD82" s="36" t="str">
        <f ca="1">IFERROR(AVERAGEIFS(INDIRECT("Tabela1["&amp;$B82&amp;"]"),Tabela1[Turno],$D82,Tabela1[Data Corrigida],AD$3)/100,"")</f>
        <v/>
      </c>
      <c r="AE82" s="36" t="str">
        <f ca="1">IFERROR(AVERAGEIFS(INDIRECT("Tabela1["&amp;$B82&amp;"]"),Tabela1[Turno],$D82,Tabela1[Data Corrigida],AE$3)/100,"")</f>
        <v/>
      </c>
      <c r="AF82" s="36" t="str">
        <f ca="1">IFERROR(AVERAGEIFS(INDIRECT("Tabela1["&amp;$B82&amp;"]"),Tabela1[Turno],$D82,Tabela1[Data Corrigida],AF$3)/100,"")</f>
        <v/>
      </c>
      <c r="AG82" s="36" t="str">
        <f ca="1">IFERROR(AVERAGEIFS(INDIRECT("Tabela1["&amp;$B82&amp;"]"),Tabela1[Turno],$D82,Tabela1[Data Corrigida],AG$3)/100,"")</f>
        <v/>
      </c>
      <c r="AH82" s="36" t="str">
        <f ca="1">IFERROR(AVERAGEIFS(INDIRECT("Tabela1["&amp;$B82&amp;"]"),Tabela1[Turno],$D82,Tabela1[Data Corrigida],AH$3)/100,"")</f>
        <v/>
      </c>
      <c r="AI82" s="36" t="str">
        <f ca="1">IFERROR(AVERAGEIFS(INDIRECT("Tabela1["&amp;$B82&amp;"]"),Tabela1[Turno],$D82,Tabela1[Data Corrigida],AI$3)/100,"")</f>
        <v/>
      </c>
      <c r="AJ82" s="36" t="str">
        <f ca="1">IFERROR(AVERAGEIFS(INDIRECT("Tabela1["&amp;$B82&amp;"]"),Tabela1[Turno],$D82,Tabela1[Data Corrigida],AJ$3)/100,"")</f>
        <v/>
      </c>
      <c r="AK82" s="36" t="str">
        <f ca="1">IFERROR(AVERAGEIFS(INDIRECT("Tabela1["&amp;$B82&amp;"]"),Tabela1[Turno],$D82,Tabela1[Data Corrigida],AK$3)/100,"")</f>
        <v/>
      </c>
      <c r="AL82" s="36" t="str">
        <f ca="1">IFERROR(AVERAGEIFS(INDIRECT("Tabela1["&amp;$B82&amp;"]"),Tabela1[Turno],$D82,Tabela1[Data Corrigida],AL$3)/100,"")</f>
        <v/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3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2.5247414203075892E-2</v>
      </c>
      <c r="N83" s="45">
        <f ca="1">IFERROR(AVERAGEIFS(INDIRECT("Tabela1["&amp;$B83&amp;"]"),Tabela1[Mês],N$3)/100,"")</f>
        <v>2.3777179939785585E-2</v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0"/>
      <c r="R83" s="37">
        <f ca="1">IFERROR(AVERAGEIFS(INDIRECT("Tabela1["&amp;$B83&amp;"]"),Tabela1[Data Corrigida],R$3)/100,"")</f>
        <v>2.5797356542698161E-2</v>
      </c>
      <c r="S83" s="38">
        <f ca="1">IFERROR(AVERAGEIFS(INDIRECT("Tabela1["&amp;$B83&amp;"]"),Tabela1[Data Corrigida],S$3)/100,"")</f>
        <v>2.5423552999405571E-2</v>
      </c>
      <c r="T83" s="38">
        <f ca="1">IFERROR(AVERAGEIFS(INDIRECT("Tabela1["&amp;$B83&amp;"]"),Tabela1[Data Corrigida],T$3)/100,"")</f>
        <v>2.8615314826843895E-2</v>
      </c>
      <c r="U83" s="38">
        <f ca="1">IFERROR(AVERAGEIFS(INDIRECT("Tabela1["&amp;$B83&amp;"]"),Tabela1[Data Corrigida],U$3)/100,"")</f>
        <v>2.5668475156408403E-2</v>
      </c>
      <c r="V83" s="38">
        <f ca="1">IFERROR(AVERAGEIFS(INDIRECT("Tabela1["&amp;$B83&amp;"]"),Tabela1[Data Corrigida],V$3)/100,"")</f>
        <v>2.3411252069061292E-2</v>
      </c>
      <c r="W83" s="38">
        <f ca="1">IFERROR(AVERAGEIFS(INDIRECT("Tabela1["&amp;$B83&amp;"]"),Tabela1[Data Corrigida],W$3)/100,"")</f>
        <v>9.8531902879728968E-3</v>
      </c>
      <c r="X83" s="38" t="str">
        <f ca="1">IFERROR(AVERAGEIFS(INDIRECT("Tabela1["&amp;$B83&amp;"]"),Tabela1[Data Corrigida],X$3)/100,"")</f>
        <v/>
      </c>
      <c r="Y83" s="38" t="str">
        <f ca="1">IFERROR(AVERAGEIFS(INDIRECT("Tabela1["&amp;$B83&amp;"]"),Tabela1[Data Corrigida],Y$3)/100,"")</f>
        <v/>
      </c>
      <c r="Z83" s="38" t="str">
        <f ca="1">IFERROR(AVERAGEIFS(INDIRECT("Tabela1["&amp;$B83&amp;"]"),Tabela1[Data Corrigida],Z$3)/100,"")</f>
        <v/>
      </c>
      <c r="AA83" s="38" t="str">
        <f ca="1">IFERROR(AVERAGEIFS(INDIRECT("Tabela1["&amp;$B83&amp;"]"),Tabela1[Data Corrigida],AA$3)/100,"")</f>
        <v/>
      </c>
      <c r="AB83" s="38" t="str">
        <f ca="1">IFERROR(AVERAGEIFS(INDIRECT("Tabela1["&amp;$B83&amp;"]"),Tabela1[Data Corrigida],AB$3)/100,"")</f>
        <v/>
      </c>
      <c r="AC83" s="38" t="str">
        <f ca="1">IFERROR(AVERAGEIFS(INDIRECT("Tabela1["&amp;$B83&amp;"]"),Tabela1[Data Corrigida],AC$3)/100,"")</f>
        <v/>
      </c>
      <c r="AD83" s="38" t="str">
        <f ca="1">IFERROR(AVERAGEIFS(INDIRECT("Tabela1["&amp;$B83&amp;"]"),Tabela1[Data Corrigida],AD$3)/100,"")</f>
        <v/>
      </c>
      <c r="AE83" s="38" t="str">
        <f ca="1">IFERROR(AVERAGEIFS(INDIRECT("Tabela1["&amp;$B83&amp;"]"),Tabela1[Data Corrigida],AE$3)/100,"")</f>
        <v/>
      </c>
      <c r="AF83" s="38" t="str">
        <f ca="1">IFERROR(AVERAGEIFS(INDIRECT("Tabela1["&amp;$B83&amp;"]"),Tabela1[Data Corrigida],AF$3)/100,"")</f>
        <v/>
      </c>
      <c r="AG83" s="38" t="str">
        <f ca="1">IFERROR(AVERAGEIFS(INDIRECT("Tabela1["&amp;$B83&amp;"]"),Tabela1[Data Corrigida],AG$3)/100,"")</f>
        <v/>
      </c>
      <c r="AH83" s="38" t="str">
        <f ca="1">IFERROR(AVERAGEIFS(INDIRECT("Tabela1["&amp;$B83&amp;"]"),Tabela1[Data Corrigida],AH$3)/100,"")</f>
        <v/>
      </c>
      <c r="AI83" s="38" t="str">
        <f ca="1">IFERROR(AVERAGEIFS(INDIRECT("Tabela1["&amp;$B83&amp;"]"),Tabela1[Data Corrigida],AI$3)/100,"")</f>
        <v/>
      </c>
      <c r="AJ83" s="38" t="str">
        <f ca="1">IFERROR(AVERAGEIFS(INDIRECT("Tabela1["&amp;$B83&amp;"]"),Tabela1[Data Corrigida],AJ$3)/100,"")</f>
        <v/>
      </c>
      <c r="AK83" s="38" t="str">
        <f ca="1">IFERROR(AVERAGEIFS(INDIRECT("Tabela1["&amp;$B83&amp;"]"),Tabela1[Data Corrigida],AK$3)/100,"")</f>
        <v/>
      </c>
      <c r="AL83" s="38" t="str">
        <f ca="1">IFERROR(AVERAGEIFS(INDIRECT("Tabela1["&amp;$B83&amp;"]"),Tabela1[Data Corrigida],AL$3)/100,"")</f>
        <v/>
      </c>
      <c r="AM83" s="38" t="str">
        <f ca="1">IFERROR(AVERAGEIFS(INDIRECT("Tabela1["&amp;$B83&amp;"]"),Tabela1[Data Corrigida],AM$3)/100,"")</f>
        <v/>
      </c>
    </row>
    <row r="84" spans="1:39" ht="15.75" thickTop="1" x14ac:dyDescent="0.25">
      <c r="B84" s="9"/>
    </row>
    <row r="85" spans="1:39" x14ac:dyDescent="0.25">
      <c r="B85" s="9"/>
    </row>
    <row r="86" spans="1:39" x14ac:dyDescent="0.25">
      <c r="B86" s="9"/>
    </row>
    <row r="87" spans="1:39" x14ac:dyDescent="0.25">
      <c r="B87" s="9"/>
    </row>
    <row r="88" spans="1:39" x14ac:dyDescent="0.25">
      <c r="B88" s="9"/>
    </row>
    <row r="89" spans="1:39" x14ac:dyDescent="0.25">
      <c r="B89" s="9"/>
    </row>
    <row r="90" spans="1:39" x14ac:dyDescent="0.25">
      <c r="B90" s="9"/>
    </row>
    <row r="91" spans="1:39" x14ac:dyDescent="0.25">
      <c r="B91" s="9"/>
    </row>
    <row r="92" spans="1:39" x14ac:dyDescent="0.25">
      <c r="B92" s="9"/>
    </row>
    <row r="93" spans="1:39" x14ac:dyDescent="0.25">
      <c r="B93" s="9"/>
    </row>
    <row r="94" spans="1:39" x14ac:dyDescent="0.25">
      <c r="B94" s="9"/>
    </row>
    <row r="95" spans="1:39" x14ac:dyDescent="0.25">
      <c r="B95" s="9"/>
    </row>
    <row r="96" spans="1:39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23" x14ac:dyDescent="0.25">
      <c r="B113" s="9"/>
      <c r="R113" s="7" t="s">
        <v>134</v>
      </c>
    </row>
    <row r="114" spans="2:23" x14ac:dyDescent="0.25">
      <c r="B114" s="9"/>
      <c r="R114" s="5">
        <v>46296</v>
      </c>
      <c r="S114" s="5">
        <v>46297</v>
      </c>
      <c r="T114" s="5">
        <v>46300</v>
      </c>
      <c r="U114" s="5">
        <v>46301</v>
      </c>
      <c r="V114" s="5">
        <v>46302</v>
      </c>
      <c r="W114" s="5">
        <v>46303</v>
      </c>
    </row>
    <row r="115" spans="2:23" x14ac:dyDescent="0.25">
      <c r="B115" s="9"/>
    </row>
    <row r="116" spans="2:23" x14ac:dyDescent="0.25">
      <c r="B116" s="9"/>
    </row>
    <row r="117" spans="2:23" x14ac:dyDescent="0.25">
      <c r="B117" s="9"/>
    </row>
    <row r="118" spans="2:23" x14ac:dyDescent="0.25">
      <c r="B118" s="9"/>
    </row>
    <row r="119" spans="2:23" x14ac:dyDescent="0.25">
      <c r="B119" s="9"/>
    </row>
    <row r="120" spans="2:23" x14ac:dyDescent="0.25">
      <c r="B120" s="9"/>
    </row>
    <row r="121" spans="2:23" x14ac:dyDescent="0.25">
      <c r="B121" s="9"/>
    </row>
    <row r="122" spans="2:23" x14ac:dyDescent="0.25">
      <c r="B122" s="9"/>
    </row>
    <row r="123" spans="2:23" x14ac:dyDescent="0.25">
      <c r="B123" s="9"/>
    </row>
    <row r="124" spans="2:23" x14ac:dyDescent="0.25">
      <c r="B124" s="9"/>
    </row>
    <row r="125" spans="2:23" x14ac:dyDescent="0.25">
      <c r="B125" s="9"/>
    </row>
    <row r="126" spans="2:23" x14ac:dyDescent="0.25">
      <c r="B126" s="9"/>
    </row>
    <row r="127" spans="2:23" x14ac:dyDescent="0.25">
      <c r="B127" s="9"/>
    </row>
    <row r="128" spans="2:23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</sheetData>
  <mergeCells count="52"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  <mergeCell ref="C6:C8"/>
    <mergeCell ref="C9:C11"/>
    <mergeCell ref="C12:C14"/>
    <mergeCell ref="C15:C17"/>
    <mergeCell ref="C18:C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Q6:Q8"/>
    <mergeCell ref="Q9:Q11"/>
    <mergeCell ref="Q12:Q14"/>
    <mergeCell ref="Q15:Q17"/>
    <mergeCell ref="Q18:Q20"/>
    <mergeCell ref="Q21:Q23"/>
    <mergeCell ref="Q24:Q26"/>
    <mergeCell ref="Q27:Q29"/>
    <mergeCell ref="Q30:Q32"/>
    <mergeCell ref="Q33:Q35"/>
    <mergeCell ref="Q66:Q68"/>
    <mergeCell ref="Q69:Q71"/>
    <mergeCell ref="Q72:Q74"/>
    <mergeCell ref="C72:C74"/>
    <mergeCell ref="C63:C65"/>
  </mergeCells>
  <conditionalFormatting sqref="R6:X8">
    <cfRule type="cellIs" dxfId="114" priority="145" operator="greaterThan">
      <formula>$Q$6</formula>
    </cfRule>
  </conditionalFormatting>
  <conditionalFormatting sqref="R9:X11">
    <cfRule type="cellIs" dxfId="113" priority="144" operator="greaterThan">
      <formula>$Q$9</formula>
    </cfRule>
  </conditionalFormatting>
  <conditionalFormatting sqref="R12:X14">
    <cfRule type="cellIs" dxfId="112" priority="143" operator="greaterThan">
      <formula>$Q$12</formula>
    </cfRule>
  </conditionalFormatting>
  <conditionalFormatting sqref="R15:X17">
    <cfRule type="cellIs" dxfId="111" priority="142" operator="greaterThan">
      <formula>$Q$15</formula>
    </cfRule>
  </conditionalFormatting>
  <conditionalFormatting sqref="R18:X20">
    <cfRule type="cellIs" dxfId="110" priority="141" operator="greaterThan">
      <formula>$Q$18</formula>
    </cfRule>
  </conditionalFormatting>
  <conditionalFormatting sqref="R21:X23">
    <cfRule type="cellIs" dxfId="109" priority="140" operator="greaterThan">
      <formula>$Q$21</formula>
    </cfRule>
  </conditionalFormatting>
  <conditionalFormatting sqref="R24:X26">
    <cfRule type="cellIs" dxfId="108" priority="139" operator="greaterThan">
      <formula>$Q$24</formula>
    </cfRule>
  </conditionalFormatting>
  <conditionalFormatting sqref="R27:X29">
    <cfRule type="cellIs" dxfId="107" priority="138" operator="greaterThan">
      <formula>$Q$27</formula>
    </cfRule>
  </conditionalFormatting>
  <conditionalFormatting sqref="R30:X32">
    <cfRule type="cellIs" dxfId="106" priority="137" operator="greaterThan">
      <formula>$Q$30</formula>
    </cfRule>
  </conditionalFormatting>
  <conditionalFormatting sqref="R33:X35">
    <cfRule type="cellIs" dxfId="105" priority="136" operator="greaterThan">
      <formula>$Q$33</formula>
    </cfRule>
  </conditionalFormatting>
  <conditionalFormatting sqref="R36:X38">
    <cfRule type="cellIs" dxfId="104" priority="135" operator="greaterThan">
      <formula>$Q$36</formula>
    </cfRule>
  </conditionalFormatting>
  <conditionalFormatting sqref="R39:X41">
    <cfRule type="cellIs" dxfId="103" priority="134" operator="greaterThan">
      <formula>$Q$39</formula>
    </cfRule>
  </conditionalFormatting>
  <conditionalFormatting sqref="R42:X44">
    <cfRule type="cellIs" dxfId="102" priority="133" operator="greaterThan">
      <formula>$Q$42</formula>
    </cfRule>
  </conditionalFormatting>
  <conditionalFormatting sqref="R45:X47">
    <cfRule type="cellIs" dxfId="101" priority="132" operator="greaterThan">
      <formula>$Q$45</formula>
    </cfRule>
  </conditionalFormatting>
  <conditionalFormatting sqref="R48:X50">
    <cfRule type="cellIs" dxfId="100" priority="131" operator="greaterThan">
      <formula>$Q$48</formula>
    </cfRule>
  </conditionalFormatting>
  <conditionalFormatting sqref="R51:X53">
    <cfRule type="cellIs" dxfId="99" priority="130" operator="greaterThan">
      <formula>$Q$51</formula>
    </cfRule>
  </conditionalFormatting>
  <conditionalFormatting sqref="R54:X56">
    <cfRule type="cellIs" dxfId="98" priority="129" operator="greaterThan">
      <formula>$Q$54</formula>
    </cfRule>
  </conditionalFormatting>
  <conditionalFormatting sqref="R57:X59">
    <cfRule type="cellIs" dxfId="97" priority="128" operator="greaterThan">
      <formula>$Q$57</formula>
    </cfRule>
  </conditionalFormatting>
  <conditionalFormatting sqref="R60:X62">
    <cfRule type="cellIs" dxfId="96" priority="127" operator="greaterThan">
      <formula>$Q$60</formula>
    </cfRule>
  </conditionalFormatting>
  <conditionalFormatting sqref="R63:X65">
    <cfRule type="cellIs" dxfId="95" priority="126" operator="greaterThan">
      <formula>$Q$63</formula>
    </cfRule>
  </conditionalFormatting>
  <conditionalFormatting sqref="R66:X68">
    <cfRule type="cellIs" dxfId="94" priority="125" operator="greaterThan">
      <formula>$Q$66</formula>
    </cfRule>
  </conditionalFormatting>
  <conditionalFormatting sqref="R69:X71">
    <cfRule type="cellIs" dxfId="93" priority="124" operator="greaterThan">
      <formula>$Q$69</formula>
    </cfRule>
  </conditionalFormatting>
  <conditionalFormatting sqref="R72:X74">
    <cfRule type="cellIs" dxfId="92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4499999999999999"/>
        <cfvo type="num" val="0.18"/>
        <cfvo type="num" val="0.22"/>
        <color rgb="FF63BE7B"/>
        <color rgb="FFFFEB84"/>
        <color rgb="FFF8696B"/>
      </colorScale>
    </cfRule>
  </conditionalFormatting>
  <conditionalFormatting sqref="R75:X77">
    <cfRule type="cellIs" dxfId="91" priority="99" operator="greaterThan">
      <formula>$Q$72</formula>
    </cfRule>
  </conditionalFormatting>
  <conditionalFormatting sqref="R78:X80">
    <cfRule type="cellIs" dxfId="90" priority="97" operator="greaterThan">
      <formula>$Q$72</formula>
    </cfRule>
  </conditionalFormatting>
  <conditionalFormatting sqref="Y6:AM8">
    <cfRule type="cellIs" dxfId="89" priority="45" operator="greaterThan">
      <formula>$Q$6</formula>
    </cfRule>
  </conditionalFormatting>
  <conditionalFormatting sqref="Y9:AM11">
    <cfRule type="cellIs" dxfId="88" priority="44" operator="greaterThan">
      <formula>$Q$9</formula>
    </cfRule>
  </conditionalFormatting>
  <conditionalFormatting sqref="Y12:AM14">
    <cfRule type="cellIs" dxfId="87" priority="43" operator="greaterThan">
      <formula>$Q$12</formula>
    </cfRule>
  </conditionalFormatting>
  <conditionalFormatting sqref="Y15:AM17">
    <cfRule type="cellIs" dxfId="86" priority="42" operator="greaterThan">
      <formula>$Q$15</formula>
    </cfRule>
  </conditionalFormatting>
  <conditionalFormatting sqref="Y18:AM20">
    <cfRule type="cellIs" dxfId="85" priority="41" operator="greaterThan">
      <formula>$Q$18</formula>
    </cfRule>
  </conditionalFormatting>
  <conditionalFormatting sqref="Y21:AM23">
    <cfRule type="cellIs" dxfId="84" priority="40" operator="greaterThan">
      <formula>$Q$21</formula>
    </cfRule>
  </conditionalFormatting>
  <conditionalFormatting sqref="Y24:AM26">
    <cfRule type="cellIs" dxfId="83" priority="39" operator="greaterThan">
      <formula>$Q$24</formula>
    </cfRule>
  </conditionalFormatting>
  <conditionalFormatting sqref="Y27:AM29">
    <cfRule type="cellIs" dxfId="82" priority="38" operator="greaterThan">
      <formula>$Q$27</formula>
    </cfRule>
  </conditionalFormatting>
  <conditionalFormatting sqref="Y30:AM32">
    <cfRule type="cellIs" dxfId="81" priority="37" operator="greaterThan">
      <formula>$Q$30</formula>
    </cfRule>
  </conditionalFormatting>
  <conditionalFormatting sqref="Y33:AM35">
    <cfRule type="cellIs" dxfId="80" priority="36" operator="greaterThan">
      <formula>$Q$33</formula>
    </cfRule>
  </conditionalFormatting>
  <conditionalFormatting sqref="Y36:AM38">
    <cfRule type="cellIs" dxfId="79" priority="35" operator="greaterThan">
      <formula>$Q$36</formula>
    </cfRule>
  </conditionalFormatting>
  <conditionalFormatting sqref="Y39:AM41">
    <cfRule type="cellIs" dxfId="78" priority="34" operator="greaterThan">
      <formula>$Q$39</formula>
    </cfRule>
  </conditionalFormatting>
  <conditionalFormatting sqref="Y42:AM44">
    <cfRule type="cellIs" dxfId="77" priority="33" operator="greaterThan">
      <formula>$Q$42</formula>
    </cfRule>
  </conditionalFormatting>
  <conditionalFormatting sqref="Y45:AM47">
    <cfRule type="cellIs" dxfId="76" priority="32" operator="greaterThan">
      <formula>$Q$45</formula>
    </cfRule>
  </conditionalFormatting>
  <conditionalFormatting sqref="Y48:AM50">
    <cfRule type="cellIs" dxfId="75" priority="31" operator="greaterThan">
      <formula>$Q$48</formula>
    </cfRule>
  </conditionalFormatting>
  <conditionalFormatting sqref="Y51:AM53">
    <cfRule type="cellIs" dxfId="74" priority="30" operator="greaterThan">
      <formula>$Q$51</formula>
    </cfRule>
  </conditionalFormatting>
  <conditionalFormatting sqref="Y54:AM56">
    <cfRule type="cellIs" dxfId="73" priority="29" operator="greaterThan">
      <formula>$Q$54</formula>
    </cfRule>
  </conditionalFormatting>
  <conditionalFormatting sqref="Y57:AM59">
    <cfRule type="cellIs" dxfId="72" priority="28" operator="greaterThan">
      <formula>$Q$57</formula>
    </cfRule>
  </conditionalFormatting>
  <conditionalFormatting sqref="Y60:AM62">
    <cfRule type="cellIs" dxfId="71" priority="27" operator="greaterThan">
      <formula>$Q$60</formula>
    </cfRule>
  </conditionalFormatting>
  <conditionalFormatting sqref="Y63:AM65">
    <cfRule type="cellIs" dxfId="70" priority="26" operator="greaterThan">
      <formula>$Q$63</formula>
    </cfRule>
  </conditionalFormatting>
  <conditionalFormatting sqref="Y66:AM68">
    <cfRule type="cellIs" dxfId="69" priority="25" operator="greaterThan">
      <formula>$Q$66</formula>
    </cfRule>
  </conditionalFormatting>
  <conditionalFormatting sqref="Y69:AM71">
    <cfRule type="cellIs" dxfId="68" priority="24" operator="greaterThan">
      <formula>$Q$69</formula>
    </cfRule>
  </conditionalFormatting>
  <conditionalFormatting sqref="Y72:AM74">
    <cfRule type="cellIs" dxfId="67" priority="23" operator="greaterThan">
      <formula>$Q$72</formula>
    </cfRule>
  </conditionalFormatting>
  <conditionalFormatting sqref="Y75:AM77">
    <cfRule type="cellIs" dxfId="66" priority="22" operator="greaterThan">
      <formula>$Q$72</formula>
    </cfRule>
  </conditionalFormatting>
  <conditionalFormatting sqref="Y78:AM80">
    <cfRule type="cellIs" dxfId="65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64" priority="3" operator="greaterThan">
      <formula>$Q$72</formula>
    </cfRule>
  </conditionalFormatting>
  <conditionalFormatting sqref="Y81:AM83">
    <cfRule type="cellIs" dxfId="63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5" fitToWidth="0" orientation="portrait" r:id="rId2"/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358"/>
  <sheetViews>
    <sheetView topLeftCell="C323" workbookViewId="0">
      <selection activeCell="C359" sqref="C359"/>
    </sheetView>
  </sheetViews>
  <sheetFormatPr defaultRowHeight="15" x14ac:dyDescent="0.25"/>
  <cols>
    <col min="1" max="1" width="16.85546875" hidden="1" customWidth="1"/>
    <col min="2" max="2" width="12.5703125" hidden="1" customWidth="1"/>
    <col min="3" max="3" width="5" customWidth="1"/>
    <col min="4" max="4" width="19.85546875" hidden="1" customWidth="1"/>
    <col min="5" max="5" width="19" hidden="1" customWidth="1"/>
    <col min="6" max="6" width="9.85546875" hidden="1" customWidth="1"/>
    <col min="7" max="7" width="20" customWidth="1"/>
    <col min="8" max="8" width="10.5703125" hidden="1" customWidth="1"/>
    <col min="10" max="10" width="11" customWidth="1"/>
    <col min="11" max="11" width="13.5703125" style="1" customWidth="1"/>
    <col min="12" max="12" width="33.140625" customWidth="1"/>
    <col min="13" max="14" width="12.7109375" customWidth="1"/>
    <col min="15" max="22" width="9.85546875" customWidth="1"/>
    <col min="23" max="24" width="10.7109375" customWidth="1"/>
    <col min="25" max="30" width="9.85546875" customWidth="1"/>
    <col min="31" max="31" width="12.42578125" customWidth="1"/>
    <col min="32" max="32" width="12.28515625" customWidth="1"/>
    <col min="33" max="34" width="9.85546875" customWidth="1"/>
    <col min="35" max="35" width="10.85546875" customWidth="1"/>
    <col min="36" max="39" width="9.85546875" customWidth="1"/>
    <col min="40" max="41" width="10.7109375" customWidth="1"/>
    <col min="42" max="44" width="10" customWidth="1"/>
    <col min="45" max="45" width="12.5703125" customWidth="1"/>
    <col min="46" max="48" width="12.140625" customWidth="1"/>
    <col min="49" max="49" width="11.28515625" customWidth="1"/>
    <col min="50" max="52" width="9.85546875" customWidth="1"/>
    <col min="53" max="53" width="11.28515625" customWidth="1"/>
    <col min="54" max="65" width="9.85546875" customWidth="1"/>
    <col min="66" max="66" width="11.85546875" hidden="1" customWidth="1"/>
    <col min="67" max="67" width="9.85546875" customWidth="1"/>
  </cols>
  <sheetData>
    <row r="1" spans="1:67" s="2" customFormat="1" ht="57.75" customHeight="1" x14ac:dyDescent="0.25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25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25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25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25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25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25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25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25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25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25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25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25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25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25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25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25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25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25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25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25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25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25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25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25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25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25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25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25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25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25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25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25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25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25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25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25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25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25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25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25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25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25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25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25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25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25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25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25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25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25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25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25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25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25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25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25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25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25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25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25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25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25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25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25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25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25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25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25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25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25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25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25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25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25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25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25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25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25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25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25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25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25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25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25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25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25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25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25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25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25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25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25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25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25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25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25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25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25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25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25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25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25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25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25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25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25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25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25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25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25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25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25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25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25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25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25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25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25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25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25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25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25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25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25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25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25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25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25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25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25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25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25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25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25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25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25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25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25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25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25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25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25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25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25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25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25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25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25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25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25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25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25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25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25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25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25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25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25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25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25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25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25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25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25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25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25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25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25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25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25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25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25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25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25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25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25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25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25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25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25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25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25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25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25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25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25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25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25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25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25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25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25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25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25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25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25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25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25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25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25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25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25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25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25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25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25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25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25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25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25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25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25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25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25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25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25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25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25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25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25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25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25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25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25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25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25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25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25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25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25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25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25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25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25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25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25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25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25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25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25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25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25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25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25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25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25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25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25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25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25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25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25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  <row r="254" spans="1:67" x14ac:dyDescent="0.25">
      <c r="A254" s="4">
        <f>INT(Tabela1[[#This Row],[Data e Hora]])</f>
        <v>46283</v>
      </c>
      <c r="B254" s="4" t="str">
        <f>UPPER(TEXT(Tabela1[[#This Row],[Data Corrigida]],"MMM"))</f>
        <v>SET</v>
      </c>
      <c r="C254" s="57" t="s">
        <v>759</v>
      </c>
      <c r="D254" t="s">
        <v>760</v>
      </c>
      <c r="E254" t="s">
        <v>761</v>
      </c>
      <c r="F254" t="s">
        <v>19</v>
      </c>
      <c r="G254" s="5" t="s">
        <v>762</v>
      </c>
      <c r="H254" t="s">
        <v>20</v>
      </c>
      <c r="I254" t="s">
        <v>33</v>
      </c>
      <c r="J254" s="1">
        <v>146</v>
      </c>
      <c r="K254" s="1">
        <v>2666</v>
      </c>
      <c r="L254" t="s">
        <v>34</v>
      </c>
      <c r="M254" s="1">
        <v>20</v>
      </c>
      <c r="N254" s="48">
        <v>20</v>
      </c>
      <c r="O254" s="1">
        <v>0</v>
      </c>
      <c r="P254" s="48">
        <v>0</v>
      </c>
      <c r="Q254" s="1">
        <v>0</v>
      </c>
      <c r="R254" s="1">
        <v>0</v>
      </c>
      <c r="S254" s="1">
        <v>1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6</v>
      </c>
      <c r="Z254" s="3">
        <v>2.054794520547945</v>
      </c>
      <c r="AA254" s="1">
        <v>5</v>
      </c>
      <c r="AB254" s="3">
        <v>3.4246575342465753</v>
      </c>
      <c r="AC254" s="1">
        <v>0</v>
      </c>
      <c r="AD254" s="3">
        <v>0</v>
      </c>
      <c r="AE254" s="1">
        <v>0</v>
      </c>
      <c r="AF254" s="3">
        <v>0</v>
      </c>
      <c r="AG254" s="1">
        <v>2</v>
      </c>
      <c r="AH254" s="3">
        <v>1.3698630136986301</v>
      </c>
      <c r="AI254" s="1" t="s">
        <v>22</v>
      </c>
      <c r="AJ254" s="1">
        <v>0</v>
      </c>
      <c r="AK254" s="3">
        <v>0</v>
      </c>
      <c r="AL254" s="1">
        <v>0</v>
      </c>
      <c r="AM254" s="3">
        <v>0</v>
      </c>
      <c r="AN254" s="1" t="s">
        <v>22</v>
      </c>
      <c r="AO254" s="1">
        <v>6</v>
      </c>
      <c r="AP254" s="3">
        <v>4.10958904109589</v>
      </c>
      <c r="AQ254" s="3">
        <v>5</v>
      </c>
      <c r="AR254" s="3">
        <v>3.4246575342465753</v>
      </c>
      <c r="AS254" s="1">
        <v>7</v>
      </c>
      <c r="AT254" s="3">
        <v>4.7945205479452051</v>
      </c>
      <c r="AU254" s="1">
        <v>0</v>
      </c>
      <c r="AV254" s="3">
        <v>0</v>
      </c>
      <c r="AW254" s="1" t="s">
        <v>22</v>
      </c>
      <c r="AX254" s="1">
        <v>15</v>
      </c>
      <c r="AY254" s="1">
        <v>0</v>
      </c>
      <c r="AZ254" s="1">
        <v>0</v>
      </c>
      <c r="BA254" s="1">
        <v>30</v>
      </c>
      <c r="BB254" s="1">
        <v>0</v>
      </c>
      <c r="BC254" s="1">
        <v>0</v>
      </c>
      <c r="BD254" s="1">
        <v>0</v>
      </c>
      <c r="BE254" s="54">
        <v>0</v>
      </c>
      <c r="BF254" s="6">
        <v>20</v>
      </c>
      <c r="BG254" s="6">
        <v>11</v>
      </c>
      <c r="BH254" s="1">
        <v>0</v>
      </c>
      <c r="BI254" s="6">
        <v>0</v>
      </c>
      <c r="BJ254" s="1" t="s">
        <v>22</v>
      </c>
      <c r="BK254" s="6">
        <v>33</v>
      </c>
      <c r="BL254" s="6">
        <v>0</v>
      </c>
      <c r="BM254" s="1">
        <v>0</v>
      </c>
      <c r="BN254" t="s">
        <v>24</v>
      </c>
      <c r="BO254">
        <v>1042</v>
      </c>
    </row>
    <row r="255" spans="1:67" x14ac:dyDescent="0.25">
      <c r="A255" s="4">
        <f>INT(Tabela1[[#This Row],[Data e Hora]])</f>
        <v>46283</v>
      </c>
      <c r="B255" s="4" t="str">
        <f>UPPER(TEXT(Tabela1[[#This Row],[Data Corrigida]],"MMM"))</f>
        <v>SET</v>
      </c>
      <c r="C255" t="s">
        <v>763</v>
      </c>
      <c r="D255" t="s">
        <v>764</v>
      </c>
      <c r="E255" t="s">
        <v>761</v>
      </c>
      <c r="F255" t="s">
        <v>19</v>
      </c>
      <c r="G255" s="5" t="s">
        <v>762</v>
      </c>
      <c r="H255" t="s">
        <v>20</v>
      </c>
      <c r="I255" t="s">
        <v>33</v>
      </c>
      <c r="J255" s="1">
        <v>161</v>
      </c>
      <c r="K255" s="1">
        <v>2700</v>
      </c>
      <c r="L255" t="s">
        <v>34</v>
      </c>
      <c r="M255" s="1">
        <v>22</v>
      </c>
      <c r="N255" s="48">
        <v>22</v>
      </c>
      <c r="O255" s="1">
        <v>62</v>
      </c>
      <c r="P255" s="48">
        <v>62</v>
      </c>
      <c r="Q255" s="1">
        <v>1</v>
      </c>
      <c r="R255" s="1">
        <v>10</v>
      </c>
      <c r="S255" s="1">
        <v>1</v>
      </c>
      <c r="T255" s="1">
        <v>1</v>
      </c>
      <c r="U255" s="1">
        <v>0</v>
      </c>
      <c r="V255" s="1">
        <v>0</v>
      </c>
      <c r="W255" s="1">
        <v>0</v>
      </c>
      <c r="X255" s="1">
        <v>0</v>
      </c>
      <c r="Y255" s="1">
        <v>7</v>
      </c>
      <c r="Z255" s="3">
        <v>2.1739130434782608</v>
      </c>
      <c r="AA255" s="1">
        <v>15</v>
      </c>
      <c r="AB255" s="3">
        <v>9.316770186335404</v>
      </c>
      <c r="AC255" s="1">
        <v>0</v>
      </c>
      <c r="AD255" s="3">
        <v>0</v>
      </c>
      <c r="AE255" s="1">
        <v>1</v>
      </c>
      <c r="AF255" s="3">
        <v>0.6211180124223602</v>
      </c>
      <c r="AG255" s="1">
        <v>2</v>
      </c>
      <c r="AH255" s="3">
        <v>1.2422360248447204</v>
      </c>
      <c r="AI255" s="1" t="s">
        <v>22</v>
      </c>
      <c r="AJ255" s="1">
        <v>0</v>
      </c>
      <c r="AK255" s="3">
        <v>0</v>
      </c>
      <c r="AL255" s="1">
        <v>0</v>
      </c>
      <c r="AM255" s="3">
        <v>0</v>
      </c>
      <c r="AN255" s="1" t="s">
        <v>22</v>
      </c>
      <c r="AO255" s="1">
        <v>11</v>
      </c>
      <c r="AP255" s="3">
        <v>6.8322981366459627</v>
      </c>
      <c r="AQ255" s="3">
        <v>0</v>
      </c>
      <c r="AR255" s="3">
        <v>0</v>
      </c>
      <c r="AS255" s="1">
        <v>4</v>
      </c>
      <c r="AT255" s="3">
        <v>2.4844720496894408</v>
      </c>
      <c r="AU255" s="1">
        <v>0</v>
      </c>
      <c r="AV255" s="3">
        <v>0</v>
      </c>
      <c r="AW255" s="1" t="s">
        <v>22</v>
      </c>
      <c r="AX255" s="1">
        <v>15</v>
      </c>
      <c r="AY255" s="1">
        <v>0</v>
      </c>
      <c r="AZ255" s="1">
        <v>0</v>
      </c>
      <c r="BA255" s="1">
        <v>30</v>
      </c>
      <c r="BB255" s="1">
        <v>0</v>
      </c>
      <c r="BC255" s="1">
        <v>0</v>
      </c>
      <c r="BD255" s="1">
        <v>0</v>
      </c>
      <c r="BE255" s="54">
        <v>0</v>
      </c>
      <c r="BF255" s="6">
        <v>27</v>
      </c>
      <c r="BG255" s="6">
        <v>18</v>
      </c>
      <c r="BH255" s="1">
        <v>0</v>
      </c>
      <c r="BI255" s="6">
        <v>0</v>
      </c>
      <c r="BJ255" s="1" t="s">
        <v>22</v>
      </c>
      <c r="BK255" s="6">
        <v>10</v>
      </c>
      <c r="BL255" s="6">
        <v>0</v>
      </c>
      <c r="BM255" s="1">
        <v>0</v>
      </c>
      <c r="BN255" t="s">
        <v>24</v>
      </c>
      <c r="BO255">
        <v>7185</v>
      </c>
    </row>
    <row r="256" spans="1:67" x14ac:dyDescent="0.25">
      <c r="A256" s="4">
        <f>INT(Tabela1[[#This Row],[Data e Hora]])</f>
        <v>46283</v>
      </c>
      <c r="B256" s="4" t="str">
        <f>UPPER(TEXT(Tabela1[[#This Row],[Data Corrigida]],"MMM"))</f>
        <v>SET</v>
      </c>
      <c r="C256" t="s">
        <v>765</v>
      </c>
      <c r="D256" t="s">
        <v>766</v>
      </c>
      <c r="E256" t="s">
        <v>767</v>
      </c>
      <c r="F256" t="s">
        <v>19</v>
      </c>
      <c r="G256" s="5" t="s">
        <v>762</v>
      </c>
      <c r="H256" t="s">
        <v>20</v>
      </c>
      <c r="I256" t="s">
        <v>33</v>
      </c>
      <c r="J256" s="1">
        <v>130</v>
      </c>
      <c r="K256" s="1">
        <v>2871</v>
      </c>
      <c r="L256" t="s">
        <v>34</v>
      </c>
      <c r="M256" s="1">
        <v>20</v>
      </c>
      <c r="N256" s="48">
        <v>20</v>
      </c>
      <c r="O256" s="1">
        <v>6</v>
      </c>
      <c r="P256" s="48">
        <v>6</v>
      </c>
      <c r="Q256" s="1">
        <v>0</v>
      </c>
      <c r="R256" s="1">
        <v>0</v>
      </c>
      <c r="S256" s="1">
        <v>2</v>
      </c>
      <c r="T256" s="1">
        <v>2</v>
      </c>
      <c r="U256" s="1">
        <v>1</v>
      </c>
      <c r="V256" s="1">
        <v>1</v>
      </c>
      <c r="W256" s="1">
        <v>0</v>
      </c>
      <c r="X256" s="1">
        <v>0</v>
      </c>
      <c r="Y256" s="1" t="s">
        <v>22</v>
      </c>
      <c r="Z256" s="3" t="s">
        <v>22</v>
      </c>
      <c r="AA256" s="1">
        <v>5</v>
      </c>
      <c r="AB256" s="3">
        <v>3.8461538461538463</v>
      </c>
      <c r="AC256" s="1">
        <v>0</v>
      </c>
      <c r="AD256" s="3">
        <v>0</v>
      </c>
      <c r="AE256" s="1">
        <v>1</v>
      </c>
      <c r="AF256" s="3">
        <v>0.76923076923076927</v>
      </c>
      <c r="AG256" s="1">
        <v>3</v>
      </c>
      <c r="AH256" s="3">
        <v>2.3076923076923079</v>
      </c>
      <c r="AI256" s="1" t="s">
        <v>22</v>
      </c>
      <c r="AJ256" s="1">
        <v>2</v>
      </c>
      <c r="AK256" s="3">
        <v>1.5384615384615385</v>
      </c>
      <c r="AL256" s="1">
        <v>0</v>
      </c>
      <c r="AM256" s="3">
        <v>0</v>
      </c>
      <c r="AN256" s="1" t="s">
        <v>22</v>
      </c>
      <c r="AO256" s="1">
        <v>0</v>
      </c>
      <c r="AP256" s="3">
        <v>0</v>
      </c>
      <c r="AQ256" s="3">
        <v>3</v>
      </c>
      <c r="AR256" s="3">
        <v>2.3076923076923079</v>
      </c>
      <c r="AS256" s="1">
        <v>4</v>
      </c>
      <c r="AT256" s="3">
        <v>3.0769230769230771</v>
      </c>
      <c r="AU256" s="1">
        <v>0</v>
      </c>
      <c r="AV256" s="3">
        <v>0</v>
      </c>
      <c r="AW256" s="1" t="s">
        <v>22</v>
      </c>
      <c r="AX256" s="1">
        <v>16</v>
      </c>
      <c r="AY256" s="1">
        <v>0</v>
      </c>
      <c r="AZ256" s="1">
        <v>0</v>
      </c>
      <c r="BA256" s="1">
        <v>32</v>
      </c>
      <c r="BB256" s="1">
        <v>0</v>
      </c>
      <c r="BC256" s="1">
        <v>0</v>
      </c>
      <c r="BD256" s="1">
        <v>0</v>
      </c>
      <c r="BE256" s="54">
        <v>0</v>
      </c>
      <c r="BF256" s="6">
        <v>23</v>
      </c>
      <c r="BG256" s="6">
        <v>11</v>
      </c>
      <c r="BH256" s="1">
        <v>0</v>
      </c>
      <c r="BI256" s="6">
        <v>0</v>
      </c>
      <c r="BJ256" s="1" t="s">
        <v>22</v>
      </c>
      <c r="BK256" s="6">
        <v>4</v>
      </c>
      <c r="BL256" s="6">
        <v>0</v>
      </c>
      <c r="BM256" s="1">
        <v>0</v>
      </c>
      <c r="BN256" t="s">
        <v>24</v>
      </c>
      <c r="BO256">
        <v>11176</v>
      </c>
    </row>
    <row r="257" spans="1:67" x14ac:dyDescent="0.25">
      <c r="A257" s="4">
        <f>INT(Tabela1[[#This Row],[Data e Hora]])</f>
        <v>46283</v>
      </c>
      <c r="B257" s="4" t="str">
        <f>UPPER(TEXT(Tabela1[[#This Row],[Data Corrigida]],"MMM"))</f>
        <v>SET</v>
      </c>
      <c r="C257" t="s">
        <v>768</v>
      </c>
      <c r="D257" t="s">
        <v>769</v>
      </c>
      <c r="E257" t="s">
        <v>770</v>
      </c>
      <c r="F257" t="s">
        <v>19</v>
      </c>
      <c r="G257" s="5" t="s">
        <v>762</v>
      </c>
      <c r="H257" t="s">
        <v>20</v>
      </c>
      <c r="I257" t="s">
        <v>21</v>
      </c>
      <c r="J257" s="1">
        <v>160</v>
      </c>
      <c r="K257" s="1">
        <v>2934</v>
      </c>
      <c r="L257" t="s">
        <v>23</v>
      </c>
      <c r="M257" s="1">
        <v>31</v>
      </c>
      <c r="N257" s="48">
        <v>31</v>
      </c>
      <c r="O257" s="1">
        <v>10</v>
      </c>
      <c r="P257" s="48">
        <v>10</v>
      </c>
      <c r="Q257" s="1">
        <v>0</v>
      </c>
      <c r="R257" s="1">
        <v>0</v>
      </c>
      <c r="S257" s="1">
        <v>2</v>
      </c>
      <c r="T257" s="1">
        <v>2</v>
      </c>
      <c r="U257" s="1">
        <v>1</v>
      </c>
      <c r="V257" s="1">
        <v>1</v>
      </c>
      <c r="W257" s="1">
        <v>0</v>
      </c>
      <c r="X257" s="1">
        <v>0</v>
      </c>
      <c r="Y257" s="1">
        <v>7</v>
      </c>
      <c r="Z257" s="3">
        <v>2.1875</v>
      </c>
      <c r="AA257" s="1">
        <v>8</v>
      </c>
      <c r="AB257" s="3">
        <v>5</v>
      </c>
      <c r="AC257" s="1">
        <v>1</v>
      </c>
      <c r="AD257" s="3">
        <v>0.625</v>
      </c>
      <c r="AE257" s="1">
        <v>2</v>
      </c>
      <c r="AF257" s="3">
        <v>1.25</v>
      </c>
      <c r="AG257" s="1">
        <v>6</v>
      </c>
      <c r="AH257" s="3">
        <v>3.75</v>
      </c>
      <c r="AI257" s="1" t="s">
        <v>22</v>
      </c>
      <c r="AJ257" s="1">
        <v>4</v>
      </c>
      <c r="AK257" s="3">
        <v>2.5</v>
      </c>
      <c r="AL257" s="1">
        <v>3</v>
      </c>
      <c r="AM257" s="3">
        <v>1.875</v>
      </c>
      <c r="AN257" s="1" t="s">
        <v>22</v>
      </c>
      <c r="AO257" s="1">
        <v>12</v>
      </c>
      <c r="AP257" s="3">
        <v>7.5</v>
      </c>
      <c r="AQ257" s="3">
        <v>6</v>
      </c>
      <c r="AR257" s="3">
        <v>3.75</v>
      </c>
      <c r="AS257" s="1">
        <v>9</v>
      </c>
      <c r="AT257" s="3">
        <v>5.625</v>
      </c>
      <c r="AU257" s="1">
        <v>2</v>
      </c>
      <c r="AV257" s="3">
        <v>1.25</v>
      </c>
      <c r="AW257" s="1" t="s">
        <v>22</v>
      </c>
      <c r="AX257" s="1">
        <v>17</v>
      </c>
      <c r="AY257" s="1">
        <v>1</v>
      </c>
      <c r="AZ257" s="1">
        <v>1</v>
      </c>
      <c r="BA257" s="1">
        <v>34</v>
      </c>
      <c r="BB257" s="1">
        <v>2</v>
      </c>
      <c r="BC257" s="1">
        <v>2</v>
      </c>
      <c r="BD257" s="1">
        <v>2</v>
      </c>
      <c r="BE257" s="54">
        <v>1.25</v>
      </c>
      <c r="BF257" s="6">
        <v>26</v>
      </c>
      <c r="BG257" s="6">
        <v>21</v>
      </c>
      <c r="BH257" s="1">
        <v>1</v>
      </c>
      <c r="BI257" s="6">
        <v>10</v>
      </c>
      <c r="BJ257" s="1" t="s">
        <v>22</v>
      </c>
      <c r="BK257" s="6">
        <v>0</v>
      </c>
      <c r="BL257" s="6">
        <v>0</v>
      </c>
      <c r="BM257" s="1">
        <v>1</v>
      </c>
      <c r="BN257" t="s">
        <v>24</v>
      </c>
      <c r="BO257">
        <v>3325</v>
      </c>
    </row>
    <row r="258" spans="1:67" x14ac:dyDescent="0.25">
      <c r="A258" s="4">
        <f>INT(Tabela1[[#This Row],[Data e Hora]])</f>
        <v>46283</v>
      </c>
      <c r="B258" s="4" t="str">
        <f>UPPER(TEXT(Tabela1[[#This Row],[Data Corrigida]],"MMM"))</f>
        <v>SET</v>
      </c>
      <c r="C258" t="s">
        <v>771</v>
      </c>
      <c r="D258" t="s">
        <v>772</v>
      </c>
      <c r="E258" t="s">
        <v>770</v>
      </c>
      <c r="F258" t="s">
        <v>19</v>
      </c>
      <c r="G258" s="5" t="s">
        <v>762</v>
      </c>
      <c r="H258" t="s">
        <v>20</v>
      </c>
      <c r="I258" t="s">
        <v>21</v>
      </c>
      <c r="J258" s="1">
        <v>140</v>
      </c>
      <c r="K258" s="1">
        <v>2919</v>
      </c>
      <c r="L258" t="s">
        <v>23</v>
      </c>
      <c r="M258" s="1">
        <v>44</v>
      </c>
      <c r="N258" s="48">
        <v>44</v>
      </c>
      <c r="O258" s="1">
        <v>20</v>
      </c>
      <c r="P258" s="48">
        <v>20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1</v>
      </c>
      <c r="W258" s="1">
        <v>0</v>
      </c>
      <c r="X258" s="1">
        <v>0</v>
      </c>
      <c r="Y258" s="1">
        <v>3</v>
      </c>
      <c r="Z258" s="3">
        <v>1.0714285714285714</v>
      </c>
      <c r="AA258" s="1">
        <v>17</v>
      </c>
      <c r="AB258" s="3">
        <v>12.142857142857142</v>
      </c>
      <c r="AC258" s="1">
        <v>0</v>
      </c>
      <c r="AD258" s="3">
        <v>0</v>
      </c>
      <c r="AE258" s="1">
        <v>3</v>
      </c>
      <c r="AF258" s="3">
        <v>2.1428571428571428</v>
      </c>
      <c r="AG258" s="1">
        <v>7</v>
      </c>
      <c r="AH258" s="3">
        <v>5</v>
      </c>
      <c r="AI258" s="1" t="s">
        <v>22</v>
      </c>
      <c r="AJ258" s="1">
        <v>4</v>
      </c>
      <c r="AK258" s="3">
        <v>2.8571428571428572</v>
      </c>
      <c r="AL258" s="1">
        <v>2</v>
      </c>
      <c r="AM258" s="3">
        <v>1.4285714285714286</v>
      </c>
      <c r="AN258" s="1" t="s">
        <v>22</v>
      </c>
      <c r="AO258" s="1">
        <v>5</v>
      </c>
      <c r="AP258" s="3">
        <v>3.5714285714285712</v>
      </c>
      <c r="AQ258" s="3">
        <v>8</v>
      </c>
      <c r="AR258" s="3">
        <v>5.7142857142857144</v>
      </c>
      <c r="AS258" s="1">
        <v>9</v>
      </c>
      <c r="AT258" s="3">
        <v>6.4285714285714279</v>
      </c>
      <c r="AU258" s="1">
        <v>2</v>
      </c>
      <c r="AV258" s="3">
        <v>1.4285714285714286</v>
      </c>
      <c r="AW258" s="1" t="s">
        <v>22</v>
      </c>
      <c r="AX258" s="1">
        <v>13</v>
      </c>
      <c r="AY258" s="1">
        <v>0</v>
      </c>
      <c r="AZ258" s="1">
        <v>0</v>
      </c>
      <c r="BA258" s="1">
        <v>26</v>
      </c>
      <c r="BB258" s="1">
        <v>0</v>
      </c>
      <c r="BC258" s="1">
        <v>0</v>
      </c>
      <c r="BD258" s="1">
        <v>0</v>
      </c>
      <c r="BE258" s="54">
        <v>0</v>
      </c>
      <c r="BF258" s="6">
        <v>24</v>
      </c>
      <c r="BG258" s="6">
        <v>15</v>
      </c>
      <c r="BH258" s="1">
        <v>1</v>
      </c>
      <c r="BI258" s="6">
        <v>10</v>
      </c>
      <c r="BJ258" s="1" t="s">
        <v>22</v>
      </c>
      <c r="BK258" s="1" t="s">
        <v>22</v>
      </c>
      <c r="BL258" s="1" t="s">
        <v>22</v>
      </c>
      <c r="BM258" s="1" t="s">
        <v>22</v>
      </c>
      <c r="BN258" t="s">
        <v>24</v>
      </c>
      <c r="BO258">
        <v>3935</v>
      </c>
    </row>
    <row r="259" spans="1:67" x14ac:dyDescent="0.25">
      <c r="A259" s="4">
        <f>INT(Tabela1[[#This Row],[Data e Hora]])</f>
        <v>46283</v>
      </c>
      <c r="B259" s="4" t="str">
        <f>UPPER(TEXT(Tabela1[[#This Row],[Data Corrigida]],"MMM"))</f>
        <v>SET</v>
      </c>
      <c r="C259" t="s">
        <v>773</v>
      </c>
      <c r="D259" t="s">
        <v>774</v>
      </c>
      <c r="E259" t="s">
        <v>775</v>
      </c>
      <c r="F259" t="s">
        <v>19</v>
      </c>
      <c r="G259" s="5" t="s">
        <v>762</v>
      </c>
      <c r="H259" t="s">
        <v>20</v>
      </c>
      <c r="I259" t="s">
        <v>21</v>
      </c>
      <c r="J259" s="1">
        <v>150</v>
      </c>
      <c r="K259" s="1">
        <v>2732</v>
      </c>
      <c r="L259" t="s">
        <v>23</v>
      </c>
      <c r="M259" s="1">
        <v>31</v>
      </c>
      <c r="N259" s="48">
        <v>31</v>
      </c>
      <c r="O259" s="1">
        <v>10</v>
      </c>
      <c r="P259" s="48">
        <v>10</v>
      </c>
      <c r="Q259" s="1">
        <v>0</v>
      </c>
      <c r="R259" s="1">
        <v>0</v>
      </c>
      <c r="S259" s="1">
        <v>2</v>
      </c>
      <c r="T259" s="1">
        <v>2</v>
      </c>
      <c r="U259" s="1">
        <v>1</v>
      </c>
      <c r="V259" s="1">
        <v>1</v>
      </c>
      <c r="W259" s="1">
        <v>0</v>
      </c>
      <c r="X259" s="1">
        <v>0</v>
      </c>
      <c r="Y259" s="1">
        <v>4</v>
      </c>
      <c r="Z259" s="3">
        <v>1.3333333333333335</v>
      </c>
      <c r="AA259" s="1">
        <v>8</v>
      </c>
      <c r="AB259" s="3">
        <v>5.3333333333333339</v>
      </c>
      <c r="AC259" s="1">
        <v>0</v>
      </c>
      <c r="AD259" s="3">
        <v>0</v>
      </c>
      <c r="AE259" s="1">
        <v>3</v>
      </c>
      <c r="AF259" s="3">
        <v>2</v>
      </c>
      <c r="AG259" s="1">
        <v>7</v>
      </c>
      <c r="AH259" s="3">
        <v>4.666666666666667</v>
      </c>
      <c r="AI259" s="1" t="s">
        <v>22</v>
      </c>
      <c r="AJ259" s="1">
        <v>3</v>
      </c>
      <c r="AK259" s="3">
        <v>2</v>
      </c>
      <c r="AL259" s="1">
        <v>2</v>
      </c>
      <c r="AM259" s="3">
        <v>1.3333333333333335</v>
      </c>
      <c r="AN259" s="1" t="s">
        <v>22</v>
      </c>
      <c r="AO259" s="1">
        <v>8</v>
      </c>
      <c r="AP259" s="3">
        <v>5.3333333333333339</v>
      </c>
      <c r="AQ259" s="3">
        <v>2</v>
      </c>
      <c r="AR259" s="3">
        <v>1.3333333333333335</v>
      </c>
      <c r="AS259" s="1">
        <v>6</v>
      </c>
      <c r="AT259" s="3">
        <v>4</v>
      </c>
      <c r="AU259" s="1">
        <v>1</v>
      </c>
      <c r="AV259" s="3">
        <v>0.66666666666666674</v>
      </c>
      <c r="AW259" s="1" t="s">
        <v>22</v>
      </c>
      <c r="AX259" s="1">
        <v>19</v>
      </c>
      <c r="AY259" s="1">
        <v>0</v>
      </c>
      <c r="AZ259" s="1">
        <v>0</v>
      </c>
      <c r="BA259" s="1">
        <v>38</v>
      </c>
      <c r="BB259" s="1">
        <v>0</v>
      </c>
      <c r="BC259" s="1">
        <v>0</v>
      </c>
      <c r="BD259" s="1">
        <v>2</v>
      </c>
      <c r="BE259" s="54">
        <v>1.3333333333333335</v>
      </c>
      <c r="BF259" s="6">
        <v>23</v>
      </c>
      <c r="BG259" s="6">
        <v>19</v>
      </c>
      <c r="BH259" s="1">
        <v>0</v>
      </c>
      <c r="BI259" s="6">
        <v>0</v>
      </c>
      <c r="BJ259" s="1" t="s">
        <v>22</v>
      </c>
      <c r="BK259" s="1" t="s">
        <v>22</v>
      </c>
      <c r="BL259" s="1" t="s">
        <v>22</v>
      </c>
      <c r="BM259" s="1" t="s">
        <v>22</v>
      </c>
      <c r="BN259" t="s">
        <v>24</v>
      </c>
      <c r="BO259">
        <v>1866</v>
      </c>
    </row>
    <row r="260" spans="1:67" x14ac:dyDescent="0.25">
      <c r="A260" s="4">
        <f>INT(Tabela1[[#This Row],[Data e Hora]])</f>
        <v>46282</v>
      </c>
      <c r="B260" s="4" t="str">
        <f>UPPER(TEXT(Tabela1[[#This Row],[Data Corrigida]],"MMM"))</f>
        <v>SET</v>
      </c>
      <c r="C260" t="s">
        <v>776</v>
      </c>
      <c r="D260" t="s">
        <v>777</v>
      </c>
      <c r="E260" t="s">
        <v>778</v>
      </c>
      <c r="F260" t="s">
        <v>19</v>
      </c>
      <c r="G260" s="5" t="s">
        <v>779</v>
      </c>
      <c r="H260" t="s">
        <v>20</v>
      </c>
      <c r="I260" t="s">
        <v>33</v>
      </c>
      <c r="J260" s="1">
        <v>161</v>
      </c>
      <c r="K260" s="1">
        <v>2611</v>
      </c>
      <c r="L260" t="s">
        <v>34</v>
      </c>
      <c r="M260" s="1">
        <v>20</v>
      </c>
      <c r="N260" s="48">
        <v>20</v>
      </c>
      <c r="O260" s="1">
        <v>6</v>
      </c>
      <c r="P260" s="48">
        <v>6</v>
      </c>
      <c r="Q260" s="1">
        <v>0</v>
      </c>
      <c r="R260" s="1">
        <v>0</v>
      </c>
      <c r="S260" s="1">
        <v>1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7</v>
      </c>
      <c r="Z260" s="3">
        <v>2.1739130434782608</v>
      </c>
      <c r="AA260" s="1">
        <v>5</v>
      </c>
      <c r="AB260" s="3">
        <v>3.1055900621118013</v>
      </c>
      <c r="AC260" s="1">
        <v>0</v>
      </c>
      <c r="AD260" s="3">
        <v>0</v>
      </c>
      <c r="AE260" s="1">
        <v>0</v>
      </c>
      <c r="AF260" s="3">
        <v>0</v>
      </c>
      <c r="AG260" s="1">
        <v>2</v>
      </c>
      <c r="AH260" s="3">
        <v>1.2422360248447204</v>
      </c>
      <c r="AI260" s="1" t="s">
        <v>22</v>
      </c>
      <c r="AJ260" s="1">
        <v>0</v>
      </c>
      <c r="AK260" s="3">
        <v>0</v>
      </c>
      <c r="AL260" s="1">
        <v>0</v>
      </c>
      <c r="AM260" s="3">
        <v>0</v>
      </c>
      <c r="AN260" s="1" t="s">
        <v>22</v>
      </c>
      <c r="AO260" s="1">
        <v>8</v>
      </c>
      <c r="AP260" s="3">
        <v>4.9689440993788816</v>
      </c>
      <c r="AQ260" s="3">
        <v>5</v>
      </c>
      <c r="AR260" s="3">
        <v>3.1055900621118013</v>
      </c>
      <c r="AS260" s="1">
        <v>6</v>
      </c>
      <c r="AT260" s="3">
        <v>3.7267080745341614</v>
      </c>
      <c r="AU260" s="1">
        <v>0</v>
      </c>
      <c r="AV260" s="3">
        <v>0</v>
      </c>
      <c r="AW260" s="1" t="s">
        <v>22</v>
      </c>
      <c r="AX260" s="1">
        <v>10</v>
      </c>
      <c r="AY260" s="1">
        <v>0</v>
      </c>
      <c r="AZ260" s="1">
        <v>0</v>
      </c>
      <c r="BA260" s="1">
        <v>20</v>
      </c>
      <c r="BB260" s="1">
        <v>0</v>
      </c>
      <c r="BC260" s="1">
        <v>0</v>
      </c>
      <c r="BD260" s="1">
        <v>0</v>
      </c>
      <c r="BE260" s="54">
        <v>0</v>
      </c>
      <c r="BF260" s="6">
        <v>25</v>
      </c>
      <c r="BG260" s="6">
        <v>13</v>
      </c>
      <c r="BH260" s="1">
        <v>0</v>
      </c>
      <c r="BI260" s="6">
        <v>0</v>
      </c>
      <c r="BJ260" s="1" t="s">
        <v>22</v>
      </c>
      <c r="BK260" s="6">
        <v>0</v>
      </c>
      <c r="BL260" s="6">
        <v>0</v>
      </c>
      <c r="BM260" s="1">
        <v>0</v>
      </c>
      <c r="BN260" t="s">
        <v>24</v>
      </c>
      <c r="BO260">
        <v>2163</v>
      </c>
    </row>
    <row r="261" spans="1:67" x14ac:dyDescent="0.25">
      <c r="A261" s="4">
        <f>INT(Tabela1[[#This Row],[Data e Hora]])</f>
        <v>46282</v>
      </c>
      <c r="B261" s="4" t="str">
        <f>UPPER(TEXT(Tabela1[[#This Row],[Data Corrigida]],"MMM"))</f>
        <v>SET</v>
      </c>
      <c r="C261" t="s">
        <v>780</v>
      </c>
      <c r="D261" t="s">
        <v>781</v>
      </c>
      <c r="E261" t="s">
        <v>782</v>
      </c>
      <c r="F261" t="s">
        <v>19</v>
      </c>
      <c r="G261" s="5" t="s">
        <v>779</v>
      </c>
      <c r="H261" t="s">
        <v>20</v>
      </c>
      <c r="I261" t="s">
        <v>33</v>
      </c>
      <c r="J261" s="1">
        <v>152</v>
      </c>
      <c r="K261" s="1">
        <v>2295</v>
      </c>
      <c r="L261" t="s">
        <v>34</v>
      </c>
      <c r="M261" s="1">
        <v>33</v>
      </c>
      <c r="N261" s="48">
        <v>33</v>
      </c>
      <c r="O261" s="1">
        <v>20</v>
      </c>
      <c r="P261" s="48">
        <v>20</v>
      </c>
      <c r="Q261" s="1">
        <v>1</v>
      </c>
      <c r="R261" s="1">
        <v>10</v>
      </c>
      <c r="S261" s="1">
        <v>3</v>
      </c>
      <c r="T261" s="1">
        <v>3</v>
      </c>
      <c r="U261" s="1">
        <v>2</v>
      </c>
      <c r="V261" s="1">
        <v>2</v>
      </c>
      <c r="W261" s="1">
        <v>0</v>
      </c>
      <c r="X261" s="1">
        <v>0</v>
      </c>
      <c r="Y261" s="1">
        <v>4</v>
      </c>
      <c r="Z261" s="3">
        <v>1.3157894736842104</v>
      </c>
      <c r="AA261" s="1">
        <v>18</v>
      </c>
      <c r="AB261" s="3">
        <v>11.842105263157894</v>
      </c>
      <c r="AC261" s="1">
        <v>0</v>
      </c>
      <c r="AD261" s="3">
        <v>0</v>
      </c>
      <c r="AE261" s="1">
        <v>0</v>
      </c>
      <c r="AF261" s="3">
        <v>0</v>
      </c>
      <c r="AG261" s="1">
        <v>2</v>
      </c>
      <c r="AH261" s="3">
        <v>1.3157894736842104</v>
      </c>
      <c r="AI261" s="1" t="s">
        <v>22</v>
      </c>
      <c r="AJ261" s="1">
        <v>0</v>
      </c>
      <c r="AK261" s="3">
        <v>0</v>
      </c>
      <c r="AL261" s="1">
        <v>0</v>
      </c>
      <c r="AM261" s="3">
        <v>0</v>
      </c>
      <c r="AN261" s="1" t="s">
        <v>22</v>
      </c>
      <c r="AO261" s="1">
        <v>4</v>
      </c>
      <c r="AP261" s="3">
        <v>2.6315789473684208</v>
      </c>
      <c r="AQ261" s="3">
        <v>3</v>
      </c>
      <c r="AR261" s="3">
        <v>1.9736842105263157</v>
      </c>
      <c r="AS261" s="1">
        <v>5</v>
      </c>
      <c r="AT261" s="3">
        <v>3.2894736842105261</v>
      </c>
      <c r="AU261" s="1">
        <v>0</v>
      </c>
      <c r="AV261" s="3">
        <v>0</v>
      </c>
      <c r="AW261" s="1" t="s">
        <v>22</v>
      </c>
      <c r="AX261" s="1">
        <v>12</v>
      </c>
      <c r="AY261" s="1">
        <v>3</v>
      </c>
      <c r="AZ261" s="1">
        <v>2</v>
      </c>
      <c r="BA261" s="1">
        <v>24</v>
      </c>
      <c r="BB261" s="1">
        <v>6</v>
      </c>
      <c r="BC261" s="1">
        <v>4</v>
      </c>
      <c r="BD261" s="1">
        <v>0</v>
      </c>
      <c r="BE261" s="54">
        <v>0</v>
      </c>
      <c r="BF261" s="6">
        <v>22</v>
      </c>
      <c r="BG261" s="6">
        <v>10</v>
      </c>
      <c r="BH261" s="1">
        <v>0</v>
      </c>
      <c r="BI261" s="6">
        <v>0</v>
      </c>
      <c r="BJ261" s="1" t="s">
        <v>22</v>
      </c>
      <c r="BK261" s="6">
        <v>0</v>
      </c>
      <c r="BL261" s="6">
        <v>0</v>
      </c>
      <c r="BM261" s="1">
        <v>0</v>
      </c>
      <c r="BN261" t="s">
        <v>24</v>
      </c>
      <c r="BO261">
        <v>9874</v>
      </c>
    </row>
    <row r="262" spans="1:67" x14ac:dyDescent="0.25">
      <c r="A262" s="4">
        <f>INT(Tabela1[[#This Row],[Data e Hora]])</f>
        <v>46282</v>
      </c>
      <c r="B262" s="4" t="str">
        <f>UPPER(TEXT(Tabela1[[#This Row],[Data Corrigida]],"MMM"))</f>
        <v>SET</v>
      </c>
      <c r="C262" t="s">
        <v>783</v>
      </c>
      <c r="D262" t="s">
        <v>784</v>
      </c>
      <c r="E262" t="s">
        <v>782</v>
      </c>
      <c r="F262" t="s">
        <v>19</v>
      </c>
      <c r="G262" s="5" t="s">
        <v>779</v>
      </c>
      <c r="H262" t="s">
        <v>20</v>
      </c>
      <c r="I262" t="s">
        <v>33</v>
      </c>
      <c r="J262" s="1">
        <v>130</v>
      </c>
      <c r="K262" s="1">
        <v>2573</v>
      </c>
      <c r="L262" t="s">
        <v>34</v>
      </c>
      <c r="M262" s="1">
        <v>19</v>
      </c>
      <c r="N262" s="48">
        <v>19</v>
      </c>
      <c r="O262" s="1">
        <v>6</v>
      </c>
      <c r="P262" s="48">
        <v>6</v>
      </c>
      <c r="Q262" s="1">
        <v>3</v>
      </c>
      <c r="R262" s="1">
        <v>30</v>
      </c>
      <c r="S262" s="1">
        <v>1</v>
      </c>
      <c r="T262" s="1">
        <v>1</v>
      </c>
      <c r="U262" s="1">
        <v>2</v>
      </c>
      <c r="V262" s="1">
        <v>2</v>
      </c>
      <c r="W262" s="1">
        <v>0</v>
      </c>
      <c r="X262" s="1">
        <v>0</v>
      </c>
      <c r="Y262" s="1">
        <v>3</v>
      </c>
      <c r="Z262" s="3">
        <v>1.153846153846154</v>
      </c>
      <c r="AA262" s="1">
        <v>8</v>
      </c>
      <c r="AB262" s="3">
        <v>6.1538461538461542</v>
      </c>
      <c r="AC262" s="1">
        <v>0</v>
      </c>
      <c r="AD262" s="3">
        <v>0</v>
      </c>
      <c r="AE262" s="1">
        <v>3</v>
      </c>
      <c r="AF262" s="3">
        <v>2.3076923076923079</v>
      </c>
      <c r="AG262" s="1">
        <v>2</v>
      </c>
      <c r="AH262" s="3">
        <v>1.5384615384615385</v>
      </c>
      <c r="AI262" s="1" t="s">
        <v>22</v>
      </c>
      <c r="AJ262" s="1">
        <v>1</v>
      </c>
      <c r="AK262" s="3">
        <v>0.76923076923076927</v>
      </c>
      <c r="AL262" s="1">
        <v>0</v>
      </c>
      <c r="AM262" s="3">
        <v>0</v>
      </c>
      <c r="AN262" s="1" t="s">
        <v>22</v>
      </c>
      <c r="AO262" s="1">
        <v>5</v>
      </c>
      <c r="AP262" s="3">
        <v>3.8461538461538463</v>
      </c>
      <c r="AQ262" s="3">
        <v>3</v>
      </c>
      <c r="AR262" s="3">
        <v>2.3076923076923079</v>
      </c>
      <c r="AS262" s="1">
        <v>3</v>
      </c>
      <c r="AT262" s="3">
        <v>2.3076923076923079</v>
      </c>
      <c r="AU262" s="1">
        <v>1</v>
      </c>
      <c r="AV262" s="3">
        <v>0.76923076923076927</v>
      </c>
      <c r="AW262" s="1" t="s">
        <v>22</v>
      </c>
      <c r="AX262" s="1">
        <v>10</v>
      </c>
      <c r="AY262" s="1">
        <v>0</v>
      </c>
      <c r="AZ262" s="1">
        <v>0</v>
      </c>
      <c r="BA262" s="1">
        <v>20</v>
      </c>
      <c r="BB262" s="1">
        <v>0</v>
      </c>
      <c r="BC262" s="1">
        <v>0</v>
      </c>
      <c r="BD262" s="1">
        <v>0</v>
      </c>
      <c r="BE262" s="54">
        <v>0</v>
      </c>
      <c r="BF262" s="6">
        <v>15</v>
      </c>
      <c r="BG262" s="6">
        <v>18</v>
      </c>
      <c r="BH262" s="1">
        <v>0</v>
      </c>
      <c r="BI262" s="6">
        <v>0</v>
      </c>
      <c r="BJ262" s="1" t="s">
        <v>22</v>
      </c>
      <c r="BK262" s="6">
        <v>2</v>
      </c>
      <c r="BL262" s="6">
        <v>0</v>
      </c>
      <c r="BM262" s="1">
        <v>0</v>
      </c>
      <c r="BN262" t="s">
        <v>24</v>
      </c>
      <c r="BO262">
        <v>9794</v>
      </c>
    </row>
    <row r="263" spans="1:67" x14ac:dyDescent="0.25">
      <c r="A263" s="4">
        <f>INT(Tabela1[[#This Row],[Data e Hora]])</f>
        <v>46282</v>
      </c>
      <c r="B263" s="4" t="str">
        <f>UPPER(TEXT(Tabela1[[#This Row],[Data Corrigida]],"MMM"))</f>
        <v>SET</v>
      </c>
      <c r="C263" t="s">
        <v>785</v>
      </c>
      <c r="D263" t="s">
        <v>786</v>
      </c>
      <c r="E263" t="s">
        <v>787</v>
      </c>
      <c r="F263" t="s">
        <v>19</v>
      </c>
      <c r="G263" s="5" t="s">
        <v>779</v>
      </c>
      <c r="H263" t="s">
        <v>20</v>
      </c>
      <c r="I263" t="s">
        <v>21</v>
      </c>
      <c r="J263" s="1">
        <v>160</v>
      </c>
      <c r="K263" s="1">
        <v>2694</v>
      </c>
      <c r="L263" t="s">
        <v>23</v>
      </c>
      <c r="M263" s="1">
        <v>33</v>
      </c>
      <c r="N263" s="48">
        <v>33</v>
      </c>
      <c r="O263" s="1">
        <v>13</v>
      </c>
      <c r="P263" s="48">
        <v>13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1</v>
      </c>
      <c r="W263" s="1">
        <v>0</v>
      </c>
      <c r="X263" s="1">
        <v>0</v>
      </c>
      <c r="Y263" s="1">
        <v>7</v>
      </c>
      <c r="Z263" s="3">
        <v>2.1875</v>
      </c>
      <c r="AA263" s="1">
        <v>7</v>
      </c>
      <c r="AB263" s="3">
        <v>4.375</v>
      </c>
      <c r="AC263" s="1">
        <v>0</v>
      </c>
      <c r="AD263" s="3">
        <v>0</v>
      </c>
      <c r="AE263" s="1">
        <v>2</v>
      </c>
      <c r="AF263" s="3">
        <v>1.25</v>
      </c>
      <c r="AG263" s="1">
        <v>6</v>
      </c>
      <c r="AH263" s="3">
        <v>3.75</v>
      </c>
      <c r="AI263" s="1" t="s">
        <v>22</v>
      </c>
      <c r="AJ263" s="1">
        <v>4</v>
      </c>
      <c r="AK263" s="3">
        <v>2.5</v>
      </c>
      <c r="AL263" s="1">
        <v>3</v>
      </c>
      <c r="AM263" s="3">
        <v>1.875</v>
      </c>
      <c r="AN263" s="1" t="s">
        <v>22</v>
      </c>
      <c r="AO263" s="1">
        <v>7</v>
      </c>
      <c r="AP263" s="3">
        <v>4.375</v>
      </c>
      <c r="AQ263" s="3">
        <v>4</v>
      </c>
      <c r="AR263" s="3">
        <v>2.5</v>
      </c>
      <c r="AS263" s="1">
        <v>6</v>
      </c>
      <c r="AT263" s="3">
        <v>3.75</v>
      </c>
      <c r="AU263" s="1">
        <v>1</v>
      </c>
      <c r="AV263" s="3">
        <v>0.625</v>
      </c>
      <c r="AW263" s="1" t="s">
        <v>22</v>
      </c>
      <c r="AX263" s="1">
        <v>16</v>
      </c>
      <c r="AY263" s="1">
        <v>0</v>
      </c>
      <c r="AZ263" s="1">
        <v>0</v>
      </c>
      <c r="BA263" s="1">
        <v>32</v>
      </c>
      <c r="BB263" s="1">
        <v>0</v>
      </c>
      <c r="BC263" s="1">
        <v>0</v>
      </c>
      <c r="BD263" s="1">
        <v>0</v>
      </c>
      <c r="BE263" s="54">
        <v>0</v>
      </c>
      <c r="BF263" s="6">
        <v>28</v>
      </c>
      <c r="BG263" s="6">
        <v>10</v>
      </c>
      <c r="BH263" s="1">
        <v>1</v>
      </c>
      <c r="BI263" s="6">
        <v>10</v>
      </c>
      <c r="BJ263" s="1" t="s">
        <v>22</v>
      </c>
      <c r="BK263" s="1" t="s">
        <v>22</v>
      </c>
      <c r="BL263" s="1" t="s">
        <v>22</v>
      </c>
      <c r="BM263" s="1" t="s">
        <v>22</v>
      </c>
      <c r="BN263" t="s">
        <v>24</v>
      </c>
      <c r="BO263">
        <v>2244</v>
      </c>
    </row>
    <row r="264" spans="1:67" x14ac:dyDescent="0.25">
      <c r="A264" s="4">
        <f>INT(Tabela1[[#This Row],[Data e Hora]])</f>
        <v>46282</v>
      </c>
      <c r="B264" s="4" t="str">
        <f>UPPER(TEXT(Tabela1[[#This Row],[Data Corrigida]],"MMM"))</f>
        <v>SET</v>
      </c>
      <c r="C264" t="s">
        <v>788</v>
      </c>
      <c r="D264" t="s">
        <v>789</v>
      </c>
      <c r="E264" t="s">
        <v>787</v>
      </c>
      <c r="F264" t="s">
        <v>19</v>
      </c>
      <c r="G264" s="5" t="s">
        <v>779</v>
      </c>
      <c r="H264" t="s">
        <v>20</v>
      </c>
      <c r="I264" t="s">
        <v>21</v>
      </c>
      <c r="J264" s="1">
        <v>130</v>
      </c>
      <c r="K264" s="1">
        <v>2872</v>
      </c>
      <c r="L264" t="s">
        <v>23</v>
      </c>
      <c r="M264" s="1">
        <v>39</v>
      </c>
      <c r="N264" s="48">
        <v>39</v>
      </c>
      <c r="O264" s="1">
        <v>15</v>
      </c>
      <c r="P264" s="48">
        <v>15</v>
      </c>
      <c r="Q264" s="1">
        <v>0</v>
      </c>
      <c r="R264" s="1">
        <v>0</v>
      </c>
      <c r="S264" s="1">
        <v>1</v>
      </c>
      <c r="T264" s="1">
        <v>1</v>
      </c>
      <c r="U264" s="1">
        <v>2</v>
      </c>
      <c r="V264" s="1">
        <v>2</v>
      </c>
      <c r="W264" s="1">
        <v>0</v>
      </c>
      <c r="X264" s="1">
        <v>0</v>
      </c>
      <c r="Y264" s="1">
        <v>2</v>
      </c>
      <c r="Z264" s="3">
        <v>0.76923076923076927</v>
      </c>
      <c r="AA264" s="1">
        <v>7</v>
      </c>
      <c r="AB264" s="3">
        <v>5.384615384615385</v>
      </c>
      <c r="AC264" s="1">
        <v>0</v>
      </c>
      <c r="AD264" s="3">
        <v>0</v>
      </c>
      <c r="AE264" s="1">
        <v>2</v>
      </c>
      <c r="AF264" s="3">
        <v>1.5384615384615385</v>
      </c>
      <c r="AG264" s="1">
        <v>5</v>
      </c>
      <c r="AH264" s="3">
        <v>3.8461538461538463</v>
      </c>
      <c r="AI264" s="1" t="s">
        <v>22</v>
      </c>
      <c r="AJ264" s="1">
        <v>6</v>
      </c>
      <c r="AK264" s="3">
        <v>4.6153846153846159</v>
      </c>
      <c r="AL264" s="1">
        <v>2</v>
      </c>
      <c r="AM264" s="3">
        <v>1.5384615384615385</v>
      </c>
      <c r="AN264" s="1" t="s">
        <v>22</v>
      </c>
      <c r="AO264" s="1">
        <v>8</v>
      </c>
      <c r="AP264" s="3">
        <v>6.1538461538461542</v>
      </c>
      <c r="AQ264" s="3">
        <v>7</v>
      </c>
      <c r="AR264" s="3">
        <v>5.384615384615385</v>
      </c>
      <c r="AS264" s="1">
        <v>5</v>
      </c>
      <c r="AT264" s="3">
        <v>3.8461538461538463</v>
      </c>
      <c r="AU264" s="1">
        <v>1</v>
      </c>
      <c r="AV264" s="3">
        <v>0.76923076923076927</v>
      </c>
      <c r="AW264" s="1" t="s">
        <v>22</v>
      </c>
      <c r="AX264" s="1">
        <v>19</v>
      </c>
      <c r="AY264" s="1">
        <v>0</v>
      </c>
      <c r="AZ264" s="1">
        <v>0</v>
      </c>
      <c r="BA264" s="1">
        <v>38</v>
      </c>
      <c r="BB264" s="1">
        <v>0</v>
      </c>
      <c r="BC264" s="1">
        <v>0</v>
      </c>
      <c r="BD264" s="1">
        <v>0</v>
      </c>
      <c r="BE264" s="54">
        <v>0</v>
      </c>
      <c r="BF264" s="6">
        <v>22</v>
      </c>
      <c r="BG264" s="6">
        <v>15</v>
      </c>
      <c r="BH264" s="1">
        <v>1</v>
      </c>
      <c r="BI264" s="6">
        <v>10</v>
      </c>
      <c r="BJ264" s="1" t="s">
        <v>22</v>
      </c>
      <c r="BK264" s="1" t="s">
        <v>22</v>
      </c>
      <c r="BL264" s="1" t="s">
        <v>22</v>
      </c>
      <c r="BM264" s="1" t="s">
        <v>22</v>
      </c>
      <c r="BN264" t="s">
        <v>22</v>
      </c>
      <c r="BO264">
        <v>2004</v>
      </c>
    </row>
    <row r="265" spans="1:67" x14ac:dyDescent="0.25">
      <c r="A265" s="4">
        <f>INT(Tabela1[[#This Row],[Data e Hora]])</f>
        <v>46282</v>
      </c>
      <c r="B265" s="4" t="str">
        <f>UPPER(TEXT(Tabela1[[#This Row],[Data Corrigida]],"MMM"))</f>
        <v>SET</v>
      </c>
      <c r="C265" t="s">
        <v>790</v>
      </c>
      <c r="D265" t="s">
        <v>791</v>
      </c>
      <c r="E265" t="s">
        <v>787</v>
      </c>
      <c r="F265" t="s">
        <v>19</v>
      </c>
      <c r="G265" s="5" t="s">
        <v>779</v>
      </c>
      <c r="H265" t="s">
        <v>20</v>
      </c>
      <c r="I265" t="s">
        <v>21</v>
      </c>
      <c r="J265" s="1">
        <v>151</v>
      </c>
      <c r="K265" s="1">
        <v>2774</v>
      </c>
      <c r="L265" t="s">
        <v>23</v>
      </c>
      <c r="M265" s="1">
        <v>53</v>
      </c>
      <c r="N265" s="48">
        <v>53</v>
      </c>
      <c r="O265" s="1">
        <v>21</v>
      </c>
      <c r="P265" s="48">
        <v>21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1</v>
      </c>
      <c r="W265" s="1">
        <v>0</v>
      </c>
      <c r="X265" s="1">
        <v>0</v>
      </c>
      <c r="Y265" s="1">
        <v>5</v>
      </c>
      <c r="Z265" s="3">
        <v>1.6556291390728477</v>
      </c>
      <c r="AA265" s="1">
        <v>8</v>
      </c>
      <c r="AB265" s="3">
        <v>5.298013245033113</v>
      </c>
      <c r="AC265" s="1">
        <v>0</v>
      </c>
      <c r="AD265" s="3">
        <v>0</v>
      </c>
      <c r="AE265" s="1">
        <v>2</v>
      </c>
      <c r="AF265" s="3">
        <v>1.3245033112582782</v>
      </c>
      <c r="AG265" s="1">
        <v>7</v>
      </c>
      <c r="AH265" s="3">
        <v>4.6357615894039732</v>
      </c>
      <c r="AI265" s="1" t="s">
        <v>22</v>
      </c>
      <c r="AJ265" s="1">
        <v>4</v>
      </c>
      <c r="AK265" s="3">
        <v>2.6490066225165565</v>
      </c>
      <c r="AL265" s="1">
        <v>2</v>
      </c>
      <c r="AM265" s="3">
        <v>1.3245033112582782</v>
      </c>
      <c r="AN265" s="1" t="s">
        <v>22</v>
      </c>
      <c r="AO265" s="1">
        <v>9</v>
      </c>
      <c r="AP265" s="3">
        <v>5.9602649006622519</v>
      </c>
      <c r="AQ265" s="3">
        <v>4</v>
      </c>
      <c r="AR265" s="3">
        <v>2.6490066225165565</v>
      </c>
      <c r="AS265" s="1">
        <v>7</v>
      </c>
      <c r="AT265" s="3">
        <v>4.6357615894039732</v>
      </c>
      <c r="AU265" s="1">
        <v>1</v>
      </c>
      <c r="AV265" s="3">
        <v>0.66225165562913912</v>
      </c>
      <c r="AW265" s="1" t="s">
        <v>22</v>
      </c>
      <c r="AX265" s="1">
        <v>17</v>
      </c>
      <c r="AY265" s="1">
        <v>0</v>
      </c>
      <c r="AZ265" s="1">
        <v>0</v>
      </c>
      <c r="BA265" s="1">
        <v>34</v>
      </c>
      <c r="BB265" s="1">
        <v>0</v>
      </c>
      <c r="BC265" s="1">
        <v>0</v>
      </c>
      <c r="BD265" s="1">
        <v>0</v>
      </c>
      <c r="BE265" s="54">
        <v>0</v>
      </c>
      <c r="BF265" s="6">
        <v>27</v>
      </c>
      <c r="BG265" s="6">
        <v>13</v>
      </c>
      <c r="BH265" s="1">
        <v>1</v>
      </c>
      <c r="BI265" s="6">
        <v>10</v>
      </c>
      <c r="BJ265" s="1" t="s">
        <v>22</v>
      </c>
      <c r="BK265" s="6">
        <v>1</v>
      </c>
      <c r="BL265" s="6">
        <v>0</v>
      </c>
      <c r="BM265" s="1">
        <v>1</v>
      </c>
      <c r="BN265" t="s">
        <v>24</v>
      </c>
      <c r="BO265">
        <v>3513</v>
      </c>
    </row>
    <row r="266" spans="1:67" x14ac:dyDescent="0.25">
      <c r="A266" s="4">
        <f>INT(Tabela1[[#This Row],[Data e Hora]])</f>
        <v>46282</v>
      </c>
      <c r="B266" s="4" t="str">
        <f>UPPER(TEXT(Tabela1[[#This Row],[Data Corrigida]],"MMM"))</f>
        <v>SET</v>
      </c>
      <c r="C266" t="s">
        <v>792</v>
      </c>
      <c r="D266" t="s">
        <v>793</v>
      </c>
      <c r="E266" t="s">
        <v>794</v>
      </c>
      <c r="F266" t="s">
        <v>19</v>
      </c>
      <c r="G266" s="5" t="s">
        <v>779</v>
      </c>
      <c r="H266" t="s">
        <v>20</v>
      </c>
      <c r="I266" t="s">
        <v>21</v>
      </c>
      <c r="J266" s="1">
        <v>146</v>
      </c>
      <c r="K266" s="1">
        <v>2800</v>
      </c>
      <c r="L266" t="s">
        <v>23</v>
      </c>
      <c r="M266" s="1">
        <v>25</v>
      </c>
      <c r="N266" s="48">
        <v>25</v>
      </c>
      <c r="O266" s="1">
        <v>11</v>
      </c>
      <c r="P266" s="48">
        <v>11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1</v>
      </c>
      <c r="W266" s="1">
        <v>0</v>
      </c>
      <c r="X266" s="1">
        <v>0</v>
      </c>
      <c r="Y266" s="1">
        <v>6</v>
      </c>
      <c r="Z266" s="3">
        <v>2.054794520547945</v>
      </c>
      <c r="AA266" s="1">
        <v>3</v>
      </c>
      <c r="AB266" s="3">
        <v>2.054794520547945</v>
      </c>
      <c r="AC266" s="1">
        <v>0</v>
      </c>
      <c r="AD266" s="3">
        <v>0</v>
      </c>
      <c r="AE266" s="1">
        <v>2</v>
      </c>
      <c r="AF266" s="3">
        <v>1.3698630136986301</v>
      </c>
      <c r="AG266" s="1">
        <v>5</v>
      </c>
      <c r="AH266" s="3">
        <v>3.4246575342465753</v>
      </c>
      <c r="AI266" s="1" t="s">
        <v>22</v>
      </c>
      <c r="AJ266" s="1">
        <v>3</v>
      </c>
      <c r="AK266" s="3">
        <v>2.054794520547945</v>
      </c>
      <c r="AL266" s="1">
        <v>2</v>
      </c>
      <c r="AM266" s="3">
        <v>1.3698630136986301</v>
      </c>
      <c r="AN266" s="1" t="s">
        <v>22</v>
      </c>
      <c r="AO266" s="1">
        <v>5</v>
      </c>
      <c r="AP266" s="3">
        <v>3.4246575342465753</v>
      </c>
      <c r="AQ266" s="3">
        <v>2</v>
      </c>
      <c r="AR266" s="3">
        <v>1.3698630136986301</v>
      </c>
      <c r="AS266" s="1">
        <v>6</v>
      </c>
      <c r="AT266" s="3">
        <v>4.10958904109589</v>
      </c>
      <c r="AU266" s="1">
        <v>1</v>
      </c>
      <c r="AV266" s="3">
        <v>0.68493150684931503</v>
      </c>
      <c r="AW266" s="1" t="s">
        <v>22</v>
      </c>
      <c r="AX266" s="1">
        <v>16</v>
      </c>
      <c r="AY266" s="1">
        <v>0</v>
      </c>
      <c r="AZ266" s="1">
        <v>0</v>
      </c>
      <c r="BA266" s="1">
        <v>32</v>
      </c>
      <c r="BB266" s="1">
        <v>0</v>
      </c>
      <c r="BC266" s="1">
        <v>0</v>
      </c>
      <c r="BD266" s="1">
        <v>0</v>
      </c>
      <c r="BE266" s="54">
        <v>0</v>
      </c>
      <c r="BF266" s="6">
        <v>25</v>
      </c>
      <c r="BG266" s="6">
        <v>18</v>
      </c>
      <c r="BH266" s="1">
        <v>2</v>
      </c>
      <c r="BI266" s="6">
        <v>20</v>
      </c>
      <c r="BJ266" s="1" t="s">
        <v>22</v>
      </c>
      <c r="BK266" s="1" t="s">
        <v>22</v>
      </c>
      <c r="BL266" s="1" t="s">
        <v>22</v>
      </c>
      <c r="BM266" s="1" t="s">
        <v>22</v>
      </c>
      <c r="BN266" t="s">
        <v>24</v>
      </c>
      <c r="BO266">
        <v>1856</v>
      </c>
    </row>
    <row r="267" spans="1:67" x14ac:dyDescent="0.25">
      <c r="A267" s="4">
        <f>INT(Tabela1[[#This Row],[Data e Hora]])</f>
        <v>46286</v>
      </c>
      <c r="B267" s="4" t="str">
        <f>UPPER(TEXT(Tabela1[[#This Row],[Data Corrigida]],"MMM"))</f>
        <v>SET</v>
      </c>
      <c r="C267" s="57" t="s">
        <v>795</v>
      </c>
      <c r="D267" t="s">
        <v>796</v>
      </c>
      <c r="E267" t="s">
        <v>797</v>
      </c>
      <c r="F267" t="s">
        <v>19</v>
      </c>
      <c r="G267" s="5" t="s">
        <v>798</v>
      </c>
      <c r="H267" t="s">
        <v>20</v>
      </c>
      <c r="I267" t="s">
        <v>33</v>
      </c>
      <c r="J267" s="1">
        <v>151</v>
      </c>
      <c r="K267" s="1">
        <v>2686</v>
      </c>
      <c r="L267" t="s">
        <v>34</v>
      </c>
      <c r="M267" s="1">
        <v>20</v>
      </c>
      <c r="N267" s="48">
        <v>20</v>
      </c>
      <c r="O267" s="1">
        <v>5</v>
      </c>
      <c r="P267" s="48">
        <v>5</v>
      </c>
      <c r="Q267" s="1">
        <v>0</v>
      </c>
      <c r="R267" s="1">
        <v>0</v>
      </c>
      <c r="S267" s="1">
        <v>1</v>
      </c>
      <c r="T267" s="1">
        <v>1</v>
      </c>
      <c r="U267" s="1">
        <v>0</v>
      </c>
      <c r="V267" s="1">
        <v>0</v>
      </c>
      <c r="W267" s="1">
        <v>0</v>
      </c>
      <c r="X267" s="1">
        <v>0</v>
      </c>
      <c r="Y267" s="1">
        <v>10</v>
      </c>
      <c r="Z267" s="3">
        <v>3.3112582781456954</v>
      </c>
      <c r="AA267" s="1">
        <v>5</v>
      </c>
      <c r="AB267" s="3">
        <v>3.3112582781456954</v>
      </c>
      <c r="AC267" s="1">
        <v>0</v>
      </c>
      <c r="AD267" s="3">
        <v>0</v>
      </c>
      <c r="AE267" s="1">
        <v>1</v>
      </c>
      <c r="AF267" s="3">
        <v>0.66225165562913912</v>
      </c>
      <c r="AG267" s="1">
        <v>2</v>
      </c>
      <c r="AH267" s="3">
        <v>1.3245033112582782</v>
      </c>
      <c r="AI267" s="1" t="s">
        <v>22</v>
      </c>
      <c r="AJ267" s="1">
        <v>0</v>
      </c>
      <c r="AK267" s="3">
        <v>0</v>
      </c>
      <c r="AL267" s="1">
        <v>0</v>
      </c>
      <c r="AM267" s="3">
        <v>0</v>
      </c>
      <c r="AN267" s="1" t="s">
        <v>22</v>
      </c>
      <c r="AO267" s="1">
        <v>6</v>
      </c>
      <c r="AP267" s="3">
        <v>3.9735099337748347</v>
      </c>
      <c r="AQ267" s="3">
        <v>5</v>
      </c>
      <c r="AR267" s="3">
        <v>3.3112582781456954</v>
      </c>
      <c r="AS267" s="1">
        <v>6</v>
      </c>
      <c r="AT267" s="3">
        <v>3.9735099337748347</v>
      </c>
      <c r="AU267" s="1">
        <v>0</v>
      </c>
      <c r="AV267" s="3">
        <v>0</v>
      </c>
      <c r="AW267" s="1" t="s">
        <v>22</v>
      </c>
      <c r="AX267" s="1">
        <v>10</v>
      </c>
      <c r="AY267" s="1">
        <v>0</v>
      </c>
      <c r="AZ267" s="1">
        <v>0</v>
      </c>
      <c r="BA267" s="1">
        <v>20</v>
      </c>
      <c r="BB267" s="1">
        <v>0</v>
      </c>
      <c r="BC267" s="1">
        <v>0</v>
      </c>
      <c r="BD267" s="1">
        <v>0</v>
      </c>
      <c r="BE267" s="54">
        <v>0</v>
      </c>
      <c r="BF267" s="6">
        <v>20</v>
      </c>
      <c r="BG267" s="6">
        <v>18</v>
      </c>
      <c r="BH267" s="1">
        <v>0</v>
      </c>
      <c r="BI267" s="6">
        <v>0</v>
      </c>
      <c r="BJ267" s="1" t="s">
        <v>22</v>
      </c>
      <c r="BK267" s="6">
        <v>9</v>
      </c>
      <c r="BL267" s="6">
        <v>0</v>
      </c>
      <c r="BM267" s="1">
        <v>0</v>
      </c>
      <c r="BN267" t="s">
        <v>24</v>
      </c>
      <c r="BO267">
        <v>310</v>
      </c>
    </row>
    <row r="268" spans="1:67" x14ac:dyDescent="0.25">
      <c r="A268" s="4">
        <f>INT(Tabela1[[#This Row],[Data e Hora]])</f>
        <v>46286</v>
      </c>
      <c r="B268" s="4" t="str">
        <f>UPPER(TEXT(Tabela1[[#This Row],[Data Corrigida]],"MMM"))</f>
        <v>SET</v>
      </c>
      <c r="C268" t="s">
        <v>799</v>
      </c>
      <c r="D268" t="s">
        <v>800</v>
      </c>
      <c r="E268" t="s">
        <v>801</v>
      </c>
      <c r="F268" t="s">
        <v>19</v>
      </c>
      <c r="G268" s="5" t="s">
        <v>798</v>
      </c>
      <c r="H268" t="s">
        <v>20</v>
      </c>
      <c r="I268" t="s">
        <v>33</v>
      </c>
      <c r="J268" s="1">
        <v>114</v>
      </c>
      <c r="K268" s="1">
        <v>2767</v>
      </c>
      <c r="L268" t="s">
        <v>34</v>
      </c>
      <c r="M268" s="1">
        <v>19</v>
      </c>
      <c r="N268" s="48">
        <v>19</v>
      </c>
      <c r="O268" s="1">
        <v>12</v>
      </c>
      <c r="P268" s="48">
        <v>12</v>
      </c>
      <c r="Q268" s="1">
        <v>0</v>
      </c>
      <c r="R268" s="1">
        <v>0</v>
      </c>
      <c r="S268" s="1">
        <v>2</v>
      </c>
      <c r="T268" s="1">
        <v>2</v>
      </c>
      <c r="U268" s="1">
        <v>1</v>
      </c>
      <c r="V268" s="1">
        <v>1</v>
      </c>
      <c r="W268" s="1">
        <v>4</v>
      </c>
      <c r="X268" s="1">
        <v>20</v>
      </c>
      <c r="Y268" s="1">
        <v>5</v>
      </c>
      <c r="Z268" s="3">
        <v>2.1929824561403506</v>
      </c>
      <c r="AA268" s="1">
        <v>6</v>
      </c>
      <c r="AB268" s="3">
        <v>5.2631578947368416</v>
      </c>
      <c r="AC268" s="1">
        <v>0</v>
      </c>
      <c r="AD268" s="3">
        <v>0</v>
      </c>
      <c r="AE268" s="1">
        <v>2</v>
      </c>
      <c r="AF268" s="3">
        <v>1.7543859649122806</v>
      </c>
      <c r="AG268" s="1">
        <v>2</v>
      </c>
      <c r="AH268" s="3">
        <v>1.7543859649122806</v>
      </c>
      <c r="AI268" s="1" t="s">
        <v>22</v>
      </c>
      <c r="AJ268" s="1">
        <v>0</v>
      </c>
      <c r="AK268" s="3">
        <v>0</v>
      </c>
      <c r="AL268" s="1">
        <v>0</v>
      </c>
      <c r="AM268" s="3">
        <v>0</v>
      </c>
      <c r="AN268" s="1" t="s">
        <v>22</v>
      </c>
      <c r="AO268" s="1">
        <v>11</v>
      </c>
      <c r="AP268" s="3">
        <v>9.6491228070175428</v>
      </c>
      <c r="AQ268" s="3">
        <v>7</v>
      </c>
      <c r="AR268" s="3">
        <v>6.140350877192982</v>
      </c>
      <c r="AS268" s="1">
        <v>6</v>
      </c>
      <c r="AT268" s="3">
        <v>5.2631578947368416</v>
      </c>
      <c r="AU268" s="1">
        <v>0</v>
      </c>
      <c r="AV268" s="3">
        <v>0</v>
      </c>
      <c r="AW268" s="1" t="s">
        <v>22</v>
      </c>
      <c r="AX268" s="1">
        <v>20</v>
      </c>
      <c r="AY268" s="1">
        <v>0</v>
      </c>
      <c r="AZ268" s="1">
        <v>1</v>
      </c>
      <c r="BA268" s="1">
        <v>40</v>
      </c>
      <c r="BB268" s="1">
        <v>0</v>
      </c>
      <c r="BC268" s="1">
        <v>2</v>
      </c>
      <c r="BD268" s="1">
        <v>0</v>
      </c>
      <c r="BE268" s="54">
        <v>0</v>
      </c>
      <c r="BF268" s="6">
        <v>19</v>
      </c>
      <c r="BG268" s="6">
        <v>18</v>
      </c>
      <c r="BH268" s="1">
        <v>0</v>
      </c>
      <c r="BI268" s="6">
        <v>0</v>
      </c>
      <c r="BJ268" s="1" t="s">
        <v>22</v>
      </c>
      <c r="BK268" s="6">
        <v>10</v>
      </c>
      <c r="BL268" s="6">
        <v>0</v>
      </c>
      <c r="BM268" s="1">
        <v>0</v>
      </c>
      <c r="BN268" t="s">
        <v>24</v>
      </c>
      <c r="BO268">
        <v>9225</v>
      </c>
    </row>
    <row r="269" spans="1:67" x14ac:dyDescent="0.25">
      <c r="A269" s="4">
        <f>INT(Tabela1[[#This Row],[Data e Hora]])</f>
        <v>46286</v>
      </c>
      <c r="B269" s="4" t="str">
        <f>UPPER(TEXT(Tabela1[[#This Row],[Data Corrigida]],"MMM"))</f>
        <v>SET</v>
      </c>
      <c r="C269" t="s">
        <v>802</v>
      </c>
      <c r="D269" t="s">
        <v>803</v>
      </c>
      <c r="E269" t="s">
        <v>801</v>
      </c>
      <c r="F269" t="s">
        <v>19</v>
      </c>
      <c r="G269" s="5" t="s">
        <v>798</v>
      </c>
      <c r="H269" t="s">
        <v>20</v>
      </c>
      <c r="I269" t="s">
        <v>33</v>
      </c>
      <c r="J269" s="1">
        <v>130</v>
      </c>
      <c r="K269" s="1">
        <v>2813</v>
      </c>
      <c r="L269" t="s">
        <v>34</v>
      </c>
      <c r="M269" s="1">
        <v>23</v>
      </c>
      <c r="N269" s="48">
        <v>23</v>
      </c>
      <c r="O269" s="1">
        <v>6</v>
      </c>
      <c r="P269" s="48">
        <v>6</v>
      </c>
      <c r="Q269" s="1">
        <v>0</v>
      </c>
      <c r="R269" s="1">
        <v>0</v>
      </c>
      <c r="S269" s="1">
        <v>2</v>
      </c>
      <c r="T269" s="1">
        <v>2</v>
      </c>
      <c r="U269" s="1">
        <v>0</v>
      </c>
      <c r="V269" s="1">
        <v>0</v>
      </c>
      <c r="W269" s="1">
        <v>0</v>
      </c>
      <c r="X269" s="1">
        <v>0</v>
      </c>
      <c r="Y269" s="1">
        <v>4</v>
      </c>
      <c r="Z269" s="3">
        <v>1.5384615384615385</v>
      </c>
      <c r="AA269" s="1">
        <v>6</v>
      </c>
      <c r="AB269" s="3">
        <v>4.6153846153846159</v>
      </c>
      <c r="AC269" s="1">
        <v>0</v>
      </c>
      <c r="AD269" s="3">
        <v>0</v>
      </c>
      <c r="AE269" s="1">
        <v>0</v>
      </c>
      <c r="AF269" s="3">
        <v>0</v>
      </c>
      <c r="AG269" s="1">
        <v>2</v>
      </c>
      <c r="AH269" s="3">
        <v>1.5384615384615385</v>
      </c>
      <c r="AI269" s="1" t="s">
        <v>22</v>
      </c>
      <c r="AJ269" s="1">
        <v>0</v>
      </c>
      <c r="AK269" s="3">
        <v>0</v>
      </c>
      <c r="AL269" s="1">
        <v>0</v>
      </c>
      <c r="AM269" s="3">
        <v>0</v>
      </c>
      <c r="AN269" s="1" t="s">
        <v>22</v>
      </c>
      <c r="AO269" s="1">
        <v>5</v>
      </c>
      <c r="AP269" s="3">
        <v>3.8461538461538463</v>
      </c>
      <c r="AQ269" s="3">
        <v>10</v>
      </c>
      <c r="AR269" s="3">
        <v>7.6923076923076925</v>
      </c>
      <c r="AS269" s="1">
        <v>4</v>
      </c>
      <c r="AT269" s="3">
        <v>3.0769230769230771</v>
      </c>
      <c r="AU269" s="1">
        <v>0</v>
      </c>
      <c r="AV269" s="3">
        <v>0</v>
      </c>
      <c r="AW269" s="1" t="s">
        <v>22</v>
      </c>
      <c r="AX269" s="1">
        <v>18</v>
      </c>
      <c r="AY269" s="1">
        <v>0</v>
      </c>
      <c r="AZ269" s="1">
        <v>0</v>
      </c>
      <c r="BA269" s="1">
        <v>36</v>
      </c>
      <c r="BB269" s="1">
        <v>0</v>
      </c>
      <c r="BC269" s="1">
        <v>0</v>
      </c>
      <c r="BD269" s="1">
        <v>1</v>
      </c>
      <c r="BE269" s="54">
        <v>0.76923076923076927</v>
      </c>
      <c r="BF269" s="6">
        <v>18</v>
      </c>
      <c r="BG269" s="6">
        <v>14</v>
      </c>
      <c r="BH269" s="1">
        <v>0</v>
      </c>
      <c r="BI269" s="6">
        <v>0</v>
      </c>
      <c r="BJ269" s="1" t="s">
        <v>22</v>
      </c>
      <c r="BK269" s="1" t="s">
        <v>22</v>
      </c>
      <c r="BL269" s="1" t="s">
        <v>22</v>
      </c>
      <c r="BM269" s="1" t="s">
        <v>22</v>
      </c>
      <c r="BN269" t="s">
        <v>24</v>
      </c>
      <c r="BO269">
        <v>13150</v>
      </c>
    </row>
    <row r="270" spans="1:67" x14ac:dyDescent="0.25">
      <c r="A270" s="4">
        <f>INT(Tabela1[[#This Row],[Data e Hora]])</f>
        <v>46286</v>
      </c>
      <c r="B270" s="4" t="str">
        <f>UPPER(TEXT(Tabela1[[#This Row],[Data Corrigida]],"MMM"))</f>
        <v>SET</v>
      </c>
      <c r="C270" t="s">
        <v>804</v>
      </c>
      <c r="D270" t="s">
        <v>805</v>
      </c>
      <c r="E270" t="s">
        <v>806</v>
      </c>
      <c r="F270" t="s">
        <v>19</v>
      </c>
      <c r="G270" s="5" t="s">
        <v>798</v>
      </c>
      <c r="H270" t="s">
        <v>20</v>
      </c>
      <c r="I270" t="s">
        <v>21</v>
      </c>
      <c r="J270" s="1">
        <v>161</v>
      </c>
      <c r="K270" s="1">
        <v>2846</v>
      </c>
      <c r="L270" t="s">
        <v>23</v>
      </c>
      <c r="M270" s="1">
        <v>35</v>
      </c>
      <c r="N270" s="48">
        <v>35</v>
      </c>
      <c r="O270" s="1">
        <v>14</v>
      </c>
      <c r="P270" s="48">
        <v>14.000000000000002</v>
      </c>
      <c r="Q270" s="1">
        <v>0</v>
      </c>
      <c r="R270" s="1">
        <v>0</v>
      </c>
      <c r="S270" s="1">
        <v>4</v>
      </c>
      <c r="T270" s="1">
        <v>4</v>
      </c>
      <c r="U270" s="1">
        <v>1</v>
      </c>
      <c r="V270" s="1">
        <v>1</v>
      </c>
      <c r="W270" s="1">
        <v>0</v>
      </c>
      <c r="X270" s="1">
        <v>0</v>
      </c>
      <c r="Y270" s="1">
        <v>1</v>
      </c>
      <c r="Z270" s="3">
        <v>0.3105590062111801</v>
      </c>
      <c r="AA270" s="1">
        <v>3</v>
      </c>
      <c r="AB270" s="3">
        <v>1.8633540372670807</v>
      </c>
      <c r="AC270" s="1">
        <v>0</v>
      </c>
      <c r="AD270" s="3">
        <v>0</v>
      </c>
      <c r="AE270" s="1">
        <v>3</v>
      </c>
      <c r="AF270" s="3">
        <v>1.8633540372670807</v>
      </c>
      <c r="AG270" s="1">
        <v>7</v>
      </c>
      <c r="AH270" s="3">
        <v>4.3478260869565215</v>
      </c>
      <c r="AI270" s="1" t="s">
        <v>22</v>
      </c>
      <c r="AJ270" s="1">
        <v>3</v>
      </c>
      <c r="AK270" s="3">
        <v>1.8633540372670807</v>
      </c>
      <c r="AL270" s="1">
        <v>3</v>
      </c>
      <c r="AM270" s="3">
        <v>1.8633540372670807</v>
      </c>
      <c r="AN270" s="1" t="s">
        <v>22</v>
      </c>
      <c r="AO270" s="1">
        <v>6</v>
      </c>
      <c r="AP270" s="3">
        <v>3.7267080745341614</v>
      </c>
      <c r="AQ270" s="3">
        <v>5</v>
      </c>
      <c r="AR270" s="3">
        <v>3.1055900621118013</v>
      </c>
      <c r="AS270" s="1">
        <v>6</v>
      </c>
      <c r="AT270" s="3">
        <v>3.7267080745341614</v>
      </c>
      <c r="AU270" s="1">
        <v>1</v>
      </c>
      <c r="AV270" s="3">
        <v>0.6211180124223602</v>
      </c>
      <c r="AW270" s="1" t="s">
        <v>22</v>
      </c>
      <c r="AX270" s="1">
        <v>20</v>
      </c>
      <c r="AY270" s="1">
        <v>0</v>
      </c>
      <c r="AZ270" s="1">
        <v>0</v>
      </c>
      <c r="BA270" s="1">
        <v>40</v>
      </c>
      <c r="BB270" s="1">
        <v>0</v>
      </c>
      <c r="BC270" s="1">
        <v>0</v>
      </c>
      <c r="BD270" s="1">
        <v>1</v>
      </c>
      <c r="BE270" s="54">
        <v>0.6211180124223602</v>
      </c>
      <c r="BF270" s="6">
        <v>27</v>
      </c>
      <c r="BG270" s="6">
        <v>15</v>
      </c>
      <c r="BH270" s="1">
        <v>1</v>
      </c>
      <c r="BI270" s="6">
        <v>10</v>
      </c>
      <c r="BJ270" s="1" t="s">
        <v>22</v>
      </c>
      <c r="BK270" s="1" t="s">
        <v>22</v>
      </c>
      <c r="BL270" s="1" t="s">
        <v>22</v>
      </c>
      <c r="BM270" s="1" t="s">
        <v>22</v>
      </c>
      <c r="BN270" t="s">
        <v>24</v>
      </c>
      <c r="BO270">
        <v>2650</v>
      </c>
    </row>
    <row r="271" spans="1:67" x14ac:dyDescent="0.25">
      <c r="A271" s="4">
        <f>INT(Tabela1[[#This Row],[Data e Hora]])</f>
        <v>46286</v>
      </c>
      <c r="B271" s="4" t="str">
        <f>UPPER(TEXT(Tabela1[[#This Row],[Data Corrigida]],"MMM"))</f>
        <v>SET</v>
      </c>
      <c r="C271" t="s">
        <v>807</v>
      </c>
      <c r="D271" t="s">
        <v>808</v>
      </c>
      <c r="E271" t="s">
        <v>809</v>
      </c>
      <c r="F271" t="s">
        <v>19</v>
      </c>
      <c r="G271" s="5" t="s">
        <v>798</v>
      </c>
      <c r="H271" t="s">
        <v>20</v>
      </c>
      <c r="I271" t="s">
        <v>21</v>
      </c>
      <c r="J271" s="1">
        <v>150</v>
      </c>
      <c r="K271" s="1">
        <v>2910</v>
      </c>
      <c r="L271" t="s">
        <v>23</v>
      </c>
      <c r="M271" s="1">
        <v>25</v>
      </c>
      <c r="N271" s="48">
        <v>25</v>
      </c>
      <c r="O271" s="1">
        <v>6</v>
      </c>
      <c r="P271" s="48">
        <v>6</v>
      </c>
      <c r="Q271" s="1">
        <v>0</v>
      </c>
      <c r="R271" s="1">
        <v>0</v>
      </c>
      <c r="S271" s="1">
        <v>2</v>
      </c>
      <c r="T271" s="1">
        <v>2</v>
      </c>
      <c r="U271" s="1">
        <v>0</v>
      </c>
      <c r="V271" s="1">
        <v>0</v>
      </c>
      <c r="W271" s="1">
        <v>0</v>
      </c>
      <c r="X271" s="1">
        <v>0</v>
      </c>
      <c r="Y271" s="1">
        <v>1</v>
      </c>
      <c r="Z271" s="3">
        <v>0.33333333333333337</v>
      </c>
      <c r="AA271" s="1">
        <v>3</v>
      </c>
      <c r="AB271" s="3">
        <v>2</v>
      </c>
      <c r="AC271" s="1">
        <v>0</v>
      </c>
      <c r="AD271" s="3">
        <v>0</v>
      </c>
      <c r="AE271" s="1">
        <v>0</v>
      </c>
      <c r="AF271" s="3">
        <v>0</v>
      </c>
      <c r="AG271" s="1">
        <v>6</v>
      </c>
      <c r="AH271" s="3">
        <v>4</v>
      </c>
      <c r="AI271" s="1" t="s">
        <v>22</v>
      </c>
      <c r="AJ271" s="1">
        <v>3</v>
      </c>
      <c r="AK271" s="3">
        <v>2</v>
      </c>
      <c r="AL271" s="1">
        <v>2</v>
      </c>
      <c r="AM271" s="3">
        <v>1.3333333333333335</v>
      </c>
      <c r="AN271" s="1" t="s">
        <v>22</v>
      </c>
      <c r="AO271" s="1">
        <v>5</v>
      </c>
      <c r="AP271" s="3">
        <v>3.3333333333333335</v>
      </c>
      <c r="AQ271" s="3">
        <v>2</v>
      </c>
      <c r="AR271" s="3">
        <v>1.3333333333333335</v>
      </c>
      <c r="AS271" s="1">
        <v>6</v>
      </c>
      <c r="AT271" s="3">
        <v>4</v>
      </c>
      <c r="AU271" s="1">
        <v>1</v>
      </c>
      <c r="AV271" s="3">
        <v>0.66666666666666674</v>
      </c>
      <c r="AW271" s="1" t="s">
        <v>22</v>
      </c>
      <c r="AX271" s="1">
        <v>17</v>
      </c>
      <c r="AY271" s="1">
        <v>0</v>
      </c>
      <c r="AZ271" s="1">
        <v>0</v>
      </c>
      <c r="BA271" s="1">
        <v>34</v>
      </c>
      <c r="BB271" s="1">
        <v>0</v>
      </c>
      <c r="BC271" s="1">
        <v>0</v>
      </c>
      <c r="BD271" s="1">
        <v>0</v>
      </c>
      <c r="BE271" s="54">
        <v>0</v>
      </c>
      <c r="BF271" s="6">
        <v>21</v>
      </c>
      <c r="BG271" s="6">
        <v>11</v>
      </c>
      <c r="BH271" s="1">
        <v>1</v>
      </c>
      <c r="BI271" s="6">
        <v>10</v>
      </c>
      <c r="BJ271" s="1" t="s">
        <v>22</v>
      </c>
      <c r="BK271" s="1" t="s">
        <v>22</v>
      </c>
      <c r="BL271" s="1" t="s">
        <v>22</v>
      </c>
      <c r="BM271" s="1" t="s">
        <v>22</v>
      </c>
      <c r="BN271" t="s">
        <v>22</v>
      </c>
      <c r="BO271">
        <v>1667</v>
      </c>
    </row>
    <row r="272" spans="1:67" x14ac:dyDescent="0.25">
      <c r="A272" s="4">
        <f>INT(Tabela1[[#This Row],[Data e Hora]])</f>
        <v>46286</v>
      </c>
      <c r="B272" s="4" t="str">
        <f>UPPER(TEXT(Tabela1[[#This Row],[Data Corrigida]],"MMM"))</f>
        <v>SET</v>
      </c>
      <c r="C272" t="s">
        <v>810</v>
      </c>
      <c r="D272" t="s">
        <v>811</v>
      </c>
      <c r="E272" t="s">
        <v>809</v>
      </c>
      <c r="F272" t="s">
        <v>19</v>
      </c>
      <c r="G272" s="5" t="s">
        <v>798</v>
      </c>
      <c r="H272" t="s">
        <v>20</v>
      </c>
      <c r="I272" t="s">
        <v>21</v>
      </c>
      <c r="J272" s="1">
        <v>156</v>
      </c>
      <c r="K272" s="1">
        <v>2960</v>
      </c>
      <c r="L272" t="s">
        <v>23</v>
      </c>
      <c r="M272" s="1">
        <v>29</v>
      </c>
      <c r="N272" s="48">
        <v>28.999999999999996</v>
      </c>
      <c r="O272" s="1">
        <v>13</v>
      </c>
      <c r="P272" s="48">
        <v>13</v>
      </c>
      <c r="Q272" s="1">
        <v>0</v>
      </c>
      <c r="R272" s="1">
        <v>0</v>
      </c>
      <c r="S272" s="1">
        <v>3</v>
      </c>
      <c r="T272" s="1">
        <v>3</v>
      </c>
      <c r="U272" s="1">
        <v>1</v>
      </c>
      <c r="V272" s="1">
        <v>1</v>
      </c>
      <c r="W272" s="1">
        <v>0</v>
      </c>
      <c r="X272" s="1">
        <v>0</v>
      </c>
      <c r="Y272" s="1">
        <v>1</v>
      </c>
      <c r="Z272" s="3">
        <v>0.32051282051282048</v>
      </c>
      <c r="AA272" s="1">
        <v>2</v>
      </c>
      <c r="AB272" s="3">
        <v>1.2820512820512819</v>
      </c>
      <c r="AC272" s="1">
        <v>0</v>
      </c>
      <c r="AD272" s="3">
        <v>0</v>
      </c>
      <c r="AE272" s="1">
        <v>1</v>
      </c>
      <c r="AF272" s="3">
        <v>0.64102564102564097</v>
      </c>
      <c r="AG272" s="1">
        <v>9</v>
      </c>
      <c r="AH272" s="3">
        <v>5.7692307692307692</v>
      </c>
      <c r="AI272" s="1" t="s">
        <v>22</v>
      </c>
      <c r="AJ272" s="1">
        <v>3</v>
      </c>
      <c r="AK272" s="3">
        <v>1.9230769230769231</v>
      </c>
      <c r="AL272" s="1">
        <v>2</v>
      </c>
      <c r="AM272" s="3">
        <v>1.2820512820512819</v>
      </c>
      <c r="AN272" s="1" t="s">
        <v>22</v>
      </c>
      <c r="AO272" s="1">
        <v>6</v>
      </c>
      <c r="AP272" s="3">
        <v>3.8461538461538463</v>
      </c>
      <c r="AQ272" s="3">
        <v>8</v>
      </c>
      <c r="AR272" s="3">
        <v>5.1282051282051277</v>
      </c>
      <c r="AS272" s="1">
        <v>7</v>
      </c>
      <c r="AT272" s="3">
        <v>4.4871794871794872</v>
      </c>
      <c r="AU272" s="1">
        <v>1</v>
      </c>
      <c r="AV272" s="3">
        <v>0.64102564102564097</v>
      </c>
      <c r="AW272" s="1" t="s">
        <v>22</v>
      </c>
      <c r="AX272" s="1">
        <v>19</v>
      </c>
      <c r="AY272" s="1">
        <v>0</v>
      </c>
      <c r="AZ272" s="1">
        <v>0</v>
      </c>
      <c r="BA272" s="1">
        <v>38</v>
      </c>
      <c r="BB272" s="1">
        <v>0</v>
      </c>
      <c r="BC272" s="1">
        <v>0</v>
      </c>
      <c r="BD272" s="1">
        <v>0</v>
      </c>
      <c r="BE272" s="54">
        <v>0</v>
      </c>
      <c r="BF272" s="6">
        <v>20</v>
      </c>
      <c r="BG272" s="6">
        <v>9</v>
      </c>
      <c r="BH272" s="1">
        <v>1</v>
      </c>
      <c r="BI272" s="6">
        <v>10</v>
      </c>
      <c r="BJ272" s="1" t="s">
        <v>22</v>
      </c>
      <c r="BK272" s="1" t="s">
        <v>22</v>
      </c>
      <c r="BL272" s="1" t="s">
        <v>22</v>
      </c>
      <c r="BM272" s="1" t="s">
        <v>22</v>
      </c>
      <c r="BN272" t="s">
        <v>24</v>
      </c>
      <c r="BO272">
        <v>1497</v>
      </c>
    </row>
    <row r="273" spans="1:67" x14ac:dyDescent="0.25">
      <c r="A273" s="4">
        <f>INT(Tabela1[[#This Row],[Data e Hora]])</f>
        <v>46286</v>
      </c>
      <c r="B273" s="4" t="str">
        <f>UPPER(TEXT(Tabela1[[#This Row],[Data Corrigida]],"MMM"))</f>
        <v>SET</v>
      </c>
      <c r="C273" t="s">
        <v>812</v>
      </c>
      <c r="D273" t="s">
        <v>813</v>
      </c>
      <c r="E273" t="s">
        <v>809</v>
      </c>
      <c r="F273" t="s">
        <v>19</v>
      </c>
      <c r="G273" s="5" t="s">
        <v>798</v>
      </c>
      <c r="H273" t="s">
        <v>20</v>
      </c>
      <c r="I273" t="s">
        <v>21</v>
      </c>
      <c r="J273" s="1">
        <v>156</v>
      </c>
      <c r="K273" s="1">
        <v>2910</v>
      </c>
      <c r="L273" t="s">
        <v>23</v>
      </c>
      <c r="M273" s="1">
        <v>22</v>
      </c>
      <c r="N273" s="48">
        <v>22</v>
      </c>
      <c r="O273" s="1">
        <v>8</v>
      </c>
      <c r="P273" s="48">
        <v>8</v>
      </c>
      <c r="Q273" s="1" t="s">
        <v>22</v>
      </c>
      <c r="R273" s="1" t="s">
        <v>22</v>
      </c>
      <c r="S273" s="1">
        <v>2</v>
      </c>
      <c r="T273" s="1">
        <v>2</v>
      </c>
      <c r="U273" s="1">
        <v>1</v>
      </c>
      <c r="V273" s="1">
        <v>1</v>
      </c>
      <c r="W273" s="1">
        <v>0</v>
      </c>
      <c r="X273" s="1">
        <v>0</v>
      </c>
      <c r="Y273" s="1">
        <v>3</v>
      </c>
      <c r="Z273" s="3">
        <v>0.96153846153846156</v>
      </c>
      <c r="AA273" s="1">
        <v>3</v>
      </c>
      <c r="AB273" s="3">
        <v>1.9230769230769231</v>
      </c>
      <c r="AC273" s="1">
        <v>0</v>
      </c>
      <c r="AD273" s="3">
        <v>0</v>
      </c>
      <c r="AE273" s="1">
        <v>1</v>
      </c>
      <c r="AF273" s="3">
        <v>0.64102564102564097</v>
      </c>
      <c r="AG273" s="1">
        <v>6</v>
      </c>
      <c r="AH273" s="3">
        <v>3.8461538461538463</v>
      </c>
      <c r="AI273" s="1" t="s">
        <v>22</v>
      </c>
      <c r="AJ273" s="1">
        <v>3</v>
      </c>
      <c r="AK273" s="3">
        <v>1.9230769230769231</v>
      </c>
      <c r="AL273" s="1">
        <v>1</v>
      </c>
      <c r="AM273" s="3">
        <v>0.64102564102564097</v>
      </c>
      <c r="AN273" s="1" t="s">
        <v>22</v>
      </c>
      <c r="AO273" s="1">
        <v>5</v>
      </c>
      <c r="AP273" s="3">
        <v>3.2051282051282048</v>
      </c>
      <c r="AQ273" s="3">
        <v>4</v>
      </c>
      <c r="AR273" s="3">
        <v>2.5641025641025639</v>
      </c>
      <c r="AS273" s="1">
        <v>6</v>
      </c>
      <c r="AT273" s="3">
        <v>3.8461538461538463</v>
      </c>
      <c r="AU273" s="1">
        <v>1</v>
      </c>
      <c r="AV273" s="3">
        <v>0.64102564102564097</v>
      </c>
      <c r="AW273" s="1" t="s">
        <v>22</v>
      </c>
      <c r="AX273" s="1">
        <v>16</v>
      </c>
      <c r="AY273" s="1">
        <v>1</v>
      </c>
      <c r="AZ273" s="1">
        <v>1</v>
      </c>
      <c r="BA273" s="1">
        <v>32</v>
      </c>
      <c r="BB273" s="1">
        <v>2</v>
      </c>
      <c r="BC273" s="1">
        <v>2</v>
      </c>
      <c r="BD273" s="1">
        <v>0</v>
      </c>
      <c r="BE273" s="54">
        <v>0</v>
      </c>
      <c r="BF273" s="6">
        <v>21</v>
      </c>
      <c r="BG273" s="6">
        <v>9</v>
      </c>
      <c r="BH273" s="1">
        <v>0</v>
      </c>
      <c r="BI273" s="6">
        <v>0</v>
      </c>
      <c r="BJ273" s="1" t="s">
        <v>22</v>
      </c>
      <c r="BK273" s="1" t="s">
        <v>22</v>
      </c>
      <c r="BL273" s="1" t="s">
        <v>22</v>
      </c>
      <c r="BM273" s="1" t="s">
        <v>22</v>
      </c>
      <c r="BN273" t="s">
        <v>24</v>
      </c>
      <c r="BO273">
        <v>2582</v>
      </c>
    </row>
    <row r="274" spans="1:67" x14ac:dyDescent="0.25">
      <c r="A274" s="4">
        <f>INT(Tabela1[[#This Row],[Data e Hora]])</f>
        <v>46288</v>
      </c>
      <c r="B274" s="4" t="str">
        <f>UPPER(TEXT(Tabela1[[#This Row],[Data Corrigida]],"MMM"))</f>
        <v>SET</v>
      </c>
      <c r="C274" s="57" t="s">
        <v>814</v>
      </c>
      <c r="D274" t="s">
        <v>815</v>
      </c>
      <c r="E274" t="s">
        <v>816</v>
      </c>
      <c r="F274" t="s">
        <v>19</v>
      </c>
      <c r="G274" s="5" t="s">
        <v>817</v>
      </c>
      <c r="H274" t="s">
        <v>20</v>
      </c>
      <c r="I274" t="s">
        <v>21</v>
      </c>
      <c r="J274" s="1">
        <v>100</v>
      </c>
      <c r="K274" s="1">
        <v>2765</v>
      </c>
      <c r="L274" t="s">
        <v>23</v>
      </c>
      <c r="M274" s="1">
        <v>51</v>
      </c>
      <c r="N274" s="48">
        <v>51</v>
      </c>
      <c r="O274" s="1">
        <v>14</v>
      </c>
      <c r="P274" s="48">
        <v>14.000000000000002</v>
      </c>
      <c r="Q274" s="1">
        <v>0</v>
      </c>
      <c r="R274" s="1">
        <v>0</v>
      </c>
      <c r="S274" s="1">
        <v>3</v>
      </c>
      <c r="T274" s="1">
        <v>3</v>
      </c>
      <c r="U274" s="1">
        <v>1</v>
      </c>
      <c r="V274" s="1">
        <v>1</v>
      </c>
      <c r="W274" s="1">
        <v>6</v>
      </c>
      <c r="X274" s="1">
        <v>30</v>
      </c>
      <c r="Y274" s="1">
        <v>2</v>
      </c>
      <c r="Z274" s="3">
        <v>1</v>
      </c>
      <c r="AA274" s="1">
        <v>3</v>
      </c>
      <c r="AB274" s="3">
        <v>3</v>
      </c>
      <c r="AC274" s="1">
        <v>0</v>
      </c>
      <c r="AD274" s="3">
        <v>0</v>
      </c>
      <c r="AE274" s="1">
        <v>2</v>
      </c>
      <c r="AF274" s="3">
        <v>2</v>
      </c>
      <c r="AG274" s="1">
        <v>4</v>
      </c>
      <c r="AH274" s="3">
        <v>4</v>
      </c>
      <c r="AI274" s="1" t="s">
        <v>22</v>
      </c>
      <c r="AJ274" s="1">
        <v>2</v>
      </c>
      <c r="AK274" s="3">
        <v>2</v>
      </c>
      <c r="AL274" s="1">
        <v>2</v>
      </c>
      <c r="AM274" s="3">
        <v>2</v>
      </c>
      <c r="AN274" s="1" t="s">
        <v>22</v>
      </c>
      <c r="AO274" s="1">
        <v>4</v>
      </c>
      <c r="AP274" s="3">
        <v>4</v>
      </c>
      <c r="AQ274" s="3">
        <v>3</v>
      </c>
      <c r="AR274" s="3">
        <v>3</v>
      </c>
      <c r="AS274" s="1">
        <v>6</v>
      </c>
      <c r="AT274" s="3">
        <v>6</v>
      </c>
      <c r="AU274" s="1">
        <v>3</v>
      </c>
      <c r="AV274" s="3">
        <v>3</v>
      </c>
      <c r="AW274" s="1" t="s">
        <v>22</v>
      </c>
      <c r="AX274" s="1">
        <v>21</v>
      </c>
      <c r="AY274" s="1">
        <v>0</v>
      </c>
      <c r="AZ274" s="1">
        <v>0</v>
      </c>
      <c r="BA274" s="1">
        <v>42</v>
      </c>
      <c r="BB274" s="1">
        <v>0</v>
      </c>
      <c r="BC274" s="1">
        <v>0</v>
      </c>
      <c r="BD274" s="1">
        <v>0</v>
      </c>
      <c r="BE274" s="54">
        <v>0</v>
      </c>
      <c r="BF274" s="6">
        <v>23</v>
      </c>
      <c r="BG274" s="6">
        <v>20</v>
      </c>
      <c r="BH274" s="1">
        <v>1</v>
      </c>
      <c r="BI274" s="6">
        <v>10</v>
      </c>
      <c r="BJ274" s="1" t="s">
        <v>22</v>
      </c>
      <c r="BK274" s="6">
        <v>0</v>
      </c>
      <c r="BL274" s="6">
        <v>0</v>
      </c>
      <c r="BM274" s="1">
        <v>1</v>
      </c>
      <c r="BN274" t="s">
        <v>24</v>
      </c>
      <c r="BO274">
        <v>1699</v>
      </c>
    </row>
    <row r="275" spans="1:67" x14ac:dyDescent="0.25">
      <c r="A275" s="4">
        <f>INT(Tabela1[[#This Row],[Data e Hora]])</f>
        <v>46288</v>
      </c>
      <c r="B275" s="4" t="str">
        <f>UPPER(TEXT(Tabela1[[#This Row],[Data Corrigida]],"MMM"))</f>
        <v>SET</v>
      </c>
      <c r="C275" t="s">
        <v>818</v>
      </c>
      <c r="D275" t="s">
        <v>819</v>
      </c>
      <c r="E275" t="s">
        <v>816</v>
      </c>
      <c r="F275" t="s">
        <v>19</v>
      </c>
      <c r="G275" s="5" t="s">
        <v>817</v>
      </c>
      <c r="H275" t="s">
        <v>20</v>
      </c>
      <c r="I275" t="s">
        <v>21</v>
      </c>
      <c r="J275" s="1">
        <v>135</v>
      </c>
      <c r="K275" s="1">
        <v>2765</v>
      </c>
      <c r="L275" t="s">
        <v>23</v>
      </c>
      <c r="M275" s="1">
        <v>40</v>
      </c>
      <c r="N275" s="48">
        <v>40</v>
      </c>
      <c r="O275" s="1">
        <v>15</v>
      </c>
      <c r="P275" s="48">
        <v>15</v>
      </c>
      <c r="Q275" s="1">
        <v>0</v>
      </c>
      <c r="R275" s="1">
        <v>0</v>
      </c>
      <c r="S275" s="1">
        <v>4</v>
      </c>
      <c r="T275" s="1">
        <v>4</v>
      </c>
      <c r="U275" s="1">
        <v>1</v>
      </c>
      <c r="V275" s="1">
        <v>1</v>
      </c>
      <c r="W275" s="1">
        <v>3</v>
      </c>
      <c r="X275" s="1">
        <v>15</v>
      </c>
      <c r="Y275" s="1">
        <v>1</v>
      </c>
      <c r="Z275" s="3">
        <v>0.37037037037037041</v>
      </c>
      <c r="AA275" s="1">
        <v>3</v>
      </c>
      <c r="AB275" s="3">
        <v>2.2222222222222223</v>
      </c>
      <c r="AC275" s="1">
        <v>0</v>
      </c>
      <c r="AD275" s="3">
        <v>0</v>
      </c>
      <c r="AE275" s="1">
        <v>2</v>
      </c>
      <c r="AF275" s="3">
        <v>1.4814814814814816</v>
      </c>
      <c r="AG275" s="1">
        <v>6</v>
      </c>
      <c r="AH275" s="3">
        <v>4.4444444444444446</v>
      </c>
      <c r="AI275" s="1" t="s">
        <v>22</v>
      </c>
      <c r="AJ275" s="1">
        <v>3</v>
      </c>
      <c r="AK275" s="3">
        <v>2.2222222222222223</v>
      </c>
      <c r="AL275" s="1">
        <v>2</v>
      </c>
      <c r="AM275" s="3">
        <v>1.4814814814814816</v>
      </c>
      <c r="AN275" s="1" t="s">
        <v>22</v>
      </c>
      <c r="AO275" s="1">
        <v>5</v>
      </c>
      <c r="AP275" s="3">
        <v>3.7037037037037033</v>
      </c>
      <c r="AQ275" s="3">
        <v>2</v>
      </c>
      <c r="AR275" s="3">
        <v>1.4814814814814816</v>
      </c>
      <c r="AS275" s="1">
        <v>9</v>
      </c>
      <c r="AT275" s="3">
        <v>6.666666666666667</v>
      </c>
      <c r="AU275" s="1">
        <v>2</v>
      </c>
      <c r="AV275" s="3">
        <v>1.4814814814814816</v>
      </c>
      <c r="AW275" s="1" t="s">
        <v>22</v>
      </c>
      <c r="AX275" s="1">
        <v>15</v>
      </c>
      <c r="AY275" s="1">
        <v>0</v>
      </c>
      <c r="AZ275" s="1">
        <v>0</v>
      </c>
      <c r="BA275" s="1">
        <v>30</v>
      </c>
      <c r="BB275" s="1">
        <v>0</v>
      </c>
      <c r="BC275" s="1">
        <v>0</v>
      </c>
      <c r="BD275" s="1">
        <v>0</v>
      </c>
      <c r="BE275" s="54">
        <v>0</v>
      </c>
      <c r="BF275" s="6">
        <v>19</v>
      </c>
      <c r="BG275" s="6">
        <v>17</v>
      </c>
      <c r="BH275" s="1">
        <v>1</v>
      </c>
      <c r="BI275" s="6">
        <v>10</v>
      </c>
      <c r="BJ275" s="1" t="s">
        <v>22</v>
      </c>
      <c r="BK275" s="6">
        <v>2</v>
      </c>
      <c r="BL275" s="6">
        <v>0</v>
      </c>
      <c r="BM275" s="1">
        <v>1</v>
      </c>
      <c r="BN275" t="s">
        <v>24</v>
      </c>
      <c r="BO275">
        <v>2096</v>
      </c>
    </row>
    <row r="276" spans="1:67" x14ac:dyDescent="0.25">
      <c r="A276" s="4">
        <f>INT(Tabela1[[#This Row],[Data e Hora]])</f>
        <v>46288</v>
      </c>
      <c r="B276" s="4" t="str">
        <f>UPPER(TEXT(Tabela1[[#This Row],[Data Corrigida]],"MMM"))</f>
        <v>SET</v>
      </c>
      <c r="C276" t="s">
        <v>820</v>
      </c>
      <c r="D276" t="s">
        <v>821</v>
      </c>
      <c r="E276" t="s">
        <v>816</v>
      </c>
      <c r="F276" t="s">
        <v>19</v>
      </c>
      <c r="G276" s="5" t="s">
        <v>817</v>
      </c>
      <c r="H276" t="s">
        <v>20</v>
      </c>
      <c r="I276" t="s">
        <v>21</v>
      </c>
      <c r="J276" s="1">
        <v>110</v>
      </c>
      <c r="K276" s="1">
        <v>2732</v>
      </c>
      <c r="L276" t="s">
        <v>23</v>
      </c>
      <c r="M276" s="1">
        <v>25</v>
      </c>
      <c r="N276" s="48">
        <v>25</v>
      </c>
      <c r="O276" s="1">
        <v>8</v>
      </c>
      <c r="P276" s="48">
        <v>8</v>
      </c>
      <c r="Q276" s="1">
        <v>0</v>
      </c>
      <c r="R276" s="1">
        <v>0</v>
      </c>
      <c r="S276" s="1">
        <v>4</v>
      </c>
      <c r="T276" s="1">
        <v>4</v>
      </c>
      <c r="U276" s="1">
        <v>1</v>
      </c>
      <c r="V276" s="1">
        <v>1</v>
      </c>
      <c r="W276" s="1">
        <v>0</v>
      </c>
      <c r="X276" s="1">
        <v>0</v>
      </c>
      <c r="Y276" s="1">
        <v>1</v>
      </c>
      <c r="Z276" s="3">
        <v>0.45454545454545453</v>
      </c>
      <c r="AA276" s="1">
        <v>8</v>
      </c>
      <c r="AB276" s="3">
        <v>7.2727272727272725</v>
      </c>
      <c r="AC276" s="1">
        <v>0</v>
      </c>
      <c r="AD276" s="3">
        <v>0</v>
      </c>
      <c r="AE276" s="1">
        <v>1</v>
      </c>
      <c r="AF276" s="3">
        <v>0.90909090909090906</v>
      </c>
      <c r="AG276" s="1">
        <v>6</v>
      </c>
      <c r="AH276" s="3">
        <v>5.4545454545454541</v>
      </c>
      <c r="AI276" s="1" t="s">
        <v>22</v>
      </c>
      <c r="AJ276" s="1">
        <v>3</v>
      </c>
      <c r="AK276" s="3">
        <v>2.7272727272727271</v>
      </c>
      <c r="AL276" s="1">
        <v>2</v>
      </c>
      <c r="AM276" s="3">
        <v>1.8181818181818181</v>
      </c>
      <c r="AN276" s="1" t="s">
        <v>22</v>
      </c>
      <c r="AO276" s="1">
        <v>10</v>
      </c>
      <c r="AP276" s="3">
        <v>9.0909090909090917</v>
      </c>
      <c r="AQ276" s="3">
        <v>2</v>
      </c>
      <c r="AR276" s="3">
        <v>1.8181818181818181</v>
      </c>
      <c r="AS276" s="1">
        <v>9</v>
      </c>
      <c r="AT276" s="3">
        <v>8.1818181818181817</v>
      </c>
      <c r="AU276" s="1">
        <v>2</v>
      </c>
      <c r="AV276" s="3">
        <v>1.8181818181818181</v>
      </c>
      <c r="AW276" s="1" t="s">
        <v>22</v>
      </c>
      <c r="AX276" s="1">
        <v>13</v>
      </c>
      <c r="AY276" s="1">
        <v>0</v>
      </c>
      <c r="AZ276" s="1">
        <v>0</v>
      </c>
      <c r="BA276" s="1">
        <v>26</v>
      </c>
      <c r="BB276" s="1">
        <v>0</v>
      </c>
      <c r="BC276" s="1">
        <v>0</v>
      </c>
      <c r="BD276" s="1">
        <v>0</v>
      </c>
      <c r="BE276" s="54">
        <v>0</v>
      </c>
      <c r="BF276" s="6">
        <v>25</v>
      </c>
      <c r="BG276" s="6">
        <v>19</v>
      </c>
      <c r="BH276" s="1">
        <v>1</v>
      </c>
      <c r="BI276" s="6">
        <v>10</v>
      </c>
      <c r="BJ276" s="1" t="s">
        <v>22</v>
      </c>
      <c r="BK276" s="1" t="s">
        <v>22</v>
      </c>
      <c r="BL276" s="1" t="s">
        <v>22</v>
      </c>
      <c r="BM276" s="1" t="s">
        <v>22</v>
      </c>
      <c r="BN276" t="s">
        <v>24</v>
      </c>
      <c r="BO276">
        <v>1705</v>
      </c>
    </row>
    <row r="277" spans="1:67" x14ac:dyDescent="0.25">
      <c r="A277" s="4">
        <f>INT(Tabela1[[#This Row],[Data e Hora]])</f>
        <v>46288</v>
      </c>
      <c r="B277" s="4" t="str">
        <f>UPPER(TEXT(Tabela1[[#This Row],[Data Corrigida]],"MMM"))</f>
        <v>SET</v>
      </c>
      <c r="C277" t="s">
        <v>822</v>
      </c>
      <c r="D277" t="s">
        <v>823</v>
      </c>
      <c r="E277" t="s">
        <v>816</v>
      </c>
      <c r="F277" t="s">
        <v>19</v>
      </c>
      <c r="G277" s="5" t="s">
        <v>817</v>
      </c>
      <c r="H277" t="s">
        <v>20</v>
      </c>
      <c r="I277" t="s">
        <v>21</v>
      </c>
      <c r="J277" s="1">
        <v>125</v>
      </c>
      <c r="K277" s="1">
        <v>2762</v>
      </c>
      <c r="L277" t="s">
        <v>23</v>
      </c>
      <c r="M277" s="1">
        <v>33</v>
      </c>
      <c r="N277" s="48">
        <v>33</v>
      </c>
      <c r="O277" s="1">
        <v>12</v>
      </c>
      <c r="P277" s="48">
        <v>12</v>
      </c>
      <c r="Q277" s="1">
        <v>0</v>
      </c>
      <c r="R277" s="1">
        <v>0</v>
      </c>
      <c r="S277" s="1">
        <v>1</v>
      </c>
      <c r="T277" s="1">
        <v>1</v>
      </c>
      <c r="U277" s="1">
        <v>1</v>
      </c>
      <c r="V277" s="1">
        <v>1</v>
      </c>
      <c r="W277" s="1">
        <v>2</v>
      </c>
      <c r="X277" s="1">
        <v>10</v>
      </c>
      <c r="Y277" s="1">
        <v>1</v>
      </c>
      <c r="Z277" s="3">
        <v>0.4</v>
      </c>
      <c r="AA277" s="1">
        <v>8</v>
      </c>
      <c r="AB277" s="3">
        <v>6.4</v>
      </c>
      <c r="AC277" s="1">
        <v>0</v>
      </c>
      <c r="AD277" s="3">
        <v>0</v>
      </c>
      <c r="AE277" s="1">
        <v>2</v>
      </c>
      <c r="AF277" s="3">
        <v>1.6</v>
      </c>
      <c r="AG277" s="1">
        <v>6</v>
      </c>
      <c r="AH277" s="3">
        <v>4.8</v>
      </c>
      <c r="AI277" s="1" t="s">
        <v>22</v>
      </c>
      <c r="AJ277" s="1">
        <v>3</v>
      </c>
      <c r="AK277" s="3">
        <v>2.4</v>
      </c>
      <c r="AL277" s="1">
        <v>2</v>
      </c>
      <c r="AM277" s="3">
        <v>1.6</v>
      </c>
      <c r="AN277" s="1" t="s">
        <v>22</v>
      </c>
      <c r="AO277" s="1">
        <v>9</v>
      </c>
      <c r="AP277" s="3">
        <v>7.1999999999999993</v>
      </c>
      <c r="AQ277" s="3">
        <v>4</v>
      </c>
      <c r="AR277" s="3">
        <v>3.2</v>
      </c>
      <c r="AS277" s="1">
        <v>7</v>
      </c>
      <c r="AT277" s="3">
        <v>5.6000000000000005</v>
      </c>
      <c r="AU277" s="1">
        <v>2</v>
      </c>
      <c r="AV277" s="3">
        <v>1.6</v>
      </c>
      <c r="AW277" s="1" t="s">
        <v>22</v>
      </c>
      <c r="AX277" s="1">
        <v>15</v>
      </c>
      <c r="AY277" s="1">
        <v>0</v>
      </c>
      <c r="AZ277" s="1">
        <v>0</v>
      </c>
      <c r="BA277" s="1">
        <v>30</v>
      </c>
      <c r="BB277" s="1">
        <v>0</v>
      </c>
      <c r="BC277" s="1">
        <v>0</v>
      </c>
      <c r="BD277" s="1">
        <v>0</v>
      </c>
      <c r="BE277" s="54">
        <v>0</v>
      </c>
      <c r="BF277" s="6">
        <v>26</v>
      </c>
      <c r="BG277" s="6">
        <v>23</v>
      </c>
      <c r="BH277" s="1">
        <v>1</v>
      </c>
      <c r="BI277" s="6">
        <v>10</v>
      </c>
      <c r="BJ277" s="1" t="s">
        <v>22</v>
      </c>
      <c r="BK277" s="1" t="s">
        <v>22</v>
      </c>
      <c r="BL277" s="1" t="s">
        <v>22</v>
      </c>
      <c r="BM277" s="1" t="s">
        <v>22</v>
      </c>
      <c r="BN277" t="s">
        <v>24</v>
      </c>
      <c r="BO277">
        <v>1695</v>
      </c>
    </row>
    <row r="278" spans="1:67" x14ac:dyDescent="0.25">
      <c r="A278" s="4">
        <f>INT(Tabela1[[#This Row],[Data e Hora]])</f>
        <v>46287</v>
      </c>
      <c r="B278" s="4" t="str">
        <f>UPPER(TEXT(Tabela1[[#This Row],[Data Corrigida]],"MMM"))</f>
        <v>SET</v>
      </c>
      <c r="C278" t="s">
        <v>824</v>
      </c>
      <c r="D278" t="s">
        <v>825</v>
      </c>
      <c r="E278" t="s">
        <v>826</v>
      </c>
      <c r="F278" t="s">
        <v>19</v>
      </c>
      <c r="G278" s="5" t="s">
        <v>827</v>
      </c>
      <c r="H278" t="s">
        <v>20</v>
      </c>
      <c r="I278" t="s">
        <v>33</v>
      </c>
      <c r="J278" s="1">
        <v>151</v>
      </c>
      <c r="K278" s="1">
        <v>2762</v>
      </c>
      <c r="L278" t="s">
        <v>34</v>
      </c>
      <c r="M278" s="1">
        <v>20</v>
      </c>
      <c r="N278" s="48">
        <v>20</v>
      </c>
      <c r="O278" s="1">
        <v>5</v>
      </c>
      <c r="P278" s="48">
        <v>5</v>
      </c>
      <c r="Q278" s="1">
        <v>0</v>
      </c>
      <c r="R278" s="1">
        <v>0</v>
      </c>
      <c r="S278" s="1">
        <v>1</v>
      </c>
      <c r="T278" s="1">
        <v>1</v>
      </c>
      <c r="U278" s="1">
        <v>1</v>
      </c>
      <c r="V278" s="1">
        <v>1</v>
      </c>
      <c r="W278" s="1">
        <v>0</v>
      </c>
      <c r="X278" s="1">
        <v>0</v>
      </c>
      <c r="Y278" s="1">
        <v>6</v>
      </c>
      <c r="Z278" s="3">
        <v>1.9867549668874174</v>
      </c>
      <c r="AA278" s="1">
        <v>5</v>
      </c>
      <c r="AB278" s="3">
        <v>3.3112582781456954</v>
      </c>
      <c r="AC278" s="1">
        <v>0</v>
      </c>
      <c r="AD278" s="3">
        <v>0</v>
      </c>
      <c r="AE278" s="1">
        <v>1</v>
      </c>
      <c r="AF278" s="3">
        <v>0.66225165562913912</v>
      </c>
      <c r="AG278" s="1">
        <v>2</v>
      </c>
      <c r="AH278" s="3">
        <v>1.3245033112582782</v>
      </c>
      <c r="AI278" s="1" t="s">
        <v>22</v>
      </c>
      <c r="AJ278" s="1">
        <v>0</v>
      </c>
      <c r="AK278" s="3">
        <v>0</v>
      </c>
      <c r="AL278" s="1">
        <v>0</v>
      </c>
      <c r="AM278" s="3">
        <v>0</v>
      </c>
      <c r="AN278" s="1" t="s">
        <v>22</v>
      </c>
      <c r="AO278" s="1">
        <v>6</v>
      </c>
      <c r="AP278" s="3">
        <v>3.9735099337748347</v>
      </c>
      <c r="AQ278" s="3">
        <v>4</v>
      </c>
      <c r="AR278" s="3">
        <v>2.6490066225165565</v>
      </c>
      <c r="AS278" s="1">
        <v>7</v>
      </c>
      <c r="AT278" s="3">
        <v>4.6357615894039732</v>
      </c>
      <c r="AU278" s="1">
        <v>0</v>
      </c>
      <c r="AV278" s="3">
        <v>0</v>
      </c>
      <c r="AW278" s="1" t="s">
        <v>22</v>
      </c>
      <c r="AX278" s="1">
        <v>16</v>
      </c>
      <c r="AY278" s="1">
        <v>0</v>
      </c>
      <c r="AZ278" s="1">
        <v>0</v>
      </c>
      <c r="BA278" s="1">
        <v>32</v>
      </c>
      <c r="BB278" s="1">
        <v>0</v>
      </c>
      <c r="BC278" s="1">
        <v>0</v>
      </c>
      <c r="BD278" s="1">
        <v>0</v>
      </c>
      <c r="BE278" s="54">
        <v>0</v>
      </c>
      <c r="BF278" s="6">
        <v>20</v>
      </c>
      <c r="BG278" s="6">
        <v>18</v>
      </c>
      <c r="BH278" s="1">
        <v>0</v>
      </c>
      <c r="BI278" s="6">
        <v>0</v>
      </c>
      <c r="BJ278" s="1" t="s">
        <v>22</v>
      </c>
      <c r="BK278" s="6">
        <v>0</v>
      </c>
      <c r="BL278" s="6">
        <v>0</v>
      </c>
      <c r="BM278" s="1">
        <v>0</v>
      </c>
      <c r="BN278" t="s">
        <v>24</v>
      </c>
      <c r="BO278">
        <v>274</v>
      </c>
    </row>
    <row r="279" spans="1:67" x14ac:dyDescent="0.25">
      <c r="A279" s="4">
        <f>INT(Tabela1[[#This Row],[Data e Hora]])</f>
        <v>46287</v>
      </c>
      <c r="B279" s="4" t="str">
        <f>UPPER(TEXT(Tabela1[[#This Row],[Data Corrigida]],"MMM"))</f>
        <v>SET</v>
      </c>
      <c r="C279" t="s">
        <v>828</v>
      </c>
      <c r="D279" t="s">
        <v>829</v>
      </c>
      <c r="E279" t="s">
        <v>826</v>
      </c>
      <c r="F279" t="s">
        <v>19</v>
      </c>
      <c r="G279" s="5" t="s">
        <v>827</v>
      </c>
      <c r="H279" t="s">
        <v>20</v>
      </c>
      <c r="I279" t="s">
        <v>33</v>
      </c>
      <c r="J279" s="1">
        <v>151</v>
      </c>
      <c r="K279" s="1">
        <v>2758</v>
      </c>
      <c r="L279" t="s">
        <v>34</v>
      </c>
      <c r="M279" s="1">
        <v>25</v>
      </c>
      <c r="N279" s="48">
        <v>25</v>
      </c>
      <c r="O279" s="1">
        <v>9</v>
      </c>
      <c r="P279" s="48">
        <v>9</v>
      </c>
      <c r="Q279" s="1">
        <v>0</v>
      </c>
      <c r="R279" s="1">
        <v>0</v>
      </c>
      <c r="S279" s="1">
        <v>1</v>
      </c>
      <c r="T279" s="1">
        <v>1</v>
      </c>
      <c r="U279" s="1">
        <v>0</v>
      </c>
      <c r="V279" s="1">
        <v>0</v>
      </c>
      <c r="W279" s="1">
        <v>0</v>
      </c>
      <c r="X279" s="1">
        <v>0</v>
      </c>
      <c r="Y279" s="1">
        <v>5</v>
      </c>
      <c r="Z279" s="3">
        <v>1.6556291390728477</v>
      </c>
      <c r="AA279" s="1">
        <v>19</v>
      </c>
      <c r="AB279" s="3">
        <v>12.582781456953644</v>
      </c>
      <c r="AC279" s="1">
        <v>0</v>
      </c>
      <c r="AD279" s="3">
        <v>0</v>
      </c>
      <c r="AE279" s="1">
        <v>1</v>
      </c>
      <c r="AF279" s="3">
        <v>0.66225165562913912</v>
      </c>
      <c r="AG279" s="1">
        <v>4</v>
      </c>
      <c r="AH279" s="3">
        <v>2.6490066225165565</v>
      </c>
      <c r="AI279" s="1" t="s">
        <v>22</v>
      </c>
      <c r="AJ279" s="1">
        <v>0</v>
      </c>
      <c r="AK279" s="3">
        <v>0</v>
      </c>
      <c r="AL279" s="1">
        <v>0</v>
      </c>
      <c r="AM279" s="3">
        <v>0</v>
      </c>
      <c r="AN279" s="1" t="s">
        <v>22</v>
      </c>
      <c r="AO279" s="1">
        <v>6</v>
      </c>
      <c r="AP279" s="3">
        <v>3.9735099337748347</v>
      </c>
      <c r="AQ279" s="3">
        <v>4</v>
      </c>
      <c r="AR279" s="3">
        <v>2.6490066225165565</v>
      </c>
      <c r="AS279" s="1">
        <v>9</v>
      </c>
      <c r="AT279" s="3">
        <v>5.9602649006622519</v>
      </c>
      <c r="AU279" s="1">
        <v>0</v>
      </c>
      <c r="AV279" s="3">
        <v>0</v>
      </c>
      <c r="AW279" s="1" t="s">
        <v>22</v>
      </c>
      <c r="AX279" s="1">
        <v>19</v>
      </c>
      <c r="AY279" s="1">
        <v>0</v>
      </c>
      <c r="AZ279" s="1">
        <v>0</v>
      </c>
      <c r="BA279" s="1">
        <v>38</v>
      </c>
      <c r="BB279" s="1">
        <v>0</v>
      </c>
      <c r="BC279" s="1">
        <v>0</v>
      </c>
      <c r="BD279" s="1">
        <v>3</v>
      </c>
      <c r="BE279" s="54">
        <v>1.9867549668874174</v>
      </c>
      <c r="BF279" s="6">
        <v>25</v>
      </c>
      <c r="BG279" s="6">
        <v>13</v>
      </c>
      <c r="BH279" s="1">
        <v>0</v>
      </c>
      <c r="BI279" s="6">
        <v>0</v>
      </c>
      <c r="BJ279" s="1" t="s">
        <v>22</v>
      </c>
      <c r="BK279" s="6">
        <v>1</v>
      </c>
      <c r="BL279" s="6">
        <v>0</v>
      </c>
      <c r="BM279" s="1">
        <v>0</v>
      </c>
      <c r="BN279" t="s">
        <v>24</v>
      </c>
      <c r="BO279">
        <v>13832</v>
      </c>
    </row>
    <row r="280" spans="1:67" x14ac:dyDescent="0.25">
      <c r="A280" s="4">
        <f>INT(Tabela1[[#This Row],[Data e Hora]])</f>
        <v>46287</v>
      </c>
      <c r="B280" s="4" t="str">
        <f>UPPER(TEXT(Tabela1[[#This Row],[Data Corrigida]],"MMM"))</f>
        <v>SET</v>
      </c>
      <c r="C280" t="s">
        <v>830</v>
      </c>
      <c r="D280" t="s">
        <v>831</v>
      </c>
      <c r="E280" t="s">
        <v>832</v>
      </c>
      <c r="F280" t="s">
        <v>19</v>
      </c>
      <c r="G280" s="5" t="s">
        <v>827</v>
      </c>
      <c r="H280" t="s">
        <v>20</v>
      </c>
      <c r="I280" t="s">
        <v>33</v>
      </c>
      <c r="J280" s="1">
        <v>151</v>
      </c>
      <c r="K280" s="1">
        <v>2758</v>
      </c>
      <c r="L280" t="s">
        <v>34</v>
      </c>
      <c r="M280" s="1">
        <v>21</v>
      </c>
      <c r="N280" s="48">
        <v>21</v>
      </c>
      <c r="O280" s="1">
        <v>4</v>
      </c>
      <c r="P280" s="48">
        <v>4</v>
      </c>
      <c r="Q280" s="1">
        <v>1</v>
      </c>
      <c r="R280" s="1">
        <v>10</v>
      </c>
      <c r="S280" s="1">
        <v>1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3</v>
      </c>
      <c r="Z280" s="3">
        <v>0.99337748344370869</v>
      </c>
      <c r="AA280" s="1">
        <v>6</v>
      </c>
      <c r="AB280" s="3">
        <v>3.9735099337748347</v>
      </c>
      <c r="AC280" s="1">
        <v>0</v>
      </c>
      <c r="AD280" s="3">
        <v>0</v>
      </c>
      <c r="AE280" s="1">
        <v>2</v>
      </c>
      <c r="AF280" s="3">
        <v>1.3245033112582782</v>
      </c>
      <c r="AG280" s="1">
        <v>3</v>
      </c>
      <c r="AH280" s="3">
        <v>1.9867549668874174</v>
      </c>
      <c r="AI280" s="1" t="s">
        <v>22</v>
      </c>
      <c r="AJ280" s="1">
        <v>1</v>
      </c>
      <c r="AK280" s="3">
        <v>0.66225165562913912</v>
      </c>
      <c r="AL280" s="1">
        <v>0</v>
      </c>
      <c r="AM280" s="3">
        <v>0</v>
      </c>
      <c r="AN280" s="1" t="s">
        <v>22</v>
      </c>
      <c r="AO280" s="1">
        <v>7</v>
      </c>
      <c r="AP280" s="3">
        <v>4.6357615894039732</v>
      </c>
      <c r="AQ280" s="3" t="s">
        <v>22</v>
      </c>
      <c r="AR280" s="3" t="s">
        <v>22</v>
      </c>
      <c r="AS280" s="1">
        <v>5</v>
      </c>
      <c r="AT280" s="3">
        <v>3.3112582781456954</v>
      </c>
      <c r="AU280" s="1">
        <v>0</v>
      </c>
      <c r="AV280" s="3">
        <v>0</v>
      </c>
      <c r="AW280" s="1" t="s">
        <v>22</v>
      </c>
      <c r="AX280" s="1">
        <v>16</v>
      </c>
      <c r="AY280" s="1">
        <v>2</v>
      </c>
      <c r="AZ280" s="1">
        <v>2</v>
      </c>
      <c r="BA280" s="1">
        <v>32</v>
      </c>
      <c r="BB280" s="1">
        <v>4</v>
      </c>
      <c r="BC280" s="1">
        <v>4</v>
      </c>
      <c r="BD280" s="1">
        <v>1</v>
      </c>
      <c r="BE280" s="54">
        <v>0.66225165562913912</v>
      </c>
      <c r="BF280" s="6">
        <v>20</v>
      </c>
      <c r="BG280" s="6">
        <v>17</v>
      </c>
      <c r="BH280" s="1">
        <v>0</v>
      </c>
      <c r="BI280" s="6">
        <v>0</v>
      </c>
      <c r="BJ280" s="1" t="s">
        <v>22</v>
      </c>
      <c r="BK280" s="6">
        <v>0</v>
      </c>
      <c r="BL280" s="6">
        <v>0</v>
      </c>
      <c r="BM280" s="1">
        <v>0</v>
      </c>
      <c r="BN280" t="s">
        <v>24</v>
      </c>
      <c r="BO280">
        <v>9164</v>
      </c>
    </row>
    <row r="281" spans="1:67" x14ac:dyDescent="0.25">
      <c r="A281" s="4">
        <f>INT(Tabela1[[#This Row],[Data e Hora]])</f>
        <v>46287</v>
      </c>
      <c r="B281" s="4" t="str">
        <f>UPPER(TEXT(Tabela1[[#This Row],[Data Corrigida]],"MMM"))</f>
        <v>SET</v>
      </c>
      <c r="C281" t="s">
        <v>833</v>
      </c>
      <c r="D281" t="s">
        <v>834</v>
      </c>
      <c r="E281" t="s">
        <v>835</v>
      </c>
      <c r="F281" t="s">
        <v>19</v>
      </c>
      <c r="G281" s="5" t="s">
        <v>827</v>
      </c>
      <c r="H281" t="s">
        <v>20</v>
      </c>
      <c r="I281" t="s">
        <v>21</v>
      </c>
      <c r="J281" s="1">
        <v>151</v>
      </c>
      <c r="K281" s="1">
        <v>285</v>
      </c>
      <c r="L281" t="s">
        <v>23</v>
      </c>
      <c r="M281" s="1">
        <v>35</v>
      </c>
      <c r="N281" s="48">
        <v>35</v>
      </c>
      <c r="O281" s="1">
        <v>9</v>
      </c>
      <c r="P281" s="48">
        <v>9</v>
      </c>
      <c r="Q281" s="1">
        <v>0</v>
      </c>
      <c r="R281" s="1">
        <v>0</v>
      </c>
      <c r="S281" s="1">
        <v>3</v>
      </c>
      <c r="T281" s="1">
        <v>3</v>
      </c>
      <c r="U281" s="1">
        <v>1</v>
      </c>
      <c r="V281" s="1">
        <v>1</v>
      </c>
      <c r="W281" s="1">
        <v>0</v>
      </c>
      <c r="X281" s="1">
        <v>0</v>
      </c>
      <c r="Y281" s="1">
        <v>1</v>
      </c>
      <c r="Z281" s="3">
        <v>0.33112582781456956</v>
      </c>
      <c r="AA281" s="1">
        <v>8</v>
      </c>
      <c r="AB281" s="3">
        <v>5.298013245033113</v>
      </c>
      <c r="AC281" s="1">
        <v>0</v>
      </c>
      <c r="AD281" s="3">
        <v>0</v>
      </c>
      <c r="AE281" s="1">
        <v>2</v>
      </c>
      <c r="AF281" s="3">
        <v>1.3245033112582782</v>
      </c>
      <c r="AG281" s="1">
        <v>7</v>
      </c>
      <c r="AH281" s="3">
        <v>4.6357615894039732</v>
      </c>
      <c r="AI281" s="1" t="s">
        <v>22</v>
      </c>
      <c r="AJ281" s="1">
        <v>5</v>
      </c>
      <c r="AK281" s="3">
        <v>3.3112582781456954</v>
      </c>
      <c r="AL281" s="1">
        <v>2</v>
      </c>
      <c r="AM281" s="3">
        <v>1.3245033112582782</v>
      </c>
      <c r="AN281" s="1" t="s">
        <v>22</v>
      </c>
      <c r="AO281" s="1">
        <v>9</v>
      </c>
      <c r="AP281" s="3">
        <v>5.9602649006622519</v>
      </c>
      <c r="AQ281" s="3">
        <v>4</v>
      </c>
      <c r="AR281" s="3">
        <v>2.6490066225165565</v>
      </c>
      <c r="AS281" s="1">
        <v>7</v>
      </c>
      <c r="AT281" s="3">
        <v>4.6357615894039732</v>
      </c>
      <c r="AU281" s="1">
        <v>2</v>
      </c>
      <c r="AV281" s="3">
        <v>1.3245033112582782</v>
      </c>
      <c r="AW281" s="1" t="s">
        <v>22</v>
      </c>
      <c r="AX281" s="1">
        <v>19</v>
      </c>
      <c r="AY281" s="1">
        <v>0</v>
      </c>
      <c r="AZ281" s="1">
        <v>0</v>
      </c>
      <c r="BA281" s="1">
        <v>38</v>
      </c>
      <c r="BB281" s="1">
        <v>0</v>
      </c>
      <c r="BC281" s="1">
        <v>0</v>
      </c>
      <c r="BD281" s="1">
        <v>0</v>
      </c>
      <c r="BE281" s="54">
        <v>0</v>
      </c>
      <c r="BF281" s="6">
        <v>21</v>
      </c>
      <c r="BG281" s="6">
        <v>16</v>
      </c>
      <c r="BH281" s="1">
        <v>0</v>
      </c>
      <c r="BI281" s="6">
        <v>0</v>
      </c>
      <c r="BJ281" s="1" t="s">
        <v>22</v>
      </c>
      <c r="BK281" s="6">
        <v>0</v>
      </c>
      <c r="BL281" s="6">
        <v>0</v>
      </c>
      <c r="BM281" s="1">
        <v>1</v>
      </c>
      <c r="BN281" t="s">
        <v>22</v>
      </c>
      <c r="BO281">
        <v>1400</v>
      </c>
    </row>
    <row r="282" spans="1:67" x14ac:dyDescent="0.25">
      <c r="A282" s="4">
        <f>INT(Tabela1[[#This Row],[Data e Hora]])</f>
        <v>46287</v>
      </c>
      <c r="B282" s="4" t="str">
        <f>UPPER(TEXT(Tabela1[[#This Row],[Data Corrigida]],"MMM"))</f>
        <v>SET</v>
      </c>
      <c r="C282" t="s">
        <v>836</v>
      </c>
      <c r="D282" t="s">
        <v>837</v>
      </c>
      <c r="E282" t="s">
        <v>835</v>
      </c>
      <c r="F282" t="s">
        <v>19</v>
      </c>
      <c r="G282" s="5" t="s">
        <v>827</v>
      </c>
      <c r="H282" t="s">
        <v>20</v>
      </c>
      <c r="I282" t="s">
        <v>21</v>
      </c>
      <c r="J282" s="1">
        <v>151</v>
      </c>
      <c r="K282" s="1">
        <v>2856</v>
      </c>
      <c r="L282" t="s">
        <v>23</v>
      </c>
      <c r="M282" s="1">
        <v>39</v>
      </c>
      <c r="N282" s="48">
        <v>39</v>
      </c>
      <c r="O282" s="1">
        <v>25</v>
      </c>
      <c r="P282" s="48">
        <v>25</v>
      </c>
      <c r="Q282" s="1">
        <v>0</v>
      </c>
      <c r="R282" s="1">
        <v>0</v>
      </c>
      <c r="S282" s="1">
        <v>2</v>
      </c>
      <c r="T282" s="1">
        <v>2</v>
      </c>
      <c r="U282" s="1">
        <v>1</v>
      </c>
      <c r="V282" s="1">
        <v>1</v>
      </c>
      <c r="W282" s="1">
        <v>0</v>
      </c>
      <c r="X282" s="1">
        <v>0</v>
      </c>
      <c r="Y282" s="1">
        <v>1</v>
      </c>
      <c r="Z282" s="3">
        <v>0.33112582781456956</v>
      </c>
      <c r="AA282" s="1">
        <v>10</v>
      </c>
      <c r="AB282" s="3">
        <v>6.6225165562913908</v>
      </c>
      <c r="AC282" s="1">
        <v>0</v>
      </c>
      <c r="AD282" s="3">
        <v>0</v>
      </c>
      <c r="AE282" s="1">
        <v>2</v>
      </c>
      <c r="AF282" s="3">
        <v>1.3245033112582782</v>
      </c>
      <c r="AG282" s="1">
        <v>8</v>
      </c>
      <c r="AH282" s="3">
        <v>5.298013245033113</v>
      </c>
      <c r="AI282" s="1" t="s">
        <v>22</v>
      </c>
      <c r="AJ282" s="1">
        <v>2</v>
      </c>
      <c r="AK282" s="3">
        <v>1.3245033112582782</v>
      </c>
      <c r="AL282" s="1">
        <v>2</v>
      </c>
      <c r="AM282" s="3">
        <v>1.3245033112582782</v>
      </c>
      <c r="AN282" s="1" t="s">
        <v>22</v>
      </c>
      <c r="AO282" s="1">
        <v>10</v>
      </c>
      <c r="AP282" s="3">
        <v>6.6225165562913908</v>
      </c>
      <c r="AQ282" s="3">
        <v>6</v>
      </c>
      <c r="AR282" s="3">
        <v>3.9735099337748347</v>
      </c>
      <c r="AS282" s="1">
        <v>9</v>
      </c>
      <c r="AT282" s="3">
        <v>5.9602649006622519</v>
      </c>
      <c r="AU282" s="1">
        <v>2</v>
      </c>
      <c r="AV282" s="3">
        <v>1.3245033112582782</v>
      </c>
      <c r="AW282" s="1" t="s">
        <v>22</v>
      </c>
      <c r="AX282" s="1">
        <v>15</v>
      </c>
      <c r="AY282" s="1">
        <v>0</v>
      </c>
      <c r="AZ282" s="1">
        <v>0</v>
      </c>
      <c r="BA282" s="1">
        <v>30</v>
      </c>
      <c r="BB282" s="1">
        <v>0</v>
      </c>
      <c r="BC282" s="1">
        <v>0</v>
      </c>
      <c r="BD282" s="1">
        <v>1</v>
      </c>
      <c r="BE282" s="54">
        <v>0.66225165562913912</v>
      </c>
      <c r="BF282" s="6">
        <v>26</v>
      </c>
      <c r="BG282" s="6">
        <v>21</v>
      </c>
      <c r="BH282" s="1">
        <v>1</v>
      </c>
      <c r="BI282" s="6">
        <v>10</v>
      </c>
      <c r="BJ282" s="1" t="s">
        <v>22</v>
      </c>
      <c r="BK282" s="1" t="s">
        <v>22</v>
      </c>
      <c r="BL282" s="1" t="s">
        <v>22</v>
      </c>
      <c r="BM282" s="1" t="s">
        <v>22</v>
      </c>
      <c r="BN282" t="s">
        <v>24</v>
      </c>
      <c r="BO282">
        <v>2114</v>
      </c>
    </row>
    <row r="283" spans="1:67" x14ac:dyDescent="0.25">
      <c r="A283" s="4">
        <f>INT(Tabela1[[#This Row],[Data e Hora]])</f>
        <v>46287</v>
      </c>
      <c r="B283" s="4" t="str">
        <f>UPPER(TEXT(Tabela1[[#This Row],[Data Corrigida]],"MMM"))</f>
        <v>SET</v>
      </c>
      <c r="C283" t="s">
        <v>838</v>
      </c>
      <c r="D283" t="s">
        <v>839</v>
      </c>
      <c r="E283" t="s">
        <v>835</v>
      </c>
      <c r="F283" t="s">
        <v>19</v>
      </c>
      <c r="G283" s="5" t="s">
        <v>827</v>
      </c>
      <c r="H283" t="s">
        <v>20</v>
      </c>
      <c r="I283" t="s">
        <v>21</v>
      </c>
      <c r="J283" s="1">
        <v>146</v>
      </c>
      <c r="K283" s="1">
        <v>2842</v>
      </c>
      <c r="L283" t="s">
        <v>23</v>
      </c>
      <c r="M283" s="1">
        <v>29</v>
      </c>
      <c r="N283" s="48">
        <v>28.999999999999996</v>
      </c>
      <c r="O283" s="1">
        <v>7</v>
      </c>
      <c r="P283" s="48">
        <v>7.0000000000000009</v>
      </c>
      <c r="Q283" s="1">
        <v>0</v>
      </c>
      <c r="R283" s="1">
        <v>0</v>
      </c>
      <c r="S283" s="1">
        <v>5</v>
      </c>
      <c r="T283" s="1">
        <v>5</v>
      </c>
      <c r="U283" s="1">
        <v>1</v>
      </c>
      <c r="V283" s="1">
        <v>1</v>
      </c>
      <c r="W283" s="1">
        <v>0</v>
      </c>
      <c r="X283" s="1">
        <v>0</v>
      </c>
      <c r="Y283" s="1">
        <v>3</v>
      </c>
      <c r="Z283" s="3">
        <v>1.0273972602739725</v>
      </c>
      <c r="AA283" s="1">
        <v>5</v>
      </c>
      <c r="AB283" s="3">
        <v>3.4246575342465753</v>
      </c>
      <c r="AC283" s="1">
        <v>0</v>
      </c>
      <c r="AD283" s="3">
        <v>0</v>
      </c>
      <c r="AE283" s="1">
        <v>4</v>
      </c>
      <c r="AF283" s="3">
        <v>2.7397260273972601</v>
      </c>
      <c r="AG283" s="1">
        <v>9</v>
      </c>
      <c r="AH283" s="3">
        <v>6.1643835616438354</v>
      </c>
      <c r="AI283" s="1" t="s">
        <v>22</v>
      </c>
      <c r="AJ283" s="1">
        <v>3</v>
      </c>
      <c r="AK283" s="3">
        <v>2.054794520547945</v>
      </c>
      <c r="AL283" s="1">
        <v>3</v>
      </c>
      <c r="AM283" s="3">
        <v>2.054794520547945</v>
      </c>
      <c r="AN283" s="1" t="s">
        <v>22</v>
      </c>
      <c r="AO283" s="1">
        <v>8</v>
      </c>
      <c r="AP283" s="3">
        <v>5.4794520547945202</v>
      </c>
      <c r="AQ283" s="3">
        <v>2</v>
      </c>
      <c r="AR283" s="3">
        <v>1.3698630136986301</v>
      </c>
      <c r="AS283" s="1">
        <v>9</v>
      </c>
      <c r="AT283" s="3">
        <v>6.1643835616438354</v>
      </c>
      <c r="AU283" s="1">
        <v>2</v>
      </c>
      <c r="AV283" s="3">
        <v>1.3698630136986301</v>
      </c>
      <c r="AW283" s="1" t="s">
        <v>22</v>
      </c>
      <c r="AX283" s="1">
        <v>18</v>
      </c>
      <c r="AY283" s="1">
        <v>0</v>
      </c>
      <c r="AZ283" s="1">
        <v>0</v>
      </c>
      <c r="BA283" s="1">
        <v>36</v>
      </c>
      <c r="BB283" s="1">
        <v>0</v>
      </c>
      <c r="BC283" s="1">
        <v>0</v>
      </c>
      <c r="BD283" s="1">
        <v>2</v>
      </c>
      <c r="BE283" s="54">
        <v>1.3698630136986301</v>
      </c>
      <c r="BF283" s="6">
        <v>25</v>
      </c>
      <c r="BG283" s="6">
        <v>21</v>
      </c>
      <c r="BH283" s="1">
        <v>1</v>
      </c>
      <c r="BI283" s="6">
        <v>10</v>
      </c>
      <c r="BJ283" s="1" t="s">
        <v>22</v>
      </c>
      <c r="BK283" s="6">
        <v>1</v>
      </c>
      <c r="BL283" s="6">
        <v>0</v>
      </c>
      <c r="BM283" s="1">
        <v>1</v>
      </c>
      <c r="BN283" t="s">
        <v>24</v>
      </c>
      <c r="BO283">
        <v>3241</v>
      </c>
    </row>
    <row r="284" spans="1:67" x14ac:dyDescent="0.25">
      <c r="A284" s="4">
        <f>INT(Tabela1[[#This Row],[Data e Hora]])</f>
        <v>46287</v>
      </c>
      <c r="B284" s="4" t="str">
        <f>UPPER(TEXT(Tabela1[[#This Row],[Data Corrigida]],"MMM"))</f>
        <v>SET</v>
      </c>
      <c r="C284" t="s">
        <v>840</v>
      </c>
      <c r="D284" t="s">
        <v>841</v>
      </c>
      <c r="E284" t="s">
        <v>842</v>
      </c>
      <c r="F284" t="s">
        <v>19</v>
      </c>
      <c r="G284" s="5" t="s">
        <v>827</v>
      </c>
      <c r="H284" t="s">
        <v>20</v>
      </c>
      <c r="I284" t="s">
        <v>21</v>
      </c>
      <c r="J284" s="1">
        <v>130</v>
      </c>
      <c r="K284" s="1">
        <v>2918</v>
      </c>
      <c r="L284" t="s">
        <v>23</v>
      </c>
      <c r="M284" s="1">
        <v>30</v>
      </c>
      <c r="N284" s="48">
        <v>30</v>
      </c>
      <c r="O284" s="1">
        <v>9</v>
      </c>
      <c r="P284" s="48">
        <v>9</v>
      </c>
      <c r="Q284" s="1">
        <v>0</v>
      </c>
      <c r="R284" s="1">
        <v>0</v>
      </c>
      <c r="S284" s="1">
        <v>2</v>
      </c>
      <c r="T284" s="1">
        <v>2</v>
      </c>
      <c r="U284" s="1">
        <v>1</v>
      </c>
      <c r="V284" s="1">
        <v>1</v>
      </c>
      <c r="W284" s="1">
        <v>0</v>
      </c>
      <c r="X284" s="1">
        <v>0</v>
      </c>
      <c r="Y284" s="1">
        <v>8</v>
      </c>
      <c r="Z284" s="3">
        <v>3.0769230769230771</v>
      </c>
      <c r="AA284" s="1">
        <v>12</v>
      </c>
      <c r="AB284" s="3">
        <v>9.2307692307692317</v>
      </c>
      <c r="AC284" s="1">
        <v>0</v>
      </c>
      <c r="AD284" s="3">
        <v>0</v>
      </c>
      <c r="AE284" s="1">
        <v>2</v>
      </c>
      <c r="AF284" s="3">
        <v>1.5384615384615385</v>
      </c>
      <c r="AG284" s="1">
        <v>7</v>
      </c>
      <c r="AH284" s="3">
        <v>5.384615384615385</v>
      </c>
      <c r="AI284" s="1" t="s">
        <v>22</v>
      </c>
      <c r="AJ284" s="1">
        <v>3</v>
      </c>
      <c r="AK284" s="3">
        <v>2.3076923076923079</v>
      </c>
      <c r="AL284" s="1">
        <v>3</v>
      </c>
      <c r="AM284" s="3">
        <v>2.3076923076923079</v>
      </c>
      <c r="AN284" s="1" t="s">
        <v>22</v>
      </c>
      <c r="AO284" s="1">
        <v>5</v>
      </c>
      <c r="AP284" s="3">
        <v>3.8461538461538463</v>
      </c>
      <c r="AQ284" s="3">
        <v>2</v>
      </c>
      <c r="AR284" s="3">
        <v>1.5384615384615385</v>
      </c>
      <c r="AS284" s="1">
        <v>13</v>
      </c>
      <c r="AT284" s="3">
        <v>10</v>
      </c>
      <c r="AU284" s="1">
        <v>3</v>
      </c>
      <c r="AV284" s="3">
        <v>2.3076923076923079</v>
      </c>
      <c r="AW284" s="1" t="s">
        <v>22</v>
      </c>
      <c r="AX284" s="1">
        <v>20</v>
      </c>
      <c r="AY284" s="1">
        <v>1</v>
      </c>
      <c r="AZ284" s="1">
        <v>1</v>
      </c>
      <c r="BA284" s="1">
        <v>40</v>
      </c>
      <c r="BB284" s="1">
        <v>2</v>
      </c>
      <c r="BC284" s="1">
        <v>2</v>
      </c>
      <c r="BD284" s="1">
        <v>1</v>
      </c>
      <c r="BE284" s="54">
        <v>0.76923076923076927</v>
      </c>
      <c r="BF284" s="6">
        <v>23</v>
      </c>
      <c r="BG284" s="6">
        <v>19</v>
      </c>
      <c r="BH284" s="1">
        <v>0</v>
      </c>
      <c r="BI284" s="6">
        <v>0</v>
      </c>
      <c r="BJ284" s="1" t="s">
        <v>22</v>
      </c>
      <c r="BK284" s="1" t="s">
        <v>22</v>
      </c>
      <c r="BL284" s="1" t="s">
        <v>22</v>
      </c>
      <c r="BM284" s="1" t="s">
        <v>22</v>
      </c>
      <c r="BN284" t="s">
        <v>24</v>
      </c>
      <c r="BO284">
        <v>2959</v>
      </c>
    </row>
    <row r="285" spans="1:67" x14ac:dyDescent="0.25">
      <c r="A285" s="4">
        <f>INT(Tabela1[[#This Row],[Data e Hora]])</f>
        <v>46288</v>
      </c>
      <c r="B285" s="4" t="str">
        <f>UPPER(TEXT(Tabela1[[#This Row],[Data Corrigida]],"MMM"))</f>
        <v>SET</v>
      </c>
      <c r="C285" s="57" t="s">
        <v>843</v>
      </c>
      <c r="D285" t="s">
        <v>844</v>
      </c>
      <c r="E285" t="s">
        <v>845</v>
      </c>
      <c r="F285" t="s">
        <v>19</v>
      </c>
      <c r="G285" s="5" t="s">
        <v>817</v>
      </c>
      <c r="H285" t="s">
        <v>20</v>
      </c>
      <c r="I285" t="s">
        <v>33</v>
      </c>
      <c r="J285" s="1">
        <v>141</v>
      </c>
      <c r="K285" s="1">
        <v>2731</v>
      </c>
      <c r="L285" t="s">
        <v>34</v>
      </c>
      <c r="M285" s="1">
        <v>20</v>
      </c>
      <c r="N285" s="48">
        <v>20</v>
      </c>
      <c r="O285" s="1">
        <v>4</v>
      </c>
      <c r="P285" s="48">
        <v>4</v>
      </c>
      <c r="Q285" s="1">
        <v>0</v>
      </c>
      <c r="R285" s="1">
        <v>0</v>
      </c>
      <c r="S285" s="1">
        <v>1</v>
      </c>
      <c r="T285" s="1">
        <v>1</v>
      </c>
      <c r="U285" s="1">
        <v>0</v>
      </c>
      <c r="V285" s="1">
        <v>0</v>
      </c>
      <c r="W285" s="1">
        <v>0</v>
      </c>
      <c r="X285" s="1">
        <v>0</v>
      </c>
      <c r="Y285" s="1">
        <v>2</v>
      </c>
      <c r="Z285" s="3">
        <v>0.70921985815602839</v>
      </c>
      <c r="AA285" s="1">
        <v>4</v>
      </c>
      <c r="AB285" s="3">
        <v>2.8368794326241136</v>
      </c>
      <c r="AC285" s="1">
        <v>0</v>
      </c>
      <c r="AD285" s="3">
        <v>0</v>
      </c>
      <c r="AE285" s="1">
        <v>1</v>
      </c>
      <c r="AF285" s="3">
        <v>0.70921985815602839</v>
      </c>
      <c r="AG285" s="1">
        <v>3</v>
      </c>
      <c r="AH285" s="3">
        <v>2.1276595744680851</v>
      </c>
      <c r="AI285" s="1" t="s">
        <v>22</v>
      </c>
      <c r="AJ285" s="1">
        <v>0</v>
      </c>
      <c r="AK285" s="3">
        <v>0</v>
      </c>
      <c r="AL285" s="1">
        <v>0</v>
      </c>
      <c r="AM285" s="3">
        <v>0</v>
      </c>
      <c r="AN285" s="1" t="s">
        <v>22</v>
      </c>
      <c r="AO285" s="1">
        <v>4</v>
      </c>
      <c r="AP285" s="3">
        <v>2.8368794326241136</v>
      </c>
      <c r="AQ285" s="3">
        <v>3</v>
      </c>
      <c r="AR285" s="3">
        <v>2.1276595744680851</v>
      </c>
      <c r="AS285" s="1">
        <v>6</v>
      </c>
      <c r="AT285" s="3">
        <v>4.2553191489361701</v>
      </c>
      <c r="AU285" s="1">
        <v>0</v>
      </c>
      <c r="AV285" s="3">
        <v>0</v>
      </c>
      <c r="AW285" s="1" t="s">
        <v>22</v>
      </c>
      <c r="AX285" s="1">
        <v>19</v>
      </c>
      <c r="AY285" s="1">
        <v>0</v>
      </c>
      <c r="AZ285" s="1">
        <v>0</v>
      </c>
      <c r="BA285" s="1">
        <v>38</v>
      </c>
      <c r="BB285" s="1">
        <v>0</v>
      </c>
      <c r="BC285" s="1">
        <v>0</v>
      </c>
      <c r="BD285" s="1">
        <v>0</v>
      </c>
      <c r="BE285" s="54">
        <v>0</v>
      </c>
      <c r="BF285" s="6">
        <v>20</v>
      </c>
      <c r="BG285" s="6">
        <v>17</v>
      </c>
      <c r="BH285" s="1">
        <v>0</v>
      </c>
      <c r="BI285" s="6">
        <v>0</v>
      </c>
      <c r="BJ285" s="1" t="s">
        <v>22</v>
      </c>
      <c r="BK285" s="6">
        <v>0</v>
      </c>
      <c r="BL285" s="6">
        <v>0</v>
      </c>
      <c r="BM285" s="1">
        <v>0</v>
      </c>
      <c r="BN285" t="s">
        <v>24</v>
      </c>
      <c r="BO285">
        <v>227</v>
      </c>
    </row>
    <row r="286" spans="1:67" x14ac:dyDescent="0.25">
      <c r="A286" s="4">
        <f>INT(Tabela1[[#This Row],[Data e Hora]])</f>
        <v>46288</v>
      </c>
      <c r="B286" s="4" t="str">
        <f>UPPER(TEXT(Tabela1[[#This Row],[Data Corrigida]],"MMM"))</f>
        <v>SET</v>
      </c>
      <c r="C286" t="s">
        <v>846</v>
      </c>
      <c r="D286" t="s">
        <v>847</v>
      </c>
      <c r="E286" t="s">
        <v>845</v>
      </c>
      <c r="F286" t="s">
        <v>19</v>
      </c>
      <c r="G286" s="5" t="s">
        <v>817</v>
      </c>
      <c r="H286" t="s">
        <v>20</v>
      </c>
      <c r="I286" t="s">
        <v>33</v>
      </c>
      <c r="J286" s="1">
        <v>145</v>
      </c>
      <c r="K286" s="1">
        <v>2820</v>
      </c>
      <c r="L286" t="s">
        <v>34</v>
      </c>
      <c r="M286" s="1">
        <v>21</v>
      </c>
      <c r="N286" s="48">
        <v>21</v>
      </c>
      <c r="O286" s="1">
        <v>10</v>
      </c>
      <c r="P286" s="48">
        <v>10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6</v>
      </c>
      <c r="Z286" s="3">
        <v>2.0689655172413794</v>
      </c>
      <c r="AA286" s="1">
        <v>8</v>
      </c>
      <c r="AB286" s="3">
        <v>5.5172413793103452</v>
      </c>
      <c r="AC286" s="1">
        <v>0</v>
      </c>
      <c r="AD286" s="3">
        <v>0</v>
      </c>
      <c r="AE286" s="1">
        <v>3</v>
      </c>
      <c r="AF286" s="3">
        <v>2.0689655172413794</v>
      </c>
      <c r="AG286" s="1">
        <v>2</v>
      </c>
      <c r="AH286" s="3">
        <v>1.3793103448275863</v>
      </c>
      <c r="AI286" s="1" t="s">
        <v>22</v>
      </c>
      <c r="AJ286" s="1">
        <v>1</v>
      </c>
      <c r="AK286" s="3">
        <v>0.68965517241379315</v>
      </c>
      <c r="AL286" s="1">
        <v>0</v>
      </c>
      <c r="AM286" s="3">
        <v>0</v>
      </c>
      <c r="AN286" s="1" t="s">
        <v>22</v>
      </c>
      <c r="AO286" s="1">
        <v>8</v>
      </c>
      <c r="AP286" s="3">
        <v>5.5172413793103452</v>
      </c>
      <c r="AQ286" s="3">
        <v>4</v>
      </c>
      <c r="AR286" s="3">
        <v>2.7586206896551726</v>
      </c>
      <c r="AS286" s="1">
        <v>5</v>
      </c>
      <c r="AT286" s="3">
        <v>3.4482758620689653</v>
      </c>
      <c r="AU286" s="1">
        <v>1</v>
      </c>
      <c r="AV286" s="3">
        <v>0.68965517241379315</v>
      </c>
      <c r="AW286" s="1" t="s">
        <v>22</v>
      </c>
      <c r="AX286" s="1">
        <v>20</v>
      </c>
      <c r="AY286" s="1">
        <v>0</v>
      </c>
      <c r="AZ286" s="1">
        <v>0</v>
      </c>
      <c r="BA286" s="1">
        <v>40</v>
      </c>
      <c r="BB286" s="1">
        <v>0</v>
      </c>
      <c r="BC286" s="1">
        <v>0</v>
      </c>
      <c r="BD286" s="1">
        <v>1</v>
      </c>
      <c r="BE286" s="54">
        <v>0.68965517241379315</v>
      </c>
      <c r="BF286" s="6">
        <v>23</v>
      </c>
      <c r="BG286" s="6">
        <v>14</v>
      </c>
      <c r="BH286" s="1">
        <v>0</v>
      </c>
      <c r="BI286" s="6">
        <v>0</v>
      </c>
      <c r="BJ286" s="1" t="s">
        <v>22</v>
      </c>
      <c r="BK286" s="6">
        <v>0</v>
      </c>
      <c r="BL286" s="6">
        <v>0</v>
      </c>
      <c r="BM286" s="1">
        <v>0</v>
      </c>
      <c r="BN286" t="s">
        <v>24</v>
      </c>
      <c r="BO286">
        <v>10475</v>
      </c>
    </row>
    <row r="287" spans="1:67" x14ac:dyDescent="0.25">
      <c r="A287" s="4">
        <f>INT(Tabela1[[#This Row],[Data e Hora]])</f>
        <v>46288</v>
      </c>
      <c r="B287" s="4" t="str">
        <f>UPPER(TEXT(Tabela1[[#This Row],[Data Corrigida]],"MMM"))</f>
        <v>SET</v>
      </c>
      <c r="C287" t="s">
        <v>848</v>
      </c>
      <c r="D287" t="s">
        <v>849</v>
      </c>
      <c r="E287" t="s">
        <v>845</v>
      </c>
      <c r="F287" t="s">
        <v>19</v>
      </c>
      <c r="G287" s="5" t="s">
        <v>817</v>
      </c>
      <c r="H287" t="s">
        <v>20</v>
      </c>
      <c r="I287" t="s">
        <v>33</v>
      </c>
      <c r="J287" s="1">
        <v>79</v>
      </c>
      <c r="K287" s="1">
        <v>2765</v>
      </c>
      <c r="L287" t="s">
        <v>34</v>
      </c>
      <c r="M287" s="1">
        <v>18</v>
      </c>
      <c r="N287" s="48">
        <v>18</v>
      </c>
      <c r="O287" s="1">
        <v>6</v>
      </c>
      <c r="P287" s="48">
        <v>6</v>
      </c>
      <c r="Q287" s="1">
        <v>0</v>
      </c>
      <c r="R287" s="1">
        <v>0</v>
      </c>
      <c r="S287" s="1">
        <v>1</v>
      </c>
      <c r="T287" s="1">
        <v>1</v>
      </c>
      <c r="U287" s="1">
        <v>0</v>
      </c>
      <c r="V287" s="1">
        <v>0</v>
      </c>
      <c r="W287" s="1">
        <v>0</v>
      </c>
      <c r="X287" s="1">
        <v>0</v>
      </c>
      <c r="Y287" s="1">
        <v>5</v>
      </c>
      <c r="Z287" s="3">
        <v>3.1645569620253164</v>
      </c>
      <c r="AA287" s="1">
        <v>1</v>
      </c>
      <c r="AB287" s="3">
        <v>1.2658227848101267</v>
      </c>
      <c r="AC287" s="1">
        <v>0</v>
      </c>
      <c r="AD287" s="3">
        <v>0</v>
      </c>
      <c r="AE287" s="1">
        <v>2</v>
      </c>
      <c r="AF287" s="3">
        <v>2.5316455696202533</v>
      </c>
      <c r="AG287" s="1">
        <v>0</v>
      </c>
      <c r="AH287" s="3">
        <v>0</v>
      </c>
      <c r="AI287" s="1" t="s">
        <v>22</v>
      </c>
      <c r="AJ287" s="1">
        <v>3</v>
      </c>
      <c r="AK287" s="3">
        <v>3.79746835443038</v>
      </c>
      <c r="AL287" s="1">
        <v>0</v>
      </c>
      <c r="AM287" s="3">
        <v>0</v>
      </c>
      <c r="AN287" s="1" t="s">
        <v>22</v>
      </c>
      <c r="AO287" s="1">
        <v>5</v>
      </c>
      <c r="AP287" s="3">
        <v>6.3291139240506329</v>
      </c>
      <c r="AQ287" s="3">
        <v>1</v>
      </c>
      <c r="AR287" s="3">
        <v>1.2658227848101267</v>
      </c>
      <c r="AS287" s="1">
        <v>4</v>
      </c>
      <c r="AT287" s="3">
        <v>5.0632911392405067</v>
      </c>
      <c r="AU287" s="1">
        <v>0</v>
      </c>
      <c r="AV287" s="3">
        <v>0</v>
      </c>
      <c r="AW287" s="1" t="s">
        <v>22</v>
      </c>
      <c r="AX287" s="1">
        <v>16</v>
      </c>
      <c r="AY287" s="1">
        <v>0</v>
      </c>
      <c r="AZ287" s="1">
        <v>0</v>
      </c>
      <c r="BA287" s="1">
        <v>32</v>
      </c>
      <c r="BB287" s="1">
        <v>0</v>
      </c>
      <c r="BC287" s="1">
        <v>0</v>
      </c>
      <c r="BD287" s="1">
        <v>0</v>
      </c>
      <c r="BE287" s="54">
        <v>0</v>
      </c>
      <c r="BF287" s="6">
        <v>25</v>
      </c>
      <c r="BG287" s="6">
        <v>17</v>
      </c>
      <c r="BH287" s="1">
        <v>0</v>
      </c>
      <c r="BI287" s="6">
        <v>0</v>
      </c>
      <c r="BJ287" s="1" t="s">
        <v>22</v>
      </c>
      <c r="BK287" s="6">
        <v>0</v>
      </c>
      <c r="BL287" s="6">
        <v>0</v>
      </c>
      <c r="BM287" s="1">
        <v>0</v>
      </c>
      <c r="BN287" t="s">
        <v>24</v>
      </c>
      <c r="BO287">
        <v>10966</v>
      </c>
    </row>
    <row r="288" spans="1:67" x14ac:dyDescent="0.25">
      <c r="A288" s="4">
        <f>INT(Tabela1[[#This Row],[Data e Hora]])</f>
        <v>46290</v>
      </c>
      <c r="B288" s="4" t="str">
        <f>UPPER(TEXT(Tabela1[[#This Row],[Data Corrigida]],"MMM"))</f>
        <v>SET</v>
      </c>
      <c r="C288" s="57" t="s">
        <v>850</v>
      </c>
      <c r="D288" t="s">
        <v>851</v>
      </c>
      <c r="E288" t="s">
        <v>852</v>
      </c>
      <c r="F288" t="s">
        <v>19</v>
      </c>
      <c r="G288" s="5" t="s">
        <v>853</v>
      </c>
      <c r="H288" t="s">
        <v>20</v>
      </c>
      <c r="I288" t="s">
        <v>33</v>
      </c>
      <c r="J288" s="1">
        <v>110</v>
      </c>
      <c r="K288" s="1">
        <v>2926</v>
      </c>
      <c r="L288" t="s">
        <v>34</v>
      </c>
      <c r="M288" s="1">
        <v>20</v>
      </c>
      <c r="N288" s="48">
        <v>20</v>
      </c>
      <c r="O288" s="1">
        <v>9</v>
      </c>
      <c r="P288" s="48">
        <v>9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5</v>
      </c>
      <c r="Z288" s="3">
        <v>2.2727272727272729</v>
      </c>
      <c r="AA288" s="1">
        <v>5</v>
      </c>
      <c r="AB288" s="3">
        <v>4.5454545454545459</v>
      </c>
      <c r="AC288" s="1">
        <v>0</v>
      </c>
      <c r="AD288" s="3">
        <v>0</v>
      </c>
      <c r="AE288" s="1">
        <v>1</v>
      </c>
      <c r="AF288" s="3">
        <v>0.90909090909090906</v>
      </c>
      <c r="AG288" s="1">
        <v>2</v>
      </c>
      <c r="AH288" s="3">
        <v>1.8181818181818181</v>
      </c>
      <c r="AI288" s="1" t="s">
        <v>22</v>
      </c>
      <c r="AJ288" s="1">
        <v>0</v>
      </c>
      <c r="AK288" s="3">
        <v>0</v>
      </c>
      <c r="AL288" s="1">
        <v>0</v>
      </c>
      <c r="AM288" s="3">
        <v>0</v>
      </c>
      <c r="AN288" s="1" t="s">
        <v>22</v>
      </c>
      <c r="AO288" s="1">
        <v>7</v>
      </c>
      <c r="AP288" s="3">
        <v>6.3636363636363633</v>
      </c>
      <c r="AQ288" s="3">
        <v>5</v>
      </c>
      <c r="AR288" s="3">
        <v>4.5454545454545459</v>
      </c>
      <c r="AS288" s="1">
        <v>6</v>
      </c>
      <c r="AT288" s="3">
        <v>5.4545454545454541</v>
      </c>
      <c r="AU288" s="1">
        <v>0</v>
      </c>
      <c r="AV288" s="3">
        <v>0</v>
      </c>
      <c r="AW288" s="1" t="s">
        <v>22</v>
      </c>
      <c r="AX288" s="1">
        <v>19</v>
      </c>
      <c r="AY288" s="1">
        <v>0</v>
      </c>
      <c r="AZ288" s="1">
        <v>0</v>
      </c>
      <c r="BA288" s="1">
        <v>38</v>
      </c>
      <c r="BB288" s="1">
        <v>0</v>
      </c>
      <c r="BC288" s="1">
        <v>0</v>
      </c>
      <c r="BD288" s="1">
        <v>0</v>
      </c>
      <c r="BE288" s="54">
        <v>0</v>
      </c>
      <c r="BF288" s="6">
        <v>20</v>
      </c>
      <c r="BG288" s="6">
        <v>18</v>
      </c>
      <c r="BH288" s="1">
        <v>0</v>
      </c>
      <c r="BI288" s="6">
        <v>0</v>
      </c>
      <c r="BJ288" s="1" t="s">
        <v>22</v>
      </c>
      <c r="BK288" s="6">
        <v>2</v>
      </c>
      <c r="BL288" s="6">
        <v>0</v>
      </c>
      <c r="BM288" s="1">
        <v>0</v>
      </c>
      <c r="BN288" t="s">
        <v>24</v>
      </c>
      <c r="BO288">
        <v>271</v>
      </c>
    </row>
    <row r="289" spans="1:67" x14ac:dyDescent="0.25">
      <c r="A289" s="4">
        <f>INT(Tabela1[[#This Row],[Data e Hora]])</f>
        <v>46290</v>
      </c>
      <c r="B289" s="4" t="str">
        <f>UPPER(TEXT(Tabela1[[#This Row],[Data Corrigida]],"MMM"))</f>
        <v>SET</v>
      </c>
      <c r="C289" t="s">
        <v>854</v>
      </c>
      <c r="D289" t="s">
        <v>855</v>
      </c>
      <c r="E289" t="s">
        <v>852</v>
      </c>
      <c r="F289" t="s">
        <v>19</v>
      </c>
      <c r="G289" s="5" t="s">
        <v>853</v>
      </c>
      <c r="H289" t="s">
        <v>20</v>
      </c>
      <c r="I289" t="s">
        <v>33</v>
      </c>
      <c r="J289" s="1">
        <v>79</v>
      </c>
      <c r="K289" s="1">
        <v>2926</v>
      </c>
      <c r="L289" t="s">
        <v>34</v>
      </c>
      <c r="M289" s="1">
        <v>25</v>
      </c>
      <c r="N289" s="48">
        <v>25</v>
      </c>
      <c r="O289" s="1">
        <v>8</v>
      </c>
      <c r="P289" s="48">
        <v>8</v>
      </c>
      <c r="Q289" s="1">
        <v>0</v>
      </c>
      <c r="R289" s="1">
        <v>0</v>
      </c>
      <c r="S289" s="1">
        <v>1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4</v>
      </c>
      <c r="Z289" s="3">
        <v>2.5316455696202533</v>
      </c>
      <c r="AA289" s="1">
        <v>8</v>
      </c>
      <c r="AB289" s="3">
        <v>10.126582278481013</v>
      </c>
      <c r="AC289" s="1">
        <v>0</v>
      </c>
      <c r="AD289" s="3">
        <v>0</v>
      </c>
      <c r="AE289" s="1">
        <v>0</v>
      </c>
      <c r="AF289" s="3">
        <v>0</v>
      </c>
      <c r="AG289" s="1">
        <v>1</v>
      </c>
      <c r="AH289" s="3">
        <v>1.2658227848101267</v>
      </c>
      <c r="AI289" s="1" t="s">
        <v>22</v>
      </c>
      <c r="AJ289" s="1">
        <v>0</v>
      </c>
      <c r="AK289" s="3">
        <v>0</v>
      </c>
      <c r="AL289" s="1">
        <v>0</v>
      </c>
      <c r="AM289" s="3">
        <v>0</v>
      </c>
      <c r="AN289" s="1" t="s">
        <v>22</v>
      </c>
      <c r="AO289" s="1">
        <v>9</v>
      </c>
      <c r="AP289" s="3">
        <v>11.39240506329114</v>
      </c>
      <c r="AQ289" s="3">
        <v>3</v>
      </c>
      <c r="AR289" s="3">
        <v>3.79746835443038</v>
      </c>
      <c r="AS289" s="1">
        <v>7</v>
      </c>
      <c r="AT289" s="3">
        <v>8.8607594936708853</v>
      </c>
      <c r="AU289" s="1">
        <v>1</v>
      </c>
      <c r="AV289" s="3">
        <v>1.2658227848101267</v>
      </c>
      <c r="AW289" s="1" t="s">
        <v>22</v>
      </c>
      <c r="AX289" s="1">
        <v>20</v>
      </c>
      <c r="AY289" s="1">
        <v>0</v>
      </c>
      <c r="AZ289" s="1">
        <v>0</v>
      </c>
      <c r="BA289" s="1">
        <v>40</v>
      </c>
      <c r="BB289" s="1">
        <v>0</v>
      </c>
      <c r="BC289" s="1">
        <v>0</v>
      </c>
      <c r="BD289" s="1">
        <v>0</v>
      </c>
      <c r="BE289" s="54">
        <v>0</v>
      </c>
      <c r="BF289" s="6">
        <v>20</v>
      </c>
      <c r="BG289" s="6">
        <v>19</v>
      </c>
      <c r="BH289" s="1">
        <v>0</v>
      </c>
      <c r="BI289" s="6">
        <v>0</v>
      </c>
      <c r="BJ289" s="1" t="s">
        <v>22</v>
      </c>
      <c r="BK289" s="6">
        <v>8</v>
      </c>
      <c r="BL289" s="6">
        <v>0</v>
      </c>
      <c r="BM289" s="1">
        <v>0</v>
      </c>
      <c r="BN289" t="s">
        <v>24</v>
      </c>
      <c r="BO289">
        <v>7647</v>
      </c>
    </row>
    <row r="290" spans="1:67" x14ac:dyDescent="0.25">
      <c r="A290" s="4">
        <f>INT(Tabela1[[#This Row],[Data e Hora]])</f>
        <v>46290</v>
      </c>
      <c r="B290" s="4" t="str">
        <f>UPPER(TEXT(Tabela1[[#This Row],[Data Corrigida]],"MMM"))</f>
        <v>SET</v>
      </c>
      <c r="C290" t="s">
        <v>856</v>
      </c>
      <c r="D290" t="s">
        <v>857</v>
      </c>
      <c r="E290" t="s">
        <v>852</v>
      </c>
      <c r="F290" t="s">
        <v>19</v>
      </c>
      <c r="G290" s="5" t="s">
        <v>853</v>
      </c>
      <c r="H290" t="s">
        <v>20</v>
      </c>
      <c r="I290" t="s">
        <v>33</v>
      </c>
      <c r="J290" s="1">
        <v>130</v>
      </c>
      <c r="K290" s="1">
        <v>2908</v>
      </c>
      <c r="L290" t="s">
        <v>34</v>
      </c>
      <c r="M290" s="1">
        <v>22</v>
      </c>
      <c r="N290" s="48">
        <v>22</v>
      </c>
      <c r="O290" s="1">
        <v>10</v>
      </c>
      <c r="P290" s="48">
        <v>10</v>
      </c>
      <c r="Q290" s="1">
        <v>1</v>
      </c>
      <c r="R290" s="1">
        <v>10</v>
      </c>
      <c r="S290" s="1">
        <v>1</v>
      </c>
      <c r="T290" s="1">
        <v>1</v>
      </c>
      <c r="U290" s="1">
        <v>0</v>
      </c>
      <c r="V290" s="1">
        <v>0</v>
      </c>
      <c r="W290" s="1">
        <v>0</v>
      </c>
      <c r="X290" s="1">
        <v>0</v>
      </c>
      <c r="Y290" s="1">
        <v>4</v>
      </c>
      <c r="Z290" s="3">
        <v>1.5384615384615385</v>
      </c>
      <c r="AA290" s="1">
        <v>6</v>
      </c>
      <c r="AB290" s="3">
        <v>4.6153846153846159</v>
      </c>
      <c r="AC290" s="1">
        <v>1</v>
      </c>
      <c r="AD290" s="3">
        <v>0.76923076923076927</v>
      </c>
      <c r="AE290" s="1">
        <v>1</v>
      </c>
      <c r="AF290" s="3">
        <v>0.76923076923076927</v>
      </c>
      <c r="AG290" s="1">
        <v>2</v>
      </c>
      <c r="AH290" s="3">
        <v>1.5384615384615385</v>
      </c>
      <c r="AI290" s="1" t="s">
        <v>22</v>
      </c>
      <c r="AJ290" s="1">
        <v>1</v>
      </c>
      <c r="AK290" s="3">
        <v>0.76923076923076927</v>
      </c>
      <c r="AL290" s="1">
        <v>0</v>
      </c>
      <c r="AM290" s="3">
        <v>0</v>
      </c>
      <c r="AN290" s="1" t="s">
        <v>22</v>
      </c>
      <c r="AO290" s="1">
        <v>8</v>
      </c>
      <c r="AP290" s="3">
        <v>6.1538461538461542</v>
      </c>
      <c r="AQ290" s="3" t="s">
        <v>22</v>
      </c>
      <c r="AR290" s="3" t="s">
        <v>22</v>
      </c>
      <c r="AS290" s="1">
        <v>6</v>
      </c>
      <c r="AT290" s="3">
        <v>4.6153846153846159</v>
      </c>
      <c r="AU290" s="1">
        <v>0</v>
      </c>
      <c r="AV290" s="3">
        <v>0</v>
      </c>
      <c r="AW290" s="1" t="s">
        <v>22</v>
      </c>
      <c r="AX290" s="1">
        <v>19</v>
      </c>
      <c r="AY290" s="1">
        <v>0</v>
      </c>
      <c r="AZ290" s="1">
        <v>0</v>
      </c>
      <c r="BA290" s="1">
        <v>38</v>
      </c>
      <c r="BB290" s="1">
        <v>0</v>
      </c>
      <c r="BC290" s="1">
        <v>0</v>
      </c>
      <c r="BD290" s="1">
        <v>2</v>
      </c>
      <c r="BE290" s="54">
        <v>1.5384615384615385</v>
      </c>
      <c r="BF290" s="6">
        <v>26</v>
      </c>
      <c r="BG290" s="6">
        <v>24</v>
      </c>
      <c r="BH290" s="1">
        <v>0</v>
      </c>
      <c r="BI290" s="6">
        <v>0</v>
      </c>
      <c r="BJ290" s="1" t="s">
        <v>22</v>
      </c>
      <c r="BK290" s="6">
        <v>0</v>
      </c>
      <c r="BL290" s="6">
        <v>0</v>
      </c>
      <c r="BM290" s="1">
        <v>0</v>
      </c>
      <c r="BN290" t="s">
        <v>24</v>
      </c>
      <c r="BO290">
        <v>14736</v>
      </c>
    </row>
    <row r="291" spans="1:67" x14ac:dyDescent="0.25">
      <c r="A291" s="4">
        <f>INT(Tabela1[[#This Row],[Data e Hora]])</f>
        <v>46290</v>
      </c>
      <c r="B291" s="4" t="str">
        <f>UPPER(TEXT(Tabela1[[#This Row],[Data Corrigida]],"MMM"))</f>
        <v>SET</v>
      </c>
      <c r="C291" t="s">
        <v>858</v>
      </c>
      <c r="D291" t="s">
        <v>859</v>
      </c>
      <c r="E291" t="s">
        <v>860</v>
      </c>
      <c r="F291" t="s">
        <v>19</v>
      </c>
      <c r="G291" s="5" t="s">
        <v>853</v>
      </c>
      <c r="H291" t="s">
        <v>20</v>
      </c>
      <c r="I291" t="s">
        <v>21</v>
      </c>
      <c r="J291" s="1">
        <v>100</v>
      </c>
      <c r="K291" s="1">
        <v>3079</v>
      </c>
      <c r="L291" t="s">
        <v>23</v>
      </c>
      <c r="M291" s="1">
        <v>47</v>
      </c>
      <c r="N291" s="48">
        <v>47</v>
      </c>
      <c r="O291" s="1">
        <v>19</v>
      </c>
      <c r="P291" s="48">
        <v>19</v>
      </c>
      <c r="Q291" s="1">
        <v>0</v>
      </c>
      <c r="R291" s="1">
        <v>0</v>
      </c>
      <c r="S291" s="1">
        <v>3</v>
      </c>
      <c r="T291" s="1">
        <v>3</v>
      </c>
      <c r="U291" s="1">
        <v>1</v>
      </c>
      <c r="V291" s="1">
        <v>1</v>
      </c>
      <c r="W291" s="1">
        <v>0</v>
      </c>
      <c r="X291" s="1">
        <v>0</v>
      </c>
      <c r="Y291" s="1">
        <v>2</v>
      </c>
      <c r="Z291" s="3">
        <v>1</v>
      </c>
      <c r="AA291" s="1">
        <v>6</v>
      </c>
      <c r="AB291" s="3">
        <v>6</v>
      </c>
      <c r="AC291" s="1">
        <v>0</v>
      </c>
      <c r="AD291" s="3">
        <v>0</v>
      </c>
      <c r="AE291" s="1">
        <v>4</v>
      </c>
      <c r="AF291" s="3">
        <v>4</v>
      </c>
      <c r="AG291" s="1">
        <v>9</v>
      </c>
      <c r="AH291" s="3">
        <v>9</v>
      </c>
      <c r="AI291" s="1" t="s">
        <v>22</v>
      </c>
      <c r="AJ291" s="1">
        <v>6</v>
      </c>
      <c r="AK291" s="3">
        <v>6</v>
      </c>
      <c r="AL291" s="1">
        <v>2</v>
      </c>
      <c r="AM291" s="3">
        <v>2</v>
      </c>
      <c r="AN291" s="1" t="s">
        <v>22</v>
      </c>
      <c r="AO291" s="1">
        <v>12</v>
      </c>
      <c r="AP291" s="3">
        <v>12</v>
      </c>
      <c r="AQ291" s="3">
        <v>2</v>
      </c>
      <c r="AR291" s="3">
        <v>2</v>
      </c>
      <c r="AS291" s="1">
        <v>9</v>
      </c>
      <c r="AT291" s="3">
        <v>9</v>
      </c>
      <c r="AU291" s="1">
        <v>2</v>
      </c>
      <c r="AV291" s="3">
        <v>2</v>
      </c>
      <c r="AW291" s="1" t="s">
        <v>22</v>
      </c>
      <c r="AX291" s="1">
        <v>20</v>
      </c>
      <c r="AY291" s="1">
        <v>0</v>
      </c>
      <c r="AZ291" s="1">
        <v>0</v>
      </c>
      <c r="BA291" s="1">
        <v>40</v>
      </c>
      <c r="BB291" s="1">
        <v>0</v>
      </c>
      <c r="BC291" s="1">
        <v>0</v>
      </c>
      <c r="BD291" s="1">
        <v>0</v>
      </c>
      <c r="BE291" s="54">
        <v>0</v>
      </c>
      <c r="BF291" s="6">
        <v>25</v>
      </c>
      <c r="BG291" s="6">
        <v>23</v>
      </c>
      <c r="BH291" s="1">
        <v>1</v>
      </c>
      <c r="BI291" s="6">
        <v>10</v>
      </c>
      <c r="BJ291" s="1" t="s">
        <v>22</v>
      </c>
      <c r="BK291" s="1" t="s">
        <v>22</v>
      </c>
      <c r="BL291" s="1" t="s">
        <v>22</v>
      </c>
      <c r="BM291" s="1" t="s">
        <v>22</v>
      </c>
      <c r="BN291" t="s">
        <v>24</v>
      </c>
      <c r="BO291">
        <v>1861</v>
      </c>
    </row>
    <row r="292" spans="1:67" x14ac:dyDescent="0.25">
      <c r="A292" s="4">
        <f>INT(Tabela1[[#This Row],[Data e Hora]])</f>
        <v>46290</v>
      </c>
      <c r="B292" s="4" t="str">
        <f>UPPER(TEXT(Tabela1[[#This Row],[Data Corrigida]],"MMM"))</f>
        <v>SET</v>
      </c>
      <c r="C292" t="s">
        <v>861</v>
      </c>
      <c r="D292" t="s">
        <v>862</v>
      </c>
      <c r="E292" t="s">
        <v>860</v>
      </c>
      <c r="F292" t="s">
        <v>19</v>
      </c>
      <c r="G292" s="5" t="s">
        <v>853</v>
      </c>
      <c r="H292" t="s">
        <v>20</v>
      </c>
      <c r="I292" t="s">
        <v>21</v>
      </c>
      <c r="J292" s="1">
        <v>155</v>
      </c>
      <c r="K292" s="1">
        <v>3088</v>
      </c>
      <c r="L292" t="s">
        <v>23</v>
      </c>
      <c r="M292" s="1">
        <v>43</v>
      </c>
      <c r="N292" s="48">
        <v>43</v>
      </c>
      <c r="O292" s="1">
        <v>22</v>
      </c>
      <c r="P292" s="48">
        <v>22</v>
      </c>
      <c r="Q292" s="1">
        <v>0</v>
      </c>
      <c r="R292" s="1">
        <v>0</v>
      </c>
      <c r="S292" s="1">
        <v>2</v>
      </c>
      <c r="T292" s="1">
        <v>2</v>
      </c>
      <c r="U292" s="1">
        <v>1</v>
      </c>
      <c r="V292" s="1">
        <v>1</v>
      </c>
      <c r="W292" s="1">
        <v>0</v>
      </c>
      <c r="X292" s="1">
        <v>0</v>
      </c>
      <c r="Y292" s="1">
        <v>1</v>
      </c>
      <c r="Z292" s="3">
        <v>0.32258064516129031</v>
      </c>
      <c r="AA292" s="1">
        <v>9</v>
      </c>
      <c r="AB292" s="3">
        <v>5.806451612903226</v>
      </c>
      <c r="AC292" s="1">
        <v>0</v>
      </c>
      <c r="AD292" s="3">
        <v>0</v>
      </c>
      <c r="AE292" s="1">
        <v>5</v>
      </c>
      <c r="AF292" s="3">
        <v>3.225806451612903</v>
      </c>
      <c r="AG292" s="1">
        <v>10</v>
      </c>
      <c r="AH292" s="3">
        <v>6.4516129032258061</v>
      </c>
      <c r="AI292" s="1" t="s">
        <v>22</v>
      </c>
      <c r="AJ292" s="1">
        <v>8</v>
      </c>
      <c r="AK292" s="3">
        <v>5.161290322580645</v>
      </c>
      <c r="AL292" s="1">
        <v>3</v>
      </c>
      <c r="AM292" s="3">
        <v>1.935483870967742</v>
      </c>
      <c r="AN292" s="1" t="s">
        <v>22</v>
      </c>
      <c r="AO292" s="1">
        <v>12</v>
      </c>
      <c r="AP292" s="3">
        <v>7.741935483870968</v>
      </c>
      <c r="AQ292" s="3">
        <v>2</v>
      </c>
      <c r="AR292" s="3">
        <v>1.2903225806451613</v>
      </c>
      <c r="AS292" s="1">
        <v>11</v>
      </c>
      <c r="AT292" s="3">
        <v>7.096774193548387</v>
      </c>
      <c r="AU292" s="1">
        <v>4</v>
      </c>
      <c r="AV292" s="3">
        <v>2.5806451612903225</v>
      </c>
      <c r="AW292" s="1" t="s">
        <v>22</v>
      </c>
      <c r="AX292" s="1">
        <v>20</v>
      </c>
      <c r="AY292" s="1">
        <v>0</v>
      </c>
      <c r="AZ292" s="1">
        <v>0</v>
      </c>
      <c r="BA292" s="1">
        <v>40</v>
      </c>
      <c r="BB292" s="1">
        <v>0</v>
      </c>
      <c r="BC292" s="1">
        <v>0</v>
      </c>
      <c r="BD292" s="1">
        <v>0</v>
      </c>
      <c r="BE292" s="54">
        <v>0</v>
      </c>
      <c r="BF292" s="6">
        <v>25</v>
      </c>
      <c r="BG292" s="6">
        <v>19</v>
      </c>
      <c r="BH292" s="1">
        <v>0</v>
      </c>
      <c r="BI292" s="6">
        <v>0</v>
      </c>
      <c r="BJ292" s="1" t="s">
        <v>22</v>
      </c>
      <c r="BK292" s="6">
        <v>0</v>
      </c>
      <c r="BL292" s="6">
        <v>0</v>
      </c>
      <c r="BM292" s="1">
        <v>1</v>
      </c>
      <c r="BN292" t="s">
        <v>24</v>
      </c>
      <c r="BO292">
        <v>2519</v>
      </c>
    </row>
    <row r="293" spans="1:67" x14ac:dyDescent="0.25">
      <c r="A293" s="4">
        <f>INT(Tabela1[[#This Row],[Data e Hora]])</f>
        <v>46290</v>
      </c>
      <c r="B293" s="4" t="str">
        <f>UPPER(TEXT(Tabela1[[#This Row],[Data Corrigida]],"MMM"))</f>
        <v>SET</v>
      </c>
      <c r="C293" t="s">
        <v>863</v>
      </c>
      <c r="D293" t="s">
        <v>864</v>
      </c>
      <c r="E293" t="s">
        <v>865</v>
      </c>
      <c r="F293" t="s">
        <v>19</v>
      </c>
      <c r="G293" s="5" t="s">
        <v>853</v>
      </c>
      <c r="H293" t="s">
        <v>20</v>
      </c>
      <c r="I293" t="s">
        <v>21</v>
      </c>
      <c r="J293" s="1">
        <v>125</v>
      </c>
      <c r="K293" s="1">
        <v>3100</v>
      </c>
      <c r="L293" t="s">
        <v>23</v>
      </c>
      <c r="M293" s="1">
        <v>40</v>
      </c>
      <c r="N293" s="48">
        <v>40</v>
      </c>
      <c r="O293" s="1">
        <v>21</v>
      </c>
      <c r="P293" s="48">
        <v>21</v>
      </c>
      <c r="Q293" s="1">
        <v>0</v>
      </c>
      <c r="R293" s="1">
        <v>0</v>
      </c>
      <c r="S293" s="1">
        <v>2</v>
      </c>
      <c r="T293" s="1">
        <v>2</v>
      </c>
      <c r="U293" s="1">
        <v>1</v>
      </c>
      <c r="V293" s="1">
        <v>1</v>
      </c>
      <c r="W293" s="1">
        <v>0</v>
      </c>
      <c r="X293" s="1">
        <v>0</v>
      </c>
      <c r="Y293" s="1">
        <v>1</v>
      </c>
      <c r="Z293" s="3">
        <v>0.4</v>
      </c>
      <c r="AA293" s="1">
        <v>9</v>
      </c>
      <c r="AB293" s="3">
        <v>7.1999999999999993</v>
      </c>
      <c r="AC293" s="1">
        <v>0</v>
      </c>
      <c r="AD293" s="3">
        <v>0</v>
      </c>
      <c r="AE293" s="1">
        <v>4</v>
      </c>
      <c r="AF293" s="3">
        <v>3.2</v>
      </c>
      <c r="AG293" s="1">
        <v>8</v>
      </c>
      <c r="AH293" s="3">
        <v>6.4</v>
      </c>
      <c r="AI293" s="1" t="s">
        <v>22</v>
      </c>
      <c r="AJ293" s="1">
        <v>7</v>
      </c>
      <c r="AK293" s="3">
        <v>5.6000000000000005</v>
      </c>
      <c r="AL293" s="1">
        <v>2</v>
      </c>
      <c r="AM293" s="3">
        <v>1.6</v>
      </c>
      <c r="AN293" s="1" t="s">
        <v>22</v>
      </c>
      <c r="AO293" s="1">
        <v>13</v>
      </c>
      <c r="AP293" s="3">
        <v>10.4</v>
      </c>
      <c r="AQ293" s="3">
        <v>2</v>
      </c>
      <c r="AR293" s="3">
        <v>1.6</v>
      </c>
      <c r="AS293" s="1">
        <v>12</v>
      </c>
      <c r="AT293" s="3">
        <v>9.6</v>
      </c>
      <c r="AU293" s="1">
        <v>3</v>
      </c>
      <c r="AV293" s="3">
        <v>2.4</v>
      </c>
      <c r="AW293" s="1" t="s">
        <v>22</v>
      </c>
      <c r="AX293" s="1">
        <v>19</v>
      </c>
      <c r="AY293" s="1">
        <v>1</v>
      </c>
      <c r="AZ293" s="1">
        <v>1</v>
      </c>
      <c r="BA293" s="1">
        <v>38</v>
      </c>
      <c r="BB293" s="1">
        <v>2</v>
      </c>
      <c r="BC293" s="1">
        <v>2</v>
      </c>
      <c r="BD293" s="1">
        <v>0</v>
      </c>
      <c r="BE293" s="54">
        <v>0</v>
      </c>
      <c r="BF293" s="6">
        <v>22</v>
      </c>
      <c r="BG293" s="6">
        <v>17</v>
      </c>
      <c r="BH293" s="1">
        <v>1</v>
      </c>
      <c r="BI293" s="6">
        <v>10</v>
      </c>
      <c r="BJ293" s="1" t="s">
        <v>22</v>
      </c>
      <c r="BK293" s="6">
        <v>0</v>
      </c>
      <c r="BL293" s="6">
        <v>0</v>
      </c>
      <c r="BM293" s="1">
        <v>2</v>
      </c>
      <c r="BN293" t="s">
        <v>22</v>
      </c>
      <c r="BO293">
        <v>5985</v>
      </c>
    </row>
    <row r="294" spans="1:67" x14ac:dyDescent="0.25">
      <c r="A294" s="4">
        <f>INT(Tabela1[[#This Row],[Data e Hora]])</f>
        <v>46290</v>
      </c>
      <c r="B294" s="4" t="str">
        <f>UPPER(TEXT(Tabela1[[#This Row],[Data Corrigida]],"MMM"))</f>
        <v>SET</v>
      </c>
      <c r="C294" t="s">
        <v>866</v>
      </c>
      <c r="D294" t="s">
        <v>867</v>
      </c>
      <c r="E294" t="s">
        <v>865</v>
      </c>
      <c r="F294" t="s">
        <v>19</v>
      </c>
      <c r="G294" s="5" t="s">
        <v>853</v>
      </c>
      <c r="H294" t="s">
        <v>20</v>
      </c>
      <c r="I294" t="s">
        <v>21</v>
      </c>
      <c r="J294" s="1">
        <v>137</v>
      </c>
      <c r="K294" s="1">
        <v>3120</v>
      </c>
      <c r="L294" t="s">
        <v>23</v>
      </c>
      <c r="M294" s="1">
        <v>25</v>
      </c>
      <c r="N294" s="48">
        <v>25</v>
      </c>
      <c r="O294" s="1">
        <v>6</v>
      </c>
      <c r="P294" s="48">
        <v>6</v>
      </c>
      <c r="Q294" s="1">
        <v>0</v>
      </c>
      <c r="R294" s="1">
        <v>0</v>
      </c>
      <c r="S294" s="1">
        <v>3</v>
      </c>
      <c r="T294" s="1">
        <v>3</v>
      </c>
      <c r="U294" s="1">
        <v>1</v>
      </c>
      <c r="V294" s="1">
        <v>1</v>
      </c>
      <c r="W294" s="1">
        <v>0</v>
      </c>
      <c r="X294" s="1">
        <v>0</v>
      </c>
      <c r="Y294" s="1">
        <v>1</v>
      </c>
      <c r="Z294" s="3">
        <v>0.36496350364963503</v>
      </c>
      <c r="AA294" s="1">
        <v>7</v>
      </c>
      <c r="AB294" s="3">
        <v>5.1094890510948909</v>
      </c>
      <c r="AC294" s="1">
        <v>0</v>
      </c>
      <c r="AD294" s="3">
        <v>0</v>
      </c>
      <c r="AE294" s="1">
        <v>2</v>
      </c>
      <c r="AF294" s="3">
        <v>1.4598540145985401</v>
      </c>
      <c r="AG294" s="1">
        <v>7</v>
      </c>
      <c r="AH294" s="3">
        <v>5.1094890510948909</v>
      </c>
      <c r="AI294" s="1" t="s">
        <v>22</v>
      </c>
      <c r="AJ294" s="1">
        <v>5</v>
      </c>
      <c r="AK294" s="3">
        <v>3.6496350364963499</v>
      </c>
      <c r="AL294" s="1">
        <v>2</v>
      </c>
      <c r="AM294" s="3">
        <v>1.4598540145985401</v>
      </c>
      <c r="AN294" s="1" t="s">
        <v>22</v>
      </c>
      <c r="AO294" s="1">
        <v>7</v>
      </c>
      <c r="AP294" s="3">
        <v>5.1094890510948909</v>
      </c>
      <c r="AQ294" s="3">
        <v>1</v>
      </c>
      <c r="AR294" s="3">
        <v>0.72992700729927007</v>
      </c>
      <c r="AS294" s="1">
        <v>6</v>
      </c>
      <c r="AT294" s="3">
        <v>4.3795620437956204</v>
      </c>
      <c r="AU294" s="1">
        <v>2</v>
      </c>
      <c r="AV294" s="3">
        <v>1.4598540145985401</v>
      </c>
      <c r="AW294" s="1" t="s">
        <v>22</v>
      </c>
      <c r="AX294" s="1">
        <v>21</v>
      </c>
      <c r="AY294" s="1">
        <v>0</v>
      </c>
      <c r="AZ294" s="1">
        <v>0</v>
      </c>
      <c r="BA294" s="1">
        <v>42</v>
      </c>
      <c r="BB294" s="1">
        <v>0</v>
      </c>
      <c r="BC294" s="1">
        <v>0</v>
      </c>
      <c r="BD294" s="1">
        <v>0</v>
      </c>
      <c r="BE294" s="54">
        <v>0</v>
      </c>
      <c r="BF294" s="6">
        <v>15</v>
      </c>
      <c r="BG294" s="6">
        <v>19</v>
      </c>
      <c r="BH294" s="1">
        <v>1</v>
      </c>
      <c r="BI294" s="6">
        <v>10</v>
      </c>
      <c r="BJ294" s="1" t="s">
        <v>22</v>
      </c>
      <c r="BK294" s="1" t="s">
        <v>22</v>
      </c>
      <c r="BL294" s="1" t="s">
        <v>22</v>
      </c>
      <c r="BM294" s="1" t="s">
        <v>22</v>
      </c>
      <c r="BN294" t="s">
        <v>24</v>
      </c>
      <c r="BO294">
        <v>1829</v>
      </c>
    </row>
    <row r="295" spans="1:67" x14ac:dyDescent="0.25">
      <c r="A295" s="4">
        <f>INT(Tabela1[[#This Row],[Data e Hora]])</f>
        <v>46289</v>
      </c>
      <c r="B295" s="4" t="str">
        <f>UPPER(TEXT(Tabela1[[#This Row],[Data Corrigida]],"MMM"))</f>
        <v>SET</v>
      </c>
      <c r="C295" t="s">
        <v>868</v>
      </c>
      <c r="D295" t="s">
        <v>869</v>
      </c>
      <c r="E295" t="s">
        <v>870</v>
      </c>
      <c r="F295" t="s">
        <v>19</v>
      </c>
      <c r="G295" s="5" t="s">
        <v>871</v>
      </c>
      <c r="H295" t="s">
        <v>20</v>
      </c>
      <c r="I295" t="s">
        <v>33</v>
      </c>
      <c r="J295" s="1">
        <v>156</v>
      </c>
      <c r="K295" s="1">
        <v>3001</v>
      </c>
      <c r="L295" t="s">
        <v>34</v>
      </c>
      <c r="M295" s="1">
        <v>20</v>
      </c>
      <c r="N295" s="48">
        <v>20</v>
      </c>
      <c r="O295" s="1">
        <v>5</v>
      </c>
      <c r="P295" s="48">
        <v>5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7</v>
      </c>
      <c r="Z295" s="3">
        <v>2.2435897435897436</v>
      </c>
      <c r="AA295" s="1">
        <v>4</v>
      </c>
      <c r="AB295" s="3">
        <v>2.5641025641025639</v>
      </c>
      <c r="AC295" s="1">
        <v>0</v>
      </c>
      <c r="AD295" s="3">
        <v>0</v>
      </c>
      <c r="AE295" s="1">
        <v>2</v>
      </c>
      <c r="AF295" s="3">
        <v>1.2820512820512819</v>
      </c>
      <c r="AG295" s="1">
        <v>2</v>
      </c>
      <c r="AH295" s="3">
        <v>1.2820512820512819</v>
      </c>
      <c r="AI295" s="1" t="s">
        <v>22</v>
      </c>
      <c r="AJ295" s="1">
        <v>0</v>
      </c>
      <c r="AK295" s="3">
        <v>0</v>
      </c>
      <c r="AL295" s="1">
        <v>0</v>
      </c>
      <c r="AM295" s="3">
        <v>0</v>
      </c>
      <c r="AN295" s="1" t="s">
        <v>22</v>
      </c>
      <c r="AO295" s="1">
        <v>5</v>
      </c>
      <c r="AP295" s="3">
        <v>3.2051282051282048</v>
      </c>
      <c r="AQ295" s="3">
        <v>5</v>
      </c>
      <c r="AR295" s="3">
        <v>3.2051282051282048</v>
      </c>
      <c r="AS295" s="1">
        <v>6</v>
      </c>
      <c r="AT295" s="3">
        <v>3.8461538461538463</v>
      </c>
      <c r="AU295" s="1">
        <v>1</v>
      </c>
      <c r="AV295" s="3">
        <v>0.64102564102564097</v>
      </c>
      <c r="AW295" s="1" t="s">
        <v>22</v>
      </c>
      <c r="AX295" s="1">
        <v>19</v>
      </c>
      <c r="AY295" s="1">
        <v>0</v>
      </c>
      <c r="AZ295" s="1">
        <v>0</v>
      </c>
      <c r="BA295" s="1">
        <v>38</v>
      </c>
      <c r="BB295" s="1">
        <v>0</v>
      </c>
      <c r="BC295" s="1">
        <v>0</v>
      </c>
      <c r="BD295" s="1">
        <v>0</v>
      </c>
      <c r="BE295" s="54">
        <v>0</v>
      </c>
      <c r="BF295" s="6">
        <v>20</v>
      </c>
      <c r="BG295" s="6">
        <v>16</v>
      </c>
      <c r="BH295" s="1">
        <v>0</v>
      </c>
      <c r="BI295" s="6">
        <v>0</v>
      </c>
      <c r="BJ295" s="1" t="s">
        <v>22</v>
      </c>
      <c r="BK295" s="6">
        <v>0</v>
      </c>
      <c r="BL295" s="6">
        <v>0</v>
      </c>
      <c r="BM295" s="1">
        <v>0</v>
      </c>
      <c r="BN295" t="s">
        <v>24</v>
      </c>
      <c r="BO295">
        <v>1177</v>
      </c>
    </row>
    <row r="296" spans="1:67" x14ac:dyDescent="0.25">
      <c r="A296" s="4">
        <f>INT(Tabela1[[#This Row],[Data e Hora]])</f>
        <v>46289</v>
      </c>
      <c r="B296" s="4" t="str">
        <f>UPPER(TEXT(Tabela1[[#This Row],[Data Corrigida]],"MMM"))</f>
        <v>SET</v>
      </c>
      <c r="C296" t="s">
        <v>872</v>
      </c>
      <c r="D296" t="s">
        <v>873</v>
      </c>
      <c r="E296" t="s">
        <v>870</v>
      </c>
      <c r="F296" t="s">
        <v>19</v>
      </c>
      <c r="G296" s="5" t="s">
        <v>871</v>
      </c>
      <c r="H296" t="s">
        <v>20</v>
      </c>
      <c r="I296" t="s">
        <v>33</v>
      </c>
      <c r="J296" s="1">
        <v>151</v>
      </c>
      <c r="K296" s="1">
        <v>3038</v>
      </c>
      <c r="L296" t="s">
        <v>34</v>
      </c>
      <c r="M296" s="1">
        <v>20</v>
      </c>
      <c r="N296" s="48">
        <v>20</v>
      </c>
      <c r="O296" s="1">
        <v>6</v>
      </c>
      <c r="P296" s="48">
        <v>6</v>
      </c>
      <c r="Q296" s="1">
        <v>0</v>
      </c>
      <c r="R296" s="1">
        <v>0</v>
      </c>
      <c r="S296" s="1">
        <v>1</v>
      </c>
      <c r="T296" s="1">
        <v>1</v>
      </c>
      <c r="U296" s="1">
        <v>0</v>
      </c>
      <c r="V296" s="1">
        <v>0</v>
      </c>
      <c r="W296" s="1">
        <v>0</v>
      </c>
      <c r="X296" s="1">
        <v>0</v>
      </c>
      <c r="Y296" s="1">
        <v>6</v>
      </c>
      <c r="Z296" s="3">
        <v>1.9867549668874174</v>
      </c>
      <c r="AA296" s="1">
        <v>11</v>
      </c>
      <c r="AB296" s="3">
        <v>7.2847682119205297</v>
      </c>
      <c r="AC296" s="1">
        <v>0</v>
      </c>
      <c r="AD296" s="3">
        <v>0</v>
      </c>
      <c r="AE296" s="1">
        <v>1</v>
      </c>
      <c r="AF296" s="3">
        <v>0.66225165562913912</v>
      </c>
      <c r="AG296" s="1">
        <v>2</v>
      </c>
      <c r="AH296" s="3">
        <v>1.3245033112582782</v>
      </c>
      <c r="AI296" s="1" t="s">
        <v>22</v>
      </c>
      <c r="AJ296" s="1">
        <v>0</v>
      </c>
      <c r="AK296" s="3">
        <v>0</v>
      </c>
      <c r="AL296" s="1">
        <v>0</v>
      </c>
      <c r="AM296" s="3">
        <v>0</v>
      </c>
      <c r="AN296" s="1" t="s">
        <v>22</v>
      </c>
      <c r="AO296" s="1">
        <v>8</v>
      </c>
      <c r="AP296" s="3">
        <v>5.298013245033113</v>
      </c>
      <c r="AQ296" s="3">
        <v>6</v>
      </c>
      <c r="AR296" s="3">
        <v>3.9735099337748347</v>
      </c>
      <c r="AS296" s="1">
        <v>6</v>
      </c>
      <c r="AT296" s="3">
        <v>3.9735099337748347</v>
      </c>
      <c r="AU296" s="1">
        <v>0</v>
      </c>
      <c r="AV296" s="3">
        <v>0</v>
      </c>
      <c r="AW296" s="1" t="s">
        <v>22</v>
      </c>
      <c r="AX296" s="1">
        <v>19</v>
      </c>
      <c r="AY296" s="1">
        <v>0</v>
      </c>
      <c r="AZ296" s="1">
        <v>0</v>
      </c>
      <c r="BA296" s="1">
        <v>38</v>
      </c>
      <c r="BB296" s="1">
        <v>0</v>
      </c>
      <c r="BC296" s="1">
        <v>0</v>
      </c>
      <c r="BD296" s="1">
        <v>0</v>
      </c>
      <c r="BE296" s="54">
        <v>0</v>
      </c>
      <c r="BF296" s="6">
        <v>16</v>
      </c>
      <c r="BG296" s="6">
        <v>15</v>
      </c>
      <c r="BH296" s="1">
        <v>0</v>
      </c>
      <c r="BI296" s="6">
        <v>0</v>
      </c>
      <c r="BJ296" s="1" t="s">
        <v>22</v>
      </c>
      <c r="BK296" s="6">
        <v>1</v>
      </c>
      <c r="BL296" s="6">
        <v>0</v>
      </c>
      <c r="BM296" s="1">
        <v>0</v>
      </c>
      <c r="BN296" t="s">
        <v>24</v>
      </c>
      <c r="BO296">
        <v>6645</v>
      </c>
    </row>
    <row r="297" spans="1:67" x14ac:dyDescent="0.25">
      <c r="A297" s="4">
        <f>INT(Tabela1[[#This Row],[Data e Hora]])</f>
        <v>46289</v>
      </c>
      <c r="B297" s="4" t="str">
        <f>UPPER(TEXT(Tabela1[[#This Row],[Data Corrigida]],"MMM"))</f>
        <v>SET</v>
      </c>
      <c r="C297" t="s">
        <v>874</v>
      </c>
      <c r="D297" t="s">
        <v>875</v>
      </c>
      <c r="E297" t="s">
        <v>876</v>
      </c>
      <c r="F297" t="s">
        <v>19</v>
      </c>
      <c r="G297" s="5" t="s">
        <v>871</v>
      </c>
      <c r="H297" t="s">
        <v>20</v>
      </c>
      <c r="I297" t="s">
        <v>33</v>
      </c>
      <c r="J297" s="1">
        <v>130</v>
      </c>
      <c r="K297" s="1">
        <v>2171</v>
      </c>
      <c r="L297" t="s">
        <v>34</v>
      </c>
      <c r="M297" s="1">
        <v>21</v>
      </c>
      <c r="N297" s="48">
        <v>21</v>
      </c>
      <c r="O297" s="1">
        <v>10</v>
      </c>
      <c r="P297" s="48">
        <v>10</v>
      </c>
      <c r="Q297" s="1">
        <v>0</v>
      </c>
      <c r="R297" s="1">
        <v>0</v>
      </c>
      <c r="S297" s="1">
        <v>1</v>
      </c>
      <c r="T297" s="1">
        <v>1</v>
      </c>
      <c r="U297" s="1">
        <v>0</v>
      </c>
      <c r="V297" s="1">
        <v>0</v>
      </c>
      <c r="W297" s="1">
        <v>1</v>
      </c>
      <c r="X297" s="1">
        <v>5</v>
      </c>
      <c r="Y297" s="1">
        <v>5</v>
      </c>
      <c r="Z297" s="3">
        <v>1.9230769230769231</v>
      </c>
      <c r="AA297" s="1">
        <v>1</v>
      </c>
      <c r="AB297" s="3">
        <v>0.76923076923076927</v>
      </c>
      <c r="AC297" s="1">
        <v>0</v>
      </c>
      <c r="AD297" s="3">
        <v>0</v>
      </c>
      <c r="AE297" s="1">
        <v>0</v>
      </c>
      <c r="AF297" s="3">
        <v>0</v>
      </c>
      <c r="AG297" s="1">
        <v>2</v>
      </c>
      <c r="AH297" s="3">
        <v>1.5384615384615385</v>
      </c>
      <c r="AI297" s="1" t="s">
        <v>22</v>
      </c>
      <c r="AJ297" s="1">
        <v>1</v>
      </c>
      <c r="AK297" s="3">
        <v>0.76923076923076927</v>
      </c>
      <c r="AL297" s="1">
        <v>0</v>
      </c>
      <c r="AM297" s="3">
        <v>0</v>
      </c>
      <c r="AN297" s="1" t="s">
        <v>22</v>
      </c>
      <c r="AO297" s="1">
        <v>8</v>
      </c>
      <c r="AP297" s="3">
        <v>6.1538461538461542</v>
      </c>
      <c r="AQ297" s="3">
        <v>10</v>
      </c>
      <c r="AR297" s="3">
        <v>7.6923076923076925</v>
      </c>
      <c r="AS297" s="1">
        <v>5</v>
      </c>
      <c r="AT297" s="3">
        <v>3.8461538461538463</v>
      </c>
      <c r="AU297" s="1">
        <v>0</v>
      </c>
      <c r="AV297" s="3">
        <v>0</v>
      </c>
      <c r="AW297" s="1" t="s">
        <v>22</v>
      </c>
      <c r="AX297" s="1">
        <v>20</v>
      </c>
      <c r="AY297" s="1">
        <v>0</v>
      </c>
      <c r="AZ297" s="1">
        <v>0</v>
      </c>
      <c r="BA297" s="1">
        <v>40</v>
      </c>
      <c r="BB297" s="1">
        <v>0</v>
      </c>
      <c r="BC297" s="1">
        <v>0</v>
      </c>
      <c r="BD297" s="1">
        <v>1</v>
      </c>
      <c r="BE297" s="54">
        <v>0.76923076923076927</v>
      </c>
      <c r="BF297" s="6">
        <v>16</v>
      </c>
      <c r="BG297" s="6">
        <v>12</v>
      </c>
      <c r="BH297" s="1">
        <v>0</v>
      </c>
      <c r="BI297" s="6">
        <v>0</v>
      </c>
      <c r="BJ297" s="1" t="s">
        <v>22</v>
      </c>
      <c r="BK297" s="6">
        <v>3</v>
      </c>
      <c r="BL297" s="6">
        <v>0</v>
      </c>
      <c r="BM297" s="1">
        <v>0</v>
      </c>
      <c r="BN297" t="s">
        <v>24</v>
      </c>
      <c r="BO297">
        <v>12039</v>
      </c>
    </row>
    <row r="298" spans="1:67" x14ac:dyDescent="0.25">
      <c r="A298" s="4">
        <f>INT(Tabela1[[#This Row],[Data e Hora]])</f>
        <v>46289</v>
      </c>
      <c r="B298" s="4" t="str">
        <f>UPPER(TEXT(Tabela1[[#This Row],[Data Corrigida]],"MMM"))</f>
        <v>SET</v>
      </c>
      <c r="C298" t="s">
        <v>877</v>
      </c>
      <c r="D298" t="s">
        <v>878</v>
      </c>
      <c r="E298" t="s">
        <v>879</v>
      </c>
      <c r="F298" t="s">
        <v>19</v>
      </c>
      <c r="G298" s="5" t="s">
        <v>871</v>
      </c>
      <c r="H298" t="s">
        <v>20</v>
      </c>
      <c r="I298" t="s">
        <v>21</v>
      </c>
      <c r="J298" s="1">
        <v>160</v>
      </c>
      <c r="K298" s="1">
        <v>3140</v>
      </c>
      <c r="L298" t="s">
        <v>23</v>
      </c>
      <c r="M298" s="1">
        <v>44</v>
      </c>
      <c r="N298" s="48">
        <v>44</v>
      </c>
      <c r="O298" s="1">
        <v>29</v>
      </c>
      <c r="P298" s="48">
        <v>28.999999999999996</v>
      </c>
      <c r="Q298" s="1">
        <v>0</v>
      </c>
      <c r="R298" s="1">
        <v>0</v>
      </c>
      <c r="S298" s="1">
        <v>4</v>
      </c>
      <c r="T298" s="1">
        <v>4</v>
      </c>
      <c r="U298" s="1">
        <v>1</v>
      </c>
      <c r="V298" s="1">
        <v>1</v>
      </c>
      <c r="W298" s="1">
        <v>0</v>
      </c>
      <c r="X298" s="1">
        <v>0</v>
      </c>
      <c r="Y298" s="1">
        <v>2</v>
      </c>
      <c r="Z298" s="3">
        <v>0.625</v>
      </c>
      <c r="AA298" s="1">
        <v>3</v>
      </c>
      <c r="AB298" s="3">
        <v>1.875</v>
      </c>
      <c r="AC298" s="1">
        <v>0</v>
      </c>
      <c r="AD298" s="3">
        <v>0</v>
      </c>
      <c r="AE298" s="1">
        <v>1</v>
      </c>
      <c r="AF298" s="3">
        <v>0.625</v>
      </c>
      <c r="AG298" s="1">
        <v>7</v>
      </c>
      <c r="AH298" s="3">
        <v>4.375</v>
      </c>
      <c r="AI298" s="1" t="s">
        <v>22</v>
      </c>
      <c r="AJ298" s="1">
        <v>6</v>
      </c>
      <c r="AK298" s="3">
        <v>3.75</v>
      </c>
      <c r="AL298" s="1">
        <v>2</v>
      </c>
      <c r="AM298" s="3">
        <v>1.25</v>
      </c>
      <c r="AN298" s="1" t="s">
        <v>22</v>
      </c>
      <c r="AO298" s="1">
        <v>9</v>
      </c>
      <c r="AP298" s="3">
        <v>5.625</v>
      </c>
      <c r="AQ298" s="3">
        <v>3</v>
      </c>
      <c r="AR298" s="3">
        <v>1.875</v>
      </c>
      <c r="AS298" s="1">
        <v>7</v>
      </c>
      <c r="AT298" s="3">
        <v>4.375</v>
      </c>
      <c r="AU298" s="1">
        <v>2</v>
      </c>
      <c r="AV298" s="3">
        <v>1.25</v>
      </c>
      <c r="AW298" s="1" t="s">
        <v>22</v>
      </c>
      <c r="AX298" s="1">
        <v>19</v>
      </c>
      <c r="AY298" s="1">
        <v>0</v>
      </c>
      <c r="AZ298" s="1">
        <v>0</v>
      </c>
      <c r="BA298" s="1">
        <v>38</v>
      </c>
      <c r="BB298" s="1">
        <v>0</v>
      </c>
      <c r="BC298" s="1">
        <v>0</v>
      </c>
      <c r="BD298" s="1">
        <v>0</v>
      </c>
      <c r="BE298" s="54">
        <v>0</v>
      </c>
      <c r="BF298" s="6">
        <v>22</v>
      </c>
      <c r="BG298" s="6">
        <v>21</v>
      </c>
      <c r="BH298" s="1">
        <v>1</v>
      </c>
      <c r="BI298" s="6">
        <v>10</v>
      </c>
      <c r="BJ298" s="1" t="s">
        <v>22</v>
      </c>
      <c r="BK298" s="1" t="s">
        <v>22</v>
      </c>
      <c r="BL298" s="1" t="s">
        <v>22</v>
      </c>
      <c r="BM298" s="1" t="s">
        <v>22</v>
      </c>
      <c r="BN298" t="s">
        <v>24</v>
      </c>
      <c r="BO298">
        <v>2863</v>
      </c>
    </row>
    <row r="299" spans="1:67" x14ac:dyDescent="0.25">
      <c r="A299" s="4">
        <f>INT(Tabela1[[#This Row],[Data e Hora]])</f>
        <v>46289</v>
      </c>
      <c r="B299" s="4" t="str">
        <f>UPPER(TEXT(Tabela1[[#This Row],[Data Corrigida]],"MMM"))</f>
        <v>SET</v>
      </c>
      <c r="C299" t="s">
        <v>880</v>
      </c>
      <c r="D299" t="s">
        <v>881</v>
      </c>
      <c r="E299" t="s">
        <v>879</v>
      </c>
      <c r="F299" t="s">
        <v>19</v>
      </c>
      <c r="G299" s="5" t="s">
        <v>871</v>
      </c>
      <c r="H299" t="s">
        <v>20</v>
      </c>
      <c r="I299" t="s">
        <v>21</v>
      </c>
      <c r="J299" s="1">
        <v>151</v>
      </c>
      <c r="K299" s="1">
        <v>3140</v>
      </c>
      <c r="L299" t="s">
        <v>23</v>
      </c>
      <c r="M299" s="1">
        <v>37</v>
      </c>
      <c r="N299" s="48">
        <v>37</v>
      </c>
      <c r="O299" s="1">
        <v>20</v>
      </c>
      <c r="P299" s="48">
        <v>20</v>
      </c>
      <c r="Q299" s="1">
        <v>0</v>
      </c>
      <c r="R299" s="1">
        <v>0</v>
      </c>
      <c r="S299" s="1">
        <v>4</v>
      </c>
      <c r="T299" s="1">
        <v>4</v>
      </c>
      <c r="U299" s="1">
        <v>1</v>
      </c>
      <c r="V299" s="1">
        <v>1</v>
      </c>
      <c r="W299" s="1">
        <v>0</v>
      </c>
      <c r="X299" s="1">
        <v>0</v>
      </c>
      <c r="Y299" s="1">
        <v>1</v>
      </c>
      <c r="Z299" s="3">
        <v>0.33112582781456956</v>
      </c>
      <c r="AA299" s="1">
        <v>5</v>
      </c>
      <c r="AB299" s="3">
        <v>3.3112582781456954</v>
      </c>
      <c r="AC299" s="1">
        <v>0</v>
      </c>
      <c r="AD299" s="3">
        <v>0</v>
      </c>
      <c r="AE299" s="1">
        <v>2</v>
      </c>
      <c r="AF299" s="3">
        <v>1.3245033112582782</v>
      </c>
      <c r="AG299" s="1">
        <v>6</v>
      </c>
      <c r="AH299" s="3">
        <v>3.9735099337748347</v>
      </c>
      <c r="AI299" s="1" t="s">
        <v>22</v>
      </c>
      <c r="AJ299" s="1">
        <v>5</v>
      </c>
      <c r="AK299" s="3">
        <v>3.3112582781456954</v>
      </c>
      <c r="AL299" s="1">
        <v>2</v>
      </c>
      <c r="AM299" s="3">
        <v>1.3245033112582782</v>
      </c>
      <c r="AN299" s="1" t="s">
        <v>22</v>
      </c>
      <c r="AO299" s="1">
        <v>13</v>
      </c>
      <c r="AP299" s="3">
        <v>8.6092715231788084</v>
      </c>
      <c r="AQ299" s="3">
        <v>3</v>
      </c>
      <c r="AR299" s="3">
        <v>1.9867549668874174</v>
      </c>
      <c r="AS299" s="1">
        <v>7</v>
      </c>
      <c r="AT299" s="3">
        <v>4.6357615894039732</v>
      </c>
      <c r="AU299" s="1">
        <v>2</v>
      </c>
      <c r="AV299" s="3">
        <v>1.3245033112582782</v>
      </c>
      <c r="AW299" s="1" t="s">
        <v>22</v>
      </c>
      <c r="AX299" s="1">
        <v>20</v>
      </c>
      <c r="AY299" s="1">
        <v>0</v>
      </c>
      <c r="AZ299" s="1">
        <v>0</v>
      </c>
      <c r="BA299" s="1">
        <v>40</v>
      </c>
      <c r="BB299" s="1">
        <v>0</v>
      </c>
      <c r="BC299" s="1">
        <v>0</v>
      </c>
      <c r="BD299" s="1">
        <v>1</v>
      </c>
      <c r="BE299" s="54">
        <v>0.66225165562913912</v>
      </c>
      <c r="BF299" s="6">
        <v>20</v>
      </c>
      <c r="BG299" s="6">
        <v>18</v>
      </c>
      <c r="BH299" s="1">
        <v>1</v>
      </c>
      <c r="BI299" s="6">
        <v>10</v>
      </c>
      <c r="BJ299" s="1" t="s">
        <v>22</v>
      </c>
      <c r="BK299" s="6">
        <v>2</v>
      </c>
      <c r="BL299" s="6">
        <v>0</v>
      </c>
      <c r="BM299" s="1">
        <v>1</v>
      </c>
      <c r="BN299" t="s">
        <v>24</v>
      </c>
      <c r="BO299">
        <v>2051</v>
      </c>
    </row>
    <row r="300" spans="1:67" x14ac:dyDescent="0.25">
      <c r="A300" s="4">
        <f>INT(Tabela1[[#This Row],[Data e Hora]])</f>
        <v>46289</v>
      </c>
      <c r="B300" s="4" t="str">
        <f>UPPER(TEXT(Tabela1[[#This Row],[Data Corrigida]],"MMM"))</f>
        <v>SET</v>
      </c>
      <c r="C300" t="s">
        <v>882</v>
      </c>
      <c r="D300" t="s">
        <v>883</v>
      </c>
      <c r="E300" t="s">
        <v>879</v>
      </c>
      <c r="F300" t="s">
        <v>19</v>
      </c>
      <c r="G300" s="5" t="s">
        <v>871</v>
      </c>
      <c r="H300" t="s">
        <v>20</v>
      </c>
      <c r="I300" t="s">
        <v>21</v>
      </c>
      <c r="J300" s="1">
        <v>151</v>
      </c>
      <c r="K300" s="1">
        <v>2937</v>
      </c>
      <c r="L300" t="s">
        <v>23</v>
      </c>
      <c r="M300" s="1">
        <v>37</v>
      </c>
      <c r="N300" s="48">
        <v>37</v>
      </c>
      <c r="O300" s="1">
        <v>8</v>
      </c>
      <c r="P300" s="48">
        <v>8</v>
      </c>
      <c r="Q300" s="1">
        <v>0</v>
      </c>
      <c r="R300" s="1">
        <v>0</v>
      </c>
      <c r="S300" s="1">
        <v>1</v>
      </c>
      <c r="T300" s="1">
        <v>1</v>
      </c>
      <c r="U300" s="1">
        <v>1</v>
      </c>
      <c r="V300" s="1">
        <v>1</v>
      </c>
      <c r="W300" s="1">
        <v>0</v>
      </c>
      <c r="X300" s="1">
        <v>0</v>
      </c>
      <c r="Y300" s="1">
        <v>1</v>
      </c>
      <c r="Z300" s="3">
        <v>0.33112582781456956</v>
      </c>
      <c r="AA300" s="1">
        <v>4</v>
      </c>
      <c r="AB300" s="3">
        <v>2.6490066225165565</v>
      </c>
      <c r="AC300" s="1">
        <v>0</v>
      </c>
      <c r="AD300" s="3">
        <v>0</v>
      </c>
      <c r="AE300" s="1">
        <v>2</v>
      </c>
      <c r="AF300" s="3">
        <v>1.3245033112582782</v>
      </c>
      <c r="AG300" s="1">
        <v>6</v>
      </c>
      <c r="AH300" s="3">
        <v>3.9735099337748347</v>
      </c>
      <c r="AI300" s="1" t="s">
        <v>22</v>
      </c>
      <c r="AJ300" s="1">
        <v>7</v>
      </c>
      <c r="AK300" s="3">
        <v>4.6357615894039732</v>
      </c>
      <c r="AL300" s="1">
        <v>2</v>
      </c>
      <c r="AM300" s="3">
        <v>1.3245033112582782</v>
      </c>
      <c r="AN300" s="1" t="s">
        <v>22</v>
      </c>
      <c r="AO300" s="1">
        <v>14</v>
      </c>
      <c r="AP300" s="3">
        <v>9.2715231788079464</v>
      </c>
      <c r="AQ300" s="3">
        <v>3</v>
      </c>
      <c r="AR300" s="3">
        <v>1.9867549668874174</v>
      </c>
      <c r="AS300" s="1">
        <v>6</v>
      </c>
      <c r="AT300" s="3">
        <v>3.9735099337748347</v>
      </c>
      <c r="AU300" s="1">
        <v>1</v>
      </c>
      <c r="AV300" s="3">
        <v>0.66225165562913912</v>
      </c>
      <c r="AW300" s="1" t="s">
        <v>22</v>
      </c>
      <c r="AX300" s="1">
        <v>19</v>
      </c>
      <c r="AY300" s="1">
        <v>0</v>
      </c>
      <c r="AZ300" s="1">
        <v>0</v>
      </c>
      <c r="BA300" s="1">
        <v>38</v>
      </c>
      <c r="BB300" s="1">
        <v>0</v>
      </c>
      <c r="BC300" s="1">
        <v>0</v>
      </c>
      <c r="BD300" s="1">
        <v>0</v>
      </c>
      <c r="BE300" s="54">
        <v>0</v>
      </c>
      <c r="BF300" s="6">
        <v>22</v>
      </c>
      <c r="BG300" s="6">
        <v>17</v>
      </c>
      <c r="BH300" s="1">
        <v>0</v>
      </c>
      <c r="BI300" s="6">
        <v>0</v>
      </c>
      <c r="BJ300" s="1" t="s">
        <v>22</v>
      </c>
      <c r="BK300" s="1" t="s">
        <v>22</v>
      </c>
      <c r="BL300" s="1" t="s">
        <v>22</v>
      </c>
      <c r="BM300" s="1" t="s">
        <v>22</v>
      </c>
      <c r="BN300" t="s">
        <v>24</v>
      </c>
      <c r="BO300">
        <v>2396</v>
      </c>
    </row>
    <row r="301" spans="1:67" x14ac:dyDescent="0.25">
      <c r="A301" s="4">
        <f>INT(Tabela1[[#This Row],[Data e Hora]])</f>
        <v>46289</v>
      </c>
      <c r="B301" s="4" t="str">
        <f>UPPER(TEXT(Tabela1[[#This Row],[Data Corrigida]],"MMM"))</f>
        <v>SET</v>
      </c>
      <c r="C301" t="s">
        <v>884</v>
      </c>
      <c r="D301" t="s">
        <v>885</v>
      </c>
      <c r="E301" t="s">
        <v>886</v>
      </c>
      <c r="F301" t="s">
        <v>19</v>
      </c>
      <c r="G301" s="5" t="s">
        <v>871</v>
      </c>
      <c r="H301" t="s">
        <v>20</v>
      </c>
      <c r="I301" t="s">
        <v>21</v>
      </c>
      <c r="J301" s="1">
        <v>161</v>
      </c>
      <c r="K301" s="1">
        <v>2937</v>
      </c>
      <c r="L301" t="s">
        <v>23</v>
      </c>
      <c r="M301" s="1">
        <v>41</v>
      </c>
      <c r="N301" s="48">
        <v>41</v>
      </c>
      <c r="O301" s="1">
        <v>22</v>
      </c>
      <c r="P301" s="48">
        <v>22</v>
      </c>
      <c r="Q301" s="1">
        <v>0</v>
      </c>
      <c r="R301" s="1">
        <v>0</v>
      </c>
      <c r="S301" s="1">
        <v>2</v>
      </c>
      <c r="T301" s="1">
        <v>2</v>
      </c>
      <c r="U301" s="1">
        <v>1</v>
      </c>
      <c r="V301" s="1">
        <v>1</v>
      </c>
      <c r="W301" s="1">
        <v>0</v>
      </c>
      <c r="X301" s="1">
        <v>0</v>
      </c>
      <c r="Y301" s="1">
        <v>1</v>
      </c>
      <c r="Z301" s="3">
        <v>0.3105590062111801</v>
      </c>
      <c r="AA301" s="1">
        <v>9</v>
      </c>
      <c r="AB301" s="3">
        <v>5.5900621118012426</v>
      </c>
      <c r="AC301" s="1">
        <v>0</v>
      </c>
      <c r="AD301" s="3">
        <v>0</v>
      </c>
      <c r="AE301" s="1">
        <v>2</v>
      </c>
      <c r="AF301" s="3">
        <v>1.2422360248447204</v>
      </c>
      <c r="AG301" s="1">
        <v>6</v>
      </c>
      <c r="AH301" s="3">
        <v>3.7267080745341614</v>
      </c>
      <c r="AI301" s="1" t="s">
        <v>22</v>
      </c>
      <c r="AJ301" s="1">
        <v>6</v>
      </c>
      <c r="AK301" s="3">
        <v>3.7267080745341614</v>
      </c>
      <c r="AL301" s="1">
        <v>2</v>
      </c>
      <c r="AM301" s="3">
        <v>1.2422360248447204</v>
      </c>
      <c r="AN301" s="1" t="s">
        <v>22</v>
      </c>
      <c r="AO301" s="1">
        <v>14</v>
      </c>
      <c r="AP301" s="3">
        <v>8.695652173913043</v>
      </c>
      <c r="AQ301" s="3">
        <v>3</v>
      </c>
      <c r="AR301" s="3">
        <v>1.8633540372670807</v>
      </c>
      <c r="AS301" s="1">
        <v>7</v>
      </c>
      <c r="AT301" s="3">
        <v>4.3478260869565215</v>
      </c>
      <c r="AU301" s="1">
        <v>2</v>
      </c>
      <c r="AV301" s="3">
        <v>1.2422360248447204</v>
      </c>
      <c r="AW301" s="1" t="s">
        <v>22</v>
      </c>
      <c r="AX301" s="1">
        <v>20</v>
      </c>
      <c r="AY301" s="1">
        <v>0</v>
      </c>
      <c r="AZ301" s="1">
        <v>0</v>
      </c>
      <c r="BA301" s="1">
        <v>40</v>
      </c>
      <c r="BB301" s="1">
        <v>0</v>
      </c>
      <c r="BC301" s="1">
        <v>0</v>
      </c>
      <c r="BD301" s="1">
        <v>0</v>
      </c>
      <c r="BE301" s="54">
        <v>0</v>
      </c>
      <c r="BF301" s="6">
        <v>14</v>
      </c>
      <c r="BG301" s="6">
        <v>9</v>
      </c>
      <c r="BH301" s="1">
        <v>0</v>
      </c>
      <c r="BI301" s="6">
        <v>0</v>
      </c>
      <c r="BJ301" s="1" t="s">
        <v>22</v>
      </c>
      <c r="BK301" s="1" t="s">
        <v>22</v>
      </c>
      <c r="BL301" s="1" t="s">
        <v>22</v>
      </c>
      <c r="BM301" s="1" t="s">
        <v>22</v>
      </c>
      <c r="BN301" t="s">
        <v>24</v>
      </c>
      <c r="BO301">
        <v>1403</v>
      </c>
    </row>
    <row r="302" spans="1:67" x14ac:dyDescent="0.25">
      <c r="A302" s="4">
        <f>INT(Tabela1[[#This Row],[Data e Hora]])</f>
        <v>46293</v>
      </c>
      <c r="B302" s="4" t="str">
        <f>UPPER(TEXT(Tabela1[[#This Row],[Data Corrigida]],"MMM"))</f>
        <v>SET</v>
      </c>
      <c r="C302" s="57" t="s">
        <v>887</v>
      </c>
      <c r="D302" t="s">
        <v>888</v>
      </c>
      <c r="E302" t="s">
        <v>889</v>
      </c>
      <c r="F302" t="s">
        <v>19</v>
      </c>
      <c r="G302" s="5" t="s">
        <v>890</v>
      </c>
      <c r="H302" t="s">
        <v>20</v>
      </c>
      <c r="I302" t="s">
        <v>33</v>
      </c>
      <c r="J302" s="1">
        <v>161</v>
      </c>
      <c r="K302" s="1">
        <v>3225</v>
      </c>
      <c r="L302" t="s">
        <v>34</v>
      </c>
      <c r="M302" s="1">
        <v>20</v>
      </c>
      <c r="N302" s="48">
        <v>20</v>
      </c>
      <c r="O302" s="1">
        <v>6</v>
      </c>
      <c r="P302" s="48">
        <v>6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5</v>
      </c>
      <c r="Z302" s="3">
        <v>1.5527950310559007</v>
      </c>
      <c r="AA302" s="1">
        <v>4</v>
      </c>
      <c r="AB302" s="3">
        <v>2.4844720496894408</v>
      </c>
      <c r="AC302" s="1">
        <v>0</v>
      </c>
      <c r="AD302" s="3">
        <v>0</v>
      </c>
      <c r="AE302" s="1">
        <v>2</v>
      </c>
      <c r="AF302" s="3">
        <v>1.2422360248447204</v>
      </c>
      <c r="AG302" s="1">
        <v>3</v>
      </c>
      <c r="AH302" s="3">
        <v>1.8633540372670807</v>
      </c>
      <c r="AI302" s="1" t="s">
        <v>22</v>
      </c>
      <c r="AJ302" s="1">
        <v>0</v>
      </c>
      <c r="AK302" s="3">
        <v>0</v>
      </c>
      <c r="AL302" s="1">
        <v>0</v>
      </c>
      <c r="AM302" s="3">
        <v>0</v>
      </c>
      <c r="AN302" s="1" t="s">
        <v>22</v>
      </c>
      <c r="AO302" s="1">
        <v>6</v>
      </c>
      <c r="AP302" s="3">
        <v>3.7267080745341614</v>
      </c>
      <c r="AQ302" s="3">
        <v>4</v>
      </c>
      <c r="AR302" s="3">
        <v>2.4844720496894408</v>
      </c>
      <c r="AS302" s="1">
        <v>6</v>
      </c>
      <c r="AT302" s="3">
        <v>3.7267080745341614</v>
      </c>
      <c r="AU302" s="1">
        <v>0</v>
      </c>
      <c r="AV302" s="3">
        <v>0</v>
      </c>
      <c r="AW302" s="1" t="s">
        <v>22</v>
      </c>
      <c r="AX302" s="1">
        <v>18</v>
      </c>
      <c r="AY302" s="1">
        <v>0</v>
      </c>
      <c r="AZ302" s="1">
        <v>0</v>
      </c>
      <c r="BA302" s="1">
        <v>36</v>
      </c>
      <c r="BB302" s="1">
        <v>0</v>
      </c>
      <c r="BC302" s="1">
        <v>0</v>
      </c>
      <c r="BD302" s="1">
        <v>0</v>
      </c>
      <c r="BE302" s="54">
        <v>0</v>
      </c>
      <c r="BF302" s="6">
        <v>20</v>
      </c>
      <c r="BG302" s="6">
        <v>18</v>
      </c>
      <c r="BH302" s="1">
        <v>0</v>
      </c>
      <c r="BI302" s="6">
        <v>0</v>
      </c>
      <c r="BJ302" s="1" t="s">
        <v>22</v>
      </c>
      <c r="BK302" s="6">
        <v>0</v>
      </c>
      <c r="BL302" s="6">
        <v>0</v>
      </c>
      <c r="BM302" s="1">
        <v>0</v>
      </c>
      <c r="BN302" t="s">
        <v>24</v>
      </c>
      <c r="BO302">
        <v>3787</v>
      </c>
    </row>
    <row r="303" spans="1:67" x14ac:dyDescent="0.25">
      <c r="A303" s="4">
        <f>INT(Tabela1[[#This Row],[Data e Hora]])</f>
        <v>46293</v>
      </c>
      <c r="B303" s="4" t="str">
        <f>UPPER(TEXT(Tabela1[[#This Row],[Data Corrigida]],"MMM"))</f>
        <v>SET</v>
      </c>
      <c r="C303" t="s">
        <v>891</v>
      </c>
      <c r="D303" t="s">
        <v>892</v>
      </c>
      <c r="E303" t="s">
        <v>889</v>
      </c>
      <c r="F303" t="s">
        <v>19</v>
      </c>
      <c r="G303" s="5" t="s">
        <v>890</v>
      </c>
      <c r="H303" t="s">
        <v>20</v>
      </c>
      <c r="I303" t="s">
        <v>33</v>
      </c>
      <c r="J303" s="1">
        <v>79</v>
      </c>
      <c r="K303" s="1">
        <v>3390</v>
      </c>
      <c r="L303" t="s">
        <v>34</v>
      </c>
      <c r="M303" s="1">
        <v>17</v>
      </c>
      <c r="N303" s="48">
        <v>17</v>
      </c>
      <c r="O303" s="1">
        <v>16</v>
      </c>
      <c r="P303" s="48">
        <v>16</v>
      </c>
      <c r="Q303" s="1">
        <v>0</v>
      </c>
      <c r="R303" s="1">
        <v>0</v>
      </c>
      <c r="S303" s="1">
        <v>1</v>
      </c>
      <c r="T303" s="1">
        <v>1</v>
      </c>
      <c r="U303" s="1">
        <v>0</v>
      </c>
      <c r="V303" s="1">
        <v>0</v>
      </c>
      <c r="W303" s="1">
        <v>1</v>
      </c>
      <c r="X303" s="1">
        <v>5</v>
      </c>
      <c r="Y303" s="1">
        <v>5</v>
      </c>
      <c r="Z303" s="3">
        <v>3.1645569620253164</v>
      </c>
      <c r="AA303" s="1">
        <v>5</v>
      </c>
      <c r="AB303" s="3">
        <v>6.3291139240506329</v>
      </c>
      <c r="AC303" s="1">
        <v>0</v>
      </c>
      <c r="AD303" s="3">
        <v>0</v>
      </c>
      <c r="AE303" s="1">
        <v>3</v>
      </c>
      <c r="AF303" s="3">
        <v>3.79746835443038</v>
      </c>
      <c r="AG303" s="1">
        <v>2</v>
      </c>
      <c r="AH303" s="3">
        <v>2.5316455696202533</v>
      </c>
      <c r="AI303" s="1" t="s">
        <v>22</v>
      </c>
      <c r="AJ303" s="1">
        <v>1</v>
      </c>
      <c r="AK303" s="3">
        <v>1.2658227848101267</v>
      </c>
      <c r="AL303" s="1">
        <v>0</v>
      </c>
      <c r="AM303" s="3">
        <v>0</v>
      </c>
      <c r="AN303" s="1" t="s">
        <v>22</v>
      </c>
      <c r="AO303" s="1">
        <v>11</v>
      </c>
      <c r="AP303" s="3">
        <v>13.924050632911392</v>
      </c>
      <c r="AQ303" s="3">
        <v>5</v>
      </c>
      <c r="AR303" s="3">
        <v>6.3291139240506329</v>
      </c>
      <c r="AS303" s="1">
        <v>6</v>
      </c>
      <c r="AT303" s="3">
        <v>7.59493670886076</v>
      </c>
      <c r="AU303" s="1">
        <v>0</v>
      </c>
      <c r="AV303" s="3">
        <v>0</v>
      </c>
      <c r="AW303" s="1" t="s">
        <v>22</v>
      </c>
      <c r="AX303" s="1">
        <v>19</v>
      </c>
      <c r="AY303" s="1">
        <v>0</v>
      </c>
      <c r="AZ303" s="1">
        <v>0</v>
      </c>
      <c r="BA303" s="1">
        <v>38</v>
      </c>
      <c r="BB303" s="1">
        <v>0</v>
      </c>
      <c r="BC303" s="1">
        <v>0</v>
      </c>
      <c r="BD303" s="1">
        <v>0</v>
      </c>
      <c r="BE303" s="54">
        <v>0</v>
      </c>
      <c r="BF303" s="6">
        <v>19</v>
      </c>
      <c r="BG303" s="6">
        <v>17</v>
      </c>
      <c r="BH303" s="1">
        <v>0</v>
      </c>
      <c r="BI303" s="6">
        <v>0</v>
      </c>
      <c r="BJ303" s="1" t="s">
        <v>22</v>
      </c>
      <c r="BK303" s="6">
        <v>1</v>
      </c>
      <c r="BL303" s="6">
        <v>0</v>
      </c>
      <c r="BM303" s="1">
        <v>0</v>
      </c>
      <c r="BN303" t="s">
        <v>24</v>
      </c>
      <c r="BO303">
        <v>10785</v>
      </c>
    </row>
    <row r="304" spans="1:67" x14ac:dyDescent="0.25">
      <c r="A304" s="4">
        <f>INT(Tabela1[[#This Row],[Data e Hora]])</f>
        <v>46293</v>
      </c>
      <c r="B304" s="4" t="str">
        <f>UPPER(TEXT(Tabela1[[#This Row],[Data Corrigida]],"MMM"))</f>
        <v>SET</v>
      </c>
      <c r="C304" t="s">
        <v>893</v>
      </c>
      <c r="D304" t="s">
        <v>894</v>
      </c>
      <c r="E304" t="s">
        <v>895</v>
      </c>
      <c r="F304" t="s">
        <v>19</v>
      </c>
      <c r="G304" s="5" t="s">
        <v>890</v>
      </c>
      <c r="H304" t="s">
        <v>20</v>
      </c>
      <c r="I304" t="s">
        <v>33</v>
      </c>
      <c r="J304" s="1">
        <v>130</v>
      </c>
      <c r="K304" s="1">
        <v>3231</v>
      </c>
      <c r="L304" t="s">
        <v>34</v>
      </c>
      <c r="M304" s="1">
        <v>16</v>
      </c>
      <c r="N304" s="48">
        <v>16</v>
      </c>
      <c r="O304" s="1">
        <v>6</v>
      </c>
      <c r="P304" s="48">
        <v>6</v>
      </c>
      <c r="Q304" s="1">
        <v>0</v>
      </c>
      <c r="R304" s="1">
        <v>0</v>
      </c>
      <c r="S304" s="1">
        <v>3</v>
      </c>
      <c r="T304" s="1">
        <v>3</v>
      </c>
      <c r="U304" s="1">
        <v>2</v>
      </c>
      <c r="V304" s="1">
        <v>2</v>
      </c>
      <c r="W304" s="1">
        <v>1</v>
      </c>
      <c r="X304" s="1">
        <v>5</v>
      </c>
      <c r="Y304" s="1">
        <v>4</v>
      </c>
      <c r="Z304" s="3">
        <v>1.5384615384615385</v>
      </c>
      <c r="AA304" s="1">
        <v>5</v>
      </c>
      <c r="AB304" s="3">
        <v>3.8461538461538463</v>
      </c>
      <c r="AC304" s="1">
        <v>0</v>
      </c>
      <c r="AD304" s="3">
        <v>0</v>
      </c>
      <c r="AE304" s="1">
        <v>1</v>
      </c>
      <c r="AF304" s="3">
        <v>0.76923076923076927</v>
      </c>
      <c r="AG304" s="1">
        <v>2</v>
      </c>
      <c r="AH304" s="3">
        <v>1.5384615384615385</v>
      </c>
      <c r="AI304" s="1" t="s">
        <v>22</v>
      </c>
      <c r="AJ304" s="1">
        <v>0</v>
      </c>
      <c r="AK304" s="3">
        <v>0</v>
      </c>
      <c r="AL304" s="1">
        <v>0</v>
      </c>
      <c r="AM304" s="3">
        <v>0</v>
      </c>
      <c r="AN304" s="1" t="s">
        <v>22</v>
      </c>
      <c r="AO304" s="1">
        <v>8</v>
      </c>
      <c r="AP304" s="3">
        <v>6.1538461538461542</v>
      </c>
      <c r="AQ304" s="3">
        <v>5</v>
      </c>
      <c r="AR304" s="3">
        <v>3.8461538461538463</v>
      </c>
      <c r="AS304" s="1">
        <v>6</v>
      </c>
      <c r="AT304" s="3">
        <v>4.6153846153846159</v>
      </c>
      <c r="AU304" s="1">
        <v>1</v>
      </c>
      <c r="AV304" s="3">
        <v>0.76923076923076927</v>
      </c>
      <c r="AW304" s="1" t="s">
        <v>22</v>
      </c>
      <c r="AX304" s="1">
        <v>19</v>
      </c>
      <c r="AY304" s="1">
        <v>0</v>
      </c>
      <c r="AZ304" s="1">
        <v>0</v>
      </c>
      <c r="BA304" s="1">
        <v>38</v>
      </c>
      <c r="BB304" s="1">
        <v>0</v>
      </c>
      <c r="BC304" s="1">
        <v>0</v>
      </c>
      <c r="BD304" s="1">
        <v>0</v>
      </c>
      <c r="BE304" s="54">
        <v>0</v>
      </c>
      <c r="BF304" s="6">
        <v>20</v>
      </c>
      <c r="BG304" s="6">
        <v>19</v>
      </c>
      <c r="BH304" s="1">
        <v>0</v>
      </c>
      <c r="BI304" s="6">
        <v>0</v>
      </c>
      <c r="BJ304" s="1" t="s">
        <v>22</v>
      </c>
      <c r="BK304" s="6">
        <v>2</v>
      </c>
      <c r="BL304" s="6">
        <v>0</v>
      </c>
      <c r="BM304" s="1">
        <v>0</v>
      </c>
      <c r="BN304" t="s">
        <v>24</v>
      </c>
      <c r="BO304">
        <v>10054</v>
      </c>
    </row>
    <row r="305" spans="1:67" x14ac:dyDescent="0.25">
      <c r="A305" s="4">
        <f>INT(Tabela1[[#This Row],[Data e Hora]])</f>
        <v>46293</v>
      </c>
      <c r="B305" s="4" t="str">
        <f>UPPER(TEXT(Tabela1[[#This Row],[Data Corrigida]],"MMM"))</f>
        <v>SET</v>
      </c>
      <c r="C305" t="s">
        <v>896</v>
      </c>
      <c r="D305" t="s">
        <v>897</v>
      </c>
      <c r="E305" t="s">
        <v>898</v>
      </c>
      <c r="F305" t="s">
        <v>19</v>
      </c>
      <c r="G305" s="5" t="s">
        <v>890</v>
      </c>
      <c r="H305" t="s">
        <v>20</v>
      </c>
      <c r="I305" t="s">
        <v>21</v>
      </c>
      <c r="J305" s="1">
        <v>120</v>
      </c>
      <c r="K305" s="1">
        <v>3298</v>
      </c>
      <c r="L305" t="s">
        <v>23</v>
      </c>
      <c r="M305" s="1">
        <v>39</v>
      </c>
      <c r="N305" s="48">
        <v>39</v>
      </c>
      <c r="O305" s="1">
        <v>18</v>
      </c>
      <c r="P305" s="48">
        <v>18</v>
      </c>
      <c r="Q305" s="1">
        <v>0</v>
      </c>
      <c r="R305" s="1">
        <v>0</v>
      </c>
      <c r="S305" s="1">
        <v>3</v>
      </c>
      <c r="T305" s="1">
        <v>3</v>
      </c>
      <c r="U305" s="1">
        <v>1</v>
      </c>
      <c r="V305" s="1">
        <v>1</v>
      </c>
      <c r="W305" s="1">
        <v>0</v>
      </c>
      <c r="X305" s="1">
        <v>0</v>
      </c>
      <c r="Y305" s="1">
        <v>4</v>
      </c>
      <c r="Z305" s="3">
        <v>1.6666666666666667</v>
      </c>
      <c r="AA305" s="1">
        <v>2</v>
      </c>
      <c r="AB305" s="3">
        <v>1.6666666666666667</v>
      </c>
      <c r="AC305" s="1">
        <v>0</v>
      </c>
      <c r="AD305" s="3">
        <v>0</v>
      </c>
      <c r="AE305" s="1">
        <v>1</v>
      </c>
      <c r="AF305" s="3">
        <v>0.83333333333333337</v>
      </c>
      <c r="AG305" s="1">
        <v>4</v>
      </c>
      <c r="AH305" s="3">
        <v>3.3333333333333335</v>
      </c>
      <c r="AI305" s="1" t="s">
        <v>22</v>
      </c>
      <c r="AJ305" s="1">
        <v>7</v>
      </c>
      <c r="AK305" s="3">
        <v>5.833333333333333</v>
      </c>
      <c r="AL305" s="1">
        <v>2</v>
      </c>
      <c r="AM305" s="3">
        <v>1.6666666666666667</v>
      </c>
      <c r="AN305" s="1" t="s">
        <v>22</v>
      </c>
      <c r="AO305" s="1">
        <v>11</v>
      </c>
      <c r="AP305" s="3">
        <v>9.1666666666666661</v>
      </c>
      <c r="AQ305" s="3">
        <v>2</v>
      </c>
      <c r="AR305" s="3">
        <v>1.6666666666666667</v>
      </c>
      <c r="AS305" s="1">
        <v>7</v>
      </c>
      <c r="AT305" s="3">
        <v>5.833333333333333</v>
      </c>
      <c r="AU305" s="1">
        <v>2</v>
      </c>
      <c r="AV305" s="3">
        <v>1.6666666666666667</v>
      </c>
      <c r="AW305" s="1" t="s">
        <v>22</v>
      </c>
      <c r="AX305" s="1">
        <v>20</v>
      </c>
      <c r="AY305" s="1">
        <v>0</v>
      </c>
      <c r="AZ305" s="1">
        <v>0</v>
      </c>
      <c r="BA305" s="1">
        <v>40</v>
      </c>
      <c r="BB305" s="1">
        <v>0</v>
      </c>
      <c r="BC305" s="1">
        <v>0</v>
      </c>
      <c r="BD305" s="1">
        <v>1</v>
      </c>
      <c r="BE305" s="54">
        <v>0.83333333333333337</v>
      </c>
      <c r="BF305" s="6">
        <v>19</v>
      </c>
      <c r="BG305" s="6">
        <v>21</v>
      </c>
      <c r="BH305" s="1">
        <v>1</v>
      </c>
      <c r="BI305" s="6">
        <v>10</v>
      </c>
      <c r="BJ305" s="1" t="s">
        <v>22</v>
      </c>
      <c r="BK305" s="1" t="s">
        <v>22</v>
      </c>
      <c r="BL305" s="1" t="s">
        <v>22</v>
      </c>
      <c r="BM305" s="1" t="s">
        <v>22</v>
      </c>
      <c r="BN305" t="s">
        <v>24</v>
      </c>
      <c r="BO305">
        <v>1697</v>
      </c>
    </row>
    <row r="306" spans="1:67" x14ac:dyDescent="0.25">
      <c r="A306" s="4">
        <f>INT(Tabela1[[#This Row],[Data e Hora]])</f>
        <v>46293</v>
      </c>
      <c r="B306" s="4" t="str">
        <f>UPPER(TEXT(Tabela1[[#This Row],[Data Corrigida]],"MMM"))</f>
        <v>SET</v>
      </c>
      <c r="C306" t="s">
        <v>899</v>
      </c>
      <c r="D306" t="s">
        <v>900</v>
      </c>
      <c r="E306" t="s">
        <v>901</v>
      </c>
      <c r="F306" t="s">
        <v>19</v>
      </c>
      <c r="G306" s="5" t="s">
        <v>890</v>
      </c>
      <c r="H306" t="s">
        <v>20</v>
      </c>
      <c r="I306" t="s">
        <v>21</v>
      </c>
      <c r="J306" s="1">
        <v>161</v>
      </c>
      <c r="K306" s="1">
        <v>2867</v>
      </c>
      <c r="L306" t="s">
        <v>23</v>
      </c>
      <c r="M306" s="1">
        <v>30</v>
      </c>
      <c r="N306" s="48">
        <v>30</v>
      </c>
      <c r="O306" s="1">
        <v>13</v>
      </c>
      <c r="P306" s="48">
        <v>13</v>
      </c>
      <c r="Q306" s="1">
        <v>0</v>
      </c>
      <c r="R306" s="1">
        <v>0</v>
      </c>
      <c r="S306" s="1">
        <v>1</v>
      </c>
      <c r="T306" s="1">
        <v>1</v>
      </c>
      <c r="U306" s="1">
        <v>1</v>
      </c>
      <c r="V306" s="1">
        <v>1</v>
      </c>
      <c r="W306" s="1">
        <v>0</v>
      </c>
      <c r="X306" s="1">
        <v>0</v>
      </c>
      <c r="Y306" s="1">
        <v>2</v>
      </c>
      <c r="Z306" s="3">
        <v>0.6211180124223602</v>
      </c>
      <c r="AA306" s="1">
        <v>3</v>
      </c>
      <c r="AB306" s="3">
        <v>1.8633540372670807</v>
      </c>
      <c r="AC306" s="1">
        <v>0</v>
      </c>
      <c r="AD306" s="3">
        <v>0</v>
      </c>
      <c r="AE306" s="1">
        <v>1</v>
      </c>
      <c r="AF306" s="3">
        <v>0.6211180124223602</v>
      </c>
      <c r="AG306" s="1">
        <v>5</v>
      </c>
      <c r="AH306" s="3">
        <v>3.1055900621118013</v>
      </c>
      <c r="AI306" s="1" t="s">
        <v>22</v>
      </c>
      <c r="AJ306" s="1">
        <v>7</v>
      </c>
      <c r="AK306" s="3">
        <v>4.3478260869565215</v>
      </c>
      <c r="AL306" s="1">
        <v>3</v>
      </c>
      <c r="AM306" s="3">
        <v>1.8633540372670807</v>
      </c>
      <c r="AN306" s="1" t="s">
        <v>22</v>
      </c>
      <c r="AO306" s="1">
        <v>10</v>
      </c>
      <c r="AP306" s="3">
        <v>6.2111801242236027</v>
      </c>
      <c r="AQ306" s="3">
        <v>1</v>
      </c>
      <c r="AR306" s="3">
        <v>0.6211180124223602</v>
      </c>
      <c r="AS306" s="1">
        <v>7</v>
      </c>
      <c r="AT306" s="3">
        <v>4.3478260869565215</v>
      </c>
      <c r="AU306" s="1">
        <v>1</v>
      </c>
      <c r="AV306" s="3">
        <v>0.6211180124223602</v>
      </c>
      <c r="AW306" s="1" t="s">
        <v>22</v>
      </c>
      <c r="AX306" s="1">
        <v>17</v>
      </c>
      <c r="AY306" s="1">
        <v>0</v>
      </c>
      <c r="AZ306" s="1">
        <v>0</v>
      </c>
      <c r="BA306" s="1">
        <v>34</v>
      </c>
      <c r="BB306" s="1">
        <v>0</v>
      </c>
      <c r="BC306" s="1">
        <v>0</v>
      </c>
      <c r="BD306" s="1">
        <v>0</v>
      </c>
      <c r="BE306" s="54">
        <v>0</v>
      </c>
      <c r="BF306" s="6">
        <v>19</v>
      </c>
      <c r="BG306" s="6">
        <v>25</v>
      </c>
      <c r="BH306" s="1">
        <v>1</v>
      </c>
      <c r="BI306" s="6">
        <v>10</v>
      </c>
      <c r="BJ306" s="1" t="s">
        <v>22</v>
      </c>
      <c r="BK306" s="6">
        <v>1</v>
      </c>
      <c r="BL306" s="6">
        <v>0</v>
      </c>
      <c r="BM306" s="1">
        <v>0</v>
      </c>
      <c r="BN306" t="s">
        <v>24</v>
      </c>
      <c r="BO306">
        <v>2376</v>
      </c>
    </row>
    <row r="307" spans="1:67" x14ac:dyDescent="0.25">
      <c r="A307" s="4">
        <f>INT(Tabela1[[#This Row],[Data e Hora]])</f>
        <v>46293</v>
      </c>
      <c r="B307" s="4" t="str">
        <f>UPPER(TEXT(Tabela1[[#This Row],[Data Corrigida]],"MMM"))</f>
        <v>SET</v>
      </c>
      <c r="C307" t="s">
        <v>902</v>
      </c>
      <c r="D307" t="s">
        <v>903</v>
      </c>
      <c r="E307" t="s">
        <v>901</v>
      </c>
      <c r="F307" t="s">
        <v>19</v>
      </c>
      <c r="G307" s="5" t="s">
        <v>890</v>
      </c>
      <c r="H307" t="s">
        <v>20</v>
      </c>
      <c r="I307" t="s">
        <v>21</v>
      </c>
      <c r="J307" s="1">
        <v>151</v>
      </c>
      <c r="K307" s="1">
        <v>2953</v>
      </c>
      <c r="L307" t="s">
        <v>23</v>
      </c>
      <c r="M307" s="1">
        <v>28</v>
      </c>
      <c r="N307" s="48">
        <v>28.000000000000004</v>
      </c>
      <c r="O307" s="1">
        <v>12</v>
      </c>
      <c r="P307" s="48">
        <v>12</v>
      </c>
      <c r="Q307" s="1">
        <v>0</v>
      </c>
      <c r="R307" s="1">
        <v>0</v>
      </c>
      <c r="S307" s="1">
        <v>2</v>
      </c>
      <c r="T307" s="1">
        <v>2</v>
      </c>
      <c r="U307" s="1">
        <v>1</v>
      </c>
      <c r="V307" s="1">
        <v>1</v>
      </c>
      <c r="W307" s="1">
        <v>0</v>
      </c>
      <c r="X307" s="1">
        <v>0</v>
      </c>
      <c r="Y307" s="1">
        <v>1</v>
      </c>
      <c r="Z307" s="3">
        <v>0.33112582781456956</v>
      </c>
      <c r="AA307" s="1">
        <v>3</v>
      </c>
      <c r="AB307" s="3">
        <v>1.9867549668874174</v>
      </c>
      <c r="AC307" s="1">
        <v>0</v>
      </c>
      <c r="AD307" s="3">
        <v>0</v>
      </c>
      <c r="AE307" s="1">
        <v>2</v>
      </c>
      <c r="AF307" s="3">
        <v>1.3245033112582782</v>
      </c>
      <c r="AG307" s="1">
        <v>6</v>
      </c>
      <c r="AH307" s="3">
        <v>3.9735099337748347</v>
      </c>
      <c r="AI307" s="1" t="s">
        <v>22</v>
      </c>
      <c r="AJ307" s="1">
        <v>9</v>
      </c>
      <c r="AK307" s="3">
        <v>5.9602649006622519</v>
      </c>
      <c r="AL307" s="1">
        <v>2</v>
      </c>
      <c r="AM307" s="3">
        <v>1.3245033112582782</v>
      </c>
      <c r="AN307" s="1" t="s">
        <v>22</v>
      </c>
      <c r="AO307" s="1">
        <v>14</v>
      </c>
      <c r="AP307" s="3">
        <v>9.2715231788079464</v>
      </c>
      <c r="AQ307" s="3">
        <v>2</v>
      </c>
      <c r="AR307" s="3">
        <v>1.3245033112582782</v>
      </c>
      <c r="AS307" s="1">
        <v>7</v>
      </c>
      <c r="AT307" s="3">
        <v>4.6357615894039732</v>
      </c>
      <c r="AU307" s="1">
        <v>1</v>
      </c>
      <c r="AV307" s="3">
        <v>0.66225165562913912</v>
      </c>
      <c r="AW307" s="1" t="s">
        <v>22</v>
      </c>
      <c r="AX307" s="1">
        <v>19</v>
      </c>
      <c r="AY307" s="1">
        <v>0</v>
      </c>
      <c r="AZ307" s="1">
        <v>0</v>
      </c>
      <c r="BA307" s="1">
        <v>38</v>
      </c>
      <c r="BB307" s="1">
        <v>0</v>
      </c>
      <c r="BC307" s="1">
        <v>0</v>
      </c>
      <c r="BD307" s="1">
        <v>0</v>
      </c>
      <c r="BE307" s="54">
        <v>0</v>
      </c>
      <c r="BF307" s="6">
        <v>17</v>
      </c>
      <c r="BG307" s="6">
        <v>22</v>
      </c>
      <c r="BH307" s="1">
        <v>1</v>
      </c>
      <c r="BI307" s="6">
        <v>10</v>
      </c>
      <c r="BJ307" s="1" t="s">
        <v>22</v>
      </c>
      <c r="BK307" s="6">
        <v>1</v>
      </c>
      <c r="BL307" s="6">
        <v>0</v>
      </c>
      <c r="BM307" s="1">
        <v>1</v>
      </c>
      <c r="BN307" t="s">
        <v>24</v>
      </c>
      <c r="BO307">
        <v>2966</v>
      </c>
    </row>
    <row r="308" spans="1:67" x14ac:dyDescent="0.25">
      <c r="A308" s="4">
        <f>INT(Tabela1[[#This Row],[Data e Hora]])</f>
        <v>46293</v>
      </c>
      <c r="B308" s="4" t="str">
        <f>UPPER(TEXT(Tabela1[[#This Row],[Data Corrigida]],"MMM"))</f>
        <v>SET</v>
      </c>
      <c r="C308" t="s">
        <v>904</v>
      </c>
      <c r="D308" t="s">
        <v>905</v>
      </c>
      <c r="E308" t="s">
        <v>901</v>
      </c>
      <c r="F308" t="s">
        <v>19</v>
      </c>
      <c r="G308" s="5" t="s">
        <v>890</v>
      </c>
      <c r="H308" t="s">
        <v>20</v>
      </c>
      <c r="I308" t="s">
        <v>21</v>
      </c>
      <c r="J308" s="1">
        <v>160</v>
      </c>
      <c r="K308" s="1">
        <v>3244</v>
      </c>
      <c r="L308" t="s">
        <v>23</v>
      </c>
      <c r="M308" s="1">
        <v>31</v>
      </c>
      <c r="N308" s="48">
        <v>31</v>
      </c>
      <c r="O308" s="1">
        <v>9</v>
      </c>
      <c r="P308" s="48">
        <v>9</v>
      </c>
      <c r="Q308" s="1">
        <v>0</v>
      </c>
      <c r="R308" s="1">
        <v>0</v>
      </c>
      <c r="S308" s="1">
        <v>2</v>
      </c>
      <c r="T308" s="1">
        <v>2</v>
      </c>
      <c r="U308" s="1">
        <v>1</v>
      </c>
      <c r="V308" s="1">
        <v>1</v>
      </c>
      <c r="W308" s="1">
        <v>0</v>
      </c>
      <c r="X308" s="1">
        <v>0</v>
      </c>
      <c r="Y308" s="1">
        <v>2</v>
      </c>
      <c r="Z308" s="3">
        <v>0.625</v>
      </c>
      <c r="AA308" s="1">
        <v>2</v>
      </c>
      <c r="AB308" s="3">
        <v>1.25</v>
      </c>
      <c r="AC308" s="1">
        <v>0</v>
      </c>
      <c r="AD308" s="3">
        <v>0</v>
      </c>
      <c r="AE308" s="1">
        <v>1</v>
      </c>
      <c r="AF308" s="3">
        <v>0.625</v>
      </c>
      <c r="AG308" s="1">
        <v>5</v>
      </c>
      <c r="AH308" s="3">
        <v>3.125</v>
      </c>
      <c r="AI308" s="1" t="s">
        <v>22</v>
      </c>
      <c r="AJ308" s="1">
        <v>2</v>
      </c>
      <c r="AK308" s="3">
        <v>1.25</v>
      </c>
      <c r="AL308" s="1">
        <v>1</v>
      </c>
      <c r="AM308" s="3">
        <v>0.625</v>
      </c>
      <c r="AN308" s="1" t="s">
        <v>22</v>
      </c>
      <c r="AO308" s="1">
        <v>8</v>
      </c>
      <c r="AP308" s="3">
        <v>5</v>
      </c>
      <c r="AQ308" s="3">
        <v>1</v>
      </c>
      <c r="AR308" s="3">
        <v>0.625</v>
      </c>
      <c r="AS308" s="1">
        <v>7</v>
      </c>
      <c r="AT308" s="3">
        <v>4.375</v>
      </c>
      <c r="AU308" s="1">
        <v>1</v>
      </c>
      <c r="AV308" s="3">
        <v>0.625</v>
      </c>
      <c r="AW308" s="1" t="s">
        <v>22</v>
      </c>
      <c r="AX308" s="1">
        <v>19</v>
      </c>
      <c r="AY308" s="1">
        <v>0</v>
      </c>
      <c r="AZ308" s="1">
        <v>0</v>
      </c>
      <c r="BA308" s="1">
        <v>38</v>
      </c>
      <c r="BB308" s="1">
        <v>0</v>
      </c>
      <c r="BC308" s="1">
        <v>0</v>
      </c>
      <c r="BD308" s="1">
        <v>0</v>
      </c>
      <c r="BE308" s="54">
        <v>0</v>
      </c>
      <c r="BF308" s="6">
        <v>16</v>
      </c>
      <c r="BG308" s="6">
        <v>13</v>
      </c>
      <c r="BH308" s="1">
        <v>0</v>
      </c>
      <c r="BI308" s="6">
        <v>0</v>
      </c>
      <c r="BJ308" s="1" t="s">
        <v>22</v>
      </c>
      <c r="BK308" s="1" t="s">
        <v>22</v>
      </c>
      <c r="BL308" s="1" t="s">
        <v>22</v>
      </c>
      <c r="BM308" s="1" t="s">
        <v>22</v>
      </c>
      <c r="BN308" t="s">
        <v>24</v>
      </c>
      <c r="BO308">
        <v>2291</v>
      </c>
    </row>
    <row r="309" spans="1:67" x14ac:dyDescent="0.25">
      <c r="A309" s="4">
        <f>INT(Tabela1[[#This Row],[Data e Hora]])</f>
        <v>46294</v>
      </c>
      <c r="B309" s="4" t="str">
        <f>UPPER(TEXT(Tabela1[[#This Row],[Data Corrigida]],"MMM"))</f>
        <v>SET</v>
      </c>
      <c r="C309" s="57" t="s">
        <v>906</v>
      </c>
      <c r="D309" t="s">
        <v>907</v>
      </c>
      <c r="E309" t="s">
        <v>908</v>
      </c>
      <c r="F309" t="s">
        <v>19</v>
      </c>
      <c r="G309" s="5" t="s">
        <v>909</v>
      </c>
      <c r="H309" t="s">
        <v>20</v>
      </c>
      <c r="I309" t="s">
        <v>33</v>
      </c>
      <c r="J309" s="1">
        <v>157</v>
      </c>
      <c r="K309" s="1">
        <v>2965</v>
      </c>
      <c r="L309" t="s">
        <v>34</v>
      </c>
      <c r="M309" s="1">
        <v>20</v>
      </c>
      <c r="N309" s="48">
        <v>20</v>
      </c>
      <c r="O309" s="1">
        <v>5</v>
      </c>
      <c r="P309" s="48">
        <v>5</v>
      </c>
      <c r="Q309" s="1">
        <v>8</v>
      </c>
      <c r="R309" s="1">
        <v>80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4</v>
      </c>
      <c r="Z309" s="3">
        <v>1.2738853503184715</v>
      </c>
      <c r="AA309" s="1">
        <v>4</v>
      </c>
      <c r="AB309" s="3">
        <v>2.547770700636943</v>
      </c>
      <c r="AC309" s="1">
        <v>0</v>
      </c>
      <c r="AD309" s="3">
        <v>0</v>
      </c>
      <c r="AE309" s="1">
        <v>1</v>
      </c>
      <c r="AF309" s="3">
        <v>0.63694267515923575</v>
      </c>
      <c r="AG309" s="1">
        <v>2</v>
      </c>
      <c r="AH309" s="3">
        <v>1.2738853503184715</v>
      </c>
      <c r="AI309" s="1" t="s">
        <v>22</v>
      </c>
      <c r="AJ309" s="1">
        <v>0</v>
      </c>
      <c r="AK309" s="3">
        <v>0</v>
      </c>
      <c r="AL309" s="1">
        <v>0</v>
      </c>
      <c r="AM309" s="3">
        <v>0</v>
      </c>
      <c r="AN309" s="1" t="s">
        <v>22</v>
      </c>
      <c r="AO309" s="1">
        <v>5</v>
      </c>
      <c r="AP309" s="3">
        <v>3.1847133757961785</v>
      </c>
      <c r="AQ309" s="3">
        <v>5</v>
      </c>
      <c r="AR309" s="3">
        <v>3.1847133757961785</v>
      </c>
      <c r="AS309" s="1">
        <v>6</v>
      </c>
      <c r="AT309" s="3">
        <v>3.8216560509554141</v>
      </c>
      <c r="AU309" s="1">
        <v>1</v>
      </c>
      <c r="AV309" s="3">
        <v>0.63694267515923575</v>
      </c>
      <c r="AW309" s="1" t="s">
        <v>22</v>
      </c>
      <c r="AX309" s="1">
        <v>19</v>
      </c>
      <c r="AY309" s="1">
        <v>0</v>
      </c>
      <c r="AZ309" s="1">
        <v>0</v>
      </c>
      <c r="BA309" s="1">
        <v>38</v>
      </c>
      <c r="BB309" s="1">
        <v>0</v>
      </c>
      <c r="BC309" s="1">
        <v>0</v>
      </c>
      <c r="BD309" s="1">
        <v>0</v>
      </c>
      <c r="BE309" s="54">
        <v>0</v>
      </c>
      <c r="BF309" s="6">
        <v>20</v>
      </c>
      <c r="BG309" s="6">
        <v>17</v>
      </c>
      <c r="BH309" s="1">
        <v>0</v>
      </c>
      <c r="BI309" s="6">
        <v>0</v>
      </c>
      <c r="BJ309" s="1" t="s">
        <v>22</v>
      </c>
      <c r="BK309" s="6">
        <v>2</v>
      </c>
      <c r="BL309" s="6">
        <v>0</v>
      </c>
      <c r="BM309" s="1">
        <v>0</v>
      </c>
      <c r="BN309" t="s">
        <v>24</v>
      </c>
      <c r="BO309">
        <v>214</v>
      </c>
    </row>
    <row r="310" spans="1:67" x14ac:dyDescent="0.25">
      <c r="A310" s="4">
        <f>INT(Tabela1[[#This Row],[Data e Hora]])</f>
        <v>46294</v>
      </c>
      <c r="B310" s="4" t="str">
        <f>UPPER(TEXT(Tabela1[[#This Row],[Data Corrigida]],"MMM"))</f>
        <v>SET</v>
      </c>
      <c r="C310" t="s">
        <v>910</v>
      </c>
      <c r="D310" t="s">
        <v>911</v>
      </c>
      <c r="E310" t="s">
        <v>908</v>
      </c>
      <c r="F310" t="s">
        <v>19</v>
      </c>
      <c r="G310" s="5" t="s">
        <v>909</v>
      </c>
      <c r="H310" t="s">
        <v>20</v>
      </c>
      <c r="I310" t="s">
        <v>33</v>
      </c>
      <c r="J310" s="1">
        <v>79</v>
      </c>
      <c r="K310" s="1">
        <v>2821</v>
      </c>
      <c r="L310" t="s">
        <v>34</v>
      </c>
      <c r="M310" s="1">
        <v>20</v>
      </c>
      <c r="N310" s="48">
        <v>20</v>
      </c>
      <c r="O310" s="1">
        <v>5</v>
      </c>
      <c r="P310" s="48">
        <v>5</v>
      </c>
      <c r="Q310" s="1">
        <v>0</v>
      </c>
      <c r="R310" s="1">
        <v>0</v>
      </c>
      <c r="S310" s="1">
        <v>1</v>
      </c>
      <c r="T310" s="1">
        <v>1</v>
      </c>
      <c r="U310" s="1">
        <v>0</v>
      </c>
      <c r="V310" s="1">
        <v>0</v>
      </c>
      <c r="W310" s="1">
        <v>0</v>
      </c>
      <c r="X310" s="1">
        <v>0</v>
      </c>
      <c r="Y310" s="1">
        <v>6</v>
      </c>
      <c r="Z310" s="3">
        <v>3.79746835443038</v>
      </c>
      <c r="AA310" s="1">
        <v>5</v>
      </c>
      <c r="AB310" s="3">
        <v>6.3291139240506329</v>
      </c>
      <c r="AC310" s="1">
        <v>0</v>
      </c>
      <c r="AD310" s="3">
        <v>0</v>
      </c>
      <c r="AE310" s="1">
        <v>1</v>
      </c>
      <c r="AF310" s="3">
        <v>1.2658227848101267</v>
      </c>
      <c r="AG310" s="1">
        <v>2</v>
      </c>
      <c r="AH310" s="3">
        <v>2.5316455696202533</v>
      </c>
      <c r="AI310" s="1" t="s">
        <v>22</v>
      </c>
      <c r="AJ310" s="1">
        <v>0</v>
      </c>
      <c r="AK310" s="3">
        <v>0</v>
      </c>
      <c r="AL310" s="1">
        <v>0</v>
      </c>
      <c r="AM310" s="3">
        <v>0</v>
      </c>
      <c r="AN310" s="1" t="s">
        <v>22</v>
      </c>
      <c r="AO310" s="1">
        <v>3</v>
      </c>
      <c r="AP310" s="3">
        <v>3.79746835443038</v>
      </c>
      <c r="AQ310" s="3">
        <v>6</v>
      </c>
      <c r="AR310" s="3">
        <v>7.59493670886076</v>
      </c>
      <c r="AS310" s="1">
        <v>5</v>
      </c>
      <c r="AT310" s="3">
        <v>6.3291139240506329</v>
      </c>
      <c r="AU310" s="1">
        <v>0</v>
      </c>
      <c r="AV310" s="3">
        <v>0</v>
      </c>
      <c r="AW310" s="1" t="s">
        <v>22</v>
      </c>
      <c r="AX310" s="1">
        <v>18</v>
      </c>
      <c r="AY310" s="1">
        <v>0</v>
      </c>
      <c r="AZ310" s="1">
        <v>0</v>
      </c>
      <c r="BA310" s="1">
        <v>36</v>
      </c>
      <c r="BB310" s="1">
        <v>0</v>
      </c>
      <c r="BC310" s="1">
        <v>0</v>
      </c>
      <c r="BD310" s="1">
        <v>0</v>
      </c>
      <c r="BE310" s="54">
        <v>0</v>
      </c>
      <c r="BF310" s="6">
        <v>20</v>
      </c>
      <c r="BG310" s="6">
        <v>17</v>
      </c>
      <c r="BH310" s="1">
        <v>0</v>
      </c>
      <c r="BI310" s="6">
        <v>0</v>
      </c>
      <c r="BJ310" s="1" t="s">
        <v>22</v>
      </c>
      <c r="BK310" s="6">
        <v>4</v>
      </c>
      <c r="BL310" s="6">
        <v>0</v>
      </c>
      <c r="BM310" s="1">
        <v>0</v>
      </c>
      <c r="BN310" t="s">
        <v>24</v>
      </c>
      <c r="BO310">
        <v>10836</v>
      </c>
    </row>
    <row r="311" spans="1:67" x14ac:dyDescent="0.25">
      <c r="A311" s="4">
        <f>INT(Tabela1[[#This Row],[Data e Hora]])</f>
        <v>46294</v>
      </c>
      <c r="B311" s="4" t="str">
        <f>UPPER(TEXT(Tabela1[[#This Row],[Data Corrigida]],"MMM"))</f>
        <v>SET</v>
      </c>
      <c r="C311" t="s">
        <v>912</v>
      </c>
      <c r="D311" t="s">
        <v>913</v>
      </c>
      <c r="E311" t="s">
        <v>914</v>
      </c>
      <c r="F311" t="s">
        <v>19</v>
      </c>
      <c r="G311" s="5" t="s">
        <v>909</v>
      </c>
      <c r="H311" t="s">
        <v>20</v>
      </c>
      <c r="I311" t="s">
        <v>33</v>
      </c>
      <c r="J311" s="1">
        <v>161</v>
      </c>
      <c r="K311" s="1">
        <v>3025</v>
      </c>
      <c r="L311" t="s">
        <v>34</v>
      </c>
      <c r="M311" s="1">
        <v>22</v>
      </c>
      <c r="N311" s="48">
        <v>22</v>
      </c>
      <c r="O311" s="1">
        <v>6</v>
      </c>
      <c r="P311" s="48">
        <v>6</v>
      </c>
      <c r="Q311" s="1">
        <v>0</v>
      </c>
      <c r="R311" s="1">
        <v>0</v>
      </c>
      <c r="S311" s="1">
        <v>1</v>
      </c>
      <c r="T311" s="1">
        <v>1</v>
      </c>
      <c r="U311" s="1">
        <v>0</v>
      </c>
      <c r="V311" s="1">
        <v>0</v>
      </c>
      <c r="W311" s="1">
        <v>0</v>
      </c>
      <c r="X311" s="1">
        <v>0</v>
      </c>
      <c r="Y311" s="1" t="s">
        <v>22</v>
      </c>
      <c r="Z311" s="3" t="s">
        <v>22</v>
      </c>
      <c r="AA311" s="1">
        <v>5</v>
      </c>
      <c r="AB311" s="3">
        <v>3.1055900621118013</v>
      </c>
      <c r="AC311" s="1">
        <v>0</v>
      </c>
      <c r="AD311" s="3">
        <v>0</v>
      </c>
      <c r="AE311" s="1">
        <v>3</v>
      </c>
      <c r="AF311" s="3">
        <v>1.8633540372670807</v>
      </c>
      <c r="AG311" s="1">
        <v>2</v>
      </c>
      <c r="AH311" s="3">
        <v>1.2422360248447204</v>
      </c>
      <c r="AI311" s="1" t="s">
        <v>22</v>
      </c>
      <c r="AJ311" s="1">
        <v>0</v>
      </c>
      <c r="AK311" s="3">
        <v>0</v>
      </c>
      <c r="AL311" s="1">
        <v>0</v>
      </c>
      <c r="AM311" s="3">
        <v>0</v>
      </c>
      <c r="AN311" s="1" t="s">
        <v>22</v>
      </c>
      <c r="AO311" s="1">
        <v>7</v>
      </c>
      <c r="AP311" s="3">
        <v>4.3478260869565215</v>
      </c>
      <c r="AQ311" s="3">
        <v>5</v>
      </c>
      <c r="AR311" s="3">
        <v>3.1055900621118013</v>
      </c>
      <c r="AS311" s="1">
        <v>5</v>
      </c>
      <c r="AT311" s="3">
        <v>3.1055900621118013</v>
      </c>
      <c r="AU311" s="1">
        <v>0</v>
      </c>
      <c r="AV311" s="3">
        <v>0</v>
      </c>
      <c r="AW311" s="1" t="s">
        <v>22</v>
      </c>
      <c r="AX311" s="1">
        <v>19</v>
      </c>
      <c r="AY311" s="1">
        <v>0</v>
      </c>
      <c r="AZ311" s="1">
        <v>0</v>
      </c>
      <c r="BA311" s="1">
        <v>38</v>
      </c>
      <c r="BB311" s="1">
        <v>0</v>
      </c>
      <c r="BC311" s="1">
        <v>0</v>
      </c>
      <c r="BD311" s="1">
        <v>1</v>
      </c>
      <c r="BE311" s="54">
        <v>0.6211180124223602</v>
      </c>
      <c r="BF311" s="6">
        <v>19</v>
      </c>
      <c r="BG311" s="6">
        <v>16</v>
      </c>
      <c r="BH311" s="1">
        <v>0</v>
      </c>
      <c r="BI311" s="6">
        <v>0</v>
      </c>
      <c r="BJ311" s="1" t="s">
        <v>22</v>
      </c>
      <c r="BK311" s="6">
        <v>1</v>
      </c>
      <c r="BL311" s="6">
        <v>0</v>
      </c>
      <c r="BM311" s="1">
        <v>0</v>
      </c>
      <c r="BN311" t="s">
        <v>24</v>
      </c>
      <c r="BO311">
        <v>20734</v>
      </c>
    </row>
    <row r="312" spans="1:67" x14ac:dyDescent="0.25">
      <c r="A312" s="4">
        <f>INT(Tabela1[[#This Row],[Data e Hora]])</f>
        <v>46294</v>
      </c>
      <c r="B312" s="4" t="str">
        <f>UPPER(TEXT(Tabela1[[#This Row],[Data Corrigida]],"MMM"))</f>
        <v>SET</v>
      </c>
      <c r="C312" t="s">
        <v>915</v>
      </c>
      <c r="D312" t="s">
        <v>916</v>
      </c>
      <c r="E312" t="s">
        <v>917</v>
      </c>
      <c r="F312" t="s">
        <v>19</v>
      </c>
      <c r="G312" s="5" t="s">
        <v>909</v>
      </c>
      <c r="H312" t="s">
        <v>20</v>
      </c>
      <c r="I312" t="s">
        <v>21</v>
      </c>
      <c r="J312" s="1">
        <v>150</v>
      </c>
      <c r="K312" s="1">
        <v>3094</v>
      </c>
      <c r="L312" t="s">
        <v>23</v>
      </c>
      <c r="M312" s="1">
        <v>41</v>
      </c>
      <c r="N312" s="48">
        <v>41</v>
      </c>
      <c r="O312" s="1">
        <v>23</v>
      </c>
      <c r="P312" s="48">
        <v>23</v>
      </c>
      <c r="Q312" s="1">
        <v>0</v>
      </c>
      <c r="R312" s="1">
        <v>0</v>
      </c>
      <c r="S312" s="1">
        <v>1</v>
      </c>
      <c r="T312" s="1">
        <v>1</v>
      </c>
      <c r="U312" s="1">
        <v>1</v>
      </c>
      <c r="V312" s="1">
        <v>1</v>
      </c>
      <c r="W312" s="1">
        <v>0</v>
      </c>
      <c r="X312" s="1">
        <v>0</v>
      </c>
      <c r="Y312" s="1">
        <v>2</v>
      </c>
      <c r="Z312" s="3">
        <v>0.66666666666666674</v>
      </c>
      <c r="AA312" s="1">
        <v>2</v>
      </c>
      <c r="AB312" s="3">
        <v>1.3333333333333335</v>
      </c>
      <c r="AC312" s="1">
        <v>0</v>
      </c>
      <c r="AD312" s="3">
        <v>0</v>
      </c>
      <c r="AE312" s="1">
        <v>1</v>
      </c>
      <c r="AF312" s="3">
        <v>0.66666666666666674</v>
      </c>
      <c r="AG312" s="1">
        <v>5</v>
      </c>
      <c r="AH312" s="3">
        <v>3.3333333333333335</v>
      </c>
      <c r="AI312" s="1" t="s">
        <v>22</v>
      </c>
      <c r="AJ312" s="1">
        <v>5</v>
      </c>
      <c r="AK312" s="3">
        <v>3.3333333333333335</v>
      </c>
      <c r="AL312" s="1">
        <v>2</v>
      </c>
      <c r="AM312" s="3">
        <v>1.3333333333333335</v>
      </c>
      <c r="AN312" s="1" t="s">
        <v>22</v>
      </c>
      <c r="AO312" s="1">
        <v>9</v>
      </c>
      <c r="AP312" s="3">
        <v>6</v>
      </c>
      <c r="AQ312" s="3">
        <v>1</v>
      </c>
      <c r="AR312" s="3">
        <v>0.66666666666666674</v>
      </c>
      <c r="AS312" s="1">
        <v>7</v>
      </c>
      <c r="AT312" s="3">
        <v>4.666666666666667</v>
      </c>
      <c r="AU312" s="1">
        <v>1</v>
      </c>
      <c r="AV312" s="3">
        <v>0.66666666666666674</v>
      </c>
      <c r="AW312" s="1" t="s">
        <v>22</v>
      </c>
      <c r="AX312" s="1">
        <v>19</v>
      </c>
      <c r="AY312" s="1">
        <v>0</v>
      </c>
      <c r="AZ312" s="1">
        <v>0</v>
      </c>
      <c r="BA312" s="1">
        <v>38</v>
      </c>
      <c r="BB312" s="1">
        <v>0</v>
      </c>
      <c r="BC312" s="1">
        <v>0</v>
      </c>
      <c r="BD312" s="1">
        <v>2</v>
      </c>
      <c r="BE312" s="54">
        <v>1.3333333333333335</v>
      </c>
      <c r="BF312" s="6">
        <v>25</v>
      </c>
      <c r="BG312" s="6">
        <v>20</v>
      </c>
      <c r="BH312" s="1">
        <v>1</v>
      </c>
      <c r="BI312" s="6">
        <v>10</v>
      </c>
      <c r="BJ312" s="1" t="s">
        <v>22</v>
      </c>
      <c r="BK312" s="1" t="s">
        <v>22</v>
      </c>
      <c r="BL312" s="1" t="s">
        <v>22</v>
      </c>
      <c r="BM312" s="1" t="s">
        <v>22</v>
      </c>
      <c r="BN312" t="s">
        <v>24</v>
      </c>
      <c r="BO312">
        <v>1475</v>
      </c>
    </row>
    <row r="313" spans="1:67" x14ac:dyDescent="0.25">
      <c r="A313" s="4">
        <f>INT(Tabela1[[#This Row],[Data e Hora]])</f>
        <v>46294</v>
      </c>
      <c r="B313" s="4" t="str">
        <f>UPPER(TEXT(Tabela1[[#This Row],[Data Corrigida]],"MMM"))</f>
        <v>SET</v>
      </c>
      <c r="C313" t="s">
        <v>918</v>
      </c>
      <c r="D313" t="s">
        <v>919</v>
      </c>
      <c r="E313" t="s">
        <v>917</v>
      </c>
      <c r="F313" t="s">
        <v>19</v>
      </c>
      <c r="G313" s="5" t="s">
        <v>909</v>
      </c>
      <c r="H313" t="s">
        <v>20</v>
      </c>
      <c r="I313" t="s">
        <v>21</v>
      </c>
      <c r="J313" s="1">
        <v>160</v>
      </c>
      <c r="K313" s="1">
        <v>3321</v>
      </c>
      <c r="L313" t="s">
        <v>23</v>
      </c>
      <c r="M313" s="1">
        <v>35</v>
      </c>
      <c r="N313" s="48">
        <v>35</v>
      </c>
      <c r="O313" s="1">
        <v>23</v>
      </c>
      <c r="P313" s="48">
        <v>23</v>
      </c>
      <c r="Q313" s="1">
        <v>0</v>
      </c>
      <c r="R313" s="1">
        <v>0</v>
      </c>
      <c r="S313" s="1">
        <v>3</v>
      </c>
      <c r="T313" s="1">
        <v>3</v>
      </c>
      <c r="U313" s="1">
        <v>1</v>
      </c>
      <c r="V313" s="1">
        <v>1</v>
      </c>
      <c r="W313" s="1">
        <v>2</v>
      </c>
      <c r="X313" s="1">
        <v>10</v>
      </c>
      <c r="Y313" s="1">
        <v>2</v>
      </c>
      <c r="Z313" s="3">
        <v>0.625</v>
      </c>
      <c r="AA313" s="1">
        <v>2</v>
      </c>
      <c r="AB313" s="3">
        <v>1.25</v>
      </c>
      <c r="AC313" s="1">
        <v>0</v>
      </c>
      <c r="AD313" s="3">
        <v>0</v>
      </c>
      <c r="AE313" s="1">
        <v>2</v>
      </c>
      <c r="AF313" s="3">
        <v>1.25</v>
      </c>
      <c r="AG313" s="1">
        <v>6</v>
      </c>
      <c r="AH313" s="3">
        <v>3.75</v>
      </c>
      <c r="AI313" s="1" t="s">
        <v>22</v>
      </c>
      <c r="AJ313" s="1">
        <v>7</v>
      </c>
      <c r="AK313" s="3">
        <v>4.375</v>
      </c>
      <c r="AL313" s="1">
        <v>3</v>
      </c>
      <c r="AM313" s="3">
        <v>1.875</v>
      </c>
      <c r="AN313" s="1" t="s">
        <v>22</v>
      </c>
      <c r="AO313" s="1">
        <v>11</v>
      </c>
      <c r="AP313" s="3">
        <v>6.8750000000000009</v>
      </c>
      <c r="AQ313" s="3">
        <v>1</v>
      </c>
      <c r="AR313" s="3">
        <v>0.625</v>
      </c>
      <c r="AS313" s="1">
        <v>6</v>
      </c>
      <c r="AT313" s="3">
        <v>3.75</v>
      </c>
      <c r="AU313" s="1">
        <v>1</v>
      </c>
      <c r="AV313" s="3">
        <v>0.625</v>
      </c>
      <c r="AW313" s="1" t="s">
        <v>22</v>
      </c>
      <c r="AX313" s="1">
        <v>17</v>
      </c>
      <c r="AY313" s="1">
        <v>0</v>
      </c>
      <c r="AZ313" s="1">
        <v>0</v>
      </c>
      <c r="BA313" s="1">
        <v>34</v>
      </c>
      <c r="BB313" s="1">
        <v>0</v>
      </c>
      <c r="BC313" s="1">
        <v>0</v>
      </c>
      <c r="BD313" s="1">
        <v>0</v>
      </c>
      <c r="BE313" s="54">
        <v>0</v>
      </c>
      <c r="BF313" s="6">
        <v>22</v>
      </c>
      <c r="BG313" s="6">
        <v>19</v>
      </c>
      <c r="BH313" s="1">
        <v>0</v>
      </c>
      <c r="BI313" s="6">
        <v>0</v>
      </c>
      <c r="BJ313" s="1" t="s">
        <v>22</v>
      </c>
      <c r="BK313" s="6">
        <v>0</v>
      </c>
      <c r="BL313" s="6">
        <v>0</v>
      </c>
      <c r="BM313" s="1">
        <v>1</v>
      </c>
      <c r="BN313" t="s">
        <v>22</v>
      </c>
      <c r="BO313">
        <v>1851</v>
      </c>
    </row>
    <row r="314" spans="1:67" x14ac:dyDescent="0.25">
      <c r="A314" s="4">
        <f>INT(Tabela1[[#This Row],[Data e Hora]])</f>
        <v>46294</v>
      </c>
      <c r="B314" s="4" t="str">
        <f>UPPER(TEXT(Tabela1[[#This Row],[Data Corrigida]],"MMM"))</f>
        <v>SET</v>
      </c>
      <c r="C314" t="s">
        <v>920</v>
      </c>
      <c r="D314" t="s">
        <v>921</v>
      </c>
      <c r="E314" t="s">
        <v>917</v>
      </c>
      <c r="F314" t="s">
        <v>19</v>
      </c>
      <c r="G314" s="5" t="s">
        <v>909</v>
      </c>
      <c r="H314" t="s">
        <v>20</v>
      </c>
      <c r="I314" t="s">
        <v>21</v>
      </c>
      <c r="J314" s="1">
        <v>80</v>
      </c>
      <c r="K314" s="1">
        <v>3018</v>
      </c>
      <c r="L314" t="s">
        <v>23</v>
      </c>
      <c r="M314" s="1">
        <v>33</v>
      </c>
      <c r="N314" s="48">
        <v>33</v>
      </c>
      <c r="O314" s="1">
        <v>20</v>
      </c>
      <c r="P314" s="48">
        <v>20</v>
      </c>
      <c r="Q314" s="1">
        <v>0</v>
      </c>
      <c r="R314" s="1">
        <v>0</v>
      </c>
      <c r="S314" s="1">
        <v>1</v>
      </c>
      <c r="T314" s="1">
        <v>1</v>
      </c>
      <c r="U314" s="1">
        <v>1</v>
      </c>
      <c r="V314" s="1">
        <v>1</v>
      </c>
      <c r="W314" s="1">
        <v>3</v>
      </c>
      <c r="X314" s="1">
        <v>15</v>
      </c>
      <c r="Y314" s="1">
        <v>2</v>
      </c>
      <c r="Z314" s="3">
        <v>1.25</v>
      </c>
      <c r="AA314" s="1">
        <v>2</v>
      </c>
      <c r="AB314" s="3">
        <v>2.5</v>
      </c>
      <c r="AC314" s="1">
        <v>0</v>
      </c>
      <c r="AD314" s="3">
        <v>0</v>
      </c>
      <c r="AE314" s="1">
        <v>2</v>
      </c>
      <c r="AF314" s="3">
        <v>2.5</v>
      </c>
      <c r="AG314" s="1">
        <v>4</v>
      </c>
      <c r="AH314" s="3">
        <v>5</v>
      </c>
      <c r="AI314" s="1" t="s">
        <v>22</v>
      </c>
      <c r="AJ314" s="1">
        <v>5</v>
      </c>
      <c r="AK314" s="3">
        <v>6.25</v>
      </c>
      <c r="AL314" s="1">
        <v>2</v>
      </c>
      <c r="AM314" s="3">
        <v>2.5</v>
      </c>
      <c r="AN314" s="1" t="s">
        <v>22</v>
      </c>
      <c r="AO314" s="1">
        <v>10</v>
      </c>
      <c r="AP314" s="3">
        <v>12.5</v>
      </c>
      <c r="AQ314" s="3">
        <v>2</v>
      </c>
      <c r="AR314" s="3">
        <v>2.5</v>
      </c>
      <c r="AS314" s="1">
        <v>6</v>
      </c>
      <c r="AT314" s="3">
        <v>7.5</v>
      </c>
      <c r="AU314" s="1">
        <v>2</v>
      </c>
      <c r="AV314" s="3">
        <v>2.5</v>
      </c>
      <c r="AW314" s="1" t="s">
        <v>22</v>
      </c>
      <c r="AX314" s="1">
        <v>14</v>
      </c>
      <c r="AY314" s="1">
        <v>0</v>
      </c>
      <c r="AZ314" s="1">
        <v>0</v>
      </c>
      <c r="BA314" s="1">
        <v>28</v>
      </c>
      <c r="BB314" s="1">
        <v>0</v>
      </c>
      <c r="BC314" s="1">
        <v>0</v>
      </c>
      <c r="BD314" s="1">
        <v>0</v>
      </c>
      <c r="BE314" s="54">
        <v>0</v>
      </c>
      <c r="BF314" s="6">
        <v>25</v>
      </c>
      <c r="BG314" s="6">
        <v>18</v>
      </c>
      <c r="BH314" s="1">
        <v>1</v>
      </c>
      <c r="BI314" s="6">
        <v>10</v>
      </c>
      <c r="BJ314" s="1" t="s">
        <v>22</v>
      </c>
      <c r="BK314" s="6">
        <v>0</v>
      </c>
      <c r="BL314" s="6">
        <v>0</v>
      </c>
      <c r="BM314" s="1">
        <v>1</v>
      </c>
      <c r="BN314" t="s">
        <v>24</v>
      </c>
      <c r="BO314">
        <v>1968</v>
      </c>
    </row>
    <row r="315" spans="1:67" x14ac:dyDescent="0.25">
      <c r="A315" s="4">
        <f>INT(Tabela1[[#This Row],[Data e Hora]])</f>
        <v>46294</v>
      </c>
      <c r="B315" s="4" t="str">
        <f>UPPER(TEXT(Tabela1[[#This Row],[Data Corrigida]],"MMM"))</f>
        <v>SET</v>
      </c>
      <c r="C315" t="s">
        <v>922</v>
      </c>
      <c r="D315" t="s">
        <v>923</v>
      </c>
      <c r="E315" t="s">
        <v>917</v>
      </c>
      <c r="F315" t="s">
        <v>19</v>
      </c>
      <c r="G315" s="5" t="s">
        <v>909</v>
      </c>
      <c r="H315" t="s">
        <v>20</v>
      </c>
      <c r="I315" t="s">
        <v>21</v>
      </c>
      <c r="J315" s="1">
        <v>146</v>
      </c>
      <c r="K315" s="1">
        <v>3019</v>
      </c>
      <c r="L315" t="s">
        <v>23</v>
      </c>
      <c r="M315" s="1">
        <v>30</v>
      </c>
      <c r="N315" s="48">
        <v>30</v>
      </c>
      <c r="O315" s="1">
        <v>11</v>
      </c>
      <c r="P315" s="48">
        <v>11</v>
      </c>
      <c r="Q315" s="1">
        <v>0</v>
      </c>
      <c r="R315" s="1">
        <v>0</v>
      </c>
      <c r="S315" s="1">
        <v>4</v>
      </c>
      <c r="T315" s="1">
        <v>4</v>
      </c>
      <c r="U315" s="1">
        <v>1</v>
      </c>
      <c r="V315" s="1">
        <v>1</v>
      </c>
      <c r="W315" s="1">
        <v>0</v>
      </c>
      <c r="X315" s="1">
        <v>0</v>
      </c>
      <c r="Y315" s="1">
        <v>2</v>
      </c>
      <c r="Z315" s="3">
        <v>0.68493150684931503</v>
      </c>
      <c r="AA315" s="1">
        <v>4</v>
      </c>
      <c r="AB315" s="3">
        <v>2.7397260273972601</v>
      </c>
      <c r="AC315" s="1">
        <v>0</v>
      </c>
      <c r="AD315" s="3">
        <v>0</v>
      </c>
      <c r="AE315" s="1">
        <v>3</v>
      </c>
      <c r="AF315" s="3">
        <v>2.054794520547945</v>
      </c>
      <c r="AG315" s="1">
        <v>6</v>
      </c>
      <c r="AH315" s="3">
        <v>4.10958904109589</v>
      </c>
      <c r="AI315" s="1" t="s">
        <v>22</v>
      </c>
      <c r="AJ315" s="1">
        <v>8</v>
      </c>
      <c r="AK315" s="3">
        <v>5.4794520547945202</v>
      </c>
      <c r="AL315" s="1">
        <v>2</v>
      </c>
      <c r="AM315" s="3">
        <v>1.3698630136986301</v>
      </c>
      <c r="AN315" s="1" t="s">
        <v>22</v>
      </c>
      <c r="AO315" s="1">
        <v>11</v>
      </c>
      <c r="AP315" s="3">
        <v>7.5342465753424657</v>
      </c>
      <c r="AQ315" s="3">
        <v>1</v>
      </c>
      <c r="AR315" s="3">
        <v>0.68493150684931503</v>
      </c>
      <c r="AS315" s="1">
        <v>6</v>
      </c>
      <c r="AT315" s="3">
        <v>4.10958904109589</v>
      </c>
      <c r="AU315" s="1">
        <v>2</v>
      </c>
      <c r="AV315" s="3">
        <v>1.3698630136986301</v>
      </c>
      <c r="AW315" s="1" t="s">
        <v>22</v>
      </c>
      <c r="AX315" s="1">
        <v>19</v>
      </c>
      <c r="AY315" s="1">
        <v>0</v>
      </c>
      <c r="AZ315" s="1">
        <v>0</v>
      </c>
      <c r="BA315" s="1">
        <v>38</v>
      </c>
      <c r="BB315" s="1">
        <v>0</v>
      </c>
      <c r="BC315" s="1">
        <v>0</v>
      </c>
      <c r="BD315" s="1">
        <v>0</v>
      </c>
      <c r="BE315" s="54">
        <v>0</v>
      </c>
      <c r="BF315" s="6">
        <v>20</v>
      </c>
      <c r="BG315" s="6">
        <v>18</v>
      </c>
      <c r="BH315" s="1">
        <v>1</v>
      </c>
      <c r="BI315" s="6">
        <v>10</v>
      </c>
      <c r="BJ315" s="1" t="s">
        <v>22</v>
      </c>
      <c r="BK315" s="1" t="s">
        <v>22</v>
      </c>
      <c r="BL315" s="1" t="s">
        <v>22</v>
      </c>
      <c r="BM315" s="1" t="s">
        <v>22</v>
      </c>
      <c r="BN315" t="s">
        <v>24</v>
      </c>
      <c r="BO315">
        <v>3447</v>
      </c>
    </row>
    <row r="316" spans="1:67" x14ac:dyDescent="0.25">
      <c r="A316" s="4">
        <f>INT(Tabela1[[#This Row],[Data e Hora]])</f>
        <v>46295</v>
      </c>
      <c r="B316" s="4" t="str">
        <f>UPPER(TEXT(Tabela1[[#This Row],[Data Corrigida]],"MMM"))</f>
        <v>SET</v>
      </c>
      <c r="C316" s="57" t="s">
        <v>924</v>
      </c>
      <c r="D316" t="s">
        <v>925</v>
      </c>
      <c r="E316" t="s">
        <v>926</v>
      </c>
      <c r="F316" t="s">
        <v>19</v>
      </c>
      <c r="G316" s="5" t="s">
        <v>927</v>
      </c>
      <c r="H316" t="s">
        <v>20</v>
      </c>
      <c r="I316" t="s">
        <v>33</v>
      </c>
      <c r="J316" s="1">
        <v>151</v>
      </c>
      <c r="K316" s="1">
        <v>3089</v>
      </c>
      <c r="L316" t="s">
        <v>34</v>
      </c>
      <c r="M316" s="1">
        <v>20</v>
      </c>
      <c r="N316" s="48">
        <v>20</v>
      </c>
      <c r="O316" s="1">
        <v>6</v>
      </c>
      <c r="P316" s="48">
        <v>6</v>
      </c>
      <c r="Q316" s="1">
        <v>0</v>
      </c>
      <c r="R316" s="1">
        <v>0</v>
      </c>
      <c r="S316" s="1">
        <v>1</v>
      </c>
      <c r="T316" s="1">
        <v>1</v>
      </c>
      <c r="U316" s="1">
        <v>0</v>
      </c>
      <c r="V316" s="1">
        <v>0</v>
      </c>
      <c r="W316" s="1">
        <v>0</v>
      </c>
      <c r="X316" s="1">
        <v>0</v>
      </c>
      <c r="Y316" s="1">
        <v>3</v>
      </c>
      <c r="Z316" s="3">
        <v>0.99337748344370869</v>
      </c>
      <c r="AA316" s="1">
        <v>3</v>
      </c>
      <c r="AB316" s="3">
        <v>1.9867549668874174</v>
      </c>
      <c r="AC316" s="1">
        <v>0</v>
      </c>
      <c r="AD316" s="3">
        <v>0</v>
      </c>
      <c r="AE316" s="1">
        <v>2</v>
      </c>
      <c r="AF316" s="3">
        <v>1.3245033112582782</v>
      </c>
      <c r="AG316" s="1">
        <v>3</v>
      </c>
      <c r="AH316" s="3">
        <v>1.9867549668874174</v>
      </c>
      <c r="AI316" s="1" t="s">
        <v>22</v>
      </c>
      <c r="AJ316" s="1">
        <v>0</v>
      </c>
      <c r="AK316" s="3">
        <v>0</v>
      </c>
      <c r="AL316" s="1">
        <v>0</v>
      </c>
      <c r="AM316" s="3">
        <v>0</v>
      </c>
      <c r="AN316" s="1" t="s">
        <v>22</v>
      </c>
      <c r="AO316" s="1">
        <v>4</v>
      </c>
      <c r="AP316" s="3">
        <v>2.6490066225165565</v>
      </c>
      <c r="AQ316" s="3">
        <v>4</v>
      </c>
      <c r="AR316" s="3">
        <v>2.6490066225165565</v>
      </c>
      <c r="AS316" s="1">
        <v>5</v>
      </c>
      <c r="AT316" s="3">
        <v>3.3112582781456954</v>
      </c>
      <c r="AU316" s="1">
        <v>0</v>
      </c>
      <c r="AV316" s="3">
        <v>0</v>
      </c>
      <c r="AW316" s="1" t="s">
        <v>22</v>
      </c>
      <c r="AX316" s="1">
        <v>16</v>
      </c>
      <c r="AY316" s="1">
        <v>0</v>
      </c>
      <c r="AZ316" s="1">
        <v>0</v>
      </c>
      <c r="BA316" s="1">
        <v>32</v>
      </c>
      <c r="BB316" s="1">
        <v>0</v>
      </c>
      <c r="BC316" s="1">
        <v>0</v>
      </c>
      <c r="BD316" s="1">
        <v>0</v>
      </c>
      <c r="BE316" s="54">
        <v>0</v>
      </c>
      <c r="BF316" s="6">
        <v>20</v>
      </c>
      <c r="BG316" s="6">
        <v>17</v>
      </c>
      <c r="BH316" s="1">
        <v>0</v>
      </c>
      <c r="BI316" s="6">
        <v>0</v>
      </c>
      <c r="BJ316" s="1" t="s">
        <v>22</v>
      </c>
      <c r="BK316" s="6">
        <v>0</v>
      </c>
      <c r="BL316" s="6">
        <v>0</v>
      </c>
      <c r="BM316" s="1">
        <v>0</v>
      </c>
      <c r="BN316" t="s">
        <v>24</v>
      </c>
      <c r="BO316">
        <v>1071</v>
      </c>
    </row>
    <row r="317" spans="1:67" x14ac:dyDescent="0.25">
      <c r="A317" s="4">
        <f>INT(Tabela1[[#This Row],[Data e Hora]])</f>
        <v>46295</v>
      </c>
      <c r="B317" s="4" t="str">
        <f>UPPER(TEXT(Tabela1[[#This Row],[Data Corrigida]],"MMM"))</f>
        <v>SET</v>
      </c>
      <c r="C317" t="s">
        <v>928</v>
      </c>
      <c r="D317" t="s">
        <v>929</v>
      </c>
      <c r="E317" t="s">
        <v>926</v>
      </c>
      <c r="F317" t="s">
        <v>19</v>
      </c>
      <c r="G317" s="5" t="s">
        <v>927</v>
      </c>
      <c r="H317" t="s">
        <v>20</v>
      </c>
      <c r="I317" t="s">
        <v>33</v>
      </c>
      <c r="J317" s="1">
        <v>127</v>
      </c>
      <c r="K317" s="1">
        <v>3146</v>
      </c>
      <c r="L317" t="s">
        <v>34</v>
      </c>
      <c r="M317" s="1">
        <v>15</v>
      </c>
      <c r="N317" s="48">
        <v>15</v>
      </c>
      <c r="O317" s="1">
        <v>5</v>
      </c>
      <c r="P317" s="48">
        <v>5</v>
      </c>
      <c r="Q317" s="1">
        <v>0</v>
      </c>
      <c r="R317" s="1">
        <v>0</v>
      </c>
      <c r="S317" s="1">
        <v>3</v>
      </c>
      <c r="T317" s="1">
        <v>3</v>
      </c>
      <c r="U317" s="1">
        <v>2</v>
      </c>
      <c r="V317" s="1">
        <v>2</v>
      </c>
      <c r="W317" s="1">
        <v>0</v>
      </c>
      <c r="X317" s="1">
        <v>0</v>
      </c>
      <c r="Y317" s="1">
        <v>4</v>
      </c>
      <c r="Z317" s="3">
        <v>1.5748031496062991</v>
      </c>
      <c r="AA317" s="1">
        <v>15</v>
      </c>
      <c r="AB317" s="3">
        <v>11.811023622047244</v>
      </c>
      <c r="AC317" s="1">
        <v>0</v>
      </c>
      <c r="AD317" s="3">
        <v>0</v>
      </c>
      <c r="AE317" s="1">
        <v>3</v>
      </c>
      <c r="AF317" s="3">
        <v>2.3622047244094486</v>
      </c>
      <c r="AG317" s="1">
        <v>4</v>
      </c>
      <c r="AH317" s="3">
        <v>3.1496062992125982</v>
      </c>
      <c r="AI317" s="1" t="s">
        <v>22</v>
      </c>
      <c r="AJ317" s="1">
        <v>1</v>
      </c>
      <c r="AK317" s="3">
        <v>0.78740157480314954</v>
      </c>
      <c r="AL317" s="1">
        <v>0</v>
      </c>
      <c r="AM317" s="3">
        <v>0</v>
      </c>
      <c r="AN317" s="1" t="s">
        <v>22</v>
      </c>
      <c r="AO317" s="1">
        <v>3</v>
      </c>
      <c r="AP317" s="3">
        <v>2.3622047244094486</v>
      </c>
      <c r="AQ317" s="3">
        <v>2</v>
      </c>
      <c r="AR317" s="3">
        <v>1.5748031496062991</v>
      </c>
      <c r="AS317" s="1">
        <v>4</v>
      </c>
      <c r="AT317" s="3">
        <v>3.1496062992125982</v>
      </c>
      <c r="AU317" s="1">
        <v>0</v>
      </c>
      <c r="AV317" s="3">
        <v>0</v>
      </c>
      <c r="AW317" s="1" t="s">
        <v>22</v>
      </c>
      <c r="AX317" s="1">
        <v>19</v>
      </c>
      <c r="AY317" s="1">
        <v>0</v>
      </c>
      <c r="AZ317" s="1">
        <v>0</v>
      </c>
      <c r="BA317" s="1">
        <v>38</v>
      </c>
      <c r="BB317" s="1">
        <v>0</v>
      </c>
      <c r="BC317" s="1">
        <v>0</v>
      </c>
      <c r="BD317" s="1">
        <v>0</v>
      </c>
      <c r="BE317" s="54">
        <v>0</v>
      </c>
      <c r="BF317" s="6">
        <v>27</v>
      </c>
      <c r="BG317" s="6">
        <v>14</v>
      </c>
      <c r="BH317" s="1">
        <v>0</v>
      </c>
      <c r="BI317" s="6">
        <v>0</v>
      </c>
      <c r="BJ317" s="1" t="s">
        <v>22</v>
      </c>
      <c r="BK317" s="6">
        <v>0</v>
      </c>
      <c r="BL317" s="6">
        <v>0</v>
      </c>
      <c r="BM317" s="1">
        <v>0</v>
      </c>
      <c r="BN317" t="s">
        <v>24</v>
      </c>
      <c r="BO317">
        <v>8188</v>
      </c>
    </row>
    <row r="318" spans="1:67" x14ac:dyDescent="0.25">
      <c r="A318" s="4">
        <f>INT(Tabela1[[#This Row],[Data e Hora]])</f>
        <v>46295</v>
      </c>
      <c r="B318" s="4" t="str">
        <f>UPPER(TEXT(Tabela1[[#This Row],[Data Corrigida]],"MMM"))</f>
        <v>SET</v>
      </c>
      <c r="C318" t="s">
        <v>930</v>
      </c>
      <c r="D318" t="s">
        <v>931</v>
      </c>
      <c r="E318" t="s">
        <v>932</v>
      </c>
      <c r="F318" t="s">
        <v>19</v>
      </c>
      <c r="G318" s="5" t="s">
        <v>927</v>
      </c>
      <c r="H318" t="s">
        <v>20</v>
      </c>
      <c r="I318" t="s">
        <v>33</v>
      </c>
      <c r="J318" s="1">
        <v>133</v>
      </c>
      <c r="K318" s="1">
        <v>2751</v>
      </c>
      <c r="L318" t="s">
        <v>34</v>
      </c>
      <c r="M318" s="1">
        <v>20</v>
      </c>
      <c r="N318" s="48">
        <v>20</v>
      </c>
      <c r="O318" s="1">
        <v>8</v>
      </c>
      <c r="P318" s="48">
        <v>8</v>
      </c>
      <c r="Q318" s="1">
        <v>0</v>
      </c>
      <c r="R318" s="1">
        <v>0</v>
      </c>
      <c r="S318" s="1">
        <v>1</v>
      </c>
      <c r="T318" s="1">
        <v>1</v>
      </c>
      <c r="U318" s="1">
        <v>0</v>
      </c>
      <c r="V318" s="1">
        <v>0</v>
      </c>
      <c r="W318" s="1">
        <v>0</v>
      </c>
      <c r="X318" s="1">
        <v>0</v>
      </c>
      <c r="Y318" s="1">
        <v>4</v>
      </c>
      <c r="Z318" s="3">
        <v>1.5037593984962405</v>
      </c>
      <c r="AA318" s="1">
        <v>4</v>
      </c>
      <c r="AB318" s="3">
        <v>3.007518796992481</v>
      </c>
      <c r="AC318" s="1">
        <v>0</v>
      </c>
      <c r="AD318" s="3">
        <v>0</v>
      </c>
      <c r="AE318" s="1">
        <v>1</v>
      </c>
      <c r="AF318" s="3">
        <v>0.75187969924812026</v>
      </c>
      <c r="AG318" s="1">
        <v>1</v>
      </c>
      <c r="AH318" s="3">
        <v>0.75187969924812026</v>
      </c>
      <c r="AI318" s="1" t="s">
        <v>22</v>
      </c>
      <c r="AJ318" s="1">
        <v>0</v>
      </c>
      <c r="AK318" s="3">
        <v>0</v>
      </c>
      <c r="AL318" s="1">
        <v>0</v>
      </c>
      <c r="AM318" s="3">
        <v>0</v>
      </c>
      <c r="AN318" s="1" t="s">
        <v>22</v>
      </c>
      <c r="AO318" s="1">
        <v>7</v>
      </c>
      <c r="AP318" s="3">
        <v>5.2631578947368416</v>
      </c>
      <c r="AQ318" s="3">
        <v>6</v>
      </c>
      <c r="AR318" s="3">
        <v>4.5112781954887211</v>
      </c>
      <c r="AS318" s="1">
        <v>4</v>
      </c>
      <c r="AT318" s="3">
        <v>3.007518796992481</v>
      </c>
      <c r="AU318" s="1">
        <v>0</v>
      </c>
      <c r="AV318" s="3">
        <v>0</v>
      </c>
      <c r="AW318" s="1" t="s">
        <v>22</v>
      </c>
      <c r="AX318" s="1">
        <v>16</v>
      </c>
      <c r="AY318" s="1">
        <v>0</v>
      </c>
      <c r="AZ318" s="1">
        <v>0</v>
      </c>
      <c r="BA318" s="1">
        <v>32</v>
      </c>
      <c r="BB318" s="1">
        <v>0</v>
      </c>
      <c r="BC318" s="1">
        <v>0</v>
      </c>
      <c r="BD318" s="1">
        <v>4</v>
      </c>
      <c r="BE318" s="54">
        <v>3.007518796992481</v>
      </c>
      <c r="BF318" s="6">
        <v>20</v>
      </c>
      <c r="BG318" s="6">
        <v>17</v>
      </c>
      <c r="BH318" s="1">
        <v>0</v>
      </c>
      <c r="BI318" s="6">
        <v>0</v>
      </c>
      <c r="BJ318" s="1" t="s">
        <v>22</v>
      </c>
      <c r="BK318" s="6">
        <v>1</v>
      </c>
      <c r="BL318" s="6">
        <v>0</v>
      </c>
      <c r="BM318" s="1">
        <v>0</v>
      </c>
      <c r="BN318" t="s">
        <v>24</v>
      </c>
      <c r="BO318">
        <v>11301</v>
      </c>
    </row>
    <row r="319" spans="1:67" x14ac:dyDescent="0.25">
      <c r="A319" s="4">
        <f>INT(Tabela1[[#This Row],[Data e Hora]])</f>
        <v>46295</v>
      </c>
      <c r="B319" s="4" t="str">
        <f>UPPER(TEXT(Tabela1[[#This Row],[Data Corrigida]],"MMM"))</f>
        <v>SET</v>
      </c>
      <c r="C319" t="s">
        <v>933</v>
      </c>
      <c r="D319" t="s">
        <v>934</v>
      </c>
      <c r="E319" t="s">
        <v>935</v>
      </c>
      <c r="F319" t="s">
        <v>19</v>
      </c>
      <c r="G319" s="5" t="s">
        <v>927</v>
      </c>
      <c r="H319" t="s">
        <v>20</v>
      </c>
      <c r="I319" t="s">
        <v>21</v>
      </c>
      <c r="J319" s="1">
        <v>161</v>
      </c>
      <c r="K319" s="1">
        <v>2943</v>
      </c>
      <c r="L319" t="s">
        <v>23</v>
      </c>
      <c r="M319" s="1">
        <v>35</v>
      </c>
      <c r="N319" s="48">
        <v>35</v>
      </c>
      <c r="O319" s="1">
        <v>20</v>
      </c>
      <c r="P319" s="48">
        <v>20</v>
      </c>
      <c r="Q319" s="1">
        <v>0</v>
      </c>
      <c r="R319" s="1">
        <v>0</v>
      </c>
      <c r="S319" s="1">
        <v>3</v>
      </c>
      <c r="T319" s="1">
        <v>3</v>
      </c>
      <c r="U319" s="1">
        <v>1</v>
      </c>
      <c r="V319" s="1">
        <v>1</v>
      </c>
      <c r="W319" s="1">
        <v>0</v>
      </c>
      <c r="X319" s="1">
        <v>0</v>
      </c>
      <c r="Y319" s="1">
        <v>2</v>
      </c>
      <c r="Z319" s="3">
        <v>0.6211180124223602</v>
      </c>
      <c r="AA319" s="1">
        <v>3</v>
      </c>
      <c r="AB319" s="3">
        <v>1.8633540372670807</v>
      </c>
      <c r="AC319" s="1">
        <v>0</v>
      </c>
      <c r="AD319" s="3">
        <v>0</v>
      </c>
      <c r="AE319" s="1">
        <v>1</v>
      </c>
      <c r="AF319" s="3">
        <v>0.6211180124223602</v>
      </c>
      <c r="AG319" s="1">
        <v>5</v>
      </c>
      <c r="AH319" s="3">
        <v>3.1055900621118013</v>
      </c>
      <c r="AI319" s="1" t="s">
        <v>22</v>
      </c>
      <c r="AJ319" s="1">
        <v>3</v>
      </c>
      <c r="AK319" s="3">
        <v>1.8633540372670807</v>
      </c>
      <c r="AL319" s="1">
        <v>2</v>
      </c>
      <c r="AM319" s="3">
        <v>1.2422360248447204</v>
      </c>
      <c r="AN319" s="1" t="s">
        <v>22</v>
      </c>
      <c r="AO319" s="1">
        <v>6</v>
      </c>
      <c r="AP319" s="3">
        <v>3.7267080745341614</v>
      </c>
      <c r="AQ319" s="3">
        <v>1</v>
      </c>
      <c r="AR319" s="3">
        <v>0.6211180124223602</v>
      </c>
      <c r="AS319" s="1">
        <v>7</v>
      </c>
      <c r="AT319" s="3">
        <v>4.3478260869565215</v>
      </c>
      <c r="AU319" s="1">
        <v>1</v>
      </c>
      <c r="AV319" s="3">
        <v>0.6211180124223602</v>
      </c>
      <c r="AW319" s="1" t="s">
        <v>22</v>
      </c>
      <c r="AX319" s="1">
        <v>19</v>
      </c>
      <c r="AY319" s="1">
        <v>0</v>
      </c>
      <c r="AZ319" s="1">
        <v>0</v>
      </c>
      <c r="BA319" s="1">
        <v>38</v>
      </c>
      <c r="BB319" s="1">
        <v>0</v>
      </c>
      <c r="BC319" s="1">
        <v>0</v>
      </c>
      <c r="BD319" s="1">
        <v>0</v>
      </c>
      <c r="BE319" s="54">
        <v>0</v>
      </c>
      <c r="BF319" s="6">
        <v>21</v>
      </c>
      <c r="BG319" s="6">
        <v>16</v>
      </c>
      <c r="BH319" s="1">
        <v>1</v>
      </c>
      <c r="BI319" s="6">
        <v>10</v>
      </c>
      <c r="BJ319" s="1" t="s">
        <v>22</v>
      </c>
      <c r="BK319" s="1" t="s">
        <v>22</v>
      </c>
      <c r="BL319" s="1" t="s">
        <v>22</v>
      </c>
      <c r="BM319" s="1" t="s">
        <v>22</v>
      </c>
      <c r="BN319" t="s">
        <v>24</v>
      </c>
      <c r="BO319">
        <v>1416</v>
      </c>
    </row>
    <row r="320" spans="1:67" x14ac:dyDescent="0.25">
      <c r="A320" s="4">
        <f>INT(Tabela1[[#This Row],[Data e Hora]])</f>
        <v>46295</v>
      </c>
      <c r="B320" s="4" t="str">
        <f>UPPER(TEXT(Tabela1[[#This Row],[Data Corrigida]],"MMM"))</f>
        <v>SET</v>
      </c>
      <c r="C320" t="s">
        <v>936</v>
      </c>
      <c r="D320" t="s">
        <v>937</v>
      </c>
      <c r="E320" t="s">
        <v>935</v>
      </c>
      <c r="F320" t="s">
        <v>19</v>
      </c>
      <c r="G320" s="5" t="s">
        <v>927</v>
      </c>
      <c r="H320" t="s">
        <v>20</v>
      </c>
      <c r="I320" t="s">
        <v>21</v>
      </c>
      <c r="J320" s="1">
        <v>160</v>
      </c>
      <c r="K320" s="1">
        <v>2775</v>
      </c>
      <c r="L320" t="s">
        <v>23</v>
      </c>
      <c r="M320" s="1">
        <v>49</v>
      </c>
      <c r="N320" s="48">
        <v>49</v>
      </c>
      <c r="O320" s="1">
        <v>31</v>
      </c>
      <c r="P320" s="48">
        <v>31</v>
      </c>
      <c r="Q320" s="1">
        <v>0</v>
      </c>
      <c r="R320" s="1">
        <v>0</v>
      </c>
      <c r="S320" s="1">
        <v>2</v>
      </c>
      <c r="T320" s="1">
        <v>2</v>
      </c>
      <c r="U320" s="1">
        <v>1</v>
      </c>
      <c r="V320" s="1">
        <v>1</v>
      </c>
      <c r="W320" s="1">
        <v>0</v>
      </c>
      <c r="X320" s="1">
        <v>0</v>
      </c>
      <c r="Y320" s="1">
        <v>5</v>
      </c>
      <c r="Z320" s="3">
        <v>1.5625</v>
      </c>
      <c r="AA320" s="1">
        <v>2</v>
      </c>
      <c r="AB320" s="3">
        <v>1.25</v>
      </c>
      <c r="AC320" s="1">
        <v>0</v>
      </c>
      <c r="AD320" s="3">
        <v>0</v>
      </c>
      <c r="AE320" s="1">
        <v>3</v>
      </c>
      <c r="AF320" s="3">
        <v>1.875</v>
      </c>
      <c r="AG320" s="1">
        <v>5</v>
      </c>
      <c r="AH320" s="3">
        <v>3.125</v>
      </c>
      <c r="AI320" s="1" t="s">
        <v>22</v>
      </c>
      <c r="AJ320" s="1">
        <v>3</v>
      </c>
      <c r="AK320" s="3">
        <v>1.875</v>
      </c>
      <c r="AL320" s="1">
        <v>3</v>
      </c>
      <c r="AM320" s="3">
        <v>1.875</v>
      </c>
      <c r="AN320" s="1" t="s">
        <v>22</v>
      </c>
      <c r="AO320" s="1">
        <v>7</v>
      </c>
      <c r="AP320" s="3">
        <v>4.375</v>
      </c>
      <c r="AQ320" s="3">
        <v>2</v>
      </c>
      <c r="AR320" s="3">
        <v>1.25</v>
      </c>
      <c r="AS320" s="1">
        <v>8</v>
      </c>
      <c r="AT320" s="3">
        <v>5</v>
      </c>
      <c r="AU320" s="1">
        <v>1</v>
      </c>
      <c r="AV320" s="3">
        <v>0.625</v>
      </c>
      <c r="AW320" s="1" t="s">
        <v>22</v>
      </c>
      <c r="AX320" s="1">
        <v>20</v>
      </c>
      <c r="AY320" s="1">
        <v>0</v>
      </c>
      <c r="AZ320" s="1">
        <v>0</v>
      </c>
      <c r="BA320" s="1">
        <v>40</v>
      </c>
      <c r="BB320" s="1">
        <v>0</v>
      </c>
      <c r="BC320" s="1">
        <v>0</v>
      </c>
      <c r="BD320" s="1">
        <v>0</v>
      </c>
      <c r="BE320" s="54">
        <v>0</v>
      </c>
      <c r="BF320" s="6">
        <v>19</v>
      </c>
      <c r="BG320" s="6">
        <v>17</v>
      </c>
      <c r="BH320" s="1">
        <v>1</v>
      </c>
      <c r="BI320" s="6">
        <v>10</v>
      </c>
      <c r="BJ320" s="1" t="s">
        <v>22</v>
      </c>
      <c r="BK320" s="6">
        <v>0</v>
      </c>
      <c r="BL320" s="6">
        <v>0</v>
      </c>
      <c r="BM320" s="1">
        <v>2</v>
      </c>
      <c r="BN320" t="s">
        <v>24</v>
      </c>
      <c r="BO320">
        <v>1721</v>
      </c>
    </row>
    <row r="321" spans="1:67" x14ac:dyDescent="0.25">
      <c r="A321" s="4">
        <f>INT(Tabela1[[#This Row],[Data e Hora]])</f>
        <v>46295</v>
      </c>
      <c r="B321" s="4" t="str">
        <f>UPPER(TEXT(Tabela1[[#This Row],[Data Corrigida]],"MMM"))</f>
        <v>SET</v>
      </c>
      <c r="C321" t="s">
        <v>938</v>
      </c>
      <c r="D321" t="s">
        <v>939</v>
      </c>
      <c r="E321" t="s">
        <v>935</v>
      </c>
      <c r="F321" t="s">
        <v>19</v>
      </c>
      <c r="G321" s="5" t="s">
        <v>927</v>
      </c>
      <c r="H321" t="s">
        <v>20</v>
      </c>
      <c r="I321" t="s">
        <v>21</v>
      </c>
      <c r="J321" s="1">
        <v>135</v>
      </c>
      <c r="K321" s="1">
        <v>2861</v>
      </c>
      <c r="L321" t="s">
        <v>23</v>
      </c>
      <c r="M321" s="1">
        <v>31</v>
      </c>
      <c r="N321" s="48">
        <v>31</v>
      </c>
      <c r="O321" s="1">
        <v>14</v>
      </c>
      <c r="P321" s="48">
        <v>14.000000000000002</v>
      </c>
      <c r="Q321" s="1">
        <v>0</v>
      </c>
      <c r="R321" s="1">
        <v>0</v>
      </c>
      <c r="S321" s="1">
        <v>1</v>
      </c>
      <c r="T321" s="1">
        <v>1</v>
      </c>
      <c r="U321" s="1">
        <v>0</v>
      </c>
      <c r="V321" s="1">
        <v>0</v>
      </c>
      <c r="W321" s="1">
        <v>0</v>
      </c>
      <c r="X321" s="1">
        <v>0</v>
      </c>
      <c r="Y321" s="1">
        <v>1</v>
      </c>
      <c r="Z321" s="3">
        <v>0.37037037037037041</v>
      </c>
      <c r="AA321" s="1">
        <v>3</v>
      </c>
      <c r="AB321" s="3">
        <v>2.2222222222222223</v>
      </c>
      <c r="AC321" s="1">
        <v>1</v>
      </c>
      <c r="AD321" s="3">
        <v>0.74074074074074081</v>
      </c>
      <c r="AE321" s="1">
        <v>1</v>
      </c>
      <c r="AF321" s="3">
        <v>0.74074074074074081</v>
      </c>
      <c r="AG321" s="1">
        <v>5</v>
      </c>
      <c r="AH321" s="3">
        <v>3.7037037037037033</v>
      </c>
      <c r="AI321" s="1" t="s">
        <v>22</v>
      </c>
      <c r="AJ321" s="1">
        <v>3</v>
      </c>
      <c r="AK321" s="3">
        <v>2.2222222222222223</v>
      </c>
      <c r="AL321" s="1">
        <v>1</v>
      </c>
      <c r="AM321" s="3">
        <v>0.74074074074074081</v>
      </c>
      <c r="AN321" s="1" t="s">
        <v>22</v>
      </c>
      <c r="AO321" s="1">
        <v>5</v>
      </c>
      <c r="AP321" s="3">
        <v>3.7037037037037033</v>
      </c>
      <c r="AQ321" s="3">
        <v>1</v>
      </c>
      <c r="AR321" s="3">
        <v>0.74074074074074081</v>
      </c>
      <c r="AS321" s="1">
        <v>6</v>
      </c>
      <c r="AT321" s="3">
        <v>4.4444444444444446</v>
      </c>
      <c r="AU321" s="1">
        <v>1</v>
      </c>
      <c r="AV321" s="3">
        <v>0.74074074074074081</v>
      </c>
      <c r="AW321" s="1" t="s">
        <v>22</v>
      </c>
      <c r="AX321" s="1">
        <v>21</v>
      </c>
      <c r="AY321" s="1">
        <v>0</v>
      </c>
      <c r="AZ321" s="1">
        <v>0</v>
      </c>
      <c r="BA321" s="1">
        <v>42</v>
      </c>
      <c r="BB321" s="1">
        <v>0</v>
      </c>
      <c r="BC321" s="1">
        <v>0</v>
      </c>
      <c r="BD321" s="1">
        <v>0</v>
      </c>
      <c r="BE321" s="54">
        <v>0</v>
      </c>
      <c r="BF321" s="6">
        <v>20</v>
      </c>
      <c r="BG321" s="6">
        <v>27</v>
      </c>
      <c r="BH321" s="1">
        <v>1</v>
      </c>
      <c r="BI321" s="6">
        <v>10</v>
      </c>
      <c r="BJ321" s="1" t="s">
        <v>22</v>
      </c>
      <c r="BK321" s="6">
        <v>0</v>
      </c>
      <c r="BL321" s="6">
        <v>0</v>
      </c>
      <c r="BM321" s="1">
        <v>1</v>
      </c>
      <c r="BN321" t="s">
        <v>24</v>
      </c>
      <c r="BO321">
        <v>2325</v>
      </c>
    </row>
    <row r="322" spans="1:67" x14ac:dyDescent="0.25">
      <c r="A322" s="4">
        <f>INT(Tabela1[[#This Row],[Data e Hora]])</f>
        <v>46295</v>
      </c>
      <c r="B322" s="4" t="str">
        <f>UPPER(TEXT(Tabela1[[#This Row],[Data Corrigida]],"MMM"))</f>
        <v>SET</v>
      </c>
      <c r="C322" t="s">
        <v>940</v>
      </c>
      <c r="D322" t="s">
        <v>941</v>
      </c>
      <c r="E322" t="s">
        <v>942</v>
      </c>
      <c r="F322" t="s">
        <v>19</v>
      </c>
      <c r="G322" s="5" t="s">
        <v>927</v>
      </c>
      <c r="H322" t="s">
        <v>20</v>
      </c>
      <c r="I322" t="s">
        <v>21</v>
      </c>
      <c r="J322" s="1">
        <v>146</v>
      </c>
      <c r="K322" s="1">
        <v>2949</v>
      </c>
      <c r="L322" t="s">
        <v>23</v>
      </c>
      <c r="M322" s="1">
        <v>29</v>
      </c>
      <c r="N322" s="48">
        <v>28.999999999999996</v>
      </c>
      <c r="O322" s="1">
        <v>11</v>
      </c>
      <c r="P322" s="48">
        <v>11</v>
      </c>
      <c r="Q322" s="1">
        <v>0</v>
      </c>
      <c r="R322" s="1">
        <v>0</v>
      </c>
      <c r="S322" s="1">
        <v>3</v>
      </c>
      <c r="T322" s="1">
        <v>3</v>
      </c>
      <c r="U322" s="1">
        <v>1</v>
      </c>
      <c r="V322" s="1">
        <v>1</v>
      </c>
      <c r="W322" s="1">
        <v>0</v>
      </c>
      <c r="X322" s="1">
        <v>0</v>
      </c>
      <c r="Y322" s="1">
        <v>1</v>
      </c>
      <c r="Z322" s="3">
        <v>0.34246575342465752</v>
      </c>
      <c r="AA322" s="1">
        <v>2</v>
      </c>
      <c r="AB322" s="3">
        <v>1.3698630136986301</v>
      </c>
      <c r="AC322" s="1">
        <v>0</v>
      </c>
      <c r="AD322" s="3">
        <v>0</v>
      </c>
      <c r="AE322" s="1">
        <v>1</v>
      </c>
      <c r="AF322" s="3">
        <v>0.68493150684931503</v>
      </c>
      <c r="AG322" s="1">
        <v>5</v>
      </c>
      <c r="AH322" s="3">
        <v>3.4246575342465753</v>
      </c>
      <c r="AI322" s="1" t="s">
        <v>22</v>
      </c>
      <c r="AJ322" s="1">
        <v>2</v>
      </c>
      <c r="AK322" s="3">
        <v>1.3698630136986301</v>
      </c>
      <c r="AL322" s="1">
        <v>2</v>
      </c>
      <c r="AM322" s="3">
        <v>1.3698630136986301</v>
      </c>
      <c r="AN322" s="1" t="s">
        <v>22</v>
      </c>
      <c r="AO322" s="1">
        <v>6</v>
      </c>
      <c r="AP322" s="3">
        <v>4.10958904109589</v>
      </c>
      <c r="AQ322" s="3">
        <v>1</v>
      </c>
      <c r="AR322" s="3">
        <v>0.68493150684931503</v>
      </c>
      <c r="AS322" s="1">
        <v>6</v>
      </c>
      <c r="AT322" s="3">
        <v>4.10958904109589</v>
      </c>
      <c r="AU322" s="1">
        <v>1</v>
      </c>
      <c r="AV322" s="3">
        <v>0.68493150684931503</v>
      </c>
      <c r="AW322" s="1" t="s">
        <v>22</v>
      </c>
      <c r="AX322" s="1">
        <v>18</v>
      </c>
      <c r="AY322" s="1">
        <v>0</v>
      </c>
      <c r="AZ322" s="1">
        <v>0</v>
      </c>
      <c r="BA322" s="1">
        <v>36</v>
      </c>
      <c r="BB322" s="1">
        <v>0</v>
      </c>
      <c r="BC322" s="1">
        <v>0</v>
      </c>
      <c r="BD322" s="1">
        <v>0</v>
      </c>
      <c r="BE322" s="54">
        <v>0</v>
      </c>
      <c r="BF322" s="6">
        <v>17</v>
      </c>
      <c r="BG322" s="6">
        <v>23</v>
      </c>
      <c r="BH322" s="1">
        <v>1</v>
      </c>
      <c r="BI322" s="6">
        <v>10</v>
      </c>
      <c r="BJ322" s="1" t="s">
        <v>22</v>
      </c>
      <c r="BK322" s="1" t="s">
        <v>22</v>
      </c>
      <c r="BL322" s="1" t="s">
        <v>22</v>
      </c>
      <c r="BM322" s="1" t="s">
        <v>22</v>
      </c>
      <c r="BN322" t="s">
        <v>24</v>
      </c>
      <c r="BO322">
        <v>1752</v>
      </c>
    </row>
    <row r="323" spans="1:67" x14ac:dyDescent="0.25">
      <c r="A323" s="4">
        <f>INT(Tabela1[[#This Row],[Data e Hora]])</f>
        <v>46296</v>
      </c>
      <c r="B323" s="4" t="str">
        <f>UPPER(TEXT(Tabela1[[#This Row],[Data Corrigida]],"MMM"))</f>
        <v>OUT</v>
      </c>
      <c r="C323" s="57" t="s">
        <v>943</v>
      </c>
      <c r="D323" t="s">
        <v>944</v>
      </c>
      <c r="E323" t="s">
        <v>945</v>
      </c>
      <c r="F323" t="s">
        <v>19</v>
      </c>
      <c r="G323" s="5" t="s">
        <v>946</v>
      </c>
      <c r="H323" t="s">
        <v>20</v>
      </c>
      <c r="I323" t="s">
        <v>33</v>
      </c>
      <c r="J323" s="1">
        <v>156</v>
      </c>
      <c r="K323" s="1">
        <v>2978</v>
      </c>
      <c r="L323" t="s">
        <v>34</v>
      </c>
      <c r="M323" s="1">
        <v>20</v>
      </c>
      <c r="N323" s="48">
        <v>20</v>
      </c>
      <c r="O323" s="1">
        <v>6</v>
      </c>
      <c r="P323" s="48">
        <v>6</v>
      </c>
      <c r="Q323" s="1">
        <v>0</v>
      </c>
      <c r="R323" s="1">
        <v>0</v>
      </c>
      <c r="S323" s="1">
        <v>3</v>
      </c>
      <c r="T323" s="1">
        <v>3</v>
      </c>
      <c r="U323" s="1">
        <v>1</v>
      </c>
      <c r="V323" s="1">
        <v>1</v>
      </c>
      <c r="W323" s="1">
        <v>0</v>
      </c>
      <c r="X323" s="1">
        <v>0</v>
      </c>
      <c r="Y323" s="1">
        <v>3</v>
      </c>
      <c r="Z323" s="3">
        <v>0.96153846153846156</v>
      </c>
      <c r="AA323" s="1">
        <v>2</v>
      </c>
      <c r="AB323" s="3">
        <v>1.2820512820512819</v>
      </c>
      <c r="AC323" s="1">
        <v>0</v>
      </c>
      <c r="AD323" s="3">
        <v>0</v>
      </c>
      <c r="AE323" s="1">
        <v>4</v>
      </c>
      <c r="AF323" s="3">
        <v>2.5641025641025639</v>
      </c>
      <c r="AG323" s="1">
        <v>2</v>
      </c>
      <c r="AH323" s="3">
        <v>1.2820512820512819</v>
      </c>
      <c r="AI323" s="1" t="s">
        <v>22</v>
      </c>
      <c r="AJ323" s="1">
        <v>0</v>
      </c>
      <c r="AK323" s="3">
        <v>0</v>
      </c>
      <c r="AL323" s="1">
        <v>0</v>
      </c>
      <c r="AM323" s="3">
        <v>0</v>
      </c>
      <c r="AN323" s="1" t="s">
        <v>22</v>
      </c>
      <c r="AO323" s="1">
        <v>5</v>
      </c>
      <c r="AP323" s="3">
        <v>3.2051282051282048</v>
      </c>
      <c r="AQ323" s="3">
        <v>6</v>
      </c>
      <c r="AR323" s="3">
        <v>3.8461538461538463</v>
      </c>
      <c r="AS323" s="1">
        <v>6</v>
      </c>
      <c r="AT323" s="3">
        <v>3.8461538461538463</v>
      </c>
      <c r="AU323" s="1">
        <v>0</v>
      </c>
      <c r="AV323" s="3">
        <v>0</v>
      </c>
      <c r="AW323" s="1" t="s">
        <v>22</v>
      </c>
      <c r="AX323" s="1">
        <v>16</v>
      </c>
      <c r="AY323" s="1">
        <v>0</v>
      </c>
      <c r="AZ323" s="1">
        <v>0</v>
      </c>
      <c r="BA323" s="1">
        <v>32</v>
      </c>
      <c r="BB323" s="1">
        <v>0</v>
      </c>
      <c r="BC323" s="1">
        <v>0</v>
      </c>
      <c r="BD323" s="1">
        <v>0</v>
      </c>
      <c r="BE323" s="54">
        <v>0</v>
      </c>
      <c r="BF323" s="6">
        <v>20</v>
      </c>
      <c r="BG323" s="6">
        <v>18</v>
      </c>
      <c r="BH323" s="1">
        <v>0</v>
      </c>
      <c r="BI323" s="6">
        <v>0</v>
      </c>
      <c r="BJ323" s="1" t="s">
        <v>22</v>
      </c>
      <c r="BK323" s="6">
        <v>0</v>
      </c>
      <c r="BL323" s="6">
        <v>0</v>
      </c>
      <c r="BM323" s="1">
        <v>0</v>
      </c>
      <c r="BN323" t="s">
        <v>24</v>
      </c>
      <c r="BO323">
        <v>3187</v>
      </c>
    </row>
    <row r="324" spans="1:67" x14ac:dyDescent="0.25">
      <c r="A324" s="4">
        <f>INT(Tabela1[[#This Row],[Data e Hora]])</f>
        <v>46296</v>
      </c>
      <c r="B324" s="4" t="str">
        <f>UPPER(TEXT(Tabela1[[#This Row],[Data Corrigida]],"MMM"))</f>
        <v>OUT</v>
      </c>
      <c r="C324" t="s">
        <v>947</v>
      </c>
      <c r="D324" t="s">
        <v>948</v>
      </c>
      <c r="E324" t="s">
        <v>945</v>
      </c>
      <c r="F324" t="s">
        <v>19</v>
      </c>
      <c r="G324" s="5" t="s">
        <v>946</v>
      </c>
      <c r="H324" t="s">
        <v>20</v>
      </c>
      <c r="I324" t="s">
        <v>33</v>
      </c>
      <c r="J324" s="1">
        <v>140</v>
      </c>
      <c r="K324" s="1">
        <v>3071</v>
      </c>
      <c r="L324" t="s">
        <v>34</v>
      </c>
      <c r="M324" s="1">
        <v>10</v>
      </c>
      <c r="N324" s="48">
        <v>10</v>
      </c>
      <c r="O324" s="1">
        <v>6</v>
      </c>
      <c r="P324" s="48">
        <v>6</v>
      </c>
      <c r="Q324" s="1">
        <v>0</v>
      </c>
      <c r="R324" s="1">
        <v>0</v>
      </c>
      <c r="S324" s="1">
        <v>3</v>
      </c>
      <c r="T324" s="1">
        <v>3</v>
      </c>
      <c r="U324" s="1">
        <v>1</v>
      </c>
      <c r="V324" s="1">
        <v>1</v>
      </c>
      <c r="W324" s="1">
        <v>1</v>
      </c>
      <c r="X324" s="1">
        <v>5</v>
      </c>
      <c r="Y324" s="1">
        <v>4</v>
      </c>
      <c r="Z324" s="3">
        <v>1.4285714285714286</v>
      </c>
      <c r="AA324" s="1">
        <v>3</v>
      </c>
      <c r="AB324" s="3">
        <v>2.1428571428571428</v>
      </c>
      <c r="AC324" s="1">
        <v>0</v>
      </c>
      <c r="AD324" s="3">
        <v>0</v>
      </c>
      <c r="AE324" s="1">
        <v>1</v>
      </c>
      <c r="AF324" s="3">
        <v>0.7142857142857143</v>
      </c>
      <c r="AG324" s="1">
        <v>2</v>
      </c>
      <c r="AH324" s="3">
        <v>1.4285714285714286</v>
      </c>
      <c r="AI324" s="1" t="s">
        <v>22</v>
      </c>
      <c r="AJ324" s="1">
        <v>0</v>
      </c>
      <c r="AK324" s="3">
        <v>0</v>
      </c>
      <c r="AL324" s="1">
        <v>0</v>
      </c>
      <c r="AM324" s="3">
        <v>0</v>
      </c>
      <c r="AN324" s="1" t="s">
        <v>22</v>
      </c>
      <c r="AO324" s="1">
        <v>5</v>
      </c>
      <c r="AP324" s="3">
        <v>3.5714285714285712</v>
      </c>
      <c r="AQ324" s="3">
        <v>5</v>
      </c>
      <c r="AR324" s="3">
        <v>3.5714285714285712</v>
      </c>
      <c r="AS324" s="1">
        <v>8</v>
      </c>
      <c r="AT324" s="3">
        <v>5.7142857142857144</v>
      </c>
      <c r="AU324" s="1">
        <v>0</v>
      </c>
      <c r="AV324" s="3">
        <v>0</v>
      </c>
      <c r="AW324" s="1" t="s">
        <v>22</v>
      </c>
      <c r="AX324" s="1">
        <v>19</v>
      </c>
      <c r="AY324" s="1">
        <v>0</v>
      </c>
      <c r="AZ324" s="1">
        <v>0</v>
      </c>
      <c r="BA324" s="1">
        <v>38</v>
      </c>
      <c r="BB324" s="1">
        <v>0</v>
      </c>
      <c r="BC324" s="1">
        <v>0</v>
      </c>
      <c r="BD324" s="1">
        <v>1</v>
      </c>
      <c r="BE324" s="54">
        <v>0.7142857142857143</v>
      </c>
      <c r="BF324" s="6">
        <v>21</v>
      </c>
      <c r="BG324" s="6">
        <v>18</v>
      </c>
      <c r="BH324" s="1">
        <v>0</v>
      </c>
      <c r="BI324" s="6">
        <v>0</v>
      </c>
      <c r="BJ324" s="1" t="s">
        <v>22</v>
      </c>
      <c r="BK324" s="6">
        <v>4</v>
      </c>
      <c r="BL324" s="6">
        <v>0</v>
      </c>
      <c r="BM324" s="1">
        <v>0</v>
      </c>
      <c r="BN324" t="s">
        <v>24</v>
      </c>
      <c r="BO324">
        <v>9122</v>
      </c>
    </row>
    <row r="325" spans="1:67" x14ac:dyDescent="0.25">
      <c r="A325" s="4">
        <f>INT(Tabela1[[#This Row],[Data e Hora]])</f>
        <v>46296</v>
      </c>
      <c r="B325" s="4" t="str">
        <f>UPPER(TEXT(Tabela1[[#This Row],[Data Corrigida]],"MMM"))</f>
        <v>OUT</v>
      </c>
      <c r="C325" t="s">
        <v>949</v>
      </c>
      <c r="D325" t="s">
        <v>950</v>
      </c>
      <c r="E325" t="s">
        <v>945</v>
      </c>
      <c r="F325" t="s">
        <v>19</v>
      </c>
      <c r="G325" s="5" t="s">
        <v>946</v>
      </c>
      <c r="H325" t="s">
        <v>20</v>
      </c>
      <c r="I325" t="s">
        <v>33</v>
      </c>
      <c r="J325" s="1">
        <v>99</v>
      </c>
      <c r="K325" s="1">
        <v>3008</v>
      </c>
      <c r="L325" t="s">
        <v>34</v>
      </c>
      <c r="M325" s="1">
        <v>8</v>
      </c>
      <c r="N325" s="48">
        <v>8</v>
      </c>
      <c r="O325" s="1">
        <v>5</v>
      </c>
      <c r="P325" s="48">
        <v>5</v>
      </c>
      <c r="Q325" s="1">
        <v>0</v>
      </c>
      <c r="R325" s="1">
        <v>0</v>
      </c>
      <c r="S325" s="1">
        <v>2</v>
      </c>
      <c r="T325" s="1">
        <v>2</v>
      </c>
      <c r="U325" s="1">
        <v>1</v>
      </c>
      <c r="V325" s="1">
        <v>1</v>
      </c>
      <c r="W325" s="1">
        <v>0</v>
      </c>
      <c r="X325" s="1">
        <v>0</v>
      </c>
      <c r="Y325" s="1">
        <v>5</v>
      </c>
      <c r="Z325" s="3">
        <v>2.5252525252525251</v>
      </c>
      <c r="AA325" s="1">
        <v>1</v>
      </c>
      <c r="AB325" s="3">
        <v>1.0101010101010102</v>
      </c>
      <c r="AC325" s="1">
        <v>0</v>
      </c>
      <c r="AD325" s="3">
        <v>0</v>
      </c>
      <c r="AE325" s="1">
        <v>1</v>
      </c>
      <c r="AF325" s="3">
        <v>1.0101010101010102</v>
      </c>
      <c r="AG325" s="1">
        <v>1</v>
      </c>
      <c r="AH325" s="3">
        <v>1.0101010101010102</v>
      </c>
      <c r="AI325" s="1" t="s">
        <v>22</v>
      </c>
      <c r="AJ325" s="1">
        <v>0</v>
      </c>
      <c r="AK325" s="3">
        <v>0</v>
      </c>
      <c r="AL325" s="1">
        <v>0</v>
      </c>
      <c r="AM325" s="3">
        <v>0</v>
      </c>
      <c r="AN325" s="1" t="s">
        <v>22</v>
      </c>
      <c r="AO325" s="1">
        <v>3</v>
      </c>
      <c r="AP325" s="3">
        <v>3.0303030303030303</v>
      </c>
      <c r="AQ325" s="3">
        <v>5</v>
      </c>
      <c r="AR325" s="3">
        <v>5.0505050505050502</v>
      </c>
      <c r="AS325" s="1">
        <v>4</v>
      </c>
      <c r="AT325" s="3">
        <v>4.0404040404040407</v>
      </c>
      <c r="AU325" s="1">
        <v>0</v>
      </c>
      <c r="AV325" s="3">
        <v>0</v>
      </c>
      <c r="AW325" s="1" t="s">
        <v>22</v>
      </c>
      <c r="AX325" s="1">
        <v>16</v>
      </c>
      <c r="AY325" s="1">
        <v>0</v>
      </c>
      <c r="AZ325" s="1">
        <v>2</v>
      </c>
      <c r="BA325" s="1">
        <v>32</v>
      </c>
      <c r="BB325" s="1">
        <v>0</v>
      </c>
      <c r="BC325" s="1">
        <v>4</v>
      </c>
      <c r="BD325" s="1">
        <v>0</v>
      </c>
      <c r="BE325" s="54">
        <v>0</v>
      </c>
      <c r="BF325" s="6">
        <v>18</v>
      </c>
      <c r="BG325" s="6">
        <v>10</v>
      </c>
      <c r="BH325" s="1">
        <v>0</v>
      </c>
      <c r="BI325" s="6">
        <v>0</v>
      </c>
      <c r="BJ325" s="1" t="s">
        <v>22</v>
      </c>
      <c r="BK325" s="6">
        <v>2</v>
      </c>
      <c r="BL325" s="6">
        <v>0</v>
      </c>
      <c r="BM325" s="1">
        <v>0</v>
      </c>
      <c r="BN325" t="s">
        <v>24</v>
      </c>
      <c r="BO325">
        <v>9337</v>
      </c>
    </row>
    <row r="326" spans="1:67" x14ac:dyDescent="0.25">
      <c r="A326" s="4">
        <f>INT(Tabela1[[#This Row],[Data e Hora]])</f>
        <v>46296</v>
      </c>
      <c r="B326" s="4" t="str">
        <f>UPPER(TEXT(Tabela1[[#This Row],[Data Corrigida]],"MMM"))</f>
        <v>OUT</v>
      </c>
      <c r="C326" t="s">
        <v>951</v>
      </c>
      <c r="D326" t="s">
        <v>952</v>
      </c>
      <c r="E326" t="s">
        <v>953</v>
      </c>
      <c r="F326" t="s">
        <v>19</v>
      </c>
      <c r="G326" s="5" t="s">
        <v>946</v>
      </c>
      <c r="H326" t="s">
        <v>20</v>
      </c>
      <c r="I326" t="s">
        <v>21</v>
      </c>
      <c r="J326" s="1">
        <v>161</v>
      </c>
      <c r="K326" s="1">
        <v>2980</v>
      </c>
      <c r="L326" t="s">
        <v>23</v>
      </c>
      <c r="M326" s="1">
        <v>51</v>
      </c>
      <c r="N326" s="48">
        <v>51</v>
      </c>
      <c r="O326" s="1">
        <v>33</v>
      </c>
      <c r="P326" s="48">
        <v>33</v>
      </c>
      <c r="Q326" s="1">
        <v>0</v>
      </c>
      <c r="R326" s="1">
        <v>0</v>
      </c>
      <c r="S326" s="1">
        <v>1</v>
      </c>
      <c r="T326" s="1">
        <v>1</v>
      </c>
      <c r="U326" s="1">
        <v>1</v>
      </c>
      <c r="V326" s="1">
        <v>1</v>
      </c>
      <c r="W326" s="1">
        <v>0</v>
      </c>
      <c r="X326" s="1">
        <v>0</v>
      </c>
      <c r="Y326" s="1">
        <v>5</v>
      </c>
      <c r="Z326" s="3">
        <v>1.5527950310559007</v>
      </c>
      <c r="AA326" s="1">
        <v>3</v>
      </c>
      <c r="AB326" s="3">
        <v>1.8633540372670807</v>
      </c>
      <c r="AC326" s="1">
        <v>0</v>
      </c>
      <c r="AD326" s="3">
        <v>0</v>
      </c>
      <c r="AE326" s="1">
        <v>1</v>
      </c>
      <c r="AF326" s="3">
        <v>0.6211180124223602</v>
      </c>
      <c r="AG326" s="1">
        <v>7</v>
      </c>
      <c r="AH326" s="3">
        <v>4.3478260869565215</v>
      </c>
      <c r="AI326" s="1" t="s">
        <v>22</v>
      </c>
      <c r="AJ326" s="1">
        <v>3</v>
      </c>
      <c r="AK326" s="3">
        <v>1.8633540372670807</v>
      </c>
      <c r="AL326" s="1">
        <v>3</v>
      </c>
      <c r="AM326" s="3">
        <v>1.8633540372670807</v>
      </c>
      <c r="AN326" s="1" t="s">
        <v>22</v>
      </c>
      <c r="AO326" s="1">
        <v>7</v>
      </c>
      <c r="AP326" s="3">
        <v>4.3478260869565215</v>
      </c>
      <c r="AQ326" s="3">
        <v>3</v>
      </c>
      <c r="AR326" s="3">
        <v>1.8633540372670807</v>
      </c>
      <c r="AS326" s="1">
        <v>8</v>
      </c>
      <c r="AT326" s="3">
        <v>4.9689440993788816</v>
      </c>
      <c r="AU326" s="1">
        <v>1</v>
      </c>
      <c r="AV326" s="3">
        <v>0.6211180124223602</v>
      </c>
      <c r="AW326" s="1" t="s">
        <v>22</v>
      </c>
      <c r="AX326" s="1">
        <v>19</v>
      </c>
      <c r="AY326" s="1">
        <v>0</v>
      </c>
      <c r="AZ326" s="1">
        <v>0</v>
      </c>
      <c r="BA326" s="1">
        <v>38</v>
      </c>
      <c r="BB326" s="1">
        <v>0</v>
      </c>
      <c r="BC326" s="1">
        <v>0</v>
      </c>
      <c r="BD326" s="1">
        <v>1</v>
      </c>
      <c r="BE326" s="54">
        <v>0.6211180124223602</v>
      </c>
      <c r="BF326" s="6">
        <v>20</v>
      </c>
      <c r="BG326" s="6">
        <v>21</v>
      </c>
      <c r="BH326" s="1">
        <v>1</v>
      </c>
      <c r="BI326" s="6">
        <v>10</v>
      </c>
      <c r="BJ326" s="1" t="s">
        <v>22</v>
      </c>
      <c r="BK326" s="6">
        <v>1</v>
      </c>
      <c r="BL326" s="6">
        <v>0</v>
      </c>
      <c r="BM326" s="1">
        <v>1</v>
      </c>
      <c r="BN326" t="s">
        <v>24</v>
      </c>
      <c r="BO326">
        <v>3491</v>
      </c>
    </row>
    <row r="327" spans="1:67" x14ac:dyDescent="0.25">
      <c r="A327" s="4">
        <f>INT(Tabela1[[#This Row],[Data e Hora]])</f>
        <v>46296</v>
      </c>
      <c r="B327" s="4" t="str">
        <f>UPPER(TEXT(Tabela1[[#This Row],[Data Corrigida]],"MMM"))</f>
        <v>OUT</v>
      </c>
      <c r="C327" t="s">
        <v>954</v>
      </c>
      <c r="D327" t="s">
        <v>955</v>
      </c>
      <c r="E327" t="s">
        <v>953</v>
      </c>
      <c r="F327" t="s">
        <v>19</v>
      </c>
      <c r="G327" s="5" t="s">
        <v>946</v>
      </c>
      <c r="H327" t="s">
        <v>20</v>
      </c>
      <c r="I327" t="s">
        <v>21</v>
      </c>
      <c r="J327" s="1">
        <v>161</v>
      </c>
      <c r="K327" s="1">
        <v>2972</v>
      </c>
      <c r="L327" t="s">
        <v>23</v>
      </c>
      <c r="M327" s="1">
        <v>53</v>
      </c>
      <c r="N327" s="48">
        <v>53</v>
      </c>
      <c r="O327" s="1">
        <v>29</v>
      </c>
      <c r="P327" s="48">
        <v>28.999999999999996</v>
      </c>
      <c r="Q327" s="1">
        <v>0</v>
      </c>
      <c r="R327" s="1">
        <v>0</v>
      </c>
      <c r="S327" s="1">
        <v>3</v>
      </c>
      <c r="T327" s="1">
        <v>3</v>
      </c>
      <c r="U327" s="1">
        <v>1</v>
      </c>
      <c r="V327" s="1">
        <v>1</v>
      </c>
      <c r="W327" s="1">
        <v>0</v>
      </c>
      <c r="X327" s="1">
        <v>0</v>
      </c>
      <c r="Y327" s="1">
        <v>4</v>
      </c>
      <c r="Z327" s="3">
        <v>1.2422360248447204</v>
      </c>
      <c r="AA327" s="1">
        <v>3</v>
      </c>
      <c r="AB327" s="3">
        <v>1.8633540372670807</v>
      </c>
      <c r="AC327" s="1">
        <v>0</v>
      </c>
      <c r="AD327" s="3">
        <v>0</v>
      </c>
      <c r="AE327" s="1" t="s">
        <v>22</v>
      </c>
      <c r="AF327" s="3" t="s">
        <v>22</v>
      </c>
      <c r="AG327" s="1">
        <v>6</v>
      </c>
      <c r="AH327" s="3">
        <v>3.7267080745341614</v>
      </c>
      <c r="AI327" s="1" t="s">
        <v>22</v>
      </c>
      <c r="AJ327" s="1">
        <v>2</v>
      </c>
      <c r="AK327" s="3">
        <v>1.2422360248447204</v>
      </c>
      <c r="AL327" s="1">
        <v>3</v>
      </c>
      <c r="AM327" s="3">
        <v>1.8633540372670807</v>
      </c>
      <c r="AN327" s="1" t="s">
        <v>22</v>
      </c>
      <c r="AO327" s="1">
        <v>6</v>
      </c>
      <c r="AP327" s="3">
        <v>3.7267080745341614</v>
      </c>
      <c r="AQ327" s="3">
        <v>2</v>
      </c>
      <c r="AR327" s="3">
        <v>1.2422360248447204</v>
      </c>
      <c r="AS327" s="1">
        <v>7</v>
      </c>
      <c r="AT327" s="3">
        <v>4.3478260869565215</v>
      </c>
      <c r="AU327" s="1">
        <v>1</v>
      </c>
      <c r="AV327" s="3">
        <v>0.6211180124223602</v>
      </c>
      <c r="AW327" s="1" t="s">
        <v>22</v>
      </c>
      <c r="AX327" s="1">
        <v>19</v>
      </c>
      <c r="AY327" s="1">
        <v>3</v>
      </c>
      <c r="AZ327" s="1">
        <v>3</v>
      </c>
      <c r="BA327" s="1">
        <v>38</v>
      </c>
      <c r="BB327" s="1">
        <v>6</v>
      </c>
      <c r="BC327" s="1">
        <v>6</v>
      </c>
      <c r="BD327" s="1">
        <v>1</v>
      </c>
      <c r="BE327" s="54">
        <v>0.6211180124223602</v>
      </c>
      <c r="BF327" s="6">
        <v>22</v>
      </c>
      <c r="BG327" s="6">
        <v>19</v>
      </c>
      <c r="BH327" s="1">
        <v>1</v>
      </c>
      <c r="BI327" s="6">
        <v>10</v>
      </c>
      <c r="BJ327" s="1" t="s">
        <v>22</v>
      </c>
      <c r="BK327" s="6">
        <v>0</v>
      </c>
      <c r="BL327" s="6">
        <v>0</v>
      </c>
      <c r="BM327" s="1">
        <v>2</v>
      </c>
      <c r="BN327" t="s">
        <v>24</v>
      </c>
      <c r="BO327">
        <v>2032</v>
      </c>
    </row>
    <row r="328" spans="1:67" x14ac:dyDescent="0.25">
      <c r="A328" s="4">
        <f>INT(Tabela1[[#This Row],[Data e Hora]])</f>
        <v>46296</v>
      </c>
      <c r="B328" s="4" t="str">
        <f>UPPER(TEXT(Tabela1[[#This Row],[Data Corrigida]],"MMM"))</f>
        <v>OUT</v>
      </c>
      <c r="C328" t="s">
        <v>956</v>
      </c>
      <c r="D328" t="s">
        <v>957</v>
      </c>
      <c r="E328" t="s">
        <v>953</v>
      </c>
      <c r="F328" t="s">
        <v>19</v>
      </c>
      <c r="G328" s="5" t="s">
        <v>946</v>
      </c>
      <c r="H328" t="s">
        <v>20</v>
      </c>
      <c r="I328" t="s">
        <v>21</v>
      </c>
      <c r="J328" s="1">
        <v>161</v>
      </c>
      <c r="K328" s="1">
        <v>2968</v>
      </c>
      <c r="L328" t="s">
        <v>23</v>
      </c>
      <c r="M328" s="1">
        <v>51</v>
      </c>
      <c r="N328" s="48">
        <v>51</v>
      </c>
      <c r="O328" s="1">
        <v>27</v>
      </c>
      <c r="P328" s="48">
        <v>27</v>
      </c>
      <c r="Q328" s="1">
        <v>0</v>
      </c>
      <c r="R328" s="1">
        <v>0</v>
      </c>
      <c r="S328" s="1">
        <v>3</v>
      </c>
      <c r="T328" s="1">
        <v>3</v>
      </c>
      <c r="U328" s="1">
        <v>1</v>
      </c>
      <c r="V328" s="1">
        <v>1</v>
      </c>
      <c r="W328" s="1">
        <v>1</v>
      </c>
      <c r="X328" s="1">
        <v>5</v>
      </c>
      <c r="Y328" s="1">
        <v>6</v>
      </c>
      <c r="Z328" s="3">
        <v>1.8633540372670807</v>
      </c>
      <c r="AA328" s="1">
        <v>3</v>
      </c>
      <c r="AB328" s="3">
        <v>1.8633540372670807</v>
      </c>
      <c r="AC328" s="1">
        <v>0</v>
      </c>
      <c r="AD328" s="3">
        <v>0</v>
      </c>
      <c r="AE328" s="1">
        <v>0</v>
      </c>
      <c r="AF328" s="3">
        <v>0</v>
      </c>
      <c r="AG328" s="1">
        <v>5</v>
      </c>
      <c r="AH328" s="3">
        <v>3.1055900621118013</v>
      </c>
      <c r="AI328" s="1" t="s">
        <v>22</v>
      </c>
      <c r="AJ328" s="1">
        <v>3</v>
      </c>
      <c r="AK328" s="3">
        <v>1.8633540372670807</v>
      </c>
      <c r="AL328" s="1">
        <v>3</v>
      </c>
      <c r="AM328" s="3">
        <v>1.8633540372670807</v>
      </c>
      <c r="AN328" s="1" t="s">
        <v>22</v>
      </c>
      <c r="AO328" s="1">
        <v>8</v>
      </c>
      <c r="AP328" s="3">
        <v>4.9689440993788816</v>
      </c>
      <c r="AQ328" s="3">
        <v>2</v>
      </c>
      <c r="AR328" s="3">
        <v>1.2422360248447204</v>
      </c>
      <c r="AS328" s="1">
        <v>7</v>
      </c>
      <c r="AT328" s="3">
        <v>4.3478260869565215</v>
      </c>
      <c r="AU328" s="1">
        <v>1</v>
      </c>
      <c r="AV328" s="3">
        <v>0.6211180124223602</v>
      </c>
      <c r="AW328" s="1" t="s">
        <v>22</v>
      </c>
      <c r="AX328" s="1">
        <v>19</v>
      </c>
      <c r="AY328" s="1">
        <v>0</v>
      </c>
      <c r="AZ328" s="1">
        <v>0</v>
      </c>
      <c r="BA328" s="1">
        <v>38</v>
      </c>
      <c r="BB328" s="1">
        <v>0</v>
      </c>
      <c r="BC328" s="1">
        <v>0</v>
      </c>
      <c r="BD328" s="1">
        <v>0</v>
      </c>
      <c r="BE328" s="54">
        <v>0</v>
      </c>
      <c r="BF328" s="6">
        <v>21</v>
      </c>
      <c r="BG328" s="6">
        <v>18</v>
      </c>
      <c r="BH328" s="1">
        <v>1</v>
      </c>
      <c r="BI328" s="6">
        <v>10</v>
      </c>
      <c r="BJ328" s="1" t="s">
        <v>22</v>
      </c>
      <c r="BK328" s="6">
        <v>0</v>
      </c>
      <c r="BL328" s="6">
        <v>0</v>
      </c>
      <c r="BM328" s="1">
        <v>1</v>
      </c>
      <c r="BN328" t="s">
        <v>24</v>
      </c>
      <c r="BO328">
        <v>2405</v>
      </c>
    </row>
    <row r="329" spans="1:67" x14ac:dyDescent="0.25">
      <c r="A329" s="4">
        <f>INT(Tabela1[[#This Row],[Data e Hora]])</f>
        <v>46296</v>
      </c>
      <c r="B329" s="4" t="str">
        <f>UPPER(TEXT(Tabela1[[#This Row],[Data Corrigida]],"MMM"))</f>
        <v>OUT</v>
      </c>
      <c r="C329" t="s">
        <v>958</v>
      </c>
      <c r="D329" t="s">
        <v>959</v>
      </c>
      <c r="E329" t="s">
        <v>960</v>
      </c>
      <c r="F329" t="s">
        <v>19</v>
      </c>
      <c r="G329" s="5" t="s">
        <v>946</v>
      </c>
      <c r="H329" t="s">
        <v>20</v>
      </c>
      <c r="I329" t="s">
        <v>21</v>
      </c>
      <c r="J329" s="1">
        <v>161</v>
      </c>
      <c r="K329" s="1">
        <v>2945</v>
      </c>
      <c r="L329" t="s">
        <v>23</v>
      </c>
      <c r="M329" s="1">
        <v>42</v>
      </c>
      <c r="N329" s="48">
        <v>42</v>
      </c>
      <c r="O329" s="1">
        <v>20</v>
      </c>
      <c r="P329" s="48">
        <v>20</v>
      </c>
      <c r="Q329" s="1">
        <v>0</v>
      </c>
      <c r="R329" s="1">
        <v>0</v>
      </c>
      <c r="S329" s="1">
        <v>2</v>
      </c>
      <c r="T329" s="1">
        <v>2</v>
      </c>
      <c r="U329" s="1">
        <v>0</v>
      </c>
      <c r="V329" s="1">
        <v>0</v>
      </c>
      <c r="W329" s="1">
        <v>0</v>
      </c>
      <c r="X329" s="1">
        <v>0</v>
      </c>
      <c r="Y329" s="1">
        <v>4</v>
      </c>
      <c r="Z329" s="3">
        <v>1.2422360248447204</v>
      </c>
      <c r="AA329" s="1">
        <v>2</v>
      </c>
      <c r="AB329" s="3">
        <v>1.2422360248447204</v>
      </c>
      <c r="AC329" s="1">
        <v>0</v>
      </c>
      <c r="AD329" s="3">
        <v>0</v>
      </c>
      <c r="AE329" s="1">
        <v>0</v>
      </c>
      <c r="AF329" s="3">
        <v>0</v>
      </c>
      <c r="AG329" s="1">
        <v>5</v>
      </c>
      <c r="AH329" s="3">
        <v>3.1055900621118013</v>
      </c>
      <c r="AI329" s="1" t="s">
        <v>22</v>
      </c>
      <c r="AJ329" s="1">
        <v>3</v>
      </c>
      <c r="AK329" s="3">
        <v>1.8633540372670807</v>
      </c>
      <c r="AL329" s="1">
        <v>2</v>
      </c>
      <c r="AM329" s="3">
        <v>1.2422360248447204</v>
      </c>
      <c r="AN329" s="1" t="s">
        <v>22</v>
      </c>
      <c r="AO329" s="1">
        <v>5</v>
      </c>
      <c r="AP329" s="3">
        <v>3.1055900621118013</v>
      </c>
      <c r="AQ329" s="3">
        <v>2</v>
      </c>
      <c r="AR329" s="3">
        <v>1.2422360248447204</v>
      </c>
      <c r="AS329" s="1">
        <v>6</v>
      </c>
      <c r="AT329" s="3">
        <v>3.7267080745341614</v>
      </c>
      <c r="AU329" s="1">
        <v>1</v>
      </c>
      <c r="AV329" s="3">
        <v>0.6211180124223602</v>
      </c>
      <c r="AW329" s="1" t="s">
        <v>22</v>
      </c>
      <c r="AX329" s="1">
        <v>19</v>
      </c>
      <c r="AY329" s="1">
        <v>0</v>
      </c>
      <c r="AZ329" s="1">
        <v>0</v>
      </c>
      <c r="BA329" s="1">
        <v>38</v>
      </c>
      <c r="BB329" s="1">
        <v>0</v>
      </c>
      <c r="BC329" s="1">
        <v>0</v>
      </c>
      <c r="BD329" s="1">
        <v>0</v>
      </c>
      <c r="BE329" s="54">
        <v>0</v>
      </c>
      <c r="BF329" s="6">
        <v>23</v>
      </c>
      <c r="BG329" s="6">
        <v>19</v>
      </c>
      <c r="BH329" s="1">
        <v>1</v>
      </c>
      <c r="BI329" s="6">
        <v>10</v>
      </c>
      <c r="BJ329" s="1" t="s">
        <v>22</v>
      </c>
      <c r="BK329" s="1" t="s">
        <v>22</v>
      </c>
      <c r="BL329" s="1" t="s">
        <v>22</v>
      </c>
      <c r="BM329" s="1" t="s">
        <v>22</v>
      </c>
      <c r="BN329" t="s">
        <v>24</v>
      </c>
      <c r="BO329">
        <v>1682</v>
      </c>
    </row>
    <row r="330" spans="1:67" x14ac:dyDescent="0.25">
      <c r="A330" s="4">
        <f>INT(Tabela1[[#This Row],[Data e Hora]])</f>
        <v>46300</v>
      </c>
      <c r="B330" s="4" t="str">
        <f>UPPER(TEXT(Tabela1[[#This Row],[Data Corrigida]],"MMM"))</f>
        <v>OUT</v>
      </c>
      <c r="C330" s="57" t="s">
        <v>961</v>
      </c>
      <c r="D330" t="s">
        <v>962</v>
      </c>
      <c r="E330" t="s">
        <v>963</v>
      </c>
      <c r="F330" t="s">
        <v>19</v>
      </c>
      <c r="G330" s="5" t="s">
        <v>964</v>
      </c>
      <c r="H330" t="s">
        <v>20</v>
      </c>
      <c r="I330" t="s">
        <v>33</v>
      </c>
      <c r="J330" s="1">
        <v>161</v>
      </c>
      <c r="K330" s="1">
        <v>2998</v>
      </c>
      <c r="L330" t="s">
        <v>34</v>
      </c>
      <c r="M330" s="1">
        <v>20</v>
      </c>
      <c r="N330" s="48">
        <v>20</v>
      </c>
      <c r="O330" s="1">
        <v>6</v>
      </c>
      <c r="P330" s="48">
        <v>6</v>
      </c>
      <c r="Q330" s="1">
        <v>0</v>
      </c>
      <c r="R330" s="1">
        <v>0</v>
      </c>
      <c r="S330" s="1">
        <v>1</v>
      </c>
      <c r="T330" s="1">
        <v>1</v>
      </c>
      <c r="U330" s="1">
        <v>0</v>
      </c>
      <c r="V330" s="1">
        <v>0</v>
      </c>
      <c r="W330" s="1">
        <v>0</v>
      </c>
      <c r="X330" s="1">
        <v>0</v>
      </c>
      <c r="Y330" s="1">
        <v>6</v>
      </c>
      <c r="Z330" s="3">
        <v>1.8633540372670807</v>
      </c>
      <c r="AA330" s="1">
        <v>4</v>
      </c>
      <c r="AB330" s="3">
        <v>2.4844720496894408</v>
      </c>
      <c r="AC330" s="1">
        <v>0</v>
      </c>
      <c r="AD330" s="3">
        <v>0</v>
      </c>
      <c r="AE330" s="1">
        <v>6</v>
      </c>
      <c r="AF330" s="3">
        <v>3.7267080745341614</v>
      </c>
      <c r="AG330" s="1">
        <v>4</v>
      </c>
      <c r="AH330" s="3">
        <v>2.4844720496894408</v>
      </c>
      <c r="AI330" s="1" t="s">
        <v>22</v>
      </c>
      <c r="AJ330" s="1">
        <v>0</v>
      </c>
      <c r="AK330" s="3">
        <v>0</v>
      </c>
      <c r="AL330" s="1">
        <v>0</v>
      </c>
      <c r="AM330" s="3">
        <v>0</v>
      </c>
      <c r="AN330" s="1" t="s">
        <v>22</v>
      </c>
      <c r="AO330" s="1">
        <v>6</v>
      </c>
      <c r="AP330" s="3">
        <v>3.7267080745341614</v>
      </c>
      <c r="AQ330" s="3">
        <v>5</v>
      </c>
      <c r="AR330" s="3">
        <v>3.1055900621118013</v>
      </c>
      <c r="AS330" s="1">
        <v>6</v>
      </c>
      <c r="AT330" s="3">
        <v>3.7267080745341614</v>
      </c>
      <c r="AU330" s="1">
        <v>1</v>
      </c>
      <c r="AV330" s="3">
        <v>0.6211180124223602</v>
      </c>
      <c r="AW330" s="1" t="s">
        <v>22</v>
      </c>
      <c r="AX330" s="1">
        <v>18</v>
      </c>
      <c r="AY330" s="1">
        <v>0</v>
      </c>
      <c r="AZ330" s="1">
        <v>0</v>
      </c>
      <c r="BA330" s="1">
        <v>36</v>
      </c>
      <c r="BB330" s="1">
        <v>0</v>
      </c>
      <c r="BC330" s="1">
        <v>0</v>
      </c>
      <c r="BD330" s="1">
        <v>0</v>
      </c>
      <c r="BE330" s="54">
        <v>0</v>
      </c>
      <c r="BF330" s="6">
        <v>20</v>
      </c>
      <c r="BG330" s="6">
        <v>16</v>
      </c>
      <c r="BH330" s="1">
        <v>0</v>
      </c>
      <c r="BI330" s="6">
        <v>0</v>
      </c>
      <c r="BJ330" s="1" t="s">
        <v>22</v>
      </c>
      <c r="BK330" s="6">
        <v>0</v>
      </c>
      <c r="BL330" s="6">
        <v>0</v>
      </c>
      <c r="BM330" s="1">
        <v>0</v>
      </c>
      <c r="BN330" t="s">
        <v>24</v>
      </c>
      <c r="BO330">
        <v>411</v>
      </c>
    </row>
    <row r="331" spans="1:67" x14ac:dyDescent="0.25">
      <c r="A331" s="4">
        <f>INT(Tabela1[[#This Row],[Data e Hora]])</f>
        <v>46300</v>
      </c>
      <c r="B331" s="4" t="str">
        <f>UPPER(TEXT(Tabela1[[#This Row],[Data Corrigida]],"MMM"))</f>
        <v>OUT</v>
      </c>
      <c r="C331" t="s">
        <v>965</v>
      </c>
      <c r="D331" t="s">
        <v>966</v>
      </c>
      <c r="E331" t="s">
        <v>963</v>
      </c>
      <c r="F331" t="s">
        <v>19</v>
      </c>
      <c r="G331" s="5" t="s">
        <v>964</v>
      </c>
      <c r="H331" t="s">
        <v>20</v>
      </c>
      <c r="I331" t="s">
        <v>33</v>
      </c>
      <c r="J331" s="1">
        <v>156</v>
      </c>
      <c r="K331" s="1">
        <v>2914</v>
      </c>
      <c r="L331" t="s">
        <v>34</v>
      </c>
      <c r="M331" s="1">
        <v>20</v>
      </c>
      <c r="N331" s="48">
        <v>20</v>
      </c>
      <c r="O331" s="1">
        <v>11</v>
      </c>
      <c r="P331" s="48">
        <v>11</v>
      </c>
      <c r="Q331" s="1">
        <v>1</v>
      </c>
      <c r="R331" s="1">
        <v>10</v>
      </c>
      <c r="S331" s="1">
        <v>1</v>
      </c>
      <c r="T331" s="1">
        <v>1</v>
      </c>
      <c r="U331" s="1">
        <v>0</v>
      </c>
      <c r="V331" s="1">
        <v>0</v>
      </c>
      <c r="W331" s="1">
        <v>0</v>
      </c>
      <c r="X331" s="1">
        <v>0</v>
      </c>
      <c r="Y331" s="1">
        <v>5</v>
      </c>
      <c r="Z331" s="3">
        <v>1.6025641025641024</v>
      </c>
      <c r="AA331" s="1">
        <v>4</v>
      </c>
      <c r="AB331" s="3">
        <v>2.5641025641025639</v>
      </c>
      <c r="AC331" s="1">
        <v>0</v>
      </c>
      <c r="AD331" s="3">
        <v>0</v>
      </c>
      <c r="AE331" s="1">
        <v>1</v>
      </c>
      <c r="AF331" s="3">
        <v>0.64102564102564097</v>
      </c>
      <c r="AG331" s="1">
        <v>2</v>
      </c>
      <c r="AH331" s="3">
        <v>1.2820512820512819</v>
      </c>
      <c r="AI331" s="1" t="s">
        <v>22</v>
      </c>
      <c r="AJ331" s="1">
        <v>0</v>
      </c>
      <c r="AK331" s="3">
        <v>0</v>
      </c>
      <c r="AL331" s="1">
        <v>0</v>
      </c>
      <c r="AM331" s="3">
        <v>0</v>
      </c>
      <c r="AN331" s="1" t="s">
        <v>22</v>
      </c>
      <c r="AO331" s="1">
        <v>15</v>
      </c>
      <c r="AP331" s="3">
        <v>9.6153846153846168</v>
      </c>
      <c r="AQ331" s="3">
        <v>3</v>
      </c>
      <c r="AR331" s="3">
        <v>1.9230769230769231</v>
      </c>
      <c r="AS331" s="1">
        <v>8</v>
      </c>
      <c r="AT331" s="3">
        <v>5.1282051282051277</v>
      </c>
      <c r="AU331" s="1">
        <v>0</v>
      </c>
      <c r="AV331" s="3">
        <v>0</v>
      </c>
      <c r="AW331" s="1" t="s">
        <v>22</v>
      </c>
      <c r="AX331" s="1">
        <v>19</v>
      </c>
      <c r="AY331" s="1">
        <v>0</v>
      </c>
      <c r="AZ331" s="1">
        <v>0</v>
      </c>
      <c r="BA331" s="1">
        <v>38</v>
      </c>
      <c r="BB331" s="1">
        <v>0</v>
      </c>
      <c r="BC331" s="1">
        <v>0</v>
      </c>
      <c r="BD331" s="1">
        <v>0</v>
      </c>
      <c r="BE331" s="54">
        <v>0</v>
      </c>
      <c r="BF331" s="6">
        <v>20</v>
      </c>
      <c r="BG331" s="6">
        <v>18</v>
      </c>
      <c r="BH331" s="1">
        <v>0</v>
      </c>
      <c r="BI331" s="6">
        <v>0</v>
      </c>
      <c r="BJ331" s="1" t="s">
        <v>22</v>
      </c>
      <c r="BK331" s="6">
        <v>3</v>
      </c>
      <c r="BL331" s="6">
        <v>0</v>
      </c>
      <c r="BM331" s="1">
        <v>0</v>
      </c>
      <c r="BN331" t="s">
        <v>24</v>
      </c>
      <c r="BO331">
        <v>8354</v>
      </c>
    </row>
    <row r="332" spans="1:67" x14ac:dyDescent="0.25">
      <c r="A332" s="4">
        <f>INT(Tabela1[[#This Row],[Data e Hora]])</f>
        <v>46300</v>
      </c>
      <c r="B332" s="4" t="str">
        <f>UPPER(TEXT(Tabela1[[#This Row],[Data Corrigida]],"MMM"))</f>
        <v>OUT</v>
      </c>
      <c r="C332" t="s">
        <v>967</v>
      </c>
      <c r="D332" t="s">
        <v>968</v>
      </c>
      <c r="E332" t="s">
        <v>963</v>
      </c>
      <c r="F332" t="s">
        <v>19</v>
      </c>
      <c r="G332" s="5" t="s">
        <v>964</v>
      </c>
      <c r="H332" t="s">
        <v>20</v>
      </c>
      <c r="I332" t="s">
        <v>33</v>
      </c>
      <c r="J332" s="1">
        <v>89</v>
      </c>
      <c r="K332" s="1">
        <v>2998</v>
      </c>
      <c r="L332" t="s">
        <v>34</v>
      </c>
      <c r="M332" s="1">
        <v>9</v>
      </c>
      <c r="N332" s="48">
        <v>9</v>
      </c>
      <c r="O332" s="1">
        <v>4</v>
      </c>
      <c r="P332" s="48">
        <v>4</v>
      </c>
      <c r="Q332" s="1">
        <v>1</v>
      </c>
      <c r="R332" s="1">
        <v>10</v>
      </c>
      <c r="S332" s="1">
        <v>2</v>
      </c>
      <c r="T332" s="1">
        <v>2</v>
      </c>
      <c r="U332" s="1">
        <v>1</v>
      </c>
      <c r="V332" s="1">
        <v>1</v>
      </c>
      <c r="W332" s="1">
        <v>1</v>
      </c>
      <c r="X332" s="1">
        <v>5</v>
      </c>
      <c r="Y332" s="1">
        <v>3</v>
      </c>
      <c r="Z332" s="3">
        <v>1.6853932584269662</v>
      </c>
      <c r="AA332" s="1">
        <v>2</v>
      </c>
      <c r="AB332" s="3">
        <v>2.2471910112359552</v>
      </c>
      <c r="AC332" s="1">
        <v>0</v>
      </c>
      <c r="AD332" s="3">
        <v>0</v>
      </c>
      <c r="AE332" s="1">
        <v>1</v>
      </c>
      <c r="AF332" s="3">
        <v>1.1235955056179776</v>
      </c>
      <c r="AG332" s="1">
        <v>1</v>
      </c>
      <c r="AH332" s="3">
        <v>1.1235955056179776</v>
      </c>
      <c r="AI332" s="1" t="s">
        <v>22</v>
      </c>
      <c r="AJ332" s="1">
        <v>0</v>
      </c>
      <c r="AK332" s="3">
        <v>0</v>
      </c>
      <c r="AL332" s="1">
        <v>0</v>
      </c>
      <c r="AM332" s="3">
        <v>0</v>
      </c>
      <c r="AN332" s="1" t="s">
        <v>22</v>
      </c>
      <c r="AO332" s="1">
        <v>7</v>
      </c>
      <c r="AP332" s="3">
        <v>7.8651685393258424</v>
      </c>
      <c r="AQ332" s="3">
        <v>4</v>
      </c>
      <c r="AR332" s="3">
        <v>4.4943820224719104</v>
      </c>
      <c r="AS332" s="1">
        <v>5</v>
      </c>
      <c r="AT332" s="3">
        <v>5.6179775280898872</v>
      </c>
      <c r="AU332" s="1">
        <v>0</v>
      </c>
      <c r="AV332" s="3">
        <v>0</v>
      </c>
      <c r="AW332" s="1" t="s">
        <v>22</v>
      </c>
      <c r="AX332" s="1">
        <v>16</v>
      </c>
      <c r="AY332" s="1">
        <v>0</v>
      </c>
      <c r="AZ332" s="1">
        <v>0</v>
      </c>
      <c r="BA332" s="1">
        <v>32</v>
      </c>
      <c r="BB332" s="1">
        <v>0</v>
      </c>
      <c r="BC332" s="1">
        <v>0</v>
      </c>
      <c r="BD332" s="1">
        <v>0</v>
      </c>
      <c r="BE332" s="54">
        <v>0</v>
      </c>
      <c r="BF332" s="6">
        <v>23</v>
      </c>
      <c r="BG332" s="6">
        <v>22</v>
      </c>
      <c r="BH332" s="1">
        <v>0</v>
      </c>
      <c r="BI332" s="6">
        <v>0</v>
      </c>
      <c r="BJ332" s="1" t="s">
        <v>22</v>
      </c>
      <c r="BK332" s="6">
        <v>3</v>
      </c>
      <c r="BL332" s="6">
        <v>0</v>
      </c>
      <c r="BM332" s="1">
        <v>0</v>
      </c>
      <c r="BN332" t="s">
        <v>24</v>
      </c>
      <c r="BO332">
        <v>9771</v>
      </c>
    </row>
    <row r="333" spans="1:67" x14ac:dyDescent="0.25">
      <c r="A333" s="4">
        <f>INT(Tabela1[[#This Row],[Data e Hora]])</f>
        <v>46300</v>
      </c>
      <c r="B333" s="4" t="str">
        <f>UPPER(TEXT(Tabela1[[#This Row],[Data Corrigida]],"MMM"))</f>
        <v>OUT</v>
      </c>
      <c r="C333" t="s">
        <v>969</v>
      </c>
      <c r="D333" t="s">
        <v>970</v>
      </c>
      <c r="E333" t="s">
        <v>971</v>
      </c>
      <c r="F333" t="s">
        <v>19</v>
      </c>
      <c r="G333" s="5" t="s">
        <v>964</v>
      </c>
      <c r="H333" t="s">
        <v>20</v>
      </c>
      <c r="I333" t="s">
        <v>21</v>
      </c>
      <c r="J333" s="1">
        <v>156</v>
      </c>
      <c r="K333" s="1">
        <v>2998</v>
      </c>
      <c r="L333" t="s">
        <v>23</v>
      </c>
      <c r="M333" s="1">
        <v>33</v>
      </c>
      <c r="N333" s="48">
        <v>33</v>
      </c>
      <c r="O333" s="1">
        <v>21</v>
      </c>
      <c r="P333" s="48">
        <v>21</v>
      </c>
      <c r="Q333" s="1">
        <v>0</v>
      </c>
      <c r="R333" s="1">
        <v>0</v>
      </c>
      <c r="S333" s="1">
        <v>3</v>
      </c>
      <c r="T333" s="1">
        <v>3</v>
      </c>
      <c r="U333" s="1">
        <v>1</v>
      </c>
      <c r="V333" s="1">
        <v>1</v>
      </c>
      <c r="W333" s="1">
        <v>0</v>
      </c>
      <c r="X333" s="1">
        <v>0</v>
      </c>
      <c r="Y333" s="1">
        <v>4</v>
      </c>
      <c r="Z333" s="3">
        <v>1.2820512820512819</v>
      </c>
      <c r="AA333" s="1">
        <v>3</v>
      </c>
      <c r="AB333" s="3">
        <v>1.9230769230769231</v>
      </c>
      <c r="AC333" s="1">
        <v>1</v>
      </c>
      <c r="AD333" s="3">
        <v>0.64102564102564097</v>
      </c>
      <c r="AE333" s="1">
        <v>2</v>
      </c>
      <c r="AF333" s="3">
        <v>1.2820512820512819</v>
      </c>
      <c r="AG333" s="1">
        <v>5</v>
      </c>
      <c r="AH333" s="3">
        <v>3.2051282051282048</v>
      </c>
      <c r="AI333" s="1" t="s">
        <v>22</v>
      </c>
      <c r="AJ333" s="1">
        <v>3</v>
      </c>
      <c r="AK333" s="3">
        <v>1.9230769230769231</v>
      </c>
      <c r="AL333" s="1">
        <v>3</v>
      </c>
      <c r="AM333" s="3">
        <v>1.9230769230769231</v>
      </c>
      <c r="AN333" s="1" t="s">
        <v>22</v>
      </c>
      <c r="AO333" s="1">
        <v>6</v>
      </c>
      <c r="AP333" s="3">
        <v>3.8461538461538463</v>
      </c>
      <c r="AQ333" s="3">
        <v>3</v>
      </c>
      <c r="AR333" s="3">
        <v>1.9230769230769231</v>
      </c>
      <c r="AS333" s="1">
        <v>7</v>
      </c>
      <c r="AT333" s="3">
        <v>4.4871794871794872</v>
      </c>
      <c r="AU333" s="1">
        <v>1</v>
      </c>
      <c r="AV333" s="3">
        <v>0.64102564102564097</v>
      </c>
      <c r="AW333" s="1" t="s">
        <v>22</v>
      </c>
      <c r="AX333" s="1">
        <v>20</v>
      </c>
      <c r="AY333" s="1">
        <v>1</v>
      </c>
      <c r="AZ333" s="1">
        <v>1</v>
      </c>
      <c r="BA333" s="1">
        <v>40</v>
      </c>
      <c r="BB333" s="1">
        <v>2</v>
      </c>
      <c r="BC333" s="1">
        <v>2</v>
      </c>
      <c r="BD333" s="1">
        <v>1</v>
      </c>
      <c r="BE333" s="54">
        <v>0.64102564102564097</v>
      </c>
      <c r="BF333" s="6">
        <v>15</v>
      </c>
      <c r="BG333" s="6">
        <v>24</v>
      </c>
      <c r="BH333" s="1">
        <v>0</v>
      </c>
      <c r="BI333" s="6">
        <v>0</v>
      </c>
      <c r="BJ333" s="1" t="s">
        <v>22</v>
      </c>
      <c r="BK333" s="1" t="s">
        <v>22</v>
      </c>
      <c r="BL333" s="1" t="s">
        <v>22</v>
      </c>
      <c r="BM333" s="1" t="s">
        <v>22</v>
      </c>
      <c r="BN333" t="s">
        <v>24</v>
      </c>
      <c r="BO333">
        <v>2493</v>
      </c>
    </row>
    <row r="334" spans="1:67" x14ac:dyDescent="0.25">
      <c r="A334" s="4">
        <f>INT(Tabela1[[#This Row],[Data e Hora]])</f>
        <v>46297</v>
      </c>
      <c r="B334" s="4" t="str">
        <f>UPPER(TEXT(Tabela1[[#This Row],[Data Corrigida]],"MMM"))</f>
        <v>OUT</v>
      </c>
      <c r="C334" t="s">
        <v>972</v>
      </c>
      <c r="D334" t="s">
        <v>973</v>
      </c>
      <c r="E334" t="s">
        <v>974</v>
      </c>
      <c r="F334" t="s">
        <v>19</v>
      </c>
      <c r="G334" s="5" t="s">
        <v>975</v>
      </c>
      <c r="H334" t="s">
        <v>20</v>
      </c>
      <c r="I334" t="s">
        <v>33</v>
      </c>
      <c r="J334" s="1">
        <v>161</v>
      </c>
      <c r="K334" s="1">
        <v>2813</v>
      </c>
      <c r="L334" t="s">
        <v>34</v>
      </c>
      <c r="M334" s="1">
        <v>20</v>
      </c>
      <c r="N334" s="48">
        <v>20</v>
      </c>
      <c r="O334" s="1">
        <v>5</v>
      </c>
      <c r="P334" s="48">
        <v>5</v>
      </c>
      <c r="Q334" s="1">
        <v>0</v>
      </c>
      <c r="R334" s="1">
        <v>0</v>
      </c>
      <c r="S334" s="1">
        <v>1</v>
      </c>
      <c r="T334" s="1">
        <v>1</v>
      </c>
      <c r="U334" s="1">
        <v>0</v>
      </c>
      <c r="V334" s="1">
        <v>0</v>
      </c>
      <c r="W334" s="1">
        <v>0</v>
      </c>
      <c r="X334" s="1">
        <v>0</v>
      </c>
      <c r="Y334" s="1">
        <v>4</v>
      </c>
      <c r="Z334" s="3">
        <v>1.2422360248447204</v>
      </c>
      <c r="AA334" s="1">
        <v>2</v>
      </c>
      <c r="AB334" s="3">
        <v>1.2422360248447204</v>
      </c>
      <c r="AC334" s="1">
        <v>0</v>
      </c>
      <c r="AD334" s="3">
        <v>0</v>
      </c>
      <c r="AE334" s="1">
        <v>0</v>
      </c>
      <c r="AF334" s="3">
        <v>0</v>
      </c>
      <c r="AG334" s="1">
        <v>2</v>
      </c>
      <c r="AH334" s="3">
        <v>1.2422360248447204</v>
      </c>
      <c r="AI334" s="1" t="s">
        <v>22</v>
      </c>
      <c r="AJ334" s="1">
        <v>0</v>
      </c>
      <c r="AK334" s="3">
        <v>0</v>
      </c>
      <c r="AL334" s="1">
        <v>0</v>
      </c>
      <c r="AM334" s="3">
        <v>0</v>
      </c>
      <c r="AN334" s="1" t="s">
        <v>22</v>
      </c>
      <c r="AO334" s="1">
        <v>4</v>
      </c>
      <c r="AP334" s="3">
        <v>2.4844720496894408</v>
      </c>
      <c r="AQ334" s="3">
        <v>5</v>
      </c>
      <c r="AR334" s="3">
        <v>3.1055900621118013</v>
      </c>
      <c r="AS334" s="1">
        <v>6</v>
      </c>
      <c r="AT334" s="3">
        <v>3.7267080745341614</v>
      </c>
      <c r="AU334" s="1">
        <v>1</v>
      </c>
      <c r="AV334" s="3">
        <v>0.6211180124223602</v>
      </c>
      <c r="AW334" s="1" t="s">
        <v>22</v>
      </c>
      <c r="AX334" s="1">
        <v>14</v>
      </c>
      <c r="AY334" s="1">
        <v>0</v>
      </c>
      <c r="AZ334" s="1">
        <v>0</v>
      </c>
      <c r="BA334" s="1">
        <v>28</v>
      </c>
      <c r="BB334" s="1">
        <v>0</v>
      </c>
      <c r="BC334" s="1">
        <v>0</v>
      </c>
      <c r="BD334" s="1">
        <v>0</v>
      </c>
      <c r="BE334" s="54">
        <v>0</v>
      </c>
      <c r="BF334" s="6">
        <v>20</v>
      </c>
      <c r="BG334" s="6">
        <v>17</v>
      </c>
      <c r="BH334" s="1">
        <v>0</v>
      </c>
      <c r="BI334" s="6">
        <v>0</v>
      </c>
      <c r="BJ334" s="1" t="s">
        <v>22</v>
      </c>
      <c r="BK334" s="6">
        <v>1</v>
      </c>
      <c r="BL334" s="6">
        <v>0</v>
      </c>
      <c r="BM334" s="1">
        <v>0</v>
      </c>
      <c r="BN334" t="s">
        <v>24</v>
      </c>
      <c r="BO334">
        <v>275</v>
      </c>
    </row>
    <row r="335" spans="1:67" x14ac:dyDescent="0.25">
      <c r="A335" s="4">
        <f>INT(Tabela1[[#This Row],[Data e Hora]])</f>
        <v>46297</v>
      </c>
      <c r="B335" s="4" t="str">
        <f>UPPER(TEXT(Tabela1[[#This Row],[Data Corrigida]],"MMM"))</f>
        <v>OUT</v>
      </c>
      <c r="C335" t="s">
        <v>976</v>
      </c>
      <c r="D335" t="s">
        <v>977</v>
      </c>
      <c r="E335" t="s">
        <v>978</v>
      </c>
      <c r="F335" t="s">
        <v>19</v>
      </c>
      <c r="G335" s="5" t="s">
        <v>975</v>
      </c>
      <c r="H335" t="s">
        <v>20</v>
      </c>
      <c r="I335" t="s">
        <v>33</v>
      </c>
      <c r="J335" s="1">
        <v>156</v>
      </c>
      <c r="K335" s="1">
        <v>2903</v>
      </c>
      <c r="L335" t="s">
        <v>34</v>
      </c>
      <c r="M335" s="1">
        <v>13</v>
      </c>
      <c r="N335" s="48">
        <v>13</v>
      </c>
      <c r="O335" s="1">
        <v>8</v>
      </c>
      <c r="P335" s="48">
        <v>8</v>
      </c>
      <c r="Q335" s="1">
        <v>2</v>
      </c>
      <c r="R335" s="1">
        <v>20</v>
      </c>
      <c r="S335" s="1">
        <v>1</v>
      </c>
      <c r="T335" s="1">
        <v>1</v>
      </c>
      <c r="U335" s="1">
        <v>0</v>
      </c>
      <c r="V335" s="1">
        <v>0</v>
      </c>
      <c r="W335" s="1">
        <v>0</v>
      </c>
      <c r="X335" s="1">
        <v>0</v>
      </c>
      <c r="Y335" s="1">
        <v>6</v>
      </c>
      <c r="Z335" s="3">
        <v>1.9230769230769231</v>
      </c>
      <c r="AA335" s="1">
        <v>1</v>
      </c>
      <c r="AB335" s="3">
        <v>0.64102564102564097</v>
      </c>
      <c r="AC335" s="1">
        <v>0</v>
      </c>
      <c r="AD335" s="3">
        <v>0</v>
      </c>
      <c r="AE335" s="1">
        <v>0</v>
      </c>
      <c r="AF335" s="3">
        <v>0</v>
      </c>
      <c r="AG335" s="1">
        <v>1</v>
      </c>
      <c r="AH335" s="3">
        <v>0.64102564102564097</v>
      </c>
      <c r="AI335" s="1" t="s">
        <v>22</v>
      </c>
      <c r="AJ335" s="1">
        <v>0</v>
      </c>
      <c r="AK335" s="3">
        <v>0</v>
      </c>
      <c r="AL335" s="1">
        <v>0</v>
      </c>
      <c r="AM335" s="3">
        <v>0</v>
      </c>
      <c r="AN335" s="1" t="s">
        <v>22</v>
      </c>
      <c r="AO335" s="1">
        <v>4</v>
      </c>
      <c r="AP335" s="3">
        <v>2.5641025641025639</v>
      </c>
      <c r="AQ335" s="3">
        <v>6</v>
      </c>
      <c r="AR335" s="3">
        <v>3.8461538461538463</v>
      </c>
      <c r="AS335" s="1">
        <v>5</v>
      </c>
      <c r="AT335" s="3">
        <v>3.2051282051282048</v>
      </c>
      <c r="AU335" s="1">
        <v>0</v>
      </c>
      <c r="AV335" s="3">
        <v>0</v>
      </c>
      <c r="AW335" s="1" t="s">
        <v>22</v>
      </c>
      <c r="AX335" s="1">
        <v>15</v>
      </c>
      <c r="AY335" s="1">
        <v>0</v>
      </c>
      <c r="AZ335" s="1">
        <v>0</v>
      </c>
      <c r="BA335" s="1">
        <v>30</v>
      </c>
      <c r="BB335" s="1">
        <v>0</v>
      </c>
      <c r="BC335" s="1">
        <v>0</v>
      </c>
      <c r="BD335" s="1">
        <v>1</v>
      </c>
      <c r="BE335" s="54">
        <v>0.64102564102564097</v>
      </c>
      <c r="BF335" s="6">
        <v>21</v>
      </c>
      <c r="BG335" s="6">
        <v>19</v>
      </c>
      <c r="BH335" s="1">
        <v>0</v>
      </c>
      <c r="BI335" s="6">
        <v>0</v>
      </c>
      <c r="BJ335" s="1" t="s">
        <v>22</v>
      </c>
      <c r="BK335" s="6">
        <v>0</v>
      </c>
      <c r="BL335" s="6">
        <v>0</v>
      </c>
      <c r="BM335" s="1">
        <v>0</v>
      </c>
      <c r="BN335" t="s">
        <v>24</v>
      </c>
      <c r="BO335">
        <v>7160</v>
      </c>
    </row>
    <row r="336" spans="1:67" x14ac:dyDescent="0.25">
      <c r="A336" s="4">
        <f>INT(Tabela1[[#This Row],[Data e Hora]])</f>
        <v>46297</v>
      </c>
      <c r="B336" s="4" t="str">
        <f>UPPER(TEXT(Tabela1[[#This Row],[Data Corrigida]],"MMM"))</f>
        <v>OUT</v>
      </c>
      <c r="C336" t="s">
        <v>979</v>
      </c>
      <c r="D336" t="s">
        <v>980</v>
      </c>
      <c r="E336" t="s">
        <v>978</v>
      </c>
      <c r="F336" t="s">
        <v>19</v>
      </c>
      <c r="G336" s="5" t="s">
        <v>975</v>
      </c>
      <c r="H336" t="s">
        <v>20</v>
      </c>
      <c r="I336" t="s">
        <v>33</v>
      </c>
      <c r="J336" s="1">
        <v>116</v>
      </c>
      <c r="K336" s="1">
        <v>5852</v>
      </c>
      <c r="L336" t="s">
        <v>34</v>
      </c>
      <c r="M336" s="1">
        <v>10</v>
      </c>
      <c r="N336" s="48">
        <v>10</v>
      </c>
      <c r="O336" s="1">
        <v>5</v>
      </c>
      <c r="P336" s="48">
        <v>5</v>
      </c>
      <c r="Q336" s="1">
        <v>0</v>
      </c>
      <c r="R336" s="1">
        <v>0</v>
      </c>
      <c r="S336" s="1">
        <v>3</v>
      </c>
      <c r="T336" s="1">
        <v>3</v>
      </c>
      <c r="U336" s="1">
        <v>2</v>
      </c>
      <c r="V336" s="1">
        <v>2</v>
      </c>
      <c r="W336" s="1">
        <v>0</v>
      </c>
      <c r="X336" s="1">
        <v>0</v>
      </c>
      <c r="Y336" s="1">
        <v>4</v>
      </c>
      <c r="Z336" s="3">
        <v>1.7241379310344827</v>
      </c>
      <c r="AA336" s="1">
        <v>1</v>
      </c>
      <c r="AB336" s="3">
        <v>0.86206896551724133</v>
      </c>
      <c r="AC336" s="1">
        <v>0</v>
      </c>
      <c r="AD336" s="3">
        <v>0</v>
      </c>
      <c r="AE336" s="1">
        <v>1</v>
      </c>
      <c r="AF336" s="3">
        <v>0.86206896551724133</v>
      </c>
      <c r="AG336" s="1">
        <v>2</v>
      </c>
      <c r="AH336" s="3">
        <v>1.7241379310344827</v>
      </c>
      <c r="AI336" s="1" t="s">
        <v>22</v>
      </c>
      <c r="AJ336" s="1">
        <v>1</v>
      </c>
      <c r="AK336" s="3">
        <v>0.86206896551724133</v>
      </c>
      <c r="AL336" s="1">
        <v>0</v>
      </c>
      <c r="AM336" s="3">
        <v>0</v>
      </c>
      <c r="AN336" s="1" t="s">
        <v>22</v>
      </c>
      <c r="AO336" s="1">
        <v>3</v>
      </c>
      <c r="AP336" s="3">
        <v>2.5862068965517242</v>
      </c>
      <c r="AQ336" s="3">
        <v>6</v>
      </c>
      <c r="AR336" s="3">
        <v>5.1724137931034484</v>
      </c>
      <c r="AS336" s="1">
        <v>5</v>
      </c>
      <c r="AT336" s="3">
        <v>4.3103448275862073</v>
      </c>
      <c r="AU336" s="1">
        <v>0</v>
      </c>
      <c r="AV336" s="3">
        <v>0</v>
      </c>
      <c r="AW336" s="1" t="s">
        <v>22</v>
      </c>
      <c r="AX336" s="1">
        <v>19</v>
      </c>
      <c r="AY336" s="1">
        <v>1</v>
      </c>
      <c r="AZ336" s="1">
        <v>1</v>
      </c>
      <c r="BA336" s="1">
        <v>38</v>
      </c>
      <c r="BB336" s="1">
        <v>2</v>
      </c>
      <c r="BC336" s="1">
        <v>2</v>
      </c>
      <c r="BD336" s="1">
        <v>0</v>
      </c>
      <c r="BE336" s="54">
        <v>0</v>
      </c>
      <c r="BF336" s="6">
        <v>20</v>
      </c>
      <c r="BG336" s="6">
        <v>17</v>
      </c>
      <c r="BH336" s="1">
        <v>0</v>
      </c>
      <c r="BI336" s="6">
        <v>0</v>
      </c>
      <c r="BJ336" s="1" t="s">
        <v>22</v>
      </c>
      <c r="BK336" s="6">
        <v>3</v>
      </c>
      <c r="BL336" s="6">
        <v>0</v>
      </c>
      <c r="BM336" s="1">
        <v>0</v>
      </c>
      <c r="BN336" t="s">
        <v>24</v>
      </c>
      <c r="BO336">
        <v>10795</v>
      </c>
    </row>
    <row r="337" spans="1:67" x14ac:dyDescent="0.25">
      <c r="A337" s="4">
        <f>INT(Tabela1[[#This Row],[Data e Hora]])</f>
        <v>46297</v>
      </c>
      <c r="B337" s="4" t="str">
        <f>UPPER(TEXT(Tabela1[[#This Row],[Data Corrigida]],"MMM"))</f>
        <v>OUT</v>
      </c>
      <c r="C337" t="s">
        <v>981</v>
      </c>
      <c r="D337" t="s">
        <v>982</v>
      </c>
      <c r="E337" t="s">
        <v>983</v>
      </c>
      <c r="F337" t="s">
        <v>19</v>
      </c>
      <c r="G337" s="5" t="s">
        <v>975</v>
      </c>
      <c r="H337" t="s">
        <v>20</v>
      </c>
      <c r="I337" t="s">
        <v>21</v>
      </c>
      <c r="J337" s="1">
        <v>151</v>
      </c>
      <c r="K337" s="1">
        <v>2912</v>
      </c>
      <c r="L337" t="s">
        <v>23</v>
      </c>
      <c r="M337" s="1">
        <v>31</v>
      </c>
      <c r="N337" s="48">
        <v>31</v>
      </c>
      <c r="O337" s="1">
        <v>10</v>
      </c>
      <c r="P337" s="48">
        <v>10</v>
      </c>
      <c r="Q337" s="1">
        <v>0</v>
      </c>
      <c r="R337" s="1">
        <v>0</v>
      </c>
      <c r="S337" s="1">
        <v>2</v>
      </c>
      <c r="T337" s="1">
        <v>2</v>
      </c>
      <c r="U337" s="1">
        <v>1</v>
      </c>
      <c r="V337" s="1">
        <v>1</v>
      </c>
      <c r="W337" s="1">
        <v>0</v>
      </c>
      <c r="X337" s="1">
        <v>0</v>
      </c>
      <c r="Y337" s="1">
        <v>2</v>
      </c>
      <c r="Z337" s="3">
        <v>0.66225165562913912</v>
      </c>
      <c r="AA337" s="1">
        <v>3</v>
      </c>
      <c r="AB337" s="3">
        <v>1.9867549668874174</v>
      </c>
      <c r="AC337" s="1">
        <v>2</v>
      </c>
      <c r="AD337" s="3">
        <v>1.3245033112582782</v>
      </c>
      <c r="AE337" s="1">
        <v>2</v>
      </c>
      <c r="AF337" s="3">
        <v>1.3245033112582782</v>
      </c>
      <c r="AG337" s="1">
        <v>8</v>
      </c>
      <c r="AH337" s="3">
        <v>5.298013245033113</v>
      </c>
      <c r="AI337" s="1" t="s">
        <v>22</v>
      </c>
      <c r="AJ337" s="1">
        <v>2</v>
      </c>
      <c r="AK337" s="3">
        <v>1.3245033112582782</v>
      </c>
      <c r="AL337" s="1">
        <v>2</v>
      </c>
      <c r="AM337" s="3">
        <v>1.3245033112582782</v>
      </c>
      <c r="AN337" s="1" t="s">
        <v>22</v>
      </c>
      <c r="AO337" s="1">
        <v>6</v>
      </c>
      <c r="AP337" s="3">
        <v>3.9735099337748347</v>
      </c>
      <c r="AQ337" s="3">
        <v>2</v>
      </c>
      <c r="AR337" s="3">
        <v>1.3245033112582782</v>
      </c>
      <c r="AS337" s="1">
        <v>7</v>
      </c>
      <c r="AT337" s="3">
        <v>4.6357615894039732</v>
      </c>
      <c r="AU337" s="1">
        <v>3</v>
      </c>
      <c r="AV337" s="3">
        <v>1.9867549668874174</v>
      </c>
      <c r="AW337" s="1" t="s">
        <v>22</v>
      </c>
      <c r="AX337" s="1">
        <v>21</v>
      </c>
      <c r="AY337" s="1">
        <v>0</v>
      </c>
      <c r="AZ337" s="1">
        <v>0</v>
      </c>
      <c r="BA337" s="1">
        <v>42</v>
      </c>
      <c r="BB337" s="1">
        <v>0</v>
      </c>
      <c r="BC337" s="1">
        <v>0</v>
      </c>
      <c r="BD337" s="1">
        <v>1</v>
      </c>
      <c r="BE337" s="54">
        <v>0.66225165562913912</v>
      </c>
      <c r="BF337" s="6">
        <v>19</v>
      </c>
      <c r="BG337" s="6">
        <v>25</v>
      </c>
      <c r="BH337" s="1">
        <v>1</v>
      </c>
      <c r="BI337" s="6">
        <v>10</v>
      </c>
      <c r="BJ337" s="1" t="s">
        <v>22</v>
      </c>
      <c r="BK337" s="1" t="s">
        <v>22</v>
      </c>
      <c r="BL337" s="1" t="s">
        <v>22</v>
      </c>
      <c r="BM337" s="1" t="s">
        <v>22</v>
      </c>
      <c r="BN337" t="s">
        <v>24</v>
      </c>
      <c r="BO337">
        <v>1466</v>
      </c>
    </row>
    <row r="338" spans="1:67" x14ac:dyDescent="0.25">
      <c r="A338" s="4">
        <f>INT(Tabela1[[#This Row],[Data e Hora]])</f>
        <v>46297</v>
      </c>
      <c r="B338" s="4" t="str">
        <f>UPPER(TEXT(Tabela1[[#This Row],[Data Corrigida]],"MMM"))</f>
        <v>OUT</v>
      </c>
      <c r="C338" t="s">
        <v>984</v>
      </c>
      <c r="D338" t="s">
        <v>985</v>
      </c>
      <c r="E338" t="s">
        <v>983</v>
      </c>
      <c r="F338" t="s">
        <v>19</v>
      </c>
      <c r="G338" s="5" t="s">
        <v>975</v>
      </c>
      <c r="H338" t="s">
        <v>20</v>
      </c>
      <c r="I338" t="s">
        <v>21</v>
      </c>
      <c r="J338" s="1">
        <v>161</v>
      </c>
      <c r="K338" s="1">
        <v>2981</v>
      </c>
      <c r="L338" t="s">
        <v>23</v>
      </c>
      <c r="M338" s="1">
        <v>33</v>
      </c>
      <c r="N338" s="48">
        <v>33</v>
      </c>
      <c r="O338" s="1">
        <v>14</v>
      </c>
      <c r="P338" s="48">
        <v>14.000000000000002</v>
      </c>
      <c r="Q338" s="1">
        <v>0</v>
      </c>
      <c r="R338" s="1">
        <v>0</v>
      </c>
      <c r="S338" s="1">
        <v>2</v>
      </c>
      <c r="T338" s="1">
        <v>2</v>
      </c>
      <c r="U338" s="1">
        <v>1</v>
      </c>
      <c r="V338" s="1">
        <v>1</v>
      </c>
      <c r="W338" s="1">
        <v>0</v>
      </c>
      <c r="X338" s="1">
        <v>0</v>
      </c>
      <c r="Y338" s="1">
        <v>4</v>
      </c>
      <c r="Z338" s="3">
        <v>1.2422360248447204</v>
      </c>
      <c r="AA338" s="1">
        <v>3</v>
      </c>
      <c r="AB338" s="3">
        <v>1.8633540372670807</v>
      </c>
      <c r="AC338" s="1">
        <v>0</v>
      </c>
      <c r="AD338" s="3">
        <v>0</v>
      </c>
      <c r="AE338" s="1">
        <v>2</v>
      </c>
      <c r="AF338" s="3">
        <v>1.2422360248447204</v>
      </c>
      <c r="AG338" s="1">
        <v>9</v>
      </c>
      <c r="AH338" s="3">
        <v>5.5900621118012426</v>
      </c>
      <c r="AI338" s="1" t="s">
        <v>22</v>
      </c>
      <c r="AJ338" s="1">
        <v>3</v>
      </c>
      <c r="AK338" s="3">
        <v>1.8633540372670807</v>
      </c>
      <c r="AL338" s="1">
        <v>3</v>
      </c>
      <c r="AM338" s="3">
        <v>1.8633540372670807</v>
      </c>
      <c r="AN338" s="1" t="s">
        <v>22</v>
      </c>
      <c r="AO338" s="1">
        <v>5</v>
      </c>
      <c r="AP338" s="3">
        <v>3.1055900621118013</v>
      </c>
      <c r="AQ338" s="3">
        <v>3</v>
      </c>
      <c r="AR338" s="3">
        <v>1.8633540372670807</v>
      </c>
      <c r="AS338" s="1">
        <v>8</v>
      </c>
      <c r="AT338" s="3">
        <v>4.9689440993788816</v>
      </c>
      <c r="AU338" s="1">
        <v>3</v>
      </c>
      <c r="AV338" s="3">
        <v>1.8633540372670807</v>
      </c>
      <c r="AW338" s="1" t="s">
        <v>22</v>
      </c>
      <c r="AX338" s="1">
        <v>22</v>
      </c>
      <c r="AY338" s="1">
        <v>0</v>
      </c>
      <c r="AZ338" s="1">
        <v>0</v>
      </c>
      <c r="BA338" s="1">
        <v>44</v>
      </c>
      <c r="BB338" s="1">
        <v>0</v>
      </c>
      <c r="BC338" s="1">
        <v>0</v>
      </c>
      <c r="BD338" s="1">
        <v>1</v>
      </c>
      <c r="BE338" s="54">
        <v>0.6211180124223602</v>
      </c>
      <c r="BF338" s="6">
        <v>21</v>
      </c>
      <c r="BG338" s="6">
        <v>19</v>
      </c>
      <c r="BH338" s="1">
        <v>1</v>
      </c>
      <c r="BI338" s="6">
        <v>10</v>
      </c>
      <c r="BJ338" s="1" t="s">
        <v>22</v>
      </c>
      <c r="BK338" s="6">
        <v>0</v>
      </c>
      <c r="BL338" s="6">
        <v>0</v>
      </c>
      <c r="BM338" s="1">
        <v>1</v>
      </c>
      <c r="BN338" t="s">
        <v>22</v>
      </c>
      <c r="BO338">
        <v>1768</v>
      </c>
    </row>
    <row r="339" spans="1:67" x14ac:dyDescent="0.25">
      <c r="A339" s="4">
        <f>INT(Tabela1[[#This Row],[Data e Hora]])</f>
        <v>46297</v>
      </c>
      <c r="B339" s="4" t="str">
        <f>UPPER(TEXT(Tabela1[[#This Row],[Data Corrigida]],"MMM"))</f>
        <v>OUT</v>
      </c>
      <c r="C339" t="s">
        <v>986</v>
      </c>
      <c r="D339" t="s">
        <v>987</v>
      </c>
      <c r="E339" t="s">
        <v>983</v>
      </c>
      <c r="F339" t="s">
        <v>19</v>
      </c>
      <c r="G339" s="5" t="s">
        <v>975</v>
      </c>
      <c r="H339" t="s">
        <v>20</v>
      </c>
      <c r="I339" t="s">
        <v>21</v>
      </c>
      <c r="J339" s="1">
        <v>161</v>
      </c>
      <c r="K339" s="1">
        <v>2860</v>
      </c>
      <c r="L339" t="s">
        <v>23</v>
      </c>
      <c r="M339" s="1">
        <v>39</v>
      </c>
      <c r="N339" s="48">
        <v>39</v>
      </c>
      <c r="O339" s="1">
        <v>26</v>
      </c>
      <c r="P339" s="48">
        <v>26</v>
      </c>
      <c r="Q339" s="1">
        <v>0</v>
      </c>
      <c r="R339" s="1">
        <v>0</v>
      </c>
      <c r="S339" s="1">
        <v>1</v>
      </c>
      <c r="T339" s="1">
        <v>1</v>
      </c>
      <c r="U339" s="1">
        <v>0</v>
      </c>
      <c r="V339" s="1">
        <v>0</v>
      </c>
      <c r="W339" s="1">
        <v>0</v>
      </c>
      <c r="X339" s="1">
        <v>0</v>
      </c>
      <c r="Y339" s="1">
        <v>3</v>
      </c>
      <c r="Z339" s="3">
        <v>0.93167701863354035</v>
      </c>
      <c r="AA339" s="1">
        <v>3</v>
      </c>
      <c r="AB339" s="3">
        <v>1.8633540372670807</v>
      </c>
      <c r="AC339" s="1">
        <v>0</v>
      </c>
      <c r="AD339" s="3">
        <v>0</v>
      </c>
      <c r="AE339" s="1">
        <v>2</v>
      </c>
      <c r="AF339" s="3">
        <v>1.2422360248447204</v>
      </c>
      <c r="AG339" s="1">
        <v>10</v>
      </c>
      <c r="AH339" s="3">
        <v>6.2111801242236027</v>
      </c>
      <c r="AI339" s="1" t="s">
        <v>22</v>
      </c>
      <c r="AJ339" s="1">
        <v>2</v>
      </c>
      <c r="AK339" s="3">
        <v>1.2422360248447204</v>
      </c>
      <c r="AL339" s="1">
        <v>2</v>
      </c>
      <c r="AM339" s="3">
        <v>1.2422360248447204</v>
      </c>
      <c r="AN339" s="1" t="s">
        <v>22</v>
      </c>
      <c r="AO339" s="1">
        <v>6</v>
      </c>
      <c r="AP339" s="3">
        <v>3.7267080745341614</v>
      </c>
      <c r="AQ339" s="3">
        <v>2</v>
      </c>
      <c r="AR339" s="3">
        <v>1.2422360248447204</v>
      </c>
      <c r="AS339" s="1">
        <v>7</v>
      </c>
      <c r="AT339" s="3">
        <v>4.3478260869565215</v>
      </c>
      <c r="AU339" s="1">
        <v>1</v>
      </c>
      <c r="AV339" s="3">
        <v>0.6211180124223602</v>
      </c>
      <c r="AW339" s="1" t="s">
        <v>22</v>
      </c>
      <c r="AX339" s="1">
        <v>22</v>
      </c>
      <c r="AY339" s="1">
        <v>0</v>
      </c>
      <c r="AZ339" s="1">
        <v>0</v>
      </c>
      <c r="BA339" s="1">
        <v>44</v>
      </c>
      <c r="BB339" s="1">
        <v>0</v>
      </c>
      <c r="BC339" s="1">
        <v>0</v>
      </c>
      <c r="BD339" s="1">
        <v>0</v>
      </c>
      <c r="BE339" s="54">
        <v>0</v>
      </c>
      <c r="BF339" s="6">
        <v>19</v>
      </c>
      <c r="BG339" s="6">
        <v>23</v>
      </c>
      <c r="BH339" s="1">
        <v>1</v>
      </c>
      <c r="BI339" s="6">
        <v>10</v>
      </c>
      <c r="BJ339" s="1" t="s">
        <v>22</v>
      </c>
      <c r="BK339" s="6">
        <v>0</v>
      </c>
      <c r="BL339" s="6">
        <v>0</v>
      </c>
      <c r="BM339" s="1">
        <v>1</v>
      </c>
      <c r="BN339" t="s">
        <v>24</v>
      </c>
      <c r="BO339">
        <v>2231</v>
      </c>
    </row>
    <row r="340" spans="1:67" x14ac:dyDescent="0.25">
      <c r="A340" s="4">
        <f>INT(Tabela1[[#This Row],[Data e Hora]])</f>
        <v>46297</v>
      </c>
      <c r="B340" s="4" t="str">
        <f>UPPER(TEXT(Tabela1[[#This Row],[Data Corrigida]],"MMM"))</f>
        <v>OUT</v>
      </c>
      <c r="C340" t="s">
        <v>988</v>
      </c>
      <c r="D340" t="s">
        <v>989</v>
      </c>
      <c r="E340" t="s">
        <v>990</v>
      </c>
      <c r="F340" t="s">
        <v>19</v>
      </c>
      <c r="G340" s="5" t="s">
        <v>975</v>
      </c>
      <c r="H340" t="s">
        <v>20</v>
      </c>
      <c r="I340" t="s">
        <v>21</v>
      </c>
      <c r="J340" s="1">
        <v>161</v>
      </c>
      <c r="K340" s="1">
        <v>2860</v>
      </c>
      <c r="L340" t="s">
        <v>23</v>
      </c>
      <c r="M340" s="1">
        <v>30</v>
      </c>
      <c r="N340" s="48">
        <v>30</v>
      </c>
      <c r="O340" s="1">
        <v>10</v>
      </c>
      <c r="P340" s="48">
        <v>10</v>
      </c>
      <c r="Q340" s="1">
        <v>0</v>
      </c>
      <c r="R340" s="1">
        <v>0</v>
      </c>
      <c r="S340" s="1">
        <v>1</v>
      </c>
      <c r="T340" s="1">
        <v>1</v>
      </c>
      <c r="U340" s="1">
        <v>1</v>
      </c>
      <c r="V340" s="1">
        <v>1</v>
      </c>
      <c r="W340" s="1">
        <v>0</v>
      </c>
      <c r="X340" s="1">
        <v>0</v>
      </c>
      <c r="Y340" s="1">
        <v>5</v>
      </c>
      <c r="Z340" s="3">
        <v>1.5527950310559007</v>
      </c>
      <c r="AA340" s="1">
        <v>3</v>
      </c>
      <c r="AB340" s="3">
        <v>1.8633540372670807</v>
      </c>
      <c r="AC340" s="1">
        <v>0</v>
      </c>
      <c r="AD340" s="3">
        <v>0</v>
      </c>
      <c r="AE340" s="1">
        <v>1</v>
      </c>
      <c r="AF340" s="3">
        <v>0.6211180124223602</v>
      </c>
      <c r="AG340" s="1">
        <v>8</v>
      </c>
      <c r="AH340" s="3">
        <v>4.9689440993788816</v>
      </c>
      <c r="AI340" s="1" t="s">
        <v>22</v>
      </c>
      <c r="AJ340" s="1">
        <v>2</v>
      </c>
      <c r="AK340" s="3">
        <v>1.2422360248447204</v>
      </c>
      <c r="AL340" s="1">
        <v>1</v>
      </c>
      <c r="AM340" s="3">
        <v>0.6211180124223602</v>
      </c>
      <c r="AN340" s="1" t="s">
        <v>22</v>
      </c>
      <c r="AO340" s="1">
        <v>6</v>
      </c>
      <c r="AP340" s="3">
        <v>3.7267080745341614</v>
      </c>
      <c r="AQ340" s="3">
        <v>2</v>
      </c>
      <c r="AR340" s="3">
        <v>1.2422360248447204</v>
      </c>
      <c r="AS340" s="1">
        <v>6</v>
      </c>
      <c r="AT340" s="3">
        <v>3.7267080745341614</v>
      </c>
      <c r="AU340" s="1">
        <v>1</v>
      </c>
      <c r="AV340" s="3">
        <v>0.6211180124223602</v>
      </c>
      <c r="AW340" s="1" t="s">
        <v>22</v>
      </c>
      <c r="AX340" s="1">
        <v>19</v>
      </c>
      <c r="AY340" s="1">
        <v>0</v>
      </c>
      <c r="AZ340" s="1">
        <v>0</v>
      </c>
      <c r="BA340" s="1">
        <v>38</v>
      </c>
      <c r="BB340" s="1">
        <v>0</v>
      </c>
      <c r="BC340" s="1">
        <v>0</v>
      </c>
      <c r="BD340" s="1">
        <v>0</v>
      </c>
      <c r="BE340" s="54">
        <v>0</v>
      </c>
      <c r="BF340" s="6">
        <v>19</v>
      </c>
      <c r="BG340" s="6">
        <v>25</v>
      </c>
      <c r="BH340" s="1">
        <v>1</v>
      </c>
      <c r="BI340" s="6">
        <v>10</v>
      </c>
      <c r="BJ340" s="1" t="s">
        <v>22</v>
      </c>
      <c r="BK340" s="1" t="s">
        <v>22</v>
      </c>
      <c r="BL340" s="1" t="s">
        <v>22</v>
      </c>
      <c r="BM340" s="1" t="s">
        <v>22</v>
      </c>
      <c r="BN340" t="s">
        <v>24</v>
      </c>
      <c r="BO340">
        <v>1768</v>
      </c>
    </row>
    <row r="341" spans="1:67" x14ac:dyDescent="0.25">
      <c r="A341" s="4">
        <f>INT(Tabela1[[#This Row],[Data e Hora]])</f>
        <v>46303</v>
      </c>
      <c r="B341" s="4" t="str">
        <f>UPPER(TEXT(Tabela1[[#This Row],[Data Corrigida]],"MMM"))</f>
        <v>OUT</v>
      </c>
      <c r="C341" s="57" t="s">
        <v>991</v>
      </c>
      <c r="D341" t="s">
        <v>992</v>
      </c>
      <c r="E341" t="s">
        <v>993</v>
      </c>
      <c r="F341" t="s">
        <v>19</v>
      </c>
      <c r="G341" s="5" t="s">
        <v>994</v>
      </c>
      <c r="H341" t="s">
        <v>20</v>
      </c>
      <c r="I341" t="s">
        <v>21</v>
      </c>
      <c r="J341" s="1">
        <v>161</v>
      </c>
      <c r="K341" s="1">
        <v>3225</v>
      </c>
      <c r="L341" t="s">
        <v>23</v>
      </c>
      <c r="M341" s="1">
        <v>29</v>
      </c>
      <c r="N341" s="48">
        <v>28.999999999999996</v>
      </c>
      <c r="O341" s="1">
        <v>11</v>
      </c>
      <c r="P341" s="48">
        <v>11</v>
      </c>
      <c r="Q341" s="1">
        <v>0</v>
      </c>
      <c r="R341" s="1">
        <v>0</v>
      </c>
      <c r="S341" s="1">
        <v>1</v>
      </c>
      <c r="T341" s="1">
        <v>1</v>
      </c>
      <c r="U341" s="1">
        <v>1</v>
      </c>
      <c r="V341" s="1">
        <v>1</v>
      </c>
      <c r="W341" s="1">
        <v>0</v>
      </c>
      <c r="X341" s="1">
        <v>0</v>
      </c>
      <c r="Y341" s="1">
        <v>2</v>
      </c>
      <c r="Z341" s="3">
        <v>0.6211180124223602</v>
      </c>
      <c r="AA341" s="1">
        <v>3</v>
      </c>
      <c r="AB341" s="3">
        <v>1.8633540372670807</v>
      </c>
      <c r="AC341" s="1">
        <v>1</v>
      </c>
      <c r="AD341" s="3">
        <v>0.6211180124223602</v>
      </c>
      <c r="AE341" s="1">
        <v>2</v>
      </c>
      <c r="AF341" s="3">
        <v>1.2422360248447204</v>
      </c>
      <c r="AG341" s="1">
        <v>7</v>
      </c>
      <c r="AH341" s="3">
        <v>4.3478260869565215</v>
      </c>
      <c r="AI341" s="1" t="s">
        <v>22</v>
      </c>
      <c r="AJ341" s="1">
        <v>3</v>
      </c>
      <c r="AK341" s="3">
        <v>1.8633540372670807</v>
      </c>
      <c r="AL341" s="1">
        <v>2</v>
      </c>
      <c r="AM341" s="3">
        <v>1.2422360248447204</v>
      </c>
      <c r="AN341" s="1" t="s">
        <v>22</v>
      </c>
      <c r="AO341" s="1">
        <v>6</v>
      </c>
      <c r="AP341" s="3">
        <v>3.7267080745341614</v>
      </c>
      <c r="AQ341" s="3">
        <v>2</v>
      </c>
      <c r="AR341" s="3">
        <v>1.2422360248447204</v>
      </c>
      <c r="AS341" s="1">
        <v>9</v>
      </c>
      <c r="AT341" s="3">
        <v>5.5900621118012426</v>
      </c>
      <c r="AU341" s="1">
        <v>1</v>
      </c>
      <c r="AV341" s="3">
        <v>0.6211180124223602</v>
      </c>
      <c r="AW341" s="1" t="s">
        <v>22</v>
      </c>
      <c r="AX341" s="1">
        <v>20</v>
      </c>
      <c r="AY341" s="1">
        <v>0</v>
      </c>
      <c r="AZ341" s="1">
        <v>0</v>
      </c>
      <c r="BA341" s="1">
        <v>40</v>
      </c>
      <c r="BB341" s="1">
        <v>0</v>
      </c>
      <c r="BC341" s="1">
        <v>0</v>
      </c>
      <c r="BD341" s="1">
        <v>2</v>
      </c>
      <c r="BE341" s="54">
        <v>1.2422360248447204</v>
      </c>
      <c r="BF341" s="6">
        <v>21</v>
      </c>
      <c r="BG341" s="6">
        <v>20</v>
      </c>
      <c r="BH341" s="1">
        <v>2</v>
      </c>
      <c r="BI341" s="6">
        <v>20</v>
      </c>
      <c r="BJ341" s="1" t="s">
        <v>22</v>
      </c>
      <c r="BK341" s="6">
        <v>1</v>
      </c>
      <c r="BL341" s="6">
        <v>0</v>
      </c>
      <c r="BM341" s="1">
        <v>2</v>
      </c>
      <c r="BN341" t="s">
        <v>22</v>
      </c>
      <c r="BO341">
        <v>3188</v>
      </c>
    </row>
    <row r="342" spans="1:67" x14ac:dyDescent="0.25">
      <c r="A342" s="4">
        <f>INT(Tabela1[[#This Row],[Data e Hora]])</f>
        <v>46303</v>
      </c>
      <c r="B342" s="4" t="str">
        <f>UPPER(TEXT(Tabela1[[#This Row],[Data Corrigida]],"MMM"))</f>
        <v>OUT</v>
      </c>
      <c r="C342" t="s">
        <v>995</v>
      </c>
      <c r="D342" t="s">
        <v>996</v>
      </c>
      <c r="E342" t="s">
        <v>993</v>
      </c>
      <c r="F342" t="s">
        <v>19</v>
      </c>
      <c r="G342" s="5" t="s">
        <v>994</v>
      </c>
      <c r="H342" t="s">
        <v>20</v>
      </c>
      <c r="I342" t="s">
        <v>21</v>
      </c>
      <c r="J342" s="1">
        <v>161</v>
      </c>
      <c r="K342" s="1">
        <v>2948</v>
      </c>
      <c r="L342" t="s">
        <v>23</v>
      </c>
      <c r="M342" s="1">
        <v>33</v>
      </c>
      <c r="N342" s="48">
        <v>33</v>
      </c>
      <c r="O342" s="1">
        <v>14</v>
      </c>
      <c r="P342" s="48">
        <v>14.000000000000002</v>
      </c>
      <c r="Q342" s="1">
        <v>0</v>
      </c>
      <c r="R342" s="1">
        <v>0</v>
      </c>
      <c r="S342" s="1">
        <v>2</v>
      </c>
      <c r="T342" s="1">
        <v>2</v>
      </c>
      <c r="U342" s="1" t="s">
        <v>22</v>
      </c>
      <c r="V342" s="1" t="s">
        <v>22</v>
      </c>
      <c r="W342" s="1">
        <v>0</v>
      </c>
      <c r="X342" s="1">
        <v>0</v>
      </c>
      <c r="Y342" s="1">
        <v>1</v>
      </c>
      <c r="Z342" s="3">
        <v>0.3105590062111801</v>
      </c>
      <c r="AA342" s="1">
        <v>10</v>
      </c>
      <c r="AB342" s="3">
        <v>6.2111801242236027</v>
      </c>
      <c r="AC342" s="1">
        <v>0</v>
      </c>
      <c r="AD342" s="3">
        <v>0</v>
      </c>
      <c r="AE342" s="1">
        <v>1</v>
      </c>
      <c r="AF342" s="3">
        <v>0.6211180124223602</v>
      </c>
      <c r="AG342" s="1">
        <v>9</v>
      </c>
      <c r="AH342" s="3">
        <v>5.5900621118012426</v>
      </c>
      <c r="AI342" s="1" t="s">
        <v>22</v>
      </c>
      <c r="AJ342" s="1">
        <v>2</v>
      </c>
      <c r="AK342" s="3">
        <v>1.2422360248447204</v>
      </c>
      <c r="AL342" s="1">
        <v>2</v>
      </c>
      <c r="AM342" s="3">
        <v>1.2422360248447204</v>
      </c>
      <c r="AN342" s="1" t="s">
        <v>22</v>
      </c>
      <c r="AO342" s="1">
        <v>14</v>
      </c>
      <c r="AP342" s="3">
        <v>8.695652173913043</v>
      </c>
      <c r="AQ342" s="3">
        <v>1</v>
      </c>
      <c r="AR342" s="3">
        <v>0.6211180124223602</v>
      </c>
      <c r="AS342" s="1">
        <v>7</v>
      </c>
      <c r="AT342" s="3">
        <v>4.3478260869565215</v>
      </c>
      <c r="AU342" s="1">
        <v>1</v>
      </c>
      <c r="AV342" s="3">
        <v>0.6211180124223602</v>
      </c>
      <c r="AW342" s="1" t="s">
        <v>22</v>
      </c>
      <c r="AX342" s="1">
        <v>22</v>
      </c>
      <c r="AY342" s="1">
        <v>1</v>
      </c>
      <c r="AZ342" s="1">
        <v>1</v>
      </c>
      <c r="BA342" s="1">
        <v>44</v>
      </c>
      <c r="BB342" s="1">
        <v>2</v>
      </c>
      <c r="BC342" s="1">
        <v>2</v>
      </c>
      <c r="BD342" s="1">
        <v>3</v>
      </c>
      <c r="BE342" s="54">
        <v>1.8633540372670807</v>
      </c>
      <c r="BF342" s="6">
        <v>16</v>
      </c>
      <c r="BG342" s="6">
        <v>18</v>
      </c>
      <c r="BH342" s="1">
        <v>1</v>
      </c>
      <c r="BI342" s="6">
        <v>10</v>
      </c>
      <c r="BJ342" s="1" t="s">
        <v>22</v>
      </c>
      <c r="BK342" s="6">
        <v>0</v>
      </c>
      <c r="BL342" s="6">
        <v>0</v>
      </c>
      <c r="BM342" s="1">
        <v>1</v>
      </c>
      <c r="BN342" t="s">
        <v>22</v>
      </c>
      <c r="BO342">
        <v>1715</v>
      </c>
    </row>
    <row r="343" spans="1:67" x14ac:dyDescent="0.25">
      <c r="A343" s="4">
        <f>INT(Tabela1[[#This Row],[Data e Hora]])</f>
        <v>46303</v>
      </c>
      <c r="B343" s="4" t="str">
        <f>UPPER(TEXT(Tabela1[[#This Row],[Data Corrigida]],"MMM"))</f>
        <v>OUT</v>
      </c>
      <c r="C343" t="s">
        <v>997</v>
      </c>
      <c r="D343" t="s">
        <v>998</v>
      </c>
      <c r="E343" t="s">
        <v>999</v>
      </c>
      <c r="F343" t="s">
        <v>19</v>
      </c>
      <c r="G343" s="5" t="s">
        <v>994</v>
      </c>
      <c r="H343" t="s">
        <v>20</v>
      </c>
      <c r="I343" t="s">
        <v>21</v>
      </c>
      <c r="J343" s="1">
        <v>140</v>
      </c>
      <c r="K343" s="1">
        <v>3052</v>
      </c>
      <c r="L343" t="s">
        <v>23</v>
      </c>
      <c r="M343" s="1">
        <v>23</v>
      </c>
      <c r="N343" s="48">
        <v>23</v>
      </c>
      <c r="O343" s="1">
        <v>6</v>
      </c>
      <c r="P343" s="48">
        <v>6</v>
      </c>
      <c r="Q343" s="1">
        <v>0</v>
      </c>
      <c r="R343" s="1">
        <v>0</v>
      </c>
      <c r="S343" s="1">
        <v>2</v>
      </c>
      <c r="T343" s="1">
        <v>2</v>
      </c>
      <c r="U343" s="1">
        <v>0</v>
      </c>
      <c r="V343" s="1">
        <v>0</v>
      </c>
      <c r="W343" s="1">
        <v>0</v>
      </c>
      <c r="X343" s="1">
        <v>0</v>
      </c>
      <c r="Y343" s="1">
        <v>1</v>
      </c>
      <c r="Z343" s="3">
        <v>0.35714285714285715</v>
      </c>
      <c r="AA343" s="1">
        <v>8</v>
      </c>
      <c r="AB343" s="3">
        <v>5.7142857142857144</v>
      </c>
      <c r="AC343" s="1">
        <v>1</v>
      </c>
      <c r="AD343" s="3">
        <v>0.7142857142857143</v>
      </c>
      <c r="AE343" s="1">
        <v>2</v>
      </c>
      <c r="AF343" s="3">
        <v>1.4285714285714286</v>
      </c>
      <c r="AG343" s="1">
        <v>9</v>
      </c>
      <c r="AH343" s="3">
        <v>6.4285714285714279</v>
      </c>
      <c r="AI343" s="1" t="s">
        <v>22</v>
      </c>
      <c r="AJ343" s="1">
        <v>2</v>
      </c>
      <c r="AK343" s="3">
        <v>1.4285714285714286</v>
      </c>
      <c r="AL343" s="1">
        <v>2</v>
      </c>
      <c r="AM343" s="3">
        <v>1.4285714285714286</v>
      </c>
      <c r="AN343" s="1" t="s">
        <v>22</v>
      </c>
      <c r="AO343" s="1">
        <v>12</v>
      </c>
      <c r="AP343" s="3">
        <v>8.5714285714285712</v>
      </c>
      <c r="AQ343" s="3">
        <v>2</v>
      </c>
      <c r="AR343" s="3">
        <v>1.4285714285714286</v>
      </c>
      <c r="AS343" s="1">
        <v>7</v>
      </c>
      <c r="AT343" s="3">
        <v>5</v>
      </c>
      <c r="AU343" s="1">
        <v>1</v>
      </c>
      <c r="AV343" s="3">
        <v>0.7142857142857143</v>
      </c>
      <c r="AW343" s="1" t="s">
        <v>22</v>
      </c>
      <c r="AX343" s="1">
        <v>21</v>
      </c>
      <c r="AY343" s="1">
        <v>0</v>
      </c>
      <c r="AZ343" s="1">
        <v>0</v>
      </c>
      <c r="BA343" s="1">
        <v>42</v>
      </c>
      <c r="BB343" s="1">
        <v>0</v>
      </c>
      <c r="BC343" s="1">
        <v>0</v>
      </c>
      <c r="BD343" s="1">
        <v>2</v>
      </c>
      <c r="BE343" s="54">
        <v>1.4285714285714286</v>
      </c>
      <c r="BF343" s="6">
        <v>17</v>
      </c>
      <c r="BG343" s="6">
        <v>19</v>
      </c>
      <c r="BH343" s="1">
        <v>1</v>
      </c>
      <c r="BI343" s="6">
        <v>10</v>
      </c>
      <c r="BJ343" s="1" t="s">
        <v>22</v>
      </c>
      <c r="BK343" s="6">
        <v>1</v>
      </c>
      <c r="BL343" s="6">
        <v>0</v>
      </c>
      <c r="BM343" s="1">
        <v>1</v>
      </c>
      <c r="BN343" t="s">
        <v>24</v>
      </c>
      <c r="BO343">
        <v>1922</v>
      </c>
    </row>
    <row r="344" spans="1:67" x14ac:dyDescent="0.25">
      <c r="A344" s="4">
        <f>INT(Tabela1[[#This Row],[Data e Hora]])</f>
        <v>46303</v>
      </c>
      <c r="B344" s="4" t="str">
        <f>UPPER(TEXT(Tabela1[[#This Row],[Data Corrigida]],"MMM"))</f>
        <v>OUT</v>
      </c>
      <c r="C344" t="s">
        <v>1000</v>
      </c>
      <c r="D344" t="s">
        <v>1001</v>
      </c>
      <c r="E344" t="s">
        <v>999</v>
      </c>
      <c r="F344" t="s">
        <v>19</v>
      </c>
      <c r="G344" s="5" t="s">
        <v>994</v>
      </c>
      <c r="H344" t="s">
        <v>20</v>
      </c>
      <c r="I344" t="s">
        <v>21</v>
      </c>
      <c r="J344" s="1">
        <v>154</v>
      </c>
      <c r="K344" s="1">
        <v>2835</v>
      </c>
      <c r="L344" t="s">
        <v>23</v>
      </c>
      <c r="M344" s="1">
        <v>29</v>
      </c>
      <c r="N344" s="48">
        <v>28.999999999999996</v>
      </c>
      <c r="O344" s="1">
        <v>19</v>
      </c>
      <c r="P344" s="48">
        <v>19</v>
      </c>
      <c r="Q344" s="1">
        <v>0</v>
      </c>
      <c r="R344" s="1">
        <v>0</v>
      </c>
      <c r="S344" s="1">
        <v>2</v>
      </c>
      <c r="T344" s="1">
        <v>2</v>
      </c>
      <c r="U344" s="1">
        <v>1</v>
      </c>
      <c r="V344" s="1">
        <v>1</v>
      </c>
      <c r="W344" s="1">
        <v>0</v>
      </c>
      <c r="X344" s="1">
        <v>0</v>
      </c>
      <c r="Y344" s="1">
        <v>3</v>
      </c>
      <c r="Z344" s="3">
        <v>0.97402597402597402</v>
      </c>
      <c r="AA344" s="1">
        <v>3</v>
      </c>
      <c r="AB344" s="3">
        <v>1.948051948051948</v>
      </c>
      <c r="AC344" s="1">
        <v>0</v>
      </c>
      <c r="AD344" s="3">
        <v>0</v>
      </c>
      <c r="AE344" s="1">
        <v>1</v>
      </c>
      <c r="AF344" s="3">
        <v>0.64935064935064934</v>
      </c>
      <c r="AG344" s="1">
        <v>9</v>
      </c>
      <c r="AH344" s="3">
        <v>5.8441558441558437</v>
      </c>
      <c r="AI344" s="1" t="s">
        <v>22</v>
      </c>
      <c r="AJ344" s="1">
        <v>2</v>
      </c>
      <c r="AK344" s="3">
        <v>1.2987012987012987</v>
      </c>
      <c r="AL344" s="1">
        <v>2</v>
      </c>
      <c r="AM344" s="3">
        <v>1.2987012987012987</v>
      </c>
      <c r="AN344" s="1" t="s">
        <v>22</v>
      </c>
      <c r="AO344" s="1">
        <v>6</v>
      </c>
      <c r="AP344" s="3">
        <v>3.8961038961038961</v>
      </c>
      <c r="AQ344" s="3">
        <v>1</v>
      </c>
      <c r="AR344" s="3">
        <v>0.64935064935064934</v>
      </c>
      <c r="AS344" s="1">
        <v>7</v>
      </c>
      <c r="AT344" s="3">
        <v>4.5454545454545459</v>
      </c>
      <c r="AU344" s="1">
        <v>1</v>
      </c>
      <c r="AV344" s="3">
        <v>0.64935064935064934</v>
      </c>
      <c r="AW344" s="1" t="s">
        <v>22</v>
      </c>
      <c r="AX344" s="1">
        <v>20</v>
      </c>
      <c r="AY344" s="1">
        <v>0</v>
      </c>
      <c r="AZ344" s="1">
        <v>0</v>
      </c>
      <c r="BA344" s="1">
        <v>40</v>
      </c>
      <c r="BB344" s="1">
        <v>0</v>
      </c>
      <c r="BC344" s="1">
        <v>0</v>
      </c>
      <c r="BD344" s="1">
        <v>0</v>
      </c>
      <c r="BE344" s="54">
        <v>0</v>
      </c>
      <c r="BF344" s="6">
        <v>13</v>
      </c>
      <c r="BG344" s="6">
        <v>19</v>
      </c>
      <c r="BH344" s="1">
        <v>1</v>
      </c>
      <c r="BI344" s="6">
        <v>10</v>
      </c>
      <c r="BJ344" s="1" t="s">
        <v>22</v>
      </c>
      <c r="BK344" s="1" t="s">
        <v>22</v>
      </c>
      <c r="BL344" s="1" t="s">
        <v>22</v>
      </c>
      <c r="BM344" s="1" t="s">
        <v>22</v>
      </c>
      <c r="BN344" t="s">
        <v>22</v>
      </c>
      <c r="BO344">
        <v>1753</v>
      </c>
    </row>
    <row r="345" spans="1:67" x14ac:dyDescent="0.25">
      <c r="A345" s="4">
        <f>INT(Tabela1[[#This Row],[Data e Hora]])</f>
        <v>46302</v>
      </c>
      <c r="B345" s="4" t="str">
        <f>UPPER(TEXT(Tabela1[[#This Row],[Data Corrigida]],"MMM"))</f>
        <v>OUT</v>
      </c>
      <c r="C345" t="s">
        <v>1002</v>
      </c>
      <c r="D345" t="s">
        <v>1003</v>
      </c>
      <c r="E345" t="s">
        <v>1004</v>
      </c>
      <c r="F345" t="s">
        <v>19</v>
      </c>
      <c r="G345" s="5" t="s">
        <v>1005</v>
      </c>
      <c r="H345" t="s">
        <v>20</v>
      </c>
      <c r="I345" t="s">
        <v>33</v>
      </c>
      <c r="J345" s="1">
        <v>161</v>
      </c>
      <c r="K345" s="1">
        <v>3160</v>
      </c>
      <c r="L345" t="s">
        <v>34</v>
      </c>
      <c r="M345" s="1">
        <v>20</v>
      </c>
      <c r="N345" s="48">
        <v>20</v>
      </c>
      <c r="O345" s="1">
        <v>5</v>
      </c>
      <c r="P345" s="48">
        <v>5</v>
      </c>
      <c r="Q345" s="1">
        <v>0</v>
      </c>
      <c r="R345" s="1">
        <v>0</v>
      </c>
      <c r="S345" s="1">
        <v>1</v>
      </c>
      <c r="T345" s="1">
        <v>1</v>
      </c>
      <c r="U345" s="1">
        <v>0</v>
      </c>
      <c r="V345" s="1">
        <v>0</v>
      </c>
      <c r="W345" s="1">
        <v>0</v>
      </c>
      <c r="X345" s="1">
        <v>0</v>
      </c>
      <c r="Y345" s="1">
        <v>6</v>
      </c>
      <c r="Z345" s="3">
        <v>1.8633540372670807</v>
      </c>
      <c r="AA345" s="1">
        <v>4</v>
      </c>
      <c r="AB345" s="3">
        <v>2.4844720496894408</v>
      </c>
      <c r="AC345" s="1">
        <v>0</v>
      </c>
      <c r="AD345" s="3">
        <v>0</v>
      </c>
      <c r="AE345" s="1">
        <v>1</v>
      </c>
      <c r="AF345" s="3">
        <v>0.6211180124223602</v>
      </c>
      <c r="AG345" s="1">
        <v>2</v>
      </c>
      <c r="AH345" s="3">
        <v>1.2422360248447204</v>
      </c>
      <c r="AI345" s="1" t="s">
        <v>22</v>
      </c>
      <c r="AJ345" s="1">
        <v>0</v>
      </c>
      <c r="AK345" s="3">
        <v>0</v>
      </c>
      <c r="AL345" s="1">
        <v>0</v>
      </c>
      <c r="AM345" s="3">
        <v>0</v>
      </c>
      <c r="AN345" s="1" t="s">
        <v>22</v>
      </c>
      <c r="AO345" s="1">
        <v>6</v>
      </c>
      <c r="AP345" s="3">
        <v>3.7267080745341614</v>
      </c>
      <c r="AQ345" s="3">
        <v>4</v>
      </c>
      <c r="AR345" s="3">
        <v>2.4844720496894408</v>
      </c>
      <c r="AS345" s="1">
        <v>6</v>
      </c>
      <c r="AT345" s="3">
        <v>3.7267080745341614</v>
      </c>
      <c r="AU345" s="1">
        <v>0</v>
      </c>
      <c r="AV345" s="3">
        <v>0</v>
      </c>
      <c r="AW345" s="1" t="s">
        <v>22</v>
      </c>
      <c r="AX345" s="1">
        <v>18</v>
      </c>
      <c r="AY345" s="1">
        <v>0</v>
      </c>
      <c r="AZ345" s="1">
        <v>0</v>
      </c>
      <c r="BA345" s="1">
        <v>36</v>
      </c>
      <c r="BB345" s="1">
        <v>0</v>
      </c>
      <c r="BC345" s="1">
        <v>0</v>
      </c>
      <c r="BD345" s="1">
        <v>0</v>
      </c>
      <c r="BE345" s="54">
        <v>0</v>
      </c>
      <c r="BF345" s="6">
        <v>20</v>
      </c>
      <c r="BG345" s="6">
        <v>18</v>
      </c>
      <c r="BH345" s="1">
        <v>0</v>
      </c>
      <c r="BI345" s="6">
        <v>0</v>
      </c>
      <c r="BJ345" s="1" t="s">
        <v>22</v>
      </c>
      <c r="BK345" s="6">
        <v>0</v>
      </c>
      <c r="BL345" s="6">
        <v>0</v>
      </c>
      <c r="BM345" s="1">
        <v>0</v>
      </c>
      <c r="BN345" t="s">
        <v>24</v>
      </c>
      <c r="BO345">
        <v>236</v>
      </c>
    </row>
    <row r="346" spans="1:67" x14ac:dyDescent="0.25">
      <c r="A346" s="4">
        <f>INT(Tabela1[[#This Row],[Data e Hora]])</f>
        <v>46302</v>
      </c>
      <c r="B346" s="4" t="str">
        <f>UPPER(TEXT(Tabela1[[#This Row],[Data Corrigida]],"MMM"))</f>
        <v>OUT</v>
      </c>
      <c r="C346" t="s">
        <v>1006</v>
      </c>
      <c r="D346" t="s">
        <v>1007</v>
      </c>
      <c r="E346" t="s">
        <v>1004</v>
      </c>
      <c r="F346" t="s">
        <v>19</v>
      </c>
      <c r="G346" s="5" t="s">
        <v>1005</v>
      </c>
      <c r="H346" t="s">
        <v>20</v>
      </c>
      <c r="I346" t="s">
        <v>33</v>
      </c>
      <c r="J346" s="1">
        <v>161</v>
      </c>
      <c r="K346" s="1">
        <v>3050</v>
      </c>
      <c r="L346" t="s">
        <v>34</v>
      </c>
      <c r="M346" s="1">
        <v>15</v>
      </c>
      <c r="N346" s="48">
        <v>15</v>
      </c>
      <c r="O346" s="1">
        <v>5</v>
      </c>
      <c r="P346" s="48">
        <v>5</v>
      </c>
      <c r="Q346" s="1">
        <v>0</v>
      </c>
      <c r="R346" s="1">
        <v>0</v>
      </c>
      <c r="S346" s="1">
        <v>1</v>
      </c>
      <c r="T346" s="1">
        <v>1</v>
      </c>
      <c r="U346" s="1">
        <v>0</v>
      </c>
      <c r="V346" s="1">
        <v>0</v>
      </c>
      <c r="W346" s="1">
        <v>0</v>
      </c>
      <c r="X346" s="1">
        <v>0</v>
      </c>
      <c r="Y346" s="1">
        <v>5</v>
      </c>
      <c r="Z346" s="3">
        <v>1.5527950310559007</v>
      </c>
      <c r="AA346" s="1">
        <v>4</v>
      </c>
      <c r="AB346" s="3">
        <v>2.4844720496894408</v>
      </c>
      <c r="AC346" s="1">
        <v>0</v>
      </c>
      <c r="AD346" s="3">
        <v>0</v>
      </c>
      <c r="AE346" s="1">
        <v>2</v>
      </c>
      <c r="AF346" s="3">
        <v>1.2422360248447204</v>
      </c>
      <c r="AG346" s="1">
        <v>1</v>
      </c>
      <c r="AH346" s="3">
        <v>0.6211180124223602</v>
      </c>
      <c r="AI346" s="1" t="s">
        <v>22</v>
      </c>
      <c r="AJ346" s="1">
        <v>0</v>
      </c>
      <c r="AK346" s="3">
        <v>0</v>
      </c>
      <c r="AL346" s="1">
        <v>0</v>
      </c>
      <c r="AM346" s="3">
        <v>0</v>
      </c>
      <c r="AN346" s="1" t="s">
        <v>22</v>
      </c>
      <c r="AO346" s="1">
        <v>6</v>
      </c>
      <c r="AP346" s="3">
        <v>3.7267080745341614</v>
      </c>
      <c r="AQ346" s="3">
        <v>6</v>
      </c>
      <c r="AR346" s="3">
        <v>3.7267080745341614</v>
      </c>
      <c r="AS346" s="1">
        <v>4</v>
      </c>
      <c r="AT346" s="3">
        <v>2.4844720496894408</v>
      </c>
      <c r="AU346" s="1">
        <v>1</v>
      </c>
      <c r="AV346" s="3">
        <v>0.6211180124223602</v>
      </c>
      <c r="AW346" s="1" t="s">
        <v>22</v>
      </c>
      <c r="AX346" s="1">
        <v>19</v>
      </c>
      <c r="AY346" s="1">
        <v>1</v>
      </c>
      <c r="AZ346" s="1">
        <v>1</v>
      </c>
      <c r="BA346" s="1">
        <v>38</v>
      </c>
      <c r="BB346" s="1">
        <v>2</v>
      </c>
      <c r="BC346" s="1">
        <v>2</v>
      </c>
      <c r="BD346" s="1">
        <v>1</v>
      </c>
      <c r="BE346" s="54">
        <v>0.6211180124223602</v>
      </c>
      <c r="BF346" s="6">
        <v>22</v>
      </c>
      <c r="BG346" s="6">
        <v>17</v>
      </c>
      <c r="BH346" s="1">
        <v>0</v>
      </c>
      <c r="BI346" s="6">
        <v>0</v>
      </c>
      <c r="BJ346" s="1" t="s">
        <v>22</v>
      </c>
      <c r="BK346" s="6">
        <v>6</v>
      </c>
      <c r="BL346" s="6">
        <v>0</v>
      </c>
      <c r="BM346" s="1">
        <v>0</v>
      </c>
      <c r="BN346" t="s">
        <v>24</v>
      </c>
      <c r="BO346">
        <v>7136</v>
      </c>
    </row>
    <row r="347" spans="1:67" x14ac:dyDescent="0.25">
      <c r="A347" s="4">
        <f>INT(Tabela1[[#This Row],[Data e Hora]])</f>
        <v>46302</v>
      </c>
      <c r="B347" s="4" t="str">
        <f>UPPER(TEXT(Tabela1[[#This Row],[Data Corrigida]],"MMM"))</f>
        <v>OUT</v>
      </c>
      <c r="C347" t="s">
        <v>1008</v>
      </c>
      <c r="D347" t="s">
        <v>1009</v>
      </c>
      <c r="E347" t="s">
        <v>1010</v>
      </c>
      <c r="F347" t="s">
        <v>19</v>
      </c>
      <c r="G347" s="5" t="s">
        <v>1005</v>
      </c>
      <c r="H347" t="s">
        <v>20</v>
      </c>
      <c r="I347" t="s">
        <v>33</v>
      </c>
      <c r="J347" s="1">
        <v>130</v>
      </c>
      <c r="K347" s="1">
        <v>3050</v>
      </c>
      <c r="L347" t="s">
        <v>34</v>
      </c>
      <c r="M347" s="1">
        <v>12</v>
      </c>
      <c r="N347" s="48">
        <v>12</v>
      </c>
      <c r="O347" s="1">
        <v>5</v>
      </c>
      <c r="P347" s="48">
        <v>5</v>
      </c>
      <c r="Q347" s="1">
        <v>2</v>
      </c>
      <c r="R347" s="1">
        <v>20</v>
      </c>
      <c r="S347" s="1">
        <v>2</v>
      </c>
      <c r="T347" s="1">
        <v>2</v>
      </c>
      <c r="U347" s="1">
        <v>0</v>
      </c>
      <c r="V347" s="1">
        <v>0</v>
      </c>
      <c r="W347" s="1">
        <v>0</v>
      </c>
      <c r="X347" s="1">
        <v>0</v>
      </c>
      <c r="Y347" s="1">
        <v>4</v>
      </c>
      <c r="Z347" s="3">
        <v>1.5384615384615385</v>
      </c>
      <c r="AA347" s="1">
        <v>5</v>
      </c>
      <c r="AB347" s="3">
        <v>3.8461538461538463</v>
      </c>
      <c r="AC347" s="1">
        <v>0</v>
      </c>
      <c r="AD347" s="3">
        <v>0</v>
      </c>
      <c r="AE347" s="1">
        <v>1</v>
      </c>
      <c r="AF347" s="3">
        <v>0.76923076923076927</v>
      </c>
      <c r="AG347" s="1">
        <v>1</v>
      </c>
      <c r="AH347" s="3">
        <v>0.76923076923076927</v>
      </c>
      <c r="AI347" s="1" t="s">
        <v>22</v>
      </c>
      <c r="AJ347" s="1">
        <v>0</v>
      </c>
      <c r="AK347" s="3">
        <v>0</v>
      </c>
      <c r="AL347" s="1">
        <v>0</v>
      </c>
      <c r="AM347" s="3">
        <v>0</v>
      </c>
      <c r="AN347" s="1" t="s">
        <v>1011</v>
      </c>
      <c r="AO347" s="1">
        <v>8</v>
      </c>
      <c r="AP347" s="3">
        <v>6.1538461538461542</v>
      </c>
      <c r="AQ347" s="3">
        <v>5</v>
      </c>
      <c r="AR347" s="3">
        <v>3.8461538461538463</v>
      </c>
      <c r="AS347" s="1">
        <v>6</v>
      </c>
      <c r="AT347" s="3">
        <v>4.6153846153846159</v>
      </c>
      <c r="AU347" s="1">
        <v>1</v>
      </c>
      <c r="AV347" s="3">
        <v>0.76923076923076927</v>
      </c>
      <c r="AW347" s="1" t="s">
        <v>22</v>
      </c>
      <c r="AX347" s="1">
        <v>16</v>
      </c>
      <c r="AY347" s="1">
        <v>1</v>
      </c>
      <c r="AZ347" s="1">
        <v>0</v>
      </c>
      <c r="BA347" s="1">
        <v>32</v>
      </c>
      <c r="BB347" s="1">
        <v>2</v>
      </c>
      <c r="BC347" s="1">
        <v>0</v>
      </c>
      <c r="BD347" s="1">
        <v>2</v>
      </c>
      <c r="BE347" s="54">
        <v>1.5384615384615385</v>
      </c>
      <c r="BF347" s="6">
        <v>20</v>
      </c>
      <c r="BG347" s="6">
        <v>16</v>
      </c>
      <c r="BH347" s="1">
        <v>0</v>
      </c>
      <c r="BI347" s="6">
        <v>0</v>
      </c>
      <c r="BJ347" s="1" t="s">
        <v>22</v>
      </c>
      <c r="BK347" s="6">
        <v>3</v>
      </c>
      <c r="BL347" s="6">
        <v>0</v>
      </c>
      <c r="BM347" s="1">
        <v>0</v>
      </c>
      <c r="BN347" t="s">
        <v>24</v>
      </c>
      <c r="BO347">
        <v>8126</v>
      </c>
    </row>
    <row r="348" spans="1:67" x14ac:dyDescent="0.25">
      <c r="A348" s="4">
        <f>INT(Tabela1[[#This Row],[Data e Hora]])</f>
        <v>46302</v>
      </c>
      <c r="B348" s="4" t="str">
        <f>UPPER(TEXT(Tabela1[[#This Row],[Data Corrigida]],"MMM"))</f>
        <v>OUT</v>
      </c>
      <c r="C348" t="s">
        <v>1012</v>
      </c>
      <c r="D348" t="s">
        <v>1013</v>
      </c>
      <c r="E348" t="s">
        <v>1014</v>
      </c>
      <c r="F348" t="s">
        <v>19</v>
      </c>
      <c r="G348" s="5" t="s">
        <v>1005</v>
      </c>
      <c r="H348" t="s">
        <v>20</v>
      </c>
      <c r="I348" t="s">
        <v>21</v>
      </c>
      <c r="J348" s="1">
        <v>151</v>
      </c>
      <c r="K348" s="1">
        <v>3136</v>
      </c>
      <c r="L348" t="s">
        <v>23</v>
      </c>
      <c r="M348" s="1">
        <v>31</v>
      </c>
      <c r="N348" s="48">
        <v>31</v>
      </c>
      <c r="O348" s="1">
        <v>21</v>
      </c>
      <c r="P348" s="48">
        <v>21</v>
      </c>
      <c r="Q348" s="1">
        <v>0</v>
      </c>
      <c r="R348" s="1">
        <v>0</v>
      </c>
      <c r="S348" s="1">
        <v>3</v>
      </c>
      <c r="T348" s="1">
        <v>3</v>
      </c>
      <c r="U348" s="1">
        <v>0</v>
      </c>
      <c r="V348" s="1">
        <v>0</v>
      </c>
      <c r="W348" s="1">
        <v>0</v>
      </c>
      <c r="X348" s="1">
        <v>0</v>
      </c>
      <c r="Y348" s="1">
        <v>4</v>
      </c>
      <c r="Z348" s="3">
        <v>1.3245033112582782</v>
      </c>
      <c r="AA348" s="1">
        <v>9</v>
      </c>
      <c r="AB348" s="3">
        <v>5.9602649006622519</v>
      </c>
      <c r="AC348" s="1">
        <v>0</v>
      </c>
      <c r="AD348" s="3">
        <v>0</v>
      </c>
      <c r="AE348" s="1">
        <v>2</v>
      </c>
      <c r="AF348" s="3">
        <v>1.3245033112582782</v>
      </c>
      <c r="AG348" s="1">
        <v>9</v>
      </c>
      <c r="AH348" s="3">
        <v>5.9602649006622519</v>
      </c>
      <c r="AI348" s="1" t="s">
        <v>22</v>
      </c>
      <c r="AJ348" s="1">
        <v>7</v>
      </c>
      <c r="AK348" s="3">
        <v>4.6357615894039732</v>
      </c>
      <c r="AL348" s="1">
        <v>3</v>
      </c>
      <c r="AM348" s="3">
        <v>1.9867549668874174</v>
      </c>
      <c r="AN348" s="1" t="s">
        <v>22</v>
      </c>
      <c r="AO348" s="1">
        <v>10</v>
      </c>
      <c r="AP348" s="3">
        <v>6.6225165562913908</v>
      </c>
      <c r="AQ348" s="3">
        <v>2</v>
      </c>
      <c r="AR348" s="3">
        <v>1.3245033112582782</v>
      </c>
      <c r="AS348" s="1">
        <v>6</v>
      </c>
      <c r="AT348" s="3">
        <v>3.9735099337748347</v>
      </c>
      <c r="AU348" s="1">
        <v>1</v>
      </c>
      <c r="AV348" s="3">
        <v>0.66225165562913912</v>
      </c>
      <c r="AW348" s="1" t="s">
        <v>22</v>
      </c>
      <c r="AX348" s="1">
        <v>22</v>
      </c>
      <c r="AY348" s="1">
        <v>1</v>
      </c>
      <c r="AZ348" s="1">
        <v>1</v>
      </c>
      <c r="BA348" s="1">
        <v>44</v>
      </c>
      <c r="BB348" s="1">
        <v>2</v>
      </c>
      <c r="BC348" s="1">
        <v>2</v>
      </c>
      <c r="BD348" s="1">
        <v>3</v>
      </c>
      <c r="BE348" s="54">
        <v>1.9867549668874174</v>
      </c>
      <c r="BF348" s="6">
        <v>21</v>
      </c>
      <c r="BG348" s="6">
        <v>18</v>
      </c>
      <c r="BH348" s="1">
        <v>1</v>
      </c>
      <c r="BI348" s="6">
        <v>10</v>
      </c>
      <c r="BJ348" s="1" t="s">
        <v>22</v>
      </c>
      <c r="BK348" s="1" t="s">
        <v>22</v>
      </c>
      <c r="BL348" s="1" t="s">
        <v>22</v>
      </c>
      <c r="BM348" s="1" t="s">
        <v>22</v>
      </c>
      <c r="BN348" t="s">
        <v>22</v>
      </c>
      <c r="BO348">
        <v>1982</v>
      </c>
    </row>
    <row r="349" spans="1:67" x14ac:dyDescent="0.25">
      <c r="A349" s="4">
        <f>INT(Tabela1[[#This Row],[Data e Hora]])</f>
        <v>46302</v>
      </c>
      <c r="B349" s="4" t="str">
        <f>UPPER(TEXT(Tabela1[[#This Row],[Data Corrigida]],"MMM"))</f>
        <v>OUT</v>
      </c>
      <c r="C349" t="s">
        <v>1015</v>
      </c>
      <c r="D349" t="s">
        <v>1016</v>
      </c>
      <c r="E349" t="s">
        <v>1014</v>
      </c>
      <c r="F349" t="s">
        <v>19</v>
      </c>
      <c r="G349" s="5" t="s">
        <v>1005</v>
      </c>
      <c r="H349" t="s">
        <v>20</v>
      </c>
      <c r="I349" t="s">
        <v>21</v>
      </c>
      <c r="J349" s="1">
        <v>110</v>
      </c>
      <c r="K349" s="1">
        <v>2999</v>
      </c>
      <c r="L349" t="s">
        <v>23</v>
      </c>
      <c r="M349" s="1">
        <v>28</v>
      </c>
      <c r="N349" s="48">
        <v>28.000000000000004</v>
      </c>
      <c r="O349" s="1">
        <v>19</v>
      </c>
      <c r="P349" s="48">
        <v>19</v>
      </c>
      <c r="Q349" s="1">
        <v>0</v>
      </c>
      <c r="R349" s="1">
        <v>0</v>
      </c>
      <c r="S349" s="1">
        <v>2</v>
      </c>
      <c r="T349" s="1">
        <v>2</v>
      </c>
      <c r="U349" s="1">
        <v>1</v>
      </c>
      <c r="V349" s="1">
        <v>1</v>
      </c>
      <c r="W349" s="1">
        <v>0</v>
      </c>
      <c r="X349" s="1">
        <v>0</v>
      </c>
      <c r="Y349" s="1">
        <v>2</v>
      </c>
      <c r="Z349" s="3">
        <v>0.90909090909090906</v>
      </c>
      <c r="AA349" s="1">
        <v>2</v>
      </c>
      <c r="AB349" s="3">
        <v>1.8181818181818181</v>
      </c>
      <c r="AC349" s="1">
        <v>0</v>
      </c>
      <c r="AD349" s="3">
        <v>0</v>
      </c>
      <c r="AE349" s="1">
        <v>1</v>
      </c>
      <c r="AF349" s="3">
        <v>0.90909090909090906</v>
      </c>
      <c r="AG349" s="1">
        <v>5</v>
      </c>
      <c r="AH349" s="3">
        <v>4.5454545454545459</v>
      </c>
      <c r="AI349" s="1" t="s">
        <v>22</v>
      </c>
      <c r="AJ349" s="1">
        <v>4</v>
      </c>
      <c r="AK349" s="3">
        <v>3.6363636363636362</v>
      </c>
      <c r="AL349" s="1">
        <v>2</v>
      </c>
      <c r="AM349" s="3">
        <v>1.8181818181818181</v>
      </c>
      <c r="AN349" s="1" t="s">
        <v>22</v>
      </c>
      <c r="AO349" s="1">
        <v>6</v>
      </c>
      <c r="AP349" s="3">
        <v>5.4545454545454541</v>
      </c>
      <c r="AQ349" s="3">
        <v>2</v>
      </c>
      <c r="AR349" s="3">
        <v>1.8181818181818181</v>
      </c>
      <c r="AS349" s="1">
        <v>6</v>
      </c>
      <c r="AT349" s="3">
        <v>5.4545454545454541</v>
      </c>
      <c r="AU349" s="1">
        <v>1</v>
      </c>
      <c r="AV349" s="3">
        <v>0.90909090909090906</v>
      </c>
      <c r="AW349" s="1" t="s">
        <v>22</v>
      </c>
      <c r="AX349" s="1">
        <v>21</v>
      </c>
      <c r="AY349" s="1">
        <v>0</v>
      </c>
      <c r="AZ349" s="1">
        <v>0</v>
      </c>
      <c r="BA349" s="1">
        <v>42</v>
      </c>
      <c r="BB349" s="1">
        <v>0</v>
      </c>
      <c r="BC349" s="1">
        <v>0</v>
      </c>
      <c r="BD349" s="1">
        <v>2</v>
      </c>
      <c r="BE349" s="54">
        <v>1.8181818181818181</v>
      </c>
      <c r="BF349" s="6">
        <v>25</v>
      </c>
      <c r="BG349" s="6">
        <v>29</v>
      </c>
      <c r="BH349" s="1">
        <v>1</v>
      </c>
      <c r="BI349" s="6">
        <v>10</v>
      </c>
      <c r="BJ349" s="1" t="s">
        <v>22</v>
      </c>
      <c r="BK349" s="6">
        <v>1</v>
      </c>
      <c r="BL349" s="6">
        <v>0</v>
      </c>
      <c r="BM349" s="1">
        <v>2</v>
      </c>
      <c r="BN349" t="s">
        <v>24</v>
      </c>
      <c r="BO349">
        <v>1905</v>
      </c>
    </row>
    <row r="350" spans="1:67" x14ac:dyDescent="0.25">
      <c r="A350" s="4">
        <f>INT(Tabela1[[#This Row],[Data e Hora]])</f>
        <v>46302</v>
      </c>
      <c r="B350" s="4" t="str">
        <f>UPPER(TEXT(Tabela1[[#This Row],[Data Corrigida]],"MMM"))</f>
        <v>OUT</v>
      </c>
      <c r="C350" t="s">
        <v>1017</v>
      </c>
      <c r="D350" t="s">
        <v>1018</v>
      </c>
      <c r="E350" t="s">
        <v>1019</v>
      </c>
      <c r="F350" t="s">
        <v>19</v>
      </c>
      <c r="G350" s="5" t="s">
        <v>1005</v>
      </c>
      <c r="H350" t="s">
        <v>20</v>
      </c>
      <c r="I350" t="s">
        <v>21</v>
      </c>
      <c r="J350" s="1">
        <v>161</v>
      </c>
      <c r="K350" s="1">
        <v>3055</v>
      </c>
      <c r="L350" t="s">
        <v>23</v>
      </c>
      <c r="M350" s="1">
        <v>33</v>
      </c>
      <c r="N350" s="48">
        <v>33</v>
      </c>
      <c r="O350" s="1">
        <v>19</v>
      </c>
      <c r="P350" s="48">
        <v>19</v>
      </c>
      <c r="Q350" s="1">
        <v>0</v>
      </c>
      <c r="R350" s="1">
        <v>0</v>
      </c>
      <c r="S350" s="1">
        <v>3</v>
      </c>
      <c r="T350" s="1">
        <v>3</v>
      </c>
      <c r="U350" s="1">
        <v>1</v>
      </c>
      <c r="V350" s="1">
        <v>1</v>
      </c>
      <c r="W350" s="1">
        <v>0</v>
      </c>
      <c r="X350" s="1">
        <v>0</v>
      </c>
      <c r="Y350" s="1">
        <v>3</v>
      </c>
      <c r="Z350" s="3">
        <v>0.93167701863354035</v>
      </c>
      <c r="AA350" s="1">
        <v>8</v>
      </c>
      <c r="AB350" s="3">
        <v>4.9689440993788816</v>
      </c>
      <c r="AC350" s="1">
        <v>0</v>
      </c>
      <c r="AD350" s="3">
        <v>0</v>
      </c>
      <c r="AE350" s="1">
        <v>1</v>
      </c>
      <c r="AF350" s="3">
        <v>0.6211180124223602</v>
      </c>
      <c r="AG350" s="1">
        <v>6</v>
      </c>
      <c r="AH350" s="3">
        <v>3.7267080745341614</v>
      </c>
      <c r="AI350" s="1" t="s">
        <v>22</v>
      </c>
      <c r="AJ350" s="1">
        <v>3</v>
      </c>
      <c r="AK350" s="3">
        <v>1.8633540372670807</v>
      </c>
      <c r="AL350" s="1">
        <v>2</v>
      </c>
      <c r="AM350" s="3">
        <v>1.2422360248447204</v>
      </c>
      <c r="AN350" s="1" t="s">
        <v>22</v>
      </c>
      <c r="AO350" s="1">
        <v>9</v>
      </c>
      <c r="AP350" s="3">
        <v>5.5900621118012426</v>
      </c>
      <c r="AQ350" s="3">
        <v>3</v>
      </c>
      <c r="AR350" s="3">
        <v>1.8633540372670807</v>
      </c>
      <c r="AS350" s="1">
        <v>7</v>
      </c>
      <c r="AT350" s="3">
        <v>4.3478260869565215</v>
      </c>
      <c r="AU350" s="1">
        <v>1</v>
      </c>
      <c r="AV350" s="3">
        <v>0.6211180124223602</v>
      </c>
      <c r="AW350" s="1" t="s">
        <v>22</v>
      </c>
      <c r="AX350" s="1">
        <v>20</v>
      </c>
      <c r="AY350" s="1">
        <v>1</v>
      </c>
      <c r="AZ350" s="1">
        <v>1</v>
      </c>
      <c r="BA350" s="1">
        <v>40</v>
      </c>
      <c r="BB350" s="1">
        <v>2</v>
      </c>
      <c r="BC350" s="1">
        <v>2</v>
      </c>
      <c r="BD350" s="1">
        <v>3</v>
      </c>
      <c r="BE350" s="54">
        <v>1.8633540372670807</v>
      </c>
      <c r="BF350" s="6">
        <v>19</v>
      </c>
      <c r="BG350" s="6">
        <v>20</v>
      </c>
      <c r="BH350" s="1">
        <v>1</v>
      </c>
      <c r="BI350" s="6">
        <v>10</v>
      </c>
      <c r="BJ350" s="1" t="s">
        <v>22</v>
      </c>
      <c r="BK350" s="1" t="s">
        <v>22</v>
      </c>
      <c r="BL350" s="1" t="s">
        <v>22</v>
      </c>
      <c r="BM350" s="1" t="s">
        <v>22</v>
      </c>
      <c r="BN350" t="s">
        <v>22</v>
      </c>
      <c r="BO350">
        <v>3270</v>
      </c>
    </row>
    <row r="351" spans="1:67" x14ac:dyDescent="0.25">
      <c r="A351" s="4">
        <f>INT(Tabela1[[#This Row],[Data e Hora]])</f>
        <v>46302</v>
      </c>
      <c r="B351" s="4" t="str">
        <f>UPPER(TEXT(Tabela1[[#This Row],[Data Corrigida]],"MMM"))</f>
        <v>OUT</v>
      </c>
      <c r="C351" t="s">
        <v>1020</v>
      </c>
      <c r="D351" t="s">
        <v>1021</v>
      </c>
      <c r="E351" t="s">
        <v>1019</v>
      </c>
      <c r="F351" t="s">
        <v>19</v>
      </c>
      <c r="G351" s="5" t="s">
        <v>1005</v>
      </c>
      <c r="H351" t="s">
        <v>20</v>
      </c>
      <c r="I351" t="s">
        <v>21</v>
      </c>
      <c r="J351" s="1">
        <v>151</v>
      </c>
      <c r="K351" s="1">
        <v>2999</v>
      </c>
      <c r="L351" t="s">
        <v>23</v>
      </c>
      <c r="M351" s="1">
        <v>28</v>
      </c>
      <c r="N351" s="48">
        <v>28.000000000000004</v>
      </c>
      <c r="O351" s="1">
        <v>15</v>
      </c>
      <c r="P351" s="48">
        <v>15</v>
      </c>
      <c r="Q351" s="1">
        <v>0</v>
      </c>
      <c r="R351" s="1">
        <v>0</v>
      </c>
      <c r="S351" s="1">
        <v>1</v>
      </c>
      <c r="T351" s="1">
        <v>1</v>
      </c>
      <c r="U351" s="1">
        <v>1</v>
      </c>
      <c r="V351" s="1">
        <v>1</v>
      </c>
      <c r="W351" s="1">
        <v>0</v>
      </c>
      <c r="X351" s="1">
        <v>0</v>
      </c>
      <c r="Y351" s="1">
        <v>2</v>
      </c>
      <c r="Z351" s="3">
        <v>0.66225165562913912</v>
      </c>
      <c r="AA351" s="1">
        <v>3</v>
      </c>
      <c r="AB351" s="3">
        <v>1.9867549668874174</v>
      </c>
      <c r="AC351" s="1">
        <v>0</v>
      </c>
      <c r="AD351" s="3">
        <v>0</v>
      </c>
      <c r="AE351" s="1">
        <v>2</v>
      </c>
      <c r="AF351" s="3">
        <v>1.3245033112582782</v>
      </c>
      <c r="AG351" s="1">
        <v>6</v>
      </c>
      <c r="AH351" s="3">
        <v>3.9735099337748347</v>
      </c>
      <c r="AI351" s="1" t="s">
        <v>22</v>
      </c>
      <c r="AJ351" s="1">
        <v>3</v>
      </c>
      <c r="AK351" s="3">
        <v>1.9867549668874174</v>
      </c>
      <c r="AL351" s="1">
        <v>3</v>
      </c>
      <c r="AM351" s="3">
        <v>1.9867549668874174</v>
      </c>
      <c r="AN351" s="1" t="s">
        <v>22</v>
      </c>
      <c r="AO351" s="1">
        <v>9</v>
      </c>
      <c r="AP351" s="3">
        <v>5.9602649006622519</v>
      </c>
      <c r="AQ351" s="3">
        <v>2</v>
      </c>
      <c r="AR351" s="3">
        <v>1.3245033112582782</v>
      </c>
      <c r="AS351" s="1">
        <v>10</v>
      </c>
      <c r="AT351" s="3">
        <v>6.6225165562913908</v>
      </c>
      <c r="AU351" s="1">
        <v>3</v>
      </c>
      <c r="AV351" s="3">
        <v>1.9867549668874174</v>
      </c>
      <c r="AW351" s="1" t="s">
        <v>22</v>
      </c>
      <c r="AX351" s="1">
        <v>17</v>
      </c>
      <c r="AY351" s="1">
        <v>0</v>
      </c>
      <c r="AZ351" s="1">
        <v>0</v>
      </c>
      <c r="BA351" s="1">
        <v>34</v>
      </c>
      <c r="BB351" s="1">
        <v>0</v>
      </c>
      <c r="BC351" s="1">
        <v>0</v>
      </c>
      <c r="BD351" s="1">
        <v>0</v>
      </c>
      <c r="BE351" s="54">
        <v>0</v>
      </c>
      <c r="BF351" s="6">
        <v>19</v>
      </c>
      <c r="BG351" s="6">
        <v>12</v>
      </c>
      <c r="BH351" s="1">
        <v>1</v>
      </c>
      <c r="BI351" s="6">
        <v>10</v>
      </c>
      <c r="BJ351" s="1" t="s">
        <v>22</v>
      </c>
      <c r="BK351" s="1" t="s">
        <v>22</v>
      </c>
      <c r="BL351" s="1" t="s">
        <v>22</v>
      </c>
      <c r="BM351" s="1" t="s">
        <v>22</v>
      </c>
      <c r="BN351" t="s">
        <v>24</v>
      </c>
      <c r="BO351">
        <v>1541</v>
      </c>
    </row>
    <row r="352" spans="1:67" x14ac:dyDescent="0.25">
      <c r="A352" s="4">
        <f>INT(Tabela1[[#This Row],[Data e Hora]])</f>
        <v>46301</v>
      </c>
      <c r="B352" s="4" t="str">
        <f>UPPER(TEXT(Tabela1[[#This Row],[Data Corrigida]],"MMM"))</f>
        <v>OUT</v>
      </c>
      <c r="C352" t="s">
        <v>1022</v>
      </c>
      <c r="D352" t="s">
        <v>1023</v>
      </c>
      <c r="E352" t="s">
        <v>1024</v>
      </c>
      <c r="F352" t="s">
        <v>19</v>
      </c>
      <c r="G352" s="5" t="s">
        <v>1025</v>
      </c>
      <c r="H352" t="s">
        <v>20</v>
      </c>
      <c r="I352" t="s">
        <v>33</v>
      </c>
      <c r="J352" s="1">
        <v>156</v>
      </c>
      <c r="K352" s="1">
        <v>2952</v>
      </c>
      <c r="L352" t="s">
        <v>34</v>
      </c>
      <c r="M352" s="1">
        <v>20</v>
      </c>
      <c r="N352" s="48">
        <v>20</v>
      </c>
      <c r="O352" s="1">
        <v>6</v>
      </c>
      <c r="P352" s="48">
        <v>6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6</v>
      </c>
      <c r="Z352" s="3">
        <v>1.9230769230769231</v>
      </c>
      <c r="AA352" s="1">
        <v>4</v>
      </c>
      <c r="AB352" s="3">
        <v>2.5641025641025639</v>
      </c>
      <c r="AC352" s="1">
        <v>0</v>
      </c>
      <c r="AD352" s="3">
        <v>0</v>
      </c>
      <c r="AE352" s="1">
        <v>1</v>
      </c>
      <c r="AF352" s="3">
        <v>0.64102564102564097</v>
      </c>
      <c r="AG352" s="1">
        <v>0</v>
      </c>
      <c r="AH352" s="3">
        <v>0</v>
      </c>
      <c r="AI352" s="1" t="s">
        <v>22</v>
      </c>
      <c r="AJ352" s="1">
        <v>0</v>
      </c>
      <c r="AK352" s="3">
        <v>0</v>
      </c>
      <c r="AL352" s="1">
        <v>0</v>
      </c>
      <c r="AM352" s="3">
        <v>0</v>
      </c>
      <c r="AN352" s="1" t="s">
        <v>22</v>
      </c>
      <c r="AO352" s="1">
        <v>5</v>
      </c>
      <c r="AP352" s="3">
        <v>3.2051282051282048</v>
      </c>
      <c r="AQ352" s="3">
        <v>4</v>
      </c>
      <c r="AR352" s="3">
        <v>2.5641025641025639</v>
      </c>
      <c r="AS352" s="1">
        <v>5</v>
      </c>
      <c r="AT352" s="3">
        <v>3.2051282051282048</v>
      </c>
      <c r="AU352" s="1">
        <v>0</v>
      </c>
      <c r="AV352" s="3">
        <v>0</v>
      </c>
      <c r="AW352" s="1" t="s">
        <v>22</v>
      </c>
      <c r="AX352" s="1">
        <v>19</v>
      </c>
      <c r="AY352" s="1">
        <v>0</v>
      </c>
      <c r="AZ352" s="1">
        <v>0</v>
      </c>
      <c r="BA352" s="1">
        <v>38</v>
      </c>
      <c r="BB352" s="1">
        <v>0</v>
      </c>
      <c r="BC352" s="1">
        <v>0</v>
      </c>
      <c r="BD352" s="1">
        <v>0</v>
      </c>
      <c r="BE352" s="54">
        <v>0</v>
      </c>
      <c r="BF352" s="6">
        <v>20</v>
      </c>
      <c r="BG352" s="6">
        <v>15</v>
      </c>
      <c r="BH352" s="1">
        <v>0</v>
      </c>
      <c r="BI352" s="6">
        <v>0</v>
      </c>
      <c r="BJ352" s="1" t="s">
        <v>22</v>
      </c>
      <c r="BK352" s="6">
        <v>0</v>
      </c>
      <c r="BL352" s="6">
        <v>0</v>
      </c>
      <c r="BM352" s="1">
        <v>0</v>
      </c>
      <c r="BN352" t="s">
        <v>24</v>
      </c>
      <c r="BO352">
        <v>108</v>
      </c>
    </row>
    <row r="353" spans="1:67" x14ac:dyDescent="0.25">
      <c r="A353" s="4">
        <f>INT(Tabela1[[#This Row],[Data e Hora]])</f>
        <v>46301</v>
      </c>
      <c r="B353" s="4" t="str">
        <f>UPPER(TEXT(Tabela1[[#This Row],[Data Corrigida]],"MMM"))</f>
        <v>OUT</v>
      </c>
      <c r="C353" t="s">
        <v>1026</v>
      </c>
      <c r="D353" t="s">
        <v>1027</v>
      </c>
      <c r="E353" t="s">
        <v>1028</v>
      </c>
      <c r="F353" t="s">
        <v>19</v>
      </c>
      <c r="G353" s="5" t="s">
        <v>1025</v>
      </c>
      <c r="H353" t="s">
        <v>20</v>
      </c>
      <c r="I353" t="s">
        <v>33</v>
      </c>
      <c r="J353" s="1">
        <v>131</v>
      </c>
      <c r="K353" s="1">
        <v>2952</v>
      </c>
      <c r="L353" t="s">
        <v>34</v>
      </c>
      <c r="M353" s="1">
        <v>10</v>
      </c>
      <c r="N353" s="48">
        <v>10</v>
      </c>
      <c r="O353" s="1">
        <v>5</v>
      </c>
      <c r="P353" s="48">
        <v>5</v>
      </c>
      <c r="Q353" s="1">
        <v>0</v>
      </c>
      <c r="R353" s="1">
        <v>0</v>
      </c>
      <c r="S353" s="1">
        <v>1</v>
      </c>
      <c r="T353" s="1">
        <v>1</v>
      </c>
      <c r="U353" s="1">
        <v>0</v>
      </c>
      <c r="V353" s="1">
        <v>0</v>
      </c>
      <c r="W353" s="1">
        <v>0</v>
      </c>
      <c r="X353" s="1">
        <v>0</v>
      </c>
      <c r="Y353" s="1">
        <v>5</v>
      </c>
      <c r="Z353" s="3">
        <v>1.9083969465648856</v>
      </c>
      <c r="AA353" s="1">
        <v>7</v>
      </c>
      <c r="AB353" s="3">
        <v>5.343511450381679</v>
      </c>
      <c r="AC353" s="1">
        <v>0</v>
      </c>
      <c r="AD353" s="3">
        <v>0</v>
      </c>
      <c r="AE353" s="1">
        <v>1</v>
      </c>
      <c r="AF353" s="3">
        <v>0.76335877862595414</v>
      </c>
      <c r="AG353" s="1">
        <v>2</v>
      </c>
      <c r="AH353" s="3">
        <v>1.5267175572519083</v>
      </c>
      <c r="AI353" s="1" t="s">
        <v>22</v>
      </c>
      <c r="AJ353" s="1">
        <v>1</v>
      </c>
      <c r="AK353" s="3">
        <v>0.76335877862595414</v>
      </c>
      <c r="AL353" s="1">
        <v>0</v>
      </c>
      <c r="AM353" s="3">
        <v>0</v>
      </c>
      <c r="AN353" s="1" t="s">
        <v>22</v>
      </c>
      <c r="AO353" s="1">
        <v>8</v>
      </c>
      <c r="AP353" s="3">
        <v>6.1068702290076331</v>
      </c>
      <c r="AQ353" s="3">
        <v>5</v>
      </c>
      <c r="AR353" s="3">
        <v>3.8167938931297711</v>
      </c>
      <c r="AS353" s="1">
        <v>5</v>
      </c>
      <c r="AT353" s="3">
        <v>3.8167938931297711</v>
      </c>
      <c r="AU353" s="1">
        <v>0</v>
      </c>
      <c r="AV353" s="3">
        <v>0</v>
      </c>
      <c r="AW353" s="1" t="s">
        <v>22</v>
      </c>
      <c r="AX353" s="1">
        <v>18</v>
      </c>
      <c r="AY353" s="1">
        <v>1</v>
      </c>
      <c r="AZ353" s="1">
        <v>1</v>
      </c>
      <c r="BA353" s="1">
        <v>36</v>
      </c>
      <c r="BB353" s="1">
        <v>2</v>
      </c>
      <c r="BC353" s="1">
        <v>2</v>
      </c>
      <c r="BD353" s="1">
        <v>0</v>
      </c>
      <c r="BE353" s="54">
        <v>0</v>
      </c>
      <c r="BF353" s="6">
        <v>21</v>
      </c>
      <c r="BG353" s="6">
        <v>19</v>
      </c>
      <c r="BH353" s="1">
        <v>0</v>
      </c>
      <c r="BI353" s="6">
        <v>0</v>
      </c>
      <c r="BJ353" s="1" t="s">
        <v>22</v>
      </c>
      <c r="BK353" s="6">
        <v>0</v>
      </c>
      <c r="BL353" s="6">
        <v>0</v>
      </c>
      <c r="BM353" s="1">
        <v>0</v>
      </c>
      <c r="BN353" t="s">
        <v>24</v>
      </c>
      <c r="BO353">
        <v>10222</v>
      </c>
    </row>
    <row r="354" spans="1:67" x14ac:dyDescent="0.25">
      <c r="A354" s="4">
        <f>INT(Tabela1[[#This Row],[Data e Hora]])</f>
        <v>46301</v>
      </c>
      <c r="B354" s="4" t="str">
        <f>UPPER(TEXT(Tabela1[[#This Row],[Data Corrigida]],"MMM"))</f>
        <v>OUT</v>
      </c>
      <c r="C354" t="s">
        <v>1029</v>
      </c>
      <c r="D354" t="s">
        <v>1030</v>
      </c>
      <c r="E354" t="s">
        <v>1028</v>
      </c>
      <c r="F354" t="s">
        <v>19</v>
      </c>
      <c r="G354" s="5" t="s">
        <v>1025</v>
      </c>
      <c r="H354" t="s">
        <v>20</v>
      </c>
      <c r="I354" t="s">
        <v>33</v>
      </c>
      <c r="J354" s="1">
        <v>130</v>
      </c>
      <c r="K354" s="1">
        <v>2772</v>
      </c>
      <c r="L354" t="s">
        <v>34</v>
      </c>
      <c r="M354" s="1">
        <v>9</v>
      </c>
      <c r="N354" s="48">
        <v>9</v>
      </c>
      <c r="O354" s="1" t="s">
        <v>22</v>
      </c>
      <c r="P354" s="48" t="s">
        <v>22</v>
      </c>
      <c r="Q354" s="1">
        <v>10</v>
      </c>
      <c r="R354" s="1">
        <v>100</v>
      </c>
      <c r="S354" s="1">
        <v>1</v>
      </c>
      <c r="T354" s="1">
        <v>1</v>
      </c>
      <c r="U354" s="1">
        <v>0</v>
      </c>
      <c r="V354" s="1">
        <v>0</v>
      </c>
      <c r="W354" s="1">
        <v>0</v>
      </c>
      <c r="X354" s="1">
        <v>0</v>
      </c>
      <c r="Y354" s="1">
        <v>5</v>
      </c>
      <c r="Z354" s="3">
        <v>1.9230769230769231</v>
      </c>
      <c r="AA354" s="1">
        <v>10</v>
      </c>
      <c r="AB354" s="3">
        <v>7.6923076923076925</v>
      </c>
      <c r="AC354" s="1">
        <v>0</v>
      </c>
      <c r="AD354" s="3">
        <v>0</v>
      </c>
      <c r="AE354" s="1">
        <v>2</v>
      </c>
      <c r="AF354" s="3">
        <v>1.5384615384615385</v>
      </c>
      <c r="AG354" s="1">
        <v>3</v>
      </c>
      <c r="AH354" s="3">
        <v>2.3076923076923079</v>
      </c>
      <c r="AI354" s="1" t="s">
        <v>22</v>
      </c>
      <c r="AJ354" s="1">
        <v>0</v>
      </c>
      <c r="AK354" s="3">
        <v>0</v>
      </c>
      <c r="AL354" s="1">
        <v>0</v>
      </c>
      <c r="AM354" s="3">
        <v>0</v>
      </c>
      <c r="AN354" s="1" t="s">
        <v>22</v>
      </c>
      <c r="AO354" s="1">
        <v>4</v>
      </c>
      <c r="AP354" s="3">
        <v>3.0769230769230771</v>
      </c>
      <c r="AQ354" s="3">
        <v>6</v>
      </c>
      <c r="AR354" s="3">
        <v>4.6153846153846159</v>
      </c>
      <c r="AS354" s="1">
        <v>4</v>
      </c>
      <c r="AT354" s="3">
        <v>3.0769230769230771</v>
      </c>
      <c r="AU354" s="1">
        <v>0</v>
      </c>
      <c r="AV354" s="3">
        <v>0</v>
      </c>
      <c r="AW354" s="1" t="s">
        <v>22</v>
      </c>
      <c r="AX354" s="1">
        <v>16</v>
      </c>
      <c r="AY354" s="1">
        <v>1</v>
      </c>
      <c r="AZ354" s="1">
        <v>0</v>
      </c>
      <c r="BA354" s="1">
        <v>32</v>
      </c>
      <c r="BB354" s="1">
        <v>2</v>
      </c>
      <c r="BC354" s="1">
        <v>0</v>
      </c>
      <c r="BD354" s="1">
        <v>0</v>
      </c>
      <c r="BE354" s="54">
        <v>0</v>
      </c>
      <c r="BF354" s="6">
        <v>20</v>
      </c>
      <c r="BG354" s="6">
        <v>17</v>
      </c>
      <c r="BH354" s="1">
        <v>0</v>
      </c>
      <c r="BI354" s="6">
        <v>0</v>
      </c>
      <c r="BJ354" s="1" t="s">
        <v>22</v>
      </c>
      <c r="BK354" s="6">
        <v>12</v>
      </c>
      <c r="BL354" s="6">
        <v>0</v>
      </c>
      <c r="BM354" s="1">
        <v>0</v>
      </c>
      <c r="BN354" t="s">
        <v>24</v>
      </c>
      <c r="BO354">
        <v>14183</v>
      </c>
    </row>
    <row r="355" spans="1:67" x14ac:dyDescent="0.25">
      <c r="A355" s="4">
        <f>INT(Tabela1[[#This Row],[Data e Hora]])</f>
        <v>46301</v>
      </c>
      <c r="B355" s="4" t="str">
        <f>UPPER(TEXT(Tabela1[[#This Row],[Data Corrigida]],"MMM"))</f>
        <v>OUT</v>
      </c>
      <c r="C355" t="s">
        <v>1031</v>
      </c>
      <c r="D355" t="s">
        <v>1032</v>
      </c>
      <c r="E355" t="s">
        <v>1033</v>
      </c>
      <c r="F355" t="s">
        <v>19</v>
      </c>
      <c r="G355" s="5" t="s">
        <v>1025</v>
      </c>
      <c r="H355" t="s">
        <v>20</v>
      </c>
      <c r="I355" t="s">
        <v>21</v>
      </c>
      <c r="J355" s="1">
        <v>161</v>
      </c>
      <c r="K355" s="1">
        <v>2893</v>
      </c>
      <c r="L355" t="s">
        <v>23</v>
      </c>
      <c r="M355" s="1">
        <v>27</v>
      </c>
      <c r="N355" s="48">
        <v>27</v>
      </c>
      <c r="O355" s="1">
        <v>12</v>
      </c>
      <c r="P355" s="48">
        <v>12</v>
      </c>
      <c r="Q355" s="1">
        <v>0</v>
      </c>
      <c r="R355" s="1">
        <v>0</v>
      </c>
      <c r="S355" s="1">
        <v>2</v>
      </c>
      <c r="T355" s="1">
        <v>2</v>
      </c>
      <c r="U355" s="1">
        <v>1</v>
      </c>
      <c r="V355" s="1">
        <v>1</v>
      </c>
      <c r="W355" s="1">
        <v>0</v>
      </c>
      <c r="X355" s="1">
        <v>0</v>
      </c>
      <c r="Y355" s="1">
        <v>2</v>
      </c>
      <c r="Z355" s="3">
        <v>0.6211180124223602</v>
      </c>
      <c r="AA355" s="1">
        <v>6</v>
      </c>
      <c r="AB355" s="3">
        <v>3.7267080745341614</v>
      </c>
      <c r="AC355" s="1">
        <v>0</v>
      </c>
      <c r="AD355" s="3">
        <v>0</v>
      </c>
      <c r="AE355" s="1">
        <v>2</v>
      </c>
      <c r="AF355" s="3">
        <v>1.2422360248447204</v>
      </c>
      <c r="AG355" s="1">
        <v>6</v>
      </c>
      <c r="AH355" s="3">
        <v>3.7267080745341614</v>
      </c>
      <c r="AI355" s="1" t="s">
        <v>22</v>
      </c>
      <c r="AJ355" s="1">
        <v>3</v>
      </c>
      <c r="AK355" s="3">
        <v>1.8633540372670807</v>
      </c>
      <c r="AL355" s="1">
        <v>3</v>
      </c>
      <c r="AM355" s="3">
        <v>1.8633540372670807</v>
      </c>
      <c r="AN355" s="1" t="s">
        <v>22</v>
      </c>
      <c r="AO355" s="1">
        <v>6</v>
      </c>
      <c r="AP355" s="3">
        <v>3.7267080745341614</v>
      </c>
      <c r="AQ355" s="3">
        <v>2</v>
      </c>
      <c r="AR355" s="3">
        <v>1.2422360248447204</v>
      </c>
      <c r="AS355" s="1">
        <v>7</v>
      </c>
      <c r="AT355" s="3">
        <v>4.3478260869565215</v>
      </c>
      <c r="AU355" s="1">
        <v>1</v>
      </c>
      <c r="AV355" s="3">
        <v>0.6211180124223602</v>
      </c>
      <c r="AW355" s="1" t="s">
        <v>22</v>
      </c>
      <c r="AX355" s="1">
        <v>20</v>
      </c>
      <c r="AY355" s="1">
        <v>0</v>
      </c>
      <c r="AZ355" s="1">
        <v>0</v>
      </c>
      <c r="BA355" s="1">
        <v>40</v>
      </c>
      <c r="BB355" s="1">
        <v>0</v>
      </c>
      <c r="BC355" s="1">
        <v>0</v>
      </c>
      <c r="BD355" s="1">
        <v>0</v>
      </c>
      <c r="BE355" s="54">
        <v>0</v>
      </c>
      <c r="BF355" s="6">
        <v>17</v>
      </c>
      <c r="BG355" s="6">
        <v>25</v>
      </c>
      <c r="BH355" s="1">
        <v>1</v>
      </c>
      <c r="BI355" s="6">
        <v>10</v>
      </c>
      <c r="BJ355" s="1" t="s">
        <v>22</v>
      </c>
      <c r="BK355" s="6">
        <v>1</v>
      </c>
      <c r="BL355" s="6">
        <v>0</v>
      </c>
      <c r="BM355" s="1">
        <v>2</v>
      </c>
      <c r="BN355" t="s">
        <v>22</v>
      </c>
      <c r="BO355">
        <v>1856</v>
      </c>
    </row>
    <row r="356" spans="1:67" x14ac:dyDescent="0.25">
      <c r="A356" s="4">
        <f>INT(Tabela1[[#This Row],[Data e Hora]])</f>
        <v>46301</v>
      </c>
      <c r="B356" s="4" t="str">
        <f>UPPER(TEXT(Tabela1[[#This Row],[Data Corrigida]],"MMM"))</f>
        <v>OUT</v>
      </c>
      <c r="C356" t="s">
        <v>1034</v>
      </c>
      <c r="D356" t="s">
        <v>1035</v>
      </c>
      <c r="E356" t="s">
        <v>1036</v>
      </c>
      <c r="F356" t="s">
        <v>19</v>
      </c>
      <c r="G356" s="5" t="s">
        <v>1025</v>
      </c>
      <c r="H356" t="s">
        <v>20</v>
      </c>
      <c r="I356" t="s">
        <v>21</v>
      </c>
      <c r="J356" s="1">
        <v>161</v>
      </c>
      <c r="K356" s="1">
        <v>3045</v>
      </c>
      <c r="L356" t="s">
        <v>23</v>
      </c>
      <c r="M356" s="1">
        <v>25</v>
      </c>
      <c r="N356" s="48">
        <v>25</v>
      </c>
      <c r="O356" s="1">
        <v>14</v>
      </c>
      <c r="P356" s="48">
        <v>14.000000000000002</v>
      </c>
      <c r="Q356" s="1">
        <v>0</v>
      </c>
      <c r="R356" s="1">
        <v>0</v>
      </c>
      <c r="S356" s="1">
        <v>3</v>
      </c>
      <c r="T356" s="1">
        <v>3</v>
      </c>
      <c r="U356" s="1" t="s">
        <v>22</v>
      </c>
      <c r="V356" s="1" t="s">
        <v>22</v>
      </c>
      <c r="W356" s="1">
        <v>0</v>
      </c>
      <c r="X356" s="1">
        <v>0</v>
      </c>
      <c r="Y356" s="1">
        <v>3</v>
      </c>
      <c r="Z356" s="3">
        <v>0.93167701863354035</v>
      </c>
      <c r="AA356" s="1">
        <v>5</v>
      </c>
      <c r="AB356" s="3">
        <v>3.1055900621118013</v>
      </c>
      <c r="AC356" s="1">
        <v>0</v>
      </c>
      <c r="AD356" s="3">
        <v>0</v>
      </c>
      <c r="AE356" s="1">
        <v>1</v>
      </c>
      <c r="AF356" s="3">
        <v>0.6211180124223602</v>
      </c>
      <c r="AG356" s="1">
        <v>8</v>
      </c>
      <c r="AH356" s="3">
        <v>4.9689440993788816</v>
      </c>
      <c r="AI356" s="1" t="s">
        <v>22</v>
      </c>
      <c r="AJ356" s="1">
        <v>3</v>
      </c>
      <c r="AK356" s="3">
        <v>1.8633540372670807</v>
      </c>
      <c r="AL356" s="1">
        <v>2</v>
      </c>
      <c r="AM356" s="3">
        <v>1.2422360248447204</v>
      </c>
      <c r="AN356" s="1" t="s">
        <v>22</v>
      </c>
      <c r="AO356" s="1">
        <v>6</v>
      </c>
      <c r="AP356" s="3">
        <v>3.7267080745341614</v>
      </c>
      <c r="AQ356" s="3">
        <v>2</v>
      </c>
      <c r="AR356" s="3">
        <v>1.2422360248447204</v>
      </c>
      <c r="AS356" s="1">
        <v>7</v>
      </c>
      <c r="AT356" s="3">
        <v>4.3478260869565215</v>
      </c>
      <c r="AU356" s="1">
        <v>1</v>
      </c>
      <c r="AV356" s="3">
        <v>0.6211180124223602</v>
      </c>
      <c r="AW356" s="1" t="s">
        <v>22</v>
      </c>
      <c r="AX356" s="1">
        <v>20</v>
      </c>
      <c r="AY356" s="1">
        <v>0</v>
      </c>
      <c r="AZ356" s="1">
        <v>0</v>
      </c>
      <c r="BA356" s="1">
        <v>40</v>
      </c>
      <c r="BB356" s="1">
        <v>0</v>
      </c>
      <c r="BC356" s="1">
        <v>0</v>
      </c>
      <c r="BD356" s="1">
        <v>2</v>
      </c>
      <c r="BE356" s="54">
        <v>1.2422360248447204</v>
      </c>
      <c r="BF356" s="6">
        <v>19</v>
      </c>
      <c r="BG356" s="6">
        <v>20</v>
      </c>
      <c r="BH356" s="1">
        <v>1</v>
      </c>
      <c r="BI356" s="6">
        <v>10</v>
      </c>
      <c r="BJ356" s="1" t="s">
        <v>22</v>
      </c>
      <c r="BK356" s="6">
        <v>1</v>
      </c>
      <c r="BL356" s="6">
        <v>0</v>
      </c>
      <c r="BM356" s="1">
        <v>1</v>
      </c>
      <c r="BN356" t="s">
        <v>24</v>
      </c>
      <c r="BO356">
        <v>2796</v>
      </c>
    </row>
    <row r="357" spans="1:67" x14ac:dyDescent="0.25">
      <c r="A357" s="4">
        <f>INT(Tabela1[[#This Row],[Data e Hora]])</f>
        <v>46301</v>
      </c>
      <c r="B357" s="4" t="str">
        <f>UPPER(TEXT(Tabela1[[#This Row],[Data Corrigida]],"MMM"))</f>
        <v>OUT</v>
      </c>
      <c r="C357" t="s">
        <v>1037</v>
      </c>
      <c r="D357" t="s">
        <v>1038</v>
      </c>
      <c r="E357" t="s">
        <v>1036</v>
      </c>
      <c r="F357" t="s">
        <v>19</v>
      </c>
      <c r="G357" s="5" t="s">
        <v>1025</v>
      </c>
      <c r="H357" t="s">
        <v>20</v>
      </c>
      <c r="I357" t="s">
        <v>21</v>
      </c>
      <c r="J357" s="1">
        <v>156</v>
      </c>
      <c r="K357" s="1">
        <v>3052</v>
      </c>
      <c r="L357" t="s">
        <v>23</v>
      </c>
      <c r="M357" s="1">
        <v>20</v>
      </c>
      <c r="N357" s="48">
        <v>20</v>
      </c>
      <c r="O357" s="1">
        <v>5</v>
      </c>
      <c r="P357" s="48">
        <v>5</v>
      </c>
      <c r="Q357" s="1">
        <v>0</v>
      </c>
      <c r="R357" s="1">
        <v>0</v>
      </c>
      <c r="S357" s="1">
        <v>3</v>
      </c>
      <c r="T357" s="1">
        <v>3</v>
      </c>
      <c r="U357" s="1">
        <v>1</v>
      </c>
      <c r="V357" s="1">
        <v>1</v>
      </c>
      <c r="W357" s="1">
        <v>0</v>
      </c>
      <c r="X357" s="1">
        <v>0</v>
      </c>
      <c r="Y357" s="1">
        <v>3</v>
      </c>
      <c r="Z357" s="3">
        <v>0.96153846153846156</v>
      </c>
      <c r="AA357" s="1">
        <v>6</v>
      </c>
      <c r="AB357" s="3">
        <v>3.8461538461538463</v>
      </c>
      <c r="AC357" s="1">
        <v>0</v>
      </c>
      <c r="AD357" s="3">
        <v>0</v>
      </c>
      <c r="AE357" s="1">
        <v>2</v>
      </c>
      <c r="AF357" s="3">
        <v>1.2820512820512819</v>
      </c>
      <c r="AG357" s="1">
        <v>7</v>
      </c>
      <c r="AH357" s="3">
        <v>4.4871794871794872</v>
      </c>
      <c r="AI357" s="1" t="s">
        <v>22</v>
      </c>
      <c r="AJ357" s="1">
        <v>2</v>
      </c>
      <c r="AK357" s="3">
        <v>1.2820512820512819</v>
      </c>
      <c r="AL357" s="1">
        <v>3</v>
      </c>
      <c r="AM357" s="3">
        <v>1.9230769230769231</v>
      </c>
      <c r="AN357" s="1" t="s">
        <v>22</v>
      </c>
      <c r="AO357" s="1">
        <v>6</v>
      </c>
      <c r="AP357" s="3">
        <v>3.8461538461538463</v>
      </c>
      <c r="AQ357" s="3">
        <v>4</v>
      </c>
      <c r="AR357" s="3">
        <v>2.5641025641025639</v>
      </c>
      <c r="AS357" s="1">
        <v>7</v>
      </c>
      <c r="AT357" s="3">
        <v>4.4871794871794872</v>
      </c>
      <c r="AU357" s="1">
        <v>1</v>
      </c>
      <c r="AV357" s="3">
        <v>0.64102564102564097</v>
      </c>
      <c r="AW357" s="1" t="s">
        <v>22</v>
      </c>
      <c r="AX357" s="1">
        <v>19</v>
      </c>
      <c r="AY357" s="1">
        <v>0</v>
      </c>
      <c r="AZ357" s="1">
        <v>0</v>
      </c>
      <c r="BA357" s="1">
        <v>38</v>
      </c>
      <c r="BB357" s="1">
        <v>0</v>
      </c>
      <c r="BC357" s="1">
        <v>0</v>
      </c>
      <c r="BD357" s="1">
        <v>1</v>
      </c>
      <c r="BE357" s="54">
        <v>0.64102564102564097</v>
      </c>
      <c r="BF357" s="6">
        <v>17</v>
      </c>
      <c r="BG357" s="6">
        <v>19</v>
      </c>
      <c r="BH357" s="1">
        <v>1</v>
      </c>
      <c r="BI357" s="6">
        <v>10</v>
      </c>
      <c r="BJ357" s="1" t="s">
        <v>22</v>
      </c>
      <c r="BK357" s="1" t="s">
        <v>22</v>
      </c>
      <c r="BL357" s="1" t="s">
        <v>22</v>
      </c>
      <c r="BM357" s="1" t="s">
        <v>22</v>
      </c>
      <c r="BN357" t="s">
        <v>24</v>
      </c>
      <c r="BO357">
        <v>1750</v>
      </c>
    </row>
    <row r="358" spans="1:67" x14ac:dyDescent="0.25">
      <c r="A358" s="4">
        <f>INT(Tabela1[[#This Row],[Data e Hora]])</f>
        <v>46301</v>
      </c>
      <c r="B358" s="4" t="str">
        <f>UPPER(TEXT(Tabela1[[#This Row],[Data Corrigida]],"MMM"))</f>
        <v>OUT</v>
      </c>
      <c r="C358" t="s">
        <v>1039</v>
      </c>
      <c r="D358" t="s">
        <v>1040</v>
      </c>
      <c r="E358" t="s">
        <v>1036</v>
      </c>
      <c r="F358" t="s">
        <v>19</v>
      </c>
      <c r="G358" s="5" t="s">
        <v>1025</v>
      </c>
      <c r="H358" t="s">
        <v>20</v>
      </c>
      <c r="I358" t="s">
        <v>21</v>
      </c>
      <c r="J358" s="1">
        <v>156</v>
      </c>
      <c r="K358" s="1">
        <v>3049</v>
      </c>
      <c r="L358" t="s">
        <v>23</v>
      </c>
      <c r="M358" s="1">
        <v>25</v>
      </c>
      <c r="N358" s="48">
        <v>25</v>
      </c>
      <c r="O358" s="1">
        <v>10</v>
      </c>
      <c r="P358" s="48">
        <v>10</v>
      </c>
      <c r="Q358" s="1">
        <v>0</v>
      </c>
      <c r="R358" s="1">
        <v>0</v>
      </c>
      <c r="S358" s="1">
        <v>3</v>
      </c>
      <c r="T358" s="1">
        <v>3</v>
      </c>
      <c r="U358" s="1">
        <v>1</v>
      </c>
      <c r="V358" s="1">
        <v>1</v>
      </c>
      <c r="W358" s="1">
        <v>0</v>
      </c>
      <c r="X358" s="1">
        <v>0</v>
      </c>
      <c r="Y358" s="1">
        <v>4</v>
      </c>
      <c r="Z358" s="3">
        <v>1.2820512820512819</v>
      </c>
      <c r="AA358" s="1">
        <v>8</v>
      </c>
      <c r="AB358" s="3">
        <v>5.1282051282051277</v>
      </c>
      <c r="AC358" s="1">
        <v>0</v>
      </c>
      <c r="AD358" s="3">
        <v>0</v>
      </c>
      <c r="AE358" s="1">
        <v>3</v>
      </c>
      <c r="AF358" s="3">
        <v>1.9230769230769231</v>
      </c>
      <c r="AG358" s="1">
        <v>8</v>
      </c>
      <c r="AH358" s="3">
        <v>5.1282051282051277</v>
      </c>
      <c r="AI358" s="1" t="s">
        <v>22</v>
      </c>
      <c r="AJ358" s="1">
        <v>3</v>
      </c>
      <c r="AK358" s="3">
        <v>1.9230769230769231</v>
      </c>
      <c r="AL358" s="1">
        <v>3</v>
      </c>
      <c r="AM358" s="3">
        <v>1.9230769230769231</v>
      </c>
      <c r="AN358" s="1" t="s">
        <v>22</v>
      </c>
      <c r="AO358" s="1">
        <v>8</v>
      </c>
      <c r="AP358" s="3">
        <v>5.1282051282051277</v>
      </c>
      <c r="AQ358" s="3">
        <v>3</v>
      </c>
      <c r="AR358" s="3">
        <v>1.9230769230769231</v>
      </c>
      <c r="AS358" s="1">
        <v>8</v>
      </c>
      <c r="AT358" s="3">
        <v>5.1282051282051277</v>
      </c>
      <c r="AU358" s="1">
        <v>1</v>
      </c>
      <c r="AV358" s="3">
        <v>0.64102564102564097</v>
      </c>
      <c r="AW358" s="1" t="s">
        <v>22</v>
      </c>
      <c r="AX358" s="1">
        <v>20</v>
      </c>
      <c r="AY358" s="1">
        <v>0</v>
      </c>
      <c r="AZ358" s="1">
        <v>0</v>
      </c>
      <c r="BA358" s="1">
        <v>40</v>
      </c>
      <c r="BB358" s="1">
        <v>0</v>
      </c>
      <c r="BC358" s="1">
        <v>0</v>
      </c>
      <c r="BD358" s="1">
        <v>0</v>
      </c>
      <c r="BE358" s="54">
        <v>0</v>
      </c>
      <c r="BF358" s="6">
        <v>18</v>
      </c>
      <c r="BG358" s="6">
        <v>25</v>
      </c>
      <c r="BH358" s="1">
        <v>0</v>
      </c>
      <c r="BI358" s="6">
        <v>0</v>
      </c>
      <c r="BJ358" s="1" t="s">
        <v>22</v>
      </c>
      <c r="BK358" s="1" t="s">
        <v>22</v>
      </c>
      <c r="BL358" s="1" t="s">
        <v>22</v>
      </c>
      <c r="BM358" s="1" t="s">
        <v>22</v>
      </c>
      <c r="BN358" t="s">
        <v>24</v>
      </c>
      <c r="BO358">
        <v>1640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5" x14ac:dyDescent="0.25"/>
  <cols>
    <col min="1" max="1" width="41.5703125" bestFit="1" customWidth="1"/>
    <col min="2" max="2" width="20" customWidth="1"/>
  </cols>
  <sheetData>
    <row r="1" spans="1:2" x14ac:dyDescent="0.25">
      <c r="A1" t="s">
        <v>237</v>
      </c>
      <c r="B1" t="s">
        <v>238</v>
      </c>
    </row>
    <row r="2" spans="1:2" x14ac:dyDescent="0.25">
      <c r="A2" t="s">
        <v>193</v>
      </c>
      <c r="B2" t="s">
        <v>241</v>
      </c>
    </row>
    <row r="3" spans="1:2" x14ac:dyDescent="0.25">
      <c r="A3" t="s">
        <v>195</v>
      </c>
      <c r="B3" t="s">
        <v>241</v>
      </c>
    </row>
    <row r="4" spans="1:2" x14ac:dyDescent="0.25">
      <c r="A4" t="s">
        <v>190</v>
      </c>
      <c r="B4" t="s">
        <v>241</v>
      </c>
    </row>
    <row r="5" spans="1:2" x14ac:dyDescent="0.25">
      <c r="A5" t="s">
        <v>189</v>
      </c>
      <c r="B5" t="s">
        <v>241</v>
      </c>
    </row>
    <row r="6" spans="1:2" x14ac:dyDescent="0.25">
      <c r="A6" t="s">
        <v>191</v>
      </c>
      <c r="B6" t="s">
        <v>241</v>
      </c>
    </row>
    <row r="7" spans="1:2" x14ac:dyDescent="0.25">
      <c r="A7" t="s">
        <v>196</v>
      </c>
      <c r="B7" t="s">
        <v>241</v>
      </c>
    </row>
    <row r="8" spans="1:2" x14ac:dyDescent="0.25">
      <c r="A8" t="s">
        <v>197</v>
      </c>
      <c r="B8" t="s">
        <v>241</v>
      </c>
    </row>
    <row r="9" spans="1:2" x14ac:dyDescent="0.25">
      <c r="A9" t="s">
        <v>194</v>
      </c>
      <c r="B9" t="s">
        <v>241</v>
      </c>
    </row>
    <row r="10" spans="1:2" x14ac:dyDescent="0.25">
      <c r="A10" t="s">
        <v>192</v>
      </c>
      <c r="B10" t="s">
        <v>241</v>
      </c>
    </row>
    <row r="11" spans="1:2" x14ac:dyDescent="0.25">
      <c r="A11" t="s">
        <v>198</v>
      </c>
      <c r="B11" t="s">
        <v>241</v>
      </c>
    </row>
    <row r="12" spans="1:2" x14ac:dyDescent="0.25">
      <c r="A12" t="s">
        <v>186</v>
      </c>
      <c r="B12" t="s">
        <v>240</v>
      </c>
    </row>
    <row r="13" spans="1:2" x14ac:dyDescent="0.25">
      <c r="A13" t="s">
        <v>185</v>
      </c>
      <c r="B13" t="s">
        <v>240</v>
      </c>
    </row>
    <row r="14" spans="1:2" x14ac:dyDescent="0.25">
      <c r="A14" t="s">
        <v>236</v>
      </c>
      <c r="B14" t="s">
        <v>242</v>
      </c>
    </row>
    <row r="15" spans="1:2" x14ac:dyDescent="0.25">
      <c r="A15" t="s">
        <v>188</v>
      </c>
      <c r="B15" t="s">
        <v>241</v>
      </c>
    </row>
    <row r="16" spans="1:2" x14ac:dyDescent="0.25">
      <c r="A16" t="s">
        <v>199</v>
      </c>
      <c r="B16" t="s">
        <v>242</v>
      </c>
    </row>
    <row r="17" spans="1:2" x14ac:dyDescent="0.25">
      <c r="A17" t="s">
        <v>12</v>
      </c>
      <c r="B17" t="s">
        <v>242</v>
      </c>
    </row>
    <row r="18" spans="1:2" x14ac:dyDescent="0.25">
      <c r="A18" t="s">
        <v>216</v>
      </c>
      <c r="B18" t="s">
        <v>242</v>
      </c>
    </row>
    <row r="19" spans="1:2" x14ac:dyDescent="0.25">
      <c r="A19" t="s">
        <v>136</v>
      </c>
      <c r="B19" t="s">
        <v>240</v>
      </c>
    </row>
    <row r="20" spans="1:2" x14ac:dyDescent="0.25">
      <c r="A20" t="s">
        <v>261</v>
      </c>
      <c r="B20" t="s">
        <v>242</v>
      </c>
    </row>
    <row r="21" spans="1:2" x14ac:dyDescent="0.25">
      <c r="A21" t="s">
        <v>110</v>
      </c>
      <c r="B21" t="s">
        <v>240</v>
      </c>
    </row>
    <row r="22" spans="1:2" x14ac:dyDescent="0.25">
      <c r="A22" t="s">
        <v>234</v>
      </c>
      <c r="B22" t="s">
        <v>241</v>
      </c>
    </row>
    <row r="23" spans="1:2" x14ac:dyDescent="0.25">
      <c r="A23" t="s">
        <v>111</v>
      </c>
      <c r="B23" t="s">
        <v>240</v>
      </c>
    </row>
    <row r="24" spans="1:2" x14ac:dyDescent="0.25">
      <c r="A24" t="s">
        <v>260</v>
      </c>
      <c r="B24" t="s">
        <v>242</v>
      </c>
    </row>
    <row r="25" spans="1:2" x14ac:dyDescent="0.25">
      <c r="A25" t="s">
        <v>262</v>
      </c>
      <c r="B25" t="s">
        <v>242</v>
      </c>
    </row>
    <row r="26" spans="1:2" x14ac:dyDescent="0.25">
      <c r="A26" t="s">
        <v>113</v>
      </c>
      <c r="B26" t="s">
        <v>240</v>
      </c>
    </row>
    <row r="27" spans="1:2" x14ac:dyDescent="0.25">
      <c r="A27" t="s">
        <v>184</v>
      </c>
      <c r="B27" t="s">
        <v>239</v>
      </c>
    </row>
    <row r="28" spans="1:2" x14ac:dyDescent="0.25">
      <c r="A28" t="s">
        <v>187</v>
      </c>
      <c r="B28" t="s">
        <v>239</v>
      </c>
    </row>
    <row r="29" spans="1:2" x14ac:dyDescent="0.25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2026-09-22T15:54:53Z</cp:lastPrinted>
  <dcterms:created xsi:type="dcterms:W3CDTF">2026-08-03T16:36:45Z</dcterms:created>
  <dcterms:modified xsi:type="dcterms:W3CDTF">2026-10-08T18:22:16Z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