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Quente'!$A$3:$AM$83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9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6" i="1" l="1"/>
  <c r="B316" i="1" s="1"/>
  <c r="A317" i="1"/>
  <c r="B317" i="1" s="1"/>
  <c r="A318" i="1"/>
  <c r="B318" i="1" s="1"/>
  <c r="A319" i="1"/>
  <c r="B319" i="1" s="1"/>
  <c r="A320" i="1"/>
  <c r="B320" i="1" s="1"/>
  <c r="A321" i="1"/>
  <c r="B321" i="1" s="1"/>
  <c r="A322" i="1"/>
  <c r="B322" i="1" s="1"/>
  <c r="A309" i="1" l="1"/>
  <c r="B309" i="1" s="1"/>
  <c r="A310" i="1"/>
  <c r="B310" i="1" s="1"/>
  <c r="A311" i="1"/>
  <c r="B311" i="1" s="1"/>
  <c r="A312" i="1"/>
  <c r="B312" i="1" s="1"/>
  <c r="A313" i="1"/>
  <c r="B313" i="1" s="1"/>
  <c r="A314" i="1"/>
  <c r="B314" i="1" s="1"/>
  <c r="A315" i="1"/>
  <c r="B315" i="1" s="1"/>
  <c r="A302" i="1" l="1"/>
  <c r="B302" i="1" s="1"/>
  <c r="A303" i="1"/>
  <c r="B303" i="1" s="1"/>
  <c r="A304" i="1"/>
  <c r="B304" i="1" s="1"/>
  <c r="A305" i="1"/>
  <c r="B305" i="1" s="1"/>
  <c r="A306" i="1"/>
  <c r="B306" i="1" s="1"/>
  <c r="A307" i="1"/>
  <c r="B307" i="1" s="1"/>
  <c r="A308" i="1"/>
  <c r="B308" i="1" s="1"/>
  <c r="A288" i="1" l="1"/>
  <c r="B288" i="1" s="1"/>
  <c r="A289" i="1"/>
  <c r="B289" i="1" s="1"/>
  <c r="A290" i="1"/>
  <c r="B290" i="1" s="1"/>
  <c r="A291" i="1"/>
  <c r="B291" i="1" s="1"/>
  <c r="A292" i="1"/>
  <c r="B292" i="1" s="1"/>
  <c r="A293" i="1"/>
  <c r="B293" i="1" s="1"/>
  <c r="A294" i="1"/>
  <c r="B294" i="1" s="1"/>
  <c r="A295" i="1"/>
  <c r="B295" i="1" s="1"/>
  <c r="A296" i="1"/>
  <c r="B296" i="1" s="1"/>
  <c r="A297" i="1"/>
  <c r="B297" i="1" s="1"/>
  <c r="A298" i="1"/>
  <c r="B298" i="1" s="1"/>
  <c r="A299" i="1"/>
  <c r="B299" i="1" s="1"/>
  <c r="A300" i="1"/>
  <c r="B300" i="1" s="1"/>
  <c r="A301" i="1"/>
  <c r="B301" i="1" s="1"/>
  <c r="A285" i="1" l="1"/>
  <c r="B285" i="1" s="1"/>
  <c r="A286" i="1"/>
  <c r="B286" i="1" s="1"/>
  <c r="A287" i="1"/>
  <c r="B287" i="1" s="1"/>
  <c r="A274" i="1" l="1"/>
  <c r="A275" i="1"/>
  <c r="B275" i="1" s="1"/>
  <c r="A276" i="1"/>
  <c r="B276" i="1" s="1"/>
  <c r="A277" i="1"/>
  <c r="B277" i="1" s="1"/>
  <c r="A278" i="1"/>
  <c r="B278" i="1" s="1"/>
  <c r="A279" i="1"/>
  <c r="B279" i="1" s="1"/>
  <c r="A280" i="1"/>
  <c r="B280" i="1" s="1"/>
  <c r="A281" i="1"/>
  <c r="B281" i="1" s="1"/>
  <c r="A282" i="1"/>
  <c r="B282" i="1" s="1"/>
  <c r="A283" i="1"/>
  <c r="B283" i="1" s="1"/>
  <c r="A284" i="1"/>
  <c r="B284" i="1" s="1"/>
  <c r="B274" i="1"/>
  <c r="A267" i="1" l="1"/>
  <c r="A268" i="1"/>
  <c r="B268" i="1" s="1"/>
  <c r="A269" i="1"/>
  <c r="B269" i="1" s="1"/>
  <c r="A270" i="1"/>
  <c r="B270" i="1" s="1"/>
  <c r="A271" i="1"/>
  <c r="B271" i="1" s="1"/>
  <c r="A272" i="1"/>
  <c r="B272" i="1" s="1"/>
  <c r="A273" i="1"/>
  <c r="B273" i="1" s="1"/>
  <c r="B267" i="1"/>
  <c r="A254" i="1" l="1"/>
  <c r="A255" i="1"/>
  <c r="A256" i="1"/>
  <c r="B256" i="1" s="1"/>
  <c r="A257" i="1"/>
  <c r="B257" i="1" s="1"/>
  <c r="A258" i="1"/>
  <c r="B258" i="1" s="1"/>
  <c r="A259" i="1"/>
  <c r="B259" i="1" s="1"/>
  <c r="A260" i="1"/>
  <c r="B260" i="1" s="1"/>
  <c r="A261" i="1"/>
  <c r="B261" i="1" s="1"/>
  <c r="A262" i="1"/>
  <c r="B262" i="1" s="1"/>
  <c r="A263" i="1"/>
  <c r="B263" i="1" s="1"/>
  <c r="A264" i="1"/>
  <c r="B264" i="1" s="1"/>
  <c r="A265" i="1"/>
  <c r="B265" i="1" s="1"/>
  <c r="A266" i="1"/>
  <c r="B254" i="1"/>
  <c r="B255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B221" i="1" s="1"/>
  <c r="A222" i="1"/>
  <c r="B222" i="1" s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B170" i="1" s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AI83" i="2"/>
  <c r="T83" i="2"/>
  <c r="T82" i="2"/>
  <c r="Y83" i="2"/>
  <c r="AL81" i="2"/>
  <c r="AJ83" i="2"/>
  <c r="AG81" i="2"/>
  <c r="AI81" i="2"/>
  <c r="X83" i="2"/>
  <c r="AM83" i="2"/>
  <c r="W81" i="2"/>
  <c r="AG83" i="2"/>
  <c r="AC83" i="2"/>
  <c r="U81" i="2"/>
  <c r="AL83" i="2"/>
  <c r="Z83" i="2"/>
  <c r="S82" i="2"/>
  <c r="Z82" i="2"/>
  <c r="AE81" i="2"/>
  <c r="V81" i="2"/>
  <c r="AJ82" i="2"/>
  <c r="X81" i="2"/>
  <c r="AD81" i="2"/>
  <c r="S81" i="2"/>
  <c r="V82" i="2"/>
  <c r="Y81" i="2"/>
  <c r="AH83" i="2"/>
  <c r="AD82" i="2"/>
  <c r="AA83" i="2"/>
  <c r="AF83" i="2"/>
  <c r="AH82" i="2"/>
  <c r="AJ81" i="2"/>
  <c r="AM81" i="2"/>
  <c r="AH81" i="2"/>
  <c r="AD83" i="2"/>
  <c r="AM82" i="2"/>
  <c r="AI82" i="2"/>
  <c r="X82" i="2"/>
  <c r="AB82" i="2"/>
  <c r="Y82" i="2"/>
  <c r="AC82" i="2"/>
  <c r="AL82" i="2"/>
  <c r="R81" i="2"/>
  <c r="AK81" i="2"/>
  <c r="AA82" i="2"/>
  <c r="AK83" i="2"/>
  <c r="U82" i="2"/>
  <c r="S83" i="2"/>
  <c r="W82" i="2"/>
  <c r="AF81" i="2"/>
  <c r="W83" i="2"/>
  <c r="AE82" i="2"/>
  <c r="AC81" i="2"/>
  <c r="Z81" i="2"/>
  <c r="AG82" i="2"/>
  <c r="R83" i="2"/>
  <c r="T81" i="2"/>
  <c r="R82" i="2"/>
  <c r="AA81" i="2"/>
  <c r="AK82" i="2"/>
  <c r="AB81" i="2"/>
  <c r="AB83" i="2"/>
  <c r="U83" i="2"/>
  <c r="V83" i="2"/>
  <c r="AF82" i="2"/>
  <c r="AE83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E81" i="2"/>
  <c r="M81" i="2"/>
  <c r="N83" i="2"/>
  <c r="P81" i="2"/>
  <c r="K82" i="2"/>
  <c r="E82" i="2"/>
  <c r="N82" i="2"/>
  <c r="H83" i="2"/>
  <c r="I82" i="2"/>
  <c r="G83" i="2"/>
  <c r="L82" i="2"/>
  <c r="J83" i="2"/>
  <c r="I83" i="2"/>
  <c r="N81" i="2"/>
  <c r="P83" i="2"/>
  <c r="H81" i="2"/>
  <c r="G81" i="2"/>
  <c r="F81" i="2"/>
  <c r="K81" i="2"/>
  <c r="L81" i="2"/>
  <c r="J82" i="2"/>
  <c r="L83" i="2"/>
  <c r="J81" i="2"/>
  <c r="M82" i="2"/>
  <c r="G82" i="2"/>
  <c r="E83" i="2"/>
  <c r="H82" i="2"/>
  <c r="O81" i="2"/>
  <c r="K83" i="2"/>
  <c r="I81" i="2"/>
  <c r="P82" i="2"/>
  <c r="F83" i="2"/>
  <c r="O83" i="2"/>
  <c r="M83" i="2"/>
  <c r="O82" i="2"/>
  <c r="F82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H9" i="2"/>
  <c r="AK6" i="2"/>
  <c r="AK14" i="2"/>
  <c r="F5" i="2"/>
  <c r="AD17" i="2"/>
  <c r="X10" i="2"/>
  <c r="H42" i="2"/>
  <c r="J72" i="2"/>
  <c r="V41" i="2"/>
  <c r="Z24" i="2"/>
  <c r="T33" i="2"/>
  <c r="W46" i="2"/>
  <c r="AM37" i="2"/>
  <c r="AB10" i="2"/>
  <c r="AJ63" i="2"/>
  <c r="F46" i="2"/>
  <c r="Y60" i="2"/>
  <c r="AM10" i="2"/>
  <c r="N62" i="2"/>
  <c r="AB65" i="2"/>
  <c r="AJ9" i="2"/>
  <c r="V63" i="2"/>
  <c r="E45" i="2"/>
  <c r="Y69" i="2"/>
  <c r="N30" i="2"/>
  <c r="AF77" i="2"/>
  <c r="AG40" i="2"/>
  <c r="G32" i="2"/>
  <c r="L27" i="2"/>
  <c r="H39" i="2"/>
  <c r="AL14" i="2"/>
  <c r="AG50" i="2"/>
  <c r="X41" i="2"/>
  <c r="Z22" i="2"/>
  <c r="AE28" i="2"/>
  <c r="U66" i="2"/>
  <c r="AK30" i="2"/>
  <c r="G47" i="2"/>
  <c r="T64" i="2"/>
  <c r="G73" i="2"/>
  <c r="AE59" i="2"/>
  <c r="G72" i="2"/>
  <c r="AI45" i="2"/>
  <c r="X12" i="2"/>
  <c r="H14" i="2"/>
  <c r="AJ60" i="2"/>
  <c r="AB64" i="2"/>
  <c r="X19" i="2"/>
  <c r="E25" i="2"/>
  <c r="AK22" i="2"/>
  <c r="J9" i="2"/>
  <c r="R22" i="2"/>
  <c r="J29" i="2"/>
  <c r="AA10" i="2"/>
  <c r="AB54" i="2"/>
  <c r="AM72" i="2"/>
  <c r="AH32" i="2"/>
  <c r="AE11" i="2"/>
  <c r="X76" i="2"/>
  <c r="AF33" i="2"/>
  <c r="X4" i="2"/>
  <c r="AH23" i="2"/>
  <c r="O27" i="2"/>
  <c r="Z74" i="2"/>
  <c r="I45" i="2"/>
  <c r="AB48" i="2"/>
  <c r="P43" i="2"/>
  <c r="I10" i="2"/>
  <c r="H71" i="2"/>
  <c r="P35" i="2"/>
  <c r="R77" i="2"/>
  <c r="Y42" i="2"/>
  <c r="AA77" i="2"/>
  <c r="Z67" i="2"/>
  <c r="T65" i="2"/>
  <c r="R75" i="2"/>
  <c r="N54" i="2"/>
  <c r="H57" i="2"/>
  <c r="AM39" i="2"/>
  <c r="G24" i="2"/>
  <c r="R47" i="2"/>
  <c r="F47" i="2"/>
  <c r="E22" i="2"/>
  <c r="Y66" i="2"/>
  <c r="AH59" i="2"/>
  <c r="AE34" i="2"/>
  <c r="Z9" i="2"/>
  <c r="S17" i="2"/>
  <c r="AI17" i="2"/>
  <c r="AD9" i="2"/>
  <c r="AI26" i="2"/>
  <c r="G38" i="2"/>
  <c r="I5" i="2"/>
  <c r="AM64" i="2"/>
  <c r="AF71" i="2"/>
  <c r="AC20" i="2"/>
  <c r="AF54" i="2"/>
  <c r="W4" i="2"/>
  <c r="P32" i="2"/>
  <c r="S41" i="2"/>
  <c r="R23" i="2"/>
  <c r="X49" i="2"/>
  <c r="Y21" i="2"/>
  <c r="AL67" i="2"/>
  <c r="H72" i="2"/>
  <c r="N35" i="2"/>
  <c r="AH12" i="2"/>
  <c r="AE41" i="2"/>
  <c r="R44" i="2"/>
  <c r="X28" i="2"/>
  <c r="K65" i="2"/>
  <c r="AL77" i="2"/>
  <c r="AB77" i="2"/>
  <c r="AH49" i="2"/>
  <c r="AJ5" i="2"/>
  <c r="AL61" i="2"/>
  <c r="AB20" i="2"/>
  <c r="AJ35" i="2"/>
  <c r="AI68" i="2"/>
  <c r="AJ57" i="2"/>
  <c r="V77" i="2"/>
  <c r="AJ33" i="2"/>
  <c r="E51" i="2"/>
  <c r="AG26" i="2"/>
  <c r="J27" i="2"/>
  <c r="O18" i="2"/>
  <c r="M44" i="2"/>
  <c r="AI19" i="2"/>
  <c r="H37" i="2"/>
  <c r="AI4" i="2"/>
  <c r="Z8" i="2"/>
  <c r="G45" i="2"/>
  <c r="AC35" i="2"/>
  <c r="AG19" i="2"/>
  <c r="L46" i="2"/>
  <c r="AH7" i="2"/>
  <c r="U4" i="2"/>
  <c r="V10" i="2"/>
  <c r="AD68" i="2"/>
  <c r="E78" i="2"/>
  <c r="AG72" i="2"/>
  <c r="AK8" i="2"/>
  <c r="AH14" i="2"/>
  <c r="R62" i="2"/>
  <c r="O54" i="2"/>
  <c r="AA78" i="2"/>
  <c r="K25" i="2"/>
  <c r="AM61" i="2"/>
  <c r="P69" i="2"/>
  <c r="AA43" i="2"/>
  <c r="H70" i="2"/>
  <c r="X62" i="2"/>
  <c r="AH48" i="2"/>
  <c r="J70" i="2"/>
  <c r="AE68" i="2"/>
  <c r="AE57" i="2"/>
  <c r="AJ24" i="2"/>
  <c r="U78" i="2"/>
  <c r="Z70" i="2"/>
  <c r="W15" i="2"/>
  <c r="AD61" i="2"/>
  <c r="M68" i="2"/>
  <c r="J40" i="2"/>
  <c r="F4" i="2"/>
  <c r="AD29" i="2"/>
  <c r="Y45" i="2"/>
  <c r="AF14" i="2"/>
  <c r="I25" i="2"/>
  <c r="AD39" i="2"/>
  <c r="O68" i="2"/>
  <c r="W43" i="2"/>
  <c r="AD42" i="2"/>
  <c r="K42" i="2"/>
  <c r="E73" i="2"/>
  <c r="Y20" i="2"/>
  <c r="AF46" i="2"/>
  <c r="L63" i="2"/>
  <c r="AG52" i="2"/>
  <c r="U33" i="2"/>
  <c r="T50" i="2"/>
  <c r="J54" i="2"/>
  <c r="F55" i="2"/>
  <c r="AK18" i="2"/>
  <c r="AK11" i="2"/>
  <c r="F13" i="2"/>
  <c r="AJ70" i="2"/>
  <c r="U26" i="2"/>
  <c r="AF63" i="2"/>
  <c r="W65" i="2"/>
  <c r="O77" i="2"/>
  <c r="T51" i="2"/>
  <c r="E50" i="2"/>
  <c r="I55" i="2"/>
  <c r="AC7" i="2"/>
  <c r="W55" i="2"/>
  <c r="V69" i="2"/>
  <c r="O50" i="2"/>
  <c r="O66" i="2"/>
  <c r="M30" i="2"/>
  <c r="AD28" i="2"/>
  <c r="U68" i="2"/>
  <c r="Y22" i="2"/>
  <c r="Z10" i="2"/>
  <c r="AD57" i="2"/>
  <c r="M51" i="2"/>
  <c r="I53" i="2"/>
  <c r="Z77" i="2"/>
  <c r="AI12" i="2"/>
  <c r="Y57" i="2"/>
  <c r="O39" i="2"/>
  <c r="I31" i="2"/>
  <c r="N55" i="2"/>
  <c r="X77" i="2"/>
  <c r="X7" i="2"/>
  <c r="AE58" i="2"/>
  <c r="E27" i="2"/>
  <c r="AI56" i="2"/>
  <c r="M7" i="2"/>
  <c r="AA80" i="2"/>
  <c r="S4" i="2"/>
  <c r="E70" i="2"/>
  <c r="Z63" i="2"/>
  <c r="AG66" i="2"/>
  <c r="X23" i="2"/>
  <c r="AI53" i="2"/>
  <c r="AA58" i="2"/>
  <c r="AD19" i="2"/>
  <c r="X65" i="2"/>
  <c r="N17" i="2"/>
  <c r="F27" i="2"/>
  <c r="M53" i="2"/>
  <c r="AG67" i="2"/>
  <c r="AG48" i="2"/>
  <c r="AL72" i="2"/>
  <c r="AJ4" i="2"/>
  <c r="S47" i="2"/>
  <c r="I4" i="2"/>
  <c r="W62" i="2"/>
  <c r="T72" i="2"/>
  <c r="R76" i="2"/>
  <c r="AG6" i="2"/>
  <c r="AE75" i="2"/>
  <c r="AC29" i="2"/>
  <c r="P79" i="2"/>
  <c r="R79" i="2"/>
  <c r="G64" i="2"/>
  <c r="AM50" i="2"/>
  <c r="G8" i="2"/>
  <c r="O44" i="2"/>
  <c r="AI66" i="2"/>
  <c r="U39" i="2"/>
  <c r="T53" i="2"/>
  <c r="M18" i="2"/>
  <c r="R29" i="2"/>
  <c r="AH42" i="2"/>
  <c r="AA55" i="2"/>
  <c r="L5" i="2"/>
  <c r="AD31" i="2"/>
  <c r="G6" i="2"/>
  <c r="X54" i="2"/>
  <c r="S19" i="2"/>
  <c r="AH24" i="2"/>
  <c r="AB74" i="2"/>
  <c r="S52" i="2"/>
  <c r="AK19" i="2"/>
  <c r="K15" i="2"/>
  <c r="I8" i="2"/>
  <c r="H48" i="2"/>
  <c r="K33" i="2"/>
  <c r="AK16" i="2"/>
  <c r="P62" i="2"/>
  <c r="AM22" i="2"/>
  <c r="I72" i="2"/>
  <c r="O42" i="2"/>
  <c r="AA54" i="2"/>
  <c r="AA42" i="2"/>
  <c r="I58" i="2"/>
  <c r="H6" i="2"/>
  <c r="H58" i="2"/>
  <c r="R12" i="2"/>
  <c r="N58" i="2"/>
  <c r="AM5" i="2"/>
  <c r="AE33" i="2"/>
  <c r="T63" i="2"/>
  <c r="G41" i="2"/>
  <c r="P7" i="2"/>
  <c r="AL46" i="2"/>
  <c r="AF55" i="2"/>
  <c r="V32" i="2"/>
  <c r="AA8" i="2"/>
  <c r="AK10" i="2"/>
  <c r="AM40" i="2"/>
  <c r="O28" i="2"/>
  <c r="S49" i="2"/>
  <c r="AD33" i="2"/>
  <c r="AC33" i="2"/>
  <c r="U56" i="2"/>
  <c r="AA33" i="2"/>
  <c r="AL10" i="2"/>
  <c r="K24" i="2"/>
  <c r="U35" i="2"/>
  <c r="W23" i="2"/>
  <c r="AG68" i="2"/>
  <c r="AG27" i="2"/>
  <c r="AJ77" i="2"/>
  <c r="AC23" i="2"/>
  <c r="AL24" i="2"/>
  <c r="I43" i="2"/>
  <c r="F44" i="2"/>
  <c r="P27" i="2"/>
  <c r="AL43" i="2"/>
  <c r="AB44" i="2"/>
  <c r="I39" i="2"/>
  <c r="AF60" i="2"/>
  <c r="E34" i="2"/>
  <c r="S77" i="2"/>
  <c r="S27" i="2"/>
  <c r="AI47" i="2"/>
  <c r="Z49" i="2"/>
  <c r="U59" i="2"/>
  <c r="P28" i="2"/>
  <c r="R26" i="2"/>
  <c r="AH10" i="2"/>
  <c r="Z21" i="2"/>
  <c r="Y5" i="2"/>
  <c r="AG55" i="2"/>
  <c r="AL56" i="2"/>
  <c r="AM13" i="2"/>
  <c r="H50" i="2"/>
  <c r="W60" i="2"/>
  <c r="AD54" i="2"/>
  <c r="AM41" i="2"/>
  <c r="E20" i="2"/>
  <c r="I7" i="2"/>
  <c r="K66" i="2"/>
  <c r="K6" i="2"/>
  <c r="W7" i="2"/>
  <c r="V35" i="2"/>
  <c r="J23" i="2"/>
  <c r="K67" i="2"/>
  <c r="AL50" i="2"/>
  <c r="M47" i="2"/>
  <c r="AJ18" i="2"/>
  <c r="AH27" i="2"/>
  <c r="AD24" i="2"/>
  <c r="F8" i="2"/>
  <c r="P77" i="2"/>
  <c r="Y16" i="2"/>
  <c r="AG20" i="2"/>
  <c r="E14" i="2"/>
  <c r="E55" i="2"/>
  <c r="AM31" i="2"/>
  <c r="V48" i="2"/>
  <c r="X70" i="2"/>
  <c r="S21" i="2"/>
  <c r="AD34" i="2"/>
  <c r="AC5" i="2"/>
  <c r="AB30" i="2"/>
  <c r="G80" i="2"/>
  <c r="E79" i="2"/>
  <c r="AB50" i="2"/>
  <c r="G69" i="2"/>
  <c r="K10" i="2"/>
  <c r="AH61" i="2"/>
  <c r="AK48" i="2"/>
  <c r="J38" i="2"/>
  <c r="T42" i="2"/>
  <c r="G23" i="2"/>
  <c r="X59" i="2"/>
  <c r="R20" i="2"/>
  <c r="AH13" i="2"/>
  <c r="J61" i="2"/>
  <c r="AG79" i="2"/>
  <c r="T69" i="2"/>
  <c r="S56" i="2"/>
  <c r="AC64" i="2"/>
  <c r="U8" i="2"/>
  <c r="S20" i="2"/>
  <c r="L76" i="2"/>
  <c r="AB56" i="2"/>
  <c r="AB26" i="2"/>
  <c r="P50" i="2"/>
  <c r="AA28" i="2"/>
  <c r="W35" i="2"/>
  <c r="AL60" i="2"/>
  <c r="W14" i="2"/>
  <c r="W50" i="2"/>
  <c r="V68" i="2"/>
  <c r="U57" i="2"/>
  <c r="Z30" i="2"/>
  <c r="AL12" i="2"/>
  <c r="T41" i="2"/>
  <c r="F50" i="2"/>
  <c r="AE49" i="2"/>
  <c r="AH46" i="2"/>
  <c r="Z79" i="2"/>
  <c r="X44" i="2"/>
  <c r="G44" i="2"/>
  <c r="G65" i="2"/>
  <c r="G18" i="2"/>
  <c r="R63" i="2"/>
  <c r="AF72" i="2"/>
  <c r="AI76" i="2"/>
  <c r="AK7" i="2"/>
  <c r="AI16" i="2"/>
  <c r="S18" i="2"/>
  <c r="Z58" i="2"/>
  <c r="H26" i="2"/>
  <c r="T45" i="2"/>
  <c r="Z29" i="2"/>
  <c r="K8" i="2"/>
  <c r="AG9" i="2"/>
  <c r="K36" i="2"/>
  <c r="J5" i="2"/>
  <c r="M50" i="2"/>
  <c r="AF21" i="2"/>
  <c r="AH26" i="2"/>
  <c r="E71" i="2"/>
  <c r="AB27" i="2"/>
  <c r="AB52" i="2"/>
  <c r="F15" i="2"/>
  <c r="AH71" i="2"/>
  <c r="I75" i="2"/>
  <c r="AB5" i="2"/>
  <c r="L69" i="2"/>
  <c r="AK35" i="2"/>
  <c r="AM8" i="2"/>
  <c r="AG21" i="2"/>
  <c r="R11" i="2"/>
  <c r="AM46" i="2"/>
  <c r="AD6" i="2"/>
  <c r="AA27" i="2"/>
  <c r="AC52" i="2"/>
  <c r="M17" i="2"/>
  <c r="H41" i="2"/>
  <c r="AI58" i="2"/>
  <c r="AL4" i="2"/>
  <c r="J32" i="2"/>
  <c r="G62" i="2"/>
  <c r="I48" i="2"/>
  <c r="AE43" i="2"/>
  <c r="AG73" i="2"/>
  <c r="F49" i="2"/>
  <c r="M13" i="2"/>
  <c r="W79" i="2"/>
  <c r="H20" i="2"/>
  <c r="AL36" i="2"/>
  <c r="U31" i="2"/>
  <c r="AL66" i="2"/>
  <c r="W16" i="2"/>
  <c r="AJ32" i="2"/>
  <c r="N80" i="2"/>
  <c r="AE4" i="2"/>
  <c r="AA16" i="2"/>
  <c r="R5" i="2"/>
  <c r="Y68" i="2"/>
  <c r="AH62" i="2"/>
  <c r="AK55" i="2"/>
  <c r="S7" i="2"/>
  <c r="K73" i="2"/>
  <c r="AH75" i="2"/>
  <c r="AI42" i="2"/>
  <c r="AI75" i="2"/>
  <c r="S8" i="2"/>
  <c r="K75" i="2"/>
  <c r="T38" i="2"/>
  <c r="AK64" i="2"/>
  <c r="S30" i="2"/>
  <c r="AG22" i="2"/>
  <c r="W6" i="2"/>
  <c r="P37" i="2"/>
  <c r="U51" i="2"/>
  <c r="X50" i="2"/>
  <c r="X45" i="2"/>
  <c r="F59" i="2"/>
  <c r="T54" i="2"/>
  <c r="L26" i="2"/>
  <c r="AL47" i="2"/>
  <c r="M19" i="2"/>
  <c r="AH60" i="2"/>
  <c r="AC38" i="2"/>
  <c r="I22" i="2"/>
  <c r="R70" i="2"/>
  <c r="AJ41" i="2"/>
  <c r="AD69" i="2"/>
  <c r="AD8" i="2"/>
  <c r="Z52" i="2"/>
  <c r="X69" i="2"/>
  <c r="V28" i="2"/>
  <c r="E40" i="2"/>
  <c r="AE23" i="2"/>
  <c r="AM56" i="2"/>
  <c r="AL19" i="2"/>
  <c r="AG24" i="2"/>
  <c r="AJ17" i="2"/>
  <c r="AG18" i="2"/>
  <c r="O45" i="2"/>
  <c r="AC17" i="2"/>
  <c r="T11" i="2"/>
  <c r="T32" i="2"/>
  <c r="AH43" i="2"/>
  <c r="AF29" i="2"/>
  <c r="L53" i="2"/>
  <c r="R66" i="2"/>
  <c r="I54" i="2"/>
  <c r="R41" i="2"/>
  <c r="AF8" i="2"/>
  <c r="AE17" i="2"/>
  <c r="AI60" i="2"/>
  <c r="AH8" i="2"/>
  <c r="I70" i="2"/>
  <c r="X35" i="2"/>
  <c r="W36" i="2"/>
  <c r="J45" i="2"/>
  <c r="AD66" i="2"/>
  <c r="V29" i="2"/>
  <c r="G63" i="2"/>
  <c r="N50" i="2"/>
  <c r="G66" i="2"/>
  <c r="K46" i="2"/>
  <c r="O67" i="2"/>
  <c r="AI40" i="2"/>
  <c r="L43" i="2"/>
  <c r="Y43" i="2"/>
  <c r="O12" i="2"/>
  <c r="Z15" i="2"/>
  <c r="T80" i="2"/>
  <c r="F48" i="2"/>
  <c r="AA15" i="2"/>
  <c r="AI32" i="2"/>
  <c r="AA69" i="2"/>
  <c r="U40" i="2"/>
  <c r="F76" i="2"/>
  <c r="AB70" i="2"/>
  <c r="S46" i="2"/>
  <c r="F9" i="2"/>
  <c r="H24" i="2"/>
  <c r="H74" i="2"/>
  <c r="P53" i="2"/>
  <c r="J52" i="2"/>
  <c r="M8" i="2"/>
  <c r="W40" i="2"/>
  <c r="S9" i="2"/>
  <c r="L57" i="2"/>
  <c r="N18" i="2"/>
  <c r="AB73" i="2"/>
  <c r="AJ28" i="2"/>
  <c r="H68" i="2"/>
  <c r="AK50" i="2"/>
  <c r="AC47" i="2"/>
  <c r="AB40" i="2"/>
  <c r="O72" i="2"/>
  <c r="AA23" i="2"/>
  <c r="G58" i="2"/>
  <c r="AF36" i="2"/>
  <c r="AH29" i="2"/>
  <c r="AK40" i="2"/>
  <c r="K23" i="2"/>
  <c r="AI64" i="2"/>
  <c r="L71" i="2"/>
  <c r="AD60" i="2"/>
  <c r="N74" i="2"/>
  <c r="AK79" i="2"/>
  <c r="Y15" i="2"/>
  <c r="AE19" i="2"/>
  <c r="Z28" i="2"/>
  <c r="O38" i="2"/>
  <c r="AF76" i="2"/>
  <c r="P9" i="2"/>
  <c r="N77" i="2"/>
  <c r="N28" i="2"/>
  <c r="O73" i="2"/>
  <c r="V23" i="2"/>
  <c r="AA19" i="2"/>
  <c r="AD48" i="2"/>
  <c r="Y73" i="2"/>
  <c r="O10" i="2"/>
  <c r="V47" i="2"/>
  <c r="AA40" i="2"/>
  <c r="M37" i="2"/>
  <c r="I79" i="2"/>
  <c r="R68" i="2"/>
  <c r="S43" i="2"/>
  <c r="AD16" i="2"/>
  <c r="M73" i="2"/>
  <c r="AG41" i="2"/>
  <c r="O31" i="2"/>
  <c r="V62" i="2"/>
  <c r="AE40" i="2"/>
  <c r="F31" i="2"/>
  <c r="AC54" i="2"/>
  <c r="AK41" i="2"/>
  <c r="R17" i="2"/>
  <c r="L36" i="2"/>
  <c r="S42" i="2"/>
  <c r="AM53" i="2"/>
  <c r="Z40" i="2"/>
  <c r="Z32" i="2"/>
  <c r="F25" i="2"/>
  <c r="X58" i="2"/>
  <c r="AK24" i="2"/>
  <c r="AA5" i="2"/>
  <c r="X30" i="2"/>
  <c r="AK20" i="2"/>
  <c r="AF9" i="2"/>
  <c r="K79" i="2"/>
  <c r="AG47" i="2"/>
  <c r="F14" i="2"/>
  <c r="J6" i="2"/>
  <c r="AD59" i="2"/>
  <c r="W11" i="2"/>
  <c r="AE56" i="2"/>
  <c r="P38" i="2"/>
  <c r="AJ37" i="2"/>
  <c r="AB43" i="2"/>
  <c r="AG11" i="2"/>
  <c r="V16" i="2"/>
  <c r="Y39" i="2"/>
  <c r="J19" i="2"/>
  <c r="T6" i="2"/>
  <c r="AC10" i="2"/>
  <c r="E30" i="2"/>
  <c r="AJ36" i="2"/>
  <c r="Z5" i="2"/>
  <c r="AM34" i="2"/>
  <c r="AB79" i="2"/>
  <c r="AC39" i="2"/>
  <c r="AI36" i="2"/>
  <c r="H34" i="2"/>
  <c r="M27" i="2"/>
  <c r="AB7" i="2"/>
  <c r="S24" i="2"/>
  <c r="AJ64" i="2"/>
  <c r="O33" i="2"/>
  <c r="AF50" i="2"/>
  <c r="AC50" i="2"/>
  <c r="AH40" i="2"/>
  <c r="AA11" i="2"/>
  <c r="AK9" i="2"/>
  <c r="R50" i="2"/>
  <c r="L28" i="2"/>
  <c r="Z42" i="2"/>
  <c r="P15" i="2"/>
  <c r="S38" i="2"/>
  <c r="AG61" i="2"/>
  <c r="W33" i="2"/>
  <c r="Z33" i="2"/>
  <c r="J75" i="2"/>
  <c r="AD79" i="2"/>
  <c r="Z34" i="2"/>
  <c r="AH22" i="2"/>
  <c r="E80" i="2"/>
  <c r="T59" i="2"/>
  <c r="AE42" i="2"/>
  <c r="M31" i="2"/>
  <c r="R10" i="2"/>
  <c r="AL13" i="2"/>
  <c r="H31" i="2"/>
  <c r="E57" i="2"/>
  <c r="AI22" i="2"/>
  <c r="AB63" i="2"/>
  <c r="AM29" i="2"/>
  <c r="V37" i="2"/>
  <c r="F72" i="2"/>
  <c r="K30" i="2"/>
  <c r="X53" i="2"/>
  <c r="Y38" i="2"/>
  <c r="AH18" i="2"/>
  <c r="T9" i="2"/>
  <c r="G5" i="2"/>
  <c r="K51" i="2"/>
  <c r="E33" i="2"/>
  <c r="N79" i="2"/>
  <c r="Y74" i="2"/>
  <c r="Y23" i="2"/>
  <c r="U30" i="2"/>
  <c r="I12" i="2"/>
  <c r="N32" i="2"/>
  <c r="V76" i="2"/>
  <c r="AF40" i="2"/>
  <c r="M11" i="2"/>
  <c r="U36" i="2"/>
  <c r="G33" i="2"/>
  <c r="E16" i="2"/>
  <c r="E9" i="2"/>
  <c r="AE48" i="2"/>
  <c r="AL34" i="2"/>
  <c r="AD30" i="2"/>
  <c r="P42" i="2"/>
  <c r="R37" i="2"/>
  <c r="R33" i="2"/>
  <c r="K43" i="2"/>
  <c r="AB25" i="2"/>
  <c r="X40" i="2"/>
  <c r="AC44" i="2"/>
  <c r="AL30" i="2"/>
  <c r="AD7" i="2"/>
  <c r="H29" i="2"/>
  <c r="AC36" i="2"/>
  <c r="R43" i="2"/>
  <c r="AJ38" i="2"/>
  <c r="X9" i="2"/>
  <c r="AD62" i="2"/>
  <c r="Z13" i="2"/>
  <c r="AL75" i="2"/>
  <c r="N20" i="2"/>
  <c r="AG15" i="2"/>
  <c r="W72" i="2"/>
  <c r="AL42" i="2"/>
  <c r="H46" i="2"/>
  <c r="W31" i="2"/>
  <c r="AH30" i="2"/>
  <c r="G78" i="2"/>
  <c r="H35" i="2"/>
  <c r="K35" i="2"/>
  <c r="U42" i="2"/>
  <c r="R13" i="2"/>
  <c r="AL52" i="2"/>
  <c r="W34" i="2"/>
  <c r="E32" i="2"/>
  <c r="O34" i="2"/>
  <c r="AA26" i="2"/>
  <c r="AB53" i="2"/>
  <c r="X38" i="2"/>
  <c r="O32" i="2"/>
  <c r="S29" i="2"/>
  <c r="J80" i="2"/>
  <c r="AF7" i="2"/>
  <c r="AJ79" i="2"/>
  <c r="AC56" i="2"/>
  <c r="AA47" i="2"/>
  <c r="H10" i="2"/>
  <c r="M16" i="2"/>
  <c r="AM20" i="2"/>
  <c r="P55" i="2"/>
  <c r="AC51" i="2"/>
  <c r="AA50" i="2"/>
  <c r="AE50" i="2"/>
  <c r="AD74" i="2"/>
  <c r="S11" i="2"/>
  <c r="T39" i="2"/>
  <c r="AK13" i="2"/>
  <c r="O41" i="2"/>
  <c r="N52" i="2"/>
  <c r="AG78" i="2"/>
  <c r="P73" i="2"/>
  <c r="H76" i="2"/>
  <c r="F10" i="2"/>
  <c r="U14" i="2"/>
  <c r="AK31" i="2"/>
  <c r="E24" i="2"/>
  <c r="AD46" i="2"/>
  <c r="Z65" i="2"/>
  <c r="AA29" i="2"/>
  <c r="V53" i="2"/>
  <c r="AD49" i="2"/>
  <c r="AH35" i="2"/>
  <c r="AC65" i="2"/>
  <c r="AG32" i="2"/>
  <c r="O13" i="2"/>
  <c r="H53" i="2"/>
  <c r="Z50" i="2"/>
  <c r="AB38" i="2"/>
  <c r="AH15" i="2"/>
  <c r="X43" i="2"/>
  <c r="AK29" i="2"/>
  <c r="AF53" i="2"/>
  <c r="N31" i="2"/>
  <c r="P70" i="2"/>
  <c r="AC67" i="2"/>
  <c r="F39" i="2"/>
  <c r="AA31" i="2"/>
  <c r="AF5" i="2"/>
  <c r="N6" i="2"/>
  <c r="K38" i="2"/>
  <c r="S25" i="2"/>
  <c r="AL21" i="2"/>
  <c r="J58" i="2"/>
  <c r="AF65" i="2"/>
  <c r="AM4" i="2"/>
  <c r="AG25" i="2"/>
  <c r="AI37" i="2"/>
  <c r="U22" i="2"/>
  <c r="P44" i="2"/>
  <c r="P68" i="2"/>
  <c r="W27" i="2"/>
  <c r="U11" i="2"/>
  <c r="AB8" i="2"/>
  <c r="R52" i="2"/>
  <c r="J26" i="2"/>
  <c r="AF24" i="2"/>
  <c r="AG8" i="2"/>
  <c r="V52" i="2"/>
  <c r="Z4" i="2"/>
  <c r="X55" i="2"/>
  <c r="AA75" i="2"/>
  <c r="AC69" i="2"/>
  <c r="X37" i="2"/>
  <c r="AK77" i="2"/>
  <c r="AB72" i="2"/>
  <c r="AB16" i="2"/>
  <c r="Z16" i="2"/>
  <c r="AB15" i="2"/>
  <c r="R27" i="2"/>
  <c r="AK70" i="2"/>
  <c r="F16" i="2"/>
  <c r="AD77" i="2"/>
  <c r="AH51" i="2"/>
  <c r="W73" i="2"/>
  <c r="AF58" i="2"/>
  <c r="N68" i="2"/>
  <c r="H47" i="2"/>
  <c r="AG57" i="2"/>
  <c r="E4" i="2"/>
  <c r="AL11" i="2"/>
  <c r="AB57" i="2"/>
  <c r="L37" i="2"/>
  <c r="L21" i="2"/>
  <c r="AD18" i="2"/>
  <c r="AJ15" i="2"/>
  <c r="L73" i="2"/>
  <c r="AL59" i="2"/>
  <c r="V59" i="2"/>
  <c r="I63" i="2"/>
  <c r="I23" i="2"/>
  <c r="AA32" i="2"/>
  <c r="X72" i="2"/>
  <c r="U58" i="2"/>
  <c r="X56" i="2"/>
  <c r="AF19" i="2"/>
  <c r="E61" i="2"/>
  <c r="J30" i="2"/>
  <c r="AF26" i="2"/>
  <c r="N66" i="2"/>
  <c r="I49" i="2"/>
  <c r="AL18" i="2"/>
  <c r="P21" i="2"/>
  <c r="AK51" i="2"/>
  <c r="R8" i="2"/>
  <c r="Y48" i="2"/>
  <c r="AE62" i="2"/>
  <c r="AC32" i="2"/>
  <c r="AA67" i="2"/>
  <c r="O11" i="2"/>
  <c r="P49" i="2"/>
  <c r="AJ49" i="2"/>
  <c r="N5" i="2"/>
  <c r="T40" i="2"/>
  <c r="G37" i="2"/>
  <c r="Y79" i="2"/>
  <c r="M52" i="2"/>
  <c r="X11" i="2"/>
  <c r="V67" i="2"/>
  <c r="F29" i="2"/>
  <c r="S57" i="2"/>
  <c r="AL71" i="2"/>
  <c r="M41" i="2"/>
  <c r="X36" i="2"/>
  <c r="AA34" i="2"/>
  <c r="M60" i="2"/>
  <c r="I13" i="2"/>
  <c r="I65" i="2"/>
  <c r="U79" i="2"/>
  <c r="P22" i="2"/>
  <c r="J73" i="2"/>
  <c r="S67" i="2"/>
  <c r="T66" i="2"/>
  <c r="M57" i="2"/>
  <c r="P16" i="2"/>
  <c r="S40" i="2"/>
  <c r="AC42" i="2"/>
  <c r="T60" i="2"/>
  <c r="AE72" i="2"/>
  <c r="F35" i="2"/>
  <c r="K50" i="2"/>
  <c r="F17" i="2"/>
  <c r="AB66" i="2"/>
  <c r="V58" i="2"/>
  <c r="AM80" i="2"/>
  <c r="L61" i="2"/>
  <c r="AI13" i="2"/>
  <c r="H43" i="2"/>
  <c r="R19" i="2"/>
  <c r="W54" i="2"/>
  <c r="Z41" i="2"/>
  <c r="AL33" i="2"/>
  <c r="G61" i="2"/>
  <c r="AH37" i="2"/>
  <c r="M65" i="2"/>
  <c r="O60" i="2"/>
  <c r="AF45" i="2"/>
  <c r="R49" i="2"/>
  <c r="T68" i="2"/>
  <c r="AA18" i="2"/>
  <c r="J79" i="2"/>
  <c r="M4" i="2"/>
  <c r="R55" i="2"/>
  <c r="AD26" i="2"/>
  <c r="AF22" i="2"/>
  <c r="X34" i="2"/>
  <c r="G51" i="2"/>
  <c r="Y64" i="2"/>
  <c r="AD10" i="2"/>
  <c r="AL32" i="2"/>
  <c r="AI39" i="2"/>
  <c r="N26" i="2"/>
  <c r="AG76" i="2"/>
  <c r="AH65" i="2"/>
  <c r="T49" i="2"/>
  <c r="T14" i="2"/>
  <c r="G43" i="2"/>
  <c r="AC18" i="2"/>
  <c r="AF62" i="2"/>
  <c r="I60" i="2"/>
  <c r="I66" i="2"/>
  <c r="Y51" i="2"/>
  <c r="W76" i="2"/>
  <c r="S68" i="2"/>
  <c r="U60" i="2"/>
  <c r="O4" i="2"/>
  <c r="F22" i="2"/>
  <c r="L40" i="2"/>
  <c r="AI6" i="2"/>
  <c r="T20" i="2"/>
  <c r="AH25" i="2"/>
  <c r="X64" i="2"/>
  <c r="Z55" i="2"/>
  <c r="L54" i="2"/>
  <c r="Y67" i="2"/>
  <c r="AB34" i="2"/>
  <c r="AA59" i="2"/>
  <c r="F45" i="2"/>
  <c r="U48" i="2"/>
  <c r="P64" i="2"/>
  <c r="S54" i="2"/>
  <c r="X15" i="2"/>
  <c r="Z60" i="2"/>
  <c r="Z39" i="2"/>
  <c r="R78" i="2"/>
  <c r="P11" i="2"/>
  <c r="AH73" i="2"/>
  <c r="J25" i="2"/>
  <c r="AK58" i="2"/>
  <c r="T58" i="2"/>
  <c r="X16" i="2"/>
  <c r="X20" i="2"/>
  <c r="N47" i="2"/>
  <c r="L12" i="2"/>
  <c r="H11" i="2"/>
  <c r="W53" i="2"/>
  <c r="V65" i="2"/>
  <c r="O9" i="2"/>
  <c r="Z72" i="2"/>
  <c r="K29" i="2"/>
  <c r="AM19" i="2"/>
  <c r="AC14" i="2"/>
  <c r="F24" i="2"/>
  <c r="E10" i="2"/>
  <c r="F21" i="2"/>
  <c r="AB71" i="2"/>
  <c r="S16" i="2"/>
  <c r="AB47" i="2"/>
  <c r="H75" i="2"/>
  <c r="T76" i="2"/>
  <c r="L13" i="2"/>
  <c r="U6" i="2"/>
  <c r="J13" i="2"/>
  <c r="AF66" i="2"/>
  <c r="AA65" i="2"/>
  <c r="K61" i="2"/>
  <c r="AL48" i="2"/>
  <c r="Z51" i="2"/>
  <c r="AJ73" i="2"/>
  <c r="H15" i="2"/>
  <c r="H25" i="2"/>
  <c r="V46" i="2"/>
  <c r="Y30" i="2"/>
  <c r="V21" i="2"/>
  <c r="AA63" i="2"/>
  <c r="AG13" i="2"/>
  <c r="Z45" i="2"/>
  <c r="J11" i="2"/>
  <c r="F41" i="2"/>
  <c r="E35" i="2"/>
  <c r="AI79" i="2"/>
  <c r="AL69" i="2"/>
  <c r="AE45" i="2"/>
  <c r="O59" i="2"/>
  <c r="AE51" i="2"/>
  <c r="AH5" i="2"/>
  <c r="AM30" i="2"/>
  <c r="AM69" i="2"/>
  <c r="U67" i="2"/>
  <c r="Y56" i="2"/>
  <c r="AI48" i="2"/>
  <c r="V51" i="2"/>
  <c r="G20" i="2"/>
  <c r="S58" i="2"/>
  <c r="Z14" i="2"/>
  <c r="AJ11" i="2"/>
  <c r="M64" i="2"/>
  <c r="F7" i="2"/>
  <c r="G10" i="2"/>
  <c r="P33" i="2"/>
  <c r="E28" i="2"/>
  <c r="AD73" i="2"/>
  <c r="L58" i="2"/>
  <c r="K70" i="2"/>
  <c r="E6" i="2"/>
  <c r="F62" i="2"/>
  <c r="AB51" i="2"/>
  <c r="M63" i="2"/>
  <c r="P10" i="2"/>
  <c r="W70" i="2"/>
  <c r="AF70" i="2"/>
  <c r="I47" i="2"/>
  <c r="AD36" i="2"/>
  <c r="AG77" i="2"/>
  <c r="H8" i="2"/>
  <c r="N49" i="2"/>
  <c r="T56" i="2"/>
  <c r="W45" i="2"/>
  <c r="K57" i="2"/>
  <c r="T67" i="2"/>
  <c r="AC24" i="2"/>
  <c r="O19" i="2"/>
  <c r="V40" i="2"/>
  <c r="G49" i="2"/>
  <c r="L22" i="2"/>
  <c r="W44" i="2"/>
  <c r="P8" i="2"/>
  <c r="K54" i="2"/>
  <c r="U69" i="2"/>
  <c r="V79" i="2"/>
  <c r="U70" i="2"/>
  <c r="G16" i="2"/>
  <c r="T57" i="2"/>
  <c r="AE52" i="2"/>
  <c r="AA52" i="2"/>
  <c r="U10" i="2"/>
  <c r="AD64" i="2"/>
  <c r="AJ46" i="2"/>
  <c r="K62" i="2"/>
  <c r="AL45" i="2"/>
  <c r="AE14" i="2"/>
  <c r="T17" i="2"/>
  <c r="AI50" i="2"/>
  <c r="AL27" i="2"/>
  <c r="K31" i="2"/>
  <c r="G14" i="2"/>
  <c r="AF74" i="2"/>
  <c r="AJ80" i="2"/>
  <c r="J22" i="2"/>
  <c r="O23" i="2"/>
  <c r="AC57" i="2"/>
  <c r="N73" i="2"/>
  <c r="F58" i="2"/>
  <c r="AM66" i="2"/>
  <c r="AI11" i="2"/>
  <c r="U71" i="2"/>
  <c r="T25" i="2"/>
  <c r="AG42" i="2"/>
  <c r="S32" i="2"/>
  <c r="S51" i="2"/>
  <c r="AB58" i="2"/>
  <c r="J62" i="2"/>
  <c r="AM23" i="2"/>
  <c r="AA12" i="2"/>
  <c r="E37" i="2"/>
  <c r="G77" i="2"/>
  <c r="F51" i="2"/>
  <c r="Y44" i="2"/>
  <c r="W38" i="2"/>
  <c r="T37" i="2"/>
  <c r="Z69" i="2"/>
  <c r="L18" i="2"/>
  <c r="N19" i="2"/>
  <c r="T47" i="2"/>
  <c r="I30" i="2"/>
  <c r="U47" i="2"/>
  <c r="Y31" i="2"/>
  <c r="W32" i="2"/>
  <c r="W69" i="2"/>
  <c r="N60" i="2"/>
  <c r="M26" i="2"/>
  <c r="AL35" i="2"/>
  <c r="AI15" i="2"/>
  <c r="S64" i="2"/>
  <c r="Y33" i="2"/>
  <c r="G12" i="2"/>
  <c r="AJ16" i="2"/>
  <c r="AI44" i="2"/>
  <c r="AC43" i="2"/>
  <c r="AI8" i="2"/>
  <c r="J36" i="2"/>
  <c r="AF31" i="2"/>
  <c r="AE7" i="2"/>
  <c r="T8" i="2"/>
  <c r="K64" i="2"/>
  <c r="O43" i="2"/>
  <c r="AL74" i="2"/>
  <c r="R48" i="2"/>
  <c r="J53" i="2"/>
  <c r="M15" i="2"/>
  <c r="AL23" i="2"/>
  <c r="L41" i="2"/>
  <c r="T16" i="2"/>
  <c r="AM57" i="2"/>
  <c r="AE12" i="2"/>
  <c r="AF37" i="2"/>
  <c r="V72" i="2"/>
  <c r="F69" i="2"/>
  <c r="M34" i="2"/>
  <c r="N4" i="2"/>
  <c r="W41" i="2"/>
  <c r="AI34" i="2"/>
  <c r="R60" i="2"/>
  <c r="AL80" i="2"/>
  <c r="AA49" i="2"/>
  <c r="V31" i="2"/>
  <c r="K72" i="2"/>
  <c r="O29" i="2"/>
  <c r="AL51" i="2"/>
  <c r="AH36" i="2"/>
  <c r="X25" i="2"/>
  <c r="AH52" i="2"/>
  <c r="AC72" i="2"/>
  <c r="X39" i="2"/>
  <c r="K40" i="2"/>
  <c r="AI52" i="2"/>
  <c r="AM28" i="2"/>
  <c r="AC75" i="2"/>
  <c r="AH68" i="2"/>
  <c r="G48" i="2"/>
  <c r="V25" i="2"/>
  <c r="AE36" i="2"/>
  <c r="AI20" i="2"/>
  <c r="AK33" i="2"/>
  <c r="R40" i="2"/>
  <c r="AC19" i="2"/>
  <c r="AM70" i="2"/>
  <c r="M71" i="2"/>
  <c r="P39" i="2"/>
  <c r="I64" i="2"/>
  <c r="AM11" i="2"/>
  <c r="E47" i="2"/>
  <c r="O22" i="2"/>
  <c r="W61" i="2"/>
  <c r="P45" i="2"/>
  <c r="N16" i="2"/>
  <c r="AH53" i="2"/>
  <c r="Y27" i="2"/>
  <c r="Y18" i="2"/>
  <c r="AK72" i="2"/>
  <c r="K9" i="2"/>
  <c r="AF47" i="2"/>
  <c r="H28" i="2"/>
  <c r="AH74" i="2"/>
  <c r="AC15" i="2"/>
  <c r="M46" i="2"/>
  <c r="J8" i="2"/>
  <c r="AG64" i="2"/>
  <c r="AC53" i="2"/>
  <c r="W21" i="2"/>
  <c r="AH44" i="2"/>
  <c r="N33" i="2"/>
  <c r="O46" i="2"/>
  <c r="J67" i="2"/>
  <c r="W59" i="2"/>
  <c r="AB41" i="2"/>
  <c r="V8" i="2"/>
  <c r="AJ26" i="2"/>
  <c r="R34" i="2"/>
  <c r="L42" i="2"/>
  <c r="P18" i="2"/>
  <c r="P63" i="2"/>
  <c r="Y6" i="2"/>
  <c r="T29" i="2"/>
  <c r="K27" i="2"/>
  <c r="AB55" i="2"/>
  <c r="K48" i="2"/>
  <c r="AE16" i="2"/>
  <c r="I67" i="2"/>
  <c r="S6" i="2"/>
  <c r="AE22" i="2"/>
  <c r="R21" i="2"/>
  <c r="AF12" i="2"/>
  <c r="J71" i="2"/>
  <c r="G42" i="2"/>
  <c r="M59" i="2"/>
  <c r="AL68" i="2"/>
  <c r="E23" i="2"/>
  <c r="J64" i="2"/>
  <c r="AG59" i="2"/>
  <c r="E21" i="2"/>
  <c r="N10" i="2"/>
  <c r="R61" i="2"/>
  <c r="L31" i="2"/>
  <c r="N67" i="2"/>
  <c r="AI55" i="2"/>
  <c r="AK74" i="2"/>
  <c r="G39" i="2"/>
  <c r="X79" i="2"/>
  <c r="V39" i="2"/>
  <c r="AE67" i="2"/>
  <c r="AK17" i="2"/>
  <c r="P40" i="2"/>
  <c r="AM78" i="2"/>
  <c r="AF68" i="2"/>
  <c r="AC71" i="2"/>
  <c r="E18" i="2"/>
  <c r="S48" i="2"/>
  <c r="AM75" i="2"/>
  <c r="E36" i="2"/>
  <c r="AA4" i="2"/>
  <c r="K41" i="2"/>
  <c r="G74" i="2"/>
  <c r="AF44" i="2"/>
  <c r="U65" i="2"/>
  <c r="G60" i="2"/>
  <c r="O35" i="2"/>
  <c r="AK80" i="2"/>
  <c r="AD13" i="2"/>
  <c r="H32" i="2"/>
  <c r="M67" i="2"/>
  <c r="AK63" i="2"/>
  <c r="G27" i="2"/>
  <c r="M20" i="2"/>
  <c r="G46" i="2"/>
  <c r="I68" i="2"/>
  <c r="M49" i="2"/>
  <c r="E62" i="2"/>
  <c r="AI74" i="2"/>
  <c r="R72" i="2"/>
  <c r="V38" i="2"/>
  <c r="Y77" i="2"/>
  <c r="P78" i="2"/>
  <c r="V74" i="2"/>
  <c r="Y61" i="2"/>
  <c r="M62" i="2"/>
  <c r="AL78" i="2"/>
  <c r="P75" i="2"/>
  <c r="I71" i="2"/>
  <c r="X61" i="2"/>
  <c r="AB18" i="2"/>
  <c r="N27" i="2"/>
  <c r="AG31" i="2"/>
  <c r="Y50" i="2"/>
  <c r="W30" i="2"/>
  <c r="X24" i="2"/>
  <c r="U21" i="2"/>
  <c r="L6" i="2"/>
  <c r="K37" i="2"/>
  <c r="S45" i="2"/>
  <c r="AK78" i="2"/>
  <c r="V70" i="2"/>
  <c r="F28" i="2"/>
  <c r="AI46" i="2"/>
  <c r="P23" i="2"/>
  <c r="H22" i="2"/>
  <c r="AF38" i="2"/>
  <c r="R69" i="2"/>
  <c r="I28" i="2"/>
  <c r="AA39" i="2"/>
  <c r="N44" i="2"/>
  <c r="V64" i="2"/>
  <c r="Z37" i="2"/>
  <c r="P29" i="2"/>
  <c r="V22" i="2"/>
  <c r="L7" i="2"/>
  <c r="AJ39" i="2"/>
  <c r="AM33" i="2"/>
  <c r="O36" i="2"/>
  <c r="AI14" i="2"/>
  <c r="AB21" i="2"/>
  <c r="AI21" i="2"/>
  <c r="L20" i="2"/>
  <c r="AE73" i="2"/>
  <c r="AD25" i="2"/>
  <c r="I11" i="2"/>
  <c r="E65" i="2"/>
  <c r="AJ59" i="2"/>
  <c r="S33" i="2"/>
  <c r="W42" i="2"/>
  <c r="AE64" i="2"/>
  <c r="J55" i="2"/>
  <c r="AE54" i="2"/>
  <c r="L23" i="2"/>
  <c r="V7" i="2"/>
  <c r="G15" i="2"/>
  <c r="O40" i="2"/>
  <c r="E43" i="2"/>
  <c r="U62" i="2"/>
  <c r="AI24" i="2"/>
  <c r="J21" i="2"/>
  <c r="T70" i="2"/>
  <c r="L16" i="2"/>
  <c r="I77" i="2"/>
  <c r="U44" i="2"/>
  <c r="Z48" i="2"/>
  <c r="AH31" i="2"/>
  <c r="E54" i="2"/>
  <c r="M58" i="2"/>
  <c r="N61" i="2"/>
  <c r="AI77" i="2"/>
  <c r="AH6" i="2"/>
  <c r="Y29" i="2"/>
  <c r="N9" i="2"/>
  <c r="I9" i="2"/>
  <c r="L44" i="2"/>
  <c r="U37" i="2"/>
  <c r="J28" i="2"/>
  <c r="H65" i="2"/>
  <c r="O74" i="2"/>
  <c r="U43" i="2"/>
  <c r="V9" i="2"/>
  <c r="E49" i="2"/>
  <c r="E68" i="2"/>
  <c r="L79" i="2"/>
  <c r="AL26" i="2"/>
  <c r="R14" i="2"/>
  <c r="AJ10" i="2"/>
  <c r="M22" i="2"/>
  <c r="M35" i="2"/>
  <c r="AF32" i="2"/>
  <c r="AJ44" i="2"/>
  <c r="F32" i="2"/>
  <c r="Z56" i="2"/>
  <c r="AJ47" i="2"/>
  <c r="AE61" i="2"/>
  <c r="L47" i="2"/>
  <c r="T62" i="2"/>
  <c r="V71" i="2"/>
  <c r="AI67" i="2"/>
  <c r="N38" i="2"/>
  <c r="Z53" i="2"/>
  <c r="Z18" i="2"/>
  <c r="P54" i="2"/>
  <c r="N24" i="2"/>
  <c r="I52" i="2"/>
  <c r="L14" i="2"/>
  <c r="T43" i="2"/>
  <c r="P36" i="2"/>
  <c r="J50" i="2"/>
  <c r="I69" i="2"/>
  <c r="E74" i="2"/>
  <c r="I18" i="2"/>
  <c r="I33" i="2"/>
  <c r="Z66" i="2"/>
  <c r="AC21" i="2"/>
  <c r="O58" i="2"/>
  <c r="L35" i="2"/>
  <c r="AK75" i="2"/>
  <c r="T48" i="2"/>
  <c r="Y65" i="2"/>
  <c r="V61" i="2"/>
  <c r="AF18" i="2"/>
  <c r="T44" i="2"/>
  <c r="AD43" i="2"/>
  <c r="F52" i="2"/>
  <c r="AK49" i="2"/>
  <c r="AC25" i="2"/>
  <c r="J56" i="2"/>
  <c r="Y34" i="2"/>
  <c r="AH69" i="2"/>
  <c r="AD40" i="2"/>
  <c r="R30" i="2"/>
  <c r="I50" i="2"/>
  <c r="N69" i="2"/>
  <c r="AL57" i="2"/>
  <c r="H18" i="2"/>
  <c r="Z80" i="2"/>
  <c r="AF73" i="2"/>
  <c r="AH72" i="2"/>
  <c r="Y62" i="2"/>
  <c r="AH34" i="2"/>
  <c r="W8" i="2"/>
  <c r="G17" i="2"/>
  <c r="W48" i="2"/>
  <c r="J63" i="2"/>
  <c r="AG30" i="2"/>
  <c r="AA17" i="2"/>
  <c r="N78" i="2"/>
  <c r="T21" i="2"/>
  <c r="AL22" i="2"/>
  <c r="AD72" i="2"/>
  <c r="AB46" i="2"/>
  <c r="F12" i="2"/>
  <c r="J74" i="2"/>
  <c r="AA36" i="2"/>
  <c r="J17" i="2"/>
  <c r="S26" i="2"/>
  <c r="AG36" i="2"/>
  <c r="AB45" i="2"/>
  <c r="F43" i="2"/>
  <c r="Y58" i="2"/>
  <c r="AK52" i="2"/>
  <c r="U72" i="2"/>
  <c r="AE20" i="2"/>
  <c r="AJ66" i="2"/>
  <c r="AK76" i="2"/>
  <c r="S37" i="2"/>
  <c r="AC45" i="2"/>
  <c r="G54" i="2"/>
  <c r="M77" i="2"/>
  <c r="M28" i="2"/>
  <c r="H45" i="2"/>
  <c r="AK66" i="2"/>
  <c r="AM6" i="2"/>
  <c r="AG51" i="2"/>
  <c r="X60" i="2"/>
  <c r="AL63" i="2"/>
  <c r="AB6" i="2"/>
  <c r="F75" i="2"/>
  <c r="J47" i="2"/>
  <c r="AK28" i="2"/>
  <c r="AE35" i="2"/>
  <c r="M36" i="2"/>
  <c r="X42" i="2"/>
  <c r="U16" i="2"/>
  <c r="X68" i="2"/>
  <c r="O6" i="2"/>
  <c r="AC6" i="2"/>
  <c r="I40" i="2"/>
  <c r="AC59" i="2"/>
  <c r="AA53" i="2"/>
  <c r="N23" i="2"/>
  <c r="AF20" i="2"/>
  <c r="AJ48" i="2"/>
  <c r="AM54" i="2"/>
  <c r="E60" i="2"/>
  <c r="Y25" i="2"/>
  <c r="AD71" i="2"/>
  <c r="AI54" i="2"/>
  <c r="AL49" i="2"/>
  <c r="AC49" i="2"/>
  <c r="Y59" i="2"/>
  <c r="H63" i="2"/>
  <c r="S50" i="2"/>
  <c r="AH67" i="2"/>
  <c r="G67" i="2"/>
  <c r="AC41" i="2"/>
  <c r="E63" i="2"/>
  <c r="R73" i="2"/>
  <c r="AJ25" i="2"/>
  <c r="AJ30" i="2"/>
  <c r="AG65" i="2"/>
  <c r="AL9" i="2"/>
  <c r="Z11" i="2"/>
  <c r="L45" i="2"/>
  <c r="AC61" i="2"/>
  <c r="AC8" i="2"/>
  <c r="AE8" i="2"/>
  <c r="H44" i="2"/>
  <c r="AM48" i="2"/>
  <c r="K59" i="2"/>
  <c r="AE46" i="2"/>
  <c r="AM9" i="2"/>
  <c r="AD14" i="2"/>
  <c r="J57" i="2"/>
  <c r="AH47" i="2"/>
  <c r="P46" i="2"/>
  <c r="I21" i="2"/>
  <c r="N42" i="2"/>
  <c r="U63" i="2"/>
  <c r="F71" i="2"/>
  <c r="P4" i="2"/>
  <c r="J59" i="2"/>
  <c r="Y75" i="2"/>
  <c r="AG60" i="2"/>
  <c r="X63" i="2"/>
  <c r="AI29" i="2"/>
  <c r="P74" i="2"/>
  <c r="W75" i="2"/>
  <c r="I56" i="2"/>
  <c r="L29" i="2"/>
  <c r="AG58" i="2"/>
  <c r="I38" i="2"/>
  <c r="G53" i="2"/>
  <c r="AL37" i="2"/>
  <c r="Y11" i="2"/>
  <c r="AC26" i="2"/>
  <c r="AM62" i="2"/>
  <c r="AE44" i="2"/>
  <c r="AF16" i="2"/>
  <c r="AH4" i="2"/>
  <c r="F63" i="2"/>
  <c r="F36" i="2"/>
  <c r="N63" i="2"/>
  <c r="U7" i="2"/>
  <c r="W49" i="2"/>
  <c r="U55" i="2"/>
  <c r="AD56" i="2"/>
  <c r="R32" i="2"/>
  <c r="W66" i="2"/>
  <c r="AG80" i="2"/>
  <c r="L4" i="2"/>
  <c r="AE9" i="2"/>
  <c r="E72" i="2"/>
  <c r="P72" i="2"/>
  <c r="AM49" i="2"/>
  <c r="AD63" i="2"/>
  <c r="M75" i="2"/>
  <c r="P51" i="2"/>
  <c r="AB59" i="2"/>
  <c r="AD23" i="2"/>
  <c r="K19" i="2"/>
  <c r="L51" i="2"/>
  <c r="P57" i="2"/>
  <c r="N64" i="2"/>
  <c r="AF30" i="2"/>
  <c r="G75" i="2"/>
  <c r="AD47" i="2"/>
  <c r="AE65" i="2"/>
  <c r="AA21" i="2"/>
  <c r="AK62" i="2"/>
  <c r="AH63" i="2"/>
  <c r="G9" i="2"/>
  <c r="AJ61" i="2"/>
  <c r="N51" i="2"/>
  <c r="T10" i="2"/>
  <c r="W12" i="2"/>
  <c r="G28" i="2"/>
  <c r="U9" i="2"/>
  <c r="AB14" i="2"/>
  <c r="E11" i="2"/>
  <c r="AC80" i="2"/>
  <c r="E12" i="2"/>
  <c r="W5" i="2"/>
  <c r="AD38" i="2"/>
  <c r="AF78" i="2"/>
  <c r="P5" i="2"/>
  <c r="AI70" i="2"/>
  <c r="P31" i="2"/>
  <c r="AF80" i="2"/>
  <c r="F64" i="2"/>
  <c r="AA76" i="2"/>
  <c r="AJ62" i="2"/>
  <c r="O37" i="2"/>
  <c r="K58" i="2"/>
  <c r="AJ14" i="2"/>
  <c r="AK57" i="2"/>
  <c r="W26" i="2"/>
  <c r="AB24" i="2"/>
  <c r="V55" i="2"/>
  <c r="O63" i="2"/>
  <c r="AB67" i="2"/>
  <c r="S80" i="2"/>
  <c r="AI18" i="2"/>
  <c r="L70" i="2"/>
  <c r="O16" i="2"/>
  <c r="U64" i="2"/>
  <c r="K63" i="2"/>
  <c r="S61" i="2"/>
  <c r="AD78" i="2"/>
  <c r="AI38" i="2"/>
  <c r="AJ68" i="2"/>
  <c r="J34" i="2"/>
  <c r="AF67" i="2"/>
  <c r="AD27" i="2"/>
  <c r="P14" i="2"/>
  <c r="X17" i="2"/>
  <c r="L17" i="2"/>
  <c r="AK68" i="2"/>
  <c r="AE38" i="2"/>
  <c r="P19" i="2"/>
  <c r="AF64" i="2"/>
  <c r="AE69" i="2"/>
  <c r="M69" i="2"/>
  <c r="AK43" i="2"/>
  <c r="AJ53" i="2"/>
  <c r="S63" i="2"/>
  <c r="J77" i="2"/>
  <c r="M76" i="2"/>
  <c r="AI10" i="2"/>
  <c r="K80" i="2"/>
  <c r="X5" i="2"/>
  <c r="V24" i="2"/>
  <c r="N48" i="2"/>
  <c r="AG56" i="2"/>
  <c r="AA60" i="2"/>
  <c r="H67" i="2"/>
  <c r="G25" i="2"/>
  <c r="U28" i="2"/>
  <c r="V57" i="2"/>
  <c r="X29" i="2"/>
  <c r="AF11" i="2"/>
  <c r="AD5" i="2"/>
  <c r="AB17" i="2"/>
  <c r="S28" i="2"/>
  <c r="R42" i="2"/>
  <c r="V27" i="2"/>
  <c r="AM14" i="2"/>
  <c r="AD58" i="2"/>
  <c r="AC74" i="2"/>
  <c r="AL54" i="2"/>
  <c r="R24" i="2"/>
  <c r="AM24" i="2"/>
  <c r="U73" i="2"/>
  <c r="AL39" i="2"/>
  <c r="L34" i="2"/>
  <c r="X22" i="2"/>
  <c r="W22" i="2"/>
  <c r="K39" i="2"/>
  <c r="Z19" i="2"/>
  <c r="M80" i="2"/>
  <c r="P41" i="2"/>
  <c r="T15" i="2"/>
  <c r="F61" i="2"/>
  <c r="V42" i="2"/>
  <c r="N25" i="2"/>
  <c r="AC31" i="2"/>
  <c r="Y71" i="2"/>
  <c r="AF52" i="2"/>
  <c r="AJ19" i="2"/>
  <c r="F34" i="2"/>
  <c r="H64" i="2"/>
  <c r="S15" i="2"/>
  <c r="Z61" i="2"/>
  <c r="O65" i="2"/>
  <c r="AK25" i="2"/>
  <c r="AH76" i="2"/>
  <c r="AK5" i="2"/>
  <c r="W77" i="2"/>
  <c r="AI49" i="2"/>
  <c r="AJ50" i="2"/>
  <c r="AI35" i="2"/>
  <c r="L24" i="2"/>
  <c r="W71" i="2"/>
  <c r="AG14" i="2"/>
  <c r="O24" i="2"/>
  <c r="Y46" i="2"/>
  <c r="I51" i="2"/>
  <c r="H33" i="2"/>
  <c r="T75" i="2"/>
  <c r="AB60" i="2"/>
  <c r="AC58" i="2"/>
  <c r="Y12" i="2"/>
  <c r="H21" i="2"/>
  <c r="L8" i="2"/>
  <c r="AB4" i="2"/>
  <c r="M25" i="2"/>
  <c r="V44" i="2"/>
  <c r="AI59" i="2"/>
  <c r="AF6" i="2"/>
  <c r="AD50" i="2"/>
  <c r="U25" i="2"/>
  <c r="N45" i="2"/>
  <c r="T19" i="2"/>
  <c r="L78" i="2"/>
  <c r="Y13" i="2"/>
  <c r="E52" i="2"/>
  <c r="J60" i="2"/>
  <c r="AE78" i="2"/>
  <c r="AM68" i="2"/>
  <c r="G30" i="2"/>
  <c r="I61" i="2"/>
  <c r="R64" i="2"/>
  <c r="T7" i="2"/>
  <c r="O62" i="2"/>
  <c r="I78" i="2"/>
  <c r="AA45" i="2"/>
  <c r="V11" i="2"/>
  <c r="AK60" i="2"/>
  <c r="J16" i="2"/>
  <c r="AJ42" i="2"/>
  <c r="AG63" i="2"/>
  <c r="AG10" i="2"/>
  <c r="AJ51" i="2"/>
  <c r="F60" i="2"/>
  <c r="R31" i="2"/>
  <c r="N15" i="2"/>
  <c r="E66" i="2"/>
  <c r="AK38" i="2"/>
  <c r="AJ34" i="2"/>
  <c r="V18" i="2"/>
  <c r="S60" i="2"/>
  <c r="AL79" i="2"/>
  <c r="K22" i="2"/>
  <c r="J44" i="2"/>
  <c r="H23" i="2"/>
  <c r="R25" i="2"/>
  <c r="U34" i="2"/>
  <c r="S14" i="2"/>
  <c r="L48" i="2"/>
  <c r="Z31" i="2"/>
  <c r="AL15" i="2"/>
  <c r="N57" i="2"/>
  <c r="AJ76" i="2"/>
  <c r="E75" i="2"/>
  <c r="AK67" i="2"/>
  <c r="AB35" i="2"/>
  <c r="R46" i="2"/>
  <c r="AJ52" i="2"/>
  <c r="S31" i="2"/>
  <c r="AM18" i="2"/>
  <c r="AL76" i="2"/>
  <c r="U27" i="2"/>
  <c r="S55" i="2"/>
  <c r="S70" i="2"/>
  <c r="V20" i="2"/>
  <c r="AA41" i="2"/>
  <c r="J51" i="2"/>
  <c r="L11" i="2"/>
  <c r="R74" i="2"/>
  <c r="I76" i="2"/>
  <c r="S39" i="2"/>
  <c r="AA37" i="2"/>
  <c r="I44" i="2"/>
  <c r="Z73" i="2"/>
  <c r="AL25" i="2"/>
  <c r="AI72" i="2"/>
  <c r="H30" i="2"/>
  <c r="L72" i="2"/>
  <c r="AK39" i="2"/>
  <c r="T73" i="2"/>
  <c r="U61" i="2"/>
  <c r="N21" i="2"/>
  <c r="V56" i="2"/>
  <c r="S12" i="2"/>
  <c r="O76" i="2"/>
  <c r="AK46" i="2"/>
  <c r="M66" i="2"/>
  <c r="J33" i="2"/>
  <c r="AC55" i="2"/>
  <c r="AK65" i="2"/>
  <c r="AJ71" i="2"/>
  <c r="G71" i="2"/>
  <c r="K32" i="2"/>
  <c r="S66" i="2"/>
  <c r="AC40" i="2"/>
  <c r="W17" i="2"/>
  <c r="AF25" i="2"/>
  <c r="H7" i="2"/>
  <c r="R59" i="2"/>
  <c r="Z7" i="2"/>
  <c r="X8" i="2"/>
  <c r="X51" i="2"/>
  <c r="I41" i="2"/>
  <c r="AB68" i="2"/>
  <c r="T34" i="2"/>
  <c r="R16" i="2"/>
  <c r="AC77" i="2"/>
  <c r="AL5" i="2"/>
  <c r="AM25" i="2"/>
  <c r="AJ56" i="2"/>
  <c r="S76" i="2"/>
  <c r="R6" i="2"/>
  <c r="AJ20" i="2"/>
  <c r="AG4" i="2"/>
  <c r="F77" i="2"/>
  <c r="W51" i="2"/>
  <c r="T71" i="2"/>
  <c r="AD20" i="2"/>
  <c r="I59" i="2"/>
  <c r="X32" i="2"/>
  <c r="J12" i="2"/>
  <c r="M43" i="2"/>
  <c r="L62" i="2"/>
  <c r="Z68" i="2"/>
  <c r="W13" i="2"/>
  <c r="T13" i="2"/>
  <c r="AD32" i="2"/>
  <c r="N71" i="2"/>
  <c r="J31" i="2"/>
  <c r="L67" i="2"/>
  <c r="F57" i="2"/>
  <c r="AK44" i="2"/>
  <c r="L77" i="2"/>
  <c r="F18" i="2"/>
  <c r="M56" i="2"/>
  <c r="AE76" i="2"/>
  <c r="AE37" i="2"/>
  <c r="AL17" i="2"/>
  <c r="AL64" i="2"/>
  <c r="X46" i="2"/>
  <c r="AH39" i="2"/>
  <c r="O75" i="2"/>
  <c r="W37" i="2"/>
  <c r="H59" i="2"/>
  <c r="W29" i="2"/>
  <c r="T18" i="2"/>
  <c r="U74" i="2"/>
  <c r="L19" i="2"/>
  <c r="AH33" i="2"/>
  <c r="H16" i="2"/>
  <c r="AH28" i="2"/>
  <c r="T27" i="2"/>
  <c r="L30" i="2"/>
  <c r="AM52" i="2"/>
  <c r="AA9" i="2"/>
  <c r="AC22" i="2"/>
  <c r="N34" i="2"/>
  <c r="H9" i="2"/>
  <c r="AD80" i="2"/>
  <c r="AK32" i="2"/>
  <c r="L59" i="2"/>
  <c r="K21" i="2"/>
  <c r="AE13" i="2"/>
  <c r="I27" i="2"/>
  <c r="P58" i="2"/>
  <c r="AK73" i="2"/>
  <c r="G29" i="2"/>
  <c r="AE80" i="2"/>
  <c r="R38" i="2"/>
  <c r="P47" i="2"/>
  <c r="O79" i="2"/>
  <c r="V78" i="2"/>
  <c r="AE79" i="2"/>
  <c r="AE15" i="2"/>
  <c r="AC68" i="2"/>
  <c r="AK42" i="2"/>
  <c r="AB49" i="2"/>
  <c r="I6" i="2"/>
  <c r="E19" i="2"/>
  <c r="AD76" i="2"/>
  <c r="M39" i="2"/>
  <c r="AB29" i="2"/>
  <c r="P26" i="2"/>
  <c r="AG39" i="2"/>
  <c r="AE77" i="2"/>
  <c r="AB23" i="2"/>
  <c r="L32" i="2"/>
  <c r="AA62" i="2"/>
  <c r="E64" i="2"/>
  <c r="AA6" i="2"/>
  <c r="AM16" i="2"/>
  <c r="O15" i="2"/>
  <c r="AD12" i="2"/>
  <c r="S23" i="2"/>
  <c r="L50" i="2"/>
  <c r="AJ29" i="2"/>
  <c r="F54" i="2"/>
  <c r="U20" i="2"/>
  <c r="AC13" i="2"/>
  <c r="K45" i="2"/>
  <c r="N11" i="2"/>
  <c r="AC48" i="2"/>
  <c r="S65" i="2"/>
  <c r="K68" i="2"/>
  <c r="V15" i="2"/>
  <c r="T5" i="2"/>
  <c r="I19" i="2"/>
  <c r="X13" i="2"/>
  <c r="Y54" i="2"/>
  <c r="V60" i="2"/>
  <c r="AB78" i="2"/>
  <c r="AL55" i="2"/>
  <c r="I34" i="2"/>
  <c r="AJ58" i="2"/>
  <c r="E69" i="2"/>
  <c r="AD21" i="2"/>
  <c r="AB69" i="2"/>
  <c r="AG71" i="2"/>
  <c r="AI41" i="2"/>
  <c r="O78" i="2"/>
  <c r="G52" i="2"/>
  <c r="O49" i="2"/>
  <c r="K5" i="2"/>
  <c r="I20" i="2"/>
  <c r="E17" i="2"/>
  <c r="AG37" i="2"/>
  <c r="Y70" i="2"/>
  <c r="AH11" i="2"/>
  <c r="J4" i="2"/>
  <c r="V75" i="2"/>
  <c r="F20" i="2"/>
  <c r="AH66" i="2"/>
  <c r="AJ7" i="2"/>
  <c r="AM26" i="2"/>
  <c r="E13" i="2"/>
  <c r="N8" i="2"/>
  <c r="O5" i="2"/>
  <c r="AJ40" i="2"/>
  <c r="Y19" i="2"/>
  <c r="O8" i="2"/>
  <c r="F30" i="2"/>
  <c r="AM71" i="2"/>
  <c r="AK61" i="2"/>
  <c r="E31" i="2"/>
  <c r="Y4" i="2"/>
  <c r="AM73" i="2"/>
  <c r="AJ75" i="2"/>
  <c r="W19" i="2"/>
  <c r="K52" i="2"/>
  <c r="M6" i="2"/>
  <c r="P52" i="2"/>
  <c r="H61" i="2"/>
  <c r="AL62" i="2"/>
  <c r="Y55" i="2"/>
  <c r="O80" i="2"/>
  <c r="AJ13" i="2"/>
  <c r="U53" i="2"/>
  <c r="AM36" i="2"/>
  <c r="N70" i="2"/>
  <c r="AB31" i="2"/>
  <c r="K26" i="2"/>
  <c r="AF23" i="2"/>
  <c r="W52" i="2"/>
  <c r="X31" i="2"/>
  <c r="I74" i="2"/>
  <c r="AB13" i="2"/>
  <c r="AE29" i="2"/>
  <c r="AB12" i="2"/>
  <c r="AF10" i="2"/>
  <c r="K17" i="2"/>
  <c r="G21" i="2"/>
  <c r="T12" i="2"/>
  <c r="H40" i="2"/>
  <c r="AD45" i="2"/>
  <c r="O71" i="2"/>
  <c r="AI30" i="2"/>
  <c r="O70" i="2"/>
  <c r="R36" i="2"/>
  <c r="AG75" i="2"/>
  <c r="AC12" i="2"/>
  <c r="F11" i="2"/>
  <c r="AF61" i="2"/>
  <c r="J68" i="2"/>
  <c r="J76" i="2"/>
  <c r="M70" i="2"/>
  <c r="AA20" i="2"/>
  <c r="AJ21" i="2"/>
  <c r="O56" i="2"/>
  <c r="AC62" i="2"/>
  <c r="AD41" i="2"/>
  <c r="AA70" i="2"/>
  <c r="AK23" i="2"/>
  <c r="AF48" i="2"/>
  <c r="J48" i="2"/>
  <c r="I14" i="2"/>
  <c r="Y28" i="2"/>
  <c r="Y41" i="2"/>
  <c r="J15" i="2"/>
  <c r="M24" i="2"/>
  <c r="U29" i="2"/>
  <c r="AA35" i="2"/>
  <c r="V36" i="2"/>
  <c r="G59" i="2"/>
  <c r="Y9" i="2"/>
  <c r="AM63" i="2"/>
  <c r="U19" i="2"/>
  <c r="S34" i="2"/>
  <c r="AF39" i="2"/>
  <c r="R80" i="2"/>
  <c r="W25" i="2"/>
  <c r="X48" i="2"/>
  <c r="E42" i="2"/>
  <c r="AI33" i="2"/>
  <c r="R28" i="2"/>
  <c r="U52" i="2"/>
  <c r="AE60" i="2"/>
  <c r="AK71" i="2"/>
  <c r="O48" i="2"/>
  <c r="AB37" i="2"/>
  <c r="AC70" i="2"/>
  <c r="V12" i="2"/>
  <c r="AC4" i="2"/>
  <c r="K14" i="2"/>
  <c r="Y63" i="2"/>
  <c r="I32" i="2"/>
  <c r="AE21" i="2"/>
  <c r="J43" i="2"/>
  <c r="F19" i="2"/>
  <c r="Z59" i="2"/>
  <c r="AG28" i="2"/>
  <c r="T46" i="2"/>
  <c r="E8" i="2"/>
  <c r="L39" i="2"/>
  <c r="O55" i="2"/>
  <c r="M40" i="2"/>
  <c r="P65" i="2"/>
  <c r="V19" i="2"/>
  <c r="Z36" i="2"/>
  <c r="AD11" i="2"/>
  <c r="AD15" i="2"/>
  <c r="G56" i="2"/>
  <c r="I17" i="2"/>
  <c r="AM45" i="2"/>
  <c r="R35" i="2"/>
  <c r="AA68" i="2"/>
  <c r="I46" i="2"/>
  <c r="K49" i="2"/>
  <c r="AH16" i="2"/>
  <c r="E38" i="2"/>
  <c r="M45" i="2"/>
  <c r="N75" i="2"/>
  <c r="AB32" i="2"/>
  <c r="E7" i="2"/>
  <c r="V5" i="2"/>
  <c r="AI57" i="2"/>
  <c r="AK54" i="2"/>
  <c r="E5" i="2"/>
  <c r="Y80" i="2"/>
  <c r="AE24" i="2"/>
  <c r="L74" i="2"/>
  <c r="AL16" i="2"/>
  <c r="H73" i="2"/>
  <c r="K71" i="2"/>
  <c r="K77" i="2"/>
  <c r="AI27" i="2"/>
  <c r="K18" i="2"/>
  <c r="K4" i="2"/>
  <c r="AE32" i="2"/>
  <c r="AE39" i="2"/>
  <c r="AE70" i="2"/>
  <c r="P48" i="2"/>
  <c r="AC9" i="2"/>
  <c r="I16" i="2"/>
  <c r="AM79" i="2"/>
  <c r="R9" i="2"/>
  <c r="X67" i="2"/>
  <c r="Z23" i="2"/>
  <c r="H77" i="2"/>
  <c r="AJ72" i="2"/>
  <c r="AE71" i="2"/>
  <c r="AA22" i="2"/>
  <c r="AC30" i="2"/>
  <c r="N37" i="2"/>
  <c r="AM74" i="2"/>
  <c r="Z26" i="2"/>
  <c r="AK26" i="2"/>
  <c r="AE27" i="2"/>
  <c r="Z27" i="2"/>
  <c r="Y36" i="2"/>
  <c r="E67" i="2"/>
  <c r="G76" i="2"/>
  <c r="AI73" i="2"/>
  <c r="E46" i="2"/>
  <c r="V30" i="2"/>
  <c r="AF59" i="2"/>
  <c r="AL70" i="2"/>
  <c r="X33" i="2"/>
  <c r="AG44" i="2"/>
  <c r="V33" i="2"/>
  <c r="T52" i="2"/>
  <c r="X74" i="2"/>
  <c r="AL8" i="2"/>
  <c r="U76" i="2"/>
  <c r="AF15" i="2"/>
  <c r="R54" i="2"/>
  <c r="AM77" i="2"/>
  <c r="Z25" i="2"/>
  <c r="P71" i="2"/>
  <c r="AI71" i="2"/>
  <c r="AG38" i="2"/>
  <c r="I24" i="2"/>
  <c r="M5" i="2"/>
  <c r="F37" i="2"/>
  <c r="J39" i="2"/>
  <c r="X75" i="2"/>
  <c r="K60" i="2"/>
  <c r="M61" i="2"/>
  <c r="U80" i="2"/>
  <c r="T23" i="2"/>
  <c r="N46" i="2"/>
  <c r="Y14" i="2"/>
  <c r="AA64" i="2"/>
  <c r="Y17" i="2"/>
  <c r="AK59" i="2"/>
  <c r="P80" i="2"/>
  <c r="X21" i="2"/>
  <c r="AI9" i="2"/>
  <c r="AJ78" i="2"/>
  <c r="N40" i="2"/>
  <c r="AJ27" i="2"/>
  <c r="N41" i="2"/>
  <c r="E58" i="2"/>
  <c r="AH56" i="2"/>
  <c r="O7" i="2"/>
  <c r="J66" i="2"/>
  <c r="AD51" i="2"/>
  <c r="AA73" i="2"/>
  <c r="AA46" i="2"/>
  <c r="AG74" i="2"/>
  <c r="AJ74" i="2"/>
  <c r="F68" i="2"/>
  <c r="F70" i="2"/>
  <c r="AB22" i="2"/>
  <c r="F33" i="2"/>
  <c r="AD37" i="2"/>
  <c r="AM65" i="2"/>
  <c r="M79" i="2"/>
  <c r="V34" i="2"/>
  <c r="X52" i="2"/>
  <c r="O57" i="2"/>
  <c r="AH78" i="2"/>
  <c r="S73" i="2"/>
  <c r="AB80" i="2"/>
  <c r="W57" i="2"/>
  <c r="AE5" i="2"/>
  <c r="S53" i="2"/>
  <c r="AL7" i="2"/>
  <c r="AC28" i="2"/>
  <c r="Z47" i="2"/>
  <c r="N59" i="2"/>
  <c r="AD52" i="2"/>
  <c r="Y7" i="2"/>
  <c r="E29" i="2"/>
  <c r="J46" i="2"/>
  <c r="Z64" i="2"/>
  <c r="L38" i="2"/>
  <c r="F78" i="2"/>
  <c r="AJ43" i="2"/>
  <c r="W78" i="2"/>
  <c r="AC73" i="2"/>
  <c r="K16" i="2"/>
  <c r="F26" i="2"/>
  <c r="AI51" i="2"/>
  <c r="AF43" i="2"/>
  <c r="Y8" i="2"/>
  <c r="U18" i="2"/>
  <c r="V80" i="2"/>
  <c r="AM59" i="2"/>
  <c r="S69" i="2"/>
  <c r="M54" i="2"/>
  <c r="P56" i="2"/>
  <c r="AH21" i="2"/>
  <c r="AI5" i="2"/>
  <c r="O61" i="2"/>
  <c r="M42" i="2"/>
  <c r="AA66" i="2"/>
  <c r="J41" i="2"/>
  <c r="Z35" i="2"/>
  <c r="AF49" i="2"/>
  <c r="N76" i="2"/>
  <c r="AH20" i="2"/>
  <c r="AD35" i="2"/>
  <c r="AJ12" i="2"/>
  <c r="R56" i="2"/>
  <c r="AC11" i="2"/>
  <c r="Z6" i="2"/>
  <c r="N53" i="2"/>
  <c r="J49" i="2"/>
  <c r="F56" i="2"/>
  <c r="AM55" i="2"/>
  <c r="AH57" i="2"/>
  <c r="Y76" i="2"/>
  <c r="J24" i="2"/>
  <c r="V45" i="2"/>
  <c r="U15" i="2"/>
  <c r="N29" i="2"/>
  <c r="M9" i="2"/>
  <c r="P59" i="2"/>
  <c r="AG53" i="2"/>
  <c r="AD4" i="2"/>
  <c r="H60" i="2"/>
  <c r="T61" i="2"/>
  <c r="AF69" i="2"/>
  <c r="K28" i="2"/>
  <c r="AG33" i="2"/>
  <c r="AA57" i="2"/>
  <c r="H4" i="2"/>
  <c r="O14" i="2"/>
  <c r="H55" i="2"/>
  <c r="AF41" i="2"/>
  <c r="AM60" i="2"/>
  <c r="AG7" i="2"/>
  <c r="AM38" i="2"/>
  <c r="W39" i="2"/>
  <c r="AI28" i="2"/>
  <c r="Z78" i="2"/>
  <c r="AF13" i="2"/>
  <c r="P66" i="2"/>
  <c r="AM27" i="2"/>
  <c r="AJ55" i="2"/>
  <c r="AM76" i="2"/>
  <c r="H56" i="2"/>
  <c r="J20" i="2"/>
  <c r="Z76" i="2"/>
  <c r="G7" i="2"/>
  <c r="AG54" i="2"/>
  <c r="X57" i="2"/>
  <c r="AK34" i="2"/>
  <c r="I42" i="2"/>
  <c r="R51" i="2"/>
  <c r="Y40" i="2"/>
  <c r="L75" i="2"/>
  <c r="T22" i="2"/>
  <c r="U54" i="2"/>
  <c r="T77" i="2"/>
  <c r="AL58" i="2"/>
  <c r="S35" i="2"/>
  <c r="AI69" i="2"/>
  <c r="AI62" i="2"/>
  <c r="W56" i="2"/>
  <c r="AI23" i="2"/>
  <c r="Y52" i="2"/>
  <c r="AK56" i="2"/>
  <c r="G31" i="2"/>
  <c r="W67" i="2"/>
  <c r="AM12" i="2"/>
  <c r="M72" i="2"/>
  <c r="AH70" i="2"/>
  <c r="G13" i="2"/>
  <c r="AG12" i="2"/>
  <c r="F42" i="2"/>
  <c r="AJ54" i="2"/>
  <c r="S78" i="2"/>
  <c r="F74" i="2"/>
  <c r="M78" i="2"/>
  <c r="AG17" i="2"/>
  <c r="I62" i="2"/>
  <c r="AB28" i="2"/>
  <c r="F23" i="2"/>
  <c r="AI63" i="2"/>
  <c r="X47" i="2"/>
  <c r="G50" i="2"/>
  <c r="AL40" i="2"/>
  <c r="H13" i="2"/>
  <c r="P25" i="2"/>
  <c r="AH64" i="2"/>
  <c r="T30" i="2"/>
  <c r="O20" i="2"/>
  <c r="K69" i="2"/>
  <c r="I80" i="2"/>
  <c r="AK4" i="2"/>
  <c r="P76" i="2"/>
  <c r="AJ45" i="2"/>
  <c r="AD70" i="2"/>
  <c r="AG49" i="2"/>
  <c r="AB36" i="2"/>
  <c r="Y32" i="2"/>
  <c r="J78" i="2"/>
  <c r="X73" i="2"/>
  <c r="Z46" i="2"/>
  <c r="H36" i="2"/>
  <c r="AB76" i="2"/>
  <c r="K53" i="2"/>
  <c r="R45" i="2"/>
  <c r="X6" i="2"/>
  <c r="V13" i="2"/>
  <c r="AC27" i="2"/>
  <c r="Y47" i="2"/>
  <c r="K20" i="2"/>
  <c r="S62" i="2"/>
  <c r="Z57" i="2"/>
  <c r="AK47" i="2"/>
  <c r="J18" i="2"/>
  <c r="M74" i="2"/>
  <c r="Y53" i="2"/>
  <c r="T28" i="2"/>
  <c r="AI25" i="2"/>
  <c r="L25" i="2"/>
  <c r="I57" i="2"/>
  <c r="W9" i="2"/>
  <c r="G55" i="2"/>
  <c r="E41" i="2"/>
  <c r="O64" i="2"/>
  <c r="AJ31" i="2"/>
  <c r="O69" i="2"/>
  <c r="J65" i="2"/>
  <c r="L33" i="2"/>
  <c r="I37" i="2"/>
  <c r="AG29" i="2"/>
  <c r="W47" i="2"/>
  <c r="L60" i="2"/>
  <c r="S5" i="2"/>
  <c r="AC37" i="2"/>
  <c r="L15" i="2"/>
  <c r="AK69" i="2"/>
  <c r="Z20" i="2"/>
  <c r="K55" i="2"/>
  <c r="AL44" i="2"/>
  <c r="H12" i="2"/>
  <c r="M10" i="2"/>
  <c r="L65" i="2"/>
  <c r="H51" i="2"/>
  <c r="AE18" i="2"/>
  <c r="W74" i="2"/>
  <c r="AA44" i="2"/>
  <c r="AF28" i="2"/>
  <c r="AE55" i="2"/>
  <c r="AJ6" i="2"/>
  <c r="X14" i="2"/>
  <c r="AM32" i="2"/>
  <c r="AA7" i="2"/>
  <c r="AM47" i="2"/>
  <c r="M12" i="2"/>
  <c r="J10" i="2"/>
  <c r="AA72" i="2"/>
  <c r="W24" i="2"/>
  <c r="V4" i="2"/>
  <c r="N22" i="2"/>
  <c r="AF75" i="2"/>
  <c r="H19" i="2"/>
  <c r="AD65" i="2"/>
  <c r="AC63" i="2"/>
  <c r="AE66" i="2"/>
  <c r="G40" i="2"/>
  <c r="AM58" i="2"/>
  <c r="AM51" i="2"/>
  <c r="F67" i="2"/>
  <c r="AC60" i="2"/>
  <c r="M48" i="2"/>
  <c r="X26" i="2"/>
  <c r="S22" i="2"/>
  <c r="AL38" i="2"/>
  <c r="K74" i="2"/>
  <c r="G57" i="2"/>
  <c r="AK12" i="2"/>
  <c r="AJ69" i="2"/>
  <c r="AF17" i="2"/>
  <c r="AG69" i="2"/>
  <c r="AJ22" i="2"/>
  <c r="U17" i="2"/>
  <c r="P6" i="2"/>
  <c r="O25" i="2"/>
  <c r="AM42" i="2"/>
  <c r="K13" i="2"/>
  <c r="X80" i="2"/>
  <c r="W80" i="2"/>
  <c r="AH58" i="2"/>
  <c r="X71" i="2"/>
  <c r="J37" i="2"/>
  <c r="AB62" i="2"/>
  <c r="H54" i="2"/>
  <c r="V50" i="2"/>
  <c r="G35" i="2"/>
  <c r="X18" i="2"/>
  <c r="AG16" i="2"/>
  <c r="AF42" i="2"/>
  <c r="Z12" i="2"/>
  <c r="AM44" i="2"/>
  <c r="AL73" i="2"/>
  <c r="H66" i="2"/>
  <c r="F73" i="2"/>
  <c r="H62" i="2"/>
  <c r="AA30" i="2"/>
  <c r="AG35" i="2"/>
  <c r="M14" i="2"/>
  <c r="I73" i="2"/>
  <c r="R15" i="2"/>
  <c r="U24" i="2"/>
  <c r="F40" i="2"/>
  <c r="M55" i="2"/>
  <c r="AH80" i="2"/>
  <c r="S79" i="2"/>
  <c r="AE30" i="2"/>
  <c r="AI7" i="2"/>
  <c r="E26" i="2"/>
  <c r="R39" i="2"/>
  <c r="AE25" i="2"/>
  <c r="AF35" i="2"/>
  <c r="H38" i="2"/>
  <c r="G11" i="2"/>
  <c r="AK21" i="2"/>
  <c r="L68" i="2"/>
  <c r="AH50" i="2"/>
  <c r="P30" i="2"/>
  <c r="P12" i="2"/>
  <c r="AA79" i="2"/>
  <c r="W64" i="2"/>
  <c r="AM67" i="2"/>
  <c r="AL31" i="2"/>
  <c r="S13" i="2"/>
  <c r="L64" i="2"/>
  <c r="Y78" i="2"/>
  <c r="AH55" i="2"/>
  <c r="P60" i="2"/>
  <c r="T78" i="2"/>
  <c r="AK36" i="2"/>
  <c r="AE63" i="2"/>
  <c r="O52" i="2"/>
  <c r="AK45" i="2"/>
  <c r="AA71" i="2"/>
  <c r="AG45" i="2"/>
  <c r="R7" i="2"/>
  <c r="AA48" i="2"/>
  <c r="O53" i="2"/>
  <c r="AB11" i="2"/>
  <c r="Z54" i="2"/>
  <c r="AA56" i="2"/>
  <c r="V49" i="2"/>
  <c r="AL41" i="2"/>
  <c r="U50" i="2"/>
  <c r="K11" i="2"/>
  <c r="AI65" i="2"/>
  <c r="AE31" i="2"/>
  <c r="X27" i="2"/>
  <c r="E48" i="2"/>
  <c r="O26" i="2"/>
  <c r="AA25" i="2"/>
  <c r="AI78" i="2"/>
  <c r="S74" i="2"/>
  <c r="AF51" i="2"/>
  <c r="J14" i="2"/>
  <c r="W18" i="2"/>
  <c r="Z43" i="2"/>
  <c r="T26" i="2"/>
  <c r="L66" i="2"/>
  <c r="N7" i="2"/>
  <c r="N56" i="2"/>
  <c r="S10" i="2"/>
  <c r="S75" i="2"/>
  <c r="AK37" i="2"/>
  <c r="L9" i="2"/>
  <c r="V73" i="2"/>
  <c r="O21" i="2"/>
  <c r="J35" i="2"/>
  <c r="Y37" i="2"/>
  <c r="Z71" i="2"/>
  <c r="J42" i="2"/>
  <c r="Z62" i="2"/>
  <c r="AE74" i="2"/>
  <c r="AH41" i="2"/>
  <c r="AC76" i="2"/>
  <c r="F79" i="2"/>
  <c r="O17" i="2"/>
  <c r="K12" i="2"/>
  <c r="S59" i="2"/>
  <c r="R65" i="2"/>
  <c r="M29" i="2"/>
  <c r="P20" i="2"/>
  <c r="AB19" i="2"/>
  <c r="AA24" i="2"/>
  <c r="AE53" i="2"/>
  <c r="R58" i="2"/>
  <c r="R71" i="2"/>
  <c r="R53" i="2"/>
  <c r="G26" i="2"/>
  <c r="AI31" i="2"/>
  <c r="T36" i="2"/>
  <c r="N72" i="2"/>
  <c r="AG43" i="2"/>
  <c r="H78" i="2"/>
  <c r="AM17" i="2"/>
  <c r="W63" i="2"/>
  <c r="G34" i="2"/>
  <c r="L49" i="2"/>
  <c r="K7" i="2"/>
  <c r="K78" i="2"/>
  <c r="AM7" i="2"/>
  <c r="AD53" i="2"/>
  <c r="G36" i="2"/>
  <c r="Y24" i="2"/>
  <c r="AK15" i="2"/>
  <c r="S36" i="2"/>
  <c r="L56" i="2"/>
  <c r="AA51" i="2"/>
  <c r="AH79" i="2"/>
  <c r="R67" i="2"/>
  <c r="E59" i="2"/>
  <c r="V26" i="2"/>
  <c r="K47" i="2"/>
  <c r="J69" i="2"/>
  <c r="M33" i="2"/>
  <c r="O30" i="2"/>
  <c r="K76" i="2"/>
  <c r="H17" i="2"/>
  <c r="AH77" i="2"/>
  <c r="S72" i="2"/>
  <c r="N14" i="2"/>
  <c r="L80" i="2"/>
  <c r="J7" i="2"/>
  <c r="H5" i="2"/>
  <c r="AF34" i="2"/>
  <c r="I26" i="2"/>
  <c r="Y72" i="2"/>
  <c r="AC34" i="2"/>
  <c r="F38" i="2"/>
  <c r="I35" i="2"/>
  <c r="AC16" i="2"/>
  <c r="AM35" i="2"/>
  <c r="G22" i="2"/>
  <c r="AF79" i="2"/>
  <c r="AB42" i="2"/>
  <c r="U12" i="2"/>
  <c r="U77" i="2"/>
  <c r="W20" i="2"/>
  <c r="AG62" i="2"/>
  <c r="P34" i="2"/>
  <c r="M21" i="2"/>
  <c r="AD22" i="2"/>
  <c r="AD44" i="2"/>
  <c r="T79" i="2"/>
  <c r="I15" i="2"/>
  <c r="AF56" i="2"/>
  <c r="P17" i="2"/>
  <c r="P61" i="2"/>
  <c r="AB75" i="2"/>
  <c r="T4" i="2"/>
  <c r="E77" i="2"/>
  <c r="Y35" i="2"/>
  <c r="AC78" i="2"/>
  <c r="F53" i="2"/>
  <c r="AL65" i="2"/>
  <c r="L10" i="2"/>
  <c r="N12" i="2"/>
  <c r="T35" i="2"/>
  <c r="E56" i="2"/>
  <c r="N65" i="2"/>
  <c r="G70" i="2"/>
  <c r="AA14" i="2"/>
  <c r="S71" i="2"/>
  <c r="AH17" i="2"/>
  <c r="AD75" i="2"/>
  <c r="H27" i="2"/>
  <c r="W28" i="2"/>
  <c r="U32" i="2"/>
  <c r="E76" i="2"/>
  <c r="AK53" i="2"/>
  <c r="AB61" i="2"/>
  <c r="R4" i="2"/>
  <c r="AD67" i="2"/>
  <c r="AC79" i="2"/>
  <c r="AF57" i="2"/>
  <c r="AF4" i="2"/>
  <c r="U46" i="2"/>
  <c r="W10" i="2"/>
  <c r="V66" i="2"/>
  <c r="AL20" i="2"/>
  <c r="G19" i="2"/>
  <c r="L55" i="2"/>
  <c r="G79" i="2"/>
  <c r="K44" i="2"/>
  <c r="AB33" i="2"/>
  <c r="P24" i="2"/>
  <c r="O51" i="2"/>
  <c r="L52" i="2"/>
  <c r="AE26" i="2"/>
  <c r="M38" i="2"/>
  <c r="X78" i="2"/>
  <c r="AA74" i="2"/>
  <c r="T24" i="2"/>
  <c r="U23" i="2"/>
  <c r="U41" i="2"/>
  <c r="F6" i="2"/>
  <c r="P67" i="2"/>
  <c r="AE6" i="2"/>
  <c r="M32" i="2"/>
  <c r="O47" i="2"/>
  <c r="E53" i="2"/>
  <c r="AL28" i="2"/>
  <c r="Z17" i="2"/>
  <c r="AG46" i="2"/>
  <c r="AH54" i="2"/>
  <c r="AA38" i="2"/>
  <c r="I36" i="2"/>
  <c r="X66" i="2"/>
  <c r="V14" i="2"/>
  <c r="T55" i="2"/>
  <c r="N13" i="2"/>
  <c r="V43" i="2"/>
  <c r="P13" i="2"/>
  <c r="Y26" i="2"/>
  <c r="AC46" i="2"/>
  <c r="S44" i="2"/>
  <c r="E15" i="2"/>
  <c r="AB9" i="2"/>
  <c r="I29" i="2"/>
  <c r="AE10" i="2"/>
  <c r="AL29" i="2"/>
  <c r="E39" i="2"/>
  <c r="U38" i="2"/>
  <c r="AM21" i="2"/>
  <c r="AE47" i="2"/>
  <c r="Z44" i="2"/>
  <c r="U5" i="2"/>
  <c r="E44" i="2"/>
  <c r="AH45" i="2"/>
  <c r="H80" i="2"/>
  <c r="N39" i="2"/>
  <c r="AI80" i="2"/>
  <c r="F80" i="2"/>
  <c r="Z38" i="2"/>
  <c r="AC66" i="2"/>
  <c r="W68" i="2"/>
  <c r="Y10" i="2"/>
  <c r="AI43" i="2"/>
  <c r="K56" i="2"/>
  <c r="AJ8" i="2"/>
  <c r="AL6" i="2"/>
  <c r="AB39" i="2"/>
  <c r="AG5" i="2"/>
  <c r="H69" i="2"/>
  <c r="K34" i="2"/>
  <c r="M23" i="2"/>
  <c r="H52" i="2"/>
  <c r="F65" i="2"/>
  <c r="AG34" i="2"/>
  <c r="W58" i="2"/>
  <c r="AJ23" i="2"/>
  <c r="AM15" i="2"/>
  <c r="U75" i="2"/>
  <c r="U13" i="2"/>
  <c r="V6" i="2"/>
  <c r="AJ67" i="2"/>
  <c r="T74" i="2"/>
  <c r="AA61" i="2"/>
  <c r="F66" i="2"/>
  <c r="N43" i="2"/>
  <c r="AH38" i="2"/>
  <c r="AK27" i="2"/>
  <c r="Z75" i="2"/>
  <c r="AJ65" i="2"/>
  <c r="H79" i="2"/>
  <c r="R57" i="2"/>
  <c r="G68" i="2"/>
  <c r="AA13" i="2"/>
  <c r="AG23" i="2"/>
  <c r="T31" i="2"/>
  <c r="AD55" i="2"/>
  <c r="AL53" i="2"/>
  <c r="N36" i="2"/>
  <c r="V17" i="2"/>
  <c r="AG70" i="2"/>
  <c r="R18" i="2"/>
  <c r="U45" i="2"/>
  <c r="AH19" i="2"/>
  <c r="AM43" i="2"/>
  <c r="H49" i="2"/>
  <c r="AF27" i="2"/>
  <c r="U49" i="2"/>
  <c r="V54" i="2"/>
  <c r="Y49" i="2"/>
  <c r="G4" i="2"/>
  <c r="AI61" i="2"/>
</calcChain>
</file>

<file path=xl/sharedStrings.xml><?xml version="1.0" encoding="utf-8"?>
<sst xmlns="http://schemas.openxmlformats.org/spreadsheetml/2006/main" count="4826" uniqueCount="943">
  <si>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</si>
  <si>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</si>
  <si>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</si>
  <si>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</si>
  <si>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</si>
  <si>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</si>
  <si>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</si>
  <si>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</si>
  <si>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</si>
  <si>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</si>
  <si>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</si>
  <si>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</si>
  <si>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</si>
  <si>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</si>
  <si>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</si>
  <si>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</si>
  <si>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</si>
  <si>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</si>
  <si>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</si>
  <si>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</si>
  <si>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</si>
  <si>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</si>
  <si>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</si>
  <si>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</si>
  <si>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</si>
  <si>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</si>
  <si>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</si>
  <si>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</si>
  <si>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</si>
  <si>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</si>
  <si>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</si>
  <si>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</si>
  <si>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</si>
  <si>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</si>
  <si>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</si>
  <si>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</si>
  <si>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</si>
  <si>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</si>
  <si>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</si>
  <si>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</si>
  <si>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</si>
  <si>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</si>
  <si>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</si>
  <si>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</si>
  <si>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</si>
  <si>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</si>
  <si>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</si>
  <si>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</si>
  <si>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</si>
  <si>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</si>
  <si>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</si>
  <si>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</si>
  <si>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</si>
  <si>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</si>
  <si>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</si>
  <si>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</si>
  <si>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</si>
  <si>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</si>
  <si>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</si>
  <si>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</si>
  <si>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</si>
  <si>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</si>
  <si>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</si>
  <si>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</si>
  <si>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</si>
  <si>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</si>
  <si>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</si>
  <si>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</si>
  <si>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</si>
  <si>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</si>
  <si>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</si>
  <si>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</si>
  <si>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</si>
  <si>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</si>
  <si>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</si>
  <si>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</si>
  <si>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</si>
  <si>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</si>
  <si>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</si>
  <si>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</si>
  <si>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</si>
  <si>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</si>
  <si>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</si>
  <si>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</si>
  <si>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</si>
  <si>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</si>
  <si>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</si>
  <si>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</si>
  <si>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</si>
  <si>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</si>
  <si>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</si>
  <si>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</si>
  <si>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</si>
  <si>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</si>
  <si>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</si>
  <si>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</si>
  <si>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</si>
  <si>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</si>
  <si>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</si>
  <si>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</si>
  <si>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</si>
  <si>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</si>
  <si>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</si>
  <si>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</si>
  <si>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</si>
  <si>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</si>
  <si>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</si>
  <si>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</si>
  <si>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</si>
  <si>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</si>
  <si>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</si>
  <si>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</si>
  <si>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</si>
  <si>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</si>
  <si>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</si>
  <si>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</si>
  <si>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</si>
  <si>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</si>
  <si>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</si>
  <si>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</si>
  <si>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</si>
  <si>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</si>
  <si>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</si>
  <si>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</si>
  <si>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</si>
  <si>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</si>
  <si>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</si>
  <si>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</si>
  <si>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</si>
  <si>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</si>
  <si>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</si>
  <si>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</si>
  <si>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</si>
  <si>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</si>
  <si>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</si>
  <si>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</si>
  <si>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</si>
  <si>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</si>
  <si>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</si>
  <si>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</si>
  <si>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</si>
  <si>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</si>
  <si>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</si>
  <si>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</si>
  <si>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</si>
  <si>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</si>
  <si>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</si>
  <si>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</si>
  <si>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</si>
  <si>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</si>
  <si>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</si>
  <si>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</si>
  <si>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</si>
  <si>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</si>
  <si>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</si>
  <si>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</si>
  <si>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</si>
  <si>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</si>
  <si>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</si>
  <si>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</si>
  <si>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</si>
  <si>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</si>
  <si>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</si>
  <si>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</si>
  <si>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</si>
  <si>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</si>
  <si>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</si>
  <si>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</si>
  <si>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</si>
  <si>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</si>
  <si>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</si>
  <si>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</si>
  <si>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</si>
  <si>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</si>
  <si>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</si>
  <si>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</si>
  <si>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</si>
  <si>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</si>
  <si>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</si>
  <si>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</si>
  <si>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</si>
  <si>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</si>
  <si>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</si>
  <si>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</si>
  <si>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</si>
  <si>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</si>
  <si>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</si>
  <si>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</si>
  <si>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</si>
  <si>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</si>
  <si>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</si>
  <si>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</si>
  <si>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</si>
  <si>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</si>
  <si>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</si>
  <si>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</si>
  <si>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</si>
  <si>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</si>
  <si>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</si>
  <si>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</si>
  <si>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</si>
  <si>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</si>
  <si>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</si>
  <si>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</si>
  <si>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</si>
  <si>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</si>
  <si>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</si>
  <si>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</si>
  <si>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</si>
  <si>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</si>
  <si>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</si>
  <si>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</si>
  <si>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</si>
  <si>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</si>
  <si>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</si>
  <si>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</si>
  <si>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</si>
  <si>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</si>
  <si>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</si>
  <si>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</si>
  <si>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</si>
  <si>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</si>
  <si>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</si>
  <si>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</si>
  <si>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</si>
  <si>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</si>
  <si>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</si>
  <si>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</si>
  <si>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</si>
  <si>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</si>
  <si>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</si>
  <si>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</si>
  <si>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</si>
  <si>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</si>
  <si>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</si>
  <si>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</si>
  <si>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</si>
  <si>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</si>
  <si>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</si>
  <si>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</si>
  <si>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</si>
  <si>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</si>
  <si>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</si>
  <si>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</si>
  <si>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</si>
  <si>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</si>
  <si>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</si>
  <si>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</si>
  <si>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</si>
  <si>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</si>
  <si>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</si>
  <si>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</si>
  <si>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</si>
  <si>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</si>
  <si>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</si>
  <si>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</si>
  <si>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</si>
  <si>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</si>
  <si>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</si>
  <si>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</si>
  <si>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</si>
  <si>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</si>
  <si>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</si>
  <si>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</si>
  <si>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</si>
  <si>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</si>
  <si>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</si>
  <si>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</si>
  <si>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</si>
  <si>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</si>
  <si>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</si>
  <si>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</si>
  <si>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</si>
  <si>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</si>
  <si>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</si>
  <si>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</si>
  <si>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</si>
  <si>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</si>
  <si>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</si>
  <si>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</si>
  <si>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</si>
  <si>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</si>
  <si>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</si>
  <si>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</si>
  <si>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</si>
  <si>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</si>
  <si>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</si>
  <si>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</si>
  <si>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</si>
  <si>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</si>
  <si>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</si>
  <si>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</si>
  <si>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</si>
  <si>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</si>
  <si>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</si>
  <si>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</si>
  <si>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</si>
  <si>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</si>
  <si>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</si>
  <si>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</si>
  <si>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</si>
  <si>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</si>
  <si>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</si>
  <si>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</si>
  <si>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</si>
  <si>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</si>
  <si>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</si>
  <si>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</si>
  <si>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</si>
  <si>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</si>
  <si>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</si>
  <si>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</si>
  <si>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</si>
  <si>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</si>
  <si>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</si>
  <si>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</si>
  <si>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</si>
  <si>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</si>
  <si>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</si>
  <si>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</si>
  <si>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</si>
  <si>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</si>
  <si>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</si>
  <si>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</si>
  <si>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</si>
  <si>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</si>
  <si>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</si>
  <si>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</si>
  <si>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</si>
  <si>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</si>
  <si>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</si>
  <si>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</si>
  <si>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</si>
  <si>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</si>
  <si>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</si>
  <si>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</si>
  <si>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</si>
  <si>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</si>
  <si>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</si>
  <si>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</si>
  <si>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</si>
  <si>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</si>
  <si>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</si>
  <si>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</si>
  <si>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</si>
  <si>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</si>
  <si>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</si>
  <si>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</si>
  <si>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</si>
  <si>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</si>
  <si>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</si>
  <si>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</si>
  <si>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</si>
  <si>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</si>
  <si>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</si>
  <si>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</si>
  <si>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</si>
  <si>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</si>
  <si>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</si>
  <si>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</si>
  <si>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</si>
  <si>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</si>
  <si>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</si>
  <si>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</si>
  <si>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</si>
  <si>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</si>
  <si>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</si>
  <si>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</si>
  <si>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</si>
  <si>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</si>
  <si>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</si>
  <si>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</si>
  <si>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</si>
  <si>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</si>
  <si>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</si>
  <si>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</si>
  <si>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</si>
  <si>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</si>
  <si>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</si>
  <si>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</si>
  <si>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</si>
  <si>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</si>
  <si>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</si>
  <si>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</si>
  <si>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</si>
  <si>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</si>
  <si>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</si>
  <si>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</si>
  <si>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</si>
  <si>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</si>
  <si>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</si>
  <si>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</si>
  <si>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</si>
  <si>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</si>
  <si>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</si>
  <si>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</si>
  <si>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</si>
  <si>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</si>
  <si>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</si>
  <si>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</si>
  <si>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</si>
  <si>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</si>
  <si>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</si>
  <si>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</si>
  <si>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</si>
  <si>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</si>
  <si>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</si>
  <si>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</si>
  <si>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</si>
  <si>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</si>
  <si>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</si>
  <si>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</si>
  <si>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</si>
  <si>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</si>
  <si>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</si>
  <si>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</si>
  <si>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</si>
  <si>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</si>
  <si>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</si>
  <si>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</si>
  <si>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</si>
  <si>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</si>
  <si>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</si>
  <si>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</si>
  <si>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</si>
  <si>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</si>
  <si>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</si>
  <si>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</si>
  <si>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</si>
  <si>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</si>
  <si>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</si>
  <si>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</si>
  <si>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</si>
  <si>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</si>
  <si>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</si>
  <si>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</si>
  <si>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</si>
  <si>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</si>
  <si>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</si>
  <si>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</si>
  <si>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</si>
  <si>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</si>
  <si>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</si>
  <si>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</si>
  <si>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</si>
  <si>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</si>
  <si>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</si>
  <si>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</si>
  <si>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</si>
  <si>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</si>
  <si>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</si>
  <si>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</si>
  <si>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</si>
  <si>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</si>
  <si>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</si>
  <si>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</si>
  <si>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</si>
  <si>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</si>
  <si>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</si>
  <si>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</si>
  <si>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</si>
  <si>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</si>
  <si>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</si>
  <si>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</si>
  <si>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</si>
  <si>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</si>
  <si>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</si>
  <si>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</si>
  <si>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</si>
  <si>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</si>
  <si>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</si>
  <si>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</si>
  <si>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</si>
  <si>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</si>
  <si>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</si>
  <si>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</si>
  <si>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</si>
  <si>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</si>
  <si>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</si>
  <si>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</si>
  <si>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</si>
  <si>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</si>
  <si>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</si>
  <si>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</si>
  <si>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</si>
  <si>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</si>
  <si>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</si>
  <si>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</si>
  <si>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</si>
  <si>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</si>
  <si>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</si>
  <si>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</si>
  <si>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</si>
  <si>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</si>
  <si>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</si>
  <si>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</si>
  <si>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</si>
  <si>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</si>
  <si>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</si>
  <si>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</si>
  <si>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</si>
  <si>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</si>
  <si>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</si>
  <si>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</si>
  <si>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</si>
  <si>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</si>
  <si>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</si>
  <si>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</si>
  <si>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</si>
  <si>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</si>
  <si>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</si>
  <si>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</si>
  <si>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</si>
  <si>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</si>
  <si>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</si>
  <si>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</si>
  <si>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</si>
  <si>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</si>
  <si>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</si>
  <si>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</si>
  <si>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</si>
  <si>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</si>
  <si>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</si>
  <si>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</si>
  <si>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</si>
  <si>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</si>
  <si>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</si>
  <si>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</si>
  <si>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</si>
  <si>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</si>
  <si>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</si>
  <si>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</si>
  <si>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</si>
  <si>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</si>
  <si>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</si>
  <si>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</si>
  <si>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</si>
  <si>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</si>
  <si>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</si>
  <si>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</si>
  <si>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</si>
  <si>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</si>
  <si>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</si>
  <si>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</si>
  <si>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</si>
  <si>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</si>
  <si>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</si>
  <si>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</si>
  <si>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</si>
  <si>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</si>
  <si>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</si>
  <si>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</si>
  <si>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</si>
  <si>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</si>
  <si>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</si>
  <si>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</si>
  <si>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</si>
  <si>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</si>
  <si>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</si>
  <si>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</si>
  <si>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</si>
  <si>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</si>
  <si>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</si>
  <si>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</si>
  <si>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</si>
  <si>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</si>
  <si>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</si>
  <si>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</si>
  <si>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</si>
  <si>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</si>
  <si>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</si>
  <si>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</si>
  <si>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</si>
  <si>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</si>
  <si>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</si>
  <si>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</si>
  <si>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</si>
  <si>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</si>
  <si>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</si>
  <si>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</si>
  <si>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</si>
  <si>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</si>
  <si>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</si>
  <si>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</si>
  <si>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</si>
  <si>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</si>
  <si>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</si>
  <si>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</si>
  <si>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</si>
  <si>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</si>
  <si>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</si>
  <si>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</si>
  <si>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</si>
  <si>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</si>
  <si>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</si>
  <si>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</si>
  <si>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</si>
  <si>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</si>
  <si>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</si>
  <si>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</si>
  <si>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</si>
  <si>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</si>
  <si>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</si>
  <si>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</si>
  <si>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</si>
  <si>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</si>
  <si>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</si>
  <si>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</si>
  <si>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</si>
  <si>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</si>
  <si>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</si>
  <si>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</si>
  <si>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</si>
  <si>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</si>
  <si>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</si>
  <si>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</si>
  <si>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</si>
  <si>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</si>
  <si>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</si>
  <si>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</si>
  <si>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</si>
  <si>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</si>
  <si>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</si>
  <si>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</si>
  <si>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</si>
  <si>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</si>
  <si>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</si>
  <si>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</si>
  <si>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</si>
  <si>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</si>
  <si>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</si>
  <si>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</si>
  <si>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</si>
  <si>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</si>
  <si>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</si>
  <si>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</si>
  <si>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</si>
  <si>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</si>
  <si>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</si>
  <si>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</si>
  <si>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</si>
  <si>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</si>
  <si>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</si>
  <si>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</si>
  <si>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</si>
  <si>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</si>
  <si>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</si>
  <si>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</si>
  <si>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</si>
  <si>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</si>
  <si>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</si>
  <si>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</si>
  <si>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</si>
  <si>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</si>
  <si>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</si>
  <si>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</si>
  <si>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</si>
  <si>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</si>
  <si>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</si>
  <si>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</si>
  <si>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</si>
  <si>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</si>
  <si>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</si>
  <si>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</si>
  <si>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</si>
  <si>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</si>
  <si>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</si>
  <si>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</si>
  <si>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</si>
  <si>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</si>
  <si>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</si>
  <si>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</si>
  <si>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</si>
  <si>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</si>
  <si>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</si>
  <si>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</si>
  <si>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</si>
  <si>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</si>
  <si>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</si>
  <si>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</si>
  <si>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</si>
  <si>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</si>
  <si>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</si>
  <si>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</si>
  <si>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</si>
  <si>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</si>
  <si>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</si>
  <si>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</si>
  <si>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</si>
  <si>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</si>
  <si>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</si>
  <si>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</si>
  <si>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</si>
  <si>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</si>
  <si>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</si>
  <si>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</si>
  <si>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</si>
  <si>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</si>
  <si>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</si>
  <si>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</si>
  <si>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</si>
  <si>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</si>
  <si>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</si>
  <si>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</si>
  <si>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</si>
  <si>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</si>
  <si>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</si>
  <si>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</si>
  <si>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</si>
  <si>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</si>
  <si>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</si>
  <si>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</si>
  <si>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</si>
  <si>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</si>
  <si>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</si>
  <si>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</si>
  <si>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</si>
  <si>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</si>
  <si>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</si>
  <si>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</si>
  <si>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</si>
  <si>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</si>
  <si>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</si>
  <si>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</si>
  <si>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</si>
  <si>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</si>
  <si>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</si>
  <si>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</si>
  <si>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</si>
  <si>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</si>
  <si>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</si>
  <si>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</si>
  <si>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</si>
  <si>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</si>
  <si>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</si>
  <si>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</si>
  <si>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</si>
  <si>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</si>
  <si>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</si>
  <si>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</si>
  <si>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</si>
  <si>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</si>
  <si>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</si>
  <si>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</si>
  <si>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</si>
  <si>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</si>
  <si>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</si>
  <si>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</si>
  <si>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</si>
  <si>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</si>
  <si>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</si>
  <si>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</si>
  <si>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</si>
  <si>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</si>
  <si>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</si>
  <si>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</si>
  <si>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</si>
  <si>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</si>
  <si>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</si>
  <si>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</si>
  <si>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</si>
  <si>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</si>
  <si>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</si>
  <si>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</si>
  <si>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</si>
  <si>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</si>
  <si>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</si>
  <si>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</si>
  <si>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</si>
  <si>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</si>
  <si>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</si>
  <si>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</si>
  <si>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</si>
  <si>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</si>
  <si>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</si>
  <si>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</si>
  <si>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</si>
  <si>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</si>
  <si>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</si>
  <si>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</si>
  <si>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</si>
  <si>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</si>
  <si>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</si>
  <si>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</si>
  <si>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</si>
  <si>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</si>
  <si>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</si>
  <si>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</si>
  <si>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</si>
  <si>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</si>
  <si>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</si>
  <si>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</si>
  <si>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</si>
  <si>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</si>
  <si>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</si>
  <si>
    <t>6ab1f4487b71afa134f4a1c6</t>
  </si>
  <si>
    <t>21/09/2026 20:58:53</t>
  </si>
  <si>
    <t>22/09/2026 00:21:44</t>
  </si>
  <si>
    <t>21/09/2026</t>
  </si>
  <si>
    <t>6ab1f4477b71afa134f4a1ac</t>
  </si>
  <si>
    <t>21/09/2026 18:24:17</t>
  </si>
  <si>
    <t>22/09/2026 00:21:43</t>
  </si>
  <si>
    <t>6ab1f4477b71afa134f4a194</t>
  </si>
  <si>
    <t>21/09/2026 13:05:58</t>
  </si>
  <si>
    <t>6ab154eb14246dbb8f7cd283</t>
  </si>
  <si>
    <t>21/09/2026 11:05:15</t>
  </si>
  <si>
    <t>21/09/2026 13:01:47</t>
  </si>
  <si>
    <t>6ab154ea14246dbb8f7cd271</t>
  </si>
  <si>
    <t>21/09/2026 08:23:09</t>
  </si>
  <si>
    <t>21/09/2026 13:01:46</t>
  </si>
  <si>
    <t>6ab154ea14246dbb8f7cd25f</t>
  </si>
  <si>
    <t>21/09/2026 06:30:20</t>
  </si>
  <si>
    <t>6ab154ea14246dbb8f7cd24d</t>
  </si>
  <si>
    <t>21/09/2026 04:31:26</t>
  </si>
  <si>
    <t>6ab3f5fe7dc9e21ef60b45dd</t>
  </si>
  <si>
    <t>23/09/2026 11:29:57</t>
  </si>
  <si>
    <t>23/09/2026 12:53:34</t>
  </si>
  <si>
    <t>23/09/2026</t>
  </si>
  <si>
    <t>6ab3f5fe7dc9e21ef60b45c9</t>
  </si>
  <si>
    <t>23/09/2026 08:35:21</t>
  </si>
  <si>
    <t>6ab3f5fe7dc9e21ef60b45b7</t>
  </si>
  <si>
    <t>23/09/2026 06:31:49</t>
  </si>
  <si>
    <t>6ab3f5fe7dc9e21ef60b45ab</t>
  </si>
  <si>
    <t>23/09/2026 04:54:28</t>
  </si>
  <si>
    <t>6ab33d982198fdc3939087f7</t>
  </si>
  <si>
    <t>22/09/2026 21:34:31</t>
  </si>
  <si>
    <t>22/09/2026 23:46:48</t>
  </si>
  <si>
    <t>22/09/2026</t>
  </si>
  <si>
    <t>6ab33d982198fdc3939087df</t>
  </si>
  <si>
    <t>22/09/2026 17:49:08</t>
  </si>
  <si>
    <t>6ab33d972198fdc3939087bb</t>
  </si>
  <si>
    <t>22/09/2026 14:20:24</t>
  </si>
  <si>
    <t>22/09/2026 23:46:47</t>
  </si>
  <si>
    <t>6ab2a66acffb29c3dcb6c7f6</t>
  </si>
  <si>
    <t>22/09/2026 11:34:38</t>
  </si>
  <si>
    <t>22/09/2026 13:01:46</t>
  </si>
  <si>
    <t>6ab2a66acffb29c3dcb6c7e2</t>
  </si>
  <si>
    <t>22/09/2026 08:54:27</t>
  </si>
  <si>
    <t>6ab2a66acffb29c3dcb6c7c4</t>
  </si>
  <si>
    <t>22/09/2026 06:14:24</t>
  </si>
  <si>
    <t>6ab2a669cffb29c3dcb6c7b2</t>
  </si>
  <si>
    <t>22/09/2026 04:29:39</t>
  </si>
  <si>
    <t>22/09/2026 13:01:45</t>
  </si>
  <si>
    <t>6ab48a81b91ebe7368fcc31b</t>
  </si>
  <si>
    <t>23/09/2026 21:13:58</t>
  </si>
  <si>
    <t>23/09/2026 23:27:13</t>
  </si>
  <si>
    <t>6ab48a81b91ebe7368fcc30f</t>
  </si>
  <si>
    <t>23/09/2026 18:18:53</t>
  </si>
  <si>
    <t>6ab48a81b91ebe7368fcc2e5</t>
  </si>
  <si>
    <t>23/09/2026 14:00:56</t>
  </si>
  <si>
    <t>6ab72b5c11cbfa0f2c786980</t>
  </si>
  <si>
    <t>25/09/2026 21:55:26</t>
  </si>
  <si>
    <t>25/09/2026 23:18:04</t>
  </si>
  <si>
    <t>25/09/2026</t>
  </si>
  <si>
    <t>6ab72b5c11cbfa0f2c786974</t>
  </si>
  <si>
    <t>25/09/2026 19:39:18</t>
  </si>
  <si>
    <t>6ab72b5c11cbfa0f2c78694a</t>
  </si>
  <si>
    <t>25/09/2026 14:09:53</t>
  </si>
  <si>
    <t>6ab69acafde5ec03d75893a4</t>
  </si>
  <si>
    <t>25/09/2026 11:32:50</t>
  </si>
  <si>
    <t>25/09/2026 13:01:14</t>
  </si>
  <si>
    <t>6ab69acafde5ec03d7589392</t>
  </si>
  <si>
    <t>25/09/2026 08:43:28</t>
  </si>
  <si>
    <t>6ab699afacf1d04b2dd91f4b</t>
  </si>
  <si>
    <t>25/09/2026 06:25:16</t>
  </si>
  <si>
    <t>25/09/2026 12:56:31</t>
  </si>
  <si>
    <t>6ab699afacf1d04b2dd91f45</t>
  </si>
  <si>
    <t>25/09/2026 04:27:10</t>
  </si>
  <si>
    <t>6ab5df3c99cfdd26d64307e6</t>
  </si>
  <si>
    <t>24/09/2026 20:37:19</t>
  </si>
  <si>
    <t>24/09/2026 23:41:00</t>
  </si>
  <si>
    <t>24/09/2026</t>
  </si>
  <si>
    <t>6ab5df3c99cfdd26d64307d4</t>
  </si>
  <si>
    <t>24/09/2026 18:45:10</t>
  </si>
  <si>
    <t>6ab5df3b99cfdd26d64307aa</t>
  </si>
  <si>
    <t>24/09/2026 13:52:48</t>
  </si>
  <si>
    <t>24/09/2026 23:40:59</t>
  </si>
  <si>
    <t>6ab5490e591c2004f134c33d</t>
  </si>
  <si>
    <t>24/09/2026 11:24:57</t>
  </si>
  <si>
    <t>24/09/2026 13:00:14</t>
  </si>
  <si>
    <t>6ab5490e591c2004f134c325</t>
  </si>
  <si>
    <t>24/09/2026 08:14:23</t>
  </si>
  <si>
    <t>6ab5490e591c2004f134c313</t>
  </si>
  <si>
    <t>24/09/2026 06:29:39</t>
  </si>
  <si>
    <t>6ab5490d591c2004f134c2fb</t>
  </si>
  <si>
    <t>24/09/2026 04:27:44</t>
  </si>
  <si>
    <t>24/09/2026 13:00:13</t>
  </si>
  <si>
    <t>6abb28971f4352de92673b0a</t>
  </si>
  <si>
    <t>28/09/2026 21:13:10</t>
  </si>
  <si>
    <t>28/09/2026 23:55:19</t>
  </si>
  <si>
    <t>28/09/2026</t>
  </si>
  <si>
    <t>6abb28971f4352de92673af2</t>
  </si>
  <si>
    <t>28/09/2026 19:09:46</t>
  </si>
  <si>
    <t>6abb28961f4352de92673ad4</t>
  </si>
  <si>
    <t>28/09/2026 14:06:02</t>
  </si>
  <si>
    <t>28/09/2026 23:55:18</t>
  </si>
  <si>
    <t>6aba9094acf1d04b2ddb06b4</t>
  </si>
  <si>
    <t>28/09/2026 11:35:46</t>
  </si>
  <si>
    <t>28/09/2026 13:06:44</t>
  </si>
  <si>
    <t>6aba9093acf1d04b2ddb069c</t>
  </si>
  <si>
    <t>28/09/2026 08:41:09</t>
  </si>
  <si>
    <t>28/09/2026 13:06:43</t>
  </si>
  <si>
    <t>6aba9093acf1d04b2ddb0684</t>
  </si>
  <si>
    <t>28/09/2026 06:28:40</t>
  </si>
  <si>
    <t>6aba9093acf1d04b2ddb0672</t>
  </si>
  <si>
    <t>28/09/2026 04:25:11</t>
  </si>
  <si>
    <t>6abc70e143ce2b65efeb7a4d</t>
  </si>
  <si>
    <t>29/09/2026 21:34:37</t>
  </si>
  <si>
    <t>29/09/2026 23:16:01</t>
  </si>
  <si>
    <t>29/09/2026</t>
  </si>
  <si>
    <t>6abc70e143ce2b65efeb7a3b</t>
  </si>
  <si>
    <t>29/09/2026 18:27:34</t>
  </si>
  <si>
    <t>6abc70e043ce2b65efeb7a17</t>
  </si>
  <si>
    <t>29/09/2026 14:05:27</t>
  </si>
  <si>
    <t>29/09/2026 23:16:00</t>
  </si>
  <si>
    <t>6abbe112d12b6fdcdf5519ef</t>
  </si>
  <si>
    <t>29/09/2026 11:07:05</t>
  </si>
  <si>
    <t>29/09/2026 13:02:26</t>
  </si>
  <si>
    <t>6abbe112d12b6fdcdf5519dd</t>
  </si>
  <si>
    <t>29/09/2026 08:38:00</t>
  </si>
  <si>
    <t>6abbe112d12b6fdcdf5519cb</t>
  </si>
  <si>
    <t>29/09/2026 06:54:58</t>
  </si>
  <si>
    <t>6abbe112d12b6fdcdf5519b3</t>
  </si>
  <si>
    <t>29/09/2026 04:28:40</t>
  </si>
  <si>
    <t>6abdc6d0a48ad3e47d9c4cd9</t>
  </si>
  <si>
    <t>30/09/2026 21:26:04</t>
  </si>
  <si>
    <t>30/09/2026 23:34:56</t>
  </si>
  <si>
    <t>30/09/2026</t>
  </si>
  <si>
    <t>6abdc6d0a48ad3e47d9c4cc7</t>
  </si>
  <si>
    <t>30/09/2026 19:03:03</t>
  </si>
  <si>
    <t>6abd806f8c70c570f30dc379</t>
  </si>
  <si>
    <t>30/09/2026 14:09:30</t>
  </si>
  <si>
    <t>30/09/2026 18:34:39</t>
  </si>
  <si>
    <t>6abd346f7f3e0285f25b9395</t>
  </si>
  <si>
    <t>30/09/2026 11:24:22</t>
  </si>
  <si>
    <t>30/09/2026 13:10:23</t>
  </si>
  <si>
    <t>6abd346f7f3e0285f25b9383</t>
  </si>
  <si>
    <t>30/09/2026 08:48:56</t>
  </si>
  <si>
    <t>6abd346f7f3e0285f25b9371</t>
  </si>
  <si>
    <t>30/09/2026 06:35:19</t>
  </si>
  <si>
    <t>6abd346e7f3e0285f25b9359</t>
  </si>
  <si>
    <t>30/09/2026 04:24:40</t>
  </si>
  <si>
    <t>30/09/2026 13:10:22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</si>
</sst>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96.45315335648" createdVersion="5" refreshedVersion="5" minRefreshableVersion="3" recordCount="321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10-01T00:00:00" count="57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1T00:00:00"/>
        <d v="2026-09-23T00:00:00"/>
        <d v="2026-09-22T00:00:00"/>
        <d v="2026-09-25T00:00:00"/>
        <d v="2026-09-24T00:00:00"/>
        <d v="2026-09-28T00:00:00"/>
        <d v="2026-09-29T00:00:00"/>
        <d v="2026-09-30T00:00:00"/>
        <d v="2026-05-03T00:00:00" u="1"/>
      </sharedItems>
    </cacheField>
    <cacheField name="Mês" numFmtId="14">
      <sharedItems count="9">
        <s v="JAN"/>
        <s v="FEV"/>
        <s v="MAR"/>
        <s v="ABR"/>
        <s v="MAI"/>
        <s v="JUN"/>
        <s v="AGO"/>
        <s v="JUL"/>
        <s v="SE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8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3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String="0" containsBlank="1" containsNumber="1" containsInteger="1" minValue="0" maxValue="7"/>
    </cacheField>
    <cacheField name="% Contaminação Após Extratora" numFmtId="2">
      <sharedItems containsSemiMixedTypes="0" containsString="0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10"/>
    </cacheField>
    <cacheField name="% Perda de pacotes na evisceradora " numFmtId="2">
      <sharedItems containsBlank="1" containsMixedTypes="1" containsNumber="1" minValue="0" maxValue="7.6923076923076925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1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  <r>
    <x v="48"/>
    <x v="8"/>
    <s v="6ab1f4487b71afa134f4a1c6"/>
    <s v="21/09/2026 20:58:53"/>
    <s v="22/09/2026 00:21:44"/>
    <s v="Henrique"/>
    <s v="21/09/2026"/>
    <s v="Guapiaçu"/>
    <s v="2 ° Turno"/>
    <n v="151"/>
    <n v="2686"/>
    <s v="JOBILIANA APARECIDA MAXIMO BERGAMINI"/>
    <n v="20"/>
    <n v="20"/>
    <n v="5"/>
    <n v="5"/>
    <n v="0"/>
    <n v="0"/>
    <n v="1"/>
    <n v="1"/>
    <n v="0"/>
    <n v="0"/>
    <n v="0"/>
    <n v="0"/>
    <n v="10"/>
    <n v="3.311258278145695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5"/>
    <n v="3.3112582781456954"/>
    <n v="6"/>
    <n v="3.9735099337748347"/>
    <n v="0"/>
    <n v="0"/>
    <s v=""/>
    <n v="10"/>
    <n v="0"/>
    <n v="0"/>
    <n v="20"/>
    <n v="0"/>
    <n v="0"/>
    <n v="0"/>
    <n v="0"/>
    <n v="20"/>
    <n v="18"/>
    <n v="0"/>
    <n v="0"/>
    <s v=""/>
    <n v="9"/>
    <n v="0"/>
    <n v="0"/>
    <s v="assinatura"/>
    <n v="310"/>
  </r>
  <r>
    <x v="48"/>
    <x v="8"/>
    <s v="6ab1f4477b71afa134f4a1ac"/>
    <s v="21/09/2026 18:24:17"/>
    <s v="22/09/2026 00:21:43"/>
    <s v="Henrique"/>
    <s v="21/09/2026"/>
    <s v="Guapiaçu"/>
    <s v="2 ° Turno"/>
    <n v="114"/>
    <n v="2767"/>
    <s v="JOBILIANA APARECIDA MAXIMO BERGAMINI"/>
    <n v="19"/>
    <n v="19"/>
    <n v="12"/>
    <n v="12"/>
    <n v="0"/>
    <n v="0"/>
    <n v="2"/>
    <n v="2"/>
    <n v="1"/>
    <n v="1"/>
    <n v="4"/>
    <n v="20"/>
    <n v="5"/>
    <n v="2.1929824561403506"/>
    <n v="6"/>
    <n v="5.2631578947368416"/>
    <n v="0"/>
    <n v="0"/>
    <n v="2"/>
    <n v="1.7543859649122806"/>
    <n v="2"/>
    <n v="1.7543859649122806"/>
    <s v=""/>
    <n v="0"/>
    <n v="0"/>
    <n v="0"/>
    <n v="0"/>
    <s v=""/>
    <n v="11"/>
    <n v="9.6491228070175428"/>
    <n v="7"/>
    <n v="6.140350877192982"/>
    <n v="6"/>
    <n v="5.2631578947368416"/>
    <n v="0"/>
    <n v="0"/>
    <s v=""/>
    <n v="20"/>
    <n v="0"/>
    <n v="1"/>
    <n v="40"/>
    <n v="0"/>
    <n v="2"/>
    <n v="0"/>
    <n v="0"/>
    <n v="19"/>
    <n v="18"/>
    <n v="0"/>
    <n v="0"/>
    <s v=""/>
    <n v="10"/>
    <n v="0"/>
    <n v="0"/>
    <s v="assinatura"/>
    <n v="9225"/>
  </r>
  <r>
    <x v="48"/>
    <x v="8"/>
    <s v="6ab1f4477b71afa134f4a194"/>
    <s v="21/09/2026 13:05:58"/>
    <s v="22/09/2026 00:21:43"/>
    <s v="Henrique"/>
    <s v="21/09/2026"/>
    <s v="Guapiaçu"/>
    <s v="2 ° Turno"/>
    <n v="130"/>
    <n v="2813"/>
    <s v="JOBILIANA APARECIDA MAXIMO BERGAMINI"/>
    <n v="23"/>
    <n v="23"/>
    <n v="6"/>
    <n v="6"/>
    <n v="0"/>
    <n v="0"/>
    <n v="2"/>
    <n v="2"/>
    <n v="0"/>
    <n v="0"/>
    <n v="0"/>
    <n v="0"/>
    <n v="4"/>
    <n v="1.5384615384615385"/>
    <n v="6"/>
    <n v="4.6153846153846159"/>
    <n v="0"/>
    <n v="0"/>
    <n v="0"/>
    <n v="0"/>
    <n v="2"/>
    <n v="1.5384615384615385"/>
    <s v=""/>
    <n v="0"/>
    <n v="0"/>
    <n v="0"/>
    <n v="0"/>
    <s v=""/>
    <n v="5"/>
    <n v="3.8461538461538463"/>
    <n v="10"/>
    <n v="7.6923076923076925"/>
    <n v="4"/>
    <n v="3.0769230769230771"/>
    <n v="0"/>
    <n v="0"/>
    <s v=""/>
    <n v="18"/>
    <n v="0"/>
    <n v="0"/>
    <n v="36"/>
    <n v="0"/>
    <n v="0"/>
    <n v="1"/>
    <n v="0.76923076923076927"/>
    <n v="18"/>
    <n v="14"/>
    <n v="0"/>
    <n v="0"/>
    <s v=""/>
    <s v=""/>
    <s v=""/>
    <s v=""/>
    <s v="assinatura"/>
    <n v="13150"/>
  </r>
  <r>
    <x v="48"/>
    <x v="8"/>
    <s v="6ab154eb14246dbb8f7cd283"/>
    <s v="21/09/2026 11:05:15"/>
    <s v="21/09/2026 13:01:47"/>
    <s v="Henrique"/>
    <s v="21/09/2026"/>
    <s v="Guapiaçu"/>
    <s v="1 ° Turno"/>
    <n v="161"/>
    <n v="2846"/>
    <s v="EDMAR FELIPE MARTINS"/>
    <n v="35"/>
    <n v="35"/>
    <n v="14"/>
    <n v="14.000000000000002"/>
    <n v="0"/>
    <n v="0"/>
    <n v="4"/>
    <n v="4"/>
    <n v="1"/>
    <n v="1"/>
    <n v="0"/>
    <n v="0"/>
    <n v="1"/>
    <n v="0.3105590062111801"/>
    <n v="3"/>
    <n v="1.8633540372670807"/>
    <n v="0"/>
    <n v="0"/>
    <n v="3"/>
    <n v="1.8633540372670807"/>
    <n v="7"/>
    <n v="4.3478260869565215"/>
    <s v=""/>
    <n v="3"/>
    <n v="1.8633540372670807"/>
    <n v="3"/>
    <n v="1.8633540372670807"/>
    <s v=""/>
    <n v="6"/>
    <n v="3.7267080745341614"/>
    <n v="5"/>
    <n v="3.1055900621118013"/>
    <n v="6"/>
    <n v="3.7267080745341614"/>
    <n v="1"/>
    <n v="0.6211180124223602"/>
    <s v=""/>
    <n v="20"/>
    <n v="0"/>
    <n v="0"/>
    <n v="40"/>
    <n v="0"/>
    <n v="0"/>
    <n v="1"/>
    <n v="0.6211180124223602"/>
    <n v="27"/>
    <n v="15"/>
    <n v="1"/>
    <n v="10"/>
    <s v=""/>
    <s v=""/>
    <s v=""/>
    <s v=""/>
    <s v="assinatura"/>
    <n v="2650"/>
  </r>
  <r>
    <x v="48"/>
    <x v="8"/>
    <s v="6ab154ea14246dbb8f7cd271"/>
    <s v="21/09/2026 08:23:09"/>
    <s v="21/09/2026 13:01:46"/>
    <s v="Henrique"/>
    <s v="21/09/2026"/>
    <s v="Guapiaçu"/>
    <s v="1 ° Turno"/>
    <n v="150"/>
    <n v="2910"/>
    <s v="EDMAR FELIPE MARTINS"/>
    <n v="25"/>
    <n v="25"/>
    <n v="6"/>
    <n v="6"/>
    <n v="0"/>
    <n v="0"/>
    <n v="2"/>
    <n v="2"/>
    <n v="0"/>
    <n v="0"/>
    <n v="0"/>
    <n v="0"/>
    <n v="1"/>
    <n v="0.33333333333333337"/>
    <n v="3"/>
    <n v="2"/>
    <n v="0"/>
    <n v="0"/>
    <n v="0"/>
    <n v="0"/>
    <n v="6"/>
    <n v="4"/>
    <s v=""/>
    <n v="3"/>
    <n v="2"/>
    <n v="2"/>
    <n v="1.3333333333333335"/>
    <s v=""/>
    <n v="5"/>
    <n v="3.3333333333333335"/>
    <n v="2"/>
    <n v="1.3333333333333335"/>
    <n v="6"/>
    <n v="4"/>
    <n v="1"/>
    <n v="0.66666666666666674"/>
    <s v=""/>
    <n v="17"/>
    <n v="0"/>
    <n v="0"/>
    <n v="34"/>
    <n v="0"/>
    <n v="0"/>
    <n v="0"/>
    <n v="0"/>
    <n v="21"/>
    <n v="11"/>
    <n v="1"/>
    <n v="10"/>
    <s v=""/>
    <s v=""/>
    <s v=""/>
    <s v=""/>
    <s v=""/>
    <n v="1667"/>
  </r>
  <r>
    <x v="48"/>
    <x v="8"/>
    <s v="6ab154ea14246dbb8f7cd25f"/>
    <s v="21/09/2026 06:30:20"/>
    <s v="21/09/2026 13:01:46"/>
    <s v="Henrique"/>
    <s v="21/09/2026"/>
    <s v="Guapiaçu"/>
    <s v="1 ° Turno"/>
    <n v="156"/>
    <n v="2960"/>
    <s v="EDMAR FELIPE MARTINS"/>
    <n v="29"/>
    <n v="28.999999999999996"/>
    <n v="13"/>
    <n v="13"/>
    <n v="0"/>
    <n v="0"/>
    <n v="3"/>
    <n v="3"/>
    <n v="1"/>
    <n v="1"/>
    <n v="0"/>
    <n v="0"/>
    <n v="1"/>
    <n v="0.32051282051282048"/>
    <n v="2"/>
    <n v="1.2820512820512819"/>
    <n v="0"/>
    <n v="0"/>
    <n v="1"/>
    <n v="0.64102564102564097"/>
    <n v="9"/>
    <n v="5.7692307692307692"/>
    <s v=""/>
    <n v="3"/>
    <n v="1.9230769230769231"/>
    <n v="2"/>
    <n v="1.2820512820512819"/>
    <s v=""/>
    <n v="6"/>
    <n v="3.8461538461538463"/>
    <n v="8"/>
    <n v="5.1282051282051277"/>
    <n v="7"/>
    <n v="4.4871794871794872"/>
    <n v="1"/>
    <n v="0.64102564102564097"/>
    <s v=""/>
    <n v="19"/>
    <n v="0"/>
    <n v="0"/>
    <n v="38"/>
    <n v="0"/>
    <n v="0"/>
    <n v="0"/>
    <n v="0"/>
    <n v="20"/>
    <n v="9"/>
    <n v="1"/>
    <n v="10"/>
    <s v=""/>
    <s v=""/>
    <s v=""/>
    <s v=""/>
    <s v="assinatura"/>
    <n v="1497"/>
  </r>
  <r>
    <x v="48"/>
    <x v="8"/>
    <s v="6ab154ea14246dbb8f7cd24d"/>
    <s v="21/09/2026 04:31:26"/>
    <s v="21/09/2026 13:01:46"/>
    <s v="Henrique"/>
    <s v="21/09/2026"/>
    <s v="Guapiaçu"/>
    <s v="1 ° Turno"/>
    <n v="156"/>
    <n v="2910"/>
    <s v="EDMAR FELIPE MARTINS"/>
    <n v="22"/>
    <n v="22"/>
    <n v="8"/>
    <n v="8"/>
    <s v=""/>
    <s v=""/>
    <n v="2"/>
    <n v="2"/>
    <n v="1"/>
    <n v="1"/>
    <n v="0"/>
    <n v="0"/>
    <n v="3"/>
    <n v="0.96153846153846156"/>
    <n v="3"/>
    <n v="1.9230769230769231"/>
    <n v="0"/>
    <n v="0"/>
    <n v="1"/>
    <n v="0.64102564102564097"/>
    <n v="6"/>
    <n v="3.8461538461538463"/>
    <s v=""/>
    <n v="3"/>
    <n v="1.9230769230769231"/>
    <n v="1"/>
    <n v="0.64102564102564097"/>
    <s v=""/>
    <n v="5"/>
    <n v="3.2051282051282048"/>
    <n v="4"/>
    <n v="2.5641025641025639"/>
    <n v="6"/>
    <n v="3.8461538461538463"/>
    <n v="1"/>
    <n v="0.64102564102564097"/>
    <s v=""/>
    <n v="16"/>
    <n v="1"/>
    <n v="1"/>
    <n v="32"/>
    <n v="2"/>
    <n v="2"/>
    <n v="0"/>
    <n v="0"/>
    <n v="21"/>
    <n v="9"/>
    <n v="0"/>
    <n v="0"/>
    <s v=""/>
    <s v=""/>
    <s v=""/>
    <s v=""/>
    <s v="assinatura"/>
    <n v="2582"/>
  </r>
  <r>
    <x v="49"/>
    <x v="8"/>
    <s v="6ab3f5fe7dc9e21ef60b45dd"/>
    <s v="23/09/2026 11:29:57"/>
    <s v="23/09/2026 12:53:34"/>
    <s v="Henrique"/>
    <s v="23/09/2026"/>
    <s v="Guapiaçu"/>
    <s v="1 ° Turno"/>
    <n v="100"/>
    <n v="2765"/>
    <s v="EDMAR FELIPE MARTINS"/>
    <n v="51"/>
    <n v="51"/>
    <n v="14"/>
    <n v="14.000000000000002"/>
    <n v="0"/>
    <n v="0"/>
    <n v="3"/>
    <n v="3"/>
    <n v="1"/>
    <n v="1"/>
    <n v="6"/>
    <n v="30"/>
    <n v="2"/>
    <n v="1"/>
    <n v="3"/>
    <n v="3"/>
    <n v="0"/>
    <n v="0"/>
    <n v="2"/>
    <n v="2"/>
    <n v="4"/>
    <n v="4"/>
    <s v=""/>
    <n v="2"/>
    <n v="2"/>
    <n v="2"/>
    <n v="2"/>
    <s v=""/>
    <n v="4"/>
    <n v="4"/>
    <n v="3"/>
    <n v="3"/>
    <n v="6"/>
    <n v="6"/>
    <n v="3"/>
    <n v="3"/>
    <s v=""/>
    <n v="21"/>
    <n v="0"/>
    <n v="0"/>
    <n v="42"/>
    <n v="0"/>
    <n v="0"/>
    <n v="0"/>
    <n v="0"/>
    <n v="23"/>
    <n v="20"/>
    <n v="1"/>
    <n v="10"/>
    <s v=""/>
    <n v="0"/>
    <n v="0"/>
    <n v="1"/>
    <s v="assinatura"/>
    <n v="1699"/>
  </r>
  <r>
    <x v="49"/>
    <x v="8"/>
    <s v="6ab3f5fe7dc9e21ef60b45c9"/>
    <s v="23/09/2026 08:35:21"/>
    <s v="23/09/2026 12:53:34"/>
    <s v="Henrique"/>
    <s v="23/09/2026"/>
    <s v="Guapiaçu"/>
    <s v="1 ° Turno"/>
    <n v="135"/>
    <n v="2765"/>
    <s v="EDMAR FELIPE MARTINS"/>
    <n v="40"/>
    <n v="40"/>
    <n v="15"/>
    <n v="15"/>
    <n v="0"/>
    <n v="0"/>
    <n v="4"/>
    <n v="4"/>
    <n v="1"/>
    <n v="1"/>
    <n v="3"/>
    <n v="15"/>
    <n v="1"/>
    <n v="0.37037037037037041"/>
    <n v="3"/>
    <n v="2.2222222222222223"/>
    <n v="0"/>
    <n v="0"/>
    <n v="2"/>
    <n v="1.4814814814814816"/>
    <n v="6"/>
    <n v="4.4444444444444446"/>
    <s v=""/>
    <n v="3"/>
    <n v="2.2222222222222223"/>
    <n v="2"/>
    <n v="1.4814814814814816"/>
    <s v=""/>
    <n v="5"/>
    <n v="3.7037037037037033"/>
    <n v="2"/>
    <n v="1.4814814814814816"/>
    <n v="9"/>
    <n v="6.666666666666667"/>
    <n v="2"/>
    <n v="1.4814814814814816"/>
    <s v=""/>
    <n v="15"/>
    <n v="0"/>
    <n v="0"/>
    <n v="30"/>
    <n v="0"/>
    <n v="0"/>
    <n v="0"/>
    <n v="0"/>
    <n v="19"/>
    <n v="17"/>
    <n v="1"/>
    <n v="10"/>
    <s v=""/>
    <n v="2"/>
    <n v="0"/>
    <n v="1"/>
    <s v="assinatura"/>
    <n v="2096"/>
  </r>
  <r>
    <x v="49"/>
    <x v="8"/>
    <s v="6ab3f5fe7dc9e21ef60b45b7"/>
    <s v="23/09/2026 06:31:49"/>
    <s v="23/09/2026 12:53:34"/>
    <s v="Henrique"/>
    <s v="23/09/2026"/>
    <s v="Guapiaçu"/>
    <s v="1 ° Turno"/>
    <n v="110"/>
    <n v="2732"/>
    <s v="EDMAR FELIPE MARTINS"/>
    <n v="25"/>
    <n v="25"/>
    <n v="8"/>
    <n v="8"/>
    <n v="0"/>
    <n v="0"/>
    <n v="4"/>
    <n v="4"/>
    <n v="1"/>
    <n v="1"/>
    <n v="0"/>
    <n v="0"/>
    <n v="1"/>
    <n v="0.45454545454545453"/>
    <n v="8"/>
    <n v="7.2727272727272725"/>
    <n v="0"/>
    <n v="0"/>
    <n v="1"/>
    <n v="0.90909090909090906"/>
    <n v="6"/>
    <n v="5.4545454545454541"/>
    <s v=""/>
    <n v="3"/>
    <n v="2.7272727272727271"/>
    <n v="2"/>
    <n v="1.8181818181818181"/>
    <s v=""/>
    <n v="10"/>
    <n v="9.0909090909090917"/>
    <n v="2"/>
    <n v="1.8181818181818181"/>
    <n v="9"/>
    <n v="8.1818181818181817"/>
    <n v="2"/>
    <n v="1.8181818181818181"/>
    <s v=""/>
    <n v="13"/>
    <n v="0"/>
    <n v="0"/>
    <n v="26"/>
    <n v="0"/>
    <n v="0"/>
    <n v="0"/>
    <n v="0"/>
    <n v="25"/>
    <n v="19"/>
    <n v="1"/>
    <n v="10"/>
    <s v=""/>
    <s v=""/>
    <s v=""/>
    <s v=""/>
    <s v="assinatura"/>
    <n v="1705"/>
  </r>
  <r>
    <x v="49"/>
    <x v="8"/>
    <s v="6ab3f5fe7dc9e21ef60b45ab"/>
    <s v="23/09/2026 04:54:28"/>
    <s v="23/09/2026 12:53:34"/>
    <s v="Henrique"/>
    <s v="23/09/2026"/>
    <s v="Guapiaçu"/>
    <s v="1 ° Turno"/>
    <n v="125"/>
    <n v="2762"/>
    <s v="EDMAR FELIPE MARTINS"/>
    <n v="33"/>
    <n v="33"/>
    <n v="12"/>
    <n v="12"/>
    <n v="0"/>
    <n v="0"/>
    <n v="1"/>
    <n v="1"/>
    <n v="1"/>
    <n v="1"/>
    <n v="2"/>
    <n v="10"/>
    <n v="1"/>
    <n v="0.4"/>
    <n v="8"/>
    <n v="6.4"/>
    <n v="0"/>
    <n v="0"/>
    <n v="2"/>
    <n v="1.6"/>
    <n v="6"/>
    <n v="4.8"/>
    <s v=""/>
    <n v="3"/>
    <n v="2.4"/>
    <n v="2"/>
    <n v="1.6"/>
    <s v=""/>
    <n v="9"/>
    <n v="7.1999999999999993"/>
    <n v="4"/>
    <n v="3.2"/>
    <n v="7"/>
    <n v="5.6000000000000005"/>
    <n v="2"/>
    <n v="1.6"/>
    <s v=""/>
    <n v="15"/>
    <n v="0"/>
    <n v="0"/>
    <n v="30"/>
    <n v="0"/>
    <n v="0"/>
    <n v="0"/>
    <n v="0"/>
    <n v="26"/>
    <n v="23"/>
    <n v="1"/>
    <n v="10"/>
    <s v=""/>
    <s v=""/>
    <s v=""/>
    <s v=""/>
    <s v="assinatura"/>
    <n v="1695"/>
  </r>
  <r>
    <x v="50"/>
    <x v="8"/>
    <s v="6ab33d982198fdc3939087f7"/>
    <s v="22/09/2026 21:34:31"/>
    <s v="22/09/2026 23:46:48"/>
    <s v="Henrique"/>
    <s v="22/09/2026"/>
    <s v="Guapiaçu"/>
    <s v="2 ° Turno"/>
    <n v="151"/>
    <n v="2762"/>
    <s v="JOBILIANA APARECIDA MAXIMO BERGAMINI"/>
    <n v="20"/>
    <n v="20"/>
    <n v="5"/>
    <n v="5"/>
    <n v="0"/>
    <n v="0"/>
    <n v="1"/>
    <n v="1"/>
    <n v="1"/>
    <n v="1"/>
    <n v="0"/>
    <n v="0"/>
    <n v="6"/>
    <n v="1.9867549668874174"/>
    <n v="5"/>
    <n v="3.3112582781456954"/>
    <n v="0"/>
    <n v="0"/>
    <n v="1"/>
    <n v="0.66225165562913912"/>
    <n v="2"/>
    <n v="1.3245033112582782"/>
    <s v=""/>
    <n v="0"/>
    <n v="0"/>
    <n v="0"/>
    <n v="0"/>
    <s v=""/>
    <n v="6"/>
    <n v="3.9735099337748347"/>
    <n v="4"/>
    <n v="2.6490066225165565"/>
    <n v="7"/>
    <n v="4.6357615894039732"/>
    <n v="0"/>
    <n v="0"/>
    <s v=""/>
    <n v="16"/>
    <n v="0"/>
    <n v="0"/>
    <n v="32"/>
    <n v="0"/>
    <n v="0"/>
    <n v="0"/>
    <n v="0"/>
    <n v="20"/>
    <n v="18"/>
    <n v="0"/>
    <n v="0"/>
    <s v=""/>
    <n v="0"/>
    <n v="0"/>
    <n v="0"/>
    <s v="assinatura"/>
    <n v="274"/>
  </r>
  <r>
    <x v="50"/>
    <x v="8"/>
    <s v="6ab33d982198fdc3939087df"/>
    <s v="22/09/2026 17:49:08"/>
    <s v="22/09/2026 23:46:48"/>
    <s v="Henrique"/>
    <s v="22/09/2026"/>
    <s v="Guapiaçu"/>
    <s v="2 ° Turno"/>
    <n v="151"/>
    <n v="2758"/>
    <s v="JOBILIANA APARECIDA MAXIMO BERGAMINI"/>
    <n v="25"/>
    <n v="25"/>
    <n v="9"/>
    <n v="9"/>
    <n v="0"/>
    <n v="0"/>
    <n v="1"/>
    <n v="1"/>
    <n v="0"/>
    <n v="0"/>
    <n v="0"/>
    <n v="0"/>
    <n v="5"/>
    <n v="1.6556291390728477"/>
    <n v="19"/>
    <n v="12.582781456953644"/>
    <n v="0"/>
    <n v="0"/>
    <n v="1"/>
    <n v="0.66225165562913912"/>
    <n v="4"/>
    <n v="2.6490066225165565"/>
    <s v=""/>
    <n v="0"/>
    <n v="0"/>
    <n v="0"/>
    <n v="0"/>
    <s v=""/>
    <n v="6"/>
    <n v="3.9735099337748347"/>
    <n v="4"/>
    <n v="2.6490066225165565"/>
    <n v="9"/>
    <n v="5.9602649006622519"/>
    <n v="0"/>
    <n v="0"/>
    <s v=""/>
    <n v="19"/>
    <n v="0"/>
    <n v="0"/>
    <n v="38"/>
    <n v="0"/>
    <n v="0"/>
    <n v="3"/>
    <n v="1.9867549668874174"/>
    <n v="25"/>
    <n v="13"/>
    <n v="0"/>
    <n v="0"/>
    <s v=""/>
    <n v="1"/>
    <n v="0"/>
    <n v="0"/>
    <s v="assinatura"/>
    <n v="13832"/>
  </r>
  <r>
    <x v="50"/>
    <x v="8"/>
    <s v="6ab33d972198fdc3939087bb"/>
    <s v="22/09/2026 14:20:24"/>
    <s v="22/09/2026 23:46:47"/>
    <s v="Henrique"/>
    <s v="22/09/2026"/>
    <s v="Guapiaçu"/>
    <s v="2 ° Turno"/>
    <n v="151"/>
    <n v="2758"/>
    <s v="JOBILIANA APARECIDA MAXIMO BERGAMINI"/>
    <n v="21"/>
    <n v="21"/>
    <n v="4"/>
    <n v="4"/>
    <n v="1"/>
    <n v="10"/>
    <n v="1"/>
    <n v="1"/>
    <n v="0"/>
    <n v="0"/>
    <n v="0"/>
    <n v="0"/>
    <n v="3"/>
    <n v="0.99337748344370869"/>
    <n v="6"/>
    <n v="3.9735099337748347"/>
    <n v="0"/>
    <n v="0"/>
    <n v="2"/>
    <n v="1.3245033112582782"/>
    <n v="3"/>
    <n v="1.9867549668874174"/>
    <s v=""/>
    <n v="1"/>
    <n v="0.66225165562913912"/>
    <n v="0"/>
    <n v="0"/>
    <s v=""/>
    <n v="7"/>
    <n v="4.6357615894039732"/>
    <s v=""/>
    <s v=""/>
    <n v="5"/>
    <n v="3.3112582781456954"/>
    <n v="0"/>
    <n v="0"/>
    <s v=""/>
    <n v="16"/>
    <n v="2"/>
    <n v="2"/>
    <n v="32"/>
    <n v="4"/>
    <n v="4"/>
    <n v="1"/>
    <n v="0.66225165562913912"/>
    <n v="20"/>
    <n v="17"/>
    <n v="0"/>
    <n v="0"/>
    <s v=""/>
    <n v="0"/>
    <n v="0"/>
    <n v="0"/>
    <s v="assinatura"/>
    <n v="9164"/>
  </r>
  <r>
    <x v="50"/>
    <x v="8"/>
    <s v="6ab2a66acffb29c3dcb6c7f6"/>
    <s v="22/09/2026 11:34:38"/>
    <s v="22/09/2026 13:01:46"/>
    <s v="Henrique"/>
    <s v="22/09/2026"/>
    <s v="Guapiaçu"/>
    <s v="1 ° Turno"/>
    <n v="151"/>
    <n v="285"/>
    <s v="EDMAR FELIPE MARTINS"/>
    <n v="35"/>
    <n v="35"/>
    <n v="9"/>
    <n v="9"/>
    <n v="0"/>
    <n v="0"/>
    <n v="3"/>
    <n v="3"/>
    <n v="1"/>
    <n v="1"/>
    <n v="0"/>
    <n v="0"/>
    <n v="1"/>
    <n v="0.33112582781456956"/>
    <n v="8"/>
    <n v="5.298013245033113"/>
    <n v="0"/>
    <n v="0"/>
    <n v="2"/>
    <n v="1.3245033112582782"/>
    <n v="7"/>
    <n v="4.6357615894039732"/>
    <s v=""/>
    <n v="5"/>
    <n v="3.3112582781456954"/>
    <n v="2"/>
    <n v="1.3245033112582782"/>
    <s v=""/>
    <n v="9"/>
    <n v="5.9602649006622519"/>
    <n v="4"/>
    <n v="2.6490066225165565"/>
    <n v="7"/>
    <n v="4.6357615894039732"/>
    <n v="2"/>
    <n v="1.3245033112582782"/>
    <s v=""/>
    <n v="19"/>
    <n v="0"/>
    <n v="0"/>
    <n v="38"/>
    <n v="0"/>
    <n v="0"/>
    <n v="0"/>
    <n v="0"/>
    <n v="21"/>
    <n v="16"/>
    <n v="0"/>
    <n v="0"/>
    <s v=""/>
    <n v="0"/>
    <n v="0"/>
    <n v="1"/>
    <s v=""/>
    <n v="1400"/>
  </r>
  <r>
    <x v="50"/>
    <x v="8"/>
    <s v="6ab2a66acffb29c3dcb6c7e2"/>
    <s v="22/09/2026 08:54:27"/>
    <s v="22/09/2026 13:01:46"/>
    <s v="Henrique"/>
    <s v="22/09/2026"/>
    <s v="Guapiaçu"/>
    <s v="1 ° Turno"/>
    <n v="151"/>
    <n v="2856"/>
    <s v="EDMAR FELIPE MARTINS"/>
    <n v="39"/>
    <n v="39"/>
    <n v="25"/>
    <n v="25"/>
    <n v="0"/>
    <n v="0"/>
    <n v="2"/>
    <n v="2"/>
    <n v="1"/>
    <n v="1"/>
    <n v="0"/>
    <n v="0"/>
    <n v="1"/>
    <n v="0.33112582781456956"/>
    <n v="10"/>
    <n v="6.6225165562913908"/>
    <n v="0"/>
    <n v="0"/>
    <n v="2"/>
    <n v="1.3245033112582782"/>
    <n v="8"/>
    <n v="5.298013245033113"/>
    <s v=""/>
    <n v="2"/>
    <n v="1.3245033112582782"/>
    <n v="2"/>
    <n v="1.3245033112582782"/>
    <s v=""/>
    <n v="10"/>
    <n v="6.6225165562913908"/>
    <n v="6"/>
    <n v="3.9735099337748347"/>
    <n v="9"/>
    <n v="5.9602649006622519"/>
    <n v="2"/>
    <n v="1.3245033112582782"/>
    <s v=""/>
    <n v="15"/>
    <n v="0"/>
    <n v="0"/>
    <n v="30"/>
    <n v="0"/>
    <n v="0"/>
    <n v="1"/>
    <n v="0.66225165562913912"/>
    <n v="26"/>
    <n v="21"/>
    <n v="1"/>
    <n v="10"/>
    <s v=""/>
    <s v=""/>
    <s v=""/>
    <s v=""/>
    <s v="assinatura"/>
    <n v="2114"/>
  </r>
  <r>
    <x v="50"/>
    <x v="8"/>
    <s v="6ab2a66acffb29c3dcb6c7c4"/>
    <s v="22/09/2026 06:14:24"/>
    <s v="22/09/2026 13:01:46"/>
    <s v="Henrique"/>
    <s v="22/09/2026"/>
    <s v="Guapiaçu"/>
    <s v="1 ° Turno"/>
    <n v="146"/>
    <n v="2842"/>
    <s v="EDMAR FELIPE MARTINS"/>
    <n v="29"/>
    <n v="28.999999999999996"/>
    <n v="7"/>
    <n v="7.0000000000000009"/>
    <n v="0"/>
    <n v="0"/>
    <n v="5"/>
    <n v="5"/>
    <n v="1"/>
    <n v="1"/>
    <n v="0"/>
    <n v="0"/>
    <n v="3"/>
    <n v="1.0273972602739725"/>
    <n v="5"/>
    <n v="3.4246575342465753"/>
    <n v="0"/>
    <n v="0"/>
    <n v="4"/>
    <n v="2.7397260273972601"/>
    <n v="9"/>
    <n v="6.1643835616438354"/>
    <s v=""/>
    <n v="3"/>
    <n v="2.054794520547945"/>
    <n v="3"/>
    <n v="2.054794520547945"/>
    <s v=""/>
    <n v="8"/>
    <n v="5.4794520547945202"/>
    <n v="2"/>
    <n v="1.3698630136986301"/>
    <n v="9"/>
    <n v="6.1643835616438354"/>
    <n v="2"/>
    <n v="1.3698630136986301"/>
    <s v=""/>
    <n v="18"/>
    <n v="0"/>
    <n v="0"/>
    <n v="36"/>
    <n v="0"/>
    <n v="0"/>
    <n v="2"/>
    <n v="1.3698630136986301"/>
    <n v="25"/>
    <n v="21"/>
    <n v="1"/>
    <n v="10"/>
    <s v=""/>
    <n v="1"/>
    <n v="0"/>
    <n v="1"/>
    <s v="assinatura"/>
    <n v="3241"/>
  </r>
  <r>
    <x v="50"/>
    <x v="8"/>
    <s v="6ab2a669cffb29c3dcb6c7b2"/>
    <s v="22/09/2026 04:29:39"/>
    <s v="22/09/2026 13:01:45"/>
    <s v="Henrique"/>
    <s v="22/09/2026"/>
    <s v="Guapiaçu"/>
    <s v="1 ° Turno"/>
    <n v="130"/>
    <n v="2918"/>
    <s v="EDMAR FELIPE MARTINS"/>
    <n v="30"/>
    <n v="30"/>
    <n v="9"/>
    <n v="9"/>
    <n v="0"/>
    <n v="0"/>
    <n v="2"/>
    <n v="2"/>
    <n v="1"/>
    <n v="1"/>
    <n v="0"/>
    <n v="0"/>
    <n v="8"/>
    <n v="3.0769230769230771"/>
    <n v="12"/>
    <n v="9.2307692307692317"/>
    <n v="0"/>
    <n v="0"/>
    <n v="2"/>
    <n v="1.5384615384615385"/>
    <n v="7"/>
    <n v="5.384615384615385"/>
    <s v=""/>
    <n v="3"/>
    <n v="2.3076923076923079"/>
    <n v="3"/>
    <n v="2.3076923076923079"/>
    <s v=""/>
    <n v="5"/>
    <n v="3.8461538461538463"/>
    <n v="2"/>
    <n v="1.5384615384615385"/>
    <n v="13"/>
    <n v="10"/>
    <n v="3"/>
    <n v="2.3076923076923079"/>
    <s v=""/>
    <n v="20"/>
    <n v="1"/>
    <n v="1"/>
    <n v="40"/>
    <n v="2"/>
    <n v="2"/>
    <n v="1"/>
    <n v="0.76923076923076927"/>
    <n v="23"/>
    <n v="19"/>
    <n v="0"/>
    <n v="0"/>
    <s v=""/>
    <s v=""/>
    <s v=""/>
    <s v=""/>
    <s v="assinatura"/>
    <n v="2959"/>
  </r>
  <r>
    <x v="49"/>
    <x v="8"/>
    <s v="6ab48a81b91ebe7368fcc31b"/>
    <s v="23/09/2026 21:13:58"/>
    <s v="23/09/2026 23:27:13"/>
    <s v="Henrique"/>
    <s v="23/09/2026"/>
    <s v="Guapiaçu"/>
    <s v="2 ° Turno"/>
    <n v="141"/>
    <n v="2731"/>
    <s v="JOBILIANA APARECIDA MAXIMO BERGAMINI"/>
    <n v="20"/>
    <n v="20"/>
    <n v="4"/>
    <n v="4"/>
    <n v="0"/>
    <n v="0"/>
    <n v="1"/>
    <n v="1"/>
    <n v="0"/>
    <n v="0"/>
    <n v="0"/>
    <n v="0"/>
    <n v="2"/>
    <n v="0.70921985815602839"/>
    <n v="4"/>
    <n v="2.8368794326241136"/>
    <n v="0"/>
    <n v="0"/>
    <n v="1"/>
    <n v="0.70921985815602839"/>
    <n v="3"/>
    <n v="2.1276595744680851"/>
    <s v=""/>
    <n v="0"/>
    <n v="0"/>
    <n v="0"/>
    <n v="0"/>
    <s v=""/>
    <n v="4"/>
    <n v="2.8368794326241136"/>
    <n v="3"/>
    <n v="2.1276595744680851"/>
    <n v="6"/>
    <n v="4.2553191489361701"/>
    <n v="0"/>
    <n v="0"/>
    <s v=""/>
    <n v="19"/>
    <n v="0"/>
    <n v="0"/>
    <n v="38"/>
    <n v="0"/>
    <n v="0"/>
    <n v="0"/>
    <n v="0"/>
    <n v="20"/>
    <n v="17"/>
    <n v="0"/>
    <n v="0"/>
    <s v=""/>
    <n v="0"/>
    <n v="0"/>
    <n v="0"/>
    <s v="assinatura"/>
    <n v="227"/>
  </r>
  <r>
    <x v="49"/>
    <x v="8"/>
    <s v="6ab48a81b91ebe7368fcc30f"/>
    <s v="23/09/2026 18:18:53"/>
    <s v="23/09/2026 23:27:13"/>
    <s v="Henrique"/>
    <s v="23/09/2026"/>
    <s v="Guapiaçu"/>
    <s v="2 ° Turno"/>
    <n v="145"/>
    <n v="2820"/>
    <s v="JOBILIANA APARECIDA MAXIMO BERGAMINI"/>
    <n v="21"/>
    <n v="21"/>
    <n v="10"/>
    <n v="10"/>
    <n v="0"/>
    <n v="0"/>
    <n v="0"/>
    <n v="0"/>
    <n v="0"/>
    <n v="0"/>
    <n v="0"/>
    <n v="0"/>
    <n v="6"/>
    <n v="2.0689655172413794"/>
    <n v="8"/>
    <n v="5.5172413793103452"/>
    <n v="0"/>
    <n v="0"/>
    <n v="3"/>
    <n v="2.0689655172413794"/>
    <n v="2"/>
    <n v="1.3793103448275863"/>
    <s v=""/>
    <n v="1"/>
    <n v="0.68965517241379315"/>
    <n v="0"/>
    <n v="0"/>
    <s v=""/>
    <n v="8"/>
    <n v="5.5172413793103452"/>
    <n v="4"/>
    <n v="2.7586206896551726"/>
    <n v="5"/>
    <n v="3.4482758620689653"/>
    <n v="1"/>
    <n v="0.68965517241379315"/>
    <s v=""/>
    <n v="20"/>
    <n v="0"/>
    <n v="0"/>
    <n v="40"/>
    <n v="0"/>
    <n v="0"/>
    <n v="1"/>
    <n v="0.68965517241379315"/>
    <n v="23"/>
    <n v="14"/>
    <n v="0"/>
    <n v="0"/>
    <s v=""/>
    <n v="0"/>
    <n v="0"/>
    <n v="0"/>
    <s v="assinatura"/>
    <n v="10475"/>
  </r>
  <r>
    <x v="49"/>
    <x v="8"/>
    <s v="6ab48a81b91ebe7368fcc2e5"/>
    <s v="23/09/2026 14:00:56"/>
    <s v="23/09/2026 23:27:13"/>
    <s v="Henrique"/>
    <s v="23/09/2026"/>
    <s v="Guapiaçu"/>
    <s v="2 ° Turno"/>
    <n v="79"/>
    <n v="2765"/>
    <s v="JOBILIANA APARECIDA MAXIMO BERGAMINI"/>
    <n v="18"/>
    <n v="18"/>
    <n v="6"/>
    <n v="6"/>
    <n v="0"/>
    <n v="0"/>
    <n v="1"/>
    <n v="1"/>
    <n v="0"/>
    <n v="0"/>
    <n v="0"/>
    <n v="0"/>
    <n v="5"/>
    <n v="3.1645569620253164"/>
    <n v="1"/>
    <n v="1.2658227848101267"/>
    <n v="0"/>
    <n v="0"/>
    <n v="2"/>
    <n v="2.5316455696202533"/>
    <n v="0"/>
    <n v="0"/>
    <s v=""/>
    <n v="3"/>
    <n v="3.79746835443038"/>
    <n v="0"/>
    <n v="0"/>
    <s v=""/>
    <n v="5"/>
    <n v="6.3291139240506329"/>
    <n v="1"/>
    <n v="1.2658227848101267"/>
    <n v="4"/>
    <n v="5.0632911392405067"/>
    <n v="0"/>
    <n v="0"/>
    <s v=""/>
    <n v="16"/>
    <n v="0"/>
    <n v="0"/>
    <n v="32"/>
    <n v="0"/>
    <n v="0"/>
    <n v="0"/>
    <n v="0"/>
    <n v="25"/>
    <n v="17"/>
    <n v="0"/>
    <n v="0"/>
    <s v=""/>
    <n v="0"/>
    <n v="0"/>
    <n v="0"/>
    <s v="assinatura"/>
    <n v="10966"/>
  </r>
  <r>
    <x v="51"/>
    <x v="8"/>
    <s v="6ab72b5c11cbfa0f2c786980"/>
    <s v="25/09/2026 21:55:26"/>
    <s v="25/09/2026 23:18:04"/>
    <s v="Henrique"/>
    <s v="25/09/2026"/>
    <s v="Guapiaçu"/>
    <s v="2 ° Turno"/>
    <n v="110"/>
    <n v="2926"/>
    <s v="JOBILIANA APARECIDA MAXIMO BERGAMINI"/>
    <n v="20"/>
    <n v="20"/>
    <n v="9"/>
    <n v="9"/>
    <n v="0"/>
    <n v="0"/>
    <n v="0"/>
    <n v="0"/>
    <n v="0"/>
    <n v="0"/>
    <n v="0"/>
    <n v="0"/>
    <n v="5"/>
    <n v="2.2727272727272729"/>
    <n v="5"/>
    <n v="4.5454545454545459"/>
    <n v="0"/>
    <n v="0"/>
    <n v="1"/>
    <n v="0.90909090909090906"/>
    <n v="2"/>
    <n v="1.8181818181818181"/>
    <s v=""/>
    <n v="0"/>
    <n v="0"/>
    <n v="0"/>
    <n v="0"/>
    <s v=""/>
    <n v="7"/>
    <n v="6.3636363636363633"/>
    <n v="5"/>
    <n v="4.5454545454545459"/>
    <n v="6"/>
    <n v="5.4545454545454541"/>
    <n v="0"/>
    <n v="0"/>
    <s v=""/>
    <n v="19"/>
    <n v="0"/>
    <n v="0"/>
    <n v="38"/>
    <n v="0"/>
    <n v="0"/>
    <n v="0"/>
    <n v="0"/>
    <n v="20"/>
    <n v="18"/>
    <n v="0"/>
    <n v="0"/>
    <s v=""/>
    <n v="2"/>
    <n v="0"/>
    <n v="0"/>
    <s v="assinatura"/>
    <n v="271"/>
  </r>
  <r>
    <x v="51"/>
    <x v="8"/>
    <s v="6ab72b5c11cbfa0f2c786974"/>
    <s v="25/09/2026 19:39:18"/>
    <s v="25/09/2026 23:18:04"/>
    <s v="Henrique"/>
    <s v="25/09/2026"/>
    <s v="Guapiaçu"/>
    <s v="2 ° Turno"/>
    <n v="79"/>
    <n v="2926"/>
    <s v="JOBILIANA APARECIDA MAXIMO BERGAMINI"/>
    <n v="25"/>
    <n v="25"/>
    <n v="8"/>
    <n v="8"/>
    <n v="0"/>
    <n v="0"/>
    <n v="1"/>
    <n v="1"/>
    <n v="0"/>
    <n v="0"/>
    <n v="0"/>
    <n v="0"/>
    <n v="4"/>
    <n v="2.5316455696202533"/>
    <n v="8"/>
    <n v="10.126582278481013"/>
    <n v="0"/>
    <n v="0"/>
    <n v="0"/>
    <n v="0"/>
    <n v="1"/>
    <n v="1.2658227848101267"/>
    <s v=""/>
    <n v="0"/>
    <n v="0"/>
    <n v="0"/>
    <n v="0"/>
    <s v=""/>
    <n v="9"/>
    <n v="11.39240506329114"/>
    <n v="3"/>
    <n v="3.79746835443038"/>
    <n v="7"/>
    <n v="8.8607594936708853"/>
    <n v="1"/>
    <n v="1.2658227848101267"/>
    <s v=""/>
    <n v="20"/>
    <n v="0"/>
    <n v="0"/>
    <n v="40"/>
    <n v="0"/>
    <n v="0"/>
    <n v="0"/>
    <n v="0"/>
    <n v="20"/>
    <n v="19"/>
    <n v="0"/>
    <n v="0"/>
    <s v=""/>
    <n v="8"/>
    <n v="0"/>
    <n v="0"/>
    <s v="assinatura"/>
    <n v="7647"/>
  </r>
  <r>
    <x v="51"/>
    <x v="8"/>
    <s v="6ab72b5c11cbfa0f2c78694a"/>
    <s v="25/09/2026 14:09:53"/>
    <s v="25/09/2026 23:18:04"/>
    <s v="Henrique"/>
    <s v="25/09/2026"/>
    <s v="Guapiaçu"/>
    <s v="2 ° Turno"/>
    <n v="130"/>
    <n v="2908"/>
    <s v="JOBILIANA APARECIDA MAXIMO BERGAMINI"/>
    <n v="22"/>
    <n v="22"/>
    <n v="10"/>
    <n v="10"/>
    <n v="1"/>
    <n v="10"/>
    <n v="1"/>
    <n v="1"/>
    <n v="0"/>
    <n v="0"/>
    <n v="0"/>
    <n v="0"/>
    <n v="4"/>
    <n v="1.5384615384615385"/>
    <n v="6"/>
    <n v="4.6153846153846159"/>
    <n v="1"/>
    <n v="0.76923076923076927"/>
    <n v="1"/>
    <n v="0.76923076923076927"/>
    <n v="2"/>
    <n v="1.5384615384615385"/>
    <s v=""/>
    <n v="1"/>
    <n v="0.76923076923076927"/>
    <n v="0"/>
    <n v="0"/>
    <s v=""/>
    <n v="8"/>
    <n v="6.1538461538461542"/>
    <s v=""/>
    <s v=""/>
    <n v="6"/>
    <n v="4.6153846153846159"/>
    <n v="0"/>
    <n v="0"/>
    <s v=""/>
    <n v="19"/>
    <n v="0"/>
    <n v="0"/>
    <n v="38"/>
    <n v="0"/>
    <n v="0"/>
    <n v="2"/>
    <n v="1.5384615384615385"/>
    <n v="26"/>
    <n v="24"/>
    <n v="0"/>
    <n v="0"/>
    <s v=""/>
    <n v="0"/>
    <n v="0"/>
    <n v="0"/>
    <s v="assinatura"/>
    <n v="14736"/>
  </r>
  <r>
    <x v="51"/>
    <x v="8"/>
    <s v="6ab69acafde5ec03d75893a4"/>
    <s v="25/09/2026 11:32:50"/>
    <s v="25/09/2026 13:01:14"/>
    <s v="Henrique"/>
    <s v="25/09/2026"/>
    <s v="Guapiaçu"/>
    <s v="1 ° Turno"/>
    <n v="100"/>
    <n v="3079"/>
    <s v="EDMAR FELIPE MARTINS"/>
    <n v="47"/>
    <n v="47"/>
    <n v="19"/>
    <n v="19"/>
    <n v="0"/>
    <n v="0"/>
    <n v="3"/>
    <n v="3"/>
    <n v="1"/>
    <n v="1"/>
    <n v="0"/>
    <n v="0"/>
    <n v="2"/>
    <n v="1"/>
    <n v="6"/>
    <n v="6"/>
    <n v="0"/>
    <n v="0"/>
    <n v="4"/>
    <n v="4"/>
    <n v="9"/>
    <n v="9"/>
    <s v=""/>
    <n v="6"/>
    <n v="6"/>
    <n v="2"/>
    <n v="2"/>
    <s v=""/>
    <n v="12"/>
    <n v="12"/>
    <n v="2"/>
    <n v="2"/>
    <n v="9"/>
    <n v="9"/>
    <n v="2"/>
    <n v="2"/>
    <s v=""/>
    <n v="20"/>
    <n v="0"/>
    <n v="0"/>
    <n v="40"/>
    <n v="0"/>
    <n v="0"/>
    <n v="0"/>
    <n v="0"/>
    <n v="25"/>
    <n v="23"/>
    <n v="1"/>
    <n v="10"/>
    <s v=""/>
    <s v=""/>
    <s v=""/>
    <s v=""/>
    <s v="assinatura"/>
    <n v="1861"/>
  </r>
  <r>
    <x v="51"/>
    <x v="8"/>
    <s v="6ab69acafde5ec03d7589392"/>
    <s v="25/09/2026 08:43:28"/>
    <s v="25/09/2026 13:01:14"/>
    <s v="Henrique"/>
    <s v="25/09/2026"/>
    <s v="Guapiaçu"/>
    <s v="1 ° Turno"/>
    <n v="155"/>
    <n v="3088"/>
    <s v="EDMAR FELIPE MARTINS"/>
    <n v="43"/>
    <n v="43"/>
    <n v="22"/>
    <n v="22"/>
    <n v="0"/>
    <n v="0"/>
    <n v="2"/>
    <n v="2"/>
    <n v="1"/>
    <n v="1"/>
    <n v="0"/>
    <n v="0"/>
    <n v="1"/>
    <n v="0.32258064516129031"/>
    <n v="9"/>
    <n v="5.806451612903226"/>
    <n v="0"/>
    <n v="0"/>
    <n v="5"/>
    <n v="3.225806451612903"/>
    <n v="10"/>
    <n v="6.4516129032258061"/>
    <s v=""/>
    <n v="8"/>
    <n v="5.161290322580645"/>
    <n v="3"/>
    <n v="1.935483870967742"/>
    <s v=""/>
    <n v="12"/>
    <n v="7.741935483870968"/>
    <n v="2"/>
    <n v="1.2903225806451613"/>
    <n v="11"/>
    <n v="7.096774193548387"/>
    <n v="4"/>
    <n v="2.5806451612903225"/>
    <s v=""/>
    <n v="20"/>
    <n v="0"/>
    <n v="0"/>
    <n v="40"/>
    <n v="0"/>
    <n v="0"/>
    <n v="0"/>
    <n v="0"/>
    <n v="25"/>
    <n v="19"/>
    <n v="0"/>
    <n v="0"/>
    <s v=""/>
    <n v="0"/>
    <n v="0"/>
    <n v="1"/>
    <s v="assinatura"/>
    <n v="2519"/>
  </r>
  <r>
    <x v="51"/>
    <x v="8"/>
    <s v="6ab699afacf1d04b2dd91f4b"/>
    <s v="25/09/2026 06:25:16"/>
    <s v="25/09/2026 12:56:31"/>
    <s v="Henrique"/>
    <s v="25/09/2026"/>
    <s v="Guapiaçu"/>
    <s v="1 ° Turno"/>
    <n v="125"/>
    <n v="3100"/>
    <s v="EDMAR FELIPE MARTINS"/>
    <n v="40"/>
    <n v="40"/>
    <n v="21"/>
    <n v="21"/>
    <n v="0"/>
    <n v="0"/>
    <n v="2"/>
    <n v="2"/>
    <n v="1"/>
    <n v="1"/>
    <n v="0"/>
    <n v="0"/>
    <n v="1"/>
    <n v="0.4"/>
    <n v="9"/>
    <n v="7.1999999999999993"/>
    <n v="0"/>
    <n v="0"/>
    <n v="4"/>
    <n v="3.2"/>
    <n v="8"/>
    <n v="6.4"/>
    <s v=""/>
    <n v="7"/>
    <n v="5.6000000000000005"/>
    <n v="2"/>
    <n v="1.6"/>
    <s v=""/>
    <n v="13"/>
    <n v="10.4"/>
    <n v="2"/>
    <n v="1.6"/>
    <n v="12"/>
    <n v="9.6"/>
    <n v="3"/>
    <n v="2.4"/>
    <s v=""/>
    <n v="19"/>
    <n v="1"/>
    <n v="1"/>
    <n v="38"/>
    <n v="2"/>
    <n v="2"/>
    <n v="0"/>
    <n v="0"/>
    <n v="22"/>
    <n v="17"/>
    <n v="1"/>
    <n v="10"/>
    <s v=""/>
    <n v="0"/>
    <n v="0"/>
    <n v="2"/>
    <s v=""/>
    <n v="5985"/>
  </r>
  <r>
    <x v="51"/>
    <x v="8"/>
    <s v="6ab699afacf1d04b2dd91f45"/>
    <s v="25/09/2026 04:27:10"/>
    <s v="25/09/2026 12:56:31"/>
    <s v="Henrique"/>
    <s v="25/09/2026"/>
    <s v="Guapiaçu"/>
    <s v="1 ° Turno"/>
    <n v="137"/>
    <n v="3120"/>
    <s v="EDMAR FELIPE MARTINS"/>
    <n v="25"/>
    <n v="25"/>
    <n v="6"/>
    <n v="6"/>
    <n v="0"/>
    <n v="0"/>
    <n v="3"/>
    <n v="3"/>
    <n v="1"/>
    <n v="1"/>
    <n v="0"/>
    <n v="0"/>
    <n v="1"/>
    <n v="0.36496350364963503"/>
    <n v="7"/>
    <n v="5.1094890510948909"/>
    <n v="0"/>
    <n v="0"/>
    <n v="2"/>
    <n v="1.4598540145985401"/>
    <n v="7"/>
    <n v="5.1094890510948909"/>
    <s v=""/>
    <n v="5"/>
    <n v="3.6496350364963499"/>
    <n v="2"/>
    <n v="1.4598540145985401"/>
    <s v=""/>
    <n v="7"/>
    <n v="5.1094890510948909"/>
    <n v="1"/>
    <n v="0.72992700729927007"/>
    <n v="6"/>
    <n v="4.3795620437956204"/>
    <n v="2"/>
    <n v="1.4598540145985401"/>
    <s v=""/>
    <n v="21"/>
    <n v="0"/>
    <n v="0"/>
    <n v="42"/>
    <n v="0"/>
    <n v="0"/>
    <n v="0"/>
    <n v="0"/>
    <n v="15"/>
    <n v="19"/>
    <n v="1"/>
    <n v="10"/>
    <s v=""/>
    <s v=""/>
    <s v=""/>
    <s v=""/>
    <s v="assinatura"/>
    <n v="1829"/>
  </r>
  <r>
    <x v="52"/>
    <x v="8"/>
    <s v="6ab5df3c99cfdd26d64307e6"/>
    <s v="24/09/2026 20:37:19"/>
    <s v="24/09/2026 23:41:00"/>
    <s v="Henrique"/>
    <s v="24/09/2026"/>
    <s v="Guapiaçu"/>
    <s v="2 ° Turno"/>
    <n v="156"/>
    <n v="3001"/>
    <s v="JOBILIANA APARECIDA MAXIMO BERGAMINI"/>
    <n v="20"/>
    <n v="20"/>
    <n v="5"/>
    <n v="5"/>
    <n v="0"/>
    <n v="0"/>
    <n v="0"/>
    <n v="0"/>
    <n v="0"/>
    <n v="0"/>
    <n v="0"/>
    <n v="0"/>
    <n v="7"/>
    <n v="2.2435897435897436"/>
    <n v="4"/>
    <n v="2.5641025641025639"/>
    <n v="0"/>
    <n v="0"/>
    <n v="2"/>
    <n v="1.2820512820512819"/>
    <n v="2"/>
    <n v="1.2820512820512819"/>
    <s v=""/>
    <n v="0"/>
    <n v="0"/>
    <n v="0"/>
    <n v="0"/>
    <s v=""/>
    <n v="5"/>
    <n v="3.2051282051282048"/>
    <n v="5"/>
    <n v="3.2051282051282048"/>
    <n v="6"/>
    <n v="3.8461538461538463"/>
    <n v="1"/>
    <n v="0.64102564102564097"/>
    <s v=""/>
    <n v="19"/>
    <n v="0"/>
    <n v="0"/>
    <n v="38"/>
    <n v="0"/>
    <n v="0"/>
    <n v="0"/>
    <n v="0"/>
    <n v="20"/>
    <n v="16"/>
    <n v="0"/>
    <n v="0"/>
    <s v=""/>
    <n v="0"/>
    <n v="0"/>
    <n v="0"/>
    <s v="assinatura"/>
    <n v="1177"/>
  </r>
  <r>
    <x v="52"/>
    <x v="8"/>
    <s v="6ab5df3c99cfdd26d64307d4"/>
    <s v="24/09/2026 18:45:10"/>
    <s v="24/09/2026 23:41:00"/>
    <s v="Henrique"/>
    <s v="24/09/2026"/>
    <s v="Guapiaçu"/>
    <s v="2 ° Turno"/>
    <n v="151"/>
    <n v="3038"/>
    <s v="JOBILIANA APARECIDA MAXIMO BERGAMINI"/>
    <n v="20"/>
    <n v="20"/>
    <n v="6"/>
    <n v="6"/>
    <n v="0"/>
    <n v="0"/>
    <n v="1"/>
    <n v="1"/>
    <n v="0"/>
    <n v="0"/>
    <n v="0"/>
    <n v="0"/>
    <n v="6"/>
    <n v="1.9867549668874174"/>
    <n v="11"/>
    <n v="7.2847682119205297"/>
    <n v="0"/>
    <n v="0"/>
    <n v="1"/>
    <n v="0.66225165562913912"/>
    <n v="2"/>
    <n v="1.3245033112582782"/>
    <s v=""/>
    <n v="0"/>
    <n v="0"/>
    <n v="0"/>
    <n v="0"/>
    <s v=""/>
    <n v="8"/>
    <n v="5.298013245033113"/>
    <n v="6"/>
    <n v="3.9735099337748347"/>
    <n v="6"/>
    <n v="3.9735099337748347"/>
    <n v="0"/>
    <n v="0"/>
    <s v=""/>
    <n v="19"/>
    <n v="0"/>
    <n v="0"/>
    <n v="38"/>
    <n v="0"/>
    <n v="0"/>
    <n v="0"/>
    <n v="0"/>
    <n v="16"/>
    <n v="15"/>
    <n v="0"/>
    <n v="0"/>
    <s v=""/>
    <n v="1"/>
    <n v="0"/>
    <n v="0"/>
    <s v="assinatura"/>
    <n v="6645"/>
  </r>
  <r>
    <x v="52"/>
    <x v="8"/>
    <s v="6ab5df3b99cfdd26d64307aa"/>
    <s v="24/09/2026 13:52:48"/>
    <s v="24/09/2026 23:40:59"/>
    <s v="Henrique"/>
    <s v="24/09/2026"/>
    <s v="Guapiaçu"/>
    <s v="2 ° Turno"/>
    <n v="130"/>
    <n v="2171"/>
    <s v="JOBILIANA APARECIDA MAXIMO BERGAMINI"/>
    <n v="21"/>
    <n v="21"/>
    <n v="10"/>
    <n v="10"/>
    <n v="0"/>
    <n v="0"/>
    <n v="1"/>
    <n v="1"/>
    <n v="0"/>
    <n v="0"/>
    <n v="1"/>
    <n v="5"/>
    <n v="5"/>
    <n v="1.9230769230769231"/>
    <n v="1"/>
    <n v="0.76923076923076927"/>
    <n v="0"/>
    <n v="0"/>
    <n v="0"/>
    <n v="0"/>
    <n v="2"/>
    <n v="1.5384615384615385"/>
    <s v=""/>
    <n v="1"/>
    <n v="0.76923076923076927"/>
    <n v="0"/>
    <n v="0"/>
    <s v=""/>
    <n v="8"/>
    <n v="6.1538461538461542"/>
    <n v="10"/>
    <n v="7.6923076923076925"/>
    <n v="5"/>
    <n v="3.8461538461538463"/>
    <n v="0"/>
    <n v="0"/>
    <s v=""/>
    <n v="20"/>
    <n v="0"/>
    <n v="0"/>
    <n v="40"/>
    <n v="0"/>
    <n v="0"/>
    <n v="1"/>
    <n v="0.76923076923076927"/>
    <n v="16"/>
    <n v="12"/>
    <n v="0"/>
    <n v="0"/>
    <s v=""/>
    <n v="3"/>
    <n v="0"/>
    <n v="0"/>
    <s v="assinatura"/>
    <n v="12039"/>
  </r>
  <r>
    <x v="52"/>
    <x v="8"/>
    <s v="6ab5490e591c2004f134c33d"/>
    <s v="24/09/2026 11:24:57"/>
    <s v="24/09/2026 13:00:14"/>
    <s v="Henrique"/>
    <s v="24/09/2026"/>
    <s v="Guapiaçu"/>
    <s v="1 ° Turno"/>
    <n v="160"/>
    <n v="3140"/>
    <s v="EDMAR FELIPE MARTINS"/>
    <n v="44"/>
    <n v="44"/>
    <n v="29"/>
    <n v="28.999999999999996"/>
    <n v="0"/>
    <n v="0"/>
    <n v="4"/>
    <n v="4"/>
    <n v="1"/>
    <n v="1"/>
    <n v="0"/>
    <n v="0"/>
    <n v="2"/>
    <n v="0.625"/>
    <n v="3"/>
    <n v="1.875"/>
    <n v="0"/>
    <n v="0"/>
    <n v="1"/>
    <n v="0.625"/>
    <n v="7"/>
    <n v="4.375"/>
    <s v=""/>
    <n v="6"/>
    <n v="3.75"/>
    <n v="2"/>
    <n v="1.25"/>
    <s v=""/>
    <n v="9"/>
    <n v="5.625"/>
    <n v="3"/>
    <n v="1.875"/>
    <n v="7"/>
    <n v="4.375"/>
    <n v="2"/>
    <n v="1.25"/>
    <s v=""/>
    <n v="19"/>
    <n v="0"/>
    <n v="0"/>
    <n v="38"/>
    <n v="0"/>
    <n v="0"/>
    <n v="0"/>
    <n v="0"/>
    <n v="22"/>
    <n v="21"/>
    <n v="1"/>
    <n v="10"/>
    <s v=""/>
    <s v=""/>
    <s v=""/>
    <s v=""/>
    <s v="assinatura"/>
    <n v="2863"/>
  </r>
  <r>
    <x v="52"/>
    <x v="8"/>
    <s v="6ab5490e591c2004f134c325"/>
    <s v="24/09/2026 08:14:23"/>
    <s v="24/09/2026 13:00:14"/>
    <s v="Henrique"/>
    <s v="24/09/2026"/>
    <s v="Guapiaçu"/>
    <s v="1 ° Turno"/>
    <n v="151"/>
    <n v="3140"/>
    <s v="EDMAR FELIPE MARTINS"/>
    <n v="37"/>
    <n v="37"/>
    <n v="20"/>
    <n v="20"/>
    <n v="0"/>
    <n v="0"/>
    <n v="4"/>
    <n v="4"/>
    <n v="1"/>
    <n v="1"/>
    <n v="0"/>
    <n v="0"/>
    <n v="1"/>
    <n v="0.33112582781456956"/>
    <n v="5"/>
    <n v="3.3112582781456954"/>
    <n v="0"/>
    <n v="0"/>
    <n v="2"/>
    <n v="1.3245033112582782"/>
    <n v="6"/>
    <n v="3.9735099337748347"/>
    <s v=""/>
    <n v="5"/>
    <n v="3.3112582781456954"/>
    <n v="2"/>
    <n v="1.3245033112582782"/>
    <s v=""/>
    <n v="13"/>
    <n v="8.6092715231788084"/>
    <n v="3"/>
    <n v="1.9867549668874174"/>
    <n v="7"/>
    <n v="4.6357615894039732"/>
    <n v="2"/>
    <n v="1.3245033112582782"/>
    <s v=""/>
    <n v="20"/>
    <n v="0"/>
    <n v="0"/>
    <n v="40"/>
    <n v="0"/>
    <n v="0"/>
    <n v="1"/>
    <n v="0.66225165562913912"/>
    <n v="20"/>
    <n v="18"/>
    <n v="1"/>
    <n v="10"/>
    <s v=""/>
    <n v="2"/>
    <n v="0"/>
    <n v="1"/>
    <s v="assinatura"/>
    <n v="2051"/>
  </r>
  <r>
    <x v="52"/>
    <x v="8"/>
    <s v="6ab5490e591c2004f134c313"/>
    <s v="24/09/2026 06:29:39"/>
    <s v="24/09/2026 13:00:14"/>
    <s v="Henrique"/>
    <s v="24/09/2026"/>
    <s v="Guapiaçu"/>
    <s v="1 ° Turno"/>
    <n v="151"/>
    <n v="2937"/>
    <s v="EDMAR FELIPE MARTINS"/>
    <n v="37"/>
    <n v="37"/>
    <n v="8"/>
    <n v="8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7"/>
    <n v="4.6357615894039732"/>
    <n v="2"/>
    <n v="1.3245033112582782"/>
    <s v=""/>
    <n v="14"/>
    <n v="9.2715231788079464"/>
    <n v="3"/>
    <n v="1.9867549668874174"/>
    <n v="6"/>
    <n v="3.9735099337748347"/>
    <n v="1"/>
    <n v="0.66225165562913912"/>
    <s v=""/>
    <n v="19"/>
    <n v="0"/>
    <n v="0"/>
    <n v="38"/>
    <n v="0"/>
    <n v="0"/>
    <n v="0"/>
    <n v="0"/>
    <n v="22"/>
    <n v="17"/>
    <n v="0"/>
    <n v="0"/>
    <s v=""/>
    <s v=""/>
    <s v=""/>
    <s v=""/>
    <s v="assinatura"/>
    <n v="2396"/>
  </r>
  <r>
    <x v="52"/>
    <x v="8"/>
    <s v="6ab5490d591c2004f134c2fb"/>
    <s v="24/09/2026 04:27:44"/>
    <s v="24/09/2026 13:00:13"/>
    <s v="Henrique"/>
    <s v="24/09/2026"/>
    <s v="Guapiaçu"/>
    <s v="1 ° Turno"/>
    <n v="161"/>
    <n v="2937"/>
    <s v="EDMAR FELIPE MARTINS"/>
    <n v="41"/>
    <n v="41"/>
    <n v="22"/>
    <n v="22"/>
    <n v="0"/>
    <n v="0"/>
    <n v="2"/>
    <n v="2"/>
    <n v="1"/>
    <n v="1"/>
    <n v="0"/>
    <n v="0"/>
    <n v="1"/>
    <n v="0.3105590062111801"/>
    <n v="9"/>
    <n v="5.5900621118012426"/>
    <n v="0"/>
    <n v="0"/>
    <n v="2"/>
    <n v="1.2422360248447204"/>
    <n v="6"/>
    <n v="3.7267080745341614"/>
    <s v=""/>
    <n v="6"/>
    <n v="3.7267080745341614"/>
    <n v="2"/>
    <n v="1.2422360248447204"/>
    <s v=""/>
    <n v="14"/>
    <n v="8.695652173913043"/>
    <n v="3"/>
    <n v="1.8633540372670807"/>
    <n v="7"/>
    <n v="4.3478260869565215"/>
    <n v="2"/>
    <n v="1.2422360248447204"/>
    <s v=""/>
    <n v="20"/>
    <n v="0"/>
    <n v="0"/>
    <n v="40"/>
    <n v="0"/>
    <n v="0"/>
    <n v="0"/>
    <n v="0"/>
    <n v="14"/>
    <n v="9"/>
    <n v="0"/>
    <n v="0"/>
    <s v=""/>
    <s v=""/>
    <s v=""/>
    <s v=""/>
    <s v="assinatura"/>
    <n v="1403"/>
  </r>
  <r>
    <x v="53"/>
    <x v="8"/>
    <s v="6abb28971f4352de92673b0a"/>
    <s v="28/09/2026 21:13:10"/>
    <s v="28/09/2026 23:55:19"/>
    <s v="Henrique"/>
    <s v="28/09/2026"/>
    <s v="Guapiaçu"/>
    <s v="2 ° Turno"/>
    <n v="161"/>
    <n v="3225"/>
    <s v="JOBILIANA APARECIDA MAXIMO BERGAMINI"/>
    <n v="20"/>
    <n v="20"/>
    <n v="6"/>
    <n v="6"/>
    <n v="0"/>
    <n v="0"/>
    <n v="0"/>
    <n v="0"/>
    <n v="0"/>
    <n v="0"/>
    <n v="0"/>
    <n v="0"/>
    <n v="5"/>
    <n v="1.5527950310559007"/>
    <n v="4"/>
    <n v="2.4844720496894408"/>
    <n v="0"/>
    <n v="0"/>
    <n v="2"/>
    <n v="1.2422360248447204"/>
    <n v="3"/>
    <n v="1.8633540372670807"/>
    <s v=""/>
    <n v="0"/>
    <n v="0"/>
    <n v="0"/>
    <n v="0"/>
    <s v=""/>
    <n v="6"/>
    <n v="3.7267080745341614"/>
    <n v="4"/>
    <n v="2.4844720496894408"/>
    <n v="6"/>
    <n v="3.7267080745341614"/>
    <n v="0"/>
    <n v="0"/>
    <s v=""/>
    <n v="18"/>
    <n v="0"/>
    <n v="0"/>
    <n v="36"/>
    <n v="0"/>
    <n v="0"/>
    <n v="0"/>
    <n v="0"/>
    <n v="20"/>
    <n v="18"/>
    <n v="0"/>
    <n v="0"/>
    <s v=""/>
    <n v="0"/>
    <n v="0"/>
    <n v="0"/>
    <s v="assinatura"/>
    <n v="3787"/>
  </r>
  <r>
    <x v="53"/>
    <x v="8"/>
    <s v="6abb28971f4352de92673af2"/>
    <s v="28/09/2026 19:09:46"/>
    <s v="28/09/2026 23:55:19"/>
    <s v="Henrique"/>
    <s v="28/09/2026"/>
    <s v="Guapiaçu"/>
    <s v="2 ° Turno"/>
    <n v="79"/>
    <n v="3390"/>
    <s v="JOBILIANA APARECIDA MAXIMO BERGAMINI"/>
    <n v="17"/>
    <n v="17"/>
    <n v="16"/>
    <n v="16"/>
    <n v="0"/>
    <n v="0"/>
    <n v="1"/>
    <n v="1"/>
    <n v="0"/>
    <n v="0"/>
    <n v="1"/>
    <n v="5"/>
    <n v="5"/>
    <n v="3.1645569620253164"/>
    <n v="5"/>
    <n v="6.3291139240506329"/>
    <n v="0"/>
    <n v="0"/>
    <n v="3"/>
    <n v="3.79746835443038"/>
    <n v="2"/>
    <n v="2.5316455696202533"/>
    <s v=""/>
    <n v="1"/>
    <n v="1.2658227848101267"/>
    <n v="0"/>
    <n v="0"/>
    <s v=""/>
    <n v="11"/>
    <n v="13.924050632911392"/>
    <n v="5"/>
    <n v="6.3291139240506329"/>
    <n v="6"/>
    <n v="7.59493670886076"/>
    <n v="0"/>
    <n v="0"/>
    <s v=""/>
    <n v="19"/>
    <n v="0"/>
    <n v="0"/>
    <n v="38"/>
    <n v="0"/>
    <n v="0"/>
    <n v="0"/>
    <n v="0"/>
    <n v="19"/>
    <n v="17"/>
    <n v="0"/>
    <n v="0"/>
    <s v=""/>
    <n v="1"/>
    <n v="0"/>
    <n v="0"/>
    <s v="assinatura"/>
    <n v="10785"/>
  </r>
  <r>
    <x v="53"/>
    <x v="8"/>
    <s v="6abb28961f4352de92673ad4"/>
    <s v="28/09/2026 14:06:02"/>
    <s v="28/09/2026 23:55:18"/>
    <s v="Henrique"/>
    <s v="28/09/2026"/>
    <s v="Guapiaçu"/>
    <s v="2 ° Turno"/>
    <n v="130"/>
    <n v="3231"/>
    <s v="JOBILIANA APARECIDA MAXIMO BERGAMINI"/>
    <n v="16"/>
    <n v="16"/>
    <n v="6"/>
    <n v="6"/>
    <n v="0"/>
    <n v="0"/>
    <n v="3"/>
    <n v="3"/>
    <n v="2"/>
    <n v="2"/>
    <n v="1"/>
    <n v="5"/>
    <n v="4"/>
    <n v="1.5384615384615385"/>
    <n v="5"/>
    <n v="3.8461538461538463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1"/>
    <n v="0.76923076923076927"/>
    <s v=""/>
    <n v="19"/>
    <n v="0"/>
    <n v="0"/>
    <n v="38"/>
    <n v="0"/>
    <n v="0"/>
    <n v="0"/>
    <n v="0"/>
    <n v="20"/>
    <n v="19"/>
    <n v="0"/>
    <n v="0"/>
    <s v=""/>
    <n v="2"/>
    <n v="0"/>
    <n v="0"/>
    <s v="assinatura"/>
    <n v="10054"/>
  </r>
  <r>
    <x v="53"/>
    <x v="8"/>
    <s v="6aba9094acf1d04b2ddb06b4"/>
    <s v="28/09/2026 11:35:46"/>
    <s v="28/09/2026 13:06:44"/>
    <s v="Henrique"/>
    <s v="28/09/2026"/>
    <s v="Guapiaçu"/>
    <s v="1 ° Turno"/>
    <n v="120"/>
    <n v="3298"/>
    <s v="EDMAR FELIPE MARTINS"/>
    <n v="39"/>
    <n v="39"/>
    <n v="18"/>
    <n v="18"/>
    <n v="0"/>
    <n v="0"/>
    <n v="3"/>
    <n v="3"/>
    <n v="1"/>
    <n v="1"/>
    <n v="0"/>
    <n v="0"/>
    <n v="4"/>
    <n v="1.6666666666666667"/>
    <n v="2"/>
    <n v="1.6666666666666667"/>
    <n v="0"/>
    <n v="0"/>
    <n v="1"/>
    <n v="0.83333333333333337"/>
    <n v="4"/>
    <n v="3.3333333333333335"/>
    <s v=""/>
    <n v="7"/>
    <n v="5.833333333333333"/>
    <n v="2"/>
    <n v="1.6666666666666667"/>
    <s v=""/>
    <n v="11"/>
    <n v="9.1666666666666661"/>
    <n v="2"/>
    <n v="1.6666666666666667"/>
    <n v="7"/>
    <n v="5.833333333333333"/>
    <n v="2"/>
    <n v="1.6666666666666667"/>
    <s v=""/>
    <n v="20"/>
    <n v="0"/>
    <n v="0"/>
    <n v="40"/>
    <n v="0"/>
    <n v="0"/>
    <n v="1"/>
    <n v="0.83333333333333337"/>
    <n v="19"/>
    <n v="21"/>
    <n v="1"/>
    <n v="10"/>
    <s v=""/>
    <s v=""/>
    <s v=""/>
    <s v=""/>
    <s v="assinatura"/>
    <n v="1697"/>
  </r>
  <r>
    <x v="53"/>
    <x v="8"/>
    <s v="6aba9093acf1d04b2ddb069c"/>
    <s v="28/09/2026 08:41:09"/>
    <s v="28/09/2026 13:06:43"/>
    <s v="Henrique"/>
    <s v="28/09/2026"/>
    <s v="Guapiaçu"/>
    <s v="1 ° Turno"/>
    <n v="161"/>
    <n v="2867"/>
    <s v="EDMAR FELIPE MARTINS"/>
    <n v="30"/>
    <n v="30"/>
    <n v="13"/>
    <n v="13"/>
    <n v="0"/>
    <n v="0"/>
    <n v="1"/>
    <n v="1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7"/>
    <n v="4.3478260869565215"/>
    <n v="3"/>
    <n v="1.8633540372670807"/>
    <s v=""/>
    <n v="10"/>
    <n v="6.2111801242236027"/>
    <n v="1"/>
    <n v="0.6211180124223602"/>
    <n v="7"/>
    <n v="4.3478260869565215"/>
    <n v="1"/>
    <n v="0.6211180124223602"/>
    <s v=""/>
    <n v="17"/>
    <n v="0"/>
    <n v="0"/>
    <n v="34"/>
    <n v="0"/>
    <n v="0"/>
    <n v="0"/>
    <n v="0"/>
    <n v="19"/>
    <n v="25"/>
    <n v="1"/>
    <n v="10"/>
    <s v=""/>
    <n v="1"/>
    <n v="0"/>
    <n v="0"/>
    <s v="assinatura"/>
    <n v="2376"/>
  </r>
  <r>
    <x v="53"/>
    <x v="8"/>
    <s v="6aba9093acf1d04b2ddb0684"/>
    <s v="28/09/2026 06:28:40"/>
    <s v="28/09/2026 13:06:43"/>
    <s v="Henrique"/>
    <s v="28/09/2026"/>
    <s v="Guapiaçu"/>
    <s v="1 ° Turno"/>
    <n v="151"/>
    <n v="2953"/>
    <s v="EDMAR FELIPE MARTINS"/>
    <n v="28"/>
    <n v="28.000000000000004"/>
    <n v="12"/>
    <n v="12"/>
    <n v="0"/>
    <n v="0"/>
    <n v="2"/>
    <n v="2"/>
    <n v="1"/>
    <n v="1"/>
    <n v="0"/>
    <n v="0"/>
    <n v="1"/>
    <n v="0.33112582781456956"/>
    <n v="3"/>
    <n v="1.9867549668874174"/>
    <n v="0"/>
    <n v="0"/>
    <n v="2"/>
    <n v="1.3245033112582782"/>
    <n v="6"/>
    <n v="3.9735099337748347"/>
    <s v=""/>
    <n v="9"/>
    <n v="5.9602649006622519"/>
    <n v="2"/>
    <n v="1.3245033112582782"/>
    <s v=""/>
    <n v="14"/>
    <n v="9.2715231788079464"/>
    <n v="2"/>
    <n v="1.3245033112582782"/>
    <n v="7"/>
    <n v="4.6357615894039732"/>
    <n v="1"/>
    <n v="0.66225165562913912"/>
    <s v=""/>
    <n v="19"/>
    <n v="0"/>
    <n v="0"/>
    <n v="38"/>
    <n v="0"/>
    <n v="0"/>
    <n v="0"/>
    <n v="0"/>
    <n v="17"/>
    <n v="22"/>
    <n v="1"/>
    <n v="10"/>
    <s v=""/>
    <n v="1"/>
    <n v="0"/>
    <n v="1"/>
    <s v="assinatura"/>
    <n v="2966"/>
  </r>
  <r>
    <x v="53"/>
    <x v="8"/>
    <s v="6aba9093acf1d04b2ddb0672"/>
    <s v="28/09/2026 04:25:11"/>
    <s v="28/09/2026 13:06:43"/>
    <s v="Henrique"/>
    <s v="28/09/2026"/>
    <s v="Guapiaçu"/>
    <s v="1 ° Turno"/>
    <n v="160"/>
    <n v="3244"/>
    <s v="EDMAR FELIPE MARTINS"/>
    <n v="31"/>
    <n v="31"/>
    <n v="9"/>
    <n v="9"/>
    <n v="0"/>
    <n v="0"/>
    <n v="2"/>
    <n v="2"/>
    <n v="1"/>
    <n v="1"/>
    <n v="0"/>
    <n v="0"/>
    <n v="2"/>
    <n v="0.625"/>
    <n v="2"/>
    <n v="1.25"/>
    <n v="0"/>
    <n v="0"/>
    <n v="1"/>
    <n v="0.625"/>
    <n v="5"/>
    <n v="3.125"/>
    <s v=""/>
    <n v="2"/>
    <n v="1.25"/>
    <n v="1"/>
    <n v="0.625"/>
    <s v=""/>
    <n v="8"/>
    <n v="5"/>
    <n v="1"/>
    <n v="0.625"/>
    <n v="7"/>
    <n v="4.375"/>
    <n v="1"/>
    <n v="0.625"/>
    <s v=""/>
    <n v="19"/>
    <n v="0"/>
    <n v="0"/>
    <n v="38"/>
    <n v="0"/>
    <n v="0"/>
    <n v="0"/>
    <n v="0"/>
    <n v="16"/>
    <n v="13"/>
    <n v="0"/>
    <n v="0"/>
    <s v=""/>
    <s v=""/>
    <s v=""/>
    <s v=""/>
    <s v="assinatura"/>
    <n v="2291"/>
  </r>
  <r>
    <x v="54"/>
    <x v="8"/>
    <s v="6abc70e143ce2b65efeb7a4d"/>
    <s v="29/09/2026 21:34:37"/>
    <s v="29/09/2026 23:16:01"/>
    <s v="Henrique"/>
    <s v="29/09/2026"/>
    <s v="Guapiaçu"/>
    <s v="2 ° Turno"/>
    <n v="157"/>
    <n v="2965"/>
    <s v="JOBILIANA APARECIDA MAXIMO BERGAMINI"/>
    <n v="20"/>
    <n v="20"/>
    <n v="5"/>
    <n v="5"/>
    <n v="8"/>
    <n v="80"/>
    <n v="0"/>
    <n v="0"/>
    <n v="0"/>
    <n v="0"/>
    <n v="0"/>
    <n v="0"/>
    <n v="4"/>
    <n v="1.2738853503184715"/>
    <n v="4"/>
    <n v="2.547770700636943"/>
    <n v="0"/>
    <n v="0"/>
    <n v="1"/>
    <n v="0.63694267515923575"/>
    <n v="2"/>
    <n v="1.2738853503184715"/>
    <s v=""/>
    <n v="0"/>
    <n v="0"/>
    <n v="0"/>
    <n v="0"/>
    <s v=""/>
    <n v="5"/>
    <n v="3.1847133757961785"/>
    <n v="5"/>
    <n v="3.1847133757961785"/>
    <n v="6"/>
    <n v="3.8216560509554141"/>
    <n v="1"/>
    <n v="0.63694267515923575"/>
    <s v=""/>
    <n v="19"/>
    <n v="0"/>
    <n v="0"/>
    <n v="38"/>
    <n v="0"/>
    <n v="0"/>
    <n v="0"/>
    <n v="0"/>
    <n v="20"/>
    <n v="17"/>
    <n v="0"/>
    <n v="0"/>
    <s v=""/>
    <n v="2"/>
    <n v="0"/>
    <n v="0"/>
    <s v="assinatura"/>
    <n v="214"/>
  </r>
  <r>
    <x v="54"/>
    <x v="8"/>
    <s v="6abc70e143ce2b65efeb7a3b"/>
    <s v="29/09/2026 18:27:34"/>
    <s v="29/09/2026 23:16:01"/>
    <s v="Henrique"/>
    <s v="29/09/2026"/>
    <s v="Guapiaçu"/>
    <s v="2 ° Turno"/>
    <n v="79"/>
    <n v="2821"/>
    <s v="JOBILIANA APARECIDA MAXIMO BERGAMINI"/>
    <n v="20"/>
    <n v="20"/>
    <n v="5"/>
    <n v="5"/>
    <n v="0"/>
    <n v="0"/>
    <n v="1"/>
    <n v="1"/>
    <n v="0"/>
    <n v="0"/>
    <n v="0"/>
    <n v="0"/>
    <n v="6"/>
    <n v="3.79746835443038"/>
    <n v="5"/>
    <n v="6.3291139240506329"/>
    <n v="0"/>
    <n v="0"/>
    <n v="1"/>
    <n v="1.2658227848101267"/>
    <n v="2"/>
    <n v="2.5316455696202533"/>
    <s v=""/>
    <n v="0"/>
    <n v="0"/>
    <n v="0"/>
    <n v="0"/>
    <s v=""/>
    <n v="3"/>
    <n v="3.79746835443038"/>
    <n v="6"/>
    <n v="7.59493670886076"/>
    <n v="5"/>
    <n v="6.3291139240506329"/>
    <n v="0"/>
    <n v="0"/>
    <s v=""/>
    <n v="18"/>
    <n v="0"/>
    <n v="0"/>
    <n v="36"/>
    <n v="0"/>
    <n v="0"/>
    <n v="0"/>
    <n v="0"/>
    <n v="20"/>
    <n v="17"/>
    <n v="0"/>
    <n v="0"/>
    <s v=""/>
    <n v="4"/>
    <n v="0"/>
    <n v="0"/>
    <s v="assinatura"/>
    <n v="10836"/>
  </r>
  <r>
    <x v="54"/>
    <x v="8"/>
    <s v="6abc70e043ce2b65efeb7a17"/>
    <s v="29/09/2026 14:05:27"/>
    <s v="29/09/2026 23:16:00"/>
    <s v="Henrique"/>
    <s v="29/09/2026"/>
    <s v="Guapiaçu"/>
    <s v="2 ° Turno"/>
    <n v="161"/>
    <n v="3025"/>
    <s v="JOBILIANA APARECIDA MAXIMO BERGAMINI"/>
    <n v="22"/>
    <n v="22"/>
    <n v="6"/>
    <n v="6"/>
    <n v="0"/>
    <n v="0"/>
    <n v="1"/>
    <n v="1"/>
    <n v="0"/>
    <n v="0"/>
    <n v="0"/>
    <n v="0"/>
    <s v=""/>
    <s v=""/>
    <n v="5"/>
    <n v="3.1055900621118013"/>
    <n v="0"/>
    <n v="0"/>
    <n v="3"/>
    <n v="1.8633540372670807"/>
    <n v="2"/>
    <n v="1.2422360248447204"/>
    <s v=""/>
    <n v="0"/>
    <n v="0"/>
    <n v="0"/>
    <n v="0"/>
    <s v=""/>
    <n v="7"/>
    <n v="4.3478260869565215"/>
    <n v="5"/>
    <n v="3.1055900621118013"/>
    <n v="5"/>
    <n v="3.1055900621118013"/>
    <n v="0"/>
    <n v="0"/>
    <s v=""/>
    <n v="19"/>
    <n v="0"/>
    <n v="0"/>
    <n v="38"/>
    <n v="0"/>
    <n v="0"/>
    <n v="1"/>
    <n v="0.6211180124223602"/>
    <n v="19"/>
    <n v="16"/>
    <n v="0"/>
    <n v="0"/>
    <s v=""/>
    <n v="1"/>
    <n v="0"/>
    <n v="0"/>
    <s v="assinatura"/>
    <n v="20734"/>
  </r>
  <r>
    <x v="54"/>
    <x v="8"/>
    <s v="6abbe112d12b6fdcdf5519ef"/>
    <s v="29/09/2026 11:07:05"/>
    <s v="29/09/2026 13:02:26"/>
    <s v="Henrique"/>
    <s v="29/09/2026"/>
    <s v="Guapiaçu"/>
    <s v="1 ° Turno"/>
    <n v="150"/>
    <n v="3094"/>
    <s v="EDMAR FELIPE MARTINS"/>
    <n v="41"/>
    <n v="41"/>
    <n v="23"/>
    <n v="23"/>
    <n v="0"/>
    <n v="0"/>
    <n v="1"/>
    <n v="1"/>
    <n v="1"/>
    <n v="1"/>
    <n v="0"/>
    <n v="0"/>
    <n v="2"/>
    <n v="0.66666666666666674"/>
    <n v="2"/>
    <n v="1.3333333333333335"/>
    <n v="0"/>
    <n v="0"/>
    <n v="1"/>
    <n v="0.66666666666666674"/>
    <n v="5"/>
    <n v="3.3333333333333335"/>
    <s v=""/>
    <n v="5"/>
    <n v="3.3333333333333335"/>
    <n v="2"/>
    <n v="1.3333333333333335"/>
    <s v=""/>
    <n v="9"/>
    <n v="6"/>
    <n v="1"/>
    <n v="0.66666666666666674"/>
    <n v="7"/>
    <n v="4.666666666666667"/>
    <n v="1"/>
    <n v="0.66666666666666674"/>
    <s v=""/>
    <n v="19"/>
    <n v="0"/>
    <n v="0"/>
    <n v="38"/>
    <n v="0"/>
    <n v="0"/>
    <n v="2"/>
    <n v="1.3333333333333335"/>
    <n v="25"/>
    <n v="20"/>
    <n v="1"/>
    <n v="10"/>
    <s v=""/>
    <s v=""/>
    <s v=""/>
    <s v=""/>
    <s v="assinatura"/>
    <n v="1475"/>
  </r>
  <r>
    <x v="54"/>
    <x v="8"/>
    <s v="6abbe112d12b6fdcdf5519dd"/>
    <s v="29/09/2026 08:38:00"/>
    <s v="29/09/2026 13:02:26"/>
    <s v="Henrique"/>
    <s v="29/09/2026"/>
    <s v="Guapiaçu"/>
    <s v="1 ° Turno"/>
    <n v="160"/>
    <n v="3321"/>
    <s v="EDMAR FELIPE MARTINS"/>
    <n v="35"/>
    <n v="35"/>
    <n v="23"/>
    <n v="23"/>
    <n v="0"/>
    <n v="0"/>
    <n v="3"/>
    <n v="3"/>
    <n v="1"/>
    <n v="1"/>
    <n v="2"/>
    <n v="10"/>
    <n v="2"/>
    <n v="0.625"/>
    <n v="2"/>
    <n v="1.25"/>
    <n v="0"/>
    <n v="0"/>
    <n v="2"/>
    <n v="1.25"/>
    <n v="6"/>
    <n v="3.75"/>
    <s v=""/>
    <n v="7"/>
    <n v="4.375"/>
    <n v="3"/>
    <n v="1.875"/>
    <s v=""/>
    <n v="11"/>
    <n v="6.8750000000000009"/>
    <n v="1"/>
    <n v="0.625"/>
    <n v="6"/>
    <n v="3.75"/>
    <n v="1"/>
    <n v="0.625"/>
    <s v=""/>
    <n v="17"/>
    <n v="0"/>
    <n v="0"/>
    <n v="34"/>
    <n v="0"/>
    <n v="0"/>
    <n v="0"/>
    <n v="0"/>
    <n v="22"/>
    <n v="19"/>
    <n v="0"/>
    <n v="0"/>
    <s v=""/>
    <n v="0"/>
    <n v="0"/>
    <n v="1"/>
    <s v=""/>
    <n v="1851"/>
  </r>
  <r>
    <x v="54"/>
    <x v="8"/>
    <s v="6abbe112d12b6fdcdf5519cb"/>
    <s v="29/09/2026 06:54:58"/>
    <s v="29/09/2026 13:02:26"/>
    <s v="Henrique"/>
    <s v="29/09/2026"/>
    <s v="Guapiaçu"/>
    <s v="1 ° Turno"/>
    <n v="80"/>
    <n v="3018"/>
    <s v="EDMAR FELIPE MARTINS"/>
    <n v="33"/>
    <n v="33"/>
    <n v="20"/>
    <n v="20"/>
    <n v="0"/>
    <n v="0"/>
    <n v="1"/>
    <n v="1"/>
    <n v="1"/>
    <n v="1"/>
    <n v="3"/>
    <n v="15"/>
    <n v="2"/>
    <n v="1.25"/>
    <n v="2"/>
    <n v="2.5"/>
    <n v="0"/>
    <n v="0"/>
    <n v="2"/>
    <n v="2.5"/>
    <n v="4"/>
    <n v="5"/>
    <s v=""/>
    <n v="5"/>
    <n v="6.25"/>
    <n v="2"/>
    <n v="2.5"/>
    <s v=""/>
    <n v="10"/>
    <n v="12.5"/>
    <n v="2"/>
    <n v="2.5"/>
    <n v="6"/>
    <n v="7.5"/>
    <n v="2"/>
    <n v="2.5"/>
    <s v=""/>
    <n v="14"/>
    <n v="0"/>
    <n v="0"/>
    <n v="28"/>
    <n v="0"/>
    <n v="0"/>
    <n v="0"/>
    <n v="0"/>
    <n v="25"/>
    <n v="18"/>
    <n v="1"/>
    <n v="10"/>
    <s v=""/>
    <n v="0"/>
    <n v="0"/>
    <n v="1"/>
    <s v="assinatura"/>
    <n v="1968"/>
  </r>
  <r>
    <x v="54"/>
    <x v="8"/>
    <s v="6abbe112d12b6fdcdf5519b3"/>
    <s v="29/09/2026 04:28:40"/>
    <s v="29/09/2026 13:02:26"/>
    <s v="Henrique"/>
    <s v="29/09/2026"/>
    <s v="Guapiaçu"/>
    <s v="1 ° Turno"/>
    <n v="146"/>
    <n v="3019"/>
    <s v="EDMAR FELIPE MARTINS"/>
    <n v="30"/>
    <n v="30"/>
    <n v="11"/>
    <n v="11"/>
    <n v="0"/>
    <n v="0"/>
    <n v="4"/>
    <n v="4"/>
    <n v="1"/>
    <n v="1"/>
    <n v="0"/>
    <n v="0"/>
    <n v="2"/>
    <n v="0.68493150684931503"/>
    <n v="4"/>
    <n v="2.7397260273972601"/>
    <n v="0"/>
    <n v="0"/>
    <n v="3"/>
    <n v="2.054794520547945"/>
    <n v="6"/>
    <n v="4.10958904109589"/>
    <s v=""/>
    <n v="8"/>
    <n v="5.4794520547945202"/>
    <n v="2"/>
    <n v="1.3698630136986301"/>
    <s v=""/>
    <n v="11"/>
    <n v="7.5342465753424657"/>
    <n v="1"/>
    <n v="0.68493150684931503"/>
    <n v="6"/>
    <n v="4.10958904109589"/>
    <n v="2"/>
    <n v="1.3698630136986301"/>
    <s v=""/>
    <n v="19"/>
    <n v="0"/>
    <n v="0"/>
    <n v="38"/>
    <n v="0"/>
    <n v="0"/>
    <n v="0"/>
    <n v="0"/>
    <n v="20"/>
    <n v="18"/>
    <n v="1"/>
    <n v="10"/>
    <s v=""/>
    <s v=""/>
    <s v=""/>
    <s v=""/>
    <s v="assinatura"/>
    <n v="3447"/>
  </r>
  <r>
    <x v="55"/>
    <x v="8"/>
    <s v="6abdc6d0a48ad3e47d9c4cd9"/>
    <s v="30/09/2026 21:26:04"/>
    <s v="30/09/2026 23:34:56"/>
    <s v="Henrique"/>
    <s v="30/09/2026"/>
    <s v="Guapiaçu"/>
    <s v="2 ° Turno"/>
    <n v="151"/>
    <n v="3089"/>
    <s v="JOBILIANA APARECIDA MAXIMO BERGAMINI"/>
    <n v="20"/>
    <n v="20"/>
    <n v="6"/>
    <n v="6"/>
    <n v="0"/>
    <n v="0"/>
    <n v="1"/>
    <n v="1"/>
    <n v="0"/>
    <n v="0"/>
    <n v="0"/>
    <n v="0"/>
    <n v="3"/>
    <n v="0.99337748344370869"/>
    <n v="3"/>
    <n v="1.9867549668874174"/>
    <n v="0"/>
    <n v="0"/>
    <n v="2"/>
    <n v="1.3245033112582782"/>
    <n v="3"/>
    <n v="1.9867549668874174"/>
    <s v=""/>
    <n v="0"/>
    <n v="0"/>
    <n v="0"/>
    <n v="0"/>
    <s v=""/>
    <n v="4"/>
    <n v="2.6490066225165565"/>
    <n v="4"/>
    <n v="2.6490066225165565"/>
    <n v="5"/>
    <n v="3.3112582781456954"/>
    <n v="0"/>
    <n v="0"/>
    <s v=""/>
    <n v="16"/>
    <n v="0"/>
    <n v="0"/>
    <n v="32"/>
    <n v="0"/>
    <n v="0"/>
    <n v="0"/>
    <n v="0"/>
    <n v="20"/>
    <n v="17"/>
    <n v="0"/>
    <n v="0"/>
    <s v=""/>
    <n v="0"/>
    <n v="0"/>
    <n v="0"/>
    <s v="assinatura"/>
    <n v="1071"/>
  </r>
  <r>
    <x v="55"/>
    <x v="8"/>
    <s v="6abdc6d0a48ad3e47d9c4cc7"/>
    <s v="30/09/2026 19:03:03"/>
    <s v="30/09/2026 23:34:56"/>
    <s v="Henrique"/>
    <s v="30/09/2026"/>
    <s v="Guapiaçu"/>
    <s v="2 ° Turno"/>
    <n v="127"/>
    <n v="3146"/>
    <s v="JOBILIANA APARECIDA MAXIMO BERGAMINI"/>
    <n v="15"/>
    <n v="15"/>
    <n v="5"/>
    <n v="5"/>
    <n v="0"/>
    <n v="0"/>
    <n v="3"/>
    <n v="3"/>
    <n v="2"/>
    <n v="2"/>
    <n v="0"/>
    <n v="0"/>
    <n v="4"/>
    <n v="1.5748031496062991"/>
    <n v="15"/>
    <n v="11.811023622047244"/>
    <n v="0"/>
    <n v="0"/>
    <n v="3"/>
    <n v="2.3622047244094486"/>
    <n v="4"/>
    <n v="3.1496062992125982"/>
    <s v=""/>
    <n v="1"/>
    <n v="0.78740157480314954"/>
    <n v="0"/>
    <n v="0"/>
    <s v=""/>
    <n v="3"/>
    <n v="2.3622047244094486"/>
    <n v="2"/>
    <n v="1.5748031496062991"/>
    <n v="4"/>
    <n v="3.1496062992125982"/>
    <n v="0"/>
    <n v="0"/>
    <s v=""/>
    <n v="19"/>
    <n v="0"/>
    <n v="0"/>
    <n v="38"/>
    <n v="0"/>
    <n v="0"/>
    <n v="0"/>
    <n v="0"/>
    <n v="27"/>
    <n v="14"/>
    <n v="0"/>
    <n v="0"/>
    <s v=""/>
    <n v="0"/>
    <n v="0"/>
    <n v="0"/>
    <s v="assinatura"/>
    <n v="8188"/>
  </r>
  <r>
    <x v="55"/>
    <x v="8"/>
    <s v="6abd806f8c70c570f30dc379"/>
    <s v="30/09/2026 14:09:30"/>
    <s v="30/09/2026 18:34:39"/>
    <s v="Henrique"/>
    <s v="30/09/2026"/>
    <s v="Guapiaçu"/>
    <s v="2 ° Turno"/>
    <n v="133"/>
    <n v="2751"/>
    <s v="JOBILIANA APARECIDA MAXIMO BERGAMINI"/>
    <n v="20"/>
    <n v="20"/>
    <n v="8"/>
    <n v="8"/>
    <n v="0"/>
    <n v="0"/>
    <n v="1"/>
    <n v="1"/>
    <n v="0"/>
    <n v="0"/>
    <n v="0"/>
    <n v="0"/>
    <n v="4"/>
    <n v="1.5037593984962405"/>
    <n v="4"/>
    <n v="3.007518796992481"/>
    <n v="0"/>
    <n v="0"/>
    <n v="1"/>
    <n v="0.75187969924812026"/>
    <n v="1"/>
    <n v="0.75187969924812026"/>
    <s v=""/>
    <n v="0"/>
    <n v="0"/>
    <n v="0"/>
    <n v="0"/>
    <s v=""/>
    <n v="7"/>
    <n v="5.2631578947368416"/>
    <n v="6"/>
    <n v="4.5112781954887211"/>
    <n v="4"/>
    <n v="3.007518796992481"/>
    <n v="0"/>
    <n v="0"/>
    <s v=""/>
    <n v="16"/>
    <n v="0"/>
    <n v="0"/>
    <n v="32"/>
    <n v="0"/>
    <n v="0"/>
    <n v="4"/>
    <n v="3.007518796992481"/>
    <n v="20"/>
    <n v="17"/>
    <n v="0"/>
    <n v="0"/>
    <s v=""/>
    <n v="1"/>
    <n v="0"/>
    <n v="0"/>
    <s v="assinatura"/>
    <n v="11301"/>
  </r>
  <r>
    <x v="55"/>
    <x v="8"/>
    <s v="6abd346f7f3e0285f25b9395"/>
    <s v="30/09/2026 11:24:22"/>
    <s v="30/09/2026 13:10:23"/>
    <s v="Henrique"/>
    <s v="30/09/2026"/>
    <s v="Guapiaçu"/>
    <s v="1 ° Turno"/>
    <n v="161"/>
    <n v="2943"/>
    <s v="EDMAR FELIPE MARTINS"/>
    <n v="35"/>
    <n v="35"/>
    <n v="20"/>
    <n v="20"/>
    <n v="0"/>
    <n v="0"/>
    <n v="3"/>
    <n v="3"/>
    <n v="1"/>
    <n v="1"/>
    <n v="0"/>
    <n v="0"/>
    <n v="2"/>
    <n v="0.6211180124223602"/>
    <n v="3"/>
    <n v="1.8633540372670807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n v="1"/>
    <n v="0.6211180124223602"/>
    <n v="7"/>
    <n v="4.3478260869565215"/>
    <n v="1"/>
    <n v="0.6211180124223602"/>
    <s v=""/>
    <n v="19"/>
    <n v="0"/>
    <n v="0"/>
    <n v="38"/>
    <n v="0"/>
    <n v="0"/>
    <n v="0"/>
    <n v="0"/>
    <n v="21"/>
    <n v="16"/>
    <n v="1"/>
    <n v="10"/>
    <s v=""/>
    <s v=""/>
    <s v=""/>
    <s v=""/>
    <s v="assinatura"/>
    <n v="1416"/>
  </r>
  <r>
    <x v="55"/>
    <x v="8"/>
    <s v="6abd346f7f3e0285f25b9383"/>
    <s v="30/09/2026 08:48:56"/>
    <s v="30/09/2026 13:10:23"/>
    <s v="Henrique"/>
    <s v="30/09/2026"/>
    <s v="Guapiaçu"/>
    <s v="1 ° Turno"/>
    <n v="160"/>
    <n v="2775"/>
    <s v="EDMAR FELIPE MARTINS"/>
    <n v="49"/>
    <n v="49"/>
    <n v="31"/>
    <n v="31"/>
    <n v="0"/>
    <n v="0"/>
    <n v="2"/>
    <n v="2"/>
    <n v="1"/>
    <n v="1"/>
    <n v="0"/>
    <n v="0"/>
    <n v="5"/>
    <n v="1.5625"/>
    <n v="2"/>
    <n v="1.25"/>
    <n v="0"/>
    <n v="0"/>
    <n v="3"/>
    <n v="1.875"/>
    <n v="5"/>
    <n v="3.125"/>
    <s v=""/>
    <n v="3"/>
    <n v="1.875"/>
    <n v="3"/>
    <n v="1.875"/>
    <s v=""/>
    <n v="7"/>
    <n v="4.375"/>
    <n v="2"/>
    <n v="1.25"/>
    <n v="8"/>
    <n v="5"/>
    <n v="1"/>
    <n v="0.625"/>
    <s v=""/>
    <n v="20"/>
    <n v="0"/>
    <n v="0"/>
    <n v="40"/>
    <n v="0"/>
    <n v="0"/>
    <n v="0"/>
    <n v="0"/>
    <n v="19"/>
    <n v="17"/>
    <n v="1"/>
    <n v="10"/>
    <s v=""/>
    <n v="0"/>
    <n v="0"/>
    <n v="2"/>
    <s v="assinatura"/>
    <n v="1721"/>
  </r>
  <r>
    <x v="55"/>
    <x v="8"/>
    <s v="6abd346f7f3e0285f25b9371"/>
    <s v="30/09/2026 06:35:19"/>
    <s v="30/09/2026 13:10:23"/>
    <s v="Henrique"/>
    <s v="30/09/2026"/>
    <s v="Guapiaçu"/>
    <s v="1 ° Turno"/>
    <n v="135"/>
    <n v="2861"/>
    <s v="EDMAR FELIPE MARTINS"/>
    <n v="31"/>
    <n v="31"/>
    <n v="14"/>
    <n v="14.000000000000002"/>
    <n v="0"/>
    <n v="0"/>
    <n v="1"/>
    <n v="1"/>
    <n v="0"/>
    <n v="0"/>
    <n v="0"/>
    <n v="0"/>
    <n v="1"/>
    <n v="0.37037037037037041"/>
    <n v="3"/>
    <n v="2.2222222222222223"/>
    <n v="1"/>
    <n v="0.74074074074074081"/>
    <n v="1"/>
    <n v="0.74074074074074081"/>
    <n v="5"/>
    <n v="3.7037037037037033"/>
    <s v=""/>
    <n v="3"/>
    <n v="2.2222222222222223"/>
    <n v="1"/>
    <n v="0.74074074074074081"/>
    <s v=""/>
    <n v="5"/>
    <n v="3.7037037037037033"/>
    <n v="1"/>
    <n v="0.74074074074074081"/>
    <n v="6"/>
    <n v="4.4444444444444446"/>
    <n v="1"/>
    <n v="0.74074074074074081"/>
    <s v=""/>
    <n v="21"/>
    <n v="0"/>
    <n v="0"/>
    <n v="42"/>
    <n v="0"/>
    <n v="0"/>
    <n v="0"/>
    <n v="0"/>
    <n v="20"/>
    <n v="27"/>
    <n v="1"/>
    <n v="10"/>
    <s v=""/>
    <n v="0"/>
    <n v="0"/>
    <n v="1"/>
    <s v="assinatura"/>
    <n v="2325"/>
  </r>
  <r>
    <x v="55"/>
    <x v="8"/>
    <s v="6abd346e7f3e0285f25b9359"/>
    <s v="30/09/2026 04:24:40"/>
    <s v="30/09/2026 13:10:22"/>
    <s v="Henrique"/>
    <s v="30/09/2026"/>
    <s v="Guapiaçu"/>
    <s v="1 ° Turno"/>
    <n v="146"/>
    <n v="2949"/>
    <s v="EDMAR FELIPE MARTINS"/>
    <n v="29"/>
    <n v="28.999999999999996"/>
    <n v="11"/>
    <n v="11"/>
    <n v="0"/>
    <n v="0"/>
    <n v="3"/>
    <n v="3"/>
    <n v="1"/>
    <n v="1"/>
    <n v="0"/>
    <n v="0"/>
    <n v="1"/>
    <n v="0.34246575342465752"/>
    <n v="2"/>
    <n v="1.3698630136986301"/>
    <n v="0"/>
    <n v="0"/>
    <n v="1"/>
    <n v="0.68493150684931503"/>
    <n v="5"/>
    <n v="3.4246575342465753"/>
    <s v=""/>
    <n v="2"/>
    <n v="1.3698630136986301"/>
    <n v="2"/>
    <n v="1.3698630136986301"/>
    <s v=""/>
    <n v="6"/>
    <n v="4.10958904109589"/>
    <n v="1"/>
    <n v="0.68493150684931503"/>
    <n v="6"/>
    <n v="4.10958904109589"/>
    <n v="1"/>
    <n v="0.68493150684931503"/>
    <s v=""/>
    <n v="18"/>
    <n v="0"/>
    <n v="0"/>
    <n v="36"/>
    <n v="0"/>
    <n v="0"/>
    <n v="0"/>
    <n v="0"/>
    <n v="17"/>
    <n v="23"/>
    <n v="1"/>
    <n v="10"/>
    <s v=""/>
    <s v=""/>
    <s v=""/>
    <s v=""/>
    <s v="assinatura"/>
    <n v="175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AL114" firstHeaderRow="1" firstDataRow="2" firstDataCol="0"/>
  <pivotFields count="67">
    <pivotField axis="axisCol" numFmtId="14" showAll="0" sortType="ascending">
      <items count="58">
        <item x="0"/>
        <item x="1"/>
        <item x="2"/>
        <item x="3"/>
        <item x="4"/>
        <item x="5"/>
        <item m="1" x="56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x="48"/>
        <item x="50"/>
        <item x="49"/>
        <item x="52"/>
        <item x="51"/>
        <item x="53"/>
        <item x="54"/>
        <item x="55"/>
        <item t="default"/>
      </items>
    </pivotField>
    <pivotField showAll="0">
      <items count="10">
        <item h="1" x="0"/>
        <item h="1" x="1"/>
        <item h="1" x="2"/>
        <item h="1" x="3"/>
        <item h="1" x="4"/>
        <item h="1" x="5"/>
        <item h="1" x="7"/>
        <item h="1"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21"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7"/>
        <i x="6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322" totalsRowShown="0" headerRowDxfId="58">
  <autoFilter ref="A1:BO322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"/>
  <sheetViews>
    <sheetView showGridLines="0" tabSelected="1" zoomScaleNormal="100" zoomScaleSheetLayoutView="100" workbookViewId="0">
      <pane xSplit="4" ySplit="5" topLeftCell="E42" activePane="bottomRight" state="frozen"/>
      <selection activeCell="B1" sqref="B1"/>
      <selection pane="topRight" activeCell="D1" sqref="D1"/>
      <selection pane="bottomLeft" activeCell="B6" sqref="B6"/>
      <selection pane="bottomRight" activeCell="O43" sqref="O43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46266</v>
      </c>
      <c r="S3" s="30">
        <f t="shared" si="0"/>
        <v>46267</v>
      </c>
      <c r="T3" s="30">
        <f t="shared" si="0"/>
        <v>46268</v>
      </c>
      <c r="U3" s="30">
        <f t="shared" si="0"/>
        <v>46273</v>
      </c>
      <c r="V3" s="30">
        <f t="shared" si="0"/>
        <v>46274</v>
      </c>
      <c r="W3" s="30">
        <f t="shared" si="0"/>
        <v>46275</v>
      </c>
      <c r="X3" s="30">
        <f t="shared" si="0"/>
        <v>46276</v>
      </c>
      <c r="Y3" s="30">
        <f t="shared" si="0"/>
        <v>46277</v>
      </c>
      <c r="Z3" s="30">
        <f t="shared" si="0"/>
        <v>46279</v>
      </c>
      <c r="AA3" s="30">
        <f t="shared" si="0"/>
        <v>46280</v>
      </c>
      <c r="AB3" s="30">
        <f t="shared" si="0"/>
        <v>46281</v>
      </c>
      <c r="AC3" s="30">
        <f t="shared" si="0"/>
        <v>46282</v>
      </c>
      <c r="AD3" s="30">
        <f t="shared" si="0"/>
        <v>46283</v>
      </c>
      <c r="AE3" s="30">
        <f t="shared" si="0"/>
        <v>46286</v>
      </c>
      <c r="AF3" s="30">
        <f t="shared" si="0"/>
        <v>46287</v>
      </c>
      <c r="AG3" s="30">
        <f t="shared" si="0"/>
        <v>46288</v>
      </c>
      <c r="AH3" s="30">
        <f t="shared" si="0"/>
        <v>46289</v>
      </c>
      <c r="AI3" s="30">
        <f t="shared" si="0"/>
        <v>46290</v>
      </c>
      <c r="AJ3" s="30">
        <f t="shared" si="0"/>
        <v>46293</v>
      </c>
      <c r="AK3" s="30">
        <f t="shared" si="0"/>
        <v>46294</v>
      </c>
      <c r="AL3" s="30">
        <f t="shared" si="0"/>
        <v>46295</v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147 | 140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 xml:space="preserve"> | 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152 | 155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155 | 150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158 | 154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154 | 144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145 | 145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151 | 142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157 | 151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>129 | 139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>150 | 140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>155 | 130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>155 | 148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>147 | 148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>150 | 146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>156 | 132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>145 | 151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>118 | 122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>156 | 146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>129 | 106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>148 | 123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>134 | 132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>151 | 137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2849|2834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|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2877 | 3196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2993 | 2785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2544 | 2617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2801 | 2839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2820 | 3020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2771 | 2726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2802 | 2622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>2699 | 1997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>2763 | 3385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>2972 | 2909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>3026 | 3032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>2785 | 2493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>2862 | 2746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>2907 | 2755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>2225 | 2759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>2756 | 2772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>3039 | 2737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>3097 | 2920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>3091 | 3282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>3113 | 2937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>2882 | 2995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58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0.31819277108433736</v>
      </c>
      <c r="N6" s="34" t="str">
        <f ca="1">IFERROR(AVERAGEIFS(INDIRECT("Tabela1["&amp;$B6&amp;"]"),Tabela1[Turno],$D6,Tabela1[Mês],N$3)/100,"")</f>
        <v/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61">
        <v>0.05</v>
      </c>
      <c r="R6" s="33">
        <f ca="1">IFERROR(AVERAGEIFS(INDIRECT("Tabela1["&amp;$B6&amp;"]"),Tabela1[Turno],$D6,Tabela1[Data Corrigida],R$3)/100,"")</f>
        <v>0.28249999999999997</v>
      </c>
      <c r="S6" s="34">
        <f ca="1">IFERROR(AVERAGEIFS(INDIRECT("Tabela1["&amp;$B6&amp;"]"),Tabela1[Turno],$D6,Tabela1[Data Corrigida],S$3)/100,"")</f>
        <v>0.26250000000000001</v>
      </c>
      <c r="T6" s="34">
        <f ca="1">IFERROR(AVERAGEIFS(INDIRECT("Tabela1["&amp;$B6&amp;"]"),Tabela1[Turno],$D6,Tabela1[Data Corrigida],T$3)/100,"")</f>
        <v>0.31</v>
      </c>
      <c r="U6" s="34">
        <f ca="1">IFERROR(AVERAGEIFS(INDIRECT("Tabela1["&amp;$B6&amp;"]"),Tabela1[Turno],$D6,Tabela1[Data Corrigida],U$3)/100,"")</f>
        <v>0.23250000000000001</v>
      </c>
      <c r="V6" s="34">
        <f ca="1">IFERROR(AVERAGEIFS(INDIRECT("Tabela1["&amp;$B6&amp;"]"),Tabela1[Turno],$D6,Tabela1[Data Corrigida],V$3)/100,"")</f>
        <v>0.23</v>
      </c>
      <c r="W6" s="34">
        <f ca="1">IFERROR(AVERAGEIFS(INDIRECT("Tabela1["&amp;$B6&amp;"]"),Tabela1[Turno],$D6,Tabela1[Data Corrigida],W$3)/100,"")</f>
        <v>0.21249999999999999</v>
      </c>
      <c r="X6" s="34">
        <f ca="1">IFERROR(AVERAGEIFS(INDIRECT("Tabela1["&amp;$B6&amp;"]"),Tabela1[Turno],$D6,Tabela1[Data Corrigida],X$3)/100,"")</f>
        <v>0.29249999999999998</v>
      </c>
      <c r="Y6" s="34">
        <f ca="1">IFERROR(AVERAGEIFS(INDIRECT("Tabela1["&amp;$B6&amp;"]"),Tabela1[Turno],$D6,Tabela1[Data Corrigida],Y$3)/100,"")</f>
        <v>0.33500000000000002</v>
      </c>
      <c r="Z6" s="34">
        <f ca="1">IFERROR(AVERAGEIFS(INDIRECT("Tabela1["&amp;$B6&amp;"]"),Tabela1[Turno],$D6,Tabela1[Data Corrigida],Z$3)/100,"")</f>
        <v>0.25750000000000001</v>
      </c>
      <c r="AA6" s="34">
        <f ca="1">IFERROR(AVERAGEIFS(INDIRECT("Tabela1["&amp;$B6&amp;"]"),Tabela1[Turno],$D6,Tabela1[Data Corrigida],AA$3)/100,"")</f>
        <v>0.38250000000000001</v>
      </c>
      <c r="AB6" s="34">
        <f ca="1">IFERROR(AVERAGEIFS(INDIRECT("Tabela1["&amp;$B6&amp;"]"),Tabela1[Turno],$D6,Tabela1[Data Corrigida],AB$3)/100,"")</f>
        <v>0.37</v>
      </c>
      <c r="AC6" s="34">
        <f ca="1">IFERROR(AVERAGEIFS(INDIRECT("Tabela1["&amp;$B6&amp;"]"),Tabela1[Turno],$D6,Tabela1[Data Corrigida],AC$3)/100,"")</f>
        <v>0.375</v>
      </c>
      <c r="AD6" s="34">
        <f ca="1">IFERROR(AVERAGEIFS(INDIRECT("Tabela1["&amp;$B6&amp;"]"),Tabela1[Turno],$D6,Tabela1[Data Corrigida],AD$3)/100,"")</f>
        <v>0.35333333333333333</v>
      </c>
      <c r="AE6" s="34">
        <f ca="1">IFERROR(AVERAGEIFS(INDIRECT("Tabela1["&amp;$B6&amp;"]"),Tabela1[Turno],$D6,Tabela1[Data Corrigida],AE$3)/100,"")</f>
        <v>0.27750000000000002</v>
      </c>
      <c r="AF6" s="34">
        <f ca="1">IFERROR(AVERAGEIFS(INDIRECT("Tabela1["&amp;$B6&amp;"]"),Tabela1[Turno],$D6,Tabela1[Data Corrigida],AF$3)/100,"")</f>
        <v>0.33250000000000002</v>
      </c>
      <c r="AG6" s="34">
        <f ca="1">IFERROR(AVERAGEIFS(INDIRECT("Tabela1["&amp;$B6&amp;"]"),Tabela1[Turno],$D6,Tabela1[Data Corrigida],AG$3)/100,"")</f>
        <v>0.3725</v>
      </c>
      <c r="AH6" s="34">
        <f ca="1">IFERROR(AVERAGEIFS(INDIRECT("Tabela1["&amp;$B6&amp;"]"),Tabela1[Turno],$D6,Tabela1[Data Corrigida],AH$3)/100,"")</f>
        <v>0.39750000000000002</v>
      </c>
      <c r="AI6" s="34">
        <f ca="1">IFERROR(AVERAGEIFS(INDIRECT("Tabela1["&amp;$B6&amp;"]"),Tabela1[Turno],$D6,Tabela1[Data Corrigida],AI$3)/100,"")</f>
        <v>0.38750000000000001</v>
      </c>
      <c r="AJ6" s="34">
        <f ca="1">IFERROR(AVERAGEIFS(INDIRECT("Tabela1["&amp;$B6&amp;"]"),Tabela1[Turno],$D6,Tabela1[Data Corrigida],AJ$3)/100,"")</f>
        <v>0.32</v>
      </c>
      <c r="AK6" s="34">
        <f ca="1">IFERROR(AVERAGEIFS(INDIRECT("Tabela1["&amp;$B6&amp;"]"),Tabela1[Turno],$D6,Tabela1[Data Corrigida],AK$3)/100,"")</f>
        <v>0.34749999999999998</v>
      </c>
      <c r="AL6" s="34">
        <f ca="1">IFERROR(AVERAGEIFS(INDIRECT("Tabela1["&amp;$B6&amp;"]"),Tabela1[Turno],$D6,Tabela1[Data Corrigida],AL$3)/100,"")</f>
        <v>0.36</v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59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0.21126984126984127</v>
      </c>
      <c r="N7" s="36" t="str">
        <f ca="1">IFERROR(AVERAGEIFS(INDIRECT("Tabela1["&amp;$B7&amp;"]"),Tabela1[Turno],$D7,Tabela1[Mês],N$3)/100,"")</f>
        <v/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62"/>
      <c r="R7" s="35">
        <f ca="1">IFERROR(AVERAGEIFS(INDIRECT("Tabela1["&amp;$B7&amp;"]"),Tabela1[Turno],$D7,Tabela1[Data Corrigida],R$3)/100,"")</f>
        <v>0.20333333333333331</v>
      </c>
      <c r="S7" s="36">
        <f ca="1">IFERROR(AVERAGEIFS(INDIRECT("Tabela1["&amp;$B7&amp;"]"),Tabela1[Turno],$D7,Tabela1[Data Corrigida],S$3)/100,"")</f>
        <v>0.24</v>
      </c>
      <c r="T7" s="36">
        <f ca="1">IFERROR(AVERAGEIFS(INDIRECT("Tabela1["&amp;$B7&amp;"]"),Tabela1[Turno],$D7,Tabela1[Data Corrigida],T$3)/100,"")</f>
        <v>0.22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0.24666666666666667</v>
      </c>
      <c r="W7" s="36">
        <f ca="1">IFERROR(AVERAGEIFS(INDIRECT("Tabela1["&amp;$B7&amp;"]"),Tabela1[Turno],$D7,Tabela1[Data Corrigida],W$3)/100,"")</f>
        <v>0.18666666666666668</v>
      </c>
      <c r="X7" s="36">
        <f ca="1">IFERROR(AVERAGEIFS(INDIRECT("Tabela1["&amp;$B7&amp;"]"),Tabela1[Turno],$D7,Tabela1[Data Corrigida],X$3)/100,"")</f>
        <v>0.33</v>
      </c>
      <c r="Y7" s="36">
        <f ca="1">IFERROR(AVERAGEIFS(INDIRECT("Tabela1["&amp;$B7&amp;"]"),Tabela1[Turno],$D7,Tabela1[Data Corrigida],Y$3)/100,"")</f>
        <v>0.21666666666666667</v>
      </c>
      <c r="Z7" s="36">
        <f ca="1">IFERROR(AVERAGEIFS(INDIRECT("Tabela1["&amp;$B7&amp;"]"),Tabela1[Turno],$D7,Tabela1[Data Corrigida],Z$3)/100,"")</f>
        <v>0.22</v>
      </c>
      <c r="AA7" s="36">
        <f ca="1">IFERROR(AVERAGEIFS(INDIRECT("Tabela1["&amp;$B7&amp;"]"),Tabela1[Turno],$D7,Tabela1[Data Corrigida],AA$3)/100,"")</f>
        <v>0.16</v>
      </c>
      <c r="AB7" s="36">
        <f ca="1">IFERROR(AVERAGEIFS(INDIRECT("Tabela1["&amp;$B7&amp;"]"),Tabela1[Turno],$D7,Tabela1[Data Corrigida],AB$3)/100,"")</f>
        <v>0.22</v>
      </c>
      <c r="AC7" s="36">
        <f ca="1">IFERROR(AVERAGEIFS(INDIRECT("Tabela1["&amp;$B7&amp;"]"),Tabela1[Turno],$D7,Tabela1[Data Corrigida],AC$3)/100,"")</f>
        <v>0.24</v>
      </c>
      <c r="AD7" s="36">
        <f ca="1">IFERROR(AVERAGEIFS(INDIRECT("Tabela1["&amp;$B7&amp;"]"),Tabela1[Turno],$D7,Tabela1[Data Corrigida],AD$3)/100,"")</f>
        <v>0.20666666666666667</v>
      </c>
      <c r="AE7" s="36">
        <f ca="1">IFERROR(AVERAGEIFS(INDIRECT("Tabela1["&amp;$B7&amp;"]"),Tabela1[Turno],$D7,Tabela1[Data Corrigida],AE$3)/100,"")</f>
        <v>0.20666666666666667</v>
      </c>
      <c r="AF7" s="36">
        <f ca="1">IFERROR(AVERAGEIFS(INDIRECT("Tabela1["&amp;$B7&amp;"]"),Tabela1[Turno],$D7,Tabela1[Data Corrigida],AF$3)/100,"")</f>
        <v>0.22</v>
      </c>
      <c r="AG7" s="36">
        <f ca="1">IFERROR(AVERAGEIFS(INDIRECT("Tabela1["&amp;$B7&amp;"]"),Tabela1[Turno],$D7,Tabela1[Data Corrigida],AG$3)/100,"")</f>
        <v>0.19666666666666668</v>
      </c>
      <c r="AH7" s="36">
        <f ca="1">IFERROR(AVERAGEIFS(INDIRECT("Tabela1["&amp;$B7&amp;"]"),Tabela1[Turno],$D7,Tabela1[Data Corrigida],AH$3)/100,"")</f>
        <v>0.20333333333333331</v>
      </c>
      <c r="AI7" s="36">
        <f ca="1">IFERROR(AVERAGEIFS(INDIRECT("Tabela1["&amp;$B7&amp;"]"),Tabela1[Turno],$D7,Tabela1[Data Corrigida],AI$3)/100,"")</f>
        <v>0.22333333333333333</v>
      </c>
      <c r="AJ7" s="36">
        <f ca="1">IFERROR(AVERAGEIFS(INDIRECT("Tabela1["&amp;$B7&amp;"]"),Tabela1[Turno],$D7,Tabela1[Data Corrigida],AJ$3)/100,"")</f>
        <v>0.17666666666666667</v>
      </c>
      <c r="AK7" s="36">
        <f ca="1">IFERROR(AVERAGEIFS(INDIRECT("Tabela1["&amp;$B7&amp;"]"),Tabela1[Turno],$D7,Tabela1[Data Corrigida],AK$3)/100,"")</f>
        <v>0.20666666666666667</v>
      </c>
      <c r="AL7" s="36">
        <f ca="1">IFERROR(AVERAGEIFS(INDIRECT("Tabela1["&amp;$B7&amp;"]"),Tabela1[Turno],$D7,Tabela1[Data Corrigida],AL$3)/100,"")</f>
        <v>0.18333333333333332</v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0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0.27205479452054798</v>
      </c>
      <c r="N8" s="45" t="str">
        <f ca="1">IFERROR(AVERAGEIFS(INDIRECT("Tabela1["&amp;$B8&amp;"]"),Tabela1[Mês],N$3)/100,"")</f>
        <v/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3"/>
      <c r="R8" s="37">
        <f ca="1">IFERROR(AVERAGEIFS(INDIRECT("Tabela1["&amp;$B8&amp;"]"),Tabela1[Data Corrigida],R$3)/100,"")</f>
        <v>0.24857142857142858</v>
      </c>
      <c r="S8" s="38">
        <f ca="1">IFERROR(AVERAGEIFS(INDIRECT("Tabela1["&amp;$B8&amp;"]"),Tabela1[Data Corrigida],S$3)/100,"")</f>
        <v>0.25285714285714284</v>
      </c>
      <c r="T8" s="38">
        <f ca="1">IFERROR(AVERAGEIFS(INDIRECT("Tabela1["&amp;$B8&amp;"]"),Tabela1[Data Corrigida],T$3)/100,"")</f>
        <v>0.27142857142857141</v>
      </c>
      <c r="U8" s="38">
        <f ca="1">IFERROR(AVERAGEIFS(INDIRECT("Tabela1["&amp;$B8&amp;"]"),Tabela1[Data Corrigida],U$3)/100,"")</f>
        <v>0.18857142857142858</v>
      </c>
      <c r="V8" s="38">
        <f ca="1">IFERROR(AVERAGEIFS(INDIRECT("Tabela1["&amp;$B8&amp;"]"),Tabela1[Data Corrigida],V$3)/100,"")</f>
        <v>0.23714285714285716</v>
      </c>
      <c r="W8" s="38">
        <f ca="1">IFERROR(AVERAGEIFS(INDIRECT("Tabela1["&amp;$B8&amp;"]"),Tabela1[Data Corrigida],W$3)/100,"")</f>
        <v>0.20142857142857143</v>
      </c>
      <c r="X8" s="38">
        <f ca="1">IFERROR(AVERAGEIFS(INDIRECT("Tabela1["&amp;$B8&amp;"]"),Tabela1[Data Corrigida],X$3)/100,"")</f>
        <v>0.30857142857142855</v>
      </c>
      <c r="Y8" s="38">
        <f ca="1">IFERROR(AVERAGEIFS(INDIRECT("Tabela1["&amp;$B8&amp;"]"),Tabela1[Data Corrigida],Y$3)/100,"")</f>
        <v>0.28428571428571425</v>
      </c>
      <c r="Z8" s="38">
        <f ca="1">IFERROR(AVERAGEIFS(INDIRECT("Tabela1["&amp;$B8&amp;"]"),Tabela1[Data Corrigida],Z$3)/100,"")</f>
        <v>0.24142857142857144</v>
      </c>
      <c r="AA8" s="38">
        <f ca="1">IFERROR(AVERAGEIFS(INDIRECT("Tabela1["&amp;$B8&amp;"]"),Tabela1[Data Corrigida],AA$3)/100,"")</f>
        <v>0.28714285714285714</v>
      </c>
      <c r="AB8" s="38">
        <f ca="1">IFERROR(AVERAGEIFS(INDIRECT("Tabela1["&amp;$B8&amp;"]"),Tabela1[Data Corrigida],AB$3)/100,"")</f>
        <v>0.30571428571428572</v>
      </c>
      <c r="AC8" s="38">
        <f ca="1">IFERROR(AVERAGEIFS(INDIRECT("Tabela1["&amp;$B8&amp;"]"),Tabela1[Data Corrigida],AC$3)/100,"")</f>
        <v>0.31714285714285717</v>
      </c>
      <c r="AD8" s="38">
        <f ca="1">IFERROR(AVERAGEIFS(INDIRECT("Tabela1["&amp;$B8&amp;"]"),Tabela1[Data Corrigida],AD$3)/100,"")</f>
        <v>0.28000000000000003</v>
      </c>
      <c r="AE8" s="38">
        <f ca="1">IFERROR(AVERAGEIFS(INDIRECT("Tabela1["&amp;$B8&amp;"]"),Tabela1[Data Corrigida],AE$3)/100,"")</f>
        <v>0.24714285714285716</v>
      </c>
      <c r="AF8" s="38">
        <f ca="1">IFERROR(AVERAGEIFS(INDIRECT("Tabela1["&amp;$B8&amp;"]"),Tabela1[Data Corrigida],AF$3)/100,"")</f>
        <v>0.28428571428571425</v>
      </c>
      <c r="AG8" s="38">
        <f ca="1">IFERROR(AVERAGEIFS(INDIRECT("Tabela1["&amp;$B8&amp;"]"),Tabela1[Data Corrigida],AG$3)/100,"")</f>
        <v>0.29714285714285715</v>
      </c>
      <c r="AH8" s="38">
        <f ca="1">IFERROR(AVERAGEIFS(INDIRECT("Tabela1["&amp;$B8&amp;"]"),Tabela1[Data Corrigida],AH$3)/100,"")</f>
        <v>0.31428571428571428</v>
      </c>
      <c r="AI8" s="38">
        <f ca="1">IFERROR(AVERAGEIFS(INDIRECT("Tabela1["&amp;$B8&amp;"]"),Tabela1[Data Corrigida],AI$3)/100,"")</f>
        <v>0.31714285714285717</v>
      </c>
      <c r="AJ8" s="38">
        <f ca="1">IFERROR(AVERAGEIFS(INDIRECT("Tabela1["&amp;$B8&amp;"]"),Tabela1[Data Corrigida],AJ$3)/100,"")</f>
        <v>0.25857142857142856</v>
      </c>
      <c r="AK8" s="38">
        <f ca="1">IFERROR(AVERAGEIFS(INDIRECT("Tabela1["&amp;$B8&amp;"]"),Tabela1[Data Corrigida],AK$3)/100,"")</f>
        <v>0.28714285714285714</v>
      </c>
      <c r="AL8" s="38">
        <f ca="1">IFERROR(AVERAGEIFS(INDIRECT("Tabela1["&amp;$B8&amp;"]"),Tabela1[Data Corrigida],AL$3)/100,"")</f>
        <v>0.28428571428571425</v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58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0.13469879518072289</v>
      </c>
      <c r="N9" s="34" t="str">
        <f ca="1">IFERROR(AVERAGEIFS(INDIRECT("Tabela1["&amp;$B9&amp;"]"),Tabela1[Turno],$D9,Tabela1[Mês],N$3)/100,"")</f>
        <v/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61">
        <v>0</v>
      </c>
      <c r="R9" s="39">
        <f ca="1">IFERROR(AVERAGEIFS(INDIRECT("Tabela1["&amp;$B9&amp;"]"),Tabela1[Turno],$D9,Tabela1[Data Corrigida],R$3)/100,"")</f>
        <v>0.12</v>
      </c>
      <c r="S9" s="40">
        <f ca="1">IFERROR(AVERAGEIFS(INDIRECT("Tabela1["&amp;$B9&amp;"]"),Tabela1[Turno],$D9,Tabela1[Data Corrigida],S$3)/100,"")</f>
        <v>8.2500000000000004E-2</v>
      </c>
      <c r="T9" s="40">
        <f ca="1">IFERROR(AVERAGEIFS(INDIRECT("Tabela1["&amp;$B9&amp;"]"),Tabela1[Turno],$D9,Tabela1[Data Corrigida],T$3)/100,"")</f>
        <v>0.13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0.05</v>
      </c>
      <c r="W9" s="40">
        <f ca="1">IFERROR(AVERAGEIFS(INDIRECT("Tabela1["&amp;$B9&amp;"]"),Tabela1[Turno],$D9,Tabela1[Data Corrigida],W$3)/100,"")</f>
        <v>7.4999999999999997E-2</v>
      </c>
      <c r="X9" s="40">
        <f ca="1">IFERROR(AVERAGEIFS(INDIRECT("Tabela1["&amp;$B9&amp;"]"),Tabela1[Turno],$D9,Tabela1[Data Corrigida],X$3)/100,"")</f>
        <v>0.11</v>
      </c>
      <c r="Y9" s="40">
        <f ca="1">IFERROR(AVERAGEIFS(INDIRECT("Tabela1["&amp;$B9&amp;"]"),Tabela1[Turno],$D9,Tabela1[Data Corrigida],Y$3)/100,"")</f>
        <v>0.16500000000000001</v>
      </c>
      <c r="Z9" s="40">
        <f ca="1">IFERROR(AVERAGEIFS(INDIRECT("Tabela1["&amp;$B9&amp;"]"),Tabela1[Turno],$D9,Tabela1[Data Corrigida],Z$3)/100,"")</f>
        <v>0.10249999999999999</v>
      </c>
      <c r="AA9" s="40">
        <f ca="1">IFERROR(AVERAGEIFS(INDIRECT("Tabela1["&amp;$B9&amp;"]"),Tabela1[Turno],$D9,Tabela1[Data Corrigida],AA$3)/100,"")</f>
        <v>0.18</v>
      </c>
      <c r="AB9" s="40">
        <f ca="1">IFERROR(AVERAGEIFS(INDIRECT("Tabela1["&amp;$B9&amp;"]"),Tabela1[Turno],$D9,Tabela1[Data Corrigida],AB$3)/100,"")</f>
        <v>0.19750000000000001</v>
      </c>
      <c r="AC9" s="40">
        <f ca="1">IFERROR(AVERAGEIFS(INDIRECT("Tabela1["&amp;$B9&amp;"]"),Tabela1[Turno],$D9,Tabela1[Data Corrigida],AC$3)/100,"")</f>
        <v>0.15</v>
      </c>
      <c r="AD9" s="40">
        <f ca="1">IFERROR(AVERAGEIFS(INDIRECT("Tabela1["&amp;$B9&amp;"]"),Tabela1[Turno],$D9,Tabela1[Data Corrigida],AD$3)/100,"")</f>
        <v>0.13333333333333333</v>
      </c>
      <c r="AE9" s="40">
        <f ca="1">IFERROR(AVERAGEIFS(INDIRECT("Tabela1["&amp;$B9&amp;"]"),Tabela1[Turno],$D9,Tabela1[Data Corrigida],AE$3)/100,"")</f>
        <v>0.10249999999999999</v>
      </c>
      <c r="AF9" s="40">
        <f ca="1">IFERROR(AVERAGEIFS(INDIRECT("Tabela1["&amp;$B9&amp;"]"),Tabela1[Turno],$D9,Tabela1[Data Corrigida],AF$3)/100,"")</f>
        <v>0.125</v>
      </c>
      <c r="AG9" s="40">
        <f ca="1">IFERROR(AVERAGEIFS(INDIRECT("Tabela1["&amp;$B9&amp;"]"),Tabela1[Turno],$D9,Tabela1[Data Corrigida],AG$3)/100,"")</f>
        <v>0.1225</v>
      </c>
      <c r="AH9" s="40">
        <f ca="1">IFERROR(AVERAGEIFS(INDIRECT("Tabela1["&amp;$B9&amp;"]"),Tabela1[Turno],$D9,Tabela1[Data Corrigida],AH$3)/100,"")</f>
        <v>0.19750000000000001</v>
      </c>
      <c r="AI9" s="40">
        <f ca="1">IFERROR(AVERAGEIFS(INDIRECT("Tabela1["&amp;$B9&amp;"]"),Tabela1[Turno],$D9,Tabela1[Data Corrigida],AI$3)/100,"")</f>
        <v>0.17</v>
      </c>
      <c r="AJ9" s="40">
        <f ca="1">IFERROR(AVERAGEIFS(INDIRECT("Tabela1["&amp;$B9&amp;"]"),Tabela1[Turno],$D9,Tabela1[Data Corrigida],AJ$3)/100,"")</f>
        <v>0.13</v>
      </c>
      <c r="AK9" s="40">
        <f ca="1">IFERROR(AVERAGEIFS(INDIRECT("Tabela1["&amp;$B9&amp;"]"),Tabela1[Turno],$D9,Tabela1[Data Corrigida],AK$3)/100,"")</f>
        <v>0.1925</v>
      </c>
      <c r="AL9" s="40">
        <f ca="1">IFERROR(AVERAGEIFS(INDIRECT("Tabela1["&amp;$B9&amp;"]"),Tabela1[Turno],$D9,Tabela1[Data Corrigida],AL$3)/100,"")</f>
        <v>0.19</v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59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8.8730158730158729E-2</v>
      </c>
      <c r="N10" s="36" t="str">
        <f ca="1">IFERROR(AVERAGEIFS(INDIRECT("Tabela1["&amp;$B10&amp;"]"),Tabela1[Turno],$D10,Tabela1[Mês],N$3)/100,"")</f>
        <v/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62"/>
      <c r="R10" s="35">
        <f ca="1">IFERROR(AVERAGEIFS(INDIRECT("Tabela1["&amp;$B10&amp;"]"),Tabela1[Turno],$D10,Tabela1[Data Corrigida],R$3)/100,"")</f>
        <v>8.6666666666666656E-2</v>
      </c>
      <c r="S10" s="36">
        <f ca="1">IFERROR(AVERAGEIFS(INDIRECT("Tabela1["&amp;$B10&amp;"]"),Tabela1[Turno],$D10,Tabela1[Data Corrigida],S$3)/100,"")</f>
        <v>0.08</v>
      </c>
      <c r="T10" s="36">
        <f ca="1">IFERROR(AVERAGEIFS(INDIRECT("Tabela1["&amp;$B10&amp;"]"),Tabela1[Turno],$D10,Tabela1[Data Corrigida],T$3)/100,"")</f>
        <v>5.6666666666666671E-2</v>
      </c>
      <c r="U10" s="36">
        <f ca="1">IFERROR(AVERAGEIFS(INDIRECT("Tabela1["&amp;$B10&amp;"]"),Tabela1[Turno],$D10,Tabela1[Data Corrigida],U$3)/100,"")</f>
        <v>6.6666666666666666E-2</v>
      </c>
      <c r="V10" s="36">
        <f ca="1">IFERROR(AVERAGEIFS(INDIRECT("Tabela1["&amp;$B10&amp;"]"),Tabela1[Turno],$D10,Tabela1[Data Corrigida],V$3)/100,"")</f>
        <v>6.6666666666666666E-2</v>
      </c>
      <c r="W10" s="36">
        <f ca="1">IFERROR(AVERAGEIFS(INDIRECT("Tabela1["&amp;$B10&amp;"]"),Tabela1[Turno],$D10,Tabela1[Data Corrigida],W$3)/100,"")</f>
        <v>0.10666666666666666</v>
      </c>
      <c r="X10" s="36">
        <f ca="1">IFERROR(AVERAGEIFS(INDIRECT("Tabela1["&amp;$B10&amp;"]"),Tabela1[Turno],$D10,Tabela1[Data Corrigida],X$3)/100,"")</f>
        <v>0.21333333333333332</v>
      </c>
      <c r="Y10" s="36">
        <f ca="1">IFERROR(AVERAGEIFS(INDIRECT("Tabela1["&amp;$B10&amp;"]"),Tabela1[Turno],$D10,Tabela1[Data Corrigida],Y$3)/100,"")</f>
        <v>8.3333333333333343E-2</v>
      </c>
      <c r="Z10" s="36">
        <f ca="1">IFERROR(AVERAGEIFS(INDIRECT("Tabela1["&amp;$B10&amp;"]"),Tabela1[Turno],$D10,Tabela1[Data Corrigida],Z$3)/100,"")</f>
        <v>5.333333333333333E-2</v>
      </c>
      <c r="AA10" s="36">
        <f ca="1">IFERROR(AVERAGEIFS(INDIRECT("Tabela1["&amp;$B10&amp;"]"),Tabela1[Turno],$D10,Tabela1[Data Corrigida],AA$3)/100,"")</f>
        <v>5.6666666666666671E-2</v>
      </c>
      <c r="AB10" s="36">
        <f ca="1">IFERROR(AVERAGEIFS(INDIRECT("Tabela1["&amp;$B10&amp;"]"),Tabela1[Turno],$D10,Tabela1[Data Corrigida],AB$3)/100,"")</f>
        <v>8.6666666666666656E-2</v>
      </c>
      <c r="AC10" s="36">
        <f ca="1">IFERROR(AVERAGEIFS(INDIRECT("Tabela1["&amp;$B10&amp;"]"),Tabela1[Turno],$D10,Tabela1[Data Corrigida],AC$3)/100,"")</f>
        <v>0.10666666666666666</v>
      </c>
      <c r="AD10" s="36">
        <f ca="1">IFERROR(AVERAGEIFS(INDIRECT("Tabela1["&amp;$B10&amp;"]"),Tabela1[Turno],$D10,Tabela1[Data Corrigida],AD$3)/100,"")</f>
        <v>0.22666666666666668</v>
      </c>
      <c r="AE10" s="36">
        <f ca="1">IFERROR(AVERAGEIFS(INDIRECT("Tabela1["&amp;$B10&amp;"]"),Tabela1[Turno],$D10,Tabela1[Data Corrigida],AE$3)/100,"")</f>
        <v>7.6666666666666675E-2</v>
      </c>
      <c r="AF10" s="36">
        <f ca="1">IFERROR(AVERAGEIFS(INDIRECT("Tabela1["&amp;$B10&amp;"]"),Tabela1[Turno],$D10,Tabela1[Data Corrigida],AF$3)/100,"")</f>
        <v>0.06</v>
      </c>
      <c r="AG10" s="36">
        <f ca="1">IFERROR(AVERAGEIFS(INDIRECT("Tabela1["&amp;$B10&amp;"]"),Tabela1[Turno],$D10,Tabela1[Data Corrigida],AG$3)/100,"")</f>
        <v>6.6666666666666666E-2</v>
      </c>
      <c r="AH10" s="36">
        <f ca="1">IFERROR(AVERAGEIFS(INDIRECT("Tabela1["&amp;$B10&amp;"]"),Tabela1[Turno],$D10,Tabela1[Data Corrigida],AH$3)/100,"")</f>
        <v>7.0000000000000007E-2</v>
      </c>
      <c r="AI10" s="36">
        <f ca="1">IFERROR(AVERAGEIFS(INDIRECT("Tabela1["&amp;$B10&amp;"]"),Tabela1[Turno],$D10,Tabela1[Data Corrigida],AI$3)/100,"")</f>
        <v>0.09</v>
      </c>
      <c r="AJ10" s="36">
        <f ca="1">IFERROR(AVERAGEIFS(INDIRECT("Tabela1["&amp;$B10&amp;"]"),Tabela1[Turno],$D10,Tabela1[Data Corrigida],AJ$3)/100,"")</f>
        <v>9.3333333333333338E-2</v>
      </c>
      <c r="AK10" s="36">
        <f ca="1">IFERROR(AVERAGEIFS(INDIRECT("Tabela1["&amp;$B10&amp;"]"),Tabela1[Turno],$D10,Tabela1[Data Corrigida],AK$3)/100,"")</f>
        <v>5.333333333333333E-2</v>
      </c>
      <c r="AL10" s="36">
        <f ca="1">IFERROR(AVERAGEIFS(INDIRECT("Tabela1["&amp;$B10&amp;"]"),Tabela1[Turno],$D10,Tabela1[Data Corrigida],AL$3)/100,"")</f>
        <v>6.3333333333333325E-2</v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0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0.11486301369863014</v>
      </c>
      <c r="N11" s="45" t="str">
        <f ca="1">IFERROR(AVERAGEIFS(INDIRECT("Tabela1["&amp;$B11&amp;"]"),Tabela1[Mês],N$3)/100,"")</f>
        <v/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3"/>
      <c r="R11" s="42">
        <f ca="1">IFERROR(AVERAGEIFS(INDIRECT("Tabela1["&amp;$B11&amp;"]"),Tabela1[Data Corrigida],R$3)/100,"")</f>
        <v>0.10571428571428571</v>
      </c>
      <c r="S11" s="43">
        <f ca="1">IFERROR(AVERAGEIFS(INDIRECT("Tabela1["&amp;$B11&amp;"]"),Tabela1[Data Corrigida],S$3)/100,"")</f>
        <v>8.142857142857142E-2</v>
      </c>
      <c r="T11" s="43">
        <f ca="1">IFERROR(AVERAGEIFS(INDIRECT("Tabela1["&amp;$B11&amp;"]"),Tabela1[Data Corrigida],T$3)/100,"")</f>
        <v>9.8571428571428574E-2</v>
      </c>
      <c r="U11" s="43">
        <f ca="1">IFERROR(AVERAGEIFS(INDIRECT("Tabela1["&amp;$B11&amp;"]"),Tabela1[Data Corrigida],U$3)/100,"")</f>
        <v>8.7142857142857133E-2</v>
      </c>
      <c r="V11" s="43">
        <f ca="1">IFERROR(AVERAGEIFS(INDIRECT("Tabela1["&amp;$B11&amp;"]"),Tabela1[Data Corrigida],V$3)/100,"")</f>
        <v>5.7142857142857141E-2</v>
      </c>
      <c r="W11" s="43">
        <f ca="1">IFERROR(AVERAGEIFS(INDIRECT("Tabela1["&amp;$B11&amp;"]"),Tabela1[Data Corrigida],W$3)/100,"")</f>
        <v>8.8571428571428579E-2</v>
      </c>
      <c r="X11" s="43">
        <f ca="1">IFERROR(AVERAGEIFS(INDIRECT("Tabela1["&amp;$B11&amp;"]"),Tabela1[Data Corrigida],X$3)/100,"")</f>
        <v>0.15428571428571428</v>
      </c>
      <c r="Y11" s="43">
        <f ca="1">IFERROR(AVERAGEIFS(INDIRECT("Tabela1["&amp;$B11&amp;"]"),Tabela1[Data Corrigida],Y$3)/100,"")</f>
        <v>0.13</v>
      </c>
      <c r="Z11" s="43">
        <f ca="1">IFERROR(AVERAGEIFS(INDIRECT("Tabela1["&amp;$B11&amp;"]"),Tabela1[Data Corrigida],Z$3)/100,"")</f>
        <v>8.142857142857142E-2</v>
      </c>
      <c r="AA11" s="43">
        <f ca="1">IFERROR(AVERAGEIFS(INDIRECT("Tabela1["&amp;$B11&amp;"]"),Tabela1[Data Corrigida],AA$3)/100,"")</f>
        <v>0.12714285714285714</v>
      </c>
      <c r="AB11" s="43">
        <f ca="1">IFERROR(AVERAGEIFS(INDIRECT("Tabela1["&amp;$B11&amp;"]"),Tabela1[Data Corrigida],AB$3)/100,"")</f>
        <v>0.15</v>
      </c>
      <c r="AC11" s="43">
        <f ca="1">IFERROR(AVERAGEIFS(INDIRECT("Tabela1["&amp;$B11&amp;"]"),Tabela1[Data Corrigida],AC$3)/100,"")</f>
        <v>0.13142857142857142</v>
      </c>
      <c r="AD11" s="43">
        <f ca="1">IFERROR(AVERAGEIFS(INDIRECT("Tabela1["&amp;$B11&amp;"]"),Tabela1[Data Corrigida],AD$3)/100,"")</f>
        <v>0.18</v>
      </c>
      <c r="AE11" s="43">
        <f ca="1">IFERROR(AVERAGEIFS(INDIRECT("Tabela1["&amp;$B11&amp;"]"),Tabela1[Data Corrigida],AE$3)/100,"")</f>
        <v>9.1428571428571428E-2</v>
      </c>
      <c r="AF11" s="43">
        <f ca="1">IFERROR(AVERAGEIFS(INDIRECT("Tabela1["&amp;$B11&amp;"]"),Tabela1[Data Corrigida],AF$3)/100,"")</f>
        <v>9.7142857142857142E-2</v>
      </c>
      <c r="AG11" s="43">
        <f ca="1">IFERROR(AVERAGEIFS(INDIRECT("Tabela1["&amp;$B11&amp;"]"),Tabela1[Data Corrigida],AG$3)/100,"")</f>
        <v>9.8571428571428574E-2</v>
      </c>
      <c r="AH11" s="43">
        <f ca="1">IFERROR(AVERAGEIFS(INDIRECT("Tabela1["&amp;$B11&amp;"]"),Tabela1[Data Corrigida],AH$3)/100,"")</f>
        <v>0.14285714285714288</v>
      </c>
      <c r="AI11" s="43">
        <f ca="1">IFERROR(AVERAGEIFS(INDIRECT("Tabela1["&amp;$B11&amp;"]"),Tabela1[Data Corrigida],AI$3)/100,"")</f>
        <v>0.1357142857142857</v>
      </c>
      <c r="AJ11" s="43">
        <f ca="1">IFERROR(AVERAGEIFS(INDIRECT("Tabela1["&amp;$B11&amp;"]"),Tabela1[Data Corrigida],AJ$3)/100,"")</f>
        <v>0.11428571428571428</v>
      </c>
      <c r="AK11" s="43">
        <f ca="1">IFERROR(AVERAGEIFS(INDIRECT("Tabela1["&amp;$B11&amp;"]"),Tabela1[Data Corrigida],AK$3)/100,"")</f>
        <v>0.13285714285714287</v>
      </c>
      <c r="AL11" s="43">
        <f ca="1">IFERROR(AVERAGEIFS(INDIRECT("Tabela1["&amp;$B11&amp;"]"),Tabela1[Data Corrigida],AL$3)/100,"")</f>
        <v>0.1357142857142857</v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58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1.2195121951219512E-3</v>
      </c>
      <c r="N12" s="34" t="str">
        <f ca="1">IFERROR(AVERAGEIFS(INDIRECT("Tabela1["&amp;$B12&amp;"]"),Tabela1[Turno],$D12,Tabela1[Mês],N$3)/20,"")</f>
        <v/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61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1.2500000000000001E-2</v>
      </c>
      <c r="U12" s="34">
        <f ca="1">IFERROR(AVERAGEIFS(INDIRECT("Tabela1["&amp;$B12&amp;"]"),Tabela1[Turno],$D12,Tabela1[Data Corrigida],U$3)/20,"")</f>
        <v>1.2500000000000001E-2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>
        <f ca="1">IFERROR(AVERAGEIFS(INDIRECT("Tabela1["&amp;$B12&amp;"]"),Tabela1[Turno],$D12,Tabela1[Data Corrigida],Z$3)/20,"")</f>
        <v>0</v>
      </c>
      <c r="AA12" s="34">
        <f ca="1">IFERROR(AVERAGEIFS(INDIRECT("Tabela1["&amp;$B12&amp;"]"),Tabela1[Turno],$D12,Tabela1[Data Corrigida],AA$3)/20,"")</f>
        <v>0</v>
      </c>
      <c r="AB12" s="34">
        <f ca="1">IFERROR(AVERAGEIFS(INDIRECT("Tabela1["&amp;$B12&amp;"]"),Tabela1[Turno],$D12,Tabela1[Data Corrigida],AB$3)/20,"")</f>
        <v>0</v>
      </c>
      <c r="AC12" s="34">
        <f ca="1">IFERROR(AVERAGEIFS(INDIRECT("Tabela1["&amp;$B12&amp;"]"),Tabela1[Turno],$D12,Tabela1[Data Corrigida],AC$3)/20,"")</f>
        <v>0</v>
      </c>
      <c r="AD12" s="34">
        <f ca="1">IFERROR(AVERAGEIFS(INDIRECT("Tabela1["&amp;$B12&amp;"]"),Tabela1[Turno],$D12,Tabela1[Data Corrigida],AD$3)/20,"")</f>
        <v>0</v>
      </c>
      <c r="AE12" s="34">
        <f ca="1">IFERROR(AVERAGEIFS(INDIRECT("Tabela1["&amp;$B12&amp;"]"),Tabela1[Turno],$D12,Tabela1[Data Corrigida],AE$3)/20,"")</f>
        <v>0</v>
      </c>
      <c r="AF12" s="34">
        <f ca="1">IFERROR(AVERAGEIFS(INDIRECT("Tabela1["&amp;$B12&amp;"]"),Tabela1[Turno],$D12,Tabela1[Data Corrigida],AF$3)/20,"")</f>
        <v>0</v>
      </c>
      <c r="AG12" s="34">
        <f ca="1">IFERROR(AVERAGEIFS(INDIRECT("Tabela1["&amp;$B12&amp;"]"),Tabela1[Turno],$D12,Tabela1[Data Corrigida],AG$3)/20,"")</f>
        <v>0</v>
      </c>
      <c r="AH12" s="34">
        <f ca="1">IFERROR(AVERAGEIFS(INDIRECT("Tabela1["&amp;$B12&amp;"]"),Tabela1[Turno],$D12,Tabela1[Data Corrigida],AH$3)/20,"")</f>
        <v>0</v>
      </c>
      <c r="AI12" s="34">
        <f ca="1">IFERROR(AVERAGEIFS(INDIRECT("Tabela1["&amp;$B12&amp;"]"),Tabela1[Turno],$D12,Tabela1[Data Corrigida],AI$3)/20,"")</f>
        <v>0</v>
      </c>
      <c r="AJ12" s="34">
        <f ca="1">IFERROR(AVERAGEIFS(INDIRECT("Tabela1["&amp;$B12&amp;"]"),Tabela1[Turno],$D12,Tabela1[Data Corrigida],AJ$3)/20,"")</f>
        <v>0</v>
      </c>
      <c r="AK12" s="34">
        <f ca="1">IFERROR(AVERAGEIFS(INDIRECT("Tabela1["&amp;$B12&amp;"]"),Tabela1[Turno],$D12,Tabela1[Data Corrigida],AK$3)/20,"")</f>
        <v>0</v>
      </c>
      <c r="AL12" s="34">
        <f ca="1">IFERROR(AVERAGEIFS(INDIRECT("Tabela1["&amp;$B12&amp;"]"),Tabela1[Turno],$D12,Tabela1[Data Corrigida],AL$3)/20,"")</f>
        <v>0</v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59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3.0952380952380953E-2</v>
      </c>
      <c r="N13" s="36" t="str">
        <f ca="1">IFERROR(AVERAGEIFS(INDIRECT("Tabela1["&amp;$B13&amp;"]"),Tabela1[Turno],$D13,Tabela1[Mês],N$3)/20,"")</f>
        <v/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62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0.05</v>
      </c>
      <c r="U13" s="36">
        <f ca="1">IFERROR(AVERAGEIFS(INDIRECT("Tabela1["&amp;$B13&amp;"]"),Tabela1[Turno],$D13,Tabela1[Data Corrigida],U$3)/20,"")</f>
        <v>3.3333333333333333E-2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0.13333333333333333</v>
      </c>
      <c r="X13" s="36">
        <f ca="1">IFERROR(AVERAGEIFS(INDIRECT("Tabela1["&amp;$B13&amp;"]"),Tabela1[Turno],$D13,Tabela1[Data Corrigida],X$3)/20,"")</f>
        <v>0.05</v>
      </c>
      <c r="Y13" s="36">
        <f ca="1">IFERROR(AVERAGEIFS(INDIRECT("Tabela1["&amp;$B13&amp;"]"),Tabela1[Turno],$D13,Tabela1[Data Corrigida],Y$3)/20,"")</f>
        <v>6.6666666666666666E-2</v>
      </c>
      <c r="Z13" s="36">
        <f ca="1">IFERROR(AVERAGEIFS(INDIRECT("Tabela1["&amp;$B13&amp;"]"),Tabela1[Turno],$D13,Tabela1[Data Corrigida],Z$3)/20,"")</f>
        <v>0</v>
      </c>
      <c r="AA13" s="36">
        <f ca="1">IFERROR(AVERAGEIFS(INDIRECT("Tabela1["&amp;$B13&amp;"]"),Tabela1[Turno],$D13,Tabela1[Data Corrigida],AA$3)/20,"")</f>
        <v>0</v>
      </c>
      <c r="AB13" s="36">
        <f ca="1">IFERROR(AVERAGEIFS(INDIRECT("Tabela1["&amp;$B13&amp;"]"),Tabela1[Turno],$D13,Tabela1[Data Corrigida],AB$3)/20,"")</f>
        <v>0</v>
      </c>
      <c r="AC13" s="36">
        <f ca="1">IFERROR(AVERAGEIFS(INDIRECT("Tabela1["&amp;$B13&amp;"]"),Tabela1[Turno],$D13,Tabela1[Data Corrigida],AC$3)/20,"")</f>
        <v>6.6666666666666666E-2</v>
      </c>
      <c r="AD13" s="36">
        <f ca="1">IFERROR(AVERAGEIFS(INDIRECT("Tabela1["&amp;$B13&amp;"]"),Tabela1[Turno],$D13,Tabela1[Data Corrigida],AD$3)/20,"")</f>
        <v>1.6666666666666666E-2</v>
      </c>
      <c r="AE13" s="36">
        <f ca="1">IFERROR(AVERAGEIFS(INDIRECT("Tabela1["&amp;$B13&amp;"]"),Tabela1[Turno],$D13,Tabela1[Data Corrigida],AE$3)/20,"")</f>
        <v>0</v>
      </c>
      <c r="AF13" s="36">
        <f ca="1">IFERROR(AVERAGEIFS(INDIRECT("Tabela1["&amp;$B13&amp;"]"),Tabela1[Turno],$D13,Tabela1[Data Corrigida],AF$3)/20,"")</f>
        <v>1.6666666666666666E-2</v>
      </c>
      <c r="AG13" s="36">
        <f ca="1">IFERROR(AVERAGEIFS(INDIRECT("Tabela1["&amp;$B13&amp;"]"),Tabela1[Turno],$D13,Tabela1[Data Corrigida],AG$3)/20,"")</f>
        <v>0</v>
      </c>
      <c r="AH13" s="36">
        <f ca="1">IFERROR(AVERAGEIFS(INDIRECT("Tabela1["&amp;$B13&amp;"]"),Tabela1[Turno],$D13,Tabela1[Data Corrigida],AH$3)/20,"")</f>
        <v>0</v>
      </c>
      <c r="AI13" s="36">
        <f ca="1">IFERROR(AVERAGEIFS(INDIRECT("Tabela1["&amp;$B13&amp;"]"),Tabela1[Turno],$D13,Tabela1[Data Corrigida],AI$3)/20,"")</f>
        <v>1.6666666666666666E-2</v>
      </c>
      <c r="AJ13" s="36">
        <f ca="1">IFERROR(AVERAGEIFS(INDIRECT("Tabela1["&amp;$B13&amp;"]"),Tabela1[Turno],$D13,Tabela1[Data Corrigida],AJ$3)/20,"")</f>
        <v>0</v>
      </c>
      <c r="AK13" s="36">
        <f ca="1">IFERROR(AVERAGEIFS(INDIRECT("Tabela1["&amp;$B13&amp;"]"),Tabela1[Turno],$D13,Tabela1[Data Corrigida],AK$3)/20,"")</f>
        <v>0.13333333333333333</v>
      </c>
      <c r="AL13" s="36">
        <f ca="1">IFERROR(AVERAGEIFS(INDIRECT("Tabela1["&amp;$B13&amp;"]"),Tabela1[Turno],$D13,Tabela1[Data Corrigida],AL$3)/20,"")</f>
        <v>0</v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0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1.413793103448276E-2</v>
      </c>
      <c r="N14" s="45" t="str">
        <f ca="1">IFERROR(AVERAGEIFS(INDIRECT("Tabela1["&amp;$B14&amp;"]"),Tabela1[Mês],N$3)/20,"")</f>
        <v/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3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2.8571428571428571E-2</v>
      </c>
      <c r="U14" s="38">
        <f ca="1">IFERROR(AVERAGEIFS(INDIRECT("Tabela1["&amp;$B14&amp;"]"),Tabela1[Data Corrigida],U$3)/20,"")</f>
        <v>2.1428571428571429E-2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5.7142857142857141E-2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2.8571428571428571E-2</v>
      </c>
      <c r="Z14" s="38">
        <f ca="1">IFERROR(AVERAGEIFS(INDIRECT("Tabela1["&amp;$B14&amp;"]"),Tabela1[Data Corrigida],Z$3)/20,"")</f>
        <v>0</v>
      </c>
      <c r="AA14" s="38">
        <f ca="1">IFERROR(AVERAGEIFS(INDIRECT("Tabela1["&amp;$B14&amp;"]"),Tabela1[Data Corrigida],AA$3)/20,"")</f>
        <v>0</v>
      </c>
      <c r="AB14" s="38">
        <f ca="1">IFERROR(AVERAGEIFS(INDIRECT("Tabela1["&amp;$B14&amp;"]"),Tabela1[Data Corrigida],AB$3)/20,"")</f>
        <v>0</v>
      </c>
      <c r="AC14" s="38">
        <f ca="1">IFERROR(AVERAGEIFS(INDIRECT("Tabela1["&amp;$B14&amp;"]"),Tabela1[Data Corrigida],AC$3)/20,"")</f>
        <v>2.8571428571428571E-2</v>
      </c>
      <c r="AD14" s="38">
        <f ca="1">IFERROR(AVERAGEIFS(INDIRECT("Tabela1["&amp;$B14&amp;"]"),Tabela1[Data Corrigida],AD$3)/20,"")</f>
        <v>8.3333333333333332E-3</v>
      </c>
      <c r="AE14" s="38">
        <f ca="1">IFERROR(AVERAGEIFS(INDIRECT("Tabela1["&amp;$B14&amp;"]"),Tabela1[Data Corrigida],AE$3)/20,"")</f>
        <v>0</v>
      </c>
      <c r="AF14" s="38">
        <f ca="1">IFERROR(AVERAGEIFS(INDIRECT("Tabela1["&amp;$B14&amp;"]"),Tabela1[Data Corrigida],AF$3)/20,"")</f>
        <v>7.1428571428571426E-3</v>
      </c>
      <c r="AG14" s="38">
        <f ca="1">IFERROR(AVERAGEIFS(INDIRECT("Tabela1["&amp;$B14&amp;"]"),Tabela1[Data Corrigida],AG$3)/20,"")</f>
        <v>0</v>
      </c>
      <c r="AH14" s="38">
        <f ca="1">IFERROR(AVERAGEIFS(INDIRECT("Tabela1["&amp;$B14&amp;"]"),Tabela1[Data Corrigida],AH$3)/20,"")</f>
        <v>0</v>
      </c>
      <c r="AI14" s="38">
        <f ca="1">IFERROR(AVERAGEIFS(INDIRECT("Tabela1["&amp;$B14&amp;"]"),Tabela1[Data Corrigida],AI$3)/20,"")</f>
        <v>7.1428571428571426E-3</v>
      </c>
      <c r="AJ14" s="38">
        <f ca="1">IFERROR(AVERAGEIFS(INDIRECT("Tabela1["&amp;$B14&amp;"]"),Tabela1[Data Corrigida],AJ$3)/20,"")</f>
        <v>0</v>
      </c>
      <c r="AK14" s="38">
        <f ca="1">IFERROR(AVERAGEIFS(INDIRECT("Tabela1["&amp;$B14&amp;"]"),Tabela1[Data Corrigida],AK$3)/20,"")</f>
        <v>5.7142857142857141E-2</v>
      </c>
      <c r="AL14" s="38">
        <f ca="1">IFERROR(AVERAGEIFS(INDIRECT("Tabela1["&amp;$B14&amp;"]"),Tabela1[Data Corrigida],AL$3)/20,"")</f>
        <v>0</v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58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2.3012048192771088E-2</v>
      </c>
      <c r="N15" s="34" t="str">
        <f ca="1">IFERROR(AVERAGEIFS(INDIRECT("Tabela1["&amp;$B15&amp;"]"),Tabela1[Turno],$D15,Tabela1[Mês],N$3)/100,"")</f>
        <v/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61">
        <v>0.01</v>
      </c>
      <c r="R15" s="39">
        <f ca="1">IFERROR(AVERAGEIFS(INDIRECT("Tabela1["&amp;$B15&amp;"]"),Tabela1[Turno],$D15,Tabela1[Data Corrigida],R$3)/100,"")</f>
        <v>1.4999999999999999E-2</v>
      </c>
      <c r="S15" s="40">
        <f ca="1">IFERROR(AVERAGEIFS(INDIRECT("Tabela1["&amp;$B15&amp;"]"),Tabela1[Turno],$D15,Tabela1[Data Corrigida],S$3)/100,"")</f>
        <v>2.2499999999999999E-2</v>
      </c>
      <c r="T15" s="40">
        <f ca="1">IFERROR(AVERAGEIFS(INDIRECT("Tabela1["&amp;$B15&amp;"]"),Tabela1[Turno],$D15,Tabela1[Data Corrigida],T$3)/100,"")</f>
        <v>1.2500000000000001E-2</v>
      </c>
      <c r="U15" s="40">
        <f ca="1">IFERROR(AVERAGEIFS(INDIRECT("Tabela1["&amp;$B15&amp;"]"),Tabela1[Turno],$D15,Tabela1[Data Corrigida],U$3)/100,"")</f>
        <v>3.2500000000000001E-2</v>
      </c>
      <c r="V15" s="40">
        <f ca="1">IFERROR(AVERAGEIFS(INDIRECT("Tabela1["&amp;$B15&amp;"]"),Tabela1[Turno],$D15,Tabela1[Data Corrigida],V$3)/100,"")</f>
        <v>3.5000000000000003E-2</v>
      </c>
      <c r="W15" s="40">
        <f ca="1">IFERROR(AVERAGEIFS(INDIRECT("Tabela1["&amp;$B15&amp;"]"),Tabela1[Turno],$D15,Tabela1[Data Corrigida],W$3)/100,"")</f>
        <v>3.5000000000000003E-2</v>
      </c>
      <c r="X15" s="40">
        <f ca="1">IFERROR(AVERAGEIFS(INDIRECT("Tabela1["&amp;$B15&amp;"]"),Tabela1[Turno],$D15,Tabela1[Data Corrigida],X$3)/100,"")</f>
        <v>0.03</v>
      </c>
      <c r="Y15" s="40">
        <f ca="1">IFERROR(AVERAGEIFS(INDIRECT("Tabela1["&amp;$B15&amp;"]"),Tabela1[Turno],$D15,Tabela1[Data Corrigida],Y$3)/100,"")</f>
        <v>0.01</v>
      </c>
      <c r="Z15" s="40">
        <f ca="1">IFERROR(AVERAGEIFS(INDIRECT("Tabela1["&amp;$B15&amp;"]"),Tabela1[Turno],$D15,Tabela1[Data Corrigida],Z$3)/100,"")</f>
        <v>2.2499999999999999E-2</v>
      </c>
      <c r="AA15" s="40">
        <f ca="1">IFERROR(AVERAGEIFS(INDIRECT("Tabela1["&amp;$B15&amp;"]"),Tabela1[Turno],$D15,Tabela1[Data Corrigida],AA$3)/100,"")</f>
        <v>1.4999999999999999E-2</v>
      </c>
      <c r="AB15" s="40">
        <f ca="1">IFERROR(AVERAGEIFS(INDIRECT("Tabela1["&amp;$B15&amp;"]"),Tabela1[Turno],$D15,Tabela1[Data Corrigida],AB$3)/100,"")</f>
        <v>0.02</v>
      </c>
      <c r="AC15" s="40">
        <f ca="1">IFERROR(AVERAGEIFS(INDIRECT("Tabela1["&amp;$B15&amp;"]"),Tabela1[Turno],$D15,Tabela1[Data Corrigida],AC$3)/100,"")</f>
        <v>0.01</v>
      </c>
      <c r="AD15" s="40">
        <f ca="1">IFERROR(AVERAGEIFS(INDIRECT("Tabela1["&amp;$B15&amp;"]"),Tabela1[Turno],$D15,Tabela1[Data Corrigida],AD$3)/100,"")</f>
        <v>1.6666666666666666E-2</v>
      </c>
      <c r="AE15" s="40">
        <f ca="1">IFERROR(AVERAGEIFS(INDIRECT("Tabela1["&amp;$B15&amp;"]"),Tabela1[Turno],$D15,Tabela1[Data Corrigida],AE$3)/100,"")</f>
        <v>2.75E-2</v>
      </c>
      <c r="AF15" s="40">
        <f ca="1">IFERROR(AVERAGEIFS(INDIRECT("Tabela1["&amp;$B15&amp;"]"),Tabela1[Turno],$D15,Tabela1[Data Corrigida],AF$3)/100,"")</f>
        <v>0.03</v>
      </c>
      <c r="AG15" s="40">
        <f ca="1">IFERROR(AVERAGEIFS(INDIRECT("Tabela1["&amp;$B15&amp;"]"),Tabela1[Turno],$D15,Tabela1[Data Corrigida],AG$3)/100,"")</f>
        <v>0.03</v>
      </c>
      <c r="AH15" s="40">
        <f ca="1">IFERROR(AVERAGEIFS(INDIRECT("Tabela1["&amp;$B15&amp;"]"),Tabela1[Turno],$D15,Tabela1[Data Corrigida],AH$3)/100,"")</f>
        <v>2.75E-2</v>
      </c>
      <c r="AI15" s="40">
        <f ca="1">IFERROR(AVERAGEIFS(INDIRECT("Tabela1["&amp;$B15&amp;"]"),Tabela1[Turno],$D15,Tabela1[Data Corrigida],AI$3)/100,"")</f>
        <v>2.5000000000000001E-2</v>
      </c>
      <c r="AJ15" s="40">
        <f ca="1">IFERROR(AVERAGEIFS(INDIRECT("Tabela1["&amp;$B15&amp;"]"),Tabela1[Turno],$D15,Tabela1[Data Corrigida],AJ$3)/100,"")</f>
        <v>0.02</v>
      </c>
      <c r="AK15" s="40">
        <f ca="1">IFERROR(AVERAGEIFS(INDIRECT("Tabela1["&amp;$B15&amp;"]"),Tabela1[Turno],$D15,Tabela1[Data Corrigida],AK$3)/100,"")</f>
        <v>2.2499999999999999E-2</v>
      </c>
      <c r="AL15" s="40">
        <f ca="1">IFERROR(AVERAGEIFS(INDIRECT("Tabela1["&amp;$B15&amp;"]"),Tabela1[Turno],$D15,Tabela1[Data Corrigida],AL$3)/100,"")</f>
        <v>2.2499999999999999E-2</v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59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9.0476190476190474E-3</v>
      </c>
      <c r="N16" s="36" t="str">
        <f ca="1">IFERROR(AVERAGEIFS(INDIRECT("Tabela1["&amp;$B16&amp;"]"),Tabela1[Turno],$D16,Tabela1[Mês],N$3)/100,"")</f>
        <v/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62"/>
      <c r="R16" s="35">
        <f ca="1">IFERROR(AVERAGEIFS(INDIRECT("Tabela1["&amp;$B16&amp;"]"),Tabela1[Turno],$D16,Tabela1[Data Corrigida],R$3)/100,"")</f>
        <v>3.3333333333333331E-3</v>
      </c>
      <c r="S16" s="36">
        <f ca="1">IFERROR(AVERAGEIFS(INDIRECT("Tabela1["&amp;$B16&amp;"]"),Tabela1[Turno],$D16,Tabela1[Data Corrigida],S$3)/100,"")</f>
        <v>3.3333333333333331E-3</v>
      </c>
      <c r="T16" s="36">
        <f ca="1">IFERROR(AVERAGEIFS(INDIRECT("Tabela1["&amp;$B16&amp;"]"),Tabela1[Turno],$D16,Tabela1[Data Corrigida],T$3)/100,"")</f>
        <v>3.3333333333333331E-3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3.3333333333333331E-3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3.3333333333333331E-3</v>
      </c>
      <c r="Y16" s="36">
        <f ca="1">IFERROR(AVERAGEIFS(INDIRECT("Tabela1["&amp;$B16&amp;"]"),Tabela1[Turno],$D16,Tabela1[Data Corrigida],Y$3)/100,"")</f>
        <v>1.6666666666666666E-2</v>
      </c>
      <c r="Z16" s="36">
        <f ca="1">IFERROR(AVERAGEIFS(INDIRECT("Tabela1["&amp;$B16&amp;"]"),Tabela1[Turno],$D16,Tabela1[Data Corrigida],Z$3)/100,"")</f>
        <v>3.3333333333333331E-3</v>
      </c>
      <c r="AA16" s="36">
        <f ca="1">IFERROR(AVERAGEIFS(INDIRECT("Tabela1["&amp;$B16&amp;"]"),Tabela1[Turno],$D16,Tabela1[Data Corrigida],AA$3)/100,"")</f>
        <v>1.3333333333333332E-2</v>
      </c>
      <c r="AB16" s="36">
        <f ca="1">IFERROR(AVERAGEIFS(INDIRECT("Tabela1["&amp;$B16&amp;"]"),Tabela1[Turno],$D16,Tabela1[Data Corrigida],AB$3)/100,"")</f>
        <v>6.6666666666666662E-3</v>
      </c>
      <c r="AC16" s="36">
        <f ca="1">IFERROR(AVERAGEIFS(INDIRECT("Tabela1["&amp;$B16&amp;"]"),Tabela1[Turno],$D16,Tabela1[Data Corrigida],AC$3)/100,"")</f>
        <v>1.6666666666666666E-2</v>
      </c>
      <c r="AD16" s="36">
        <f ca="1">IFERROR(AVERAGEIFS(INDIRECT("Tabela1["&amp;$B16&amp;"]"),Tabela1[Turno],$D16,Tabela1[Data Corrigida],AD$3)/100,"")</f>
        <v>1.3333333333333332E-2</v>
      </c>
      <c r="AE16" s="36">
        <f ca="1">IFERROR(AVERAGEIFS(INDIRECT("Tabela1["&amp;$B16&amp;"]"),Tabela1[Turno],$D16,Tabela1[Data Corrigida],AE$3)/100,"")</f>
        <v>1.6666666666666666E-2</v>
      </c>
      <c r="AF16" s="36">
        <f ca="1">IFERROR(AVERAGEIFS(INDIRECT("Tabela1["&amp;$B16&amp;"]"),Tabela1[Turno],$D16,Tabela1[Data Corrigida],AF$3)/100,"")</f>
        <v>0.01</v>
      </c>
      <c r="AG16" s="36">
        <f ca="1">IFERROR(AVERAGEIFS(INDIRECT("Tabela1["&amp;$B16&amp;"]"),Tabela1[Turno],$D16,Tabela1[Data Corrigida],AG$3)/100,"")</f>
        <v>6.6666666666666662E-3</v>
      </c>
      <c r="AH16" s="36">
        <f ca="1">IFERROR(AVERAGEIFS(INDIRECT("Tabela1["&amp;$B16&amp;"]"),Tabela1[Turno],$D16,Tabela1[Data Corrigida],AH$3)/100,"")</f>
        <v>6.6666666666666662E-3</v>
      </c>
      <c r="AI16" s="36">
        <f ca="1">IFERROR(AVERAGEIFS(INDIRECT("Tabela1["&amp;$B16&amp;"]"),Tabela1[Turno],$D16,Tabela1[Data Corrigida],AI$3)/100,"")</f>
        <v>6.6666666666666662E-3</v>
      </c>
      <c r="AJ16" s="36">
        <f ca="1">IFERROR(AVERAGEIFS(INDIRECT("Tabela1["&amp;$B16&amp;"]"),Tabela1[Turno],$D16,Tabela1[Data Corrigida],AJ$3)/100,"")</f>
        <v>1.3333333333333332E-2</v>
      </c>
      <c r="AK16" s="36">
        <f ca="1">IFERROR(AVERAGEIFS(INDIRECT("Tabela1["&amp;$B16&amp;"]"),Tabela1[Turno],$D16,Tabela1[Data Corrigida],AK$3)/100,"")</f>
        <v>6.6666666666666662E-3</v>
      </c>
      <c r="AL16" s="36">
        <f ca="1">IFERROR(AVERAGEIFS(INDIRECT("Tabela1["&amp;$B16&amp;"]"),Tabela1[Turno],$D16,Tabela1[Data Corrigida],AL$3)/100,"")</f>
        <v>1.6666666666666666E-2</v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0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1.6986301369863014E-2</v>
      </c>
      <c r="N17" s="45" t="str">
        <f ca="1">IFERROR(AVERAGEIFS(INDIRECT("Tabela1["&amp;$B17&amp;"]"),Tabela1[Mês],N$3)/100,"")</f>
        <v/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3"/>
      <c r="R17" s="42">
        <f ca="1">IFERROR(AVERAGEIFS(INDIRECT("Tabela1["&amp;$B17&amp;"]"),Tabela1[Data Corrigida],R$3)/100,"")</f>
        <v>0.01</v>
      </c>
      <c r="S17" s="43">
        <f ca="1">IFERROR(AVERAGEIFS(INDIRECT("Tabela1["&amp;$B17&amp;"]"),Tabela1[Data Corrigida],S$3)/100,"")</f>
        <v>1.4285714285714285E-2</v>
      </c>
      <c r="T17" s="43">
        <f ca="1">IFERROR(AVERAGEIFS(INDIRECT("Tabela1["&amp;$B17&amp;"]"),Tabela1[Data Corrigida],T$3)/100,"")</f>
        <v>8.5714285714285701E-3</v>
      </c>
      <c r="U17" s="43">
        <f ca="1">IFERROR(AVERAGEIFS(INDIRECT("Tabela1["&amp;$B17&amp;"]"),Tabela1[Data Corrigida],U$3)/100,"")</f>
        <v>2.1428571428571429E-2</v>
      </c>
      <c r="V17" s="43">
        <f ca="1">IFERROR(AVERAGEIFS(INDIRECT("Tabela1["&amp;$B17&amp;"]"),Tabela1[Data Corrigida],V$3)/100,"")</f>
        <v>2.1428571428571429E-2</v>
      </c>
      <c r="W17" s="43">
        <f ca="1">IFERROR(AVERAGEIFS(INDIRECT("Tabela1["&amp;$B17&amp;"]"),Tabela1[Data Corrigida],W$3)/100,"")</f>
        <v>2.5714285714285717E-2</v>
      </c>
      <c r="X17" s="43">
        <f ca="1">IFERROR(AVERAGEIFS(INDIRECT("Tabela1["&amp;$B17&amp;"]"),Tabela1[Data Corrigida],X$3)/100,"")</f>
        <v>1.8571428571428572E-2</v>
      </c>
      <c r="Y17" s="43">
        <f ca="1">IFERROR(AVERAGEIFS(INDIRECT("Tabela1["&amp;$B17&amp;"]"),Tabela1[Data Corrigida],Y$3)/100,"")</f>
        <v>1.2857142857142859E-2</v>
      </c>
      <c r="Z17" s="43">
        <f ca="1">IFERROR(AVERAGEIFS(INDIRECT("Tabela1["&amp;$B17&amp;"]"),Tabela1[Data Corrigida],Z$3)/100,"")</f>
        <v>1.4285714285714285E-2</v>
      </c>
      <c r="AA17" s="43">
        <f ca="1">IFERROR(AVERAGEIFS(INDIRECT("Tabela1["&amp;$B17&amp;"]"),Tabela1[Data Corrigida],AA$3)/100,"")</f>
        <v>1.4285714285714285E-2</v>
      </c>
      <c r="AB17" s="43">
        <f ca="1">IFERROR(AVERAGEIFS(INDIRECT("Tabela1["&amp;$B17&amp;"]"),Tabela1[Data Corrigida],AB$3)/100,"")</f>
        <v>1.4285714285714285E-2</v>
      </c>
      <c r="AC17" s="43">
        <f ca="1">IFERROR(AVERAGEIFS(INDIRECT("Tabela1["&amp;$B17&amp;"]"),Tabela1[Data Corrigida],AC$3)/100,"")</f>
        <v>1.2857142857142859E-2</v>
      </c>
      <c r="AD17" s="43">
        <f ca="1">IFERROR(AVERAGEIFS(INDIRECT("Tabela1["&amp;$B17&amp;"]"),Tabela1[Data Corrigida],AD$3)/100,"")</f>
        <v>1.4999999999999999E-2</v>
      </c>
      <c r="AE17" s="43">
        <f ca="1">IFERROR(AVERAGEIFS(INDIRECT("Tabela1["&amp;$B17&amp;"]"),Tabela1[Data Corrigida],AE$3)/100,"")</f>
        <v>2.2857142857142857E-2</v>
      </c>
      <c r="AF17" s="43">
        <f ca="1">IFERROR(AVERAGEIFS(INDIRECT("Tabela1["&amp;$B17&amp;"]"),Tabela1[Data Corrigida],AF$3)/100,"")</f>
        <v>2.1428571428571429E-2</v>
      </c>
      <c r="AG17" s="43">
        <f ca="1">IFERROR(AVERAGEIFS(INDIRECT("Tabela1["&amp;$B17&amp;"]"),Tabela1[Data Corrigida],AG$3)/100,"")</f>
        <v>0.02</v>
      </c>
      <c r="AH17" s="43">
        <f ca="1">IFERROR(AVERAGEIFS(INDIRECT("Tabela1["&amp;$B17&amp;"]"),Tabela1[Data Corrigida],AH$3)/100,"")</f>
        <v>1.8571428571428572E-2</v>
      </c>
      <c r="AI17" s="43">
        <f ca="1">IFERROR(AVERAGEIFS(INDIRECT("Tabela1["&amp;$B17&amp;"]"),Tabela1[Data Corrigida],AI$3)/100,"")</f>
        <v>1.714285714285714E-2</v>
      </c>
      <c r="AJ17" s="43">
        <f ca="1">IFERROR(AVERAGEIFS(INDIRECT("Tabela1["&amp;$B17&amp;"]"),Tabela1[Data Corrigida],AJ$3)/100,"")</f>
        <v>1.714285714285714E-2</v>
      </c>
      <c r="AK17" s="43">
        <f ca="1">IFERROR(AVERAGEIFS(INDIRECT("Tabela1["&amp;$B17&amp;"]"),Tabela1[Data Corrigida],AK$3)/100,"")</f>
        <v>1.5714285714285715E-2</v>
      </c>
      <c r="AL17" s="43">
        <f ca="1">IFERROR(AVERAGEIFS(INDIRECT("Tabela1["&amp;$B17&amp;"]"),Tabela1[Data Corrigida],AL$3)/100,"")</f>
        <v>0.02</v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58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9.7560975609756097E-3</v>
      </c>
      <c r="N18" s="34" t="str">
        <f ca="1">IFERROR(AVERAGEIFS(INDIRECT("Tabela1["&amp;$B18&amp;"]"),Tabela1[Turno],$D18,Tabela1[Mês],N$3)/20,"")</f>
        <v/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61">
        <v>0</v>
      </c>
      <c r="R18" s="33">
        <f ca="1">IFERROR(AVERAGEIFS(INDIRECT("Tabela1["&amp;$B18&amp;"]"),Tabela1[Turno],$D18,Tabela1[Data Corrigida],R$3)/20,"")</f>
        <v>0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>
        <f ca="1">IFERROR(AVERAGEIFS(INDIRECT("Tabela1["&amp;$B18&amp;"]"),Tabela1[Turno],$D18,Tabela1[Data Corrigida],Z$3)/20,"")</f>
        <v>0</v>
      </c>
      <c r="AA18" s="34">
        <f ca="1">IFERROR(AVERAGEIFS(INDIRECT("Tabela1["&amp;$B18&amp;"]"),Tabela1[Turno],$D18,Tabela1[Data Corrigida],AA$3)/20,"")</f>
        <v>0</v>
      </c>
      <c r="AB18" s="34">
        <f ca="1">IFERROR(AVERAGEIFS(INDIRECT("Tabela1["&amp;$B18&amp;"]"),Tabela1[Turno],$D18,Tabela1[Data Corrigida],AB$3)/20,"")</f>
        <v>0</v>
      </c>
      <c r="AC18" s="34">
        <f ca="1">IFERROR(AVERAGEIFS(INDIRECT("Tabela1["&amp;$B18&amp;"]"),Tabela1[Turno],$D18,Tabela1[Data Corrigida],AC$3)/20,"")</f>
        <v>0</v>
      </c>
      <c r="AD18" s="34">
        <f ca="1">IFERROR(AVERAGEIFS(INDIRECT("Tabela1["&amp;$B18&amp;"]"),Tabela1[Turno],$D18,Tabela1[Data Corrigida],AD$3)/20,"")</f>
        <v>0</v>
      </c>
      <c r="AE18" s="34">
        <f ca="1">IFERROR(AVERAGEIFS(INDIRECT("Tabela1["&amp;$B18&amp;"]"),Tabela1[Turno],$D18,Tabela1[Data Corrigida],AE$3)/20,"")</f>
        <v>0</v>
      </c>
      <c r="AF18" s="34">
        <f ca="1">IFERROR(AVERAGEIFS(INDIRECT("Tabela1["&amp;$B18&amp;"]"),Tabela1[Turno],$D18,Tabela1[Data Corrigida],AF$3)/20,"")</f>
        <v>0</v>
      </c>
      <c r="AG18" s="34">
        <f ca="1">IFERROR(AVERAGEIFS(INDIRECT("Tabela1["&amp;$B18&amp;"]"),Tabela1[Turno],$D18,Tabela1[Data Corrigida],AG$3)/20,"")</f>
        <v>0.13750000000000001</v>
      </c>
      <c r="AH18" s="34">
        <f ca="1">IFERROR(AVERAGEIFS(INDIRECT("Tabela1["&amp;$B18&amp;"]"),Tabela1[Turno],$D18,Tabela1[Data Corrigida],AH$3)/20,"")</f>
        <v>0</v>
      </c>
      <c r="AI18" s="34">
        <f ca="1">IFERROR(AVERAGEIFS(INDIRECT("Tabela1["&amp;$B18&amp;"]"),Tabela1[Turno],$D18,Tabela1[Data Corrigida],AI$3)/20,"")</f>
        <v>0</v>
      </c>
      <c r="AJ18" s="34">
        <f ca="1">IFERROR(AVERAGEIFS(INDIRECT("Tabela1["&amp;$B18&amp;"]"),Tabela1[Turno],$D18,Tabela1[Data Corrigida],AJ$3)/20,"")</f>
        <v>0</v>
      </c>
      <c r="AK18" s="34">
        <f ca="1">IFERROR(AVERAGEIFS(INDIRECT("Tabela1["&amp;$B18&amp;"]"),Tabela1[Turno],$D18,Tabela1[Data Corrigida],AK$3)/20,"")</f>
        <v>6.25E-2</v>
      </c>
      <c r="AL18" s="34">
        <f ca="1">IFERROR(AVERAGEIFS(INDIRECT("Tabela1["&amp;$B18&amp;"]"),Tabela1[Turno],$D18,Tabela1[Data Corrigida],AL$3)/20,"")</f>
        <v>0</v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59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7.1428571428571426E-3</v>
      </c>
      <c r="N19" s="36" t="str">
        <f ca="1">IFERROR(AVERAGEIFS(INDIRECT("Tabela1["&amp;$B19&amp;"]"),Tabela1[Turno],$D19,Tabela1[Mês],N$3)/20,"")</f>
        <v/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62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0</v>
      </c>
      <c r="U19" s="36">
        <f ca="1">IFERROR(AVERAGEIFS(INDIRECT("Tabela1["&amp;$B19&amp;"]"),Tabela1[Turno],$D19,Tabela1[Data Corrigida],U$3)/20,"")</f>
        <v>1.6666666666666666E-2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>
        <f ca="1">IFERROR(AVERAGEIFS(INDIRECT("Tabela1["&amp;$B19&amp;"]"),Tabela1[Turno],$D19,Tabela1[Data Corrigida],Y$3)/20,"")</f>
        <v>0</v>
      </c>
      <c r="Z19" s="36">
        <f ca="1">IFERROR(AVERAGEIFS(INDIRECT("Tabela1["&amp;$B19&amp;"]"),Tabela1[Turno],$D19,Tabela1[Data Corrigida],Z$3)/20,"")</f>
        <v>0</v>
      </c>
      <c r="AA19" s="36">
        <f ca="1">IFERROR(AVERAGEIFS(INDIRECT("Tabela1["&amp;$B19&amp;"]"),Tabela1[Turno],$D19,Tabela1[Data Corrigida],AA$3)/20,"")</f>
        <v>0</v>
      </c>
      <c r="AB19" s="36">
        <f ca="1">IFERROR(AVERAGEIFS(INDIRECT("Tabela1["&amp;$B19&amp;"]"),Tabela1[Turno],$D19,Tabela1[Data Corrigida],AB$3)/20,"")</f>
        <v>0</v>
      </c>
      <c r="AC19" s="36">
        <f ca="1">IFERROR(AVERAGEIFS(INDIRECT("Tabela1["&amp;$B19&amp;"]"),Tabela1[Turno],$D19,Tabela1[Data Corrigida],AC$3)/20,"")</f>
        <v>0</v>
      </c>
      <c r="AD19" s="36">
        <f ca="1">IFERROR(AVERAGEIFS(INDIRECT("Tabela1["&amp;$B19&amp;"]"),Tabela1[Turno],$D19,Tabela1[Data Corrigida],AD$3)/20,"")</f>
        <v>0</v>
      </c>
      <c r="AE19" s="36">
        <f ca="1">IFERROR(AVERAGEIFS(INDIRECT("Tabela1["&amp;$B19&amp;"]"),Tabela1[Turno],$D19,Tabela1[Data Corrigida],AE$3)/20,"")</f>
        <v>6.6666666666666666E-2</v>
      </c>
      <c r="AF19" s="36">
        <f ca="1">IFERROR(AVERAGEIFS(INDIRECT("Tabela1["&amp;$B19&amp;"]"),Tabela1[Turno],$D19,Tabela1[Data Corrigida],AF$3)/20,"")</f>
        <v>0</v>
      </c>
      <c r="AG19" s="36">
        <f ca="1">IFERROR(AVERAGEIFS(INDIRECT("Tabela1["&amp;$B19&amp;"]"),Tabela1[Turno],$D19,Tabela1[Data Corrigida],AG$3)/20,"")</f>
        <v>0</v>
      </c>
      <c r="AH19" s="36">
        <f ca="1">IFERROR(AVERAGEIFS(INDIRECT("Tabela1["&amp;$B19&amp;"]"),Tabela1[Turno],$D19,Tabela1[Data Corrigida],AH$3)/20,"")</f>
        <v>1.6666666666666666E-2</v>
      </c>
      <c r="AI19" s="36">
        <f ca="1">IFERROR(AVERAGEIFS(INDIRECT("Tabela1["&amp;$B19&amp;"]"),Tabela1[Turno],$D19,Tabela1[Data Corrigida],AI$3)/20,"")</f>
        <v>0</v>
      </c>
      <c r="AJ19" s="36">
        <f ca="1">IFERROR(AVERAGEIFS(INDIRECT("Tabela1["&amp;$B19&amp;"]"),Tabela1[Turno],$D19,Tabela1[Data Corrigida],AJ$3)/20,"")</f>
        <v>3.3333333333333333E-2</v>
      </c>
      <c r="AK19" s="36">
        <f ca="1">IFERROR(AVERAGEIFS(INDIRECT("Tabela1["&amp;$B19&amp;"]"),Tabela1[Turno],$D19,Tabela1[Data Corrigida],AK$3)/20,"")</f>
        <v>0</v>
      </c>
      <c r="AL19" s="36">
        <f ca="1">IFERROR(AVERAGEIFS(INDIRECT("Tabela1["&amp;$B19&amp;"]"),Tabela1[Turno],$D19,Tabela1[Data Corrigida],AL$3)/20,"")</f>
        <v>0</v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0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8.6206896551724137E-3</v>
      </c>
      <c r="N20" s="45" t="str">
        <f ca="1">IFERROR(AVERAGEIFS(INDIRECT("Tabela1["&amp;$B20&amp;"]"),Tabela1[Mês],N$3)/20,"")</f>
        <v/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3"/>
      <c r="R20" s="37">
        <f ca="1">IFERROR(AVERAGEIFS(INDIRECT("Tabela1["&amp;$B20&amp;"]"),Tabela1[Data Corrigida],R$3)/20,"")</f>
        <v>7.1428571428571426E-3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0</v>
      </c>
      <c r="U20" s="38">
        <f ca="1">IFERROR(AVERAGEIFS(INDIRECT("Tabela1["&amp;$B20&amp;"]"),Tabela1[Data Corrigida],U$3)/20,"")</f>
        <v>7.1428571428571426E-3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>
        <f ca="1">IFERROR(AVERAGEIFS(INDIRECT("Tabela1["&amp;$B20&amp;"]"),Tabela1[Data Corrigida],Z$3)/20,"")</f>
        <v>0</v>
      </c>
      <c r="AA20" s="38">
        <f ca="1">IFERROR(AVERAGEIFS(INDIRECT("Tabela1["&amp;$B20&amp;"]"),Tabela1[Data Corrigida],AA$3)/20,"")</f>
        <v>0</v>
      </c>
      <c r="AB20" s="38">
        <f ca="1">IFERROR(AVERAGEIFS(INDIRECT("Tabela1["&amp;$B20&amp;"]"),Tabela1[Data Corrigida],AB$3)/20,"")</f>
        <v>0</v>
      </c>
      <c r="AC20" s="38">
        <f ca="1">IFERROR(AVERAGEIFS(INDIRECT("Tabela1["&amp;$B20&amp;"]"),Tabela1[Data Corrigida],AC$3)/20,"")</f>
        <v>0</v>
      </c>
      <c r="AD20" s="38">
        <f ca="1">IFERROR(AVERAGEIFS(INDIRECT("Tabela1["&amp;$B20&amp;"]"),Tabela1[Data Corrigida],AD$3)/20,"")</f>
        <v>0</v>
      </c>
      <c r="AE20" s="38">
        <f ca="1">IFERROR(AVERAGEIFS(INDIRECT("Tabela1["&amp;$B20&amp;"]"),Tabela1[Data Corrigida],AE$3)/20,"")</f>
        <v>2.8571428571428571E-2</v>
      </c>
      <c r="AF20" s="38">
        <f ca="1">IFERROR(AVERAGEIFS(INDIRECT("Tabela1["&amp;$B20&amp;"]"),Tabela1[Data Corrigida],AF$3)/20,"")</f>
        <v>0</v>
      </c>
      <c r="AG20" s="38">
        <f ca="1">IFERROR(AVERAGEIFS(INDIRECT("Tabela1["&amp;$B20&amp;"]"),Tabela1[Data Corrigida],AG$3)/20,"")</f>
        <v>7.857142857142857E-2</v>
      </c>
      <c r="AH20" s="38">
        <f ca="1">IFERROR(AVERAGEIFS(INDIRECT("Tabela1["&amp;$B20&amp;"]"),Tabela1[Data Corrigida],AH$3)/20,"")</f>
        <v>7.1428571428571426E-3</v>
      </c>
      <c r="AI20" s="38">
        <f ca="1">IFERROR(AVERAGEIFS(INDIRECT("Tabela1["&amp;$B20&amp;"]"),Tabela1[Data Corrigida],AI$3)/20,"")</f>
        <v>0</v>
      </c>
      <c r="AJ20" s="38">
        <f ca="1">IFERROR(AVERAGEIFS(INDIRECT("Tabela1["&amp;$B20&amp;"]"),Tabela1[Data Corrigida],AJ$3)/20,"")</f>
        <v>1.4285714285714285E-2</v>
      </c>
      <c r="AK20" s="38">
        <f ca="1">IFERROR(AVERAGEIFS(INDIRECT("Tabela1["&amp;$B20&amp;"]"),Tabela1[Data Corrigida],AK$3)/20,"")</f>
        <v>3.5714285714285712E-2</v>
      </c>
      <c r="AL20" s="38">
        <f ca="1">IFERROR(AVERAGEIFS(INDIRECT("Tabela1["&amp;$B20&amp;"]"),Tabela1[Data Corrigida],AL$3)/20,"")</f>
        <v>0</v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58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7.4797886907679734E-3</v>
      </c>
      <c r="N21" s="34" t="str">
        <f ca="1">IFERROR(AVERAGEIFS(INDIRECT("Tabela1["&amp;$B21&amp;"]"),Tabela1[Turno],$D21,Tabela1[Mês],N$3)/100,"")</f>
        <v/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61">
        <v>0.01</v>
      </c>
      <c r="R21" s="39">
        <f ca="1">IFERROR(AVERAGEIFS(INDIRECT("Tabela1["&amp;$B21&amp;"]"),Tabela1[Turno],$D21,Tabela1[Data Corrigida],R$3)/100,"")</f>
        <v>8.2471680716543726E-3</v>
      </c>
      <c r="S21" s="40">
        <f ca="1">IFERROR(AVERAGEIFS(INDIRECT("Tabela1["&amp;$B21&amp;"]"),Tabela1[Turno],$D21,Tabela1[Data Corrigida],S$3)/100,"")</f>
        <v>7.9166666666666673E-3</v>
      </c>
      <c r="T21" s="40">
        <f ca="1">IFERROR(AVERAGEIFS(INDIRECT("Tabela1["&amp;$B21&amp;"]"),Tabela1[Turno],$D21,Tabela1[Data Corrigida],T$3)/100,"")</f>
        <v>3.9583333333333337E-3</v>
      </c>
      <c r="U21" s="40">
        <f ca="1">IFERROR(AVERAGEIFS(INDIRECT("Tabela1["&amp;$B21&amp;"]"),Tabela1[Turno],$D21,Tabela1[Data Corrigida],U$3)/100,"")</f>
        <v>3.9783653846153849E-3</v>
      </c>
      <c r="V21" s="40">
        <f ca="1">IFERROR(AVERAGEIFS(INDIRECT("Tabela1["&amp;$B21&amp;"]"),Tabela1[Turno],$D21,Tabela1[Data Corrigida],V$3)/100,"")</f>
        <v>5.1500638569604096E-3</v>
      </c>
      <c r="W21" s="40">
        <f ca="1">IFERROR(AVERAGEIFS(INDIRECT("Tabela1["&amp;$B21&amp;"]"),Tabela1[Turno],$D21,Tabela1[Data Corrigida],W$3)/100,"")</f>
        <v>4.1844503606040121E-3</v>
      </c>
      <c r="X21" s="40">
        <f ca="1">IFERROR(AVERAGEIFS(INDIRECT("Tabela1["&amp;$B21&amp;"]"),Tabela1[Turno],$D21,Tabela1[Data Corrigida],X$3)/100,"")</f>
        <v>3.9566411849020541E-3</v>
      </c>
      <c r="Y21" s="40">
        <f ca="1">IFERROR(AVERAGEIFS(INDIRECT("Tabela1["&amp;$B21&amp;"]"),Tabela1[Turno],$D21,Tabela1[Data Corrigida],Y$3)/100,"")</f>
        <v>6.0115619815447052E-3</v>
      </c>
      <c r="Z21" s="40">
        <f ca="1">IFERROR(AVERAGEIFS(INDIRECT("Tabela1["&amp;$B21&amp;"]"),Tabela1[Turno],$D21,Tabela1[Data Corrigida],Z$3)/100,"")</f>
        <v>5.9049317617866004E-3</v>
      </c>
      <c r="AA21" s="40">
        <f ca="1">IFERROR(AVERAGEIFS(INDIRECT("Tabela1["&amp;$B21&amp;"]"),Tabela1[Turno],$D21,Tabela1[Data Corrigida],AA$3)/100,"")</f>
        <v>9.8437500000000001E-3</v>
      </c>
      <c r="AB21" s="40">
        <f ca="1">IFERROR(AVERAGEIFS(INDIRECT("Tabela1["&amp;$B21&amp;"]"),Tabela1[Turno],$D21,Tabela1[Data Corrigida],AB$3)/100,"")</f>
        <v>1.2980769230769231E-2</v>
      </c>
      <c r="AC21" s="40">
        <f ca="1">IFERROR(AVERAGEIFS(INDIRECT("Tabela1["&amp;$B21&amp;"]"),Tabela1[Turno],$D21,Tabela1[Data Corrigida],AC$3)/100,"")</f>
        <v>1.6667886072128907E-2</v>
      </c>
      <c r="AD21" s="40">
        <f ca="1">IFERROR(AVERAGEIFS(INDIRECT("Tabela1["&amp;$B21&amp;"]"),Tabela1[Turno],$D21,Tabela1[Data Corrigida],AD$3)/100,"")</f>
        <v>1.5307539682539683E-2</v>
      </c>
      <c r="AE21" s="40">
        <f ca="1">IFERROR(AVERAGEIFS(INDIRECT("Tabela1["&amp;$B21&amp;"]"),Tabela1[Turno],$D21,Tabela1[Data Corrigida],AE$3)/100,"")</f>
        <v>4.8148590539894886E-3</v>
      </c>
      <c r="AF21" s="40">
        <f ca="1">IFERROR(AVERAGEIFS(INDIRECT("Tabela1["&amp;$B21&amp;"]"),Tabela1[Turno],$D21,Tabela1[Data Corrigida],AF$3)/100,"")</f>
        <v>1.191642998206547E-2</v>
      </c>
      <c r="AG21" s="40">
        <f ca="1">IFERROR(AVERAGEIFS(INDIRECT("Tabela1["&amp;$B21&amp;"]"),Tabela1[Turno],$D21,Tabela1[Data Corrigida],AG$3)/100,"")</f>
        <v>5.5622895622895628E-3</v>
      </c>
      <c r="AH21" s="40">
        <f ca="1">IFERROR(AVERAGEIFS(INDIRECT("Tabela1["&amp;$B21&amp;"]"),Tabela1[Turno],$D21,Tabela1[Data Corrigida],AH$3)/100,"")</f>
        <v>3.994526654600798E-3</v>
      </c>
      <c r="AI21" s="40">
        <f ca="1">IFERROR(AVERAGEIFS(INDIRECT("Tabela1["&amp;$B21&amp;"]"),Tabela1[Turno],$D21,Tabela1[Data Corrigida],AI$3)/100,"")</f>
        <v>5.218860372027314E-3</v>
      </c>
      <c r="AJ21" s="40">
        <f ca="1">IFERROR(AVERAGEIFS(INDIRECT("Tabela1["&amp;$B21&amp;"]"),Tabela1[Turno],$D21,Tabela1[Data Corrigida],AJ$3)/100,"")</f>
        <v>8.1097762672589918E-3</v>
      </c>
      <c r="AK21" s="40">
        <f ca="1">IFERROR(AVERAGEIFS(INDIRECT("Tabela1["&amp;$B21&amp;"]"),Tabela1[Turno],$D21,Tabela1[Data Corrigida],AK$3)/100,"")</f>
        <v>8.0664954337899553E-3</v>
      </c>
      <c r="AL21" s="40">
        <f ca="1">IFERROR(AVERAGEIFS(INDIRECT("Tabela1["&amp;$B21&amp;"]"),Tabela1[Turno],$D21,Tabela1[Data Corrigida],AL$3)/100,"")</f>
        <v>7.2411353405434694E-3</v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59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1.9011498659411402E-2</v>
      </c>
      <c r="N22" s="36" t="str">
        <f ca="1">IFERROR(AVERAGEIFS(INDIRECT("Tabela1["&amp;$B22&amp;"]"),Tabela1[Turno],$D22,Tabela1[Mês],N$3)/100,"")</f>
        <v/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62"/>
      <c r="R22" s="35">
        <f ca="1">IFERROR(AVERAGEIFS(INDIRECT("Tabela1["&amp;$B22&amp;"]"),Tabela1[Turno],$D22,Tabela1[Data Corrigida],R$3)/100,"")</f>
        <v>1.929530806490588E-2</v>
      </c>
      <c r="S22" s="36">
        <f ca="1">IFERROR(AVERAGEIFS(INDIRECT("Tabela1["&amp;$B22&amp;"]"),Tabela1[Turno],$D22,Tabela1[Data Corrigida],S$3)/100,"")</f>
        <v>1.4378881987577639E-2</v>
      </c>
      <c r="T22" s="36">
        <f ca="1">IFERROR(AVERAGEIFS(INDIRECT("Tabela1["&amp;$B22&amp;"]"),Tabela1[Turno],$D22,Tabela1[Data Corrigida],T$3)/100,"")</f>
        <v>1.5113871635610766E-2</v>
      </c>
      <c r="U22" s="36">
        <f ca="1">IFERROR(AVERAGEIFS(INDIRECT("Tabela1["&amp;$B22&amp;"]"),Tabela1[Turno],$D22,Tabela1[Data Corrigida],U$3)/100,"")</f>
        <v>1.3601630157921549E-2</v>
      </c>
      <c r="V22" s="36">
        <f ca="1">IFERROR(AVERAGEIFS(INDIRECT("Tabela1["&amp;$B22&amp;"]"),Tabela1[Turno],$D22,Tabela1[Data Corrigida],V$3)/100,"")</f>
        <v>2.1684212838635628E-2</v>
      </c>
      <c r="W22" s="36">
        <f ca="1">IFERROR(AVERAGEIFS(INDIRECT("Tabela1["&amp;$B22&amp;"]"),Tabela1[Turno],$D22,Tabela1[Data Corrigida],W$3)/100,"")</f>
        <v>2.0020669746634582E-2</v>
      </c>
      <c r="X22" s="36">
        <f ca="1">IFERROR(AVERAGEIFS(INDIRECT("Tabela1["&amp;$B22&amp;"]"),Tabela1[Turno],$D22,Tabela1[Data Corrigida],X$3)/100,"")</f>
        <v>1.8832616658703616E-2</v>
      </c>
      <c r="Y22" s="36">
        <f ca="1">IFERROR(AVERAGEIFS(INDIRECT("Tabela1["&amp;$B22&amp;"]"),Tabela1[Turno],$D22,Tabela1[Data Corrigida],Y$3)/100,"")</f>
        <v>2.0442323770512076E-2</v>
      </c>
      <c r="Z22" s="36">
        <f ca="1">IFERROR(AVERAGEIFS(INDIRECT("Tabela1["&amp;$B22&amp;"]"),Tabela1[Turno],$D22,Tabela1[Data Corrigida],Z$3)/100,"")</f>
        <v>1.8036249785491443E-2</v>
      </c>
      <c r="AA22" s="36">
        <f ca="1">IFERROR(AVERAGEIFS(INDIRECT("Tabela1["&amp;$B22&amp;"]"),Tabela1[Turno],$D22,Tabela1[Data Corrigida],AA$3)/100,"")</f>
        <v>2.3076923076923078E-2</v>
      </c>
      <c r="AB22" s="36">
        <f ca="1">IFERROR(AVERAGEIFS(INDIRECT("Tabela1["&amp;$B22&amp;"]"),Tabela1[Turno],$D22,Tabela1[Data Corrigida],AB$3)/100,"")</f>
        <v>2.0788365962415397E-2</v>
      </c>
      <c r="AC22" s="36">
        <f ca="1">IFERROR(AVERAGEIFS(INDIRECT("Tabela1["&amp;$B22&amp;"]"),Tabela1[Turno],$D22,Tabela1[Data Corrigida],AC$3)/100,"")</f>
        <v>1.5478495570028752E-2</v>
      </c>
      <c r="AD22" s="36">
        <f ca="1">IFERROR(AVERAGEIFS(INDIRECT("Tabela1["&amp;$B22&amp;"]"),Tabela1[Turno],$D22,Tabela1[Data Corrigida],AD$3)/100,"")</f>
        <v>2.1143537820131026E-2</v>
      </c>
      <c r="AE22" s="36">
        <f ca="1">IFERROR(AVERAGEIFS(INDIRECT("Tabela1["&amp;$B22&amp;"]"),Tabela1[Turno],$D22,Tabela1[Data Corrigida],AE$3)/100,"")</f>
        <v>2.3475674242491952E-2</v>
      </c>
      <c r="AF22" s="36">
        <f ca="1">IFERROR(AVERAGEIFS(INDIRECT("Tabela1["&amp;$B22&amp;"]"),Tabela1[Turno],$D22,Tabela1[Data Corrigida],AF$3)/100,"")</f>
        <v>1.5452538631346579E-2</v>
      </c>
      <c r="AG22" s="36">
        <f ca="1">IFERROR(AVERAGEIFS(INDIRECT("Tabela1["&amp;$B22&amp;"]"),Tabela1[Turno],$D22,Tabela1[Data Corrigida],AG$3)/100,"")</f>
        <v>1.9809141124742417E-2</v>
      </c>
      <c r="AH22" s="36">
        <f ca="1">IFERROR(AVERAGEIFS(INDIRECT("Tabela1["&amp;$B22&amp;"]"),Tabela1[Turno],$D22,Tabela1[Data Corrigida],AH$3)/100,"")</f>
        <v>2.0511405445180281E-2</v>
      </c>
      <c r="AI22" s="36">
        <f ca="1">IFERROR(AVERAGEIFS(INDIRECT("Tabela1["&amp;$B22&amp;"]"),Tabela1[Turno],$D22,Tabela1[Data Corrigida],AI$3)/100,"")</f>
        <v>2.1142781269363548E-2</v>
      </c>
      <c r="AJ22" s="36">
        <f ca="1">IFERROR(AVERAGEIFS(INDIRECT("Tabela1["&amp;$B22&amp;"]"),Tabela1[Turno],$D22,Tabela1[Data Corrigida],AJ$3)/100,"")</f>
        <v>2.0852711771809185E-2</v>
      </c>
      <c r="AK22" s="36">
        <f ca="1">IFERROR(AVERAGEIFS(INDIRECT("Tabela1["&amp;$B22&amp;"]"),Tabela1[Turno],$D22,Tabela1[Data Corrigida],AK$3)/100,"")</f>
        <v>2.5356768523744258E-2</v>
      </c>
      <c r="AL22" s="36">
        <f ca="1">IFERROR(AVERAGEIFS(INDIRECT("Tabela1["&amp;$B22&amp;"]"),Tabela1[Turno],$D22,Tabela1[Data Corrigida],AL$3)/100,"")</f>
        <v>1.3573133438487492E-2</v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0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1.2364749163596098E-2</v>
      </c>
      <c r="N23" s="45" t="str">
        <f ca="1">IFERROR(AVERAGEIFS(INDIRECT("Tabela1["&amp;$B23&amp;"]"),Tabela1[Mês],N$3)/100,"")</f>
        <v/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3"/>
      <c r="R23" s="37">
        <f ca="1">IFERROR(AVERAGEIFS(INDIRECT("Tabela1["&amp;$B23&amp;"]"),Tabela1[Data Corrigida],R$3)/100,"")</f>
        <v>1.2982085211619305E-2</v>
      </c>
      <c r="S23" s="38">
        <f ca="1">IFERROR(AVERAGEIFS(INDIRECT("Tabela1["&amp;$B23&amp;"]"),Tabela1[Data Corrigida],S$3)/100,"")</f>
        <v>1.0686187518485652E-2</v>
      </c>
      <c r="T23" s="38">
        <f ca="1">IFERROR(AVERAGEIFS(INDIRECT("Tabela1["&amp;$B23&amp;"]"),Tabela1[Data Corrigida],T$3)/100,"")</f>
        <v>8.7392783200236617E-3</v>
      </c>
      <c r="U23" s="38">
        <f ca="1">IFERROR(AVERAGEIFS(INDIRECT("Tabela1["&amp;$B23&amp;"]"),Tabela1[Data Corrigida],U$3)/100,"")</f>
        <v>8.1026217160323107E-3</v>
      </c>
      <c r="V23" s="38">
        <f ca="1">IFERROR(AVERAGEIFS(INDIRECT("Tabela1["&amp;$B23&amp;"]"),Tabela1[Data Corrigida],V$3)/100,"")</f>
        <v>1.2236127706249787E-2</v>
      </c>
      <c r="W23" s="38">
        <f ca="1">IFERROR(AVERAGEIFS(INDIRECT("Tabela1["&amp;$B23&amp;"]"),Tabela1[Data Corrigida],W$3)/100,"")</f>
        <v>1.0971401526045683E-2</v>
      </c>
      <c r="X23" s="38">
        <f ca="1">IFERROR(AVERAGEIFS(INDIRECT("Tabela1["&amp;$B23&amp;"]"),Tabela1[Data Corrigida],X$3)/100,"")</f>
        <v>1.0332059245102722E-2</v>
      </c>
      <c r="Y23" s="38">
        <f ca="1">IFERROR(AVERAGEIFS(INDIRECT("Tabela1["&amp;$B23&amp;"]"),Tabela1[Data Corrigida],Y$3)/100,"")</f>
        <v>1.2196174176816437E-2</v>
      </c>
      <c r="Z23" s="38">
        <f ca="1">IFERROR(AVERAGEIFS(INDIRECT("Tabela1["&amp;$B23&amp;"]"),Tabela1[Data Corrigida],Z$3)/100,"")</f>
        <v>1.1104068057660104E-2</v>
      </c>
      <c r="AA23" s="38">
        <f ca="1">IFERROR(AVERAGEIFS(INDIRECT("Tabela1["&amp;$B23&amp;"]"),Tabela1[Data Corrigida],AA$3)/100,"")</f>
        <v>1.5515109890109891E-2</v>
      </c>
      <c r="AB23" s="38">
        <f ca="1">IFERROR(AVERAGEIFS(INDIRECT("Tabela1["&amp;$B23&amp;"]"),Tabela1[Data Corrigida],AB$3)/100,"")</f>
        <v>1.6326882115760444E-2</v>
      </c>
      <c r="AC23" s="38">
        <f ca="1">IFERROR(AVERAGEIFS(INDIRECT("Tabela1["&amp;$B23&amp;"]"),Tabela1[Data Corrigida],AC$3)/100,"")</f>
        <v>1.6158147285514554E-2</v>
      </c>
      <c r="AD23" s="38">
        <f ca="1">IFERROR(AVERAGEIFS(INDIRECT("Tabela1["&amp;$B23&amp;"]"),Tabela1[Data Corrigida],AD$3)/100,"")</f>
        <v>1.7641938937576221E-2</v>
      </c>
      <c r="AE23" s="38">
        <f ca="1">IFERROR(AVERAGEIFS(INDIRECT("Tabela1["&amp;$B23&amp;"]"),Tabela1[Data Corrigida],AE$3)/100,"")</f>
        <v>1.28123512776334E-2</v>
      </c>
      <c r="AF23" s="38">
        <f ca="1">IFERROR(AVERAGEIFS(INDIRECT("Tabela1["&amp;$B23&amp;"]"),Tabela1[Data Corrigida],AF$3)/100,"")</f>
        <v>1.343190511747166E-2</v>
      </c>
      <c r="AG23" s="38">
        <f ca="1">IFERROR(AVERAGEIFS(INDIRECT("Tabela1["&amp;$B23&amp;"]"),Tabela1[Data Corrigida],AG$3)/100,"")</f>
        <v>1.1668083089055072E-2</v>
      </c>
      <c r="AH23" s="38">
        <f ca="1">IFERROR(AVERAGEIFS(INDIRECT("Tabela1["&amp;$B23&amp;"]"),Tabela1[Data Corrigida],AH$3)/100,"")</f>
        <v>1.1073188993420578E-2</v>
      </c>
      <c r="AI23" s="38">
        <f ca="1">IFERROR(AVERAGEIFS(INDIRECT("Tabela1["&amp;$B23&amp;"]"),Tabela1[Data Corrigida],AI$3)/100,"")</f>
        <v>1.2043397899457129E-2</v>
      </c>
      <c r="AJ23" s="38">
        <f ca="1">IFERROR(AVERAGEIFS(INDIRECT("Tabela1["&amp;$B23&amp;"]"),Tabela1[Data Corrigida],AJ$3)/100,"")</f>
        <v>1.3571034340637646E-2</v>
      </c>
      <c r="AK23" s="38">
        <f ca="1">IFERROR(AVERAGEIFS(INDIRECT("Tabela1["&amp;$B23&amp;"]"),Tabela1[Data Corrigida],AK$3)/100,"")</f>
        <v>1.3829919797108054E-2</v>
      </c>
      <c r="AL23" s="38">
        <f ca="1">IFERROR(AVERAGEIFS(INDIRECT("Tabela1["&amp;$B23&amp;"]"),Tabela1[Data Corrigida],AL$3)/100,"")</f>
        <v>9.9548488110909085E-3</v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58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3.8468725943525392E-2</v>
      </c>
      <c r="N24" s="34" t="str">
        <f ca="1">IFERROR(AVERAGEIFS(INDIRECT("Tabela1["&amp;$B24&amp;"]"),Tabela1[Turno],$D24,Tabela1[Mês],N$3)/100,"")</f>
        <v/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61">
        <v>0.03</v>
      </c>
      <c r="R24" s="33">
        <f ca="1">IFERROR(AVERAGEIFS(INDIRECT("Tabela1["&amp;$B24&amp;"]"),Tabela1[Turno],$D24,Tabela1[Data Corrigida],R$3)/100,"")</f>
        <v>3.5249824376536704E-2</v>
      </c>
      <c r="S24" s="34">
        <f ca="1">IFERROR(AVERAGEIFS(INDIRECT("Tabela1["&amp;$B24&amp;"]"),Tabela1[Turno],$D24,Tabela1[Data Corrigida],S$3)/100,"")</f>
        <v>6.0833333333333336E-2</v>
      </c>
      <c r="T24" s="34">
        <f ca="1">IFERROR(AVERAGEIFS(INDIRECT("Tabela1["&amp;$B24&amp;"]"),Tabela1[Turno],$D24,Tabela1[Data Corrigida],T$3)/100,"")</f>
        <v>2.6979166666666669E-2</v>
      </c>
      <c r="U24" s="34">
        <f ca="1">IFERROR(AVERAGEIFS(INDIRECT("Tabela1["&amp;$B24&amp;"]"),Tabela1[Turno],$D24,Tabela1[Data Corrigida],U$3)/100,"")</f>
        <v>1.9431089743589744E-2</v>
      </c>
      <c r="V24" s="34">
        <f ca="1">IFERROR(AVERAGEIFS(INDIRECT("Tabela1["&amp;$B24&amp;"]"),Tabela1[Turno],$D24,Tabela1[Data Corrigida],V$3)/100,"")</f>
        <v>2.941890166028097E-2</v>
      </c>
      <c r="W24" s="34">
        <f ca="1">IFERROR(AVERAGEIFS(INDIRECT("Tabela1["&amp;$B24&amp;"]"),Tabela1[Turno],$D24,Tabela1[Data Corrigida],W$3)/100,"")</f>
        <v>3.0188964953797609E-2</v>
      </c>
      <c r="X24" s="34">
        <f ca="1">IFERROR(AVERAGEIFS(INDIRECT("Tabela1["&amp;$B24&amp;"]"),Tabela1[Turno],$D24,Tabela1[Data Corrigida],X$3)/100,"")</f>
        <v>3.3205924510272336E-2</v>
      </c>
      <c r="Y24" s="34">
        <f ca="1">IFERROR(AVERAGEIFS(INDIRECT("Tabela1["&amp;$B24&amp;"]"),Tabela1[Turno],$D24,Tabela1[Data Corrigida],Y$3)/100,"")</f>
        <v>2.1042806411363853E-2</v>
      </c>
      <c r="Z24" s="34">
        <f ca="1">IFERROR(AVERAGEIFS(INDIRECT("Tabela1["&amp;$B24&amp;"]"),Tabela1[Turno],$D24,Tabela1[Data Corrigida],Z$3)/100,"")</f>
        <v>7.2189050868486357E-2</v>
      </c>
      <c r="AA24" s="34">
        <f ca="1">IFERROR(AVERAGEIFS(INDIRECT("Tabela1["&amp;$B24&amp;"]"),Tabela1[Turno],$D24,Tabela1[Data Corrigida],AA$3)/100,"")</f>
        <v>7.6249999999999998E-2</v>
      </c>
      <c r="AB24" s="34">
        <f ca="1">IFERROR(AVERAGEIFS(INDIRECT("Tabela1["&amp;$B24&amp;"]"),Tabela1[Turno],$D24,Tabela1[Data Corrigida],AB$3)/100,"")</f>
        <v>2.1025641025641025E-2</v>
      </c>
      <c r="AC24" s="34">
        <f ca="1">IFERROR(AVERAGEIFS(INDIRECT("Tabela1["&amp;$B24&amp;"]"),Tabela1[Turno],$D24,Tabela1[Data Corrigida],AC$3)/100,"")</f>
        <v>4.2781057875491108E-2</v>
      </c>
      <c r="AD24" s="34">
        <f ca="1">IFERROR(AVERAGEIFS(INDIRECT("Tabela1["&amp;$B24&amp;"]"),Tabela1[Turno],$D24,Tabela1[Data Corrigida],AD$3)/100,"")</f>
        <v>7.4920634920634915E-2</v>
      </c>
      <c r="AE24" s="34">
        <f ca="1">IFERROR(AVERAGEIFS(INDIRECT("Tabela1["&amp;$B24&amp;"]"),Tabela1[Turno],$D24,Tabela1[Data Corrigida],AE$3)/100,"")</f>
        <v>1.7671205605988213E-2</v>
      </c>
      <c r="AF24" s="34">
        <f ca="1">IFERROR(AVERAGEIFS(INDIRECT("Tabela1["&amp;$B24&amp;"]"),Tabela1[Turno],$D24,Tabela1[Data Corrigida],AF$3)/100,"")</f>
        <v>6.1439891415850774E-2</v>
      </c>
      <c r="AG24" s="34">
        <f ca="1">IFERROR(AVERAGEIFS(INDIRECT("Tabela1["&amp;$B24&amp;"]"),Tabela1[Turno],$D24,Tabela1[Data Corrigida],AG$3)/100,"")</f>
        <v>4.7237373737373731E-2</v>
      </c>
      <c r="AH24" s="34">
        <f ca="1">IFERROR(AVERAGEIFS(INDIRECT("Tabela1["&amp;$B24&amp;"]"),Tabela1[Turno],$D24,Tabela1[Data Corrigida],AH$3)/100,"")</f>
        <v>3.3563317531158737E-2</v>
      </c>
      <c r="AI24" s="34">
        <f ca="1">IFERROR(AVERAGEIFS(INDIRECT("Tabela1["&amp;$B24&amp;"]"),Tabela1[Turno],$D24,Tabela1[Data Corrigida],AI$3)/100,"")</f>
        <v>6.0289851659995293E-2</v>
      </c>
      <c r="AJ24" s="34">
        <f ca="1">IFERROR(AVERAGEIFS(INDIRECT("Tabela1["&amp;$B24&amp;"]"),Tabela1[Turno],$D24,Tabela1[Data Corrigida],AJ$3)/100,"")</f>
        <v>1.6916939177052913E-2</v>
      </c>
      <c r="AK24" s="34">
        <f ca="1">IFERROR(AVERAGEIFS(INDIRECT("Tabela1["&amp;$B24&amp;"]"),Tabela1[Turno],$D24,Tabela1[Data Corrigida],AK$3)/100,"")</f>
        <v>1.9557648401826486E-2</v>
      </c>
      <c r="AL24" s="34">
        <f ca="1">IFERROR(AVERAGEIFS(INDIRECT("Tabela1["&amp;$B24&amp;"]"),Tabela1[Turno],$D24,Tabela1[Data Corrigida],AL$3)/100,"")</f>
        <v>1.6763598182969831E-2</v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59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5.2811496203440854E-2</v>
      </c>
      <c r="N25" s="36" t="str">
        <f ca="1">IFERROR(AVERAGEIFS(INDIRECT("Tabela1["&amp;$B25&amp;"]"),Tabela1[Turno],$D25,Tabela1[Mês],N$3)/100,"")</f>
        <v/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62"/>
      <c r="R25" s="35">
        <f ca="1">IFERROR(AVERAGEIFS(INDIRECT("Tabela1["&amp;$B25&amp;"]"),Tabela1[Turno],$D25,Tabela1[Data Corrigida],R$3)/100,"")</f>
        <v>0.17206226579096381</v>
      </c>
      <c r="S25" s="36">
        <f ca="1">IFERROR(AVERAGEIFS(INDIRECT("Tabela1["&amp;$B25&amp;"]"),Tabela1[Turno],$D25,Tabela1[Data Corrigida],S$3)/100,"")</f>
        <v>2.2091097308488607E-2</v>
      </c>
      <c r="T25" s="36">
        <f ca="1">IFERROR(AVERAGEIFS(INDIRECT("Tabela1["&amp;$B25&amp;"]"),Tabela1[Turno],$D25,Tabela1[Data Corrigida],T$3)/100,"")</f>
        <v>1.0662525879917183E-2</v>
      </c>
      <c r="U25" s="36">
        <f ca="1">IFERROR(AVERAGEIFS(INDIRECT("Tabela1["&amp;$B25&amp;"]"),Tabela1[Turno],$D25,Tabela1[Data Corrigida],U$3)/100,"")</f>
        <v>0.13659364917643066</v>
      </c>
      <c r="V25" s="36">
        <f ca="1">IFERROR(AVERAGEIFS(INDIRECT("Tabela1["&amp;$B25&amp;"]"),Tabela1[Turno],$D25,Tabela1[Data Corrigida],V$3)/100,"")</f>
        <v>2.7998638043615555E-2</v>
      </c>
      <c r="W25" s="36">
        <f ca="1">IFERROR(AVERAGEIFS(INDIRECT("Tabela1["&amp;$B25&amp;"]"),Tabela1[Turno],$D25,Tabela1[Data Corrigida],W$3)/100,"")</f>
        <v>1.9269122443363138E-2</v>
      </c>
      <c r="X25" s="36">
        <f ca="1">IFERROR(AVERAGEIFS(INDIRECT("Tabela1["&amp;$B25&amp;"]"),Tabela1[Turno],$D25,Tabela1[Data Corrigida],X$3)/100,"")</f>
        <v>4.8415352763178848E-2</v>
      </c>
      <c r="Y25" s="36">
        <f ca="1">IFERROR(AVERAGEIFS(INDIRECT("Tabela1["&amp;$B25&amp;"]"),Tabela1[Turno],$D25,Tabela1[Data Corrigida],Y$3)/100,"")</f>
        <v>4.0170280552298696E-2</v>
      </c>
      <c r="Z25" s="36">
        <f ca="1">IFERROR(AVERAGEIFS(INDIRECT("Tabela1["&amp;$B25&amp;"]"),Tabela1[Turno],$D25,Tabela1[Data Corrigida],Z$3)/100,"")</f>
        <v>4.1200704699188018E-2</v>
      </c>
      <c r="AA25" s="36">
        <f ca="1">IFERROR(AVERAGEIFS(INDIRECT("Tabela1["&amp;$B25&amp;"]"),Tabela1[Turno],$D25,Tabela1[Data Corrigida],AA$3)/100,"")</f>
        <v>4.8717948717948725E-2</v>
      </c>
      <c r="AB25" s="36">
        <f ca="1">IFERROR(AVERAGEIFS(INDIRECT("Tabela1["&amp;$B25&amp;"]"),Tabela1[Turno],$D25,Tabela1[Data Corrigida],AB$3)/100,"")</f>
        <v>3.6128328307090792E-2</v>
      </c>
      <c r="AC25" s="36">
        <f ca="1">IFERROR(AVERAGEIFS(INDIRECT("Tabela1["&amp;$B25&amp;"]"),Tabela1[Turno],$D25,Tabela1[Data Corrigida],AC$3)/100,"")</f>
        <v>7.0338471597052823E-2</v>
      </c>
      <c r="AD25" s="36">
        <f ca="1">IFERROR(AVERAGEIFS(INDIRECT("Tabela1["&amp;$B25&amp;"]"),Tabela1[Turno],$D25,Tabela1[Data Corrigida],AD$3)/100,"")</f>
        <v>5.5291938555786083E-2</v>
      </c>
      <c r="AE25" s="36">
        <f ca="1">IFERROR(AVERAGEIFS(INDIRECT("Tabela1["&amp;$B25&amp;"]"),Tabela1[Turno],$D25,Tabela1[Data Corrigida],AE$3)/100,"")</f>
        <v>4.3966002627557177E-2</v>
      </c>
      <c r="AF25" s="36">
        <f ca="1">IFERROR(AVERAGEIFS(INDIRECT("Tabela1["&amp;$B25&amp;"]"),Tabela1[Turno],$D25,Tabela1[Data Corrigida],AF$3)/100,"")</f>
        <v>6.6225165562913912E-2</v>
      </c>
      <c r="AG25" s="36">
        <f ca="1">IFERROR(AVERAGEIFS(INDIRECT("Tabela1["&amp;$B25&amp;"]"),Tabela1[Turno],$D25,Tabela1[Data Corrigida],AG$3)/100,"")</f>
        <v>3.2066478655815286E-2</v>
      </c>
      <c r="AH25" s="36">
        <f ca="1">IFERROR(AVERAGEIFS(INDIRECT("Tabela1["&amp;$B25&amp;"]"),Tabela1[Turno],$D25,Tabela1[Data Corrigida],AH$3)/100,"")</f>
        <v>3.5393671817512878E-2</v>
      </c>
      <c r="AI25" s="36">
        <f ca="1">IFERROR(AVERAGEIFS(INDIRECT("Tabela1["&amp;$B25&amp;"]"),Tabela1[Turno],$D25,Tabela1[Data Corrigida],AI$3)/100,"")</f>
        <v>6.4291404797733917E-2</v>
      </c>
      <c r="AJ25" s="36">
        <f ca="1">IFERROR(AVERAGEIFS(INDIRECT("Tabela1["&amp;$B25&amp;"]"),Tabela1[Turno],$D25,Tabela1[Data Corrigida],AJ$3)/100,"")</f>
        <v>4.2199132732979733E-2</v>
      </c>
      <c r="AK25" s="36">
        <f ca="1">IFERROR(AVERAGEIFS(INDIRECT("Tabela1["&amp;$B25&amp;"]"),Tabela1[Turno],$D25,Tabela1[Data Corrigida],AK$3)/100,"")</f>
        <v>3.9941582289331257E-2</v>
      </c>
      <c r="AL25" s="36">
        <f ca="1">IFERROR(AVERAGEIFS(INDIRECT("Tabela1["&amp;$B25&amp;"]"),Tabela1[Turno],$D25,Tabela1[Data Corrigida],AL$3)/100,"")</f>
        <v>5.601765795309048E-2</v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0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4.4657729548831349E-2</v>
      </c>
      <c r="N26" s="45" t="str">
        <f ca="1">IFERROR(AVERAGEIFS(INDIRECT("Tabela1["&amp;$B26&amp;"]"),Tabela1[Mês],N$3)/100,"")</f>
        <v/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3"/>
      <c r="R26" s="37">
        <f ca="1">IFERROR(AVERAGEIFS(INDIRECT("Tabela1["&amp;$B26&amp;"]"),Tabela1[Data Corrigida],R$3)/100,"")</f>
        <v>9.3883727839862596E-2</v>
      </c>
      <c r="S26" s="38">
        <f ca="1">IFERROR(AVERAGEIFS(INDIRECT("Tabela1["&amp;$B26&amp;"]"),Tabela1[Data Corrigida],S$3)/100,"")</f>
        <v>4.4229517894114168E-2</v>
      </c>
      <c r="T26" s="38">
        <f ca="1">IFERROR(AVERAGEIFS(INDIRECT("Tabela1["&amp;$B26&amp;"]"),Tabela1[Data Corrigida],T$3)/100,"")</f>
        <v>1.9986320615202603E-2</v>
      </c>
      <c r="U26" s="38">
        <f ca="1">IFERROR(AVERAGEIFS(INDIRECT("Tabela1["&amp;$B26&amp;"]"),Tabela1[Data Corrigida],U$3)/100,"")</f>
        <v>6.9643615214807261E-2</v>
      </c>
      <c r="V26" s="38">
        <f ca="1">IFERROR(AVERAGEIFS(INDIRECT("Tabela1["&amp;$B26&amp;"]"),Tabela1[Data Corrigida],V$3)/100,"")</f>
        <v>2.8810217253138651E-2</v>
      </c>
      <c r="W26" s="38">
        <f ca="1">IFERROR(AVERAGEIFS(INDIRECT("Tabela1["&amp;$B26&amp;"]"),Tabela1[Data Corrigida],W$3)/100,"")</f>
        <v>2.5509032449325692E-2</v>
      </c>
      <c r="X26" s="38">
        <f ca="1">IFERROR(AVERAGEIFS(INDIRECT("Tabela1["&amp;$B26&amp;"]"),Tabela1[Data Corrigida],X$3)/100,"")</f>
        <v>3.9724250904375119E-2</v>
      </c>
      <c r="Y26" s="38">
        <f ca="1">IFERROR(AVERAGEIFS(INDIRECT("Tabela1["&amp;$B26&amp;"]"),Tabela1[Data Corrigida],Y$3)/100,"")</f>
        <v>2.9240295328907356E-2</v>
      </c>
      <c r="Z26" s="38">
        <f ca="1">IFERROR(AVERAGEIFS(INDIRECT("Tabela1["&amp;$B26&amp;"]"),Tabela1[Data Corrigida],Z$3)/100,"")</f>
        <v>5.8908331081644214E-2</v>
      </c>
      <c r="AA26" s="38">
        <f ca="1">IFERROR(AVERAGEIFS(INDIRECT("Tabela1["&amp;$B26&amp;"]"),Tabela1[Data Corrigida],AA$3)/100,"")</f>
        <v>6.4450549450549441E-2</v>
      </c>
      <c r="AB26" s="38">
        <f ca="1">IFERROR(AVERAGEIFS(INDIRECT("Tabela1["&amp;$B26&amp;"]"),Tabela1[Data Corrigida],AB$3)/100,"")</f>
        <v>2.7498221289119499E-2</v>
      </c>
      <c r="AC26" s="38">
        <f ca="1">IFERROR(AVERAGEIFS(INDIRECT("Tabela1["&amp;$B26&amp;"]"),Tabela1[Data Corrigida],AC$3)/100,"")</f>
        <v>5.4591378041874694E-2</v>
      </c>
      <c r="AD26" s="38">
        <f ca="1">IFERROR(AVERAGEIFS(INDIRECT("Tabela1["&amp;$B26&amp;"]"),Tabela1[Data Corrigida],AD$3)/100,"")</f>
        <v>6.5106286738210506E-2</v>
      </c>
      <c r="AE26" s="38">
        <f ca="1">IFERROR(AVERAGEIFS(INDIRECT("Tabela1["&amp;$B26&amp;"]"),Tabela1[Data Corrigida],AE$3)/100,"")</f>
        <v>2.894040432951777E-2</v>
      </c>
      <c r="AF26" s="38">
        <f ca="1">IFERROR(AVERAGEIFS(INDIRECT("Tabela1["&amp;$B26&amp;"]"),Tabela1[Data Corrigida],AF$3)/100,"")</f>
        <v>6.3490723193163554E-2</v>
      </c>
      <c r="AG26" s="38">
        <f ca="1">IFERROR(AVERAGEIFS(INDIRECT("Tabela1["&amp;$B26&amp;"]"),Tabela1[Data Corrigida],AG$3)/100,"")</f>
        <v>4.0735561559562969E-2</v>
      </c>
      <c r="AH26" s="38">
        <f ca="1">IFERROR(AVERAGEIFS(INDIRECT("Tabela1["&amp;$B26&amp;"]"),Tabela1[Data Corrigida],AH$3)/100,"")</f>
        <v>3.4347755082453371E-2</v>
      </c>
      <c r="AI26" s="38">
        <f ca="1">IFERROR(AVERAGEIFS(INDIRECT("Tabela1["&amp;$B26&amp;"]"),Tabela1[Data Corrigida],AI$3)/100,"")</f>
        <v>6.2004803004740421E-2</v>
      </c>
      <c r="AJ26" s="38">
        <f ca="1">IFERROR(AVERAGEIFS(INDIRECT("Tabela1["&amp;$B26&amp;"]"),Tabela1[Data Corrigida],AJ$3)/100,"")</f>
        <v>2.7752164986735831E-2</v>
      </c>
      <c r="AK26" s="38">
        <f ca="1">IFERROR(AVERAGEIFS(INDIRECT("Tabela1["&amp;$B26&amp;"]"),Tabela1[Data Corrigida],AK$3)/100,"")</f>
        <v>2.8293620067899962E-2</v>
      </c>
      <c r="AL26" s="38">
        <f ca="1">IFERROR(AVERAGEIFS(INDIRECT("Tabela1["&amp;$B26&amp;"]"),Tabela1[Data Corrigida],AL$3)/100,"")</f>
        <v>3.3586766655878682E-2</v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58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4.8326225621614073E-4</v>
      </c>
      <c r="N27" s="34" t="str">
        <f ca="1">IFERROR(AVERAGEIFS(INDIRECT("Tabela1["&amp;$B27&amp;"]"),Tabela1[Turno],$D27,Tabela1[Mês],N$3)/100,"")</f>
        <v/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61">
        <v>0.02</v>
      </c>
      <c r="R27" s="39">
        <f ca="1">IFERROR(AVERAGEIFS(INDIRECT("Tabela1["&amp;$B27&amp;"]"),Tabela1[Turno],$D27,Tabela1[Data Corrigida],R$3)/100,"")</f>
        <v>1.5625000000000001E-3</v>
      </c>
      <c r="S27" s="40">
        <f ca="1">IFERROR(AVERAGEIFS(INDIRECT("Tabela1["&amp;$B27&amp;"]"),Tabela1[Turno],$D27,Tabela1[Data Corrigida],S$3)/100,"")</f>
        <v>0</v>
      </c>
      <c r="T27" s="40">
        <f ca="1">IFERROR(AVERAGEIFS(INDIRECT("Tabela1["&amp;$B27&amp;"]"),Tabela1[Turno],$D27,Tabela1[Data Corrigida],T$3)/100,"")</f>
        <v>0</v>
      </c>
      <c r="U27" s="40">
        <f ca="1">IFERROR(AVERAGEIFS(INDIRECT("Tabela1["&amp;$B27&amp;"]"),Tabela1[Turno],$D27,Tabela1[Data Corrigida],U$3)/100,"")</f>
        <v>1.6025641025641025E-3</v>
      </c>
      <c r="V27" s="40">
        <f ca="1">IFERROR(AVERAGEIFS(INDIRECT("Tabela1["&amp;$B27&amp;"]"),Tabela1[Turno],$D27,Tabela1[Data Corrigida],V$3)/100,"")</f>
        <v>3.4482758620689659E-3</v>
      </c>
      <c r="W27" s="40">
        <f ca="1">IFERROR(AVERAGEIFS(INDIRECT("Tabela1["&amp;$B27&amp;"]"),Tabela1[Turno],$D27,Tabela1[Data Corrigida],W$3)/100,"")</f>
        <v>0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0</v>
      </c>
      <c r="Z27" s="40">
        <f ca="1">IFERROR(AVERAGEIFS(INDIRECT("Tabela1["&amp;$B27&amp;"]"),Tabela1[Turno],$D27,Tabela1[Data Corrigida],Z$3)/100,"")</f>
        <v>0</v>
      </c>
      <c r="AA27" s="40">
        <f ca="1">IFERROR(AVERAGEIFS(INDIRECT("Tabela1["&amp;$B27&amp;"]"),Tabela1[Turno],$D27,Tabela1[Data Corrigida],AA$3)/100,"")</f>
        <v>0</v>
      </c>
      <c r="AB27" s="40">
        <f ca="1">IFERROR(AVERAGEIFS(INDIRECT("Tabela1["&amp;$B27&amp;"]"),Tabela1[Turno],$D27,Tabela1[Data Corrigida],AB$3)/100,"")</f>
        <v>0</v>
      </c>
      <c r="AC27" s="40">
        <f ca="1">IFERROR(AVERAGEIFS(INDIRECT("Tabela1["&amp;$B27&amp;"]"),Tabela1[Turno],$D27,Tabela1[Data Corrigida],AC$3)/100,"")</f>
        <v>0</v>
      </c>
      <c r="AD27" s="40">
        <f ca="1">IFERROR(AVERAGEIFS(INDIRECT("Tabela1["&amp;$B27&amp;"]"),Tabela1[Turno],$D27,Tabela1[Data Corrigida],AD$3)/100,"")</f>
        <v>2.0833333333333333E-3</v>
      </c>
      <c r="AE27" s="40">
        <f ca="1">IFERROR(AVERAGEIFS(INDIRECT("Tabela1["&amp;$B27&amp;"]"),Tabela1[Turno],$D27,Tabela1[Data Corrigida],AE$3)/100,"")</f>
        <v>0</v>
      </c>
      <c r="AF27" s="40">
        <f ca="1">IFERROR(AVERAGEIFS(INDIRECT("Tabela1["&amp;$B27&amp;"]"),Tabela1[Turno],$D27,Tabela1[Data Corrigida],AF$3)/100,"")</f>
        <v>0</v>
      </c>
      <c r="AG27" s="40">
        <f ca="1">IFERROR(AVERAGEIFS(INDIRECT("Tabela1["&amp;$B27&amp;"]"),Tabela1[Turno],$D27,Tabela1[Data Corrigida],AG$3)/100,"")</f>
        <v>0</v>
      </c>
      <c r="AH27" s="40">
        <f ca="1">IFERROR(AVERAGEIFS(INDIRECT("Tabela1["&amp;$B27&amp;"]"),Tabela1[Turno],$D27,Tabela1[Data Corrigida],AH$3)/100,"")</f>
        <v>0</v>
      </c>
      <c r="AI27" s="40">
        <f ca="1">IFERROR(AVERAGEIFS(INDIRECT("Tabela1["&amp;$B27&amp;"]"),Tabela1[Turno],$D27,Tabela1[Data Corrigida],AI$3)/100,"")</f>
        <v>0</v>
      </c>
      <c r="AJ27" s="40">
        <f ca="1">IFERROR(AVERAGEIFS(INDIRECT("Tabela1["&amp;$B27&amp;"]"),Tabela1[Turno],$D27,Tabela1[Data Corrigida],AJ$3)/100,"")</f>
        <v>0</v>
      </c>
      <c r="AK27" s="40">
        <f ca="1">IFERROR(AVERAGEIFS(INDIRECT("Tabela1["&amp;$B27&amp;"]"),Tabela1[Turno],$D27,Tabela1[Data Corrigida],AK$3)/100,"")</f>
        <v>0</v>
      </c>
      <c r="AL27" s="40">
        <f ca="1">IFERROR(AVERAGEIFS(INDIRECT("Tabela1["&amp;$B27&amp;"]"),Tabela1[Turno],$D27,Tabela1[Data Corrigida],AL$3)/100,"")</f>
        <v>1.8518518518518519E-3</v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59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2.2721943251744579E-4</v>
      </c>
      <c r="N28" s="36" t="str">
        <f ca="1">IFERROR(AVERAGEIFS(INDIRECT("Tabela1["&amp;$B28&amp;"]"),Tabela1[Turno],$D28,Tabela1[Mês],N$3)/100,"")</f>
        <v/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62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2.2075055187637969E-3</v>
      </c>
      <c r="X28" s="36">
        <f ca="1">IFERROR(AVERAGEIFS(INDIRECT("Tabela1["&amp;$B28&amp;"]"),Tabela1[Turno],$D28,Tabela1[Data Corrigida],X$3)/100,"")</f>
        <v>0</v>
      </c>
      <c r="Y28" s="36">
        <f ca="1">IFERROR(AVERAGEIFS(INDIRECT("Tabela1["&amp;$B28&amp;"]"),Tabela1[Turno],$D28,Tabela1[Data Corrigida],Y$3)/100,"")</f>
        <v>0</v>
      </c>
      <c r="Z28" s="36">
        <f ca="1">IFERROR(AVERAGEIFS(INDIRECT("Tabela1["&amp;$B28&amp;"]"),Tabela1[Turno],$D28,Tabela1[Data Corrigida],Z$3)/100,"")</f>
        <v>0</v>
      </c>
      <c r="AA28" s="36">
        <f ca="1">IFERROR(AVERAGEIFS(INDIRECT("Tabela1["&amp;$B28&amp;"]"),Tabela1[Turno],$D28,Tabela1[Data Corrigida],AA$3)/100,"")</f>
        <v>0</v>
      </c>
      <c r="AB28" s="36">
        <f ca="1">IFERROR(AVERAGEIFS(INDIRECT("Tabela1["&amp;$B28&amp;"]"),Tabela1[Turno],$D28,Tabela1[Data Corrigida],AB$3)/100,"")</f>
        <v>0</v>
      </c>
      <c r="AC28" s="36">
        <f ca="1">IFERROR(AVERAGEIFS(INDIRECT("Tabela1["&amp;$B28&amp;"]"),Tabela1[Turno],$D28,Tabela1[Data Corrigida],AC$3)/100,"")</f>
        <v>0</v>
      </c>
      <c r="AD28" s="36">
        <f ca="1">IFERROR(AVERAGEIFS(INDIRECT("Tabela1["&amp;$B28&amp;"]"),Tabela1[Turno],$D28,Tabela1[Data Corrigida],AD$3)/100,"")</f>
        <v>0</v>
      </c>
      <c r="AE28" s="36">
        <f ca="1">IFERROR(AVERAGEIFS(INDIRECT("Tabela1["&amp;$B28&amp;"]"),Tabela1[Turno],$D28,Tabela1[Data Corrigida],AE$3)/100,"")</f>
        <v>0</v>
      </c>
      <c r="AF28" s="36">
        <f ca="1">IFERROR(AVERAGEIFS(INDIRECT("Tabela1["&amp;$B28&amp;"]"),Tabela1[Turno],$D28,Tabela1[Data Corrigida],AF$3)/100,"")</f>
        <v>0</v>
      </c>
      <c r="AG28" s="36">
        <f ca="1">IFERROR(AVERAGEIFS(INDIRECT("Tabela1["&amp;$B28&amp;"]"),Tabela1[Turno],$D28,Tabela1[Data Corrigida],AG$3)/100,"")</f>
        <v>0</v>
      </c>
      <c r="AH28" s="36">
        <f ca="1">IFERROR(AVERAGEIFS(INDIRECT("Tabela1["&amp;$B28&amp;"]"),Tabela1[Turno],$D28,Tabela1[Data Corrigida],AH$3)/100,"")</f>
        <v>0</v>
      </c>
      <c r="AI28" s="36">
        <f ca="1">IFERROR(AVERAGEIFS(INDIRECT("Tabela1["&amp;$B28&amp;"]"),Tabela1[Turno],$D28,Tabela1[Data Corrigida],AI$3)/100,"")</f>
        <v>2.5641025641025645E-3</v>
      </c>
      <c r="AJ28" s="36">
        <f ca="1">IFERROR(AVERAGEIFS(INDIRECT("Tabela1["&amp;$B28&amp;"]"),Tabela1[Turno],$D28,Tabela1[Data Corrigida],AJ$3)/100,"")</f>
        <v>0</v>
      </c>
      <c r="AK28" s="36">
        <f ca="1">IFERROR(AVERAGEIFS(INDIRECT("Tabela1["&amp;$B28&amp;"]"),Tabela1[Turno],$D28,Tabela1[Data Corrigida],AK$3)/100,"")</f>
        <v>0</v>
      </c>
      <c r="AL28" s="36">
        <f ca="1">IFERROR(AVERAGEIFS(INDIRECT("Tabela1["&amp;$B28&amp;"]"),Tabela1[Turno],$D28,Tabela1[Data Corrigida],AL$3)/100,"")</f>
        <v>0</v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0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3.7277802407218325E-4</v>
      </c>
      <c r="N29" s="45" t="str">
        <f ca="1">IFERROR(AVERAGEIFS(INDIRECT("Tabela1["&amp;$B29&amp;"]"),Tabela1[Mês],N$3)/100,"")</f>
        <v/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3"/>
      <c r="R29" s="42">
        <f ca="1">IFERROR(AVERAGEIFS(INDIRECT("Tabela1["&amp;$B29&amp;"]"),Tabela1[Data Corrigida],R$3)/100,"")</f>
        <v>8.9285714285714283E-4</v>
      </c>
      <c r="S29" s="43">
        <f ca="1">IFERROR(AVERAGEIFS(INDIRECT("Tabela1["&amp;$B29&amp;"]"),Tabela1[Data Corrigida],S$3)/100,"")</f>
        <v>0</v>
      </c>
      <c r="T29" s="43">
        <f ca="1">IFERROR(AVERAGEIFS(INDIRECT("Tabela1["&amp;$B29&amp;"]"),Tabela1[Data Corrigida],T$3)/100,"")</f>
        <v>0</v>
      </c>
      <c r="U29" s="43">
        <f ca="1">IFERROR(AVERAGEIFS(INDIRECT("Tabela1["&amp;$B29&amp;"]"),Tabela1[Data Corrigida],U$3)/100,"")</f>
        <v>9.1575091575091564E-4</v>
      </c>
      <c r="V29" s="43">
        <f ca="1">IFERROR(AVERAGEIFS(INDIRECT("Tabela1["&amp;$B29&amp;"]"),Tabela1[Data Corrigida],V$3)/100,"")</f>
        <v>1.9704433497536949E-3</v>
      </c>
      <c r="W29" s="43">
        <f ca="1">IFERROR(AVERAGEIFS(INDIRECT("Tabela1["&amp;$B29&amp;"]"),Tabela1[Data Corrigida],W$3)/100,"")</f>
        <v>9.4607379375591296E-4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0</v>
      </c>
      <c r="Z29" s="43">
        <f ca="1">IFERROR(AVERAGEIFS(INDIRECT("Tabela1["&amp;$B29&amp;"]"),Tabela1[Data Corrigida],Z$3)/100,"")</f>
        <v>0</v>
      </c>
      <c r="AA29" s="43">
        <f ca="1">IFERROR(AVERAGEIFS(INDIRECT("Tabela1["&amp;$B29&amp;"]"),Tabela1[Data Corrigida],AA$3)/100,"")</f>
        <v>0</v>
      </c>
      <c r="AB29" s="43">
        <f ca="1">IFERROR(AVERAGEIFS(INDIRECT("Tabela1["&amp;$B29&amp;"]"),Tabela1[Data Corrigida],AB$3)/100,"")</f>
        <v>0</v>
      </c>
      <c r="AC29" s="43">
        <f ca="1">IFERROR(AVERAGEIFS(INDIRECT("Tabela1["&amp;$B29&amp;"]"),Tabela1[Data Corrigida],AC$3)/100,"")</f>
        <v>0</v>
      </c>
      <c r="AD29" s="43">
        <f ca="1">IFERROR(AVERAGEIFS(INDIRECT("Tabela1["&amp;$B29&amp;"]"),Tabela1[Data Corrigida],AD$3)/100,"")</f>
        <v>1.0416666666666667E-3</v>
      </c>
      <c r="AE29" s="43">
        <f ca="1">IFERROR(AVERAGEIFS(INDIRECT("Tabela1["&amp;$B29&amp;"]"),Tabela1[Data Corrigida],AE$3)/100,"")</f>
        <v>0</v>
      </c>
      <c r="AF29" s="43">
        <f ca="1">IFERROR(AVERAGEIFS(INDIRECT("Tabela1["&amp;$B29&amp;"]"),Tabela1[Data Corrigida],AF$3)/100,"")</f>
        <v>0</v>
      </c>
      <c r="AG29" s="43">
        <f ca="1">IFERROR(AVERAGEIFS(INDIRECT("Tabela1["&amp;$B29&amp;"]"),Tabela1[Data Corrigida],AG$3)/100,"")</f>
        <v>0</v>
      </c>
      <c r="AH29" s="43">
        <f ca="1">IFERROR(AVERAGEIFS(INDIRECT("Tabela1["&amp;$B29&amp;"]"),Tabela1[Data Corrigida],AH$3)/100,"")</f>
        <v>0</v>
      </c>
      <c r="AI29" s="43">
        <f ca="1">IFERROR(AVERAGEIFS(INDIRECT("Tabela1["&amp;$B29&amp;"]"),Tabela1[Data Corrigida],AI$3)/100,"")</f>
        <v>1.0989010989010991E-3</v>
      </c>
      <c r="AJ29" s="43">
        <f ca="1">IFERROR(AVERAGEIFS(INDIRECT("Tabela1["&amp;$B29&amp;"]"),Tabela1[Data Corrigida],AJ$3)/100,"")</f>
        <v>0</v>
      </c>
      <c r="AK29" s="43">
        <f ca="1">IFERROR(AVERAGEIFS(INDIRECT("Tabela1["&amp;$B29&amp;"]"),Tabela1[Data Corrigida],AK$3)/100,"")</f>
        <v>0</v>
      </c>
      <c r="AL29" s="43">
        <f ca="1">IFERROR(AVERAGEIFS(INDIRECT("Tabela1["&amp;$B29&amp;"]"),Tabela1[Data Corrigida],AL$3)/100,"")</f>
        <v>1.0582010582010583E-3</v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58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1.1277139709713382E-2</v>
      </c>
      <c r="N30" s="34" t="str">
        <f ca="1">IFERROR(AVERAGEIFS(INDIRECT("Tabela1["&amp;$B30&amp;"]"),Tabela1[Turno],$D30,Tabela1[Mês],N$3)/100,"")</f>
        <v/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61">
        <v>0.02</v>
      </c>
      <c r="R30" s="33">
        <f ca="1">IFERROR(AVERAGEIFS(INDIRECT("Tabela1["&amp;$B30&amp;"]"),Tabela1[Turno],$D30,Tabela1[Data Corrigida],R$3)/100,"")</f>
        <v>1.4782007376185458E-2</v>
      </c>
      <c r="S30" s="34">
        <f ca="1">IFERROR(AVERAGEIFS(INDIRECT("Tabela1["&amp;$B30&amp;"]"),Tabela1[Turno],$D30,Tabela1[Data Corrigida],S$3)/100,"")</f>
        <v>6.5624999999999998E-3</v>
      </c>
      <c r="T30" s="34">
        <f ca="1">IFERROR(AVERAGEIFS(INDIRECT("Tabela1["&amp;$B30&amp;"]"),Tabela1[Turno],$D30,Tabela1[Data Corrigida],T$3)/100,"")</f>
        <v>1.6666666666666668E-3</v>
      </c>
      <c r="U30" s="34">
        <f ca="1">IFERROR(AVERAGEIFS(INDIRECT("Tabela1["&amp;$B30&amp;"]"),Tabela1[Turno],$D30,Tabela1[Data Corrigida],U$3)/100,"")</f>
        <v>3.1650641025641026E-3</v>
      </c>
      <c r="V30" s="34">
        <f ca="1">IFERROR(AVERAGEIFS(INDIRECT("Tabela1["&amp;$B30&amp;"]"),Tabela1[Turno],$D30,Tabela1[Data Corrigida],V$3)/100,"")</f>
        <v>7.1519795657726702E-3</v>
      </c>
      <c r="W30" s="34">
        <f ca="1">IFERROR(AVERAGEIFS(INDIRECT("Tabela1["&amp;$B30&amp;"]"),Tabela1[Turno],$D30,Tabela1[Data Corrigida],W$3)/100,"")</f>
        <v>8.278749718278116E-3</v>
      </c>
      <c r="X30" s="34">
        <f ca="1">IFERROR(AVERAGEIFS(INDIRECT("Tabela1["&amp;$B30&amp;"]"),Tabela1[Turno],$D30,Tabela1[Data Corrigida],X$3)/100,"")</f>
        <v>1.2720974677496418E-2</v>
      </c>
      <c r="Y30" s="34">
        <f ca="1">IFERROR(AVERAGEIFS(INDIRECT("Tabela1["&amp;$B30&amp;"]"),Tabela1[Turno],$D30,Tabela1[Data Corrigida],Y$3)/100,"")</f>
        <v>1.3678753102162258E-2</v>
      </c>
      <c r="Z30" s="34">
        <f ca="1">IFERROR(AVERAGEIFS(INDIRECT("Tabela1["&amp;$B30&amp;"]"),Tabela1[Turno],$D30,Tabela1[Data Corrigida],Z$3)/100,"")</f>
        <v>5.408653846153846E-3</v>
      </c>
      <c r="AA30" s="34">
        <f ca="1">IFERROR(AVERAGEIFS(INDIRECT("Tabela1["&amp;$B30&amp;"]"),Tabela1[Turno],$D30,Tabela1[Data Corrigida],AA$3)/100,"")</f>
        <v>4.7916666666666672E-3</v>
      </c>
      <c r="AB30" s="34">
        <f ca="1">IFERROR(AVERAGEIFS(INDIRECT("Tabela1["&amp;$B30&amp;"]"),Tabela1[Turno],$D30,Tabela1[Data Corrigida],AB$3)/100,"")</f>
        <v>1.2948717948717946E-2</v>
      </c>
      <c r="AC30" s="34">
        <f ca="1">IFERROR(AVERAGEIFS(INDIRECT("Tabela1["&amp;$B30&amp;"]"),Tabela1[Turno],$D30,Tabela1[Data Corrigida],AC$3)/100,"")</f>
        <v>1.3707069658546116E-2</v>
      </c>
      <c r="AD30" s="34">
        <f ca="1">IFERROR(AVERAGEIFS(INDIRECT("Tabela1["&amp;$B30&amp;"]"),Tabela1[Turno],$D30,Tabela1[Data Corrigida],AD$3)/100,"")</f>
        <v>1.7976190476190475E-2</v>
      </c>
      <c r="AE30" s="34">
        <f ca="1">IFERROR(AVERAGEIFS(INDIRECT("Tabela1["&amp;$B30&amp;"]"),Tabela1[Turno],$D30,Tabela1[Data Corrigida],AE$3)/100,"")</f>
        <v>7.8635132982959061E-3</v>
      </c>
      <c r="AF30" s="34">
        <f ca="1">IFERROR(AVERAGEIFS(INDIRECT("Tabela1["&amp;$B30&amp;"]"),Tabela1[Turno],$D30,Tabela1[Data Corrigida],AF$3)/100,"")</f>
        <v>1.7317985470938387E-2</v>
      </c>
      <c r="AG30" s="34">
        <f ca="1">IFERROR(AVERAGEIFS(INDIRECT("Tabela1["&amp;$B30&amp;"]"),Tabela1[Turno],$D30,Tabela1[Data Corrigida],AG$3)/100,"")</f>
        <v>1.4976430976430977E-2</v>
      </c>
      <c r="AH30" s="34">
        <f ca="1">IFERROR(AVERAGEIFS(INDIRECT("Tabela1["&amp;$B30&amp;"]"),Tabela1[Turno],$D30,Tabela1[Data Corrigida],AH$3)/100,"")</f>
        <v>1.1290606618403191E-2</v>
      </c>
      <c r="AI30" s="34">
        <f ca="1">IFERROR(AVERAGEIFS(INDIRECT("Tabela1["&amp;$B30&amp;"]"),Tabela1[Turno],$D30,Tabela1[Data Corrigida],AI$3)/100,"")</f>
        <v>2.9714151165528609E-2</v>
      </c>
      <c r="AJ30" s="34">
        <f ca="1">IFERROR(AVERAGEIFS(INDIRECT("Tabela1["&amp;$B30&amp;"]"),Tabela1[Turno],$D30,Tabela1[Data Corrigida],AJ$3)/100,"")</f>
        <v>8.5098866425349293E-3</v>
      </c>
      <c r="AK30" s="34">
        <f ca="1">IFERROR(AVERAGEIFS(INDIRECT("Tabela1["&amp;$B30&amp;"]"),Tabela1[Turno],$D30,Tabela1[Data Corrigida],AK$3)/100,"")</f>
        <v>1.6178652968036528E-2</v>
      </c>
      <c r="AL30" s="34">
        <f ca="1">IFERROR(AVERAGEIFS(INDIRECT("Tabela1["&amp;$B30&amp;"]"),Tabela1[Turno],$D30,Tabela1[Data Corrigida],AL$3)/100,"")</f>
        <v>9.8044756500310411E-3</v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59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8.4333465756653361E-3</v>
      </c>
      <c r="N31" s="36" t="str">
        <f ca="1">IFERROR(AVERAGEIFS(INDIRECT("Tabela1["&amp;$B31&amp;"]"),Tabela1[Turno],$D31,Tabela1[Mês],N$3)/100,"")</f>
        <v/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62"/>
      <c r="R31" s="35">
        <f ca="1">IFERROR(AVERAGEIFS(INDIRECT("Tabela1["&amp;$B31&amp;"]"),Tabela1[Turno],$D31,Tabela1[Data Corrigida],R$3)/100,"")</f>
        <v>8.205205887550809E-3</v>
      </c>
      <c r="S31" s="36">
        <f ca="1">IFERROR(AVERAGEIFS(INDIRECT("Tabela1["&amp;$B31&amp;"]"),Tabela1[Turno],$D31,Tabela1[Data Corrigida],S$3)/100,"")</f>
        <v>6.8322981366459633E-3</v>
      </c>
      <c r="T31" s="36">
        <f ca="1">IFERROR(AVERAGEIFS(INDIRECT("Tabela1["&amp;$B31&amp;"]"),Tabela1[Turno],$D31,Tabela1[Data Corrigida],T$3)/100,"")</f>
        <v>2.0703933747412005E-3</v>
      </c>
      <c r="U31" s="36">
        <f ca="1">IFERROR(AVERAGEIFS(INDIRECT("Tabela1["&amp;$B31&amp;"]"),Tabela1[Turno],$D31,Tabela1[Data Corrigida],U$3)/100,"")</f>
        <v>7.335710646968926E-3</v>
      </c>
      <c r="V31" s="36">
        <f ca="1">IFERROR(AVERAGEIFS(INDIRECT("Tabela1["&amp;$B31&amp;"]"),Tabela1[Turno],$D31,Tabela1[Data Corrigida],V$3)/100,"")</f>
        <v>4.3692439494538446E-3</v>
      </c>
      <c r="W31" s="36">
        <f ca="1">IFERROR(AVERAGEIFS(INDIRECT("Tabela1["&amp;$B31&amp;"]"),Tabela1[Turno],$D31,Tabela1[Data Corrigida],W$3)/100,"")</f>
        <v>4.8629531388152073E-3</v>
      </c>
      <c r="X31" s="36">
        <f ca="1">IFERROR(AVERAGEIFS(INDIRECT("Tabela1["&amp;$B31&amp;"]"),Tabela1[Turno],$D31,Tabela1[Data Corrigida],X$3)/100,"")</f>
        <v>6.7048893135849665E-3</v>
      </c>
      <c r="Y31" s="36">
        <f ca="1">IFERROR(AVERAGEIFS(INDIRECT("Tabela1["&amp;$B31&amp;"]"),Tabela1[Turno],$D31,Tabela1[Data Corrigida],Y$3)/100,"")</f>
        <v>1.1889461108060375E-2</v>
      </c>
      <c r="Z31" s="36">
        <f ca="1">IFERROR(AVERAGEIFS(INDIRECT("Tabela1["&amp;$B31&amp;"]"),Tabela1[Turno],$D31,Tabela1[Data Corrigida],Z$3)/100,"")</f>
        <v>7.218475267009139E-3</v>
      </c>
      <c r="AA31" s="36">
        <f ca="1">IFERROR(AVERAGEIFS(INDIRECT("Tabela1["&amp;$B31&amp;"]"),Tabela1[Turno],$D31,Tabela1[Data Corrigida],AA$3)/100,"")</f>
        <v>5.1282051282051291E-3</v>
      </c>
      <c r="AB31" s="36">
        <f ca="1">IFERROR(AVERAGEIFS(INDIRECT("Tabela1["&amp;$B31&amp;"]"),Tabela1[Turno],$D31,Tabela1[Data Corrigida],AB$3)/100,"")</f>
        <v>6.7841645576653987E-3</v>
      </c>
      <c r="AC31" s="36">
        <f ca="1">IFERROR(AVERAGEIFS(INDIRECT("Tabela1["&amp;$B31&amp;"]"),Tabela1[Turno],$D31,Tabela1[Data Corrigida],AC$3)/100,"")</f>
        <v>7.6923076923076927E-3</v>
      </c>
      <c r="AD31" s="36">
        <f ca="1">IFERROR(AVERAGEIFS(INDIRECT("Tabela1["&amp;$B31&amp;"]"),Tabela1[Turno],$D31,Tabela1[Data Corrigida],AD$3)/100,"")</f>
        <v>4.6344959388437655E-3</v>
      </c>
      <c r="AE31" s="36">
        <f ca="1">IFERROR(AVERAGEIFS(INDIRECT("Tabela1["&amp;$B31&amp;"]"),Tabela1[Turno],$D31,Tabela1[Data Corrigida],AE$3)/100,"")</f>
        <v>8.0554587351380665E-3</v>
      </c>
      <c r="AF31" s="36">
        <f ca="1">IFERROR(AVERAGEIFS(INDIRECT("Tabela1["&amp;$B31&amp;"]"),Tabela1[Turno],$D31,Tabela1[Data Corrigida],AF$3)/100,"")</f>
        <v>8.8300220750551876E-3</v>
      </c>
      <c r="AG31" s="36">
        <f ca="1">IFERROR(AVERAGEIFS(INDIRECT("Tabela1["&amp;$B31&amp;"]"),Tabela1[Turno],$D31,Tabela1[Data Corrigida],AG$3)/100,"")</f>
        <v>1.7699436483392204E-2</v>
      </c>
      <c r="AH31" s="36">
        <f ca="1">IFERROR(AVERAGEIFS(INDIRECT("Tabela1["&amp;$B31&amp;"]"),Tabela1[Turno],$D31,Tabela1[Data Corrigida],AH$3)/100,"")</f>
        <v>6.48100979226807E-3</v>
      </c>
      <c r="AI31" s="36">
        <f ca="1">IFERROR(AVERAGEIFS(INDIRECT("Tabela1["&amp;$B31&amp;"]"),Tabela1[Turno],$D31,Tabela1[Data Corrigida],AI$3)/100,"")</f>
        <v>5.5944055944055944E-3</v>
      </c>
      <c r="AJ31" s="36">
        <f ca="1">IFERROR(AVERAGEIFS(INDIRECT("Tabela1["&amp;$B31&amp;"]"),Tabela1[Turno],$D31,Tabela1[Data Corrigida],AJ$3)/100,"")</f>
        <v>1.9363117161686233E-2</v>
      </c>
      <c r="AK31" s="36">
        <f ca="1">IFERROR(AVERAGEIFS(INDIRECT("Tabela1["&amp;$B31&amp;"]"),Tabela1[Turno],$D31,Tabela1[Data Corrigida],AK$3)/100,"")</f>
        <v>1.255373165745481E-2</v>
      </c>
      <c r="AL31" s="36">
        <f ca="1">IFERROR(AVERAGEIFS(INDIRECT("Tabela1["&amp;$B31&amp;"]"),Tabela1[Turno],$D31,Tabela1[Data Corrigida],AL$3)/100,"")</f>
        <v>1.4795292449719491E-2</v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0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1.0050023494336481E-2</v>
      </c>
      <c r="N32" s="45" t="str">
        <f ca="1">IFERROR(AVERAGEIFS(INDIRECT("Tabela1["&amp;$B32&amp;"]"),Tabela1[Mês],N$3)/100,"")</f>
        <v/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3"/>
      <c r="R32" s="37">
        <f ca="1">IFERROR(AVERAGEIFS(INDIRECT("Tabela1["&amp;$B32&amp;"]"),Tabela1[Data Corrigida],R$3)/100,"")</f>
        <v>1.1963378166770606E-2</v>
      </c>
      <c r="S32" s="38">
        <f ca="1">IFERROR(AVERAGEIFS(INDIRECT("Tabela1["&amp;$B32&amp;"]"),Tabela1[Data Corrigida],S$3)/100,"")</f>
        <v>6.6781277728482705E-3</v>
      </c>
      <c r="T32" s="38">
        <f ca="1">IFERROR(AVERAGEIFS(INDIRECT("Tabela1["&amp;$B32&amp;"]"),Tabela1[Data Corrigida],T$3)/100,"")</f>
        <v>1.8396923986986099E-3</v>
      </c>
      <c r="U32" s="38">
        <f ca="1">IFERROR(AVERAGEIFS(INDIRECT("Tabela1["&amp;$B32&amp;"]"),Tabela1[Data Corrigida],U$3)/100,"")</f>
        <v>4.952484050166169E-3</v>
      </c>
      <c r="V32" s="38">
        <f ca="1">IFERROR(AVERAGEIFS(INDIRECT("Tabela1["&amp;$B32&amp;"]"),Tabela1[Data Corrigida],V$3)/100,"")</f>
        <v>5.9593785873503155E-3</v>
      </c>
      <c r="W32" s="38">
        <f ca="1">IFERROR(AVERAGEIFS(INDIRECT("Tabela1["&amp;$B32&amp;"]"),Tabela1[Data Corrigida],W$3)/100,"")</f>
        <v>6.8148368985082985E-3</v>
      </c>
      <c r="X32" s="38">
        <f ca="1">IFERROR(AVERAGEIFS(INDIRECT("Tabela1["&amp;$B32&amp;"]"),Tabela1[Data Corrigida],X$3)/100,"")</f>
        <v>1.0142652378677224E-2</v>
      </c>
      <c r="Y32" s="38">
        <f ca="1">IFERROR(AVERAGEIFS(INDIRECT("Tabela1["&amp;$B32&amp;"]"),Tabela1[Data Corrigida],Y$3)/100,"")</f>
        <v>1.2911913676118594E-2</v>
      </c>
      <c r="Z32" s="38">
        <f ca="1">IFERROR(AVERAGEIFS(INDIRECT("Tabela1["&amp;$B32&amp;"]"),Tabela1[Data Corrigida],Z$3)/100,"")</f>
        <v>6.1842915979489722E-3</v>
      </c>
      <c r="AA32" s="38">
        <f ca="1">IFERROR(AVERAGEIFS(INDIRECT("Tabela1["&amp;$B32&amp;"]"),Tabela1[Data Corrigida],AA$3)/100,"")</f>
        <v>4.9358974358974361E-3</v>
      </c>
      <c r="AB32" s="38">
        <f ca="1">IFERROR(AVERAGEIFS(INDIRECT("Tabela1["&amp;$B32&amp;"]"),Tabela1[Data Corrigida],AB$3)/100,"")</f>
        <v>1.0306766495409712E-2</v>
      </c>
      <c r="AC32" s="38">
        <f ca="1">IFERROR(AVERAGEIFS(INDIRECT("Tabela1["&amp;$B32&amp;"]"),Tabela1[Data Corrigida],AC$3)/100,"")</f>
        <v>1.1129314530158221E-2</v>
      </c>
      <c r="AD32" s="38">
        <f ca="1">IFERROR(AVERAGEIFS(INDIRECT("Tabela1["&amp;$B32&amp;"]"),Tabela1[Data Corrigida],AD$3)/100,"")</f>
        <v>1.130534320751712E-2</v>
      </c>
      <c r="AE32" s="38">
        <f ca="1">IFERROR(AVERAGEIFS(INDIRECT("Tabela1["&amp;$B32&amp;"]"),Tabela1[Data Corrigida],AE$3)/100,"")</f>
        <v>7.945775628371116E-3</v>
      </c>
      <c r="AF32" s="38">
        <f ca="1">IFERROR(AVERAGEIFS(INDIRECT("Tabela1["&amp;$B32&amp;"]"),Tabela1[Data Corrigida],AF$3)/100,"")</f>
        <v>1.3680286872702731E-2</v>
      </c>
      <c r="AG32" s="38">
        <f ca="1">IFERROR(AVERAGEIFS(INDIRECT("Tabela1["&amp;$B32&amp;"]"),Tabela1[Data Corrigida],AG$3)/100,"")</f>
        <v>1.6143433336557215E-2</v>
      </c>
      <c r="AH32" s="38">
        <f ca="1">IFERROR(AVERAGEIFS(INDIRECT("Tabela1["&amp;$B32&amp;"]"),Tabela1[Data Corrigida],AH$3)/100,"")</f>
        <v>9.2293508357738537E-3</v>
      </c>
      <c r="AI32" s="38">
        <f ca="1">IFERROR(AVERAGEIFS(INDIRECT("Tabela1["&amp;$B32&amp;"]"),Tabela1[Data Corrigida],AI$3)/100,"")</f>
        <v>1.9377117349333031E-2</v>
      </c>
      <c r="AJ32" s="38">
        <f ca="1">IFERROR(AVERAGEIFS(INDIRECT("Tabela1["&amp;$B32&amp;"]"),Tabela1[Data Corrigida],AJ$3)/100,"")</f>
        <v>1.3161271150742631E-2</v>
      </c>
      <c r="AK32" s="38">
        <f ca="1">IFERROR(AVERAGEIFS(INDIRECT("Tabela1["&amp;$B32&amp;"]"),Tabela1[Data Corrigida],AK$3)/100,"")</f>
        <v>1.4625115263501506E-2</v>
      </c>
      <c r="AL32" s="38">
        <f ca="1">IFERROR(AVERAGEIFS(INDIRECT("Tabela1["&amp;$B32&amp;"]"),Tabela1[Data Corrigida],AL$3)/100,"")</f>
        <v>1.1943397135611804E-2</v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58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4.0589337497278243E-2</v>
      </c>
      <c r="N33" s="34" t="str">
        <f ca="1">IFERROR(AVERAGEIFS(INDIRECT("Tabela1["&amp;$B33&amp;"]"),Tabela1[Turno],$D33,Tabela1[Mês],N$3)/100,"")</f>
        <v/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61">
        <v>0.02</v>
      </c>
      <c r="R33" s="39">
        <f ca="1">IFERROR(AVERAGEIFS(INDIRECT("Tabela1["&amp;$B33&amp;"]"),Tabela1[Turno],$D33,Tabela1[Data Corrigida],R$3)/100,"")</f>
        <v>4.7620850895679662E-2</v>
      </c>
      <c r="S33" s="40">
        <f ca="1">IFERROR(AVERAGEIFS(INDIRECT("Tabela1["&amp;$B33&amp;"]"),Tabela1[Turno],$D33,Tabela1[Data Corrigida],S$3)/100,"")</f>
        <v>3.8645833333333338E-2</v>
      </c>
      <c r="T33" s="40">
        <f ca="1">IFERROR(AVERAGEIFS(INDIRECT("Tabela1["&amp;$B33&amp;"]"),Tabela1[Turno],$D33,Tabela1[Data Corrigida],T$3)/100,"")</f>
        <v>3.3333333333333333E-2</v>
      </c>
      <c r="U33" s="40">
        <f ca="1">IFERROR(AVERAGEIFS(INDIRECT("Tabela1["&amp;$B33&amp;"]"),Tabela1[Turno],$D33,Tabela1[Data Corrigida],U$3)/100,"")</f>
        <v>2.1057692307692309E-2</v>
      </c>
      <c r="V33" s="40">
        <f ca="1">IFERROR(AVERAGEIFS(INDIRECT("Tabela1["&amp;$B33&amp;"]"),Tabela1[Turno],$D33,Tabela1[Data Corrigida],V$3)/100,"")</f>
        <v>2.2394636015325674E-2</v>
      </c>
      <c r="W33" s="40">
        <f ca="1">IFERROR(AVERAGEIFS(INDIRECT("Tabela1["&amp;$B33&amp;"]"),Tabela1[Turno],$D33,Tabela1[Data Corrigida],W$3)/100,"")</f>
        <v>3.1571162947937798E-2</v>
      </c>
      <c r="X33" s="40">
        <f ca="1">IFERROR(AVERAGEIFS(INDIRECT("Tabela1["&amp;$B33&amp;"]"),Tabela1[Turno],$D33,Tabela1[Data Corrigida],X$3)/100,"")</f>
        <v>3.5007564898869248E-2</v>
      </c>
      <c r="Y33" s="40">
        <f ca="1">IFERROR(AVERAGEIFS(INDIRECT("Tabela1["&amp;$B33&amp;"]"),Tabela1[Turno],$D33,Tabela1[Data Corrigida],Y$3)/100,"")</f>
        <v>4.6745369037335643E-2</v>
      </c>
      <c r="Z33" s="40">
        <f ca="1">IFERROR(AVERAGEIFS(INDIRECT("Tabela1["&amp;$B33&amp;"]"),Tabela1[Turno],$D33,Tabela1[Data Corrigida],Z$3)/100,"")</f>
        <v>5.0155086848635226E-2</v>
      </c>
      <c r="AA33" s="40">
        <f ca="1">IFERROR(AVERAGEIFS(INDIRECT("Tabela1["&amp;$B33&amp;"]"),Tabela1[Turno],$D33,Tabela1[Data Corrigida],AA$3)/100,"")</f>
        <v>3.875E-2</v>
      </c>
      <c r="AB33" s="40">
        <f ca="1">IFERROR(AVERAGEIFS(INDIRECT("Tabela1["&amp;$B33&amp;"]"),Tabela1[Turno],$D33,Tabela1[Data Corrigida],AB$3)/100,"")</f>
        <v>4.3653846153846147E-2</v>
      </c>
      <c r="AC33" s="40">
        <f ca="1">IFERROR(AVERAGEIFS(INDIRECT("Tabela1["&amp;$B33&amp;"]"),Tabela1[Turno],$D33,Tabela1[Data Corrigida],AC$3)/100,"")</f>
        <v>3.9141432424510986E-2</v>
      </c>
      <c r="AD33" s="40">
        <f ca="1">IFERROR(AVERAGEIFS(INDIRECT("Tabela1["&amp;$B33&amp;"]"),Tabela1[Turno],$D33,Tabela1[Data Corrigida],AD$3)/100,"")</f>
        <v>4.4722222222222226E-2</v>
      </c>
      <c r="AE33" s="40">
        <f ca="1">IFERROR(AVERAGEIFS(INDIRECT("Tabela1["&amp;$B33&amp;"]"),Tabela1[Turno],$D33,Tabela1[Data Corrigida],AE$3)/100,"")</f>
        <v>4.4908026755852842E-2</v>
      </c>
      <c r="AF33" s="40">
        <f ca="1">IFERROR(AVERAGEIFS(INDIRECT("Tabela1["&amp;$B33&amp;"]"),Tabela1[Turno],$D33,Tabela1[Data Corrigida],AF$3)/100,"")</f>
        <v>5.3706934451740768E-2</v>
      </c>
      <c r="AG33" s="40">
        <f ca="1">IFERROR(AVERAGEIFS(INDIRECT("Tabela1["&amp;$B33&amp;"]"),Tabela1[Turno],$D33,Tabela1[Data Corrigida],AG$3)/100,"")</f>
        <v>4.6747474747474753E-2</v>
      </c>
      <c r="AH33" s="40">
        <f ca="1">IFERROR(AVERAGEIFS(INDIRECT("Tabela1["&amp;$B33&amp;"]"),Tabela1[Turno],$D33,Tabela1[Data Corrigida],AH$3)/100,"")</f>
        <v>4.012181985520958E-2</v>
      </c>
      <c r="AI33" s="40">
        <f ca="1">IFERROR(AVERAGEIFS(INDIRECT("Tabela1["&amp;$B33&amp;"]"),Tabela1[Turno],$D33,Tabela1[Data Corrigida],AI$3)/100,"")</f>
        <v>6.7402754885801747E-2</v>
      </c>
      <c r="AJ33" s="40">
        <f ca="1">IFERROR(AVERAGEIFS(INDIRECT("Tabela1["&amp;$B33&amp;"]"),Tabela1[Turno],$D33,Tabela1[Data Corrigida],AJ$3)/100,"")</f>
        <v>3.3843583323049924E-2</v>
      </c>
      <c r="AK33" s="40">
        <f ca="1">IFERROR(AVERAGEIFS(INDIRECT("Tabela1["&amp;$B33&amp;"]"),Tabela1[Turno],$D33,Tabela1[Data Corrigida],AK$3)/100,"")</f>
        <v>4.0482305936073056E-2</v>
      </c>
      <c r="AL33" s="40">
        <f ca="1">IFERROR(AVERAGEIFS(INDIRECT("Tabela1["&amp;$B33&amp;"]"),Tabela1[Turno],$D33,Tabela1[Data Corrigida],AL$3)/100,"")</f>
        <v>3.3397378250155201E-2</v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59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1.5577655859850255E-2</v>
      </c>
      <c r="N34" s="36" t="str">
        <f ca="1">IFERROR(AVERAGEIFS(INDIRECT("Tabela1["&amp;$B34&amp;"]"),Tabela1[Turno],$D34,Tabela1[Mês],N$3)/100,"")</f>
        <v/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62"/>
      <c r="R34" s="35">
        <f ca="1">IFERROR(AVERAGEIFS(INDIRECT("Tabela1["&amp;$B34&amp;"]"),Tabela1[Turno],$D34,Tabela1[Data Corrigida],R$3)/100,"")</f>
        <v>2.1508279142907635E-2</v>
      </c>
      <c r="S34" s="36">
        <f ca="1">IFERROR(AVERAGEIFS(INDIRECT("Tabela1["&amp;$B34&amp;"]"),Tabela1[Turno],$D34,Tabela1[Data Corrigida],S$3)/100,"")</f>
        <v>9.3650793650793644E-3</v>
      </c>
      <c r="T34" s="36">
        <f ca="1">IFERROR(AVERAGEIFS(INDIRECT("Tabela1["&amp;$B34&amp;"]"),Tabela1[Turno],$D34,Tabela1[Data Corrigida],T$3)/100,"")</f>
        <v>1.0973084886128364E-2</v>
      </c>
      <c r="U34" s="36">
        <f ca="1">IFERROR(AVERAGEIFS(INDIRECT("Tabela1["&amp;$B34&amp;"]"),Tabela1[Turno],$D34,Tabela1[Data Corrigida],U$3)/100,"")</f>
        <v>1.4671421293937852E-2</v>
      </c>
      <c r="V34" s="36">
        <f ca="1">IFERROR(AVERAGEIFS(INDIRECT("Tabela1["&amp;$B34&amp;"]"),Tabela1[Turno],$D34,Tabela1[Data Corrigida],V$3)/100,"")</f>
        <v>9.268991877687531E-3</v>
      </c>
      <c r="W34" s="36">
        <f ca="1">IFERROR(AVERAGEIFS(INDIRECT("Tabela1["&amp;$B34&amp;"]"),Tabela1[Turno],$D34,Tabela1[Data Corrigida],W$3)/100,"")</f>
        <v>1.6439767889870654E-2</v>
      </c>
      <c r="X34" s="36">
        <f ca="1">IFERROR(AVERAGEIFS(INDIRECT("Tabela1["&amp;$B34&amp;"]"),Tabela1[Turno],$D34,Tabela1[Data Corrigida],X$3)/100,"")</f>
        <v>1.1339385252428731E-2</v>
      </c>
      <c r="Y34" s="36">
        <f ca="1">IFERROR(AVERAGEIFS(INDIRECT("Tabela1["&amp;$B34&amp;"]"),Tabela1[Turno],$D34,Tabela1[Data Corrigida],Y$3)/100,"")</f>
        <v>2.1367191558200625E-2</v>
      </c>
      <c r="Z34" s="36">
        <f ca="1">IFERROR(AVERAGEIFS(INDIRECT("Tabela1["&amp;$B34&amp;"]"),Tabela1[Turno],$D34,Tabela1[Data Corrigida],Z$3)/100,"")</f>
        <v>1.8577737283500682E-2</v>
      </c>
      <c r="AA34" s="36">
        <f ca="1">IFERROR(AVERAGEIFS(INDIRECT("Tabela1["&amp;$B34&amp;"]"),Tabela1[Turno],$D34,Tabela1[Data Corrigida],AA$3)/100,"")</f>
        <v>1.5384615384615385E-2</v>
      </c>
      <c r="AB34" s="36">
        <f ca="1">IFERROR(AVERAGEIFS(INDIRECT("Tabela1["&amp;$B34&amp;"]"),Tabela1[Turno],$D34,Tabela1[Data Corrigida],AB$3)/100,"")</f>
        <v>1.5775834634094595E-2</v>
      </c>
      <c r="AC34" s="36">
        <f ca="1">IFERROR(AVERAGEIFS(INDIRECT("Tabela1["&amp;$B34&amp;"]"),Tabela1[Turno],$D34,Tabela1[Data Corrigida],AC$3)/100,"")</f>
        <v>1.3654956789968231E-2</v>
      </c>
      <c r="AD34" s="36">
        <f ca="1">IFERROR(AVERAGEIFS(INDIRECT("Tabela1["&amp;$B34&amp;"]"),Tabela1[Turno],$D34,Tabela1[Data Corrigida],AD$3)/100,"")</f>
        <v>1.6399304487452197E-2</v>
      </c>
      <c r="AE34" s="36">
        <f ca="1">IFERROR(AVERAGEIFS(INDIRECT("Tabela1["&amp;$B34&amp;"]"),Tabela1[Turno],$D34,Tabela1[Data Corrigida],AE$3)/100,"")</f>
        <v>1.539116938210699E-2</v>
      </c>
      <c r="AF34" s="36">
        <f ca="1">IFERROR(AVERAGEIFS(INDIRECT("Tabela1["&amp;$B34&amp;"]"),Tabela1[Turno],$D34,Tabela1[Data Corrigida],AF$3)/100,"")</f>
        <v>1.9867549668874173E-2</v>
      </c>
      <c r="AG34" s="36">
        <f ca="1">IFERROR(AVERAGEIFS(INDIRECT("Tabela1["&amp;$B34&amp;"]"),Tabela1[Turno],$D34,Tabela1[Data Corrigida],AG$3)/100,"")</f>
        <v>1.1689899730985571E-2</v>
      </c>
      <c r="AH34" s="36">
        <f ca="1">IFERROR(AVERAGEIFS(INDIRECT("Tabela1["&amp;$B34&amp;"]"),Tabela1[Turno],$D34,Tabela1[Data Corrigida],AH$3)/100,"")</f>
        <v>1.3816720439236995E-2</v>
      </c>
      <c r="AI34" s="36">
        <f ca="1">IFERROR(AVERAGEIFS(INDIRECT("Tabela1["&amp;$B34&amp;"]"),Tabela1[Turno],$D34,Tabela1[Data Corrigida],AI$3)/100,"")</f>
        <v>1.540822047151161E-2</v>
      </c>
      <c r="AJ34" s="36">
        <f ca="1">IFERROR(AVERAGEIFS(INDIRECT("Tabela1["&amp;$B34&amp;"]"),Tabela1[Turno],$D34,Tabela1[Data Corrigida],AJ$3)/100,"")</f>
        <v>1.9778203817829573E-2</v>
      </c>
      <c r="AK34" s="36">
        <f ca="1">IFERROR(AVERAGEIFS(INDIRECT("Tabela1["&amp;$B34&amp;"]"),Tabela1[Turno],$D34,Tabela1[Data Corrigida],AK$3)/100,"")</f>
        <v>1.6825889815944819E-2</v>
      </c>
      <c r="AL34" s="36">
        <f ca="1">IFERROR(AVERAGEIFS(INDIRECT("Tabela1["&amp;$B34&amp;"]"),Tabela1[Turno],$D34,Tabela1[Data Corrigida],AL$3)/100,"")</f>
        <v>1.9627469884493785E-2</v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0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2.9796625557840142E-2</v>
      </c>
      <c r="N35" s="45" t="str">
        <f ca="1">IFERROR(AVERAGEIFS(INDIRECT("Tabela1["&amp;$B35&amp;"]"),Tabela1[Mês],N$3)/100,"")</f>
        <v/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3"/>
      <c r="R35" s="42">
        <f ca="1">IFERROR(AVERAGEIFS(INDIRECT("Tabela1["&amp;$B35&amp;"]"),Tabela1[Data Corrigida],R$3)/100,"")</f>
        <v>3.6429748715920217E-2</v>
      </c>
      <c r="S35" s="43">
        <f ca="1">IFERROR(AVERAGEIFS(INDIRECT("Tabela1["&amp;$B35&amp;"]"),Tabela1[Data Corrigida],S$3)/100,"")</f>
        <v>2.6096938775510205E-2</v>
      </c>
      <c r="T35" s="43">
        <f ca="1">IFERROR(AVERAGEIFS(INDIRECT("Tabela1["&amp;$B35&amp;"]"),Tabela1[Data Corrigida],T$3)/100,"")</f>
        <v>2.3750369713102629E-2</v>
      </c>
      <c r="U35" s="43">
        <f ca="1">IFERROR(AVERAGEIFS(INDIRECT("Tabela1["&amp;$B35&amp;"]"),Tabela1[Data Corrigida],U$3)/100,"")</f>
        <v>1.8320719016083255E-2</v>
      </c>
      <c r="V35" s="43">
        <f ca="1">IFERROR(AVERAGEIFS(INDIRECT("Tabela1["&amp;$B35&amp;"]"),Tabela1[Data Corrigida],V$3)/100,"")</f>
        <v>1.6769359956337895E-2</v>
      </c>
      <c r="W35" s="43">
        <f ca="1">IFERROR(AVERAGEIFS(INDIRECT("Tabela1["&amp;$B35&amp;"]"),Tabela1[Data Corrigida],W$3)/100,"")</f>
        <v>2.5086279351623303E-2</v>
      </c>
      <c r="X35" s="43">
        <f ca="1">IFERROR(AVERAGEIFS(INDIRECT("Tabela1["&amp;$B35&amp;"]"),Tabela1[Data Corrigida],X$3)/100,"")</f>
        <v>2.4864059336109027E-2</v>
      </c>
      <c r="Y35" s="43">
        <f ca="1">IFERROR(AVERAGEIFS(INDIRECT("Tabela1["&amp;$B35&amp;"]"),Tabela1[Data Corrigida],Y$3)/100,"")</f>
        <v>3.5869007260563496E-2</v>
      </c>
      <c r="Z35" s="43">
        <f ca="1">IFERROR(AVERAGEIFS(INDIRECT("Tabela1["&amp;$B35&amp;"]"),Tabela1[Data Corrigida],Z$3)/100,"")</f>
        <v>3.6621937035006137E-2</v>
      </c>
      <c r="AA35" s="43">
        <f ca="1">IFERROR(AVERAGEIFS(INDIRECT("Tabela1["&amp;$B35&amp;"]"),Tabela1[Data Corrigida],AA$3)/100,"")</f>
        <v>2.8736263736263735E-2</v>
      </c>
      <c r="AB35" s="43">
        <f ca="1">IFERROR(AVERAGEIFS(INDIRECT("Tabela1["&amp;$B35&amp;"]"),Tabela1[Data Corrigida],AB$3)/100,"")</f>
        <v>3.1706126931095494E-2</v>
      </c>
      <c r="AC35" s="43">
        <f ca="1">IFERROR(AVERAGEIFS(INDIRECT("Tabela1["&amp;$B35&amp;"]"),Tabela1[Data Corrigida],AC$3)/100,"")</f>
        <v>2.8218657152564091E-2</v>
      </c>
      <c r="AD35" s="43">
        <f ca="1">IFERROR(AVERAGEIFS(INDIRECT("Tabela1["&amp;$B35&amp;"]"),Tabela1[Data Corrigida],AD$3)/100,"")</f>
        <v>3.0560763354837213E-2</v>
      </c>
      <c r="AE35" s="43">
        <f ca="1">IFERROR(AVERAGEIFS(INDIRECT("Tabela1["&amp;$B35&amp;"]"),Tabela1[Data Corrigida],AE$3)/100,"")</f>
        <v>3.2257945024247475E-2</v>
      </c>
      <c r="AF35" s="43">
        <f ca="1">IFERROR(AVERAGEIFS(INDIRECT("Tabela1["&amp;$B35&amp;"]"),Tabela1[Data Corrigida],AF$3)/100,"")</f>
        <v>3.9204340973369368E-2</v>
      </c>
      <c r="AG35" s="43">
        <f ca="1">IFERROR(AVERAGEIFS(INDIRECT("Tabela1["&amp;$B35&amp;"]"),Tabela1[Data Corrigida],AG$3)/100,"")</f>
        <v>3.1722799740407953E-2</v>
      </c>
      <c r="AH35" s="43">
        <f ca="1">IFERROR(AVERAGEIFS(INDIRECT("Tabela1["&amp;$B35&amp;"]"),Tabela1[Data Corrigida],AH$3)/100,"")</f>
        <v>2.884820581979276E-2</v>
      </c>
      <c r="AI35" s="43">
        <f ca="1">IFERROR(AVERAGEIFS(INDIRECT("Tabela1["&amp;$B35&amp;"]"),Tabela1[Data Corrigida],AI$3)/100,"")</f>
        <v>4.5119382993963113E-2</v>
      </c>
      <c r="AJ35" s="43">
        <f ca="1">IFERROR(AVERAGEIFS(INDIRECT("Tabela1["&amp;$B35&amp;"]"),Tabela1[Data Corrigida],AJ$3)/100,"")</f>
        <v>2.7815563535098346E-2</v>
      </c>
      <c r="AK35" s="43">
        <f ca="1">IFERROR(AVERAGEIFS(INDIRECT("Tabela1["&amp;$B35&amp;"]"),Tabela1[Data Corrigida],AK$3)/100,"")</f>
        <v>3.034384188458953E-2</v>
      </c>
      <c r="AL35" s="43">
        <f ca="1">IFERROR(AVERAGEIFS(INDIRECT("Tabela1["&amp;$B35&amp;"]"),Tabela1[Data Corrigida],AL$3)/100,"")</f>
        <v>2.7495988950586015E-2</v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58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2.6255454648916543E-2</v>
      </c>
      <c r="N36" s="34" t="str">
        <f ca="1">IFERROR(AVERAGEIFS(INDIRECT("Tabela1["&amp;$B36&amp;"]"),Tabela1[Turno],$D36,Tabela1[Mês],N$3)/100,"")</f>
        <v/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61">
        <v>0.02</v>
      </c>
      <c r="R36" s="33">
        <f ca="1">IFERROR(AVERAGEIFS(INDIRECT("Tabela1["&amp;$B36&amp;"]"),Tabela1[Turno],$D36,Tabela1[Data Corrigida],R$3)/100,"")</f>
        <v>9.8645504039339658E-3</v>
      </c>
      <c r="S36" s="34">
        <f ca="1">IFERROR(AVERAGEIFS(INDIRECT("Tabela1["&amp;$B36&amp;"]"),Tabela1[Turno],$D36,Tabela1[Data Corrigida],S$3)/100,"")</f>
        <v>9.5833333333333343E-3</v>
      </c>
      <c r="T36" s="34">
        <f ca="1">IFERROR(AVERAGEIFS(INDIRECT("Tabela1["&amp;$B36&amp;"]"),Tabela1[Turno],$D36,Tabela1[Data Corrigida],T$3)/100,"")</f>
        <v>1.2812499999999999E-2</v>
      </c>
      <c r="U36" s="34">
        <f ca="1">IFERROR(AVERAGEIFS(INDIRECT("Tabela1["&amp;$B36&amp;"]"),Tabela1[Turno],$D36,Tabela1[Data Corrigida],U$3)/100,"")</f>
        <v>1.2828525641025643E-2</v>
      </c>
      <c r="V36" s="34">
        <f ca="1">IFERROR(AVERAGEIFS(INDIRECT("Tabela1["&amp;$B36&amp;"]"),Tabela1[Turno],$D36,Tabela1[Data Corrigida],V$3)/100,"")</f>
        <v>1.554278416347382E-2</v>
      </c>
      <c r="W36" s="34">
        <f ca="1">IFERROR(AVERAGEIFS(INDIRECT("Tabela1["&amp;$B36&amp;"]"),Tabela1[Turno],$D36,Tabela1[Data Corrigida],W$3)/100,"")</f>
        <v>1.821015043948614E-2</v>
      </c>
      <c r="X36" s="34">
        <f ca="1">IFERROR(AVERAGEIFS(INDIRECT("Tabela1["&amp;$B36&amp;"]"),Tabela1[Turno],$D36,Tabela1[Data Corrigida],X$3)/100,"")</f>
        <v>1.7478897913680524E-2</v>
      </c>
      <c r="Y36" s="34">
        <f ca="1">IFERROR(AVERAGEIFS(INDIRECT("Tabela1["&amp;$B36&amp;"]"),Tabela1[Turno],$D36,Tabela1[Data Corrigida],Y$3)/100,"")</f>
        <v>3.0566615935173382E-2</v>
      </c>
      <c r="Z36" s="34">
        <f ca="1">IFERROR(AVERAGEIFS(INDIRECT("Tabela1["&amp;$B36&amp;"]"),Tabela1[Turno],$D36,Tabela1[Data Corrigida],Z$3)/100,"")</f>
        <v>4.3393300248138963E-2</v>
      </c>
      <c r="AA36" s="34">
        <f ca="1">IFERROR(AVERAGEIFS(INDIRECT("Tabela1["&amp;$B36&amp;"]"),Tabela1[Turno],$D36,Tabela1[Data Corrigida],AA$3)/100,"")</f>
        <v>2.9270833333333336E-2</v>
      </c>
      <c r="AB36" s="34">
        <f ca="1">IFERROR(AVERAGEIFS(INDIRECT("Tabela1["&amp;$B36&amp;"]"),Tabela1[Turno],$D36,Tabela1[Data Corrigida],AB$3)/100,"")</f>
        <v>3.2179487179487175E-2</v>
      </c>
      <c r="AC36" s="34">
        <f ca="1">IFERROR(AVERAGEIFS(INDIRECT("Tabela1["&amp;$B36&amp;"]"),Tabela1[Turno],$D36,Tabela1[Data Corrigida],AC$3)/100,"")</f>
        <v>2.9547964396122794E-2</v>
      </c>
      <c r="AD36" s="34">
        <f ca="1">IFERROR(AVERAGEIFS(INDIRECT("Tabela1["&amp;$B36&amp;"]"),Tabela1[Turno],$D36,Tabela1[Data Corrigida],AD$3)/100,"")</f>
        <v>2.4523809523809524E-2</v>
      </c>
      <c r="AE36" s="34">
        <f ca="1">IFERROR(AVERAGEIFS(INDIRECT("Tabela1["&amp;$B36&amp;"]"),Tabela1[Turno],$D36,Tabela1[Data Corrigida],AE$3)/100,"")</f>
        <v>1.9273769708552317E-2</v>
      </c>
      <c r="AF36" s="34">
        <f ca="1">IFERROR(AVERAGEIFS(INDIRECT("Tabela1["&amp;$B36&amp;"]"),Tabela1[Turno],$D36,Tabela1[Data Corrigida],AF$3)/100,"")</f>
        <v>2.2495621044110566E-2</v>
      </c>
      <c r="AG36" s="34">
        <f ca="1">IFERROR(AVERAGEIFS(INDIRECT("Tabela1["&amp;$B36&amp;"]"),Tabela1[Turno],$D36,Tabela1[Data Corrigida],AG$3)/100,"")</f>
        <v>2.3373737373737376E-2</v>
      </c>
      <c r="AH36" s="34">
        <f ca="1">IFERROR(AVERAGEIFS(INDIRECT("Tabela1["&amp;$B36&amp;"]"),Tabela1[Turno],$D36,Tabela1[Data Corrigida],AH$3)/100,"")</f>
        <v>3.8559319855209571E-2</v>
      </c>
      <c r="AI36" s="34">
        <f ca="1">IFERROR(AVERAGEIFS(INDIRECT("Tabela1["&amp;$B36&amp;"]"),Tabela1[Turno],$D36,Tabela1[Data Corrigida],AI$3)/100,"")</f>
        <v>5.1027313397692488E-2</v>
      </c>
      <c r="AJ36" s="34">
        <f ca="1">IFERROR(AVERAGEIFS(INDIRECT("Tabela1["&amp;$B36&amp;"]"),Tabela1[Turno],$D36,Tabela1[Data Corrigida],AJ$3)/100,"")</f>
        <v>4.3478560802380273E-2</v>
      </c>
      <c r="AK36" s="34">
        <f ca="1">IFERROR(AVERAGEIFS(INDIRECT("Tabela1["&amp;$B36&amp;"]"),Tabela1[Turno],$D36,Tabela1[Data Corrigida],AK$3)/100,"")</f>
        <v>4.8594463470319635E-2</v>
      </c>
      <c r="AL36" s="34">
        <f ca="1">IFERROR(AVERAGEIFS(INDIRECT("Tabela1["&amp;$B36&amp;"]"),Tabela1[Turno],$D36,Tabela1[Data Corrigida],AL$3)/100,"")</f>
        <v>1.8326098182969833E-2</v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59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2.0780884801304693E-3</v>
      </c>
      <c r="N37" s="36" t="str">
        <f ca="1">IFERROR(AVERAGEIFS(INDIRECT("Tabela1["&amp;$B37&amp;"]"),Tabela1[Turno],$D37,Tabela1[Mês],N$3)/100,"")</f>
        <v/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62"/>
      <c r="R37" s="35">
        <f ca="1">IFERROR(AVERAGEIFS(INDIRECT("Tabela1["&amp;$B37&amp;"]"),Tabela1[Turno],$D37,Tabela1[Data Corrigida],R$3)/100,"")</f>
        <v>2.3809523809523812E-3</v>
      </c>
      <c r="S37" s="36">
        <f ca="1">IFERROR(AVERAGEIFS(INDIRECT("Tabela1["&amp;$B37&amp;"]"),Tabela1[Turno],$D37,Tabela1[Data Corrigida],S$3)/100,"")</f>
        <v>2.2222222222222222E-3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2.2075055187637969E-3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0</v>
      </c>
      <c r="Y37" s="36">
        <f ca="1">IFERROR(AVERAGEIFS(INDIRECT("Tabela1["&amp;$B37&amp;"]"),Tabela1[Turno],$D37,Tabela1[Data Corrigida],Y$3)/100,"")</f>
        <v>0</v>
      </c>
      <c r="Z37" s="36">
        <f ca="1">IFERROR(AVERAGEIFS(INDIRECT("Tabela1["&amp;$B37&amp;"]"),Tabela1[Turno],$D37,Tabela1[Data Corrigida],Z$3)/100,"")</f>
        <v>0</v>
      </c>
      <c r="AA37" s="36">
        <f ca="1">IFERROR(AVERAGEIFS(INDIRECT("Tabela1["&amp;$B37&amp;"]"),Tabela1[Turno],$D37,Tabela1[Data Corrigida],AA$3)/100,"")</f>
        <v>0</v>
      </c>
      <c r="AB37" s="36">
        <f ca="1">IFERROR(AVERAGEIFS(INDIRECT("Tabela1["&amp;$B37&amp;"]"),Tabela1[Turno],$D37,Tabela1[Data Corrigida],AB$3)/100,"")</f>
        <v>0</v>
      </c>
      <c r="AC37" s="36">
        <f ca="1">IFERROR(AVERAGEIFS(INDIRECT("Tabela1["&amp;$B37&amp;"]"),Tabela1[Turno],$D37,Tabela1[Data Corrigida],AC$3)/100,"")</f>
        <v>2.5641025641025645E-3</v>
      </c>
      <c r="AD37" s="36">
        <f ca="1">IFERROR(AVERAGEIFS(INDIRECT("Tabela1["&amp;$B37&amp;"]"),Tabela1[Turno],$D37,Tabela1[Data Corrigida],AD$3)/100,"")</f>
        <v>5.1282051282051291E-3</v>
      </c>
      <c r="AE37" s="36">
        <f ca="1">IFERROR(AVERAGEIFS(INDIRECT("Tabela1["&amp;$B37&amp;"]"),Tabela1[Turno],$D37,Tabela1[Data Corrigida],AE$3)/100,"")</f>
        <v>0</v>
      </c>
      <c r="AF37" s="36">
        <f ca="1">IFERROR(AVERAGEIFS(INDIRECT("Tabela1["&amp;$B37&amp;"]"),Tabela1[Turno],$D37,Tabela1[Data Corrigida],AF$3)/100,"")</f>
        <v>2.2075055187637969E-3</v>
      </c>
      <c r="AG37" s="36">
        <f ca="1">IFERROR(AVERAGEIFS(INDIRECT("Tabela1["&amp;$B37&amp;"]"),Tabela1[Turno],$D37,Tabela1[Data Corrigida],AG$3)/100,"")</f>
        <v>1.4957078422813909E-2</v>
      </c>
      <c r="AH37" s="36">
        <f ca="1">IFERROR(AVERAGEIFS(INDIRECT("Tabela1["&amp;$B37&amp;"]"),Tabela1[Turno],$D37,Tabela1[Data Corrigida],AH$3)/100,"")</f>
        <v>2.5641025641025645E-3</v>
      </c>
      <c r="AI37" s="36">
        <f ca="1">IFERROR(AVERAGEIFS(INDIRECT("Tabela1["&amp;$B37&amp;"]"),Tabela1[Turno],$D37,Tabela1[Data Corrigida],AI$3)/100,"")</f>
        <v>2.5641025641025645E-3</v>
      </c>
      <c r="AJ37" s="36">
        <f ca="1">IFERROR(AVERAGEIFS(INDIRECT("Tabela1["&amp;$B37&amp;"]"),Tabela1[Turno],$D37,Tabela1[Data Corrigida],AJ$3)/100,"")</f>
        <v>4.2194092827004225E-3</v>
      </c>
      <c r="AK37" s="36">
        <f ca="1">IFERROR(AVERAGEIFS(INDIRECT("Tabela1["&amp;$B37&amp;"]"),Tabela1[Turno],$D37,Tabela1[Data Corrigida],AK$3)/100,"")</f>
        <v>0</v>
      </c>
      <c r="AL37" s="36">
        <f ca="1">IFERROR(AVERAGEIFS(INDIRECT("Tabela1["&amp;$B37&amp;"]"),Tabela1[Turno],$D37,Tabela1[Data Corrigida],AL$3)/100,"")</f>
        <v>2.6246719160104987E-3</v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0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1.5822755548686937E-2</v>
      </c>
      <c r="N38" s="45" t="str">
        <f ca="1">IFERROR(AVERAGEIFS(INDIRECT("Tabela1["&amp;$B38&amp;"]"),Tabela1[Mês],N$3)/100,"")</f>
        <v/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3"/>
      <c r="R38" s="37">
        <f ca="1">IFERROR(AVERAGEIFS(INDIRECT("Tabela1["&amp;$B38&amp;"]"),Tabela1[Data Corrigida],R$3)/100,"")</f>
        <v>6.6572941083704292E-3</v>
      </c>
      <c r="S38" s="38">
        <f ca="1">IFERROR(AVERAGEIFS(INDIRECT("Tabela1["&amp;$B38&amp;"]"),Tabela1[Data Corrigida],S$3)/100,"")</f>
        <v>6.4285714285714302E-3</v>
      </c>
      <c r="T38" s="38">
        <f ca="1">IFERROR(AVERAGEIFS(INDIRECT("Tabela1["&amp;$B38&amp;"]"),Tabela1[Data Corrigida],T$3)/100,"")</f>
        <v>7.3214285714285707E-3</v>
      </c>
      <c r="U38" s="38">
        <f ca="1">IFERROR(AVERAGEIFS(INDIRECT("Tabela1["&amp;$B38&amp;"]"),Tabela1[Data Corrigida],U$3)/100,"")</f>
        <v>8.2766598743419951E-3</v>
      </c>
      <c r="V38" s="38">
        <f ca="1">IFERROR(AVERAGEIFS(INDIRECT("Tabela1["&amp;$B38&amp;"]"),Tabela1[Data Corrigida],V$3)/100,"")</f>
        <v>8.8815909505564686E-3</v>
      </c>
      <c r="W38" s="38">
        <f ca="1">IFERROR(AVERAGEIFS(INDIRECT("Tabela1["&amp;$B38&amp;"]"),Tabela1[Data Corrigida],W$3)/100,"")</f>
        <v>1.0405800251134937E-2</v>
      </c>
      <c r="X38" s="38">
        <f ca="1">IFERROR(AVERAGEIFS(INDIRECT("Tabela1["&amp;$B38&amp;"]"),Tabela1[Data Corrigida],X$3)/100,"")</f>
        <v>9.9879416649602988E-3</v>
      </c>
      <c r="Y38" s="38">
        <f ca="1">IFERROR(AVERAGEIFS(INDIRECT("Tabela1["&amp;$B38&amp;"]"),Tabela1[Data Corrigida],Y$3)/100,"")</f>
        <v>1.7466637677241933E-2</v>
      </c>
      <c r="Z38" s="38">
        <f ca="1">IFERROR(AVERAGEIFS(INDIRECT("Tabela1["&amp;$B38&amp;"]"),Tabela1[Data Corrigida],Z$3)/100,"")</f>
        <v>2.4796171570365119E-2</v>
      </c>
      <c r="AA38" s="38">
        <f ca="1">IFERROR(AVERAGEIFS(INDIRECT("Tabela1["&amp;$B38&amp;"]"),Tabela1[Data Corrigida],AA$3)/100,"")</f>
        <v>1.6726190476190478E-2</v>
      </c>
      <c r="AB38" s="38">
        <f ca="1">IFERROR(AVERAGEIFS(INDIRECT("Tabela1["&amp;$B38&amp;"]"),Tabela1[Data Corrigida],AB$3)/100,"")</f>
        <v>1.8388278388278386E-2</v>
      </c>
      <c r="AC38" s="38">
        <f ca="1">IFERROR(AVERAGEIFS(INDIRECT("Tabela1["&amp;$B38&amp;"]"),Tabela1[Data Corrigida],AC$3)/100,"")</f>
        <v>1.7983452182399839E-2</v>
      </c>
      <c r="AD38" s="38">
        <f ca="1">IFERROR(AVERAGEIFS(INDIRECT("Tabela1["&amp;$B38&amp;"]"),Tabela1[Data Corrigida],AD$3)/100,"")</f>
        <v>1.4826007326007327E-2</v>
      </c>
      <c r="AE38" s="38">
        <f ca="1">IFERROR(AVERAGEIFS(INDIRECT("Tabela1["&amp;$B38&amp;"]"),Tabela1[Data Corrigida],AE$3)/100,"")</f>
        <v>1.1013582690601325E-2</v>
      </c>
      <c r="AF38" s="38">
        <f ca="1">IFERROR(AVERAGEIFS(INDIRECT("Tabela1["&amp;$B38&amp;"]"),Tabela1[Data Corrigida],AF$3)/100,"")</f>
        <v>1.3800714390390524E-2</v>
      </c>
      <c r="AG38" s="38">
        <f ca="1">IFERROR(AVERAGEIFS(INDIRECT("Tabela1["&amp;$B38&amp;"]"),Tabela1[Data Corrigida],AG$3)/100,"")</f>
        <v>1.9766597823341604E-2</v>
      </c>
      <c r="AH38" s="38">
        <f ca="1">IFERROR(AVERAGEIFS(INDIRECT("Tabela1["&amp;$B38&amp;"]"),Tabela1[Data Corrigida],AH$3)/100,"")</f>
        <v>2.3132798159020855E-2</v>
      </c>
      <c r="AI38" s="38">
        <f ca="1">IFERROR(AVERAGEIFS(INDIRECT("Tabela1["&amp;$B38&amp;"]"),Tabela1[Data Corrigida],AI$3)/100,"")</f>
        <v>3.0257365897582524E-2</v>
      </c>
      <c r="AJ38" s="38">
        <f ca="1">IFERROR(AVERAGEIFS(INDIRECT("Tabela1["&amp;$B38&amp;"]"),Tabela1[Data Corrigida],AJ$3)/100,"")</f>
        <v>2.6653210151088905E-2</v>
      </c>
      <c r="AK38" s="38">
        <f ca="1">IFERROR(AVERAGEIFS(INDIRECT("Tabela1["&amp;$B38&amp;"]"),Tabela1[Data Corrigida],AK$3)/100,"")</f>
        <v>2.7768264840182647E-2</v>
      </c>
      <c r="AL38" s="38">
        <f ca="1">IFERROR(AVERAGEIFS(INDIRECT("Tabela1["&amp;$B38&amp;"]"),Tabela1[Data Corrigida],AL$3)/100,"")</f>
        <v>1.1596915497130118E-2</v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58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1.4026812645817994E-2</v>
      </c>
      <c r="N39" s="34" t="str">
        <f ca="1">IFERROR(AVERAGEIFS(INDIRECT("Tabela1["&amp;$B39&amp;"]"),Tabela1[Turno],$D39,Tabela1[Mês],N$3)/100,"")</f>
        <v/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61">
        <v>0.02</v>
      </c>
      <c r="R39" s="39">
        <f ca="1">IFERROR(AVERAGEIFS(INDIRECT("Tabela1["&amp;$B39&amp;"]"),Tabela1[Turno],$D39,Tabela1[Data Corrigida],R$3)/100,"")</f>
        <v>9.8645504039339658E-3</v>
      </c>
      <c r="S39" s="40">
        <f ca="1">IFERROR(AVERAGEIFS(INDIRECT("Tabela1["&amp;$B39&amp;"]"),Tabela1[Turno],$D39,Tabela1[Data Corrigida],S$3)/100,"")</f>
        <v>8.0208333333333347E-3</v>
      </c>
      <c r="T39" s="40">
        <f ca="1">IFERROR(AVERAGEIFS(INDIRECT("Tabela1["&amp;$B39&amp;"]"),Tabela1[Turno],$D39,Tabela1[Data Corrigida],T$3)/100,"")</f>
        <v>9.5833333333333343E-3</v>
      </c>
      <c r="U39" s="40">
        <f ca="1">IFERROR(AVERAGEIFS(INDIRECT("Tabela1["&amp;$B39&amp;"]"),Tabela1[Turno],$D39,Tabela1[Data Corrigida],U$3)/100,"")</f>
        <v>1.1330128205128208E-2</v>
      </c>
      <c r="V39" s="40">
        <f ca="1">IFERROR(AVERAGEIFS(INDIRECT("Tabela1["&amp;$B39&amp;"]"),Tabela1[Turno],$D39,Tabela1[Data Corrigida],V$3)/100,"")</f>
        <v>1.2151979565772672E-2</v>
      </c>
      <c r="W39" s="40">
        <f ca="1">IFERROR(AVERAGEIFS(INDIRECT("Tabela1["&amp;$B39&amp;"]"),Tabela1[Turno],$D39,Tabela1[Data Corrigida],W$3)/100,"")</f>
        <v>1.3289525580347081E-2</v>
      </c>
      <c r="X39" s="40">
        <f ca="1">IFERROR(AVERAGEIFS(INDIRECT("Tabela1["&amp;$B39&amp;"]"),Tabela1[Turno],$D39,Tabela1[Data Corrigida],X$3)/100,"")</f>
        <v>1.587633381111642E-2</v>
      </c>
      <c r="Y39" s="40">
        <f ca="1">IFERROR(AVERAGEIFS(INDIRECT("Tabela1["&amp;$B39&amp;"]"),Tabela1[Turno],$D39,Tabela1[Data Corrigida],Y$3)/100,"")</f>
        <v>1.3678753102162258E-2</v>
      </c>
      <c r="Z39" s="40">
        <f ca="1">IFERROR(AVERAGEIFS(INDIRECT("Tabela1["&amp;$B39&amp;"]"),Tabela1[Turno],$D39,Tabela1[Data Corrigida],Z$3)/100,"")</f>
        <v>1.888182382133995E-2</v>
      </c>
      <c r="AA39" s="40">
        <f ca="1">IFERROR(AVERAGEIFS(INDIRECT("Tabela1["&amp;$B39&amp;"]"),Tabela1[Turno],$D39,Tabela1[Data Corrigida],AA$3)/100,"")</f>
        <v>1.6250000000000001E-2</v>
      </c>
      <c r="AB39" s="40">
        <f ca="1">IFERROR(AVERAGEIFS(INDIRECT("Tabela1["&amp;$B39&amp;"]"),Tabela1[Turno],$D39,Tabela1[Data Corrigida],AB$3)/100,"")</f>
        <v>1.2884615384615385E-2</v>
      </c>
      <c r="AC39" s="40">
        <f ca="1">IFERROR(AVERAGEIFS(INDIRECT("Tabela1["&amp;$B39&amp;"]"),Tabela1[Turno],$D39,Tabela1[Data Corrigida],AC$3)/100,"")</f>
        <v>1.5269569658546115E-2</v>
      </c>
      <c r="AD39" s="40">
        <f ca="1">IFERROR(AVERAGEIFS(INDIRECT("Tabela1["&amp;$B39&amp;"]"),Tabela1[Turno],$D39,Tabela1[Data Corrigida],AD$3)/100,"")</f>
        <v>1.545634920634921E-2</v>
      </c>
      <c r="AE39" s="40">
        <f ca="1">IFERROR(AVERAGEIFS(INDIRECT("Tabela1["&amp;$B39&amp;"]"),Tabela1[Turno],$D39,Tabela1[Data Corrigida],AE$3)/100,"")</f>
        <v>1.2799410734193342E-2</v>
      </c>
      <c r="AF39" s="40">
        <f ca="1">IFERROR(AVERAGEIFS(INDIRECT("Tabela1["&amp;$B39&amp;"]"),Tabela1[Turno],$D39,Tabela1[Data Corrigida],AF$3)/100,"")</f>
        <v>1.7528733626892022E-2</v>
      </c>
      <c r="AG39" s="40">
        <f ca="1">IFERROR(AVERAGEIFS(INDIRECT("Tabela1["&amp;$B39&amp;"]"),Tabela1[Turno],$D39,Tabela1[Data Corrigida],AG$3)/100,"")</f>
        <v>1.724915824915825E-2</v>
      </c>
      <c r="AH39" s="40">
        <f ca="1">IFERROR(AVERAGEIFS(INDIRECT("Tabela1["&amp;$B39&amp;"]"),Tabela1[Turno],$D39,Tabela1[Data Corrigida],AH$3)/100,"")</f>
        <v>1.2853106618403191E-2</v>
      </c>
      <c r="AI39" s="40">
        <f ca="1">IFERROR(AVERAGEIFS(INDIRECT("Tabela1["&amp;$B39&amp;"]"),Tabela1[Turno],$D39,Tabela1[Data Corrigida],AI$3)/100,"")</f>
        <v>1.7488344713915704E-2</v>
      </c>
      <c r="AJ39" s="40">
        <f ca="1">IFERROR(AVERAGEIFS(INDIRECT("Tabela1["&amp;$B39&amp;"]"),Tabela1[Turno],$D39,Tabela1[Data Corrigida],AJ$3)/100,"")</f>
        <v>1.3698810037980062E-2</v>
      </c>
      <c r="AK39" s="40">
        <f ca="1">IFERROR(AVERAGEIFS(INDIRECT("Tabela1["&amp;$B39&amp;"]"),Tabela1[Turno],$D39,Tabela1[Data Corrigida],AK$3)/100,"")</f>
        <v>1.7695490867579912E-2</v>
      </c>
      <c r="AL39" s="40">
        <f ca="1">IFERROR(AVERAGEIFS(INDIRECT("Tabela1["&amp;$B39&amp;"]"),Tabela1[Turno],$D39,Tabela1[Data Corrigida],AL$3)/100,"")</f>
        <v>1.3069599448210227E-2</v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59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 t="str">
        <f ca="1">IFERROR(AVERAGEIFS(INDIRECT("Tabela1["&amp;$B40&amp;"]"),Tabela1[Turno],$D40,Tabela1[Mês],N$3)/100,"")</f>
        <v/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62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>
        <f ca="1">IFERROR(AVERAGEIFS(INDIRECT("Tabela1["&amp;$B40&amp;"]"),Tabela1[Turno],$D40,Tabela1[Data Corrigida],Y$3)/100,"")</f>
        <v>0</v>
      </c>
      <c r="Z40" s="36">
        <f ca="1">IFERROR(AVERAGEIFS(INDIRECT("Tabela1["&amp;$B40&amp;"]"),Tabela1[Turno],$D40,Tabela1[Data Corrigida],Z$3)/100,"")</f>
        <v>0</v>
      </c>
      <c r="AA40" s="36">
        <f ca="1">IFERROR(AVERAGEIFS(INDIRECT("Tabela1["&amp;$B40&amp;"]"),Tabela1[Turno],$D40,Tabela1[Data Corrigida],AA$3)/100,"")</f>
        <v>0</v>
      </c>
      <c r="AB40" s="36">
        <f ca="1">IFERROR(AVERAGEIFS(INDIRECT("Tabela1["&amp;$B40&amp;"]"),Tabela1[Turno],$D40,Tabela1[Data Corrigida],AB$3)/100,"")</f>
        <v>0</v>
      </c>
      <c r="AC40" s="36">
        <f ca="1">IFERROR(AVERAGEIFS(INDIRECT("Tabela1["&amp;$B40&amp;"]"),Tabela1[Turno],$D40,Tabela1[Data Corrigida],AC$3)/100,"")</f>
        <v>0</v>
      </c>
      <c r="AD40" s="36">
        <f ca="1">IFERROR(AVERAGEIFS(INDIRECT("Tabela1["&amp;$B40&amp;"]"),Tabela1[Turno],$D40,Tabela1[Data Corrigida],AD$3)/100,"")</f>
        <v>0</v>
      </c>
      <c r="AE40" s="36">
        <f ca="1">IFERROR(AVERAGEIFS(INDIRECT("Tabela1["&amp;$B40&amp;"]"),Tabela1[Turno],$D40,Tabela1[Data Corrigida],AE$3)/100,"")</f>
        <v>0</v>
      </c>
      <c r="AF40" s="36">
        <f ca="1">IFERROR(AVERAGEIFS(INDIRECT("Tabela1["&amp;$B40&amp;"]"),Tabela1[Turno],$D40,Tabela1[Data Corrigida],AF$3)/100,"")</f>
        <v>0</v>
      </c>
      <c r="AG40" s="36">
        <f ca="1">IFERROR(AVERAGEIFS(INDIRECT("Tabela1["&amp;$B40&amp;"]"),Tabela1[Turno],$D40,Tabela1[Data Corrigida],AG$3)/100,"")</f>
        <v>0</v>
      </c>
      <c r="AH40" s="36">
        <f ca="1">IFERROR(AVERAGEIFS(INDIRECT("Tabela1["&amp;$B40&amp;"]"),Tabela1[Turno],$D40,Tabela1[Data Corrigida],AH$3)/100,"")</f>
        <v>0</v>
      </c>
      <c r="AI40" s="36">
        <f ca="1">IFERROR(AVERAGEIFS(INDIRECT("Tabela1["&amp;$B40&amp;"]"),Tabela1[Turno],$D40,Tabela1[Data Corrigida],AI$3)/100,"")</f>
        <v>0</v>
      </c>
      <c r="AJ40" s="36">
        <f ca="1">IFERROR(AVERAGEIFS(INDIRECT("Tabela1["&amp;$B40&amp;"]"),Tabela1[Turno],$D40,Tabela1[Data Corrigida],AJ$3)/100,"")</f>
        <v>0</v>
      </c>
      <c r="AK40" s="36">
        <f ca="1">IFERROR(AVERAGEIFS(INDIRECT("Tabela1["&amp;$B40&amp;"]"),Tabela1[Turno],$D40,Tabela1[Data Corrigida],AK$3)/100,"")</f>
        <v>0</v>
      </c>
      <c r="AL40" s="36">
        <f ca="1">IFERROR(AVERAGEIFS(INDIRECT("Tabela1["&amp;$B40&amp;"]"),Tabela1[Turno],$D40,Tabela1[Data Corrigida],AL$3)/100,"")</f>
        <v>0</v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0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7.9741469150883121E-3</v>
      </c>
      <c r="N41" s="45" t="str">
        <f ca="1">IFERROR(AVERAGEIFS(INDIRECT("Tabela1["&amp;$B41&amp;"]"),Tabela1[Mês],N$3)/100,"")</f>
        <v/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3"/>
      <c r="R41" s="42">
        <f ca="1">IFERROR(AVERAGEIFS(INDIRECT("Tabela1["&amp;$B41&amp;"]"),Tabela1[Data Corrigida],R$3)/100,"")</f>
        <v>5.6368859451051238E-3</v>
      </c>
      <c r="S41" s="43">
        <f ca="1">IFERROR(AVERAGEIFS(INDIRECT("Tabela1["&amp;$B41&amp;"]"),Tabela1[Data Corrigida],S$3)/100,"")</f>
        <v>4.5833333333333342E-3</v>
      </c>
      <c r="T41" s="43">
        <f ca="1">IFERROR(AVERAGEIFS(INDIRECT("Tabela1["&amp;$B41&amp;"]"),Tabela1[Data Corrigida],T$3)/100,"")</f>
        <v>5.4761904761904765E-3</v>
      </c>
      <c r="U41" s="43">
        <f ca="1">IFERROR(AVERAGEIFS(INDIRECT("Tabela1["&amp;$B41&amp;"]"),Tabela1[Data Corrigida],U$3)/100,"")</f>
        <v>6.4743589743589758E-3</v>
      </c>
      <c r="V41" s="43">
        <f ca="1">IFERROR(AVERAGEIFS(INDIRECT("Tabela1["&amp;$B41&amp;"]"),Tabela1[Data Corrigida],V$3)/100,"")</f>
        <v>6.9439883232986698E-3</v>
      </c>
      <c r="W41" s="43">
        <f ca="1">IFERROR(AVERAGEIFS(INDIRECT("Tabela1["&amp;$B41&amp;"]"),Tabela1[Data Corrigida],W$3)/100,"")</f>
        <v>7.5940146173411891E-3</v>
      </c>
      <c r="X41" s="43">
        <f ca="1">IFERROR(AVERAGEIFS(INDIRECT("Tabela1["&amp;$B41&amp;"]"),Tabela1[Data Corrigida],X$3)/100,"")</f>
        <v>9.0721907492093828E-3</v>
      </c>
      <c r="Y41" s="43">
        <f ca="1">IFERROR(AVERAGEIFS(INDIRECT("Tabela1["&amp;$B41&amp;"]"),Tabela1[Data Corrigida],Y$3)/100,"")</f>
        <v>7.8164303440927188E-3</v>
      </c>
      <c r="Z41" s="43">
        <f ca="1">IFERROR(AVERAGEIFS(INDIRECT("Tabela1["&amp;$B41&amp;"]"),Tabela1[Data Corrigida],Z$3)/100,"")</f>
        <v>1.0789613612194257E-2</v>
      </c>
      <c r="AA41" s="43">
        <f ca="1">IFERROR(AVERAGEIFS(INDIRECT("Tabela1["&amp;$B41&amp;"]"),Tabela1[Data Corrigida],AA$3)/100,"")</f>
        <v>9.285714285714286E-3</v>
      </c>
      <c r="AB41" s="43">
        <f ca="1">IFERROR(AVERAGEIFS(INDIRECT("Tabela1["&amp;$B41&amp;"]"),Tabela1[Data Corrigida],AB$3)/100,"")</f>
        <v>7.3626373626373628E-3</v>
      </c>
      <c r="AC41" s="43">
        <f ca="1">IFERROR(AVERAGEIFS(INDIRECT("Tabela1["&amp;$B41&amp;"]"),Tabela1[Data Corrigida],AC$3)/100,"")</f>
        <v>8.7254683763120667E-3</v>
      </c>
      <c r="AD41" s="43">
        <f ca="1">IFERROR(AVERAGEIFS(INDIRECT("Tabela1["&amp;$B41&amp;"]"),Tabela1[Data Corrigida],AD$3)/100,"")</f>
        <v>7.7281746031746049E-3</v>
      </c>
      <c r="AE41" s="43">
        <f ca="1">IFERROR(AVERAGEIFS(INDIRECT("Tabela1["&amp;$B41&amp;"]"),Tabela1[Data Corrigida],AE$3)/100,"")</f>
        <v>7.3139489909676237E-3</v>
      </c>
      <c r="AF41" s="43">
        <f ca="1">IFERROR(AVERAGEIFS(INDIRECT("Tabela1["&amp;$B41&amp;"]"),Tabela1[Data Corrigida],AF$3)/100,"")</f>
        <v>1.0016419215366869E-2</v>
      </c>
      <c r="AG41" s="43">
        <f ca="1">IFERROR(AVERAGEIFS(INDIRECT("Tabela1["&amp;$B41&amp;"]"),Tabela1[Data Corrigida],AG$3)/100,"")</f>
        <v>9.8566618566618587E-3</v>
      </c>
      <c r="AH41" s="43">
        <f ca="1">IFERROR(AVERAGEIFS(INDIRECT("Tabela1["&amp;$B41&amp;"]"),Tabela1[Data Corrigida],AH$3)/100,"")</f>
        <v>7.3446323533732528E-3</v>
      </c>
      <c r="AI41" s="43">
        <f ca="1">IFERROR(AVERAGEIFS(INDIRECT("Tabela1["&amp;$B41&amp;"]"),Tabela1[Data Corrigida],AI$3)/100,"")</f>
        <v>9.993339836523259E-3</v>
      </c>
      <c r="AJ41" s="43">
        <f ca="1">IFERROR(AVERAGEIFS(INDIRECT("Tabela1["&amp;$B41&amp;"]"),Tabela1[Data Corrigida],AJ$3)/100,"")</f>
        <v>7.8278914502743213E-3</v>
      </c>
      <c r="AK41" s="43">
        <f ca="1">IFERROR(AVERAGEIFS(INDIRECT("Tabela1["&amp;$B41&amp;"]"),Tabela1[Data Corrigida],AK$3)/100,"")</f>
        <v>1.0111709067188522E-2</v>
      </c>
      <c r="AL41" s="43">
        <f ca="1">IFERROR(AVERAGEIFS(INDIRECT("Tabela1["&amp;$B41&amp;"]"),Tabela1[Data Corrigida],AL$3)/100,"")</f>
        <v>7.4683425418344152E-3</v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58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5.8084407401589239E-2</v>
      </c>
      <c r="N42" s="34" t="str">
        <f ca="1">IFERROR(AVERAGEIFS(INDIRECT("Tabela1["&amp;$B42&amp;"]"),Tabela1[Turno],$D42,Tabela1[Mês],N$3)/100,"")</f>
        <v/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61">
        <v>0.04</v>
      </c>
      <c r="R42" s="33">
        <f ca="1">IFERROR(AVERAGEIFS(INDIRECT("Tabela1["&amp;$B42&amp;"]"),Tabela1[Turno],$D42,Tabela1[Data Corrigida],R$3)/100,"")</f>
        <v>3.9388501053740782E-2</v>
      </c>
      <c r="S42" s="34">
        <f ca="1">IFERROR(AVERAGEIFS(INDIRECT("Tabela1["&amp;$B42&amp;"]"),Tabela1[Turno],$D42,Tabela1[Data Corrigida],S$3)/100,"")</f>
        <v>4.041666666666667E-2</v>
      </c>
      <c r="T42" s="34">
        <f ca="1">IFERROR(AVERAGEIFS(INDIRECT("Tabela1["&amp;$B42&amp;"]"),Tabela1[Turno],$D42,Tabela1[Data Corrigida],T$3)/100,"")</f>
        <v>3.8020833333333337E-2</v>
      </c>
      <c r="U42" s="34">
        <f ca="1">IFERROR(AVERAGEIFS(INDIRECT("Tabela1["&amp;$B42&amp;"]"),Tabela1[Turno],$D42,Tabela1[Data Corrigida],U$3)/100,"")</f>
        <v>3.5657051282051287E-2</v>
      </c>
      <c r="V42" s="34">
        <f ca="1">IFERROR(AVERAGEIFS(INDIRECT("Tabela1["&amp;$B42&amp;"]"),Tabela1[Turno],$D42,Tabela1[Data Corrigida],V$3)/100,"")</f>
        <v>3.9604086845466152E-2</v>
      </c>
      <c r="W42" s="34">
        <f ca="1">IFERROR(AVERAGEIFS(INDIRECT("Tabela1["&amp;$B42&amp;"]"),Tabela1[Turno],$D42,Tabela1[Data Corrigida],W$3)/100,"")</f>
        <v>5.683950304259635E-2</v>
      </c>
      <c r="X42" s="34">
        <f ca="1">IFERROR(AVERAGEIFS(INDIRECT("Tabela1["&amp;$B42&amp;"]"),Tabela1[Turno],$D42,Tabela1[Data Corrigida],X$3)/100,"")</f>
        <v>7.78786430960344E-2</v>
      </c>
      <c r="Y42" s="34">
        <f ca="1">IFERROR(AVERAGEIFS(INDIRECT("Tabela1["&amp;$B42&amp;"]"),Tabela1[Turno],$D42,Tabela1[Data Corrigida],Y$3)/100,"")</f>
        <v>6.8512813129858921E-2</v>
      </c>
      <c r="Z42" s="34">
        <f ca="1">IFERROR(AVERAGEIFS(INDIRECT("Tabela1["&amp;$B42&amp;"]"),Tabela1[Turno],$D42,Tabela1[Data Corrigida],Z$3)/100,"")</f>
        <v>9.0993331265508695E-2</v>
      </c>
      <c r="AA42" s="34">
        <f ca="1">IFERROR(AVERAGEIFS(INDIRECT("Tabela1["&amp;$B42&amp;"]"),Tabela1[Turno],$D42,Tabela1[Data Corrigida],AA$3)/100,"")</f>
        <v>6.5625000000000003E-2</v>
      </c>
      <c r="AB42" s="34">
        <f ca="1">IFERROR(AVERAGEIFS(INDIRECT("Tabela1["&amp;$B42&amp;"]"),Tabela1[Turno],$D42,Tabela1[Data Corrigida],AB$3)/100,"")</f>
        <v>4.6666666666666662E-2</v>
      </c>
      <c r="AC42" s="34">
        <f ca="1">IFERROR(AVERAGEIFS(INDIRECT("Tabela1["&amp;$B42&amp;"]"),Tabela1[Turno],$D42,Tabela1[Data Corrigida],AC$3)/100,"")</f>
        <v>4.9784421471887448E-2</v>
      </c>
      <c r="AD42" s="34">
        <f ca="1">IFERROR(AVERAGEIFS(INDIRECT("Tabela1["&amp;$B42&amp;"]"),Tabela1[Turno],$D42,Tabela1[Data Corrigida],AD$3)/100,"")</f>
        <v>5.4682539682539687E-2</v>
      </c>
      <c r="AE42" s="34">
        <f ca="1">IFERROR(AVERAGEIFS(INDIRECT("Tabela1["&amp;$B42&amp;"]"),Tabela1[Turno],$D42,Tabela1[Data Corrigida],AE$3)/100,"")</f>
        <v>3.5278308647873867E-2</v>
      </c>
      <c r="AF42" s="34">
        <f ca="1">IFERROR(AVERAGEIFS(INDIRECT("Tabela1["&amp;$B42&amp;"]"),Tabela1[Turno],$D42,Tabela1[Data Corrigida],AF$3)/100,"")</f>
        <v>5.477096839475503E-2</v>
      </c>
      <c r="AG42" s="34">
        <f ca="1">IFERROR(AVERAGEIFS(INDIRECT("Tabela1["&amp;$B42&amp;"]"),Tabela1[Turno],$D42,Tabela1[Data Corrigida],AG$3)/100,"")</f>
        <v>5.9986531986531991E-2</v>
      </c>
      <c r="AH42" s="34">
        <f ca="1">IFERROR(AVERAGEIFS(INDIRECT("Tabela1["&amp;$B42&amp;"]"),Tabela1[Turno],$D42,Tabela1[Data Corrigida],AH$3)/100,"")</f>
        <v>8.0503617189749493E-2</v>
      </c>
      <c r="AI42" s="34">
        <f ca="1">IFERROR(AVERAGEIFS(INDIRECT("Tabela1["&amp;$B42&amp;"]"),Tabela1[Turno],$D42,Tabela1[Data Corrigida],AI$3)/100,"")</f>
        <v>8.8128561337414646E-2</v>
      </c>
      <c r="AJ42" s="34">
        <f ca="1">IFERROR(AVERAGEIFS(INDIRECT("Tabela1["&amp;$B42&amp;"]"),Tabela1[Turno],$D42,Tabela1[Data Corrigida],AJ$3)/100,"")</f>
        <v>7.4123424924245535E-2</v>
      </c>
      <c r="AK42" s="34">
        <f ca="1">IFERROR(AVERAGEIFS(INDIRECT("Tabela1["&amp;$B42&amp;"]"),Tabela1[Turno],$D42,Tabela1[Data Corrigida],AK$3)/100,"")</f>
        <v>8.2273116438356164E-2</v>
      </c>
      <c r="AL42" s="34">
        <f ca="1">IFERROR(AVERAGEIFS(INDIRECT("Tabela1["&amp;$B42&amp;"]"),Tabela1[Turno],$D42,Tabela1[Data Corrigida],AL$3)/100,"")</f>
        <v>3.9787502048334387E-2</v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59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5.6970535423727854E-2</v>
      </c>
      <c r="N43" s="36" t="str">
        <f ca="1">IFERROR(AVERAGEIFS(INDIRECT("Tabela1["&amp;$B43&amp;"]"),Tabela1[Turno],$D43,Tabela1[Mês],N$3)/100,"")</f>
        <v/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62"/>
      <c r="R43" s="35">
        <f ca="1">IFERROR(AVERAGEIFS(INDIRECT("Tabela1["&amp;$B43&amp;"]"),Tabela1[Turno],$D43,Tabela1[Data Corrigida],R$3)/100,"")</f>
        <v>8.3484273054825198E-2</v>
      </c>
      <c r="S43" s="36">
        <f ca="1">IFERROR(AVERAGEIFS(INDIRECT("Tabela1["&amp;$B43&amp;"]"),Tabela1[Turno],$D43,Tabela1[Data Corrigida],S$3)/100,"")</f>
        <v>6.9254658385093176E-2</v>
      </c>
      <c r="T43" s="36">
        <f ca="1">IFERROR(AVERAGEIFS(INDIRECT("Tabela1["&amp;$B43&amp;"]"),Tabela1[Turno],$D43,Tabela1[Data Corrigida],T$3)/100,"")</f>
        <v>2.784679089026915E-2</v>
      </c>
      <c r="U43" s="36">
        <f ca="1">IFERROR(AVERAGEIFS(INDIRECT("Tabela1["&amp;$B43&amp;"]"),Tabela1[Turno],$D43,Tabela1[Data Corrigida],U$3)/100,"")</f>
        <v>9.9915095941586027E-2</v>
      </c>
      <c r="V43" s="36">
        <f ca="1">IFERROR(AVERAGEIFS(INDIRECT("Tabela1["&amp;$B43&amp;"]"),Tabela1[Turno],$D43,Tabela1[Data Corrigida],V$3)/100,"")</f>
        <v>4.8835472373703261E-2</v>
      </c>
      <c r="W43" s="36">
        <f ca="1">IFERROR(AVERAGEIFS(INDIRECT("Tabela1["&amp;$B43&amp;"]"),Tabela1[Turno],$D43,Tabela1[Data Corrigida],W$3)/100,"")</f>
        <v>5.3642969651190711E-2</v>
      </c>
      <c r="X43" s="36">
        <f ca="1">IFERROR(AVERAGEIFS(INDIRECT("Tabela1["&amp;$B43&amp;"]"),Tabela1[Turno],$D43,Tabela1[Data Corrigida],X$3)/100,"")</f>
        <v>5.5120242076763803E-2</v>
      </c>
      <c r="Y43" s="36">
        <f ca="1">IFERROR(AVERAGEIFS(INDIRECT("Tabela1["&amp;$B43&amp;"]"),Tabela1[Turno],$D43,Tabela1[Data Corrigida],Y$3)/100,"")</f>
        <v>5.0643375532435926E-2</v>
      </c>
      <c r="Z43" s="36">
        <f ca="1">IFERROR(AVERAGEIFS(INDIRECT("Tabela1["&amp;$B43&amp;"]"),Tabela1[Turno],$D43,Tabela1[Data Corrigida],Z$3)/100,"")</f>
        <v>5.3093429433166542E-2</v>
      </c>
      <c r="AA43" s="36">
        <f ca="1">IFERROR(AVERAGEIFS(INDIRECT("Tabela1["&amp;$B43&amp;"]"),Tabela1[Turno],$D43,Tabela1[Data Corrigida],AA$3)/100,"")</f>
        <v>8.2051282051282065E-2</v>
      </c>
      <c r="AB43" s="36">
        <f ca="1">IFERROR(AVERAGEIFS(INDIRECT("Tabela1["&amp;$B43&amp;"]"),Tabela1[Turno],$D43,Tabela1[Data Corrigida],AB$3)/100,"")</f>
        <v>6.8829574656479944E-2</v>
      </c>
      <c r="AC43" s="36">
        <f ca="1">IFERROR(AVERAGEIFS(INDIRECT("Tabela1["&amp;$B43&amp;"]"),Tabela1[Turno],$D43,Tabela1[Data Corrigida],AC$3)/100,"")</f>
        <v>3.8155589643003827E-2</v>
      </c>
      <c r="AD43" s="36">
        <f ca="1">IFERROR(AVERAGEIFS(INDIRECT("Tabela1["&amp;$B43&amp;"]"),Tabela1[Turno],$D43,Tabela1[Data Corrigida],AD$3)/100,"")</f>
        <v>3.6472957259139509E-2</v>
      </c>
      <c r="AE43" s="36">
        <f ca="1">IFERROR(AVERAGEIFS(INDIRECT("Tabela1["&amp;$B43&amp;"]"),Tabela1[Turno],$D43,Tabela1[Data Corrigida],AE$3)/100,"")</f>
        <v>5.8229288623154074E-2</v>
      </c>
      <c r="AF43" s="36">
        <f ca="1">IFERROR(AVERAGEIFS(INDIRECT("Tabela1["&amp;$B43&amp;"]"),Tabela1[Turno],$D43,Tabela1[Data Corrigida],AF$3)/100,"")</f>
        <v>4.194260485651214E-2</v>
      </c>
      <c r="AG43" s="36">
        <f ca="1">IFERROR(AVERAGEIFS(INDIRECT("Tabela1["&amp;$B43&amp;"]"),Tabela1[Turno],$D43,Tabela1[Data Corrigida],AG$3)/100,"")</f>
        <v>4.8944115786616969E-2</v>
      </c>
      <c r="AH43" s="36">
        <f ca="1">IFERROR(AVERAGEIFS(INDIRECT("Tabela1["&amp;$B43&amp;"]"),Tabela1[Turno],$D43,Tabela1[Data Corrigida],AH$3)/100,"")</f>
        <v>4.8856625346691579E-2</v>
      </c>
      <c r="AI43" s="36">
        <f ca="1">IFERROR(AVERAGEIFS(INDIRECT("Tabela1["&amp;$B43&amp;"]"),Tabela1[Turno],$D43,Tabela1[Data Corrigida],AI$3)/100,"")</f>
        <v>7.9699625269245511E-2</v>
      </c>
      <c r="AJ43" s="36">
        <f ca="1">IFERROR(AVERAGEIFS(INDIRECT("Tabela1["&amp;$B43&amp;"]"),Tabela1[Turno],$D43,Tabela1[Data Corrigida],AJ$3)/100,"")</f>
        <v>7.9348682870972354E-2</v>
      </c>
      <c r="AK43" s="36">
        <f ca="1">IFERROR(AVERAGEIFS(INDIRECT("Tabela1["&amp;$B43&amp;"]"),Tabela1[Turno],$D43,Tabela1[Data Corrigida],AK$3)/100,"")</f>
        <v>3.7766692723943597E-2</v>
      </c>
      <c r="AL43" s="36">
        <f ca="1">IFERROR(AVERAGEIFS(INDIRECT("Tabela1["&amp;$B43&amp;"]"),Tabela1[Turno],$D43,Tabela1[Data Corrigida],AL$3)/100,"")</f>
        <v>3.4247897472209486E-2</v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0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5.7603764013881904E-2</v>
      </c>
      <c r="N44" s="45" t="str">
        <f ca="1">IFERROR(AVERAGEIFS(INDIRECT("Tabela1["&amp;$B44&amp;"]"),Tabela1[Mês],N$3)/100,"")</f>
        <v/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3"/>
      <c r="R44" s="37">
        <f ca="1">IFERROR(AVERAGEIFS(INDIRECT("Tabela1["&amp;$B44&amp;"]"),Tabela1[Data Corrigida],R$3)/100,"")</f>
        <v>5.8286689054205525E-2</v>
      </c>
      <c r="S44" s="38">
        <f ca="1">IFERROR(AVERAGEIFS(INDIRECT("Tabela1["&amp;$B44&amp;"]"),Tabela1[Data Corrigida],S$3)/100,"")</f>
        <v>5.2775805974563737E-2</v>
      </c>
      <c r="T44" s="38">
        <f ca="1">IFERROR(AVERAGEIFS(INDIRECT("Tabela1["&amp;$B44&amp;"]"),Tabela1[Data Corrigida],T$3)/100,"")</f>
        <v>3.3660529429162971E-2</v>
      </c>
      <c r="U44" s="38">
        <f ca="1">IFERROR(AVERAGEIFS(INDIRECT("Tabela1["&amp;$B44&amp;"]"),Tabela1[Data Corrigida],U$3)/100,"")</f>
        <v>6.3196213278994745E-2</v>
      </c>
      <c r="V44" s="38">
        <f ca="1">IFERROR(AVERAGEIFS(INDIRECT("Tabela1["&amp;$B44&amp;"]"),Tabela1[Data Corrigida],V$3)/100,"")</f>
        <v>4.356039492899634E-2</v>
      </c>
      <c r="W44" s="38">
        <f ca="1">IFERROR(AVERAGEIFS(INDIRECT("Tabela1["&amp;$B44&amp;"]"),Tabela1[Data Corrigida],W$3)/100,"")</f>
        <v>5.5469560160565354E-2</v>
      </c>
      <c r="X44" s="38">
        <f ca="1">IFERROR(AVERAGEIFS(INDIRECT("Tabela1["&amp;$B44&amp;"]"),Tabela1[Data Corrigida],X$3)/100,"")</f>
        <v>6.8125042659204146E-2</v>
      </c>
      <c r="Y44" s="38">
        <f ca="1">IFERROR(AVERAGEIFS(INDIRECT("Tabela1["&amp;$B44&amp;"]"),Tabela1[Data Corrigida],Y$3)/100,"")</f>
        <v>6.0854482730963347E-2</v>
      </c>
      <c r="Z44" s="38">
        <f ca="1">IFERROR(AVERAGEIFS(INDIRECT("Tabela1["&amp;$B44&amp;"]"),Tabela1[Data Corrigida],Z$3)/100,"")</f>
        <v>7.4750516194504915E-2</v>
      </c>
      <c r="AA44" s="38">
        <f ca="1">IFERROR(AVERAGEIFS(INDIRECT("Tabela1["&amp;$B44&amp;"]"),Tabela1[Data Corrigida],AA$3)/100,"")</f>
        <v>7.266483516483517E-2</v>
      </c>
      <c r="AB44" s="38">
        <f ca="1">IFERROR(AVERAGEIFS(INDIRECT("Tabela1["&amp;$B44&amp;"]"),Tabela1[Data Corrigida],AB$3)/100,"")</f>
        <v>5.6165055805158071E-2</v>
      </c>
      <c r="AC44" s="38">
        <f ca="1">IFERROR(AVERAGEIFS(INDIRECT("Tabela1["&amp;$B44&amp;"]"),Tabela1[Data Corrigida],AC$3)/100,"")</f>
        <v>4.4800636402365895E-2</v>
      </c>
      <c r="AD44" s="38">
        <f ca="1">IFERROR(AVERAGEIFS(INDIRECT("Tabela1["&amp;$B44&amp;"]"),Tabela1[Data Corrigida],AD$3)/100,"")</f>
        <v>4.5577748470839598E-2</v>
      </c>
      <c r="AE44" s="38">
        <f ca="1">IFERROR(AVERAGEIFS(INDIRECT("Tabela1["&amp;$B44&amp;"]"),Tabela1[Data Corrigida],AE$3)/100,"")</f>
        <v>4.5114442922993957E-2</v>
      </c>
      <c r="AF44" s="38">
        <f ca="1">IFERROR(AVERAGEIFS(INDIRECT("Tabela1["&amp;$B44&amp;"]"),Tabela1[Data Corrigida],AF$3)/100,"")</f>
        <v>4.9273098306936651E-2</v>
      </c>
      <c r="AG44" s="38">
        <f ca="1">IFERROR(AVERAGEIFS(INDIRECT("Tabela1["&amp;$B44&amp;"]"),Tabela1[Data Corrigida],AG$3)/100,"")</f>
        <v>5.5254067900854124E-2</v>
      </c>
      <c r="AH44" s="38">
        <f ca="1">IFERROR(AVERAGEIFS(INDIRECT("Tabela1["&amp;$B44&amp;"]"),Tabela1[Data Corrigida],AH$3)/100,"")</f>
        <v>6.694062068558182E-2</v>
      </c>
      <c r="AI44" s="38">
        <f ca="1">IFERROR(AVERAGEIFS(INDIRECT("Tabela1["&amp;$B44&amp;"]"),Tabela1[Data Corrigida],AI$3)/100,"")</f>
        <v>8.451616016534215E-2</v>
      </c>
      <c r="AJ44" s="38">
        <f ca="1">IFERROR(AVERAGEIFS(INDIRECT("Tabela1["&amp;$B44&amp;"]"),Tabela1[Data Corrigida],AJ$3)/100,"")</f>
        <v>7.6362821187128463E-2</v>
      </c>
      <c r="AK44" s="38">
        <f ca="1">IFERROR(AVERAGEIFS(INDIRECT("Tabela1["&amp;$B44&amp;"]"),Tabela1[Data Corrigida],AK$3)/100,"")</f>
        <v>6.3198934846465063E-2</v>
      </c>
      <c r="AL44" s="38">
        <f ca="1">IFERROR(AVERAGEIFS(INDIRECT("Tabela1["&amp;$B44&amp;"]"),Tabela1[Data Corrigida],AL$3)/100,"")</f>
        <v>3.7413385801423719E-2</v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58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4.8122921418127219E-2</v>
      </c>
      <c r="N45" s="34" t="str">
        <f ca="1">IFERROR(AVERAGEIFS(INDIRECT("Tabela1["&amp;$B45&amp;"]"),Tabela1[Turno],$D45,Tabela1[Mês],N$3)/100,"")</f>
        <v/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61">
        <v>0.05</v>
      </c>
      <c r="R45" s="39">
        <f ca="1">IFERROR(AVERAGEIFS(INDIRECT("Tabela1["&amp;$B45&amp;"]"),Tabela1[Turno],$D45,Tabela1[Data Corrigida],R$3)/100,"")</f>
        <v>3.6373265718299963E-2</v>
      </c>
      <c r="S45" s="40">
        <f ca="1">IFERROR(AVERAGEIFS(INDIRECT("Tabela1["&amp;$B45&amp;"]"),Tabela1[Turno],$D45,Tabela1[Data Corrigida],S$3)/100,"")</f>
        <v>3.5520833333333335E-2</v>
      </c>
      <c r="T45" s="40">
        <f ca="1">IFERROR(AVERAGEIFS(INDIRECT("Tabela1["&amp;$B45&amp;"]"),Tabela1[Turno],$D45,Tabela1[Data Corrigida],T$3)/100,"")</f>
        <v>3.1875000000000001E-2</v>
      </c>
      <c r="U45" s="40">
        <f ca="1">IFERROR(AVERAGEIFS(INDIRECT("Tabela1["&amp;$B45&amp;"]"),Tabela1[Turno],$D45,Tabela1[Data Corrigida],U$3)/100,"")</f>
        <v>2.9222756410256415E-2</v>
      </c>
      <c r="V45" s="40">
        <f ca="1">IFERROR(AVERAGEIFS(INDIRECT("Tabela1["&amp;$B45&amp;"]"),Tabela1[Turno],$D45,Tabela1[Data Corrigida],V$3)/100,"")</f>
        <v>3.6328224776500641E-2</v>
      </c>
      <c r="W45" s="40">
        <f ca="1">IFERROR(AVERAGEIFS(INDIRECT("Tabela1["&amp;$B45&amp;"]"),Tabela1[Turno],$D45,Tabela1[Data Corrigida],W$3)/100,"")</f>
        <v>4.6603490534144691E-2</v>
      </c>
      <c r="X45" s="40">
        <f ca="1">IFERROR(AVERAGEIFS(INDIRECT("Tabela1["&amp;$B45&amp;"]"),Tabela1[Turno],$D45,Tabela1[Data Corrigida],X$3)/100,"")</f>
        <v>5.8747412008281576E-2</v>
      </c>
      <c r="Y45" s="40">
        <f ca="1">IFERROR(AVERAGEIFS(INDIRECT("Tabela1["&amp;$B45&amp;"]"),Tabela1[Turno],$D45,Tabela1[Data Corrigida],Y$3)/100,"")</f>
        <v>7.213188817133534E-2</v>
      </c>
      <c r="Z45" s="40">
        <f ca="1">IFERROR(AVERAGEIFS(INDIRECT("Tabela1["&amp;$B45&amp;"]"),Tabela1[Turno],$D45,Tabela1[Data Corrigida],Z$3)/100,"")</f>
        <v>5.0825837468982629E-2</v>
      </c>
      <c r="AA45" s="40">
        <f ca="1">IFERROR(AVERAGEIFS(INDIRECT("Tabela1["&amp;$B45&amp;"]"),Tabela1[Turno],$D45,Tabela1[Data Corrigida],AA$3)/100,"")</f>
        <v>3.8645833333333338E-2</v>
      </c>
      <c r="AB45" s="40">
        <f ca="1">IFERROR(AVERAGEIFS(INDIRECT("Tabela1["&amp;$B45&amp;"]"),Tabela1[Turno],$D45,Tabela1[Data Corrigida],AB$3)/100,"")</f>
        <v>4.6794871794871795E-2</v>
      </c>
      <c r="AC45" s="40">
        <f ca="1">IFERROR(AVERAGEIFS(INDIRECT("Tabela1["&amp;$B45&amp;"]"),Tabela1[Turno],$D45,Tabela1[Data Corrigida],AC$3)/100,"")</f>
        <v>4.085376119163428E-2</v>
      </c>
      <c r="AD45" s="40">
        <f ca="1">IFERROR(AVERAGEIFS(INDIRECT("Tabela1["&amp;$B45&amp;"]"),Tabela1[Turno],$D45,Tabela1[Data Corrigida],AD$3)/100,"")</f>
        <v>5.3511904761904754E-2</v>
      </c>
      <c r="AE45" s="40">
        <f ca="1">IFERROR(AVERAGEIFS(INDIRECT("Tabela1["&amp;$B45&amp;"]"),Tabela1[Turno],$D45,Tabela1[Data Corrigida],AE$3)/100,"")</f>
        <v>4.0150103519668738E-2</v>
      </c>
      <c r="AF45" s="40">
        <f ca="1">IFERROR(AVERAGEIFS(INDIRECT("Tabela1["&amp;$B45&amp;"]"),Tabela1[Turno],$D45,Tabela1[Data Corrigida],AF$3)/100,"")</f>
        <v>6.6901025129275149E-2</v>
      </c>
      <c r="AG45" s="40">
        <f ca="1">IFERROR(AVERAGEIFS(INDIRECT("Tabela1["&amp;$B45&amp;"]"),Tabela1[Turno],$D45,Tabela1[Data Corrigida],AG$3)/100,"")</f>
        <v>6.6121212121212136E-2</v>
      </c>
      <c r="AH45" s="40">
        <f ca="1">IFERROR(AVERAGEIFS(INDIRECT("Tabela1["&amp;$B45&amp;"]"),Tabela1[Turno],$D45,Tabela1[Data Corrigida],AH$3)/100,"")</f>
        <v>4.3330244025338319E-2</v>
      </c>
      <c r="AI45" s="40">
        <f ca="1">IFERROR(AVERAGEIFS(INDIRECT("Tabela1["&amp;$B45&amp;"]"),Tabela1[Turno],$D45,Tabela1[Data Corrigida],AI$3)/100,"")</f>
        <v>7.5190840593360009E-2</v>
      </c>
      <c r="AJ45" s="40">
        <f ca="1">IFERROR(AVERAGEIFS(INDIRECT("Tabela1["&amp;$B45&amp;"]"),Tabela1[Turno],$D45,Tabela1[Data Corrigida],AJ$3)/100,"")</f>
        <v>4.7979802524234574E-2</v>
      </c>
      <c r="AK45" s="40">
        <f ca="1">IFERROR(AVERAGEIFS(INDIRECT("Tabela1["&amp;$B45&amp;"]"),Tabela1[Turno],$D45,Tabela1[Data Corrigida],AK$3)/100,"")</f>
        <v>5.0065639269406395E-2</v>
      </c>
      <c r="AL45" s="40">
        <f ca="1">IFERROR(AVERAGEIFS(INDIRECT("Tabela1["&amp;$B45&amp;"]"),Tabela1[Turno],$D45,Tabela1[Data Corrigida],AL$3)/100,"")</f>
        <v>4.475464893124214E-2</v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59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4.0861822319631556E-2</v>
      </c>
      <c r="N46" s="36" t="str">
        <f ca="1">IFERROR(AVERAGEIFS(INDIRECT("Tabela1["&amp;$B46&amp;"]"),Tabela1[Turno],$D46,Tabela1[Mês],N$3)/100,"")</f>
        <v/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62"/>
      <c r="R46" s="35">
        <f ca="1">IFERROR(AVERAGEIFS(INDIRECT("Tabela1["&amp;$B46&amp;"]"),Tabela1[Turno],$D46,Tabela1[Data Corrigida],R$3)/100,"")</f>
        <v>3.413942718646195E-2</v>
      </c>
      <c r="S46" s="36">
        <f ca="1">IFERROR(AVERAGEIFS(INDIRECT("Tabela1["&amp;$B46&amp;"]"),Tabela1[Turno],$D46,Tabela1[Data Corrigida],S$3)/100,"")</f>
        <v>3.3367839889579025E-2</v>
      </c>
      <c r="T46" s="36">
        <f ca="1">IFERROR(AVERAGEIFS(INDIRECT("Tabela1["&amp;$B46&amp;"]"),Tabela1[Turno],$D46,Tabela1[Data Corrigida],T$3)/100,"")</f>
        <v>2.6086956521739126E-2</v>
      </c>
      <c r="U46" s="36">
        <f ca="1">IFERROR(AVERAGEIFS(INDIRECT("Tabela1["&amp;$B46&amp;"]"),Tabela1[Turno],$D46,Tabela1[Data Corrigida],U$3)/100,"")</f>
        <v>6.060451689590763E-2</v>
      </c>
      <c r="V46" s="36">
        <f ca="1">IFERROR(AVERAGEIFS(INDIRECT("Tabela1["&amp;$B46&amp;"]"),Tabela1[Turno],$D46,Tabela1[Data Corrigida],V$3)/100,"")</f>
        <v>3.9794937695987173E-2</v>
      </c>
      <c r="W46" s="36">
        <f ca="1">IFERROR(AVERAGEIFS(INDIRECT("Tabela1["&amp;$B46&amp;"]"),Tabela1[Turno],$D46,Tabela1[Data Corrigida],W$3)/100,"")</f>
        <v>3.9145455290693937E-2</v>
      </c>
      <c r="X46" s="36">
        <f ca="1">IFERROR(AVERAGEIFS(INDIRECT("Tabela1["&amp;$B46&amp;"]"),Tabela1[Turno],$D46,Tabela1[Data Corrigida],X$3)/100,"")</f>
        <v>4.9498327759197318E-2</v>
      </c>
      <c r="Y46" s="36">
        <f ca="1">IFERROR(AVERAGEIFS(INDIRECT("Tabela1["&amp;$B46&amp;"]"),Tabela1[Turno],$D46,Tabela1[Data Corrigida],Y$3)/100,"")</f>
        <v>4.7733962609517316E-2</v>
      </c>
      <c r="Z46" s="36">
        <f ca="1">IFERROR(AVERAGEIFS(INDIRECT("Tabela1["&amp;$B46&amp;"]"),Tabela1[Turno],$D46,Tabela1[Data Corrigida],Z$3)/100,"")</f>
        <v>3.555891361755871E-2</v>
      </c>
      <c r="AA46" s="36">
        <f ca="1">IFERROR(AVERAGEIFS(INDIRECT("Tabela1["&amp;$B46&amp;"]"),Tabela1[Turno],$D46,Tabela1[Data Corrigida],AA$3)/100,"")</f>
        <v>2.5641025641025644E-2</v>
      </c>
      <c r="AB46" s="36">
        <f ca="1">IFERROR(AVERAGEIFS(INDIRECT("Tabela1["&amp;$B46&amp;"]"),Tabela1[Turno],$D46,Tabela1[Data Corrigida],AB$3)/100,"")</f>
        <v>4.0107467055199179E-2</v>
      </c>
      <c r="AC46" s="36">
        <f ca="1">IFERROR(AVERAGEIFS(INDIRECT("Tabela1["&amp;$B46&amp;"]"),Tabela1[Turno],$D46,Tabela1[Data Corrigida],AC$3)/100,"")</f>
        <v>3.1079580221456654E-2</v>
      </c>
      <c r="AD46" s="36">
        <f ca="1">IFERROR(AVERAGEIFS(INDIRECT("Tabela1["&amp;$B46&amp;"]"),Tabela1[Turno],$D46,Tabela1[Data Corrigida],AD$3)/100,"")</f>
        <v>3.4519718915192413E-2</v>
      </c>
      <c r="AE46" s="36">
        <f ca="1">IFERROR(AVERAGEIFS(INDIRECT("Tabela1["&amp;$B46&amp;"]"),Tabela1[Turno],$D46,Tabela1[Data Corrigida],AE$3)/100,"")</f>
        <v>4.104530301811584E-2</v>
      </c>
      <c r="AF46" s="36">
        <f ca="1">IFERROR(AVERAGEIFS(INDIRECT("Tabela1["&amp;$B46&amp;"]"),Tabela1[Turno],$D46,Tabela1[Data Corrigida],AF$3)/100,"")</f>
        <v>4.6357615894039743E-2</v>
      </c>
      <c r="AG46" s="36">
        <f ca="1">IFERROR(AVERAGEIFS(INDIRECT("Tabela1["&amp;$B46&amp;"]"),Tabela1[Turno],$D46,Tabela1[Data Corrigida],AG$3)/100,"")</f>
        <v>4.2556287167485475E-2</v>
      </c>
      <c r="AH46" s="36">
        <f ca="1">IFERROR(AVERAGEIFS(INDIRECT("Tabela1["&amp;$B46&amp;"]"),Tabela1[Turno],$D46,Tabela1[Data Corrigida],AH$3)/100,"")</f>
        <v>3.888605875360842E-2</v>
      </c>
      <c r="AI46" s="36">
        <f ca="1">IFERROR(AVERAGEIFS(INDIRECT("Tabela1["&amp;$B46&amp;"]"),Tabela1[Turno],$D46,Tabela1[Data Corrigida],AI$3)/100,"")</f>
        <v>6.3102298545336527E-2</v>
      </c>
      <c r="AJ46" s="36">
        <f ca="1">IFERROR(AVERAGEIFS(INDIRECT("Tabela1["&amp;$B46&amp;"]"),Tabela1[Turno],$D46,Tabela1[Data Corrigida],AJ$3)/100,"")</f>
        <v>5.3123431329265121E-2</v>
      </c>
      <c r="AK46" s="36">
        <f ca="1">IFERROR(AVERAGEIFS(INDIRECT("Tabela1["&amp;$B46&amp;"]"),Tabela1[Turno],$D46,Tabela1[Data Corrigida],AK$3)/100,"")</f>
        <v>4.4187866790392827E-2</v>
      </c>
      <c r="AL46" s="36">
        <f ca="1">IFERROR(AVERAGEIFS(INDIRECT("Tabela1["&amp;$B46&amp;"]"),Tabela1[Turno],$D46,Tabela1[Data Corrigida],AL$3)/100,"")</f>
        <v>3.1561277914502583E-2</v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0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4.4989707423570877E-2</v>
      </c>
      <c r="N47" s="45" t="str">
        <f ca="1">IFERROR(AVERAGEIFS(INDIRECT("Tabela1["&amp;$B47&amp;"]"),Tabela1[Mês],N$3)/100,"")</f>
        <v/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3"/>
      <c r="R47" s="42">
        <f ca="1">IFERROR(AVERAGEIFS(INDIRECT("Tabela1["&amp;$B47&amp;"]"),Tabela1[Data Corrigida],R$3)/100,"")</f>
        <v>3.5415906347512238E-2</v>
      </c>
      <c r="S47" s="43">
        <f ca="1">IFERROR(AVERAGEIFS(INDIRECT("Tabela1["&amp;$B47&amp;"]"),Tabela1[Data Corrigida],S$3)/100,"")</f>
        <v>3.459812185743863E-2</v>
      </c>
      <c r="T47" s="43">
        <f ca="1">IFERROR(AVERAGEIFS(INDIRECT("Tabela1["&amp;$B47&amp;"]"),Tabela1[Data Corrigida],T$3)/100,"")</f>
        <v>2.9394409937888201E-2</v>
      </c>
      <c r="U47" s="43">
        <f ca="1">IFERROR(AVERAGEIFS(INDIRECT("Tabela1["&amp;$B47&amp;"]"),Tabela1[Data Corrigida],U$3)/100,"")</f>
        <v>4.2672082332678357E-2</v>
      </c>
      <c r="V47" s="43">
        <f ca="1">IFERROR(AVERAGEIFS(INDIRECT("Tabela1["&amp;$B47&amp;"]"),Tabela1[Data Corrigida],V$3)/100,"")</f>
        <v>3.7813958884852006E-2</v>
      </c>
      <c r="W47" s="43">
        <f ca="1">IFERROR(AVERAGEIFS(INDIRECT("Tabela1["&amp;$B47&amp;"]"),Tabela1[Data Corrigida],W$3)/100,"")</f>
        <v>4.3407189715522945E-2</v>
      </c>
      <c r="X47" s="43">
        <f ca="1">IFERROR(AVERAGEIFS(INDIRECT("Tabela1["&amp;$B47&amp;"]"),Tabela1[Data Corrigida],X$3)/100,"")</f>
        <v>5.4783518758674037E-2</v>
      </c>
      <c r="Y47" s="43">
        <f ca="1">IFERROR(AVERAGEIFS(INDIRECT("Tabela1["&amp;$B47&amp;"]"),Tabela1[Data Corrigida],Y$3)/100,"")</f>
        <v>6.1675634359127623E-2</v>
      </c>
      <c r="Z47" s="43">
        <f ca="1">IFERROR(AVERAGEIFS(INDIRECT("Tabela1["&amp;$B47&amp;"]"),Tabela1[Data Corrigida],Z$3)/100,"")</f>
        <v>4.4282870104086658E-2</v>
      </c>
      <c r="AA47" s="43">
        <f ca="1">IFERROR(AVERAGEIFS(INDIRECT("Tabela1["&amp;$B47&amp;"]"),Tabela1[Data Corrigida],AA$3)/100,"")</f>
        <v>3.3072344322344328E-2</v>
      </c>
      <c r="AB47" s="43">
        <f ca="1">IFERROR(AVERAGEIFS(INDIRECT("Tabela1["&amp;$B47&amp;"]"),Tabela1[Data Corrigida],AB$3)/100,"")</f>
        <v>4.3928841192154955E-2</v>
      </c>
      <c r="AC47" s="43">
        <f ca="1">IFERROR(AVERAGEIFS(INDIRECT("Tabela1["&amp;$B47&amp;"]"),Tabela1[Data Corrigida],AC$3)/100,"")</f>
        <v>3.666482649012958E-2</v>
      </c>
      <c r="AD47" s="43">
        <f ca="1">IFERROR(AVERAGEIFS(INDIRECT("Tabela1["&amp;$B47&amp;"]"),Tabela1[Data Corrigida],AD$3)/100,"")</f>
        <v>4.4015811838548587E-2</v>
      </c>
      <c r="AE47" s="43">
        <f ca="1">IFERROR(AVERAGEIFS(INDIRECT("Tabela1["&amp;$B47&amp;"]"),Tabela1[Data Corrigida],AE$3)/100,"")</f>
        <v>4.0533760447574639E-2</v>
      </c>
      <c r="AF47" s="43">
        <f ca="1">IFERROR(AVERAGEIFS(INDIRECT("Tabela1["&amp;$B47&amp;"]"),Tabela1[Data Corrigida],AF$3)/100,"")</f>
        <v>5.8096706885602825E-2</v>
      </c>
      <c r="AG47" s="43">
        <f ca="1">IFERROR(AVERAGEIFS(INDIRECT("Tabela1["&amp;$B47&amp;"]"),Tabela1[Data Corrigida],AG$3)/100,"")</f>
        <v>5.6021958569614991E-2</v>
      </c>
      <c r="AH47" s="43">
        <f ca="1">IFERROR(AVERAGEIFS(INDIRECT("Tabela1["&amp;$B47&amp;"]"),Tabela1[Data Corrigida],AH$3)/100,"")</f>
        <v>4.1425593194596939E-2</v>
      </c>
      <c r="AI47" s="43">
        <f ca="1">IFERROR(AVERAGEIFS(INDIRECT("Tabela1["&amp;$B47&amp;"]"),Tabela1[Data Corrigida],AI$3)/100,"")</f>
        <v>7.0010036858492816E-2</v>
      </c>
      <c r="AJ47" s="43">
        <f ca="1">IFERROR(AVERAGEIFS(INDIRECT("Tabela1["&amp;$B47&amp;"]"),Tabela1[Data Corrigida],AJ$3)/100,"")</f>
        <v>5.0184214869247651E-2</v>
      </c>
      <c r="AK47" s="43">
        <f ca="1">IFERROR(AVERAGEIFS(INDIRECT("Tabela1["&amp;$B47&amp;"]"),Tabela1[Data Corrigida],AK$3)/100,"")</f>
        <v>4.7546593921257721E-2</v>
      </c>
      <c r="AL47" s="43">
        <f ca="1">IFERROR(AVERAGEIFS(INDIRECT("Tabela1["&amp;$B47&amp;"]"),Tabela1[Data Corrigida],AL$3)/100,"")</f>
        <v>3.9100347066925181E-2</v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58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1.0567469865847829E-2</v>
      </c>
      <c r="N48" s="34" t="str">
        <f ca="1">IFERROR(AVERAGEIFS(INDIRECT("Tabela1["&amp;$B48&amp;"]"),Tabela1[Turno],$D48,Tabela1[Mês],N$3)/100,"")</f>
        <v/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61">
        <v>0.01</v>
      </c>
      <c r="R48" s="33">
        <f ca="1">IFERROR(AVERAGEIFS(INDIRECT("Tabela1["&amp;$B48&amp;"]"),Tabela1[Turno],$D48,Tabela1[Data Corrigida],R$3)/100,"")</f>
        <v>6.5897216368106777E-3</v>
      </c>
      <c r="S48" s="34">
        <f ca="1">IFERROR(AVERAGEIFS(INDIRECT("Tabela1["&amp;$B48&amp;"]"),Tabela1[Turno],$D48,Tabela1[Data Corrigida],S$3)/100,"")</f>
        <v>6.4583333333333333E-3</v>
      </c>
      <c r="T48" s="34">
        <f ca="1">IFERROR(AVERAGEIFS(INDIRECT("Tabela1["&amp;$B48&amp;"]"),Tabela1[Turno],$D48,Tabela1[Data Corrigida],T$3)/100,"")</f>
        <v>6.3541666666666677E-3</v>
      </c>
      <c r="U48" s="34">
        <f ca="1">IFERROR(AVERAGEIFS(INDIRECT("Tabela1["&amp;$B48&amp;"]"),Tabela1[Turno],$D48,Tabela1[Data Corrigida],U$3)/100,"")</f>
        <v>4.8317307692307696E-3</v>
      </c>
      <c r="V48" s="34">
        <f ca="1">IFERROR(AVERAGEIFS(INDIRECT("Tabela1["&amp;$B48&amp;"]"),Tabela1[Turno],$D48,Tabela1[Data Corrigida],V$3)/100,"")</f>
        <v>5.2426564495530025E-3</v>
      </c>
      <c r="W48" s="34">
        <f ca="1">IFERROR(AVERAGEIFS(INDIRECT("Tabela1["&amp;$B48&amp;"]"),Tabela1[Turno],$D48,Tabela1[Data Corrigida],W$3)/100,"")</f>
        <v>6.6447627901735406E-3</v>
      </c>
      <c r="X48" s="34">
        <f ca="1">IFERROR(AVERAGEIFS(INDIRECT("Tabela1["&amp;$B48&amp;"]"),Tabela1[Turno],$D48,Tabela1[Data Corrigida],X$3)/100,"")</f>
        <v>1.903169294473642E-2</v>
      </c>
      <c r="Y48" s="34">
        <f ca="1">IFERROR(AVERAGEIFS(INDIRECT("Tabela1["&amp;$B48&amp;"]"),Tabela1[Turno],$D48,Tabela1[Data Corrigida],Y$3)/100,"")</f>
        <v>2.1042806411363853E-2</v>
      </c>
      <c r="Z48" s="34">
        <f ca="1">IFERROR(AVERAGEIFS(INDIRECT("Tabela1["&amp;$B48&amp;"]"),Tabela1[Turno],$D48,Tabela1[Data Corrigida],Z$3)/100,"")</f>
        <v>1.2120037220843672E-2</v>
      </c>
      <c r="AA48" s="34">
        <f ca="1">IFERROR(AVERAGEIFS(INDIRECT("Tabela1["&amp;$B48&amp;"]"),Tabela1[Turno],$D48,Tabela1[Data Corrigida],AA$3)/100,"")</f>
        <v>6.4583333333333333E-3</v>
      </c>
      <c r="AB48" s="34">
        <f ca="1">IFERROR(AVERAGEIFS(INDIRECT("Tabela1["&amp;$B48&amp;"]"),Tabela1[Turno],$D48,Tabela1[Data Corrigida],AB$3)/100,"")</f>
        <v>6.4743589743589732E-3</v>
      </c>
      <c r="AC48" s="34">
        <f ca="1">IFERROR(AVERAGEIFS(INDIRECT("Tabela1["&amp;$B48&amp;"]"),Tabela1[Turno],$D48,Tabela1[Data Corrigida],AC$3)/100,"")</f>
        <v>6.8535348292730579E-3</v>
      </c>
      <c r="AD48" s="34">
        <f ca="1">IFERROR(AVERAGEIFS(INDIRECT("Tabela1["&amp;$B48&amp;"]"),Tabela1[Turno],$D48,Tabela1[Data Corrigida],AD$3)/100,"")</f>
        <v>1.1150793650793654E-2</v>
      </c>
      <c r="AE48" s="34">
        <f ca="1">IFERROR(AVERAGEIFS(INDIRECT("Tabela1["&amp;$B48&amp;"]"),Tabela1[Turno],$D48,Tabela1[Data Corrigida],AE$3)/100,"")</f>
        <v>6.4245899028507721E-3</v>
      </c>
      <c r="AF48" s="34">
        <f ca="1">IFERROR(AVERAGEIFS(INDIRECT("Tabela1["&amp;$B48&amp;"]"),Tabela1[Turno],$D48,Tabela1[Data Corrigida],AF$3)/100,"")</f>
        <v>1.5816404859768735E-2</v>
      </c>
      <c r="AG48" s="34">
        <f ca="1">IFERROR(AVERAGEIFS(INDIRECT("Tabela1["&amp;$B48&amp;"]"),Tabela1[Turno],$D48,Tabela1[Data Corrigida],AG$3)/100,"")</f>
        <v>1.9749158249158252E-2</v>
      </c>
      <c r="AH48" s="34">
        <f ca="1">IFERROR(AVERAGEIFS(INDIRECT("Tabela1["&amp;$B48&amp;"]"),Tabela1[Turno],$D48,Tabela1[Data Corrigida],AH$3)/100,"")</f>
        <v>1.1197477479330344E-2</v>
      </c>
      <c r="AI48" s="34">
        <f ca="1">IFERROR(AVERAGEIFS(INDIRECT("Tabela1["&amp;$B48&amp;"]"),Tabela1[Turno],$D48,Tabela1[Data Corrigida],AI$3)/100,"")</f>
        <v>2.1101247939722158E-2</v>
      </c>
      <c r="AJ48" s="34">
        <f ca="1">IFERROR(AVERAGEIFS(INDIRECT("Tabela1["&amp;$B48&amp;"]"),Tabela1[Turno],$D48,Tabela1[Data Corrigida],AJ$3)/100,"")</f>
        <v>8.9375908367954147E-3</v>
      </c>
      <c r="AK48" s="34">
        <f ca="1">IFERROR(AVERAGEIFS(INDIRECT("Tabela1["&amp;$B48&amp;"]"),Tabela1[Turno],$D48,Tabela1[Data Corrigida],AK$3)/100,"")</f>
        <v>1.2903824200913244E-2</v>
      </c>
      <c r="AL48" s="34">
        <f ca="1">IFERROR(AVERAGEIFS(INDIRECT("Tabela1["&amp;$B48&amp;"]"),Tabela1[Turno],$D48,Tabela1[Data Corrigida],AL$3)/100,"")</f>
        <v>6.6794756500310401E-3</v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59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1.0897844273586323E-3</v>
      </c>
      <c r="N49" s="36" t="str">
        <f ca="1">IFERROR(AVERAGEIFS(INDIRECT("Tabela1["&amp;$B49&amp;"]"),Tabela1[Turno],$D49,Tabela1[Mês],N$3)/100,"")</f>
        <v/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62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0</v>
      </c>
      <c r="T49" s="36">
        <f ca="1">IFERROR(AVERAGEIFS(INDIRECT("Tabela1["&amp;$B49&amp;"]"),Tabela1[Turno],$D49,Tabela1[Data Corrigida],T$3)/100,"")</f>
        <v>0</v>
      </c>
      <c r="U49" s="36">
        <f ca="1">IFERROR(AVERAGEIFS(INDIRECT("Tabela1["&amp;$B49&amp;"]"),Tabela1[Turno],$D49,Tabela1[Data Corrigida],U$3)/100,"")</f>
        <v>2.2075055187637969E-3</v>
      </c>
      <c r="V49" s="36">
        <f ca="1">IFERROR(AVERAGEIFS(INDIRECT("Tabela1["&amp;$B49&amp;"]"),Tabela1[Turno],$D49,Tabela1[Data Corrigida],V$3)/100,"")</f>
        <v>2.5641025641025645E-3</v>
      </c>
      <c r="W49" s="36">
        <f ca="1">IFERROR(AVERAGEIFS(INDIRECT("Tabela1["&amp;$B49&amp;"]"),Tabela1[Turno],$D49,Tabela1[Data Corrigida],W$3)/100,"")</f>
        <v>0</v>
      </c>
      <c r="X49" s="36">
        <f ca="1">IFERROR(AVERAGEIFS(INDIRECT("Tabela1["&amp;$B49&amp;"]"),Tabela1[Turno],$D49,Tabela1[Data Corrigida],X$3)/100,"")</f>
        <v>0</v>
      </c>
      <c r="Y49" s="36">
        <f ca="1">IFERROR(AVERAGEIFS(INDIRECT("Tabela1["&amp;$B49&amp;"]"),Tabela1[Turno],$D49,Tabela1[Data Corrigida],Y$3)/100,"")</f>
        <v>0</v>
      </c>
      <c r="Z49" s="36">
        <f ca="1">IFERROR(AVERAGEIFS(INDIRECT("Tabela1["&amp;$B49&amp;"]"),Tabela1[Turno],$D49,Tabela1[Data Corrigida],Z$3)/100,"")</f>
        <v>0</v>
      </c>
      <c r="AA49" s="36">
        <f ca="1">IFERROR(AVERAGEIFS(INDIRECT("Tabela1["&amp;$B49&amp;"]"),Tabela1[Turno],$D49,Tabela1[Data Corrigida],AA$3)/100,"")</f>
        <v>0</v>
      </c>
      <c r="AB49" s="36">
        <f ca="1">IFERROR(AVERAGEIFS(INDIRECT("Tabela1["&amp;$B49&amp;"]"),Tabela1[Turno],$D49,Tabela1[Data Corrigida],AB$3)/100,"")</f>
        <v>2.2075055187637969E-3</v>
      </c>
      <c r="AC49" s="36">
        <f ca="1">IFERROR(AVERAGEIFS(INDIRECT("Tabela1["&amp;$B49&amp;"]"),Tabela1[Turno],$D49,Tabela1[Data Corrigida],AC$3)/100,"")</f>
        <v>2.5641025641025645E-3</v>
      </c>
      <c r="AD49" s="36">
        <f ca="1">IFERROR(AVERAGEIFS(INDIRECT("Tabela1["&amp;$B49&amp;"]"),Tabela1[Turno],$D49,Tabela1[Data Corrigida],AD$3)/100,"")</f>
        <v>0</v>
      </c>
      <c r="AE49" s="36">
        <f ca="1">IFERROR(AVERAGEIFS(INDIRECT("Tabela1["&amp;$B49&amp;"]"),Tabela1[Turno],$D49,Tabela1[Data Corrigida],AE$3)/100,"")</f>
        <v>0</v>
      </c>
      <c r="AF49" s="36">
        <f ca="1">IFERROR(AVERAGEIFS(INDIRECT("Tabela1["&amp;$B49&amp;"]"),Tabela1[Turno],$D49,Tabela1[Data Corrigida],AF$3)/100,"")</f>
        <v>0</v>
      </c>
      <c r="AG49" s="36">
        <f ca="1">IFERROR(AVERAGEIFS(INDIRECT("Tabela1["&amp;$B49&amp;"]"),Tabela1[Turno],$D49,Tabela1[Data Corrigida],AG$3)/100,"")</f>
        <v>2.2988505747126441E-3</v>
      </c>
      <c r="AH49" s="36">
        <f ca="1">IFERROR(AVERAGEIFS(INDIRECT("Tabela1["&amp;$B49&amp;"]"),Tabela1[Turno],$D49,Tabela1[Data Corrigida],AH$3)/100,"")</f>
        <v>2.1367521367521365E-3</v>
      </c>
      <c r="AI49" s="36">
        <f ca="1">IFERROR(AVERAGEIFS(INDIRECT("Tabela1["&amp;$B49&amp;"]"),Tabela1[Turno],$D49,Tabela1[Data Corrigida],AI$3)/100,"")</f>
        <v>4.2194092827004225E-3</v>
      </c>
      <c r="AJ49" s="36">
        <f ca="1">IFERROR(AVERAGEIFS(INDIRECT("Tabela1["&amp;$B49&amp;"]"),Tabela1[Turno],$D49,Tabela1[Data Corrigida],AJ$3)/100,"")</f>
        <v>2.5641025641025645E-3</v>
      </c>
      <c r="AK49" s="36">
        <f ca="1">IFERROR(AVERAGEIFS(INDIRECT("Tabela1["&amp;$B49&amp;"]"),Tabela1[Turno],$D49,Tabela1[Data Corrigida],AK$3)/100,"")</f>
        <v>2.123142250530786E-3</v>
      </c>
      <c r="AL49" s="36">
        <f ca="1">IFERROR(AVERAGEIFS(INDIRECT("Tabela1["&amp;$B49&amp;"]"),Tabela1[Turno],$D49,Tabela1[Data Corrigida],AL$3)/100,"")</f>
        <v>0</v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0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6.4777836834860525E-3</v>
      </c>
      <c r="N50" s="45" t="str">
        <f ca="1">IFERROR(AVERAGEIFS(INDIRECT("Tabela1["&amp;$B50&amp;"]"),Tabela1[Mês],N$3)/100,"")</f>
        <v/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3"/>
      <c r="R50" s="37">
        <f ca="1">IFERROR(AVERAGEIFS(INDIRECT("Tabela1["&amp;$B50&amp;"]"),Tabela1[Data Corrigida],R$3)/100,"")</f>
        <v>3.7655552210346731E-3</v>
      </c>
      <c r="S50" s="38">
        <f ca="1">IFERROR(AVERAGEIFS(INDIRECT("Tabela1["&amp;$B50&amp;"]"),Tabela1[Data Corrigida],S$3)/100,"")</f>
        <v>3.6904761904761906E-3</v>
      </c>
      <c r="T50" s="38">
        <f ca="1">IFERROR(AVERAGEIFS(INDIRECT("Tabela1["&amp;$B50&amp;"]"),Tabela1[Data Corrigida],T$3)/100,"")</f>
        <v>3.6309523809523814E-3</v>
      </c>
      <c r="U50" s="38">
        <f ca="1">IFERROR(AVERAGEIFS(INDIRECT("Tabela1["&amp;$B50&amp;"]"),Tabela1[Data Corrigida],U$3)/100,"")</f>
        <v>3.707062804744924E-3</v>
      </c>
      <c r="V50" s="38">
        <f ca="1">IFERROR(AVERAGEIFS(INDIRECT("Tabela1["&amp;$B50&amp;"]"),Tabela1[Data Corrigida],V$3)/100,"")</f>
        <v>4.0947047843599574E-3</v>
      </c>
      <c r="W50" s="38">
        <f ca="1">IFERROR(AVERAGEIFS(INDIRECT("Tabela1["&amp;$B50&amp;"]"),Tabela1[Data Corrigida],W$3)/100,"")</f>
        <v>3.7970073086705945E-3</v>
      </c>
      <c r="X50" s="38">
        <f ca="1">IFERROR(AVERAGEIFS(INDIRECT("Tabela1["&amp;$B50&amp;"]"),Tabela1[Data Corrigida],X$3)/100,"")</f>
        <v>1.0875253111277954E-2</v>
      </c>
      <c r="Y50" s="38">
        <f ca="1">IFERROR(AVERAGEIFS(INDIRECT("Tabela1["&amp;$B50&amp;"]"),Tabela1[Data Corrigida],Y$3)/100,"")</f>
        <v>1.2024460806493631E-2</v>
      </c>
      <c r="Z50" s="38">
        <f ca="1">IFERROR(AVERAGEIFS(INDIRECT("Tabela1["&amp;$B50&amp;"]"),Tabela1[Data Corrigida],Z$3)/100,"")</f>
        <v>6.9257355547678121E-3</v>
      </c>
      <c r="AA50" s="38">
        <f ca="1">IFERROR(AVERAGEIFS(INDIRECT("Tabela1["&amp;$B50&amp;"]"),Tabela1[Data Corrigida],AA$3)/100,"")</f>
        <v>3.6904761904761906E-3</v>
      </c>
      <c r="AB50" s="38">
        <f ca="1">IFERROR(AVERAGEIFS(INDIRECT("Tabela1["&amp;$B50&amp;"]"),Tabela1[Data Corrigida],AB$3)/100,"")</f>
        <v>4.6457074933896128E-3</v>
      </c>
      <c r="AC50" s="38">
        <f ca="1">IFERROR(AVERAGEIFS(INDIRECT("Tabela1["&amp;$B50&amp;"]"),Tabela1[Data Corrigida],AC$3)/100,"")</f>
        <v>5.0152067156285611E-3</v>
      </c>
      <c r="AD50" s="38">
        <f ca="1">IFERROR(AVERAGEIFS(INDIRECT("Tabela1["&amp;$B50&amp;"]"),Tabela1[Data Corrigida],AD$3)/100,"")</f>
        <v>5.5753968253968271E-3</v>
      </c>
      <c r="AE50" s="38">
        <f ca="1">IFERROR(AVERAGEIFS(INDIRECT("Tabela1["&amp;$B50&amp;"]"),Tabela1[Data Corrigida],AE$3)/100,"")</f>
        <v>3.6711942302004412E-3</v>
      </c>
      <c r="AF50" s="38">
        <f ca="1">IFERROR(AVERAGEIFS(INDIRECT("Tabela1["&amp;$B50&amp;"]"),Tabela1[Data Corrigida],AF$3)/100,"")</f>
        <v>9.0379456341535633E-3</v>
      </c>
      <c r="AG50" s="38">
        <f ca="1">IFERROR(AVERAGEIFS(INDIRECT("Tabela1["&amp;$B50&amp;"]"),Tabela1[Data Corrigida],AG$3)/100,"")</f>
        <v>1.2270454960110136E-2</v>
      </c>
      <c r="AH50" s="38">
        <f ca="1">IFERROR(AVERAGEIFS(INDIRECT("Tabela1["&amp;$B50&amp;"]"),Tabela1[Data Corrigida],AH$3)/100,"")</f>
        <v>7.3143094753682549E-3</v>
      </c>
      <c r="AI50" s="38">
        <f ca="1">IFERROR(AVERAGEIFS(INDIRECT("Tabela1["&amp;$B50&amp;"]"),Tabela1[Data Corrigida],AI$3)/100,"")</f>
        <v>1.3866174229569985E-2</v>
      </c>
      <c r="AJ50" s="38">
        <f ca="1">IFERROR(AVERAGEIFS(INDIRECT("Tabela1["&amp;$B50&amp;"]"),Tabela1[Data Corrigida],AJ$3)/100,"")</f>
        <v>6.2060958627841931E-3</v>
      </c>
      <c r="AK50" s="38">
        <f ca="1">IFERROR(AVERAGEIFS(INDIRECT("Tabela1["&amp;$B50&amp;"]"),Tabela1[Data Corrigida],AK$3)/100,"")</f>
        <v>8.2835319364636187E-3</v>
      </c>
      <c r="AL50" s="38">
        <f ca="1">IFERROR(AVERAGEIFS(INDIRECT("Tabela1["&amp;$B50&amp;"]"),Tabela1[Data Corrigida],AL$3)/100,"")</f>
        <v>3.8168432285891657E-3</v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58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0.35132530120481931</v>
      </c>
      <c r="N51" s="34" t="str">
        <f ca="1">IFERROR(AVERAGEIFS(INDIRECT("Tabela1["&amp;$B51&amp;"]"),Tabela1[Turno],$D51,Tabela1[Mês],N$3)/100,"")</f>
        <v/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61">
        <v>0.02</v>
      </c>
      <c r="R51" s="39">
        <f ca="1">IFERROR(AVERAGEIFS(INDIRECT("Tabela1["&amp;$B51&amp;"]"),Tabela1[Turno],$D51,Tabela1[Data Corrigida],R$3)/100,"")</f>
        <v>0.37</v>
      </c>
      <c r="S51" s="40">
        <f ca="1">IFERROR(AVERAGEIFS(INDIRECT("Tabela1["&amp;$B51&amp;"]"),Tabela1[Turno],$D51,Tabela1[Data Corrigida],S$3)/100,"")</f>
        <v>0.31</v>
      </c>
      <c r="T51" s="40">
        <f ca="1">IFERROR(AVERAGEIFS(INDIRECT("Tabela1["&amp;$B51&amp;"]"),Tabela1[Turno],$D51,Tabela1[Data Corrigida],T$3)/100,"")</f>
        <v>0.30499999999999999</v>
      </c>
      <c r="U51" s="40">
        <f ca="1">IFERROR(AVERAGEIFS(INDIRECT("Tabela1["&amp;$B51&amp;"]"),Tabela1[Turno],$D51,Tabela1[Data Corrigida],U$3)/100,"")</f>
        <v>0.29499999999999998</v>
      </c>
      <c r="V51" s="40">
        <f ca="1">IFERROR(AVERAGEIFS(INDIRECT("Tabela1["&amp;$B51&amp;"]"),Tabela1[Turno],$D51,Tabela1[Data Corrigida],V$3)/100,"")</f>
        <v>0.28499999999999998</v>
      </c>
      <c r="W51" s="40">
        <f ca="1">IFERROR(AVERAGEIFS(INDIRECT("Tabela1["&amp;$B51&amp;"]"),Tabela1[Turno],$D51,Tabela1[Data Corrigida],W$3)/100,"")</f>
        <v>0.37</v>
      </c>
      <c r="X51" s="40">
        <f ca="1">IFERROR(AVERAGEIFS(INDIRECT("Tabela1["&amp;$B51&amp;"]"),Tabela1[Turno],$D51,Tabela1[Data Corrigida],X$3)/100,"")</f>
        <v>0.39500000000000002</v>
      </c>
      <c r="Y51" s="40">
        <f ca="1">IFERROR(AVERAGEIFS(INDIRECT("Tabela1["&amp;$B51&amp;"]"),Tabela1[Turno],$D51,Tabela1[Data Corrigida],Y$3)/100,"")</f>
        <v>0.36499999999999999</v>
      </c>
      <c r="Z51" s="40">
        <f ca="1">IFERROR(AVERAGEIFS(INDIRECT("Tabela1["&amp;$B51&amp;"]"),Tabela1[Turno],$D51,Tabela1[Data Corrigida],Z$3)/100,"")</f>
        <v>0.35499999999999998</v>
      </c>
      <c r="AA51" s="40">
        <f ca="1">IFERROR(AVERAGEIFS(INDIRECT("Tabela1["&amp;$B51&amp;"]"),Tabela1[Turno],$D51,Tabela1[Data Corrigida],AA$3)/100,"")</f>
        <v>0.38</v>
      </c>
      <c r="AB51" s="40">
        <f ca="1">IFERROR(AVERAGEIFS(INDIRECT("Tabela1["&amp;$B51&amp;"]"),Tabela1[Turno],$D51,Tabela1[Data Corrigida],AB$3)/100,"")</f>
        <v>0.33500000000000002</v>
      </c>
      <c r="AC51" s="40">
        <f ca="1">IFERROR(AVERAGEIFS(INDIRECT("Tabela1["&amp;$B51&amp;"]"),Tabela1[Turno],$D51,Tabela1[Data Corrigida],AC$3)/100,"")</f>
        <v>0.34</v>
      </c>
      <c r="AD51" s="40">
        <f ca="1">IFERROR(AVERAGEIFS(INDIRECT("Tabela1["&amp;$B51&amp;"]"),Tabela1[Turno],$D51,Tabela1[Data Corrigida],AD$3)/100,"")</f>
        <v>0.32666666666666666</v>
      </c>
      <c r="AE51" s="40">
        <f ca="1">IFERROR(AVERAGEIFS(INDIRECT("Tabela1["&amp;$B51&amp;"]"),Tabela1[Turno],$D51,Tabela1[Data Corrigida],AE$3)/100,"")</f>
        <v>0.36</v>
      </c>
      <c r="AF51" s="40">
        <f ca="1">IFERROR(AVERAGEIFS(INDIRECT("Tabela1["&amp;$B51&amp;"]"),Tabela1[Turno],$D51,Tabela1[Data Corrigida],AF$3)/100,"")</f>
        <v>0.36</v>
      </c>
      <c r="AG51" s="40">
        <f ca="1">IFERROR(AVERAGEIFS(INDIRECT("Tabela1["&amp;$B51&amp;"]"),Tabela1[Turno],$D51,Tabela1[Data Corrigida],AG$3)/100,"")</f>
        <v>0.32</v>
      </c>
      <c r="AH51" s="40">
        <f ca="1">IFERROR(AVERAGEIFS(INDIRECT("Tabela1["&amp;$B51&amp;"]"),Tabela1[Turno],$D51,Tabela1[Data Corrigida],AH$3)/100,"")</f>
        <v>0.39</v>
      </c>
      <c r="AI51" s="40">
        <f ca="1">IFERROR(AVERAGEIFS(INDIRECT("Tabela1["&amp;$B51&amp;"]"),Tabela1[Turno],$D51,Tabela1[Data Corrigida],AI$3)/100,"")</f>
        <v>0.4</v>
      </c>
      <c r="AJ51" s="40">
        <f ca="1">IFERROR(AVERAGEIFS(INDIRECT("Tabela1["&amp;$B51&amp;"]"),Tabela1[Turno],$D51,Tabela1[Data Corrigida],AJ$3)/100,"")</f>
        <v>0.375</v>
      </c>
      <c r="AK51" s="40">
        <f ca="1">IFERROR(AVERAGEIFS(INDIRECT("Tabela1["&amp;$B51&amp;"]"),Tabela1[Turno],$D51,Tabela1[Data Corrigida],AK$3)/100,"")</f>
        <v>0.34499999999999997</v>
      </c>
      <c r="AL51" s="40">
        <f ca="1">IFERROR(AVERAGEIFS(INDIRECT("Tabela1["&amp;$B51&amp;"]"),Tabela1[Turno],$D51,Tabela1[Data Corrigida],AL$3)/100,"")</f>
        <v>0.39</v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59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0.24158730158730157</v>
      </c>
      <c r="N52" s="36" t="str">
        <f ca="1">IFERROR(AVERAGEIFS(INDIRECT("Tabela1["&amp;$B52&amp;"]"),Tabela1[Turno],$D52,Tabela1[Mês],N$3)/100,"")</f>
        <v/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62"/>
      <c r="R52" s="35">
        <f ca="1">IFERROR(AVERAGEIFS(INDIRECT("Tabela1["&amp;$B52&amp;"]"),Tabela1[Turno],$D52,Tabela1[Data Corrigida],R$3)/100,"")</f>
        <v>0.2</v>
      </c>
      <c r="S52" s="36">
        <f ca="1">IFERROR(AVERAGEIFS(INDIRECT("Tabela1["&amp;$B52&amp;"]"),Tabela1[Turno],$D52,Tabela1[Data Corrigida],S$3)/100,"")</f>
        <v>0.16666666666666669</v>
      </c>
      <c r="T52" s="36">
        <f ca="1">IFERROR(AVERAGEIFS(INDIRECT("Tabela1["&amp;$B52&amp;"]"),Tabela1[Turno],$D52,Tabela1[Data Corrigida],T$3)/100,"")</f>
        <v>0.14000000000000001</v>
      </c>
      <c r="U52" s="36">
        <f ca="1">IFERROR(AVERAGEIFS(INDIRECT("Tabela1["&amp;$B52&amp;"]"),Tabela1[Turno],$D52,Tabela1[Data Corrigida],U$3)/100,"")</f>
        <v>0.13333333333333333</v>
      </c>
      <c r="V52" s="36">
        <f ca="1">IFERROR(AVERAGEIFS(INDIRECT("Tabela1["&amp;$B52&amp;"]"),Tabela1[Turno],$D52,Tabela1[Data Corrigida],V$3)/100,"")</f>
        <v>0.13333333333333333</v>
      </c>
      <c r="W52" s="36">
        <f ca="1">IFERROR(AVERAGEIFS(INDIRECT("Tabela1["&amp;$B52&amp;"]"),Tabela1[Turno],$D52,Tabela1[Data Corrigida],W$3)/100,"")</f>
        <v>0.16</v>
      </c>
      <c r="X52" s="36">
        <f ca="1">IFERROR(AVERAGEIFS(INDIRECT("Tabela1["&amp;$B52&amp;"]"),Tabela1[Turno],$D52,Tabela1[Data Corrigida],X$3)/100,"")</f>
        <v>0.13333333333333333</v>
      </c>
      <c r="Y52" s="36">
        <f ca="1">IFERROR(AVERAGEIFS(INDIRECT("Tabela1["&amp;$B52&amp;"]"),Tabela1[Turno],$D52,Tabela1[Data Corrigida],Y$3)/100,"")</f>
        <v>0.13333333333333333</v>
      </c>
      <c r="Z52" s="36">
        <f ca="1">IFERROR(AVERAGEIFS(INDIRECT("Tabela1["&amp;$B52&amp;"]"),Tabela1[Turno],$D52,Tabela1[Data Corrigida],Z$3)/100,"")</f>
        <v>0.13333333333333333</v>
      </c>
      <c r="AA52" s="36">
        <f ca="1">IFERROR(AVERAGEIFS(INDIRECT("Tabela1["&amp;$B52&amp;"]"),Tabela1[Turno],$D52,Tabela1[Data Corrigida],AA$3)/100,"")</f>
        <v>0.17333333333333331</v>
      </c>
      <c r="AB52" s="36">
        <f ca="1">IFERROR(AVERAGEIFS(INDIRECT("Tabela1["&amp;$B52&amp;"]"),Tabela1[Turno],$D52,Tabela1[Data Corrigida],AB$3)/100,"")</f>
        <v>0.16</v>
      </c>
      <c r="AC52" s="36">
        <f ca="1">IFERROR(AVERAGEIFS(INDIRECT("Tabela1["&amp;$B52&amp;"]"),Tabela1[Turno],$D52,Tabela1[Data Corrigida],AC$3)/100,"")</f>
        <v>0.21333333333333332</v>
      </c>
      <c r="AD52" s="36">
        <f ca="1">IFERROR(AVERAGEIFS(INDIRECT("Tabela1["&amp;$B52&amp;"]"),Tabela1[Turno],$D52,Tabela1[Data Corrigida],AD$3)/100,"")</f>
        <v>0.3066666666666667</v>
      </c>
      <c r="AE52" s="36">
        <f ca="1">IFERROR(AVERAGEIFS(INDIRECT("Tabela1["&amp;$B52&amp;"]"),Tabela1[Turno],$D52,Tabela1[Data Corrigida],AE$3)/100,"")</f>
        <v>0.32</v>
      </c>
      <c r="AF52" s="36">
        <f ca="1">IFERROR(AVERAGEIFS(INDIRECT("Tabela1["&amp;$B52&amp;"]"),Tabela1[Turno],$D52,Tabela1[Data Corrigida],AF$3)/100,"")</f>
        <v>0.34</v>
      </c>
      <c r="AG52" s="36">
        <f ca="1">IFERROR(AVERAGEIFS(INDIRECT("Tabela1["&amp;$B52&amp;"]"),Tabela1[Turno],$D52,Tabela1[Data Corrigida],AG$3)/100,"")</f>
        <v>0.36666666666666664</v>
      </c>
      <c r="AH52" s="36">
        <f ca="1">IFERROR(AVERAGEIFS(INDIRECT("Tabela1["&amp;$B52&amp;"]"),Tabela1[Turno],$D52,Tabela1[Data Corrigida],AH$3)/100,"")</f>
        <v>0.38666666666666666</v>
      </c>
      <c r="AI52" s="36">
        <f ca="1">IFERROR(AVERAGEIFS(INDIRECT("Tabela1["&amp;$B52&amp;"]"),Tabela1[Turno],$D52,Tabela1[Data Corrigida],AI$3)/100,"")</f>
        <v>0.38666666666666666</v>
      </c>
      <c r="AJ52" s="36">
        <f ca="1">IFERROR(AVERAGEIFS(INDIRECT("Tabela1["&amp;$B52&amp;"]"),Tabela1[Turno],$D52,Tabela1[Data Corrigida],AJ$3)/100,"")</f>
        <v>0.37333333333333335</v>
      </c>
      <c r="AK52" s="36">
        <f ca="1">IFERROR(AVERAGEIFS(INDIRECT("Tabela1["&amp;$B52&amp;"]"),Tabela1[Turno],$D52,Tabela1[Data Corrigida],AK$3)/100,"")</f>
        <v>0.37333333333333335</v>
      </c>
      <c r="AL52" s="36">
        <f ca="1">IFERROR(AVERAGEIFS(INDIRECT("Tabela1["&amp;$B52&amp;"]"),Tabela1[Turno],$D52,Tabela1[Data Corrigida],AL$3)/100,"")</f>
        <v>0.34</v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0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0.30397260273972604</v>
      </c>
      <c r="N53" s="45" t="str">
        <f ca="1">IFERROR(AVERAGEIFS(INDIRECT("Tabela1["&amp;$B53&amp;"]"),Tabela1[Mês],N$3)/100,"")</f>
        <v/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3"/>
      <c r="R53" s="52">
        <f ca="1">IFERROR(AVERAGEIFS(INDIRECT("Tabela1["&amp;$B53&amp;"]"),Tabela1[Data Corrigida],R$3)/100,"")</f>
        <v>0.29714285714285715</v>
      </c>
      <c r="S53" s="53">
        <f ca="1">IFERROR(AVERAGEIFS(INDIRECT("Tabela1["&amp;$B53&amp;"]"),Tabela1[Data Corrigida],S$3)/100,"")</f>
        <v>0.24857142857142858</v>
      </c>
      <c r="T53" s="53">
        <f ca="1">IFERROR(AVERAGEIFS(INDIRECT("Tabela1["&amp;$B53&amp;"]"),Tabela1[Data Corrigida],T$3)/100,"")</f>
        <v>0.23428571428571426</v>
      </c>
      <c r="U53" s="53">
        <f ca="1">IFERROR(AVERAGEIFS(INDIRECT("Tabela1["&amp;$B53&amp;"]"),Tabela1[Data Corrigida],U$3)/100,"")</f>
        <v>0.22571428571428573</v>
      </c>
      <c r="V53" s="53">
        <f ca="1">IFERROR(AVERAGEIFS(INDIRECT("Tabela1["&amp;$B53&amp;"]"),Tabela1[Data Corrigida],V$3)/100,"")</f>
        <v>0.22</v>
      </c>
      <c r="W53" s="53">
        <f ca="1">IFERROR(AVERAGEIFS(INDIRECT("Tabela1["&amp;$B53&amp;"]"),Tabela1[Data Corrigida],W$3)/100,"")</f>
        <v>0.28000000000000003</v>
      </c>
      <c r="X53" s="53">
        <f ca="1">IFERROR(AVERAGEIFS(INDIRECT("Tabela1["&amp;$B53&amp;"]"),Tabela1[Data Corrigida],X$3)/100,"")</f>
        <v>0.28285714285714286</v>
      </c>
      <c r="Y53" s="53">
        <f ca="1">IFERROR(AVERAGEIFS(INDIRECT("Tabela1["&amp;$B53&amp;"]"),Tabela1[Data Corrigida],Y$3)/100,"")</f>
        <v>0.26571428571428574</v>
      </c>
      <c r="Z53" s="53">
        <f ca="1">IFERROR(AVERAGEIFS(INDIRECT("Tabela1["&amp;$B53&amp;"]"),Tabela1[Data Corrigida],Z$3)/100,"")</f>
        <v>0.26</v>
      </c>
      <c r="AA53" s="53">
        <f ca="1">IFERROR(AVERAGEIFS(INDIRECT("Tabela1["&amp;$B53&amp;"]"),Tabela1[Data Corrigida],AA$3)/100,"")</f>
        <v>0.29142857142857143</v>
      </c>
      <c r="AB53" s="53">
        <f ca="1">IFERROR(AVERAGEIFS(INDIRECT("Tabela1["&amp;$B53&amp;"]"),Tabela1[Data Corrigida],AB$3)/100,"")</f>
        <v>0.26</v>
      </c>
      <c r="AC53" s="53">
        <f ca="1">IFERROR(AVERAGEIFS(INDIRECT("Tabela1["&amp;$B53&amp;"]"),Tabela1[Data Corrigida],AC$3)/100,"")</f>
        <v>0.28571428571428575</v>
      </c>
      <c r="AD53" s="53">
        <f ca="1">IFERROR(AVERAGEIFS(INDIRECT("Tabela1["&amp;$B53&amp;"]"),Tabela1[Data Corrigida],AD$3)/100,"")</f>
        <v>0.31666666666666665</v>
      </c>
      <c r="AE53" s="53">
        <f ca="1">IFERROR(AVERAGEIFS(INDIRECT("Tabela1["&amp;$B53&amp;"]"),Tabela1[Data Corrigida],AE$3)/100,"")</f>
        <v>0.34285714285714286</v>
      </c>
      <c r="AF53" s="53">
        <f ca="1">IFERROR(AVERAGEIFS(INDIRECT("Tabela1["&amp;$B53&amp;"]"),Tabela1[Data Corrigida],AF$3)/100,"")</f>
        <v>0.35142857142857148</v>
      </c>
      <c r="AG53" s="53">
        <f ca="1">IFERROR(AVERAGEIFS(INDIRECT("Tabela1["&amp;$B53&amp;"]"),Tabela1[Data Corrigida],AG$3)/100,"")</f>
        <v>0.34</v>
      </c>
      <c r="AH53" s="53">
        <f ca="1">IFERROR(AVERAGEIFS(INDIRECT("Tabela1["&amp;$B53&amp;"]"),Tabela1[Data Corrigida],AH$3)/100,"")</f>
        <v>0.38857142857142857</v>
      </c>
      <c r="AI53" s="53">
        <f ca="1">IFERROR(AVERAGEIFS(INDIRECT("Tabela1["&amp;$B53&amp;"]"),Tabela1[Data Corrigida],AI$3)/100,"")</f>
        <v>0.39428571428571429</v>
      </c>
      <c r="AJ53" s="53">
        <f ca="1">IFERROR(AVERAGEIFS(INDIRECT("Tabela1["&amp;$B53&amp;"]"),Tabela1[Data Corrigida],AJ$3)/100,"")</f>
        <v>0.37428571428571433</v>
      </c>
      <c r="AK53" s="53">
        <f ca="1">IFERROR(AVERAGEIFS(INDIRECT("Tabela1["&amp;$B53&amp;"]"),Tabela1[Data Corrigida],AK$3)/100,"")</f>
        <v>0.35714285714285715</v>
      </c>
      <c r="AL53" s="53">
        <f ca="1">IFERROR(AVERAGEIFS(INDIRECT("Tabela1["&amp;$B53&amp;"]"),Tabela1[Data Corrigida],AL$3)/100,"")</f>
        <v>0.36857142857142855</v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58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1.2195121951219512E-3</v>
      </c>
      <c r="N54" s="34" t="str">
        <f ca="1">IFERROR(AVERAGEIFS(INDIRECT("Tabela1["&amp;$B54&amp;"]"),Tabela1[Turno],$D54,Tabela1[Mês],N$3)/100,"")</f>
        <v/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61">
        <v>0.01</v>
      </c>
      <c r="R54" s="39">
        <f ca="1">IFERROR(AVERAGEIFS(INDIRECT("Tabela1["&amp;$B54&amp;"]"),Tabela1[Turno],$D54,Tabela1[Data Corrigida],R$3)/100,"")</f>
        <v>0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</v>
      </c>
      <c r="W54" s="40">
        <f ca="1">IFERROR(AVERAGEIFS(INDIRECT("Tabela1["&amp;$B54&amp;"]"),Tabela1[Turno],$D54,Tabela1[Data Corrigida],W$3)/100,"")</f>
        <v>0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0</v>
      </c>
      <c r="Z54" s="40">
        <f ca="1">IFERROR(AVERAGEIFS(INDIRECT("Tabela1["&amp;$B54&amp;"]"),Tabela1[Turno],$D54,Tabela1[Data Corrigida],Z$3)/100,"")</f>
        <v>0</v>
      </c>
      <c r="AA54" s="40">
        <f ca="1">IFERROR(AVERAGEIFS(INDIRECT("Tabela1["&amp;$B54&amp;"]"),Tabela1[Turno],$D54,Tabela1[Data Corrigida],AA$3)/100,"")</f>
        <v>5.0000000000000001E-3</v>
      </c>
      <c r="AB54" s="40">
        <f ca="1">IFERROR(AVERAGEIFS(INDIRECT("Tabela1["&amp;$B54&amp;"]"),Tabela1[Turno],$D54,Tabela1[Data Corrigida],AB$3)/100,"")</f>
        <v>0</v>
      </c>
      <c r="AC54" s="40">
        <f ca="1">IFERROR(AVERAGEIFS(INDIRECT("Tabela1["&amp;$B54&amp;"]"),Tabela1[Turno],$D54,Tabela1[Data Corrigida],AC$3)/100,"")</f>
        <v>0</v>
      </c>
      <c r="AD54" s="40">
        <f ca="1">IFERROR(AVERAGEIFS(INDIRECT("Tabela1["&amp;$B54&amp;"]"),Tabela1[Turno],$D54,Tabela1[Data Corrigida],AD$3)/100,"")</f>
        <v>6.6666666666666662E-3</v>
      </c>
      <c r="AE54" s="40">
        <f ca="1">IFERROR(AVERAGEIFS(INDIRECT("Tabela1["&amp;$B54&amp;"]"),Tabela1[Turno],$D54,Tabela1[Data Corrigida],AE$3)/100,"")</f>
        <v>5.0000000000000001E-3</v>
      </c>
      <c r="AF54" s="40">
        <f ca="1">IFERROR(AVERAGEIFS(INDIRECT("Tabela1["&amp;$B54&amp;"]"),Tabela1[Turno],$D54,Tabela1[Data Corrigida],AF$3)/100,"")</f>
        <v>5.0000000000000001E-3</v>
      </c>
      <c r="AG54" s="40">
        <f ca="1">IFERROR(AVERAGEIFS(INDIRECT("Tabela1["&amp;$B54&amp;"]"),Tabela1[Turno],$D54,Tabela1[Data Corrigida],AG$3)/100,"")</f>
        <v>0</v>
      </c>
      <c r="AH54" s="40">
        <f ca="1">IFERROR(AVERAGEIFS(INDIRECT("Tabela1["&amp;$B54&amp;"]"),Tabela1[Turno],$D54,Tabela1[Data Corrigida],AH$3)/100,"")</f>
        <v>0</v>
      </c>
      <c r="AI54" s="40">
        <f ca="1">IFERROR(AVERAGEIFS(INDIRECT("Tabela1["&amp;$B54&amp;"]"),Tabela1[Turno],$D54,Tabela1[Data Corrigida],AI$3)/100,"")</f>
        <v>5.0000000000000001E-3</v>
      </c>
      <c r="AJ54" s="40">
        <f ca="1">IFERROR(AVERAGEIFS(INDIRECT("Tabela1["&amp;$B54&amp;"]"),Tabela1[Turno],$D54,Tabela1[Data Corrigida],AJ$3)/100,"")</f>
        <v>0</v>
      </c>
      <c r="AK54" s="40">
        <f ca="1">IFERROR(AVERAGEIFS(INDIRECT("Tabela1["&amp;$B54&amp;"]"),Tabela1[Turno],$D54,Tabela1[Data Corrigida],AK$3)/100,"")</f>
        <v>0</v>
      </c>
      <c r="AL54" s="40">
        <f ca="1">IFERROR(AVERAGEIFS(INDIRECT("Tabela1["&amp;$B54&amp;"]"),Tabela1[Turno],$D54,Tabela1[Data Corrigida],AL$3)/100,"")</f>
        <v>0</v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59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4.4444444444444444E-3</v>
      </c>
      <c r="N55" s="36" t="str">
        <f ca="1">IFERROR(AVERAGEIFS(INDIRECT("Tabela1["&amp;$B55&amp;"]"),Tabela1[Turno],$D55,Tabela1[Mês],N$3)/100,"")</f>
        <v/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62"/>
      <c r="R55" s="35">
        <f ca="1">IFERROR(AVERAGEIFS(INDIRECT("Tabela1["&amp;$B55&amp;"]"),Tabela1[Turno],$D55,Tabela1[Data Corrigida],R$3)/100,"")</f>
        <v>6.6666666666666662E-3</v>
      </c>
      <c r="S55" s="36">
        <f ca="1">IFERROR(AVERAGEIFS(INDIRECT("Tabela1["&amp;$B55&amp;"]"),Tabela1[Turno],$D55,Tabela1[Data Corrigida],S$3)/100,"")</f>
        <v>0</v>
      </c>
      <c r="T55" s="36">
        <f ca="1">IFERROR(AVERAGEIFS(INDIRECT("Tabela1["&amp;$B55&amp;"]"),Tabela1[Turno],$D55,Tabela1[Data Corrigida],T$3)/100,"")</f>
        <v>0.02</v>
      </c>
      <c r="U55" s="36">
        <f ca="1">IFERROR(AVERAGEIFS(INDIRECT("Tabela1["&amp;$B55&amp;"]"),Tabela1[Turno],$D55,Tabela1[Data Corrigida],U$3)/100,"")</f>
        <v>6.6666666666666662E-3</v>
      </c>
      <c r="V55" s="36">
        <f ca="1">IFERROR(AVERAGEIFS(INDIRECT("Tabela1["&amp;$B55&amp;"]"),Tabela1[Turno],$D55,Tabela1[Data Corrigida],V$3)/100,"")</f>
        <v>6.6666666666666662E-3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>
        <f ca="1">IFERROR(AVERAGEIFS(INDIRECT("Tabela1["&amp;$B55&amp;"]"),Tabela1[Turno],$D55,Tabela1[Data Corrigida],Y$3)/100,"")</f>
        <v>6.6666666666666662E-3</v>
      </c>
      <c r="Z55" s="36">
        <f ca="1">IFERROR(AVERAGEIFS(INDIRECT("Tabela1["&amp;$B55&amp;"]"),Tabela1[Turno],$D55,Tabela1[Data Corrigida],Z$3)/100,"")</f>
        <v>0</v>
      </c>
      <c r="AA55" s="36">
        <f ca="1">IFERROR(AVERAGEIFS(INDIRECT("Tabela1["&amp;$B55&amp;"]"),Tabela1[Turno],$D55,Tabela1[Data Corrigida],AA$3)/100,"")</f>
        <v>6.6666666666666662E-3</v>
      </c>
      <c r="AB55" s="36">
        <f ca="1">IFERROR(AVERAGEIFS(INDIRECT("Tabela1["&amp;$B55&amp;"]"),Tabela1[Turno],$D55,Tabela1[Data Corrigida],AB$3)/100,"")</f>
        <v>6.6666666666666662E-3</v>
      </c>
      <c r="AC55" s="36">
        <f ca="1">IFERROR(AVERAGEIFS(INDIRECT("Tabela1["&amp;$B55&amp;"]"),Tabela1[Turno],$D55,Tabela1[Data Corrigida],AC$3)/100,"")</f>
        <v>0.02</v>
      </c>
      <c r="AD55" s="36">
        <f ca="1">IFERROR(AVERAGEIFS(INDIRECT("Tabela1["&amp;$B55&amp;"]"),Tabela1[Turno],$D55,Tabela1[Data Corrigida],AD$3)/100,"")</f>
        <v>0</v>
      </c>
      <c r="AE55" s="36">
        <f ca="1">IFERROR(AVERAGEIFS(INDIRECT("Tabela1["&amp;$B55&amp;"]"),Tabela1[Turno],$D55,Tabela1[Data Corrigida],AE$3)/100,"")</f>
        <v>0</v>
      </c>
      <c r="AF55" s="36">
        <f ca="1">IFERROR(AVERAGEIFS(INDIRECT("Tabela1["&amp;$B55&amp;"]"),Tabela1[Turno],$D55,Tabela1[Data Corrigida],AF$3)/100,"")</f>
        <v>1.3333333333333332E-2</v>
      </c>
      <c r="AG55" s="36">
        <f ca="1">IFERROR(AVERAGEIFS(INDIRECT("Tabela1["&amp;$B55&amp;"]"),Tabela1[Turno],$D55,Tabela1[Data Corrigida],AG$3)/100,"")</f>
        <v>0</v>
      </c>
      <c r="AH55" s="36">
        <f ca="1">IFERROR(AVERAGEIFS(INDIRECT("Tabela1["&amp;$B55&amp;"]"),Tabela1[Turno],$D55,Tabela1[Data Corrigida],AH$3)/100,"")</f>
        <v>0</v>
      </c>
      <c r="AI55" s="36">
        <f ca="1">IFERROR(AVERAGEIFS(INDIRECT("Tabela1["&amp;$B55&amp;"]"),Tabela1[Turno],$D55,Tabela1[Data Corrigida],AI$3)/100,"")</f>
        <v>0</v>
      </c>
      <c r="AJ55" s="36">
        <f ca="1">IFERROR(AVERAGEIFS(INDIRECT("Tabela1["&amp;$B55&amp;"]"),Tabela1[Turno],$D55,Tabela1[Data Corrigida],AJ$3)/100,"")</f>
        <v>0</v>
      </c>
      <c r="AK55" s="36">
        <f ca="1">IFERROR(AVERAGEIFS(INDIRECT("Tabela1["&amp;$B55&amp;"]"),Tabela1[Turno],$D55,Tabela1[Data Corrigida],AK$3)/100,"")</f>
        <v>0</v>
      </c>
      <c r="AL55" s="36">
        <f ca="1">IFERROR(AVERAGEIFS(INDIRECT("Tabela1["&amp;$B55&amp;"]"),Tabela1[Turno],$D55,Tabela1[Data Corrigida],AL$3)/100,"")</f>
        <v>0</v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0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2.620689655172414E-3</v>
      </c>
      <c r="N56" s="45" t="str">
        <f ca="1">IFERROR(AVERAGEIFS(INDIRECT("Tabela1["&amp;$B56&amp;"]"),Tabela1[Mês],N$3)/100,"")</f>
        <v/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3"/>
      <c r="R56" s="37">
        <f ca="1">IFERROR(AVERAGEIFS(INDIRECT("Tabela1["&amp;$B56&amp;"]"),Tabela1[Data Corrigida],R$3)/100,"")</f>
        <v>3.3333333333333331E-3</v>
      </c>
      <c r="S56" s="38">
        <f ca="1">IFERROR(AVERAGEIFS(INDIRECT("Tabela1["&amp;$B56&amp;"]"),Tabela1[Data Corrigida],S$3)/100,"")</f>
        <v>0</v>
      </c>
      <c r="T56" s="38">
        <f ca="1">IFERROR(AVERAGEIFS(INDIRECT("Tabela1["&amp;$B56&amp;"]"),Tabela1[Data Corrigida],T$3)/100,"")</f>
        <v>8.5714285714285701E-3</v>
      </c>
      <c r="U56" s="38">
        <f ca="1">IFERROR(AVERAGEIFS(INDIRECT("Tabela1["&amp;$B56&amp;"]"),Tabela1[Data Corrigida],U$3)/100,"")</f>
        <v>2.8571428571428571E-3</v>
      </c>
      <c r="V56" s="38">
        <f ca="1">IFERROR(AVERAGEIFS(INDIRECT("Tabela1["&amp;$B56&amp;"]"),Tabela1[Data Corrigida],V$3)/100,"")</f>
        <v>2.8571428571428571E-3</v>
      </c>
      <c r="W56" s="38">
        <f ca="1">IFERROR(AVERAGEIFS(INDIRECT("Tabela1["&amp;$B56&amp;"]"),Tabela1[Data Corrigida],W$3)/100,"")</f>
        <v>0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2.8571428571428571E-3</v>
      </c>
      <c r="Z56" s="38">
        <f ca="1">IFERROR(AVERAGEIFS(INDIRECT("Tabela1["&amp;$B56&amp;"]"),Tabela1[Data Corrigida],Z$3)/100,"")</f>
        <v>0</v>
      </c>
      <c r="AA56" s="38">
        <f ca="1">IFERROR(AVERAGEIFS(INDIRECT("Tabela1["&amp;$B56&amp;"]"),Tabela1[Data Corrigida],AA$3)/100,"")</f>
        <v>5.7142857142857143E-3</v>
      </c>
      <c r="AB56" s="38">
        <f ca="1">IFERROR(AVERAGEIFS(INDIRECT("Tabela1["&amp;$B56&amp;"]"),Tabela1[Data Corrigida],AB$3)/100,"")</f>
        <v>2.8571428571428571E-3</v>
      </c>
      <c r="AC56" s="38">
        <f ca="1">IFERROR(AVERAGEIFS(INDIRECT("Tabela1["&amp;$B56&amp;"]"),Tabela1[Data Corrigida],AC$3)/100,"")</f>
        <v>8.5714285714285701E-3</v>
      </c>
      <c r="AD56" s="38">
        <f ca="1">IFERROR(AVERAGEIFS(INDIRECT("Tabela1["&amp;$B56&amp;"]"),Tabela1[Data Corrigida],AD$3)/100,"")</f>
        <v>3.3333333333333331E-3</v>
      </c>
      <c r="AE56" s="38">
        <f ca="1">IFERROR(AVERAGEIFS(INDIRECT("Tabela1["&amp;$B56&amp;"]"),Tabela1[Data Corrigida],AE$3)/100,"")</f>
        <v>2.8571428571428571E-3</v>
      </c>
      <c r="AF56" s="38">
        <f ca="1">IFERROR(AVERAGEIFS(INDIRECT("Tabela1["&amp;$B56&amp;"]"),Tabela1[Data Corrigida],AF$3)/100,"")</f>
        <v>8.5714285714285701E-3</v>
      </c>
      <c r="AG56" s="38">
        <f ca="1">IFERROR(AVERAGEIFS(INDIRECT("Tabela1["&amp;$B56&amp;"]"),Tabela1[Data Corrigida],AG$3)/100,"")</f>
        <v>0</v>
      </c>
      <c r="AH56" s="38">
        <f ca="1">IFERROR(AVERAGEIFS(INDIRECT("Tabela1["&amp;$B56&amp;"]"),Tabela1[Data Corrigida],AH$3)/100,"")</f>
        <v>0</v>
      </c>
      <c r="AI56" s="38">
        <f ca="1">IFERROR(AVERAGEIFS(INDIRECT("Tabela1["&amp;$B56&amp;"]"),Tabela1[Data Corrigida],AI$3)/100,"")</f>
        <v>2.8571428571428571E-3</v>
      </c>
      <c r="AJ56" s="38">
        <f ca="1">IFERROR(AVERAGEIFS(INDIRECT("Tabela1["&amp;$B56&amp;"]"),Tabela1[Data Corrigida],AJ$3)/100,"")</f>
        <v>0</v>
      </c>
      <c r="AK56" s="38">
        <f ca="1">IFERROR(AVERAGEIFS(INDIRECT("Tabela1["&amp;$B56&amp;"]"),Tabela1[Data Corrigida],AK$3)/100,"")</f>
        <v>0</v>
      </c>
      <c r="AL56" s="38">
        <f ca="1">IFERROR(AVERAGEIFS(INDIRECT("Tabela1["&amp;$B56&amp;"]"),Tabela1[Data Corrigida],AL$3)/100,"")</f>
        <v>0</v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58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1.2195121951219512E-3</v>
      </c>
      <c r="N57" s="34" t="str">
        <f ca="1">IFERROR(AVERAGEIFS(INDIRECT("Tabela1["&amp;$B57&amp;"]"),Tabela1[Turno],$D57,Tabela1[Mês],N$3)/100,"")</f>
        <v/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61">
        <v>0.01</v>
      </c>
      <c r="R57" s="39">
        <f ca="1">IFERROR(AVERAGEIFS(INDIRECT("Tabela1["&amp;$B57&amp;"]"),Tabela1[Turno],$D57,Tabela1[Data Corrigida],R$3)/100,"")</f>
        <v>0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</v>
      </c>
      <c r="W57" s="40">
        <f ca="1">IFERROR(AVERAGEIFS(INDIRECT("Tabela1["&amp;$B57&amp;"]"),Tabela1[Turno],$D57,Tabela1[Data Corrigida],W$3)/100,"")</f>
        <v>0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0</v>
      </c>
      <c r="Z57" s="40">
        <f ca="1">IFERROR(AVERAGEIFS(INDIRECT("Tabela1["&amp;$B57&amp;"]"),Tabela1[Turno],$D57,Tabela1[Data Corrigida],Z$3)/100,"")</f>
        <v>0</v>
      </c>
      <c r="AA57" s="40">
        <f ca="1">IFERROR(AVERAGEIFS(INDIRECT("Tabela1["&amp;$B57&amp;"]"),Tabela1[Turno],$D57,Tabela1[Data Corrigida],AA$3)/100,"")</f>
        <v>5.0000000000000001E-3</v>
      </c>
      <c r="AB57" s="40">
        <f ca="1">IFERROR(AVERAGEIFS(INDIRECT("Tabela1["&amp;$B57&amp;"]"),Tabela1[Turno],$D57,Tabela1[Data Corrigida],AB$3)/100,"")</f>
        <v>0</v>
      </c>
      <c r="AC57" s="40">
        <f ca="1">IFERROR(AVERAGEIFS(INDIRECT("Tabela1["&amp;$B57&amp;"]"),Tabela1[Turno],$D57,Tabela1[Data Corrigida],AC$3)/100,"")</f>
        <v>0</v>
      </c>
      <c r="AD57" s="40">
        <f ca="1">IFERROR(AVERAGEIFS(INDIRECT("Tabela1["&amp;$B57&amp;"]"),Tabela1[Turno],$D57,Tabela1[Data Corrigida],AD$3)/100,"")</f>
        <v>6.6666666666666662E-3</v>
      </c>
      <c r="AE57" s="40">
        <f ca="1">IFERROR(AVERAGEIFS(INDIRECT("Tabela1["&amp;$B57&amp;"]"),Tabela1[Turno],$D57,Tabela1[Data Corrigida],AE$3)/100,"")</f>
        <v>5.0000000000000001E-3</v>
      </c>
      <c r="AF57" s="40">
        <f ca="1">IFERROR(AVERAGEIFS(INDIRECT("Tabela1["&amp;$B57&amp;"]"),Tabela1[Turno],$D57,Tabela1[Data Corrigida],AF$3)/100,"")</f>
        <v>5.0000000000000001E-3</v>
      </c>
      <c r="AG57" s="40">
        <f ca="1">IFERROR(AVERAGEIFS(INDIRECT("Tabela1["&amp;$B57&amp;"]"),Tabela1[Turno],$D57,Tabela1[Data Corrigida],AG$3)/100,"")</f>
        <v>0</v>
      </c>
      <c r="AH57" s="40">
        <f ca="1">IFERROR(AVERAGEIFS(INDIRECT("Tabela1["&amp;$B57&amp;"]"),Tabela1[Turno],$D57,Tabela1[Data Corrigida],AH$3)/100,"")</f>
        <v>0</v>
      </c>
      <c r="AI57" s="40">
        <f ca="1">IFERROR(AVERAGEIFS(INDIRECT("Tabela1["&amp;$B57&amp;"]"),Tabela1[Turno],$D57,Tabela1[Data Corrigida],AI$3)/100,"")</f>
        <v>5.0000000000000001E-3</v>
      </c>
      <c r="AJ57" s="40">
        <f ca="1">IFERROR(AVERAGEIFS(INDIRECT("Tabela1["&amp;$B57&amp;"]"),Tabela1[Turno],$D57,Tabela1[Data Corrigida],AJ$3)/100,"")</f>
        <v>0</v>
      </c>
      <c r="AK57" s="40">
        <f ca="1">IFERROR(AVERAGEIFS(INDIRECT("Tabela1["&amp;$B57&amp;"]"),Tabela1[Turno],$D57,Tabela1[Data Corrigida],AK$3)/100,"")</f>
        <v>0</v>
      </c>
      <c r="AL57" s="40">
        <f ca="1">IFERROR(AVERAGEIFS(INDIRECT("Tabela1["&amp;$B57&amp;"]"),Tabela1[Turno],$D57,Tabela1[Data Corrigida],AL$3)/100,"")</f>
        <v>0</v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59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3.8095238095238095E-3</v>
      </c>
      <c r="N58" s="36" t="str">
        <f ca="1">IFERROR(AVERAGEIFS(INDIRECT("Tabela1["&amp;$B58&amp;"]"),Tabela1[Turno],$D58,Tabela1[Mês],N$3)/100,"")</f>
        <v/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62"/>
      <c r="R58" s="35">
        <f ca="1">IFERROR(AVERAGEIFS(INDIRECT("Tabela1["&amp;$B58&amp;"]"),Tabela1[Turno],$D58,Tabela1[Data Corrigida],R$3)/100,"")</f>
        <v>6.6666666666666662E-3</v>
      </c>
      <c r="S58" s="36">
        <f ca="1">IFERROR(AVERAGEIFS(INDIRECT("Tabela1["&amp;$B58&amp;"]"),Tabela1[Turno],$D58,Tabela1[Data Corrigida],S$3)/100,"")</f>
        <v>0</v>
      </c>
      <c r="T58" s="36">
        <f ca="1">IFERROR(AVERAGEIFS(INDIRECT("Tabela1["&amp;$B58&amp;"]"),Tabela1[Turno],$D58,Tabela1[Data Corrigida],T$3)/100,"")</f>
        <v>0.02</v>
      </c>
      <c r="U58" s="36">
        <f ca="1">IFERROR(AVERAGEIFS(INDIRECT("Tabela1["&amp;$B58&amp;"]"),Tabela1[Turno],$D58,Tabela1[Data Corrigida],U$3)/100,"")</f>
        <v>0</v>
      </c>
      <c r="V58" s="36">
        <f ca="1">IFERROR(AVERAGEIFS(INDIRECT("Tabela1["&amp;$B58&amp;"]"),Tabela1[Turno],$D58,Tabela1[Data Corrigida],V$3)/100,"")</f>
        <v>0</v>
      </c>
      <c r="W58" s="36">
        <f ca="1">IFERROR(AVERAGEIFS(INDIRECT("Tabela1["&amp;$B58&amp;"]"),Tabela1[Turno],$D58,Tabela1[Data Corrigida],W$3)/100,"")</f>
        <v>6.6666666666666662E-3</v>
      </c>
      <c r="X58" s="36">
        <f ca="1">IFERROR(AVERAGEIFS(INDIRECT("Tabela1["&amp;$B58&amp;"]"),Tabela1[Turno],$D58,Tabela1[Data Corrigida],X$3)/100,"")</f>
        <v>0</v>
      </c>
      <c r="Y58" s="36">
        <f ca="1">IFERROR(AVERAGEIFS(INDIRECT("Tabela1["&amp;$B58&amp;"]"),Tabela1[Turno],$D58,Tabela1[Data Corrigida],Y$3)/100,"")</f>
        <v>6.6666666666666662E-3</v>
      </c>
      <c r="Z58" s="36">
        <f ca="1">IFERROR(AVERAGEIFS(INDIRECT("Tabela1["&amp;$B58&amp;"]"),Tabela1[Turno],$D58,Tabela1[Data Corrigida],Z$3)/100,"")</f>
        <v>0</v>
      </c>
      <c r="AA58" s="36">
        <f ca="1">IFERROR(AVERAGEIFS(INDIRECT("Tabela1["&amp;$B58&amp;"]"),Tabela1[Turno],$D58,Tabela1[Data Corrigida],AA$3)/100,"")</f>
        <v>0</v>
      </c>
      <c r="AB58" s="36">
        <f ca="1">IFERROR(AVERAGEIFS(INDIRECT("Tabela1["&amp;$B58&amp;"]"),Tabela1[Turno],$D58,Tabela1[Data Corrigida],AB$3)/100,"")</f>
        <v>6.6666666666666662E-3</v>
      </c>
      <c r="AC58" s="36">
        <f ca="1">IFERROR(AVERAGEIFS(INDIRECT("Tabela1["&amp;$B58&amp;"]"),Tabela1[Turno],$D58,Tabela1[Data Corrigida],AC$3)/100,"")</f>
        <v>1.3333333333333332E-2</v>
      </c>
      <c r="AD58" s="36">
        <f ca="1">IFERROR(AVERAGEIFS(INDIRECT("Tabela1["&amp;$B58&amp;"]"),Tabela1[Turno],$D58,Tabela1[Data Corrigida],AD$3)/100,"")</f>
        <v>0</v>
      </c>
      <c r="AE58" s="36">
        <f ca="1">IFERROR(AVERAGEIFS(INDIRECT("Tabela1["&amp;$B58&amp;"]"),Tabela1[Turno],$D58,Tabela1[Data Corrigida],AE$3)/100,"")</f>
        <v>6.6666666666666662E-3</v>
      </c>
      <c r="AF58" s="36">
        <f ca="1">IFERROR(AVERAGEIFS(INDIRECT("Tabela1["&amp;$B58&amp;"]"),Tabela1[Turno],$D58,Tabela1[Data Corrigida],AF$3)/100,"")</f>
        <v>1.3333333333333332E-2</v>
      </c>
      <c r="AG58" s="36">
        <f ca="1">IFERROR(AVERAGEIFS(INDIRECT("Tabela1["&amp;$B58&amp;"]"),Tabela1[Turno],$D58,Tabela1[Data Corrigida],AG$3)/100,"")</f>
        <v>0</v>
      </c>
      <c r="AH58" s="36">
        <f ca="1">IFERROR(AVERAGEIFS(INDIRECT("Tabela1["&amp;$B58&amp;"]"),Tabela1[Turno],$D58,Tabela1[Data Corrigida],AH$3)/100,"")</f>
        <v>0</v>
      </c>
      <c r="AI58" s="36">
        <f ca="1">IFERROR(AVERAGEIFS(INDIRECT("Tabela1["&amp;$B58&amp;"]"),Tabela1[Turno],$D58,Tabela1[Data Corrigida],AI$3)/100,"")</f>
        <v>0</v>
      </c>
      <c r="AJ58" s="36">
        <f ca="1">IFERROR(AVERAGEIFS(INDIRECT("Tabela1["&amp;$B58&amp;"]"),Tabela1[Turno],$D58,Tabela1[Data Corrigida],AJ$3)/100,"")</f>
        <v>0</v>
      </c>
      <c r="AK58" s="36">
        <f ca="1">IFERROR(AVERAGEIFS(INDIRECT("Tabela1["&amp;$B58&amp;"]"),Tabela1[Turno],$D58,Tabela1[Data Corrigida],AK$3)/100,"")</f>
        <v>0</v>
      </c>
      <c r="AL58" s="36">
        <f ca="1">IFERROR(AVERAGEIFS(INDIRECT("Tabela1["&amp;$B58&amp;"]"),Tabela1[Turno],$D58,Tabela1[Data Corrigida],AL$3)/100,"")</f>
        <v>0</v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0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2.3448275862068967E-3</v>
      </c>
      <c r="N59" s="45" t="str">
        <f ca="1">IFERROR(AVERAGEIFS(INDIRECT("Tabela1["&amp;$B59&amp;"]"),Tabela1[Mês],N$3)/100,"")</f>
        <v/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3"/>
      <c r="R59" s="42">
        <f ca="1">IFERROR(AVERAGEIFS(INDIRECT("Tabela1["&amp;$B59&amp;"]"),Tabela1[Data Corrigida],R$3)/100,"")</f>
        <v>2.8571428571428571E-3</v>
      </c>
      <c r="S59" s="43">
        <f ca="1">IFERROR(AVERAGEIFS(INDIRECT("Tabela1["&amp;$B59&amp;"]"),Tabela1[Data Corrigida],S$3)/100,"")</f>
        <v>0</v>
      </c>
      <c r="T59" s="43">
        <f ca="1">IFERROR(AVERAGEIFS(INDIRECT("Tabela1["&amp;$B59&amp;"]"),Tabela1[Data Corrigida],T$3)/100,"")</f>
        <v>8.5714285714285701E-3</v>
      </c>
      <c r="U59" s="43">
        <f ca="1">IFERROR(AVERAGEIFS(INDIRECT("Tabela1["&amp;$B59&amp;"]"),Tabela1[Data Corrigida],U$3)/100,"")</f>
        <v>0</v>
      </c>
      <c r="V59" s="43">
        <f ca="1">IFERROR(AVERAGEIFS(INDIRECT("Tabela1["&amp;$B59&amp;"]"),Tabela1[Data Corrigida],V$3)/100,"")</f>
        <v>0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3.3333333333333331E-3</v>
      </c>
      <c r="Z59" s="43">
        <f ca="1">IFERROR(AVERAGEIFS(INDIRECT("Tabela1["&amp;$B59&amp;"]"),Tabela1[Data Corrigida],Z$3)/100,"")</f>
        <v>0</v>
      </c>
      <c r="AA59" s="43">
        <f ca="1">IFERROR(AVERAGEIFS(INDIRECT("Tabela1["&amp;$B59&amp;"]"),Tabela1[Data Corrigida],AA$3)/100,"")</f>
        <v>2.8571428571428571E-3</v>
      </c>
      <c r="AB59" s="43">
        <f ca="1">IFERROR(AVERAGEIFS(INDIRECT("Tabela1["&amp;$B59&amp;"]"),Tabela1[Data Corrigida],AB$3)/100,"")</f>
        <v>2.8571428571428571E-3</v>
      </c>
      <c r="AC59" s="43">
        <f ca="1">IFERROR(AVERAGEIFS(INDIRECT("Tabela1["&amp;$B59&amp;"]"),Tabela1[Data Corrigida],AC$3)/100,"")</f>
        <v>5.7142857142857143E-3</v>
      </c>
      <c r="AD59" s="43">
        <f ca="1">IFERROR(AVERAGEIFS(INDIRECT("Tabela1["&amp;$B59&amp;"]"),Tabela1[Data Corrigida],AD$3)/100,"")</f>
        <v>3.3333333333333331E-3</v>
      </c>
      <c r="AE59" s="43">
        <f ca="1">IFERROR(AVERAGEIFS(INDIRECT("Tabela1["&amp;$B59&amp;"]"),Tabela1[Data Corrigida],AE$3)/100,"")</f>
        <v>5.7142857142857143E-3</v>
      </c>
      <c r="AF59" s="43">
        <f ca="1">IFERROR(AVERAGEIFS(INDIRECT("Tabela1["&amp;$B59&amp;"]"),Tabela1[Data Corrigida],AF$3)/100,"")</f>
        <v>8.5714285714285701E-3</v>
      </c>
      <c r="AG59" s="43">
        <f ca="1">IFERROR(AVERAGEIFS(INDIRECT("Tabela1["&amp;$B59&amp;"]"),Tabela1[Data Corrigida],AG$3)/100,"")</f>
        <v>0</v>
      </c>
      <c r="AH59" s="43">
        <f ca="1">IFERROR(AVERAGEIFS(INDIRECT("Tabela1["&amp;$B59&amp;"]"),Tabela1[Data Corrigida],AH$3)/100,"")</f>
        <v>0</v>
      </c>
      <c r="AI59" s="43">
        <f ca="1">IFERROR(AVERAGEIFS(INDIRECT("Tabela1["&amp;$B59&amp;"]"),Tabela1[Data Corrigida],AI$3)/100,"")</f>
        <v>2.8571428571428571E-3</v>
      </c>
      <c r="AJ59" s="43">
        <f ca="1">IFERROR(AVERAGEIFS(INDIRECT("Tabela1["&amp;$B59&amp;"]"),Tabela1[Data Corrigida],AJ$3)/100,"")</f>
        <v>0</v>
      </c>
      <c r="AK59" s="43">
        <f ca="1">IFERROR(AVERAGEIFS(INDIRECT("Tabela1["&amp;$B59&amp;"]"),Tabela1[Data Corrigida],AK$3)/100,"")</f>
        <v>0</v>
      </c>
      <c r="AL59" s="43">
        <f ca="1">IFERROR(AVERAGEIFS(INDIRECT("Tabela1["&amp;$B59&amp;"]"),Tabela1[Data Corrigida],AL$3)/100,"")</f>
        <v>0</v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58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0.21216867469879516</v>
      </c>
      <c r="N60" s="34" t="str">
        <f ca="1">IFERROR(AVERAGEIFS(INDIRECT("Tabela1["&amp;$B60&amp;"]"),Tabela1[Turno],$D60,Tabela1[Mês],N$3)/100,"")</f>
        <v/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61">
        <v>0.3</v>
      </c>
      <c r="R60" s="33">
        <f ca="1">IFERROR(AVERAGEIFS(INDIRECT("Tabela1["&amp;$B60&amp;"]"),Tabela1[Turno],$D60,Tabela1[Data Corrigida],R$3)/100,"")</f>
        <v>0.18</v>
      </c>
      <c r="S60" s="34">
        <f ca="1">IFERROR(AVERAGEIFS(INDIRECT("Tabela1["&amp;$B60&amp;"]"),Tabela1[Turno],$D60,Tabela1[Data Corrigida],S$3)/100,"")</f>
        <v>0.185</v>
      </c>
      <c r="T60" s="34">
        <f ca="1">IFERROR(AVERAGEIFS(INDIRECT("Tabela1["&amp;$B60&amp;"]"),Tabela1[Turno],$D60,Tabela1[Data Corrigida],T$3)/100,"")</f>
        <v>0.23250000000000001</v>
      </c>
      <c r="U60" s="34">
        <f ca="1">IFERROR(AVERAGEIFS(INDIRECT("Tabela1["&amp;$B60&amp;"]"),Tabela1[Turno],$D60,Tabela1[Data Corrigida],U$3)/100,"")</f>
        <v>0.2</v>
      </c>
      <c r="V60" s="34">
        <f ca="1">IFERROR(AVERAGEIFS(INDIRECT("Tabela1["&amp;$B60&amp;"]"),Tabela1[Turno],$D60,Tabela1[Data Corrigida],V$3)/100,"")</f>
        <v>0.1925</v>
      </c>
      <c r="W60" s="34">
        <f ca="1">IFERROR(AVERAGEIFS(INDIRECT("Tabela1["&amp;$B60&amp;"]"),Tabela1[Turno],$D60,Tabela1[Data Corrigida],W$3)/100,"")</f>
        <v>0.17</v>
      </c>
      <c r="X60" s="34">
        <f ca="1">IFERROR(AVERAGEIFS(INDIRECT("Tabela1["&amp;$B60&amp;"]"),Tabela1[Turno],$D60,Tabela1[Data Corrigida],X$3)/100,"")</f>
        <v>0.22750000000000001</v>
      </c>
      <c r="Y60" s="34">
        <f ca="1">IFERROR(AVERAGEIFS(INDIRECT("Tabela1["&amp;$B60&amp;"]"),Tabela1[Turno],$D60,Tabela1[Data Corrigida],Y$3)/100,"")</f>
        <v>0.22750000000000001</v>
      </c>
      <c r="Z60" s="34">
        <f ca="1">IFERROR(AVERAGEIFS(INDIRECT("Tabela1["&amp;$B60&amp;"]"),Tabela1[Turno],$D60,Tabela1[Data Corrigida],Z$3)/100,"")</f>
        <v>0.2225</v>
      </c>
      <c r="AA60" s="34">
        <f ca="1">IFERROR(AVERAGEIFS(INDIRECT("Tabela1["&amp;$B60&amp;"]"),Tabela1[Turno],$D60,Tabela1[Data Corrigida],AA$3)/100,"")</f>
        <v>0.22750000000000001</v>
      </c>
      <c r="AB60" s="34">
        <f ca="1">IFERROR(AVERAGEIFS(INDIRECT("Tabela1["&amp;$B60&amp;"]"),Tabela1[Turno],$D60,Tabela1[Data Corrigida],AB$3)/100,"")</f>
        <v>0.19500000000000001</v>
      </c>
      <c r="AC60" s="34">
        <f ca="1">IFERROR(AVERAGEIFS(INDIRECT("Tabela1["&amp;$B60&amp;"]"),Tabela1[Turno],$D60,Tabela1[Data Corrigida],AC$3)/100,"")</f>
        <v>0.255</v>
      </c>
      <c r="AD60" s="34">
        <f ca="1">IFERROR(AVERAGEIFS(INDIRECT("Tabela1["&amp;$B60&amp;"]"),Tabela1[Turno],$D60,Tabela1[Data Corrigida],AD$3)/100,"")</f>
        <v>0.24333333333333332</v>
      </c>
      <c r="AE60" s="34">
        <f ca="1">IFERROR(AVERAGEIFS(INDIRECT("Tabela1["&amp;$B60&amp;"]"),Tabela1[Turno],$D60,Tabela1[Data Corrigida],AE$3)/100,"")</f>
        <v>0.2225</v>
      </c>
      <c r="AF60" s="34">
        <f ca="1">IFERROR(AVERAGEIFS(INDIRECT("Tabela1["&amp;$B60&amp;"]"),Tabela1[Turno],$D60,Tabela1[Data Corrigida],AF$3)/100,"")</f>
        <v>0.23749999999999999</v>
      </c>
      <c r="AG60" s="34">
        <f ca="1">IFERROR(AVERAGEIFS(INDIRECT("Tabela1["&amp;$B60&amp;"]"),Tabela1[Turno],$D60,Tabela1[Data Corrigida],AG$3)/100,"")</f>
        <v>0.23250000000000001</v>
      </c>
      <c r="AH60" s="34">
        <f ca="1">IFERROR(AVERAGEIFS(INDIRECT("Tabela1["&amp;$B60&amp;"]"),Tabela1[Turno],$D60,Tabela1[Data Corrigida],AH$3)/100,"")</f>
        <v>0.19500000000000001</v>
      </c>
      <c r="AI60" s="34">
        <f ca="1">IFERROR(AVERAGEIFS(INDIRECT("Tabela1["&amp;$B60&amp;"]"),Tabela1[Turno],$D60,Tabela1[Data Corrigida],AI$3)/100,"")</f>
        <v>0.2175</v>
      </c>
      <c r="AJ60" s="34">
        <f ca="1">IFERROR(AVERAGEIFS(INDIRECT("Tabela1["&amp;$B60&amp;"]"),Tabela1[Turno],$D60,Tabela1[Data Corrigida],AJ$3)/100,"")</f>
        <v>0.17749999999999999</v>
      </c>
      <c r="AK60" s="34">
        <f ca="1">IFERROR(AVERAGEIFS(INDIRECT("Tabela1["&amp;$B60&amp;"]"),Tabela1[Turno],$D60,Tabela1[Data Corrigida],AK$3)/100,"")</f>
        <v>0.23</v>
      </c>
      <c r="AL60" s="34">
        <f ca="1">IFERROR(AVERAGEIFS(INDIRECT("Tabela1["&amp;$B60&amp;"]"),Tabela1[Turno],$D60,Tabela1[Data Corrigida],AL$3)/100,"")</f>
        <v>0.1925</v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59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0.14047619047619048</v>
      </c>
      <c r="N61" s="36" t="str">
        <f ca="1">IFERROR(AVERAGEIFS(INDIRECT("Tabela1["&amp;$B61&amp;"]"),Tabela1[Turno],$D61,Tabela1[Mês],N$3)/100,"")</f>
        <v/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62"/>
      <c r="R61" s="35">
        <f ca="1">IFERROR(AVERAGEIFS(INDIRECT("Tabela1["&amp;$B61&amp;"]"),Tabela1[Turno],$D61,Tabela1[Data Corrigida],R$3)/100,"")</f>
        <v>9.6666666666666665E-2</v>
      </c>
      <c r="S61" s="36">
        <f ca="1">IFERROR(AVERAGEIFS(INDIRECT("Tabela1["&amp;$B61&amp;"]"),Tabela1[Turno],$D61,Tabela1[Data Corrigida],S$3)/100,"")</f>
        <v>9.3333333333333338E-2</v>
      </c>
      <c r="T61" s="36">
        <f ca="1">IFERROR(AVERAGEIFS(INDIRECT("Tabela1["&amp;$B61&amp;"]"),Tabela1[Turno],$D61,Tabela1[Data Corrigida],T$3)/100,"")</f>
        <v>0.06</v>
      </c>
      <c r="U61" s="36">
        <f ca="1">IFERROR(AVERAGEIFS(INDIRECT("Tabela1["&amp;$B61&amp;"]"),Tabela1[Turno],$D61,Tabela1[Data Corrigida],U$3)/100,"")</f>
        <v>4.6666666666666669E-2</v>
      </c>
      <c r="V61" s="36">
        <f ca="1">IFERROR(AVERAGEIFS(INDIRECT("Tabela1["&amp;$B61&amp;"]"),Tabela1[Turno],$D61,Tabela1[Data Corrigida],V$3)/100,"")</f>
        <v>0.04</v>
      </c>
      <c r="W61" s="36">
        <f ca="1">IFERROR(AVERAGEIFS(INDIRECT("Tabela1["&amp;$B61&amp;"]"),Tabela1[Turno],$D61,Tabela1[Data Corrigida],W$3)/100,"")</f>
        <v>0.06</v>
      </c>
      <c r="X61" s="36">
        <f ca="1">IFERROR(AVERAGEIFS(INDIRECT("Tabela1["&amp;$B61&amp;"]"),Tabela1[Turno],$D61,Tabela1[Data Corrigida],X$3)/100,"")</f>
        <v>6.6666666666666666E-2</v>
      </c>
      <c r="Y61" s="36">
        <f ca="1">IFERROR(AVERAGEIFS(INDIRECT("Tabela1["&amp;$B61&amp;"]"),Tabela1[Turno],$D61,Tabela1[Data Corrigida],Y$3)/100,"")</f>
        <v>7.3333333333333334E-2</v>
      </c>
      <c r="Z61" s="36">
        <f ca="1">IFERROR(AVERAGEIFS(INDIRECT("Tabela1["&amp;$B61&amp;"]"),Tabela1[Turno],$D61,Tabela1[Data Corrigida],Z$3)/100,"")</f>
        <v>5.6666666666666671E-2</v>
      </c>
      <c r="AA61" s="36">
        <f ca="1">IFERROR(AVERAGEIFS(INDIRECT("Tabela1["&amp;$B61&amp;"]"),Tabela1[Turno],$D61,Tabela1[Data Corrigida],AA$3)/100,"")</f>
        <v>0.12666666666666665</v>
      </c>
      <c r="AB61" s="36">
        <f ca="1">IFERROR(AVERAGEIFS(INDIRECT("Tabela1["&amp;$B61&amp;"]"),Tabela1[Turno],$D61,Tabela1[Data Corrigida],AB$3)/100,"")</f>
        <v>0.14666666666666667</v>
      </c>
      <c r="AC61" s="36">
        <f ca="1">IFERROR(AVERAGEIFS(INDIRECT("Tabela1["&amp;$B61&amp;"]"),Tabela1[Turno],$D61,Tabela1[Data Corrigida],AC$3)/100,"")</f>
        <v>0.20666666666666667</v>
      </c>
      <c r="AD61" s="36">
        <f ca="1">IFERROR(AVERAGEIFS(INDIRECT("Tabela1["&amp;$B61&amp;"]"),Tabela1[Turno],$D61,Tabela1[Data Corrigida],AD$3)/100,"")</f>
        <v>0.23333333333333331</v>
      </c>
      <c r="AE61" s="36">
        <f ca="1">IFERROR(AVERAGEIFS(INDIRECT("Tabela1["&amp;$B61&amp;"]"),Tabela1[Turno],$D61,Tabela1[Data Corrigida],AE$3)/100,"")</f>
        <v>0.19</v>
      </c>
      <c r="AF61" s="36">
        <f ca="1">IFERROR(AVERAGEIFS(INDIRECT("Tabela1["&amp;$B61&amp;"]"),Tabela1[Turno],$D61,Tabela1[Data Corrigida],AF$3)/100,"")</f>
        <v>0.21666666666666667</v>
      </c>
      <c r="AG61" s="36">
        <f ca="1">IFERROR(AVERAGEIFS(INDIRECT("Tabela1["&amp;$B61&amp;"]"),Tabela1[Turno],$D61,Tabela1[Data Corrigida],AG$3)/100,"")</f>
        <v>0.22666666666666668</v>
      </c>
      <c r="AH61" s="36">
        <f ca="1">IFERROR(AVERAGEIFS(INDIRECT("Tabela1["&amp;$B61&amp;"]"),Tabela1[Turno],$D61,Tabela1[Data Corrigida],AH$3)/100,"")</f>
        <v>0.17333333333333331</v>
      </c>
      <c r="AI61" s="36">
        <f ca="1">IFERROR(AVERAGEIFS(INDIRECT("Tabela1["&amp;$B61&amp;"]"),Tabela1[Turno],$D61,Tabela1[Data Corrigida],AI$3)/100,"")</f>
        <v>0.22</v>
      </c>
      <c r="AJ61" s="36">
        <f ca="1">IFERROR(AVERAGEIFS(INDIRECT("Tabela1["&amp;$B61&amp;"]"),Tabela1[Turno],$D61,Tabela1[Data Corrigida],AJ$3)/100,"")</f>
        <v>0.19666666666666668</v>
      </c>
      <c r="AK61" s="36">
        <f ca="1">IFERROR(AVERAGEIFS(INDIRECT("Tabela1["&amp;$B61&amp;"]"),Tabela1[Turno],$D61,Tabela1[Data Corrigida],AK$3)/100,"")</f>
        <v>0.19666666666666668</v>
      </c>
      <c r="AL61" s="36">
        <f ca="1">IFERROR(AVERAGEIFS(INDIRECT("Tabela1["&amp;$B61&amp;"]"),Tabela1[Turno],$D61,Tabela1[Data Corrigida],AL$3)/100,"")</f>
        <v>0.22333333333333333</v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0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0.18123287671232877</v>
      </c>
      <c r="N62" s="45" t="str">
        <f ca="1">IFERROR(AVERAGEIFS(INDIRECT("Tabela1["&amp;$B62&amp;"]"),Tabela1[Mês],N$3)/100,"")</f>
        <v/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3"/>
      <c r="R62" s="37">
        <f ca="1">IFERROR(AVERAGEIFS(INDIRECT("Tabela1["&amp;$B62&amp;"]"),Tabela1[Data Corrigida],R$3)/100,"")</f>
        <v>0.14428571428571429</v>
      </c>
      <c r="S62" s="38">
        <f ca="1">IFERROR(AVERAGEIFS(INDIRECT("Tabela1["&amp;$B62&amp;"]"),Tabela1[Data Corrigida],S$3)/100,"")</f>
        <v>0.14571428571428571</v>
      </c>
      <c r="T62" s="38">
        <f ca="1">IFERROR(AVERAGEIFS(INDIRECT("Tabela1["&amp;$B62&amp;"]"),Tabela1[Data Corrigida],T$3)/100,"")</f>
        <v>0.15857142857142859</v>
      </c>
      <c r="U62" s="38">
        <f ca="1">IFERROR(AVERAGEIFS(INDIRECT("Tabela1["&amp;$B62&amp;"]"),Tabela1[Data Corrigida],U$3)/100,"")</f>
        <v>0.13428571428571429</v>
      </c>
      <c r="V62" s="38">
        <f ca="1">IFERROR(AVERAGEIFS(INDIRECT("Tabela1["&amp;$B62&amp;"]"),Tabela1[Data Corrigida],V$3)/100,"")</f>
        <v>0.12714285714285714</v>
      </c>
      <c r="W62" s="38">
        <f ca="1">IFERROR(AVERAGEIFS(INDIRECT("Tabela1["&amp;$B62&amp;"]"),Tabela1[Data Corrigida],W$3)/100,"")</f>
        <v>0.12285714285714286</v>
      </c>
      <c r="X62" s="38">
        <f ca="1">IFERROR(AVERAGEIFS(INDIRECT("Tabela1["&amp;$B62&amp;"]"),Tabela1[Data Corrigida],X$3)/100,"")</f>
        <v>0.15857142857142859</v>
      </c>
      <c r="Y62" s="38">
        <f ca="1">IFERROR(AVERAGEIFS(INDIRECT("Tabela1["&amp;$B62&amp;"]"),Tabela1[Data Corrigida],Y$3)/100,"")</f>
        <v>0.16142857142857142</v>
      </c>
      <c r="Z62" s="38">
        <f ca="1">IFERROR(AVERAGEIFS(INDIRECT("Tabela1["&amp;$B62&amp;"]"),Tabela1[Data Corrigida],Z$3)/100,"")</f>
        <v>0.15142857142857141</v>
      </c>
      <c r="AA62" s="38">
        <f ca="1">IFERROR(AVERAGEIFS(INDIRECT("Tabela1["&amp;$B62&amp;"]"),Tabela1[Data Corrigida],AA$3)/100,"")</f>
        <v>0.18428571428571427</v>
      </c>
      <c r="AB62" s="38">
        <f ca="1">IFERROR(AVERAGEIFS(INDIRECT("Tabela1["&amp;$B62&amp;"]"),Tabela1[Data Corrigida],AB$3)/100,"")</f>
        <v>0.17428571428571427</v>
      </c>
      <c r="AC62" s="38">
        <f ca="1">IFERROR(AVERAGEIFS(INDIRECT("Tabela1["&amp;$B62&amp;"]"),Tabela1[Data Corrigida],AC$3)/100,"")</f>
        <v>0.23428571428571426</v>
      </c>
      <c r="AD62" s="38">
        <f ca="1">IFERROR(AVERAGEIFS(INDIRECT("Tabela1["&amp;$B62&amp;"]"),Tabela1[Data Corrigida],AD$3)/100,"")</f>
        <v>0.23833333333333331</v>
      </c>
      <c r="AE62" s="38">
        <f ca="1">IFERROR(AVERAGEIFS(INDIRECT("Tabela1["&amp;$B62&amp;"]"),Tabela1[Data Corrigida],AE$3)/100,"")</f>
        <v>0.20857142857142857</v>
      </c>
      <c r="AF62" s="38">
        <f ca="1">IFERROR(AVERAGEIFS(INDIRECT("Tabela1["&amp;$B62&amp;"]"),Tabela1[Data Corrigida],AF$3)/100,"")</f>
        <v>0.22857142857142856</v>
      </c>
      <c r="AG62" s="38">
        <f ca="1">IFERROR(AVERAGEIFS(INDIRECT("Tabela1["&amp;$B62&amp;"]"),Tabela1[Data Corrigida],AG$3)/100,"")</f>
        <v>0.23</v>
      </c>
      <c r="AH62" s="38">
        <f ca="1">IFERROR(AVERAGEIFS(INDIRECT("Tabela1["&amp;$B62&amp;"]"),Tabela1[Data Corrigida],AH$3)/100,"")</f>
        <v>0.18571428571428572</v>
      </c>
      <c r="AI62" s="38">
        <f ca="1">IFERROR(AVERAGEIFS(INDIRECT("Tabela1["&amp;$B62&amp;"]"),Tabela1[Data Corrigida],AI$3)/100,"")</f>
        <v>0.21857142857142858</v>
      </c>
      <c r="AJ62" s="38">
        <f ca="1">IFERROR(AVERAGEIFS(INDIRECT("Tabela1["&amp;$B62&amp;"]"),Tabela1[Data Corrigida],AJ$3)/100,"")</f>
        <v>0.18571428571428572</v>
      </c>
      <c r="AK62" s="38">
        <f ca="1">IFERROR(AVERAGEIFS(INDIRECT("Tabela1["&amp;$B62&amp;"]"),Tabela1[Data Corrigida],AK$3)/100,"")</f>
        <v>0.21571428571428572</v>
      </c>
      <c r="AL62" s="38">
        <f ca="1">IFERROR(AVERAGEIFS(INDIRECT("Tabela1["&amp;$B62&amp;"]"),Tabela1[Data Corrigida],AL$3)/100,"")</f>
        <v>0.20571428571428574</v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58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0.17048192771084339</v>
      </c>
      <c r="N63" s="34" t="str">
        <f ca="1">IFERROR(AVERAGEIFS(INDIRECT("Tabela1["&amp;$B63&amp;"]"),Tabela1[Turno],$D63,Tabela1[Mês],N$3)/100,"")</f>
        <v/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61">
        <v>0.15</v>
      </c>
      <c r="R63" s="39">
        <f ca="1">IFERROR(AVERAGEIFS(INDIRECT("Tabela1["&amp;$B63&amp;"]"),Tabela1[Turno],$D63,Tabela1[Data Corrigida],R$3)/100,"")</f>
        <v>8.7499999999999994E-2</v>
      </c>
      <c r="S63" s="40">
        <f ca="1">IFERROR(AVERAGEIFS(INDIRECT("Tabela1["&amp;$B63&amp;"]"),Tabela1[Turno],$D63,Tabela1[Data Corrigida],S$3)/100,"")</f>
        <v>0.1225</v>
      </c>
      <c r="T63" s="40">
        <f ca="1">IFERROR(AVERAGEIFS(INDIRECT("Tabela1["&amp;$B63&amp;"]"),Tabela1[Turno],$D63,Tabela1[Data Corrigida],T$3)/100,"")</f>
        <v>0.1875</v>
      </c>
      <c r="U63" s="40">
        <f ca="1">IFERROR(AVERAGEIFS(INDIRECT("Tabela1["&amp;$B63&amp;"]"),Tabela1[Turno],$D63,Tabela1[Data Corrigida],U$3)/100,"")</f>
        <v>0.2</v>
      </c>
      <c r="V63" s="40">
        <f ca="1">IFERROR(AVERAGEIFS(INDIRECT("Tabela1["&amp;$B63&amp;"]"),Tabela1[Turno],$D63,Tabela1[Data Corrigida],V$3)/100,"")</f>
        <v>0.17249999999999999</v>
      </c>
      <c r="W63" s="40">
        <f ca="1">IFERROR(AVERAGEIFS(INDIRECT("Tabela1["&amp;$B63&amp;"]"),Tabela1[Turno],$D63,Tabela1[Data Corrigida],W$3)/100,"")</f>
        <v>0.185</v>
      </c>
      <c r="X63" s="40">
        <f ca="1">IFERROR(AVERAGEIFS(INDIRECT("Tabela1["&amp;$B63&amp;"]"),Tabela1[Turno],$D63,Tabela1[Data Corrigida],X$3)/100,"")</f>
        <v>0.19750000000000001</v>
      </c>
      <c r="Y63" s="40">
        <f ca="1">IFERROR(AVERAGEIFS(INDIRECT("Tabela1["&amp;$B63&amp;"]"),Tabela1[Turno],$D63,Tabela1[Data Corrigida],Y$3)/100,"")</f>
        <v>0.17</v>
      </c>
      <c r="Z63" s="40">
        <f ca="1">IFERROR(AVERAGEIFS(INDIRECT("Tabela1["&amp;$B63&amp;"]"),Tabela1[Turno],$D63,Tabela1[Data Corrigida],Z$3)/100,"")</f>
        <v>0.2</v>
      </c>
      <c r="AA63" s="40">
        <f ca="1">IFERROR(AVERAGEIFS(INDIRECT("Tabela1["&amp;$B63&amp;"]"),Tabela1[Turno],$D63,Tabela1[Data Corrigida],AA$3)/100,"")</f>
        <v>0.14499999999999999</v>
      </c>
      <c r="AB63" s="40">
        <f ca="1">IFERROR(AVERAGEIFS(INDIRECT("Tabela1["&amp;$B63&amp;"]"),Tabela1[Turno],$D63,Tabela1[Data Corrigida],AB$3)/100,"")</f>
        <v>0.13750000000000001</v>
      </c>
      <c r="AC63" s="40">
        <f ca="1">IFERROR(AVERAGEIFS(INDIRECT("Tabela1["&amp;$B63&amp;"]"),Tabela1[Turno],$D63,Tabela1[Data Corrigida],AC$3)/100,"")</f>
        <v>0.14000000000000001</v>
      </c>
      <c r="AD63" s="40">
        <f ca="1">IFERROR(AVERAGEIFS(INDIRECT("Tabela1["&amp;$B63&amp;"]"),Tabela1[Turno],$D63,Tabela1[Data Corrigida],AD$3)/100,"")</f>
        <v>0.18333333333333332</v>
      </c>
      <c r="AE63" s="40">
        <f ca="1">IFERROR(AVERAGEIFS(INDIRECT("Tabela1["&amp;$B63&amp;"]"),Tabela1[Turno],$D63,Tabela1[Data Corrigida],AE$3)/100,"")</f>
        <v>0.11</v>
      </c>
      <c r="AF63" s="40">
        <f ca="1">IFERROR(AVERAGEIFS(INDIRECT("Tabela1["&amp;$B63&amp;"]"),Tabela1[Turno],$D63,Tabela1[Data Corrigida],AF$3)/100,"")</f>
        <v>0.1925</v>
      </c>
      <c r="AG63" s="40">
        <f ca="1">IFERROR(AVERAGEIFS(INDIRECT("Tabela1["&amp;$B63&amp;"]"),Tabela1[Turno],$D63,Tabela1[Data Corrigida],AG$3)/100,"")</f>
        <v>0.19750000000000001</v>
      </c>
      <c r="AH63" s="40">
        <f ca="1">IFERROR(AVERAGEIFS(INDIRECT("Tabela1["&amp;$B63&amp;"]"),Tabela1[Turno],$D63,Tabela1[Data Corrigida],AH$3)/100,"")</f>
        <v>0.16250000000000001</v>
      </c>
      <c r="AI63" s="40">
        <f ca="1">IFERROR(AVERAGEIFS(INDIRECT("Tabela1["&amp;$B63&amp;"]"),Tabela1[Turno],$D63,Tabela1[Data Corrigida],AI$3)/100,"")</f>
        <v>0.19500000000000001</v>
      </c>
      <c r="AJ63" s="40">
        <f ca="1">IFERROR(AVERAGEIFS(INDIRECT("Tabela1["&amp;$B63&amp;"]"),Tabela1[Turno],$D63,Tabela1[Data Corrigida],AJ$3)/100,"")</f>
        <v>0.20250000000000001</v>
      </c>
      <c r="AK63" s="40">
        <f ca="1">IFERROR(AVERAGEIFS(INDIRECT("Tabela1["&amp;$B63&amp;"]"),Tabela1[Turno],$D63,Tabela1[Data Corrigida],AK$3)/100,"")</f>
        <v>0.1875</v>
      </c>
      <c r="AL63" s="40">
        <f ca="1">IFERROR(AVERAGEIFS(INDIRECT("Tabela1["&amp;$B63&amp;"]"),Tabela1[Turno],$D63,Tabela1[Data Corrigida],AL$3)/100,"")</f>
        <v>0.20749999999999999</v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59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0.10412698412698412</v>
      </c>
      <c r="N64" s="36" t="str">
        <f ca="1">IFERROR(AVERAGEIFS(INDIRECT("Tabela1["&amp;$B64&amp;"]"),Tabela1[Turno],$D64,Tabela1[Mês],N$3)/100,"")</f>
        <v/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62"/>
      <c r="R64" s="35">
        <f ca="1">IFERROR(AVERAGEIFS(INDIRECT("Tabela1["&amp;$B64&amp;"]"),Tabela1[Turno],$D64,Tabela1[Data Corrigida],R$3)/100,"")</f>
        <v>3.6666666666666667E-2</v>
      </c>
      <c r="S64" s="36">
        <f ca="1">IFERROR(AVERAGEIFS(INDIRECT("Tabela1["&amp;$B64&amp;"]"),Tabela1[Turno],$D64,Tabela1[Data Corrigida],S$3)/100,"")</f>
        <v>0.04</v>
      </c>
      <c r="T64" s="36">
        <f ca="1">IFERROR(AVERAGEIFS(INDIRECT("Tabela1["&amp;$B64&amp;"]"),Tabela1[Turno],$D64,Tabela1[Data Corrigida],T$3)/100,"")</f>
        <v>2.6666666666666665E-2</v>
      </c>
      <c r="U64" s="36">
        <f ca="1">IFERROR(AVERAGEIFS(INDIRECT("Tabela1["&amp;$B64&amp;"]"),Tabela1[Turno],$D64,Tabela1[Data Corrigida],U$3)/100,"")</f>
        <v>2.6666666666666665E-2</v>
      </c>
      <c r="V64" s="36">
        <f ca="1">IFERROR(AVERAGEIFS(INDIRECT("Tabela1["&amp;$B64&amp;"]"),Tabela1[Turno],$D64,Tabela1[Data Corrigida],V$3)/100,"")</f>
        <v>0.02</v>
      </c>
      <c r="W64" s="36">
        <f ca="1">IFERROR(AVERAGEIFS(INDIRECT("Tabela1["&amp;$B64&amp;"]"),Tabela1[Turno],$D64,Tabela1[Data Corrigida],W$3)/100,"")</f>
        <v>3.3333333333333333E-2</v>
      </c>
      <c r="X64" s="36">
        <f ca="1">IFERROR(AVERAGEIFS(INDIRECT("Tabela1["&amp;$B64&amp;"]"),Tabela1[Turno],$D64,Tabela1[Data Corrigida],X$3)/100,"")</f>
        <v>3.6666666666666667E-2</v>
      </c>
      <c r="Y64" s="36">
        <f ca="1">IFERROR(AVERAGEIFS(INDIRECT("Tabela1["&amp;$B64&amp;"]"),Tabela1[Turno],$D64,Tabela1[Data Corrigida],Y$3)/100,"")</f>
        <v>0.03</v>
      </c>
      <c r="Z64" s="36">
        <f ca="1">IFERROR(AVERAGEIFS(INDIRECT("Tabela1["&amp;$B64&amp;"]"),Tabela1[Turno],$D64,Tabela1[Data Corrigida],Z$3)/100,"")</f>
        <v>3.3333333333333333E-2</v>
      </c>
      <c r="AA64" s="36">
        <f ca="1">IFERROR(AVERAGEIFS(INDIRECT("Tabela1["&amp;$B64&amp;"]"),Tabela1[Turno],$D64,Tabela1[Data Corrigida],AA$3)/100,"")</f>
        <v>0.14000000000000001</v>
      </c>
      <c r="AB64" s="36">
        <f ca="1">IFERROR(AVERAGEIFS(INDIRECT("Tabela1["&amp;$B64&amp;"]"),Tabela1[Turno],$D64,Tabela1[Data Corrigida],AB$3)/100,"")</f>
        <v>0.15333333333333335</v>
      </c>
      <c r="AC64" s="36">
        <f ca="1">IFERROR(AVERAGEIFS(INDIRECT("Tabela1["&amp;$B64&amp;"]"),Tabela1[Turno],$D64,Tabela1[Data Corrigida],AC$3)/100,"")</f>
        <v>0.13666666666666666</v>
      </c>
      <c r="AD64" s="36">
        <f ca="1">IFERROR(AVERAGEIFS(INDIRECT("Tabela1["&amp;$B64&amp;"]"),Tabela1[Turno],$D64,Tabela1[Data Corrigida],AD$3)/100,"")</f>
        <v>0.13333333333333333</v>
      </c>
      <c r="AE64" s="36">
        <f ca="1">IFERROR(AVERAGEIFS(INDIRECT("Tabela1["&amp;$B64&amp;"]"),Tabela1[Turno],$D64,Tabela1[Data Corrigida],AE$3)/100,"")</f>
        <v>0.16666666666666669</v>
      </c>
      <c r="AF64" s="36">
        <f ca="1">IFERROR(AVERAGEIFS(INDIRECT("Tabela1["&amp;$B64&amp;"]"),Tabela1[Turno],$D64,Tabela1[Data Corrigida],AF$3)/100,"")</f>
        <v>0.16</v>
      </c>
      <c r="AG64" s="36">
        <f ca="1">IFERROR(AVERAGEIFS(INDIRECT("Tabela1["&amp;$B64&amp;"]"),Tabela1[Turno],$D64,Tabela1[Data Corrigida],AG$3)/100,"")</f>
        <v>0.16</v>
      </c>
      <c r="AH64" s="36">
        <f ca="1">IFERROR(AVERAGEIFS(INDIRECT("Tabela1["&amp;$B64&amp;"]"),Tabela1[Turno],$D64,Tabela1[Data Corrigida],AH$3)/100,"")</f>
        <v>0.14333333333333334</v>
      </c>
      <c r="AI64" s="36">
        <f ca="1">IFERROR(AVERAGEIFS(INDIRECT("Tabela1["&amp;$B64&amp;"]"),Tabela1[Turno],$D64,Tabela1[Data Corrigida],AI$3)/100,"")</f>
        <v>0.20333333333333331</v>
      </c>
      <c r="AJ64" s="36">
        <f ca="1">IFERROR(AVERAGEIFS(INDIRECT("Tabela1["&amp;$B64&amp;"]"),Tabela1[Turno],$D64,Tabela1[Data Corrigida],AJ$3)/100,"")</f>
        <v>0.18</v>
      </c>
      <c r="AK64" s="36">
        <f ca="1">IFERROR(AVERAGEIFS(INDIRECT("Tabela1["&amp;$B64&amp;"]"),Tabela1[Turno],$D64,Tabela1[Data Corrigida],AK$3)/100,"")</f>
        <v>0.16666666666666669</v>
      </c>
      <c r="AL64" s="36">
        <f ca="1">IFERROR(AVERAGEIFS(INDIRECT("Tabela1["&amp;$B64&amp;"]"),Tabela1[Turno],$D64,Tabela1[Data Corrigida],AL$3)/100,"")</f>
        <v>0.16</v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0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0.14184931506849316</v>
      </c>
      <c r="N65" s="45" t="str">
        <f ca="1">IFERROR(AVERAGEIFS(INDIRECT("Tabela1["&amp;$B65&amp;"]"),Tabela1[Mês],N$3)/100,"")</f>
        <v/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3"/>
      <c r="R65" s="37">
        <f ca="1">IFERROR(AVERAGEIFS(INDIRECT("Tabela1["&amp;$B65&amp;"]"),Tabela1[Data Corrigida],R$3)/100,"")</f>
        <v>6.5714285714285711E-2</v>
      </c>
      <c r="S65" s="38">
        <f ca="1">IFERROR(AVERAGEIFS(INDIRECT("Tabela1["&amp;$B65&amp;"]"),Tabela1[Data Corrigida],S$3)/100,"")</f>
        <v>8.7142857142857133E-2</v>
      </c>
      <c r="T65" s="38">
        <f ca="1">IFERROR(AVERAGEIFS(INDIRECT("Tabela1["&amp;$B65&amp;"]"),Tabela1[Data Corrigida],T$3)/100,"")</f>
        <v>0.11857142857142858</v>
      </c>
      <c r="U65" s="38">
        <f ca="1">IFERROR(AVERAGEIFS(INDIRECT("Tabela1["&amp;$B65&amp;"]"),Tabela1[Data Corrigida],U$3)/100,"")</f>
        <v>0.12571428571428572</v>
      </c>
      <c r="V65" s="38">
        <f ca="1">IFERROR(AVERAGEIFS(INDIRECT("Tabela1["&amp;$B65&amp;"]"),Tabela1[Data Corrigida],V$3)/100,"")</f>
        <v>0.10714285714285714</v>
      </c>
      <c r="W65" s="38">
        <f ca="1">IFERROR(AVERAGEIFS(INDIRECT("Tabela1["&amp;$B65&amp;"]"),Tabela1[Data Corrigida],W$3)/100,"")</f>
        <v>0.12</v>
      </c>
      <c r="X65" s="38">
        <f ca="1">IFERROR(AVERAGEIFS(INDIRECT("Tabela1["&amp;$B65&amp;"]"),Tabela1[Data Corrigida],X$3)/100,"")</f>
        <v>0.12857142857142859</v>
      </c>
      <c r="Y65" s="38">
        <f ca="1">IFERROR(AVERAGEIFS(INDIRECT("Tabela1["&amp;$B65&amp;"]"),Tabela1[Data Corrigida],Y$3)/100,"")</f>
        <v>0.11</v>
      </c>
      <c r="Z65" s="38">
        <f ca="1">IFERROR(AVERAGEIFS(INDIRECT("Tabela1["&amp;$B65&amp;"]"),Tabela1[Data Corrigida],Z$3)/100,"")</f>
        <v>0.12857142857142859</v>
      </c>
      <c r="AA65" s="38">
        <f ca="1">IFERROR(AVERAGEIFS(INDIRECT("Tabela1["&amp;$B65&amp;"]"),Tabela1[Data Corrigida],AA$3)/100,"")</f>
        <v>0.14285714285714288</v>
      </c>
      <c r="AB65" s="38">
        <f ca="1">IFERROR(AVERAGEIFS(INDIRECT("Tabela1["&amp;$B65&amp;"]"),Tabela1[Data Corrigida],AB$3)/100,"")</f>
        <v>0.14428571428571429</v>
      </c>
      <c r="AC65" s="38">
        <f ca="1">IFERROR(AVERAGEIFS(INDIRECT("Tabela1["&amp;$B65&amp;"]"),Tabela1[Data Corrigida],AC$3)/100,"")</f>
        <v>0.13857142857142857</v>
      </c>
      <c r="AD65" s="38">
        <f ca="1">IFERROR(AVERAGEIFS(INDIRECT("Tabela1["&amp;$B65&amp;"]"),Tabela1[Data Corrigida],AD$3)/100,"")</f>
        <v>0.15833333333333333</v>
      </c>
      <c r="AE65" s="38">
        <f ca="1">IFERROR(AVERAGEIFS(INDIRECT("Tabela1["&amp;$B65&amp;"]"),Tabela1[Data Corrigida],AE$3)/100,"")</f>
        <v>0.13428571428571429</v>
      </c>
      <c r="AF65" s="38">
        <f ca="1">IFERROR(AVERAGEIFS(INDIRECT("Tabela1["&amp;$B65&amp;"]"),Tabela1[Data Corrigida],AF$3)/100,"")</f>
        <v>0.17857142857142858</v>
      </c>
      <c r="AG65" s="38">
        <f ca="1">IFERROR(AVERAGEIFS(INDIRECT("Tabela1["&amp;$B65&amp;"]"),Tabela1[Data Corrigida],AG$3)/100,"")</f>
        <v>0.18142857142857141</v>
      </c>
      <c r="AH65" s="38">
        <f ca="1">IFERROR(AVERAGEIFS(INDIRECT("Tabela1["&amp;$B65&amp;"]"),Tabela1[Data Corrigida],AH$3)/100,"")</f>
        <v>0.15428571428571428</v>
      </c>
      <c r="AI65" s="38">
        <f ca="1">IFERROR(AVERAGEIFS(INDIRECT("Tabela1["&amp;$B65&amp;"]"),Tabela1[Data Corrigida],AI$3)/100,"")</f>
        <v>0.19857142857142857</v>
      </c>
      <c r="AJ65" s="38">
        <f ca="1">IFERROR(AVERAGEIFS(INDIRECT("Tabela1["&amp;$B65&amp;"]"),Tabela1[Data Corrigida],AJ$3)/100,"")</f>
        <v>0.19285714285714284</v>
      </c>
      <c r="AK65" s="38">
        <f ca="1">IFERROR(AVERAGEIFS(INDIRECT("Tabela1["&amp;$B65&amp;"]"),Tabela1[Data Corrigida],AK$3)/100,"")</f>
        <v>0.17857142857142858</v>
      </c>
      <c r="AL65" s="38">
        <f ca="1">IFERROR(AVERAGEIFS(INDIRECT("Tabela1["&amp;$B65&amp;"]"),Tabela1[Data Corrigida],AL$3)/100,"")</f>
        <v>0.18714285714285717</v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58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1.7992424242424244E-2</v>
      </c>
      <c r="N66" s="34" t="str">
        <f ca="1">IFERROR(AVERAGEIFS(INDIRECT("Tabela1["&amp;$B66&amp;"]"),Tabela1[Turno],$D66,Tabela1[Mês],N$3)/32,"")</f>
        <v/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61">
        <v>0.03</v>
      </c>
      <c r="R66" s="33" t="str">
        <f ca="1">IFERROR(AVERAGEIFS(INDIRECT("Tabela1["&amp;$B66&amp;"]"),Tabela1[Turno],$D66,Tabela1[Data Corrigida],R$3)/32,"")</f>
        <v/>
      </c>
      <c r="S66" s="34">
        <f ca="1">IFERROR(AVERAGEIFS(INDIRECT("Tabela1["&amp;$B66&amp;"]"),Tabela1[Turno],$D66,Tabela1[Data Corrigida],S$3)/32,"")</f>
        <v>0</v>
      </c>
      <c r="T66" s="34">
        <f ca="1">IFERROR(AVERAGEIFS(INDIRECT("Tabela1["&amp;$B66&amp;"]"),Tabela1[Turno],$D66,Tabela1[Data Corrigida],T$3)/32,"")</f>
        <v>0</v>
      </c>
      <c r="U66" s="34" t="str">
        <f ca="1">IFERROR(AVERAGEIFS(INDIRECT("Tabela1["&amp;$B66&amp;"]"),Tabela1[Turno],$D66,Tabela1[Data Corrigida],U$3)/32,"")</f>
        <v/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3.125E-2</v>
      </c>
      <c r="X66" s="34">
        <f ca="1">IFERROR(AVERAGEIFS(INDIRECT("Tabela1["&amp;$B66&amp;"]"),Tabela1[Turno],$D66,Tabela1[Data Corrigida],X$3)/32,"")</f>
        <v>1.5625E-2</v>
      </c>
      <c r="Y66" s="34">
        <f ca="1">IFERROR(AVERAGEIFS(INDIRECT("Tabela1["&amp;$B66&amp;"]"),Tabela1[Turno],$D66,Tabela1[Data Corrigida],Y$3)/32,"")</f>
        <v>1.5625E-2</v>
      </c>
      <c r="Z66" s="34">
        <f ca="1">IFERROR(AVERAGEIFS(INDIRECT("Tabela1["&amp;$B66&amp;"]"),Tabela1[Turno],$D66,Tabela1[Data Corrigida],Z$3)/32,"")</f>
        <v>0</v>
      </c>
      <c r="AA66" s="34">
        <f ca="1">IFERROR(AVERAGEIFS(INDIRECT("Tabela1["&amp;$B66&amp;"]"),Tabela1[Turno],$D66,Tabela1[Data Corrigida],AA$3)/32,"")</f>
        <v>3.125E-2</v>
      </c>
      <c r="AB66" s="34">
        <f ca="1">IFERROR(AVERAGEIFS(INDIRECT("Tabela1["&amp;$B66&amp;"]"),Tabela1[Turno],$D66,Tabela1[Data Corrigida],AB$3)/32,"")</f>
        <v>3.125E-2</v>
      </c>
      <c r="AC66" s="34">
        <f ca="1">IFERROR(AVERAGEIFS(INDIRECT("Tabela1["&amp;$B66&amp;"]"),Tabela1[Turno],$D66,Tabela1[Data Corrigida],AC$3)/32,"")</f>
        <v>3.125E-2</v>
      </c>
      <c r="AD66" s="34">
        <f ca="1">IFERROR(AVERAGEIFS(INDIRECT("Tabela1["&amp;$B66&amp;"]"),Tabela1[Turno],$D66,Tabela1[Data Corrigida],AD$3)/32,"")</f>
        <v>0</v>
      </c>
      <c r="AE66" s="34" t="str">
        <f ca="1">IFERROR(AVERAGEIFS(INDIRECT("Tabela1["&amp;$B66&amp;"]"),Tabela1[Turno],$D66,Tabela1[Data Corrigida],AE$3)/32,"")</f>
        <v/>
      </c>
      <c r="AF66" s="34">
        <f ca="1">IFERROR(AVERAGEIFS(INDIRECT("Tabela1["&amp;$B66&amp;"]"),Tabela1[Turno],$D66,Tabela1[Data Corrigida],AF$3)/32,"")</f>
        <v>1.5625E-2</v>
      </c>
      <c r="AG66" s="34">
        <f ca="1">IFERROR(AVERAGEIFS(INDIRECT("Tabela1["&amp;$B66&amp;"]"),Tabela1[Turno],$D66,Tabela1[Data Corrigida],AG$3)/32,"")</f>
        <v>3.125E-2</v>
      </c>
      <c r="AH66" s="34">
        <f ca="1">IFERROR(AVERAGEIFS(INDIRECT("Tabela1["&amp;$B66&amp;"]"),Tabela1[Turno],$D66,Tabela1[Data Corrigida],AH$3)/32,"")</f>
        <v>6.25E-2</v>
      </c>
      <c r="AI66" s="34">
        <f ca="1">IFERROR(AVERAGEIFS(INDIRECT("Tabela1["&amp;$B66&amp;"]"),Tabela1[Turno],$D66,Tabela1[Data Corrigida],AI$3)/32,"")</f>
        <v>0</v>
      </c>
      <c r="AJ66" s="34">
        <f ca="1">IFERROR(AVERAGEIFS(INDIRECT("Tabela1["&amp;$B66&amp;"]"),Tabela1[Turno],$D66,Tabela1[Data Corrigida],AJ$3)/32,"")</f>
        <v>3.125E-2</v>
      </c>
      <c r="AK66" s="34">
        <f ca="1">IFERROR(AVERAGEIFS(INDIRECT("Tabela1["&amp;$B66&amp;"]"),Tabela1[Turno],$D66,Tabela1[Data Corrigida],AK$3)/32,"")</f>
        <v>0</v>
      </c>
      <c r="AL66" s="34">
        <f ca="1">IFERROR(AVERAGEIFS(INDIRECT("Tabela1["&amp;$B66&amp;"]"),Tabela1[Turno],$D66,Tabela1[Data Corrigida],AL$3)/32,"")</f>
        <v>0</v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59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9.8790322580645157E-2</v>
      </c>
      <c r="N67" s="36" t="str">
        <f ca="1">IFERROR(AVERAGEIFS(INDIRECT("Tabela1["&amp;$B67&amp;"]"),Tabela1[Turno],$D67,Tabela1[Mês],N$3)/32,"")</f>
        <v/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62"/>
      <c r="R67" s="35">
        <f ca="1">IFERROR(AVERAGEIFS(INDIRECT("Tabela1["&amp;$B67&amp;"]"),Tabela1[Turno],$D67,Tabela1[Data Corrigida],R$3)/32,"")</f>
        <v>0.23958333333333334</v>
      </c>
      <c r="S67" s="36">
        <f ca="1">IFERROR(AVERAGEIFS(INDIRECT("Tabela1["&amp;$B67&amp;"]"),Tabela1[Turno],$D67,Tabela1[Data Corrigida],S$3)/32,"")</f>
        <v>0</v>
      </c>
      <c r="T67" s="36">
        <f ca="1">IFERROR(AVERAGEIFS(INDIRECT("Tabela1["&amp;$B67&amp;"]"),Tabela1[Turno],$D67,Tabela1[Data Corrigida],T$3)/32,"")</f>
        <v>0.10416666666666667</v>
      </c>
      <c r="U67" s="36">
        <f ca="1">IFERROR(AVERAGEIFS(INDIRECT("Tabela1["&amp;$B67&amp;"]"),Tabela1[Turno],$D67,Tabela1[Data Corrigida],U$3)/32,"")</f>
        <v>0.25</v>
      </c>
      <c r="V67" s="36">
        <f ca="1">IFERROR(AVERAGEIFS(INDIRECT("Tabela1["&amp;$B67&amp;"]"),Tabela1[Turno],$D67,Tabela1[Data Corrigida],V$3)/32,"")</f>
        <v>2.0833333333333332E-2</v>
      </c>
      <c r="W67" s="36">
        <f ca="1">IFERROR(AVERAGEIFS(INDIRECT("Tabela1["&amp;$B67&amp;"]"),Tabela1[Turno],$D67,Tabela1[Data Corrigida],W$3)/32,"")</f>
        <v>0.20833333333333334</v>
      </c>
      <c r="X67" s="36">
        <f ca="1">IFERROR(AVERAGEIFS(INDIRECT("Tabela1["&amp;$B67&amp;"]"),Tabela1[Turno],$D67,Tabela1[Data Corrigida],X$3)/32,"")</f>
        <v>3.125E-2</v>
      </c>
      <c r="Y67" s="36">
        <f ca="1">IFERROR(AVERAGEIFS(INDIRECT("Tabela1["&amp;$B67&amp;"]"),Tabela1[Turno],$D67,Tabela1[Data Corrigida],Y$3)/32,"")</f>
        <v>3.125E-2</v>
      </c>
      <c r="Z67" s="36">
        <f ca="1">IFERROR(AVERAGEIFS(INDIRECT("Tabela1["&amp;$B67&amp;"]"),Tabela1[Turno],$D67,Tabela1[Data Corrigida],Z$3)/32,"")</f>
        <v>2.0833333333333332E-2</v>
      </c>
      <c r="AA67" s="36">
        <f ca="1">IFERROR(AVERAGEIFS(INDIRECT("Tabela1["&amp;$B67&amp;"]"),Tabela1[Turno],$D67,Tabela1[Data Corrigida],AA$3)/32,"")</f>
        <v>0.10416666666666667</v>
      </c>
      <c r="AB67" s="36">
        <f ca="1">IFERROR(AVERAGEIFS(INDIRECT("Tabela1["&amp;$B67&amp;"]"),Tabela1[Turno],$D67,Tabela1[Data Corrigida],AB$3)/32,"")</f>
        <v>5.2083333333333336E-2</v>
      </c>
      <c r="AC67" s="36">
        <f ca="1">IFERROR(AVERAGEIFS(INDIRECT("Tabela1["&amp;$B67&amp;"]"),Tabela1[Turno],$D67,Tabela1[Data Corrigida],AC$3)/32,"")</f>
        <v>2.0833333333333332E-2</v>
      </c>
      <c r="AD67" s="36">
        <f ca="1">IFERROR(AVERAGEIFS(INDIRECT("Tabela1["&amp;$B67&amp;"]"),Tabela1[Turno],$D67,Tabela1[Data Corrigida],AD$3)/32,"")</f>
        <v>0.48958333333333331</v>
      </c>
      <c r="AE67" s="36">
        <f ca="1">IFERROR(AVERAGEIFS(INDIRECT("Tabela1["&amp;$B67&amp;"]"),Tabela1[Turno],$D67,Tabela1[Data Corrigida],AE$3)/32,"")</f>
        <v>0.296875</v>
      </c>
      <c r="AF67" s="36">
        <f ca="1">IFERROR(AVERAGEIFS(INDIRECT("Tabela1["&amp;$B67&amp;"]"),Tabela1[Turno],$D67,Tabela1[Data Corrigida],AF$3)/32,"")</f>
        <v>1.0416666666666666E-2</v>
      </c>
      <c r="AG67" s="36">
        <f ca="1">IFERROR(AVERAGEIFS(INDIRECT("Tabela1["&amp;$B67&amp;"]"),Tabela1[Turno],$D67,Tabela1[Data Corrigida],AG$3)/32,"")</f>
        <v>0</v>
      </c>
      <c r="AH67" s="36">
        <f ca="1">IFERROR(AVERAGEIFS(INDIRECT("Tabela1["&amp;$B67&amp;"]"),Tabela1[Turno],$D67,Tabela1[Data Corrigida],AH$3)/32,"")</f>
        <v>4.1666666666666664E-2</v>
      </c>
      <c r="AI67" s="36">
        <f ca="1">IFERROR(AVERAGEIFS(INDIRECT("Tabela1["&amp;$B67&amp;"]"),Tabela1[Turno],$D67,Tabela1[Data Corrigida],AI$3)/32,"")</f>
        <v>0.10416666666666667</v>
      </c>
      <c r="AJ67" s="36">
        <f ca="1">IFERROR(AVERAGEIFS(INDIRECT("Tabela1["&amp;$B67&amp;"]"),Tabela1[Turno],$D67,Tabela1[Data Corrigida],AJ$3)/32,"")</f>
        <v>3.125E-2</v>
      </c>
      <c r="AK67" s="36">
        <f ca="1">IFERROR(AVERAGEIFS(INDIRECT("Tabela1["&amp;$B67&amp;"]"),Tabela1[Turno],$D67,Tabela1[Data Corrigida],AK$3)/32,"")</f>
        <v>7.2916666666666671E-2</v>
      </c>
      <c r="AL67" s="36">
        <f ca="1">IFERROR(AVERAGEIFS(INDIRECT("Tabela1["&amp;$B67&amp;"]"),Tabela1[Turno],$D67,Tabela1[Data Corrigida],AL$3)/32,"")</f>
        <v>1.0416666666666666E-2</v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0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7.0723684210526314E-2</v>
      </c>
      <c r="N68" s="45" t="str">
        <f ca="1">IFERROR(AVERAGEIFS(INDIRECT("Tabela1["&amp;$B68&amp;"]"),Tabela1[Mês],N$3)/32,"")</f>
        <v/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3"/>
      <c r="R68" s="37">
        <f ca="1">IFERROR(AVERAGEIFS(INDIRECT("Tabela1["&amp;$B68&amp;"]"),Tabela1[Data Corrigida],R$3)/32,"")</f>
        <v>0.23958333333333334</v>
      </c>
      <c r="S68" s="38">
        <f ca="1">IFERROR(AVERAGEIFS(INDIRECT("Tabela1["&amp;$B68&amp;"]"),Tabela1[Data Corrigida],S$3)/32,"")</f>
        <v>0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0.25</v>
      </c>
      <c r="V68" s="38">
        <f ca="1">IFERROR(AVERAGEIFS(INDIRECT("Tabela1["&amp;$B68&amp;"]"),Tabela1[Data Corrigida],V$3)/32,"")</f>
        <v>2.6041666666666668E-2</v>
      </c>
      <c r="W68" s="38">
        <f ca="1">IFERROR(AVERAGEIFS(INDIRECT("Tabela1["&amp;$B68&amp;"]"),Tabela1[Data Corrigida],W$3)/32,"")</f>
        <v>0.13750000000000001</v>
      </c>
      <c r="X68" s="38">
        <f ca="1">IFERROR(AVERAGEIFS(INDIRECT("Tabela1["&amp;$B68&amp;"]"),Tabela1[Data Corrigida],X$3)/32,"")</f>
        <v>2.5000000000000001E-2</v>
      </c>
      <c r="Y68" s="38">
        <f ca="1">IFERROR(AVERAGEIFS(INDIRECT("Tabela1["&amp;$B68&amp;"]"),Tabela1[Data Corrigida],Y$3)/32,"")</f>
        <v>2.5000000000000001E-2</v>
      </c>
      <c r="Z68" s="38">
        <f ca="1">IFERROR(AVERAGEIFS(INDIRECT("Tabela1["&amp;$B68&amp;"]"),Tabela1[Data Corrigida],Z$3)/32,"")</f>
        <v>1.5625E-2</v>
      </c>
      <c r="AA68" s="38">
        <f ca="1">IFERROR(AVERAGEIFS(INDIRECT("Tabela1["&amp;$B68&amp;"]"),Tabela1[Data Corrigida],AA$3)/32,"")</f>
        <v>8.59375E-2</v>
      </c>
      <c r="AB68" s="38">
        <f ca="1">IFERROR(AVERAGEIFS(INDIRECT("Tabela1["&amp;$B68&amp;"]"),Tabela1[Data Corrigida],AB$3)/32,"")</f>
        <v>4.1666666666666664E-2</v>
      </c>
      <c r="AC68" s="38">
        <f ca="1">IFERROR(AVERAGEIFS(INDIRECT("Tabela1["&amp;$B68&amp;"]"),Tabela1[Data Corrigida],AC$3)/32,"")</f>
        <v>2.34375E-2</v>
      </c>
      <c r="AD68" s="38">
        <f ca="1">IFERROR(AVERAGEIFS(INDIRECT("Tabela1["&amp;$B68&amp;"]"),Tabela1[Data Corrigida],AD$3)/32,"")</f>
        <v>0.3671875</v>
      </c>
      <c r="AE68" s="38">
        <f ca="1">IFERROR(AVERAGEIFS(INDIRECT("Tabela1["&amp;$B68&amp;"]"),Tabela1[Data Corrigida],AE$3)/32,"")</f>
        <v>0.296875</v>
      </c>
      <c r="AF68" s="38">
        <f ca="1">IFERROR(AVERAGEIFS(INDIRECT("Tabela1["&amp;$B68&amp;"]"),Tabela1[Data Corrigida],AF$3)/32,"")</f>
        <v>1.2500000000000001E-2</v>
      </c>
      <c r="AG68" s="38">
        <f ca="1">IFERROR(AVERAGEIFS(INDIRECT("Tabela1["&amp;$B68&amp;"]"),Tabela1[Data Corrigida],AG$3)/32,"")</f>
        <v>1.2500000000000001E-2</v>
      </c>
      <c r="AH68" s="38">
        <f ca="1">IFERROR(AVERAGEIFS(INDIRECT("Tabela1["&amp;$B68&amp;"]"),Tabela1[Data Corrigida],AH$3)/32,"")</f>
        <v>4.6875E-2</v>
      </c>
      <c r="AI68" s="38">
        <f ca="1">IFERROR(AVERAGEIFS(INDIRECT("Tabela1["&amp;$B68&amp;"]"),Tabela1[Data Corrigida],AI$3)/32,"")</f>
        <v>6.25E-2</v>
      </c>
      <c r="AJ68" s="38">
        <f ca="1">IFERROR(AVERAGEIFS(INDIRECT("Tabela1["&amp;$B68&amp;"]"),Tabela1[Data Corrigida],AJ$3)/32,"")</f>
        <v>3.125E-2</v>
      </c>
      <c r="AK68" s="38">
        <f ca="1">IFERROR(AVERAGEIFS(INDIRECT("Tabela1["&amp;$B68&amp;"]"),Tabela1[Data Corrigida],AK$3)/32,"")</f>
        <v>4.3749999999999997E-2</v>
      </c>
      <c r="AL68" s="38">
        <f ca="1">IFERROR(AVERAGEIFS(INDIRECT("Tabela1["&amp;$B68&amp;"]"),Tabela1[Data Corrigida],AL$3)/32,"")</f>
        <v>6.2500000000000003E-3</v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58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 t="str">
        <f ca="1">IFERROR(AVERAGEIFS(INDIRECT("Tabela1["&amp;$B69&amp;"]"),Tabela1[Turno],$D69,Tabela1[Mês],N$3)/32,"")</f>
        <v/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61">
        <v>0</v>
      </c>
      <c r="R69" s="33" t="str">
        <f ca="1">IFERROR(AVERAGEIFS(INDIRECT("Tabela1["&amp;$B69&amp;"]"),Tabela1[Turno],$D69,Tabela1[Data Corrigida],R$3)/32,"")</f>
        <v/>
      </c>
      <c r="S69" s="34">
        <f ca="1">IFERROR(AVERAGEIFS(INDIRECT("Tabela1["&amp;$B69&amp;"]"),Tabela1[Turno],$D69,Tabela1[Data Corrigida],S$3)/32,"")</f>
        <v>0</v>
      </c>
      <c r="T69" s="34">
        <f ca="1">IFERROR(AVERAGEIFS(INDIRECT("Tabela1["&amp;$B69&amp;"]"),Tabela1[Turno],$D69,Tabela1[Data Corrigida],T$3)/32,"")</f>
        <v>0</v>
      </c>
      <c r="U69" s="34" t="str">
        <f ca="1">IFERROR(AVERAGEIFS(INDIRECT("Tabela1["&amp;$B69&amp;"]"),Tabela1[Turno],$D69,Tabela1[Data Corrigida],U$3)/32,"")</f>
        <v/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>
        <f ca="1">IFERROR(AVERAGEIFS(INDIRECT("Tabela1["&amp;$B69&amp;"]"),Tabela1[Turno],$D69,Tabela1[Data Corrigida],Z$3)/32,"")</f>
        <v>0</v>
      </c>
      <c r="AA69" s="34">
        <f ca="1">IFERROR(AVERAGEIFS(INDIRECT("Tabela1["&amp;$B69&amp;"]"),Tabela1[Turno],$D69,Tabela1[Data Corrigida],AA$3)/32,"")</f>
        <v>0</v>
      </c>
      <c r="AB69" s="34">
        <f ca="1">IFERROR(AVERAGEIFS(INDIRECT("Tabela1["&amp;$B69&amp;"]"),Tabela1[Turno],$D69,Tabela1[Data Corrigida],AB$3)/32,"")</f>
        <v>0</v>
      </c>
      <c r="AC69" s="34">
        <f ca="1">IFERROR(AVERAGEIFS(INDIRECT("Tabela1["&amp;$B69&amp;"]"),Tabela1[Turno],$D69,Tabela1[Data Corrigida],AC$3)/32,"")</f>
        <v>0</v>
      </c>
      <c r="AD69" s="34">
        <f ca="1">IFERROR(AVERAGEIFS(INDIRECT("Tabela1["&amp;$B69&amp;"]"),Tabela1[Turno],$D69,Tabela1[Data Corrigida],AD$3)/32,"")</f>
        <v>0</v>
      </c>
      <c r="AE69" s="34" t="str">
        <f ca="1">IFERROR(AVERAGEIFS(INDIRECT("Tabela1["&amp;$B69&amp;"]"),Tabela1[Turno],$D69,Tabela1[Data Corrigida],AE$3)/32,"")</f>
        <v/>
      </c>
      <c r="AF69" s="34">
        <f ca="1">IFERROR(AVERAGEIFS(INDIRECT("Tabela1["&amp;$B69&amp;"]"),Tabela1[Turno],$D69,Tabela1[Data Corrigida],AF$3)/32,"")</f>
        <v>0</v>
      </c>
      <c r="AG69" s="34">
        <f ca="1">IFERROR(AVERAGEIFS(INDIRECT("Tabela1["&amp;$B69&amp;"]"),Tabela1[Turno],$D69,Tabela1[Data Corrigida],AG$3)/32,"")</f>
        <v>0</v>
      </c>
      <c r="AH69" s="34">
        <f ca="1">IFERROR(AVERAGEIFS(INDIRECT("Tabela1["&amp;$B69&amp;"]"),Tabela1[Turno],$D69,Tabela1[Data Corrigida],AH$3)/32,"")</f>
        <v>0</v>
      </c>
      <c r="AI69" s="34">
        <f ca="1">IFERROR(AVERAGEIFS(INDIRECT("Tabela1["&amp;$B69&amp;"]"),Tabela1[Turno],$D69,Tabela1[Data Corrigida],AI$3)/32,"")</f>
        <v>0</v>
      </c>
      <c r="AJ69" s="34">
        <f ca="1">IFERROR(AVERAGEIFS(INDIRECT("Tabela1["&amp;$B69&amp;"]"),Tabela1[Turno],$D69,Tabela1[Data Corrigida],AJ$3)/32,"")</f>
        <v>0</v>
      </c>
      <c r="AK69" s="34">
        <f ca="1">IFERROR(AVERAGEIFS(INDIRECT("Tabela1["&amp;$B69&amp;"]"),Tabela1[Turno],$D69,Tabela1[Data Corrigida],AK$3)/32,"")</f>
        <v>0</v>
      </c>
      <c r="AL69" s="34">
        <f ca="1">IFERROR(AVERAGEIFS(INDIRECT("Tabela1["&amp;$B69&amp;"]"),Tabela1[Turno],$D69,Tabela1[Data Corrigida],AL$3)/32,"")</f>
        <v>0</v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59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 t="str">
        <f ca="1">IFERROR(AVERAGEIFS(INDIRECT("Tabela1["&amp;$B70&amp;"]"),Tabela1[Turno],$D70,Tabela1[Mês],N$3)/32,"")</f>
        <v/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62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>
        <f ca="1">IFERROR(AVERAGEIFS(INDIRECT("Tabela1["&amp;$B70&amp;"]"),Tabela1[Turno],$D70,Tabela1[Data Corrigida],Y$3)/32,"")</f>
        <v>0</v>
      </c>
      <c r="Z70" s="36">
        <f ca="1">IFERROR(AVERAGEIFS(INDIRECT("Tabela1["&amp;$B70&amp;"]"),Tabela1[Turno],$D70,Tabela1[Data Corrigida],Z$3)/32,"")</f>
        <v>0</v>
      </c>
      <c r="AA70" s="36">
        <f ca="1">IFERROR(AVERAGEIFS(INDIRECT("Tabela1["&amp;$B70&amp;"]"),Tabela1[Turno],$D70,Tabela1[Data Corrigida],AA$3)/32,"")</f>
        <v>0</v>
      </c>
      <c r="AB70" s="36">
        <f ca="1">IFERROR(AVERAGEIFS(INDIRECT("Tabela1["&amp;$B70&amp;"]"),Tabela1[Turno],$D70,Tabela1[Data Corrigida],AB$3)/32,"")</f>
        <v>0</v>
      </c>
      <c r="AC70" s="36">
        <f ca="1">IFERROR(AVERAGEIFS(INDIRECT("Tabela1["&amp;$B70&amp;"]"),Tabela1[Turno],$D70,Tabela1[Data Corrigida],AC$3)/32,"")</f>
        <v>0</v>
      </c>
      <c r="AD70" s="36">
        <f ca="1">IFERROR(AVERAGEIFS(INDIRECT("Tabela1["&amp;$B70&amp;"]"),Tabela1[Turno],$D70,Tabela1[Data Corrigida],AD$3)/32,"")</f>
        <v>0</v>
      </c>
      <c r="AE70" s="36">
        <f ca="1">IFERROR(AVERAGEIFS(INDIRECT("Tabela1["&amp;$B70&amp;"]"),Tabela1[Turno],$D70,Tabela1[Data Corrigida],AE$3)/32,"")</f>
        <v>0</v>
      </c>
      <c r="AF70" s="36">
        <f ca="1">IFERROR(AVERAGEIFS(INDIRECT("Tabela1["&amp;$B70&amp;"]"),Tabela1[Turno],$D70,Tabela1[Data Corrigida],AF$3)/32,"")</f>
        <v>0</v>
      </c>
      <c r="AG70" s="36">
        <f ca="1">IFERROR(AVERAGEIFS(INDIRECT("Tabela1["&amp;$B70&amp;"]"),Tabela1[Turno],$D70,Tabela1[Data Corrigida],AG$3)/32,"")</f>
        <v>0</v>
      </c>
      <c r="AH70" s="36">
        <f ca="1">IFERROR(AVERAGEIFS(INDIRECT("Tabela1["&amp;$B70&amp;"]"),Tabela1[Turno],$D70,Tabela1[Data Corrigida],AH$3)/32,"")</f>
        <v>0</v>
      </c>
      <c r="AI70" s="36">
        <f ca="1">IFERROR(AVERAGEIFS(INDIRECT("Tabela1["&amp;$B70&amp;"]"),Tabela1[Turno],$D70,Tabela1[Data Corrigida],AI$3)/32,"")</f>
        <v>0</v>
      </c>
      <c r="AJ70" s="36">
        <f ca="1">IFERROR(AVERAGEIFS(INDIRECT("Tabela1["&amp;$B70&amp;"]"),Tabela1[Turno],$D70,Tabela1[Data Corrigida],AJ$3)/32,"")</f>
        <v>0</v>
      </c>
      <c r="AK70" s="36">
        <f ca="1">IFERROR(AVERAGEIFS(INDIRECT("Tabela1["&amp;$B70&amp;"]"),Tabela1[Turno],$D70,Tabela1[Data Corrigida],AK$3)/32,"")</f>
        <v>0</v>
      </c>
      <c r="AL70" s="36">
        <f ca="1">IFERROR(AVERAGEIFS(INDIRECT("Tabela1["&amp;$B70&amp;"]"),Tabela1[Turno],$D70,Tabela1[Data Corrigida],AL$3)/32,"")</f>
        <v>0</v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0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 t="str">
        <f ca="1">IFERROR(AVERAGEIFS(INDIRECT("Tabela1["&amp;$B71&amp;"]"),Tabela1[Mês],N$3)/32,"")</f>
        <v/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3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>
        <f ca="1">IFERROR(AVERAGEIFS(INDIRECT("Tabela1["&amp;$B71&amp;"]"),Tabela1[Data Corrigida],Z$3)/32,"")</f>
        <v>0</v>
      </c>
      <c r="AA71" s="38">
        <f ca="1">IFERROR(AVERAGEIFS(INDIRECT("Tabela1["&amp;$B71&amp;"]"),Tabela1[Data Corrigida],AA$3)/32,"")</f>
        <v>0</v>
      </c>
      <c r="AB71" s="38">
        <f ca="1">IFERROR(AVERAGEIFS(INDIRECT("Tabela1["&amp;$B71&amp;"]"),Tabela1[Data Corrigida],AB$3)/32,"")</f>
        <v>0</v>
      </c>
      <c r="AC71" s="38">
        <f ca="1">IFERROR(AVERAGEIFS(INDIRECT("Tabela1["&amp;$B71&amp;"]"),Tabela1[Data Corrigida],AC$3)/32,"")</f>
        <v>0</v>
      </c>
      <c r="AD71" s="38">
        <f ca="1">IFERROR(AVERAGEIFS(INDIRECT("Tabela1["&amp;$B71&amp;"]"),Tabela1[Data Corrigida],AD$3)/32,"")</f>
        <v>0</v>
      </c>
      <c r="AE71" s="38">
        <f ca="1">IFERROR(AVERAGEIFS(INDIRECT("Tabela1["&amp;$B71&amp;"]"),Tabela1[Data Corrigida],AE$3)/32,"")</f>
        <v>0</v>
      </c>
      <c r="AF71" s="38">
        <f ca="1">IFERROR(AVERAGEIFS(INDIRECT("Tabela1["&amp;$B71&amp;"]"),Tabela1[Data Corrigida],AF$3)/32,"")</f>
        <v>0</v>
      </c>
      <c r="AG71" s="38">
        <f ca="1">IFERROR(AVERAGEIFS(INDIRECT("Tabela1["&amp;$B71&amp;"]"),Tabela1[Data Corrigida],AG$3)/32,"")</f>
        <v>0</v>
      </c>
      <c r="AH71" s="38">
        <f ca="1">IFERROR(AVERAGEIFS(INDIRECT("Tabela1["&amp;$B71&amp;"]"),Tabela1[Data Corrigida],AH$3)/32,"")</f>
        <v>0</v>
      </c>
      <c r="AI71" s="38">
        <f ca="1">IFERROR(AVERAGEIFS(INDIRECT("Tabela1["&amp;$B71&amp;"]"),Tabela1[Data Corrigida],AI$3)/32,"")</f>
        <v>0</v>
      </c>
      <c r="AJ71" s="38">
        <f ca="1">IFERROR(AVERAGEIFS(INDIRECT("Tabela1["&amp;$B71&amp;"]"),Tabela1[Data Corrigida],AJ$3)/32,"")</f>
        <v>0</v>
      </c>
      <c r="AK71" s="38">
        <f ca="1">IFERROR(AVERAGEIFS(INDIRECT("Tabela1["&amp;$B71&amp;"]"),Tabela1[Data Corrigida],AK$3)/32,"")</f>
        <v>0</v>
      </c>
      <c r="AL71" s="38">
        <f ca="1">IFERROR(AVERAGEIFS(INDIRECT("Tabela1["&amp;$B71&amp;"]"),Tabela1[Data Corrigida],AL$3)/32,"")</f>
        <v>0</v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58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3.6931818181818184E-2</v>
      </c>
      <c r="N72" s="34" t="str">
        <f ca="1">IFERROR(AVERAGEIFS(INDIRECT("Tabela1["&amp;$B72&amp;"]"),Tabela1[Turno],$D72,Tabela1[Mês],N$3)/32,"")</f>
        <v/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61">
        <v>0</v>
      </c>
      <c r="R72" s="33" t="str">
        <f ca="1">IFERROR(AVERAGEIFS(INDIRECT("Tabela1["&amp;$B72&amp;"]"),Tabela1[Turno],$D72,Tabela1[Data Corrigida],R$3)/32,"")</f>
        <v/>
      </c>
      <c r="S72" s="34">
        <f ca="1">IFERROR(AVERAGEIFS(INDIRECT("Tabela1["&amp;$B72&amp;"]"),Tabela1[Turno],$D72,Tabela1[Data Corrigida],S$3)/32,"")</f>
        <v>4.6875E-2</v>
      </c>
      <c r="T72" s="34">
        <f ca="1">IFERROR(AVERAGEIFS(INDIRECT("Tabela1["&amp;$B72&amp;"]"),Tabela1[Turno],$D72,Tabela1[Data Corrigida],T$3)/32,"")</f>
        <v>7.8125E-2</v>
      </c>
      <c r="U72" s="34" t="str">
        <f ca="1">IFERROR(AVERAGEIFS(INDIRECT("Tabela1["&amp;$B72&amp;"]"),Tabela1[Turno],$D72,Tabela1[Data Corrigida],U$3)/32,"")</f>
        <v/>
      </c>
      <c r="V72" s="34">
        <f ca="1">IFERROR(AVERAGEIFS(INDIRECT("Tabela1["&amp;$B72&amp;"]"),Tabela1[Turno],$D72,Tabela1[Data Corrigida],V$3)/32,"")</f>
        <v>3.125E-2</v>
      </c>
      <c r="W72" s="34">
        <f ca="1">IFERROR(AVERAGEIFS(INDIRECT("Tabela1["&amp;$B72&amp;"]"),Tabela1[Turno],$D72,Tabela1[Data Corrigida],W$3)/32,"")</f>
        <v>4.6875E-2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3.125E-2</v>
      </c>
      <c r="Z72" s="34">
        <f ca="1">IFERROR(AVERAGEIFS(INDIRECT("Tabela1["&amp;$B72&amp;"]"),Tabela1[Turno],$D72,Tabela1[Data Corrigida],Z$3)/32,"")</f>
        <v>6.25E-2</v>
      </c>
      <c r="AA72" s="34">
        <f ca="1">IFERROR(AVERAGEIFS(INDIRECT("Tabela1["&amp;$B72&amp;"]"),Tabela1[Turno],$D72,Tabela1[Data Corrigida],AA$3)/32,"")</f>
        <v>3.125E-2</v>
      </c>
      <c r="AB72" s="34">
        <f ca="1">IFERROR(AVERAGEIFS(INDIRECT("Tabela1["&amp;$B72&amp;"]"),Tabela1[Turno],$D72,Tabela1[Data Corrigida],AB$3)/32,"")</f>
        <v>2.0833333333333332E-2</v>
      </c>
      <c r="AC72" s="34">
        <f ca="1">IFERROR(AVERAGEIFS(INDIRECT("Tabela1["&amp;$B72&amp;"]"),Tabela1[Turno],$D72,Tabela1[Data Corrigida],AC$3)/32,"")</f>
        <v>3.125E-2</v>
      </c>
      <c r="AD72" s="34">
        <f ca="1">IFERROR(AVERAGEIFS(INDIRECT("Tabela1["&amp;$B72&amp;"]"),Tabela1[Turno],$D72,Tabela1[Data Corrigida],AD$3)/32,"")</f>
        <v>3.125E-2</v>
      </c>
      <c r="AE72" s="34" t="str">
        <f ca="1">IFERROR(AVERAGEIFS(INDIRECT("Tabela1["&amp;$B72&amp;"]"),Tabela1[Turno],$D72,Tabela1[Data Corrigida],AE$3)/32,"")</f>
        <v/>
      </c>
      <c r="AF72" s="34">
        <f ca="1">IFERROR(AVERAGEIFS(INDIRECT("Tabela1["&amp;$B72&amp;"]"),Tabela1[Turno],$D72,Tabela1[Data Corrigida],AF$3)/32,"")</f>
        <v>3.125E-2</v>
      </c>
      <c r="AG72" s="34">
        <f ca="1">IFERROR(AVERAGEIFS(INDIRECT("Tabela1["&amp;$B72&amp;"]"),Tabela1[Turno],$D72,Tabela1[Data Corrigida],AG$3)/32,"")</f>
        <v>3.125E-2</v>
      </c>
      <c r="AH72" s="34">
        <f ca="1">IFERROR(AVERAGEIFS(INDIRECT("Tabela1["&amp;$B72&amp;"]"),Tabela1[Turno],$D72,Tabela1[Data Corrigida],AH$3)/32,"")</f>
        <v>3.125E-2</v>
      </c>
      <c r="AI72" s="34">
        <f ca="1">IFERROR(AVERAGEIFS(INDIRECT("Tabela1["&amp;$B72&amp;"]"),Tabela1[Turno],$D72,Tabela1[Data Corrigida],AI$3)/32,"")</f>
        <v>4.6875E-2</v>
      </c>
      <c r="AJ72" s="34">
        <f ca="1">IFERROR(AVERAGEIFS(INDIRECT("Tabela1["&amp;$B72&amp;"]"),Tabela1[Turno],$D72,Tabela1[Data Corrigida],AJ$3)/32,"")</f>
        <v>1.5625E-2</v>
      </c>
      <c r="AK72" s="34">
        <f ca="1">IFERROR(AVERAGEIFS(INDIRECT("Tabela1["&amp;$B72&amp;"]"),Tabela1[Turno],$D72,Tabela1[Data Corrigida],AK$3)/32,"")</f>
        <v>3.125E-2</v>
      </c>
      <c r="AL72" s="34">
        <f ca="1">IFERROR(AVERAGEIFS(INDIRECT("Tabela1["&amp;$B72&amp;"]"),Tabela1[Turno],$D72,Tabela1[Data Corrigida],AL$3)/32,"")</f>
        <v>4.6875E-2</v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59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 t="str">
        <f ca="1">IFERROR(AVERAGEIFS(INDIRECT("Tabela1["&amp;$B73&amp;"]"),Tabela1[Turno],$D73,Tabela1[Mês],N$3)/32,"")</f>
        <v/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62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>
        <f ca="1">IFERROR(AVERAGEIFS(INDIRECT("Tabela1["&amp;$B73&amp;"]"),Tabela1[Turno],$D73,Tabela1[Data Corrigida],Y$3)/32,"")</f>
        <v>0</v>
      </c>
      <c r="Z73" s="36">
        <f ca="1">IFERROR(AVERAGEIFS(INDIRECT("Tabela1["&amp;$B73&amp;"]"),Tabela1[Turno],$D73,Tabela1[Data Corrigida],Z$3)/32,"")</f>
        <v>0</v>
      </c>
      <c r="AA73" s="36">
        <f ca="1">IFERROR(AVERAGEIFS(INDIRECT("Tabela1["&amp;$B73&amp;"]"),Tabela1[Turno],$D73,Tabela1[Data Corrigida],AA$3)/32,"")</f>
        <v>0</v>
      </c>
      <c r="AB73" s="36">
        <f ca="1">IFERROR(AVERAGEIFS(INDIRECT("Tabela1["&amp;$B73&amp;"]"),Tabela1[Turno],$D73,Tabela1[Data Corrigida],AB$3)/32,"")</f>
        <v>0</v>
      </c>
      <c r="AC73" s="36">
        <f ca="1">IFERROR(AVERAGEIFS(INDIRECT("Tabela1["&amp;$B73&amp;"]"),Tabela1[Turno],$D73,Tabela1[Data Corrigida],AC$3)/32,"")</f>
        <v>0</v>
      </c>
      <c r="AD73" s="36">
        <f ca="1">IFERROR(AVERAGEIFS(INDIRECT("Tabela1["&amp;$B73&amp;"]"),Tabela1[Turno],$D73,Tabela1[Data Corrigida],AD$3)/32,"")</f>
        <v>0</v>
      </c>
      <c r="AE73" s="36">
        <f ca="1">IFERROR(AVERAGEIFS(INDIRECT("Tabela1["&amp;$B73&amp;"]"),Tabela1[Turno],$D73,Tabela1[Data Corrigida],AE$3)/32,"")</f>
        <v>0</v>
      </c>
      <c r="AF73" s="36">
        <f ca="1">IFERROR(AVERAGEIFS(INDIRECT("Tabela1["&amp;$B73&amp;"]"),Tabela1[Turno],$D73,Tabela1[Data Corrigida],AF$3)/32,"")</f>
        <v>0</v>
      </c>
      <c r="AG73" s="36">
        <f ca="1">IFERROR(AVERAGEIFS(INDIRECT("Tabela1["&amp;$B73&amp;"]"),Tabela1[Turno],$D73,Tabela1[Data Corrigida],AG$3)/32,"")</f>
        <v>0</v>
      </c>
      <c r="AH73" s="36">
        <f ca="1">IFERROR(AVERAGEIFS(INDIRECT("Tabela1["&amp;$B73&amp;"]"),Tabela1[Turno],$D73,Tabela1[Data Corrigida],AH$3)/32,"")</f>
        <v>0</v>
      </c>
      <c r="AI73" s="36">
        <f ca="1">IFERROR(AVERAGEIFS(INDIRECT("Tabela1["&amp;$B73&amp;"]"),Tabela1[Turno],$D73,Tabela1[Data Corrigida],AI$3)/32,"")</f>
        <v>0</v>
      </c>
      <c r="AJ73" s="36">
        <f ca="1">IFERROR(AVERAGEIFS(INDIRECT("Tabela1["&amp;$B73&amp;"]"),Tabela1[Turno],$D73,Tabela1[Data Corrigida],AJ$3)/32,"")</f>
        <v>0</v>
      </c>
      <c r="AK73" s="36">
        <f ca="1">IFERROR(AVERAGEIFS(INDIRECT("Tabela1["&amp;$B73&amp;"]"),Tabela1[Turno],$D73,Tabela1[Data Corrigida],AK$3)/32,"")</f>
        <v>0</v>
      </c>
      <c r="AL73" s="36">
        <f ca="1">IFERROR(AVERAGEIFS(INDIRECT("Tabela1["&amp;$B73&amp;"]"),Tabela1[Turno],$D73,Tabela1[Data Corrigida],AL$3)/32,"")</f>
        <v>0</v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0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1.2965425531914893E-2</v>
      </c>
      <c r="N74" s="45" t="str">
        <f ca="1">IFERROR(AVERAGEIFS(INDIRECT("Tabela1["&amp;$B74&amp;"]"),Tabela1[Mês],N$3)/32,"")</f>
        <v/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3"/>
      <c r="R74" s="37">
        <f ca="1">IFERROR(AVERAGEIFS(INDIRECT("Tabela1["&amp;$B74&amp;"]"),Tabela1[Data Corrigida],R$3)/32,"")</f>
        <v>0</v>
      </c>
      <c r="S74" s="38">
        <f ca="1">IFERROR(AVERAGEIFS(INDIRECT("Tabela1["&amp;$B74&amp;"]"),Tabela1[Data Corrigida],S$3)/32,"")</f>
        <v>1.8749999999999999E-2</v>
      </c>
      <c r="T74" s="38">
        <f ca="1">IFERROR(AVERAGEIFS(INDIRECT("Tabela1["&amp;$B74&amp;"]"),Tabela1[Data Corrigida],T$3)/32,"")</f>
        <v>3.90625E-2</v>
      </c>
      <c r="U74" s="38">
        <f ca="1">IFERROR(AVERAGEIFS(INDIRECT("Tabela1["&amp;$B74&amp;"]"),Tabela1[Data Corrigida],U$3)/32,"")</f>
        <v>0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1.8749999999999999E-2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1.2500000000000001E-2</v>
      </c>
      <c r="Z74" s="38">
        <f ca="1">IFERROR(AVERAGEIFS(INDIRECT("Tabela1["&amp;$B74&amp;"]"),Tabela1[Data Corrigida],Z$3)/32,"")</f>
        <v>1.5625E-2</v>
      </c>
      <c r="AA74" s="38">
        <f ca="1">IFERROR(AVERAGEIFS(INDIRECT("Tabela1["&amp;$B74&amp;"]"),Tabela1[Data Corrigida],AA$3)/32,"")</f>
        <v>7.8125E-3</v>
      </c>
      <c r="AB74" s="38">
        <f ca="1">IFERROR(AVERAGEIFS(INDIRECT("Tabela1["&amp;$B74&amp;"]"),Tabela1[Data Corrigida],AB$3)/32,"")</f>
        <v>1.0416666666666666E-2</v>
      </c>
      <c r="AC74" s="38">
        <f ca="1">IFERROR(AVERAGEIFS(INDIRECT("Tabela1["&amp;$B74&amp;"]"),Tabela1[Data Corrigida],AC$3)/32,"")</f>
        <v>7.8125E-3</v>
      </c>
      <c r="AD74" s="38">
        <f ca="1">IFERROR(AVERAGEIFS(INDIRECT("Tabela1["&amp;$B74&amp;"]"),Tabela1[Data Corrigida],AD$3)/32,"")</f>
        <v>7.8125E-3</v>
      </c>
      <c r="AE74" s="38">
        <f ca="1">IFERROR(AVERAGEIFS(INDIRECT("Tabela1["&amp;$B74&amp;"]"),Tabela1[Data Corrigida],AE$3)/32,"")</f>
        <v>0</v>
      </c>
      <c r="AF74" s="38">
        <f ca="1">IFERROR(AVERAGEIFS(INDIRECT("Tabela1["&amp;$B74&amp;"]"),Tabela1[Data Corrigida],AF$3)/32,"")</f>
        <v>1.2500000000000001E-2</v>
      </c>
      <c r="AG74" s="38">
        <f ca="1">IFERROR(AVERAGEIFS(INDIRECT("Tabela1["&amp;$B74&amp;"]"),Tabela1[Data Corrigida],AG$3)/32,"")</f>
        <v>1.2500000000000001E-2</v>
      </c>
      <c r="AH74" s="38">
        <f ca="1">IFERROR(AVERAGEIFS(INDIRECT("Tabela1["&amp;$B74&amp;"]"),Tabela1[Data Corrigida],AH$3)/32,"")</f>
        <v>7.8125E-3</v>
      </c>
      <c r="AI74" s="38">
        <f ca="1">IFERROR(AVERAGEIFS(INDIRECT("Tabela1["&amp;$B74&amp;"]"),Tabela1[Data Corrigida],AI$3)/32,"")</f>
        <v>1.8749999999999999E-2</v>
      </c>
      <c r="AJ74" s="38">
        <f ca="1">IFERROR(AVERAGEIFS(INDIRECT("Tabela1["&amp;$B74&amp;"]"),Tabela1[Data Corrigida],AJ$3)/32,"")</f>
        <v>6.2500000000000003E-3</v>
      </c>
      <c r="AK74" s="38">
        <f ca="1">IFERROR(AVERAGEIFS(INDIRECT("Tabela1["&amp;$B74&amp;"]"),Tabela1[Data Corrigida],AK$3)/32,"")</f>
        <v>1.2500000000000001E-2</v>
      </c>
      <c r="AL74" s="38">
        <f ca="1">IFERROR(AVERAGEIFS(INDIRECT("Tabela1["&amp;$B74&amp;"]"),Tabela1[Data Corrigida],AL$3)/32,"")</f>
        <v>1.8749999999999999E-2</v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58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2.8201219512195123E-2</v>
      </c>
      <c r="N75" s="34" t="str">
        <f ca="1">IFERROR(AVERAGEIFS(INDIRECT("Tabela1["&amp;$B75&amp;"]"),Tabela1[Turno],$D75,Tabela1[Mês],N$3)/32,"")</f>
        <v/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61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2.34375E-2</v>
      </c>
      <c r="T75" s="34">
        <f ca="1">IFERROR(AVERAGEIFS(INDIRECT("Tabela1["&amp;$B75&amp;"]"),Tabela1[Turno],$D75,Tabela1[Data Corrigida],T$3)/32,"")</f>
        <v>3.125E-2</v>
      </c>
      <c r="U75" s="34">
        <f ca="1">IFERROR(AVERAGEIFS(INDIRECT("Tabela1["&amp;$B75&amp;"]"),Tabela1[Turno],$D75,Tabela1[Data Corrigida],U$3)/32,"")</f>
        <v>3.90625E-2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2.34375E-2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3.90625E-2</v>
      </c>
      <c r="Z75" s="34">
        <f ca="1">IFERROR(AVERAGEIFS(INDIRECT("Tabela1["&amp;$B75&amp;"]"),Tabela1[Turno],$D75,Tabela1[Data Corrigida],Z$3)/32,"")</f>
        <v>4.6875E-2</v>
      </c>
      <c r="AA75" s="34">
        <f ca="1">IFERROR(AVERAGEIFS(INDIRECT("Tabela1["&amp;$B75&amp;"]"),Tabela1[Turno],$D75,Tabela1[Data Corrigida],AA$3)/32,"")</f>
        <v>1.5625E-2</v>
      </c>
      <c r="AB75" s="34">
        <f ca="1">IFERROR(AVERAGEIFS(INDIRECT("Tabela1["&amp;$B75&amp;"]"),Tabela1[Turno],$D75,Tabela1[Data Corrigida],AB$3)/32,"")</f>
        <v>3.125E-2</v>
      </c>
      <c r="AC75" s="34">
        <f ca="1">IFERROR(AVERAGEIFS(INDIRECT("Tabela1["&amp;$B75&amp;"]"),Tabela1[Turno],$D75,Tabela1[Data Corrigida],AC$3)/32,"")</f>
        <v>3.90625E-2</v>
      </c>
      <c r="AD75" s="34">
        <f ca="1">IFERROR(AVERAGEIFS(INDIRECT("Tabela1["&amp;$B75&amp;"]"),Tabela1[Turno],$D75,Tabela1[Data Corrigida],AD$3)/32,"")</f>
        <v>2.0833333333333332E-2</v>
      </c>
      <c r="AE75" s="34">
        <f ca="1">IFERROR(AVERAGEIFS(INDIRECT("Tabela1["&amp;$B75&amp;"]"),Tabela1[Turno],$D75,Tabela1[Data Corrigida],AE$3)/32,"")</f>
        <v>2.34375E-2</v>
      </c>
      <c r="AF75" s="34">
        <f ca="1">IFERROR(AVERAGEIFS(INDIRECT("Tabela1["&amp;$B75&amp;"]"),Tabela1[Turno],$D75,Tabela1[Data Corrigida],AF$3)/32,"")</f>
        <v>1.5625E-2</v>
      </c>
      <c r="AG75" s="34">
        <f ca="1">IFERROR(AVERAGEIFS(INDIRECT("Tabela1["&amp;$B75&amp;"]"),Tabela1[Turno],$D75,Tabela1[Data Corrigida],AG$3)/32,"")</f>
        <v>3.125E-2</v>
      </c>
      <c r="AH75" s="34">
        <f ca="1">IFERROR(AVERAGEIFS(INDIRECT("Tabela1["&amp;$B75&amp;"]"),Tabela1[Turno],$D75,Tabela1[Data Corrigida],AH$3)/32,"")</f>
        <v>1.5625E-2</v>
      </c>
      <c r="AI75" s="34">
        <f ca="1">IFERROR(AVERAGEIFS(INDIRECT("Tabela1["&amp;$B75&amp;"]"),Tabela1[Turno],$D75,Tabela1[Data Corrigida],AI$3)/32,"")</f>
        <v>2.34375E-2</v>
      </c>
      <c r="AJ75" s="34">
        <f ca="1">IFERROR(AVERAGEIFS(INDIRECT("Tabela1["&amp;$B75&amp;"]"),Tabela1[Turno],$D75,Tabela1[Data Corrigida],AJ$3)/32,"")</f>
        <v>2.34375E-2</v>
      </c>
      <c r="AK75" s="34">
        <f ca="1">IFERROR(AVERAGEIFS(INDIRECT("Tabela1["&amp;$B75&amp;"]"),Tabela1[Turno],$D75,Tabela1[Data Corrigida],AK$3)/32,"")</f>
        <v>2.34375E-2</v>
      </c>
      <c r="AL75" s="34">
        <f ca="1">IFERROR(AVERAGEIFS(INDIRECT("Tabela1["&amp;$B75&amp;"]"),Tabela1[Turno],$D75,Tabela1[Data Corrigida],AL$3)/32,"")</f>
        <v>3.125E-2</v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59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 t="str">
        <f ca="1">IFERROR(AVERAGEIFS(INDIRECT("Tabela1["&amp;$B76&amp;"]"),Tabela1[Turno],$D76,Tabela1[Mês],N$3)/32,"")</f>
        <v/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62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0</v>
      </c>
      <c r="X76" s="36">
        <f ca="1">IFERROR(AVERAGEIFS(INDIRECT("Tabela1["&amp;$B76&amp;"]"),Tabela1[Turno],$D76,Tabela1[Data Corrigida],X$3)/32,"")</f>
        <v>0</v>
      </c>
      <c r="Y76" s="36">
        <f ca="1">IFERROR(AVERAGEIFS(INDIRECT("Tabela1["&amp;$B76&amp;"]"),Tabela1[Turno],$D76,Tabela1[Data Corrigida],Y$3)/32,"")</f>
        <v>0</v>
      </c>
      <c r="Z76" s="36">
        <f ca="1">IFERROR(AVERAGEIFS(INDIRECT("Tabela1["&amp;$B76&amp;"]"),Tabela1[Turno],$D76,Tabela1[Data Corrigida],Z$3)/32,"")</f>
        <v>0</v>
      </c>
      <c r="AA76" s="36">
        <f ca="1">IFERROR(AVERAGEIFS(INDIRECT("Tabela1["&amp;$B76&amp;"]"),Tabela1[Turno],$D76,Tabela1[Data Corrigida],AA$3)/32,"")</f>
        <v>0</v>
      </c>
      <c r="AB76" s="36">
        <f ca="1">IFERROR(AVERAGEIFS(INDIRECT("Tabela1["&amp;$B76&amp;"]"),Tabela1[Turno],$D76,Tabela1[Data Corrigida],AB$3)/32,"")</f>
        <v>0</v>
      </c>
      <c r="AC76" s="36">
        <f ca="1">IFERROR(AVERAGEIFS(INDIRECT("Tabela1["&amp;$B76&amp;"]"),Tabela1[Turno],$D76,Tabela1[Data Corrigida],AC$3)/32,"")</f>
        <v>0</v>
      </c>
      <c r="AD76" s="36">
        <f ca="1">IFERROR(AVERAGEIFS(INDIRECT("Tabela1["&amp;$B76&amp;"]"),Tabela1[Turno],$D76,Tabela1[Data Corrigida],AD$3)/32,"")</f>
        <v>0</v>
      </c>
      <c r="AE76" s="36">
        <f ca="1">IFERROR(AVERAGEIFS(INDIRECT("Tabela1["&amp;$B76&amp;"]"),Tabela1[Turno],$D76,Tabela1[Data Corrigida],AE$3)/32,"")</f>
        <v>0</v>
      </c>
      <c r="AF76" s="36">
        <f ca="1">IFERROR(AVERAGEIFS(INDIRECT("Tabela1["&amp;$B76&amp;"]"),Tabela1[Turno],$D76,Tabela1[Data Corrigida],AF$3)/32,"")</f>
        <v>0</v>
      </c>
      <c r="AG76" s="36">
        <f ca="1">IFERROR(AVERAGEIFS(INDIRECT("Tabela1["&amp;$B76&amp;"]"),Tabela1[Turno],$D76,Tabela1[Data Corrigida],AG$3)/32,"")</f>
        <v>0</v>
      </c>
      <c r="AH76" s="36">
        <f ca="1">IFERROR(AVERAGEIFS(INDIRECT("Tabela1["&amp;$B76&amp;"]"),Tabela1[Turno],$D76,Tabela1[Data Corrigida],AH$3)/32,"")</f>
        <v>0</v>
      </c>
      <c r="AI76" s="36">
        <f ca="1">IFERROR(AVERAGEIFS(INDIRECT("Tabela1["&amp;$B76&amp;"]"),Tabela1[Turno],$D76,Tabela1[Data Corrigida],AI$3)/32,"")</f>
        <v>0</v>
      </c>
      <c r="AJ76" s="36">
        <f ca="1">IFERROR(AVERAGEIFS(INDIRECT("Tabela1["&amp;$B76&amp;"]"),Tabela1[Turno],$D76,Tabela1[Data Corrigida],AJ$3)/32,"")</f>
        <v>0</v>
      </c>
      <c r="AK76" s="36">
        <f ca="1">IFERROR(AVERAGEIFS(INDIRECT("Tabela1["&amp;$B76&amp;"]"),Tabela1[Turno],$D76,Tabela1[Data Corrigida],AK$3)/32,"")</f>
        <v>0</v>
      </c>
      <c r="AL76" s="36">
        <f ca="1">IFERROR(AVERAGEIFS(INDIRECT("Tabela1["&amp;$B76&amp;"]"),Tabela1[Turno],$D76,Tabela1[Data Corrigida],AL$3)/32,"")</f>
        <v>0</v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0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1.6171328671328672E-2</v>
      </c>
      <c r="N77" s="45" t="str">
        <f ca="1">IFERROR(AVERAGEIFS(INDIRECT("Tabela1["&amp;$B77&amp;"]"),Tabela1[Mês],N$3)/32,"")</f>
        <v/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3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1.3392857142857142E-2</v>
      </c>
      <c r="T77" s="38">
        <f ca="1">IFERROR(AVERAGEIFS(INDIRECT("Tabela1["&amp;$B77&amp;"]"),Tabela1[Data Corrigida],T$3)/32,"")</f>
        <v>1.7857142857142856E-2</v>
      </c>
      <c r="U77" s="38">
        <f ca="1">IFERROR(AVERAGEIFS(INDIRECT("Tabela1["&amp;$B77&amp;"]"),Tabela1[Data Corrigida],U$3)/32,"")</f>
        <v>2.2321428571428572E-2</v>
      </c>
      <c r="V77" s="38">
        <f ca="1">IFERROR(AVERAGEIFS(INDIRECT("Tabela1["&amp;$B77&amp;"]"),Tabela1[Data Corrigida],V$3)/32,"")</f>
        <v>2.0833333333333332E-2</v>
      </c>
      <c r="W77" s="38">
        <f ca="1">IFERROR(AVERAGEIFS(INDIRECT("Tabela1["&amp;$B77&amp;"]"),Tabela1[Data Corrigida],W$3)/32,"")</f>
        <v>1.3392857142857142E-2</v>
      </c>
      <c r="X77" s="38">
        <f ca="1">IFERROR(AVERAGEIFS(INDIRECT("Tabela1["&amp;$B77&amp;"]"),Tabela1[Data Corrigida],X$3)/32,"")</f>
        <v>1.5625E-2</v>
      </c>
      <c r="Y77" s="38">
        <f ca="1">IFERROR(AVERAGEIFS(INDIRECT("Tabela1["&amp;$B77&amp;"]"),Tabela1[Data Corrigida],Y$3)/32,"")</f>
        <v>2.2321428571428572E-2</v>
      </c>
      <c r="Z77" s="38">
        <f ca="1">IFERROR(AVERAGEIFS(INDIRECT("Tabela1["&amp;$B77&amp;"]"),Tabela1[Data Corrigida],Z$3)/32,"")</f>
        <v>2.6785714285714284E-2</v>
      </c>
      <c r="AA77" s="38">
        <f ca="1">IFERROR(AVERAGEIFS(INDIRECT("Tabela1["&amp;$B77&amp;"]"),Tabela1[Data Corrigida],AA$3)/32,"")</f>
        <v>8.9285714285714281E-3</v>
      </c>
      <c r="AB77" s="38">
        <f ca="1">IFERROR(AVERAGEIFS(INDIRECT("Tabela1["&amp;$B77&amp;"]"),Tabela1[Data Corrigida],AB$3)/32,"")</f>
        <v>2.0833333333333332E-2</v>
      </c>
      <c r="AC77" s="38">
        <f ca="1">IFERROR(AVERAGEIFS(INDIRECT("Tabela1["&amp;$B77&amp;"]"),Tabela1[Data Corrigida],AC$3)/32,"")</f>
        <v>2.2321428571428572E-2</v>
      </c>
      <c r="AD77" s="38">
        <f ca="1">IFERROR(AVERAGEIFS(INDIRECT("Tabela1["&amp;$B77&amp;"]"),Tabela1[Data Corrigida],AD$3)/32,"")</f>
        <v>1.0416666666666666E-2</v>
      </c>
      <c r="AE77" s="38">
        <f ca="1">IFERROR(AVERAGEIFS(INDIRECT("Tabela1["&amp;$B77&amp;"]"),Tabela1[Data Corrigida],AE$3)/32,"")</f>
        <v>1.3392857142857142E-2</v>
      </c>
      <c r="AF77" s="38">
        <f ca="1">IFERROR(AVERAGEIFS(INDIRECT("Tabela1["&amp;$B77&amp;"]"),Tabela1[Data Corrigida],AF$3)/32,"")</f>
        <v>8.9285714285714281E-3</v>
      </c>
      <c r="AG77" s="38">
        <f ca="1">IFERROR(AVERAGEIFS(INDIRECT("Tabela1["&amp;$B77&amp;"]"),Tabela1[Data Corrigida],AG$3)/32,"")</f>
        <v>1.7857142857142856E-2</v>
      </c>
      <c r="AH77" s="38">
        <f ca="1">IFERROR(AVERAGEIFS(INDIRECT("Tabela1["&amp;$B77&amp;"]"),Tabela1[Data Corrigida],AH$3)/32,"")</f>
        <v>8.9285714285714281E-3</v>
      </c>
      <c r="AI77" s="38">
        <f ca="1">IFERROR(AVERAGEIFS(INDIRECT("Tabela1["&amp;$B77&amp;"]"),Tabela1[Data Corrigida],AI$3)/32,"")</f>
        <v>1.3392857142857142E-2</v>
      </c>
      <c r="AJ77" s="38">
        <f ca="1">IFERROR(AVERAGEIFS(INDIRECT("Tabela1["&amp;$B77&amp;"]"),Tabela1[Data Corrigida],AJ$3)/32,"")</f>
        <v>1.3392857142857142E-2</v>
      </c>
      <c r="AK77" s="38">
        <f ca="1">IFERROR(AVERAGEIFS(INDIRECT("Tabela1["&amp;$B77&amp;"]"),Tabela1[Data Corrigida],AK$3)/32,"")</f>
        <v>1.3392857142857142E-2</v>
      </c>
      <c r="AL77" s="38">
        <f ca="1">IFERROR(AVERAGEIFS(INDIRECT("Tabela1["&amp;$B77&amp;"]"),Tabela1[Data Corrigida],AL$3)/32,"")</f>
        <v>1.7857142857142856E-2</v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58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4.5581803689406526E-3</v>
      </c>
      <c r="N78" s="34" t="str">
        <f ca="1">IFERROR(AVERAGEIFS(INDIRECT("Tabela1["&amp;$B78&amp;"]"),Tabela1[Turno],$D78,Tabela1[Mês],N$3)/100,"")</f>
        <v/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61">
        <v>0</v>
      </c>
      <c r="R78" s="33">
        <f ca="1">IFERROR(AVERAGEIFS(INDIRECT("Tabela1["&amp;$B78&amp;"]"),Tabela1[Turno],$D78,Tabela1[Data Corrigida],R$3)/100,"")</f>
        <v>8.0825210748155969E-3</v>
      </c>
      <c r="S78" s="34">
        <f ca="1">IFERROR(AVERAGEIFS(INDIRECT("Tabela1["&amp;$B78&amp;"]"),Tabela1[Turno],$D78,Tabela1[Data Corrigida],S$3)/100,"")</f>
        <v>8.2291666666666676E-3</v>
      </c>
      <c r="T78" s="34">
        <f ca="1">IFERROR(AVERAGEIFS(INDIRECT("Tabela1["&amp;$B78&amp;"]"),Tabela1[Turno],$D78,Tabela1[Data Corrigida],T$3)/100,"")</f>
        <v>4.6874999999999998E-3</v>
      </c>
      <c r="U78" s="34">
        <f ca="1">IFERROR(AVERAGEIFS(INDIRECT("Tabela1["&amp;$B78&amp;"]"),Tabela1[Turno],$D78,Tabela1[Data Corrigida],U$3)/100,"")</f>
        <v>4.7916666666666672E-3</v>
      </c>
      <c r="V78" s="34">
        <f ca="1">IFERROR(AVERAGEIFS(INDIRECT("Tabela1["&amp;$B78&amp;"]"),Tabela1[Turno],$D78,Tabela1[Data Corrigida],V$3)/100,"")</f>
        <v>6.7816091954022995E-3</v>
      </c>
      <c r="W78" s="34">
        <f ca="1">IFERROR(AVERAGEIFS(INDIRECT("Tabela1["&amp;$B78&amp;"]"),Tabela1[Turno],$D78,Tabela1[Data Corrigida],W$3)/100,"")</f>
        <v>6.3929738562091502E-3</v>
      </c>
      <c r="X78" s="34">
        <f ca="1">IFERROR(AVERAGEIFS(INDIRECT("Tabela1["&amp;$B78&amp;"]"),Tabela1[Turno],$D78,Tabela1[Data Corrigida],X$3)/100,"")</f>
        <v>7.9630514413123101E-3</v>
      </c>
      <c r="Y78" s="34">
        <f ca="1">IFERROR(AVERAGEIFS(INDIRECT("Tabela1["&amp;$B78&amp;"]"),Tabela1[Turno],$D78,Tabela1[Data Corrigida],Y$3)/100,"")</f>
        <v>7.245005690153977E-3</v>
      </c>
      <c r="Z78" s="34">
        <f ca="1">IFERROR(AVERAGEIFS(INDIRECT("Tabela1["&amp;$B78&amp;"]"),Tabela1[Turno],$D78,Tabela1[Data Corrigida],Z$3)/100,"")</f>
        <v>1.0196960297766748E-2</v>
      </c>
      <c r="AA78" s="34">
        <f ca="1">IFERROR(AVERAGEIFS(INDIRECT("Tabela1["&amp;$B78&amp;"]"),Tabela1[Turno],$D78,Tabela1[Data Corrigida],AA$3)/100,"")</f>
        <v>6.4583333333333333E-3</v>
      </c>
      <c r="AB78" s="34">
        <f ca="1">IFERROR(AVERAGEIFS(INDIRECT("Tabela1["&amp;$B78&amp;"]"),Tabela1[Turno],$D78,Tabela1[Data Corrigida],AB$3)/100,"")</f>
        <v>1.6666666666666668E-3</v>
      </c>
      <c r="AC78" s="34">
        <f ca="1">IFERROR(AVERAGEIFS(INDIRECT("Tabela1["&amp;$B78&amp;"]"),Tabela1[Turno],$D78,Tabela1[Data Corrigida],AC$3)/100,"")</f>
        <v>0</v>
      </c>
      <c r="AD78" s="34">
        <f ca="1">IFERROR(AVERAGEIFS(INDIRECT("Tabela1["&amp;$B78&amp;"]"),Tabela1[Turno],$D78,Tabela1[Data Corrigida],AD$3)/100,"")</f>
        <v>8.611111111111111E-3</v>
      </c>
      <c r="AE78" s="34">
        <f ca="1">IFERROR(AVERAGEIFS(INDIRECT("Tabela1["&amp;$B78&amp;"]"),Tabela1[Turno],$D78,Tabela1[Data Corrigida],AE$3)/100,"")</f>
        <v>1.5527950310559005E-3</v>
      </c>
      <c r="AF78" s="34">
        <f ca="1">IFERROR(AVERAGEIFS(INDIRECT("Tabela1["&amp;$B78&amp;"]"),Tabela1[Turno],$D78,Tabela1[Data Corrigida],AF$3)/100,"")</f>
        <v>7.0033635963963458E-3</v>
      </c>
      <c r="AG78" s="34">
        <f ca="1">IFERROR(AVERAGEIFS(INDIRECT("Tabela1["&amp;$B78&amp;"]"),Tabela1[Turno],$D78,Tabela1[Data Corrigida],AG$3)/100,"")</f>
        <v>0</v>
      </c>
      <c r="AH78" s="34">
        <f ca="1">IFERROR(AVERAGEIFS(INDIRECT("Tabela1["&amp;$B78&amp;"]"),Tabela1[Turno],$D78,Tabela1[Data Corrigida],AH$3)/100,"")</f>
        <v>1.6556291390728479E-3</v>
      </c>
      <c r="AI78" s="34">
        <f ca="1">IFERROR(AVERAGEIFS(INDIRECT("Tabela1["&amp;$B78&amp;"]"),Tabela1[Turno],$D78,Tabela1[Data Corrigida],AI$3)/100,"")</f>
        <v>0</v>
      </c>
      <c r="AJ78" s="34">
        <f ca="1">IFERROR(AVERAGEIFS(INDIRECT("Tabela1["&amp;$B78&amp;"]"),Tabela1[Turno],$D78,Tabela1[Data Corrigida],AJ$3)/100,"")</f>
        <v>2.0833333333333333E-3</v>
      </c>
      <c r="AK78" s="34">
        <f ca="1">IFERROR(AVERAGEIFS(INDIRECT("Tabela1["&amp;$B78&amp;"]"),Tabela1[Turno],$D78,Tabela1[Data Corrigida],AK$3)/100,"")</f>
        <v>3.3333333333333335E-3</v>
      </c>
      <c r="AL78" s="34">
        <f ca="1">IFERROR(AVERAGEIFS(INDIRECT("Tabela1["&amp;$B78&amp;"]"),Tabela1[Turno],$D78,Tabela1[Data Corrigida],AL$3)/100,"")</f>
        <v>0</v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59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2.605151728329896E-3</v>
      </c>
      <c r="N79" s="36" t="str">
        <f ca="1">IFERROR(AVERAGEIFS(INDIRECT("Tabela1["&amp;$B79&amp;"]"),Tabela1[Turno],$D79,Tabela1[Mês],N$3)/100,"")</f>
        <v/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62"/>
      <c r="R79" s="35">
        <f ca="1">IFERROR(AVERAGEIFS(INDIRECT("Tabela1["&amp;$B79&amp;"]"),Tabela1[Turno],$D79,Tabela1[Data Corrigida],R$3)/100,"")</f>
        <v>2.0576131687242796E-3</v>
      </c>
      <c r="S79" s="36">
        <f ca="1">IFERROR(AVERAGEIFS(INDIRECT("Tabela1["&amp;$B79&amp;"]"),Tabela1[Turno],$D79,Tabela1[Data Corrigida],S$3)/100,"")</f>
        <v>0</v>
      </c>
      <c r="T79" s="36">
        <f ca="1">IFERROR(AVERAGEIFS(INDIRECT("Tabela1["&amp;$B79&amp;"]"),Tabela1[Turno],$D79,Tabela1[Data Corrigida],T$3)/100,"")</f>
        <v>2.3809523809523812E-3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2.5641025641025645E-3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0</v>
      </c>
      <c r="Y79" s="36">
        <f ca="1">IFERROR(AVERAGEIFS(INDIRECT("Tabela1["&amp;$B79&amp;"]"),Tabela1[Turno],$D79,Tabela1[Data Corrigida],Y$3)/100,"")</f>
        <v>6.8493150684931503E-3</v>
      </c>
      <c r="Z79" s="36">
        <f ca="1">IFERROR(AVERAGEIFS(INDIRECT("Tabela1["&amp;$B79&amp;"]"),Tabela1[Turno],$D79,Tabela1[Data Corrigida],Z$3)/100,"")</f>
        <v>5.1679586563307504E-3</v>
      </c>
      <c r="AA79" s="36">
        <f ca="1">IFERROR(AVERAGEIFS(INDIRECT("Tabela1["&amp;$B79&amp;"]"),Tabela1[Turno],$D79,Tabela1[Data Corrigida],AA$3)/100,"")</f>
        <v>0</v>
      </c>
      <c r="AB79" s="36">
        <f ca="1">IFERROR(AVERAGEIFS(INDIRECT("Tabela1["&amp;$B79&amp;"]"),Tabela1[Turno],$D79,Tabela1[Data Corrigida],AB$3)/100,"")</f>
        <v>2.2075055187637969E-3</v>
      </c>
      <c r="AC79" s="36">
        <f ca="1">IFERROR(AVERAGEIFS(INDIRECT("Tabela1["&amp;$B79&amp;"]"),Tabela1[Turno],$D79,Tabela1[Data Corrigida],AC$3)/100,"")</f>
        <v>0</v>
      </c>
      <c r="AD79" s="36">
        <f ca="1">IFERROR(AVERAGEIFS(INDIRECT("Tabela1["&amp;$B79&amp;"]"),Tabela1[Turno],$D79,Tabela1[Data Corrigida],AD$3)/100,"")</f>
        <v>0</v>
      </c>
      <c r="AE79" s="36">
        <f ca="1">IFERROR(AVERAGEIFS(INDIRECT("Tabela1["&amp;$B79&amp;"]"),Tabela1[Turno],$D79,Tabela1[Data Corrigida],AE$3)/100,"")</f>
        <v>2.5641025641025645E-3</v>
      </c>
      <c r="AF79" s="36">
        <f ca="1">IFERROR(AVERAGEIFS(INDIRECT("Tabela1["&amp;$B79&amp;"]"),Tabela1[Turno],$D79,Tabela1[Data Corrigida],AF$3)/100,"")</f>
        <v>8.8300220750551876E-3</v>
      </c>
      <c r="AG79" s="36">
        <f ca="1">IFERROR(AVERAGEIFS(INDIRECT("Tabela1["&amp;$B79&amp;"]"),Tabela1[Turno],$D79,Tabela1[Data Corrigida],AG$3)/100,"")</f>
        <v>2.2988505747126441E-3</v>
      </c>
      <c r="AH79" s="36">
        <f ca="1">IFERROR(AVERAGEIFS(INDIRECT("Tabela1["&amp;$B79&amp;"]"),Tabela1[Turno],$D79,Tabela1[Data Corrigida],AH$3)/100,"")</f>
        <v>2.5641025641025645E-3</v>
      </c>
      <c r="AI79" s="36">
        <f ca="1">IFERROR(AVERAGEIFS(INDIRECT("Tabela1["&amp;$B79&amp;"]"),Tabela1[Turno],$D79,Tabela1[Data Corrigida],AI$3)/100,"")</f>
        <v>5.1282051282051291E-3</v>
      </c>
      <c r="AJ79" s="36">
        <f ca="1">IFERROR(AVERAGEIFS(INDIRECT("Tabela1["&amp;$B79&amp;"]"),Tabela1[Turno],$D79,Tabela1[Data Corrigida],AJ$3)/100,"")</f>
        <v>0</v>
      </c>
      <c r="AK79" s="36">
        <f ca="1">IFERROR(AVERAGEIFS(INDIRECT("Tabela1["&amp;$B79&amp;"]"),Tabela1[Turno],$D79,Tabela1[Data Corrigida],AK$3)/100,"")</f>
        <v>2.0703933747412005E-3</v>
      </c>
      <c r="AL79" s="36">
        <f ca="1">IFERROR(AVERAGEIFS(INDIRECT("Tabela1["&amp;$B79&amp;"]"),Tabela1[Turno],$D79,Tabela1[Data Corrigida],AL$3)/100,"")</f>
        <v>1.0025062656641603E-2</v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0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3.7154351336086129E-3</v>
      </c>
      <c r="N80" s="45" t="str">
        <f ca="1">IFERROR(AVERAGEIFS(INDIRECT("Tabela1["&amp;$B80&amp;"]"),Tabela1[Mês],N$3)/100,"")</f>
        <v/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3"/>
      <c r="R80" s="37">
        <f ca="1">IFERROR(AVERAGEIFS(INDIRECT("Tabela1["&amp;$B80&amp;"]"),Tabela1[Data Corrigida],R$3)/100,"")</f>
        <v>5.5004176864907458E-3</v>
      </c>
      <c r="S80" s="38">
        <f ca="1">IFERROR(AVERAGEIFS(INDIRECT("Tabela1["&amp;$B80&amp;"]"),Tabela1[Data Corrigida],S$3)/100,"")</f>
        <v>4.7023809523809527E-3</v>
      </c>
      <c r="T80" s="38">
        <f ca="1">IFERROR(AVERAGEIFS(INDIRECT("Tabela1["&amp;$B80&amp;"]"),Tabela1[Data Corrigida],T$3)/100,"")</f>
        <v>3.6989795918367348E-3</v>
      </c>
      <c r="U80" s="38">
        <f ca="1">IFERROR(AVERAGEIFS(INDIRECT("Tabela1["&amp;$B80&amp;"]"),Tabela1[Data Corrigida],U$3)/100,"")</f>
        <v>2.7380952380952383E-3</v>
      </c>
      <c r="V80" s="38">
        <f ca="1">IFERROR(AVERAGEIFS(INDIRECT("Tabela1["&amp;$B80&amp;"]"),Tabela1[Data Corrigida],V$3)/100,"")</f>
        <v>4.9741063534166985E-3</v>
      </c>
      <c r="W80" s="38">
        <f ca="1">IFERROR(AVERAGEIFS(INDIRECT("Tabela1["&amp;$B80&amp;"]"),Tabela1[Data Corrigida],W$3)/100,"")</f>
        <v>3.6531279178337998E-3</v>
      </c>
      <c r="X80" s="38">
        <f ca="1">IFERROR(AVERAGEIFS(INDIRECT("Tabela1["&amp;$B80&amp;"]"),Tabela1[Data Corrigida],X$3)/100,"")</f>
        <v>4.5503151093213203E-3</v>
      </c>
      <c r="Y80" s="38">
        <f ca="1">IFERROR(AVERAGEIFS(INDIRECT("Tabela1["&amp;$B80&amp;"]"),Tabela1[Data Corrigida],Y$3)/100,"")</f>
        <v>7.0754239951564797E-3</v>
      </c>
      <c r="Z80" s="38">
        <f ca="1">IFERROR(AVERAGEIFS(INDIRECT("Tabela1["&amp;$B80&amp;"]"),Tabela1[Data Corrigida],Z$3)/100,"")</f>
        <v>8.0416738800084629E-3</v>
      </c>
      <c r="AA80" s="38">
        <f ca="1">IFERROR(AVERAGEIFS(INDIRECT("Tabela1["&amp;$B80&amp;"]"),Tabela1[Data Corrigida],AA$3)/100,"")</f>
        <v>3.6904761904761906E-3</v>
      </c>
      <c r="AB80" s="38">
        <f ca="1">IFERROR(AVERAGEIFS(INDIRECT("Tabela1["&amp;$B80&amp;"]"),Tabela1[Data Corrigida],AB$3)/100,"")</f>
        <v>1.8984547461368656E-3</v>
      </c>
      <c r="AC80" s="38">
        <f ca="1">IFERROR(AVERAGEIFS(INDIRECT("Tabela1["&amp;$B80&amp;"]"),Tabela1[Data Corrigida],AC$3)/100,"")</f>
        <v>0</v>
      </c>
      <c r="AD80" s="38">
        <f ca="1">IFERROR(AVERAGEIFS(INDIRECT("Tabela1["&amp;$B80&amp;"]"),Tabela1[Data Corrigida],AD$3)/100,"")</f>
        <v>4.3055555555555555E-3</v>
      </c>
      <c r="AE80" s="38">
        <f ca="1">IFERROR(AVERAGEIFS(INDIRECT("Tabela1["&amp;$B80&amp;"]"),Tabela1[Data Corrigida],AE$3)/100,"")</f>
        <v>1.9862125452187566E-3</v>
      </c>
      <c r="AF80" s="38">
        <f ca="1">IFERROR(AVERAGEIFS(INDIRECT("Tabela1["&amp;$B80&amp;"]"),Tabela1[Data Corrigida],AF$3)/100,"")</f>
        <v>7.7862172301072785E-3</v>
      </c>
      <c r="AG80" s="38">
        <f ca="1">IFERROR(AVERAGEIFS(INDIRECT("Tabela1["&amp;$B80&amp;"]"),Tabela1[Data Corrigida],AG$3)/100,"")</f>
        <v>9.8522167487684743E-4</v>
      </c>
      <c r="AH80" s="38">
        <f ca="1">IFERROR(AVERAGEIFS(INDIRECT("Tabela1["&amp;$B80&amp;"]"),Tabela1[Data Corrigida],AH$3)/100,"")</f>
        <v>2.0449748926570123E-3</v>
      </c>
      <c r="AI80" s="38">
        <f ca="1">IFERROR(AVERAGEIFS(INDIRECT("Tabela1["&amp;$B80&amp;"]"),Tabela1[Data Corrigida],AI$3)/100,"")</f>
        <v>2.1978021978021982E-3</v>
      </c>
      <c r="AJ80" s="38">
        <f ca="1">IFERROR(AVERAGEIFS(INDIRECT("Tabela1["&amp;$B80&amp;"]"),Tabela1[Data Corrigida],AJ$3)/100,"")</f>
        <v>1.1904761904761906E-3</v>
      </c>
      <c r="AK80" s="38">
        <f ca="1">IFERROR(AVERAGEIFS(INDIRECT("Tabela1["&amp;$B80&amp;"]"),Tabela1[Data Corrigida],AK$3)/100,"")</f>
        <v>2.7920733510795621E-3</v>
      </c>
      <c r="AL80" s="38">
        <f ca="1">IFERROR(AVERAGEIFS(INDIRECT("Tabela1["&amp;$B80&amp;"]"),Tabela1[Data Corrigida],AL$3)/100,"")</f>
        <v>4.296455424274973E-3</v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58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1.9580030290998338E-2</v>
      </c>
      <c r="N81" s="34" t="str">
        <f ca="1">IFERROR(AVERAGEIFS(INDIRECT("Tabela1["&amp;$B81&amp;"]"),Tabela1[Turno],$D81,Tabela1[Mês],N$3)/100,"")</f>
        <v/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61">
        <v>0</v>
      </c>
      <c r="R81" s="33" t="str">
        <f ca="1">IFERROR(AVERAGEIFS(INDIRECT("Tabela1["&amp;$B81&amp;"]"),Tabela1[Turno],$D81,Tabela1[Data Corrigida],R$3)/100,"")</f>
        <v/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>
        <f ca="1">IFERROR(AVERAGEIFS(INDIRECT("Tabela1["&amp;$B81&amp;"]"),Tabela1[Turno],$D81,Tabela1[Data Corrigida],AA$3)/100,"")</f>
        <v>1.7500000000000002E-2</v>
      </c>
      <c r="AB81" s="34">
        <f ca="1">IFERROR(AVERAGEIFS(INDIRECT("Tabela1["&amp;$B81&amp;"]"),Tabela1[Turno],$D81,Tabela1[Data Corrigida],AB$3)/100,"")</f>
        <v>1.455128205128205E-2</v>
      </c>
      <c r="AC81" s="34">
        <f ca="1">IFERROR(AVERAGEIFS(INDIRECT("Tabela1["&amp;$B81&amp;"]"),Tabela1[Turno],$D81,Tabela1[Data Corrigida],AC$3)/100,"")</f>
        <v>2.9758712552076433E-2</v>
      </c>
      <c r="AD81" s="34">
        <f ca="1">IFERROR(AVERAGEIFS(INDIRECT("Tabela1["&amp;$B81&amp;"]"),Tabela1[Turno],$D81,Tabela1[Data Corrigida],AD$3)/100,"")</f>
        <v>3.5992063492063499E-2</v>
      </c>
      <c r="AE81" s="34">
        <f ca="1">IFERROR(AVERAGEIFS(INDIRECT("Tabela1["&amp;$B81&amp;"]"),Tabela1[Turno],$D81,Tabela1[Data Corrigida],AE$3)/100,"")</f>
        <v>3.0328077719382066E-2</v>
      </c>
      <c r="AF81" s="34">
        <f ca="1">IFERROR(AVERAGEIFS(INDIRECT("Tabela1["&amp;$B81&amp;"]"),Tabela1[Turno],$D81,Tabela1[Data Corrigida],AF$3)/100,"")</f>
        <v>2.38271027711289E-2</v>
      </c>
      <c r="AG81" s="34">
        <f ca="1">IFERROR(AVERAGEIFS(INDIRECT("Tabela1["&amp;$B81&amp;"]"),Tabela1[Turno],$D81,Tabela1[Data Corrigida],AG$3)/100,"")</f>
        <v>2.3749158249158252E-2</v>
      </c>
      <c r="AH81" s="34">
        <f ca="1">IFERROR(AVERAGEIFS(INDIRECT("Tabela1["&amp;$B81&amp;"]"),Tabela1[Turno],$D81,Tabela1[Data Corrigida],AH$3)/100,"")</f>
        <v>1.9279659927604789E-2</v>
      </c>
      <c r="AI81" s="34">
        <f ca="1">IFERROR(AVERAGEIFS(INDIRECT("Tabela1["&amp;$B81&amp;"]"),Tabela1[Turno],$D81,Tabela1[Data Corrigida],AI$3)/100,"")</f>
        <v>1.405062396986108E-2</v>
      </c>
      <c r="AJ81" s="34">
        <f ca="1">IFERROR(AVERAGEIFS(INDIRECT("Tabela1["&amp;$B81&amp;"]"),Tabela1[Turno],$D81,Tabela1[Data Corrigida],AJ$3)/100,"")</f>
        <v>1.0593219975868262E-2</v>
      </c>
      <c r="AK81" s="34">
        <f ca="1">IFERROR(AVERAGEIFS(INDIRECT("Tabela1["&amp;$B81&amp;"]"),Tabela1[Turno],$D81,Tabela1[Data Corrigida],AK$3)/100,"")</f>
        <v>1.1191495433789955E-2</v>
      </c>
      <c r="AL81" s="34">
        <f ca="1">IFERROR(AVERAGEIFS(INDIRECT("Tabela1["&amp;$B81&amp;"]"),Tabela1[Turno],$D81,Tabela1[Data Corrigida],AL$3)/100,"")</f>
        <v>8.2419756500310398E-3</v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59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3.2446523496796054E-2</v>
      </c>
      <c r="N82" s="36" t="str">
        <f ca="1">IFERROR(AVERAGEIFS(INDIRECT("Tabela1["&amp;$B82&amp;"]"),Tabela1[Turno],$D82,Tabela1[Mês],N$3)/100,"")</f>
        <v/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62"/>
      <c r="R82" s="35" t="str">
        <f ca="1">IFERROR(AVERAGEIFS(INDIRECT("Tabela1["&amp;$B82&amp;"]"),Tabela1[Turno],$D82,Tabela1[Data Corrigida],R$3)/100,"")</f>
        <v/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>
        <f ca="1">IFERROR(AVERAGEIFS(INDIRECT("Tabela1["&amp;$B82&amp;"]"),Tabela1[Turno],$D82,Tabela1[Data Corrigida],Z$3)/100,"")</f>
        <v>3.1967639146607801E-2</v>
      </c>
      <c r="AA82" s="36">
        <f ca="1">IFERROR(AVERAGEIFS(INDIRECT("Tabela1["&amp;$B82&amp;"]"),Tabela1[Turno],$D82,Tabela1[Data Corrigida],AA$3)/100,"")</f>
        <v>1.2820512820512822E-2</v>
      </c>
      <c r="AB82" s="36">
        <f ca="1">IFERROR(AVERAGEIFS(INDIRECT("Tabela1["&amp;$B82&amp;"]"),Tabela1[Turno],$D82,Tabela1[Data Corrigida],AB$3)/100,"")</f>
        <v>2.1361350395857195E-2</v>
      </c>
      <c r="AC82" s="36">
        <f ca="1">IFERROR(AVERAGEIFS(INDIRECT("Tabela1["&amp;$B82&amp;"]"),Tabela1[Turno],$D82,Tabela1[Data Corrigida],AC$3)/100,"")</f>
        <v>2.4623221934434749E-2</v>
      </c>
      <c r="AD82" s="36">
        <f ca="1">IFERROR(AVERAGEIFS(INDIRECT("Tabela1["&amp;$B82&amp;"]"),Tabela1[Turno],$D82,Tabela1[Data Corrigida],AD$3)/100,"")</f>
        <v>1.9107832806462943E-2</v>
      </c>
      <c r="AE82" s="36">
        <f ca="1">IFERROR(AVERAGEIFS(INDIRECT("Tabela1["&amp;$B82&amp;"]"),Tabela1[Turno],$D82,Tabela1[Data Corrigida],AE$3)/100,"")</f>
        <v>5.7146389492154566E-2</v>
      </c>
      <c r="AF82" s="36">
        <f ca="1">IFERROR(AVERAGEIFS(INDIRECT("Tabela1["&amp;$B82&amp;"]"),Tabela1[Turno],$D82,Tabela1[Data Corrigida],AF$3)/100,"")</f>
        <v>2.6490066225165566E-2</v>
      </c>
      <c r="AG82" s="36">
        <f ca="1">IFERROR(AVERAGEIFS(INDIRECT("Tabela1["&amp;$B82&amp;"]"),Tabela1[Turno],$D82,Tabela1[Data Corrigida],AG$3)/100,"")</f>
        <v>2.0507010163111281E-2</v>
      </c>
      <c r="AH82" s="36">
        <f ca="1">IFERROR(AVERAGEIFS(INDIRECT("Tabela1["&amp;$B82&amp;"]"),Tabela1[Turno],$D82,Tabela1[Data Corrigida],AH$3)/100,"")</f>
        <v>4.9569819437369107E-2</v>
      </c>
      <c r="AI82" s="36">
        <f ca="1">IFERROR(AVERAGEIFS(INDIRECT("Tabela1["&amp;$B82&amp;"]"),Tabela1[Turno],$D82,Tabela1[Data Corrigida],AI$3)/100,"")</f>
        <v>4.1714614499424624E-2</v>
      </c>
      <c r="AJ82" s="36">
        <f ca="1">IFERROR(AVERAGEIFS(INDIRECT("Tabela1["&amp;$B82&amp;"]"),Tabela1[Turno],$D82,Tabela1[Data Corrigida],AJ$3)/100,"")</f>
        <v>4.2199132732979733E-2</v>
      </c>
      <c r="AK82" s="36">
        <f ca="1">IFERROR(AVERAGEIFS(INDIRECT("Tabela1["&amp;$B82&amp;"]"),Tabela1[Turno],$D82,Tabela1[Data Corrigida],AK$3)/100,"")</f>
        <v>4.6284133822562475E-2</v>
      </c>
      <c r="AL82" s="36">
        <f ca="1">IFERROR(AVERAGEIFS(INDIRECT("Tabela1["&amp;$B82&amp;"]"),Tabela1[Turno],$D82,Tabela1[Data Corrigida],AL$3)/100,"")</f>
        <v>2.9116959892038587E-2</v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0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2.5247414203075892E-2</v>
      </c>
      <c r="N83" s="45" t="str">
        <f ca="1">IFERROR(AVERAGEIFS(INDIRECT("Tabela1["&amp;$B83&amp;"]"),Tabela1[Mês],N$3)/100,"")</f>
        <v/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3"/>
      <c r="R83" s="37" t="str">
        <f ca="1">IFERROR(AVERAGEIFS(INDIRECT("Tabela1["&amp;$B83&amp;"]"),Tabela1[Data Corrigida],R$3)/100,"")</f>
        <v/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>
        <f ca="1">IFERROR(AVERAGEIFS(INDIRECT("Tabela1["&amp;$B83&amp;"]"),Tabela1[Data Corrigida],Z$3)/100,"")</f>
        <v>3.1967639146607801E-2</v>
      </c>
      <c r="AA83" s="38">
        <f ca="1">IFERROR(AVERAGEIFS(INDIRECT("Tabela1["&amp;$B83&amp;"]"),Tabela1[Data Corrigida],AA$3)/100,"")</f>
        <v>1.5494505494505494E-2</v>
      </c>
      <c r="AB83" s="38">
        <f ca="1">IFERROR(AVERAGEIFS(INDIRECT("Tabela1["&amp;$B83&amp;"]"),Tabela1[Data Corrigida],AB$3)/100,"")</f>
        <v>1.7469882770385681E-2</v>
      </c>
      <c r="AC83" s="38">
        <f ca="1">IFERROR(AVERAGEIFS(INDIRECT("Tabela1["&amp;$B83&amp;"]"),Tabela1[Data Corrigida],AC$3)/100,"")</f>
        <v>2.7557788001658565E-2</v>
      </c>
      <c r="AD83" s="38">
        <f ca="1">IFERROR(AVERAGEIFS(INDIRECT("Tabela1["&amp;$B83&amp;"]"),Tabela1[Data Corrigida],AD$3)/100,"")</f>
        <v>2.7549948149263218E-2</v>
      </c>
      <c r="AE83" s="38">
        <f ca="1">IFERROR(AVERAGEIFS(INDIRECT("Tabela1["&amp;$B83&amp;"]"),Tabela1[Data Corrigida],AE$3)/100,"")</f>
        <v>4.1821639907713141E-2</v>
      </c>
      <c r="AF83" s="38">
        <f ca="1">IFERROR(AVERAGEIFS(INDIRECT("Tabela1["&amp;$B83&amp;"]"),Tabela1[Data Corrigida],AF$3)/100,"")</f>
        <v>2.4714757255807789E-2</v>
      </c>
      <c r="AG83" s="38">
        <f ca="1">IFERROR(AVERAGEIFS(INDIRECT("Tabela1["&amp;$B83&amp;"]"),Tabela1[Data Corrigida],AG$3)/100,"")</f>
        <v>2.2359666212280978E-2</v>
      </c>
      <c r="AH83" s="38">
        <f ca="1">IFERROR(AVERAGEIFS(INDIRECT("Tabela1["&amp;$B83&amp;"]"),Tabela1[Data Corrigida],AH$3)/100,"")</f>
        <v>3.2261156860360928E-2</v>
      </c>
      <c r="AI83" s="38">
        <f ca="1">IFERROR(AVERAGEIFS(INDIRECT("Tabela1["&amp;$B83&amp;"]"),Tabela1[Data Corrigida],AI$3)/100,"")</f>
        <v>2.3271954146382261E-2</v>
      </c>
      <c r="AJ83" s="38">
        <f ca="1">IFERROR(AVERAGEIFS(INDIRECT("Tabela1["&amp;$B83&amp;"]"),Tabela1[Data Corrigida],AJ$3)/100,"")</f>
        <v>2.4138611157487468E-2</v>
      </c>
      <c r="AK83" s="38">
        <f ca="1">IFERROR(AVERAGEIFS(INDIRECT("Tabela1["&amp;$B83&amp;"]"),Tabela1[Data Corrigida],AK$3)/100,"")</f>
        <v>2.6231197600406743E-2</v>
      </c>
      <c r="AL83" s="38">
        <f ca="1">IFERROR(AVERAGEIFS(INDIRECT("Tabela1["&amp;$B83&amp;"]"),Tabela1[Data Corrigida],AL$3)/100,"")</f>
        <v>1.7188397468034276E-2</v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38" x14ac:dyDescent="0.25">
      <c r="B113" s="9"/>
      <c r="R113" s="7" t="s">
        <v>134</v>
      </c>
    </row>
    <row r="114" spans="2:38" x14ac:dyDescent="0.25">
      <c r="B114" s="9"/>
      <c r="R114" s="5">
        <v>46266</v>
      </c>
      <c r="S114" s="5">
        <v>46267</v>
      </c>
      <c r="T114" s="5">
        <v>46268</v>
      </c>
      <c r="U114" s="5">
        <v>46273</v>
      </c>
      <c r="V114" s="5">
        <v>46274</v>
      </c>
      <c r="W114" s="5">
        <v>46275</v>
      </c>
      <c r="X114" s="5">
        <v>46276</v>
      </c>
      <c r="Y114" s="5">
        <v>46277</v>
      </c>
      <c r="Z114" s="5">
        <v>46279</v>
      </c>
      <c r="AA114" s="5">
        <v>46280</v>
      </c>
      <c r="AB114" s="5">
        <v>46281</v>
      </c>
      <c r="AC114" s="5">
        <v>46282</v>
      </c>
      <c r="AD114" s="5">
        <v>46283</v>
      </c>
      <c r="AE114" s="5">
        <v>46286</v>
      </c>
      <c r="AF114" s="5">
        <v>46287</v>
      </c>
      <c r="AG114" s="5">
        <v>46288</v>
      </c>
      <c r="AH114" s="5">
        <v>46289</v>
      </c>
      <c r="AI114" s="5">
        <v>46290</v>
      </c>
      <c r="AJ114" s="5">
        <v>46293</v>
      </c>
      <c r="AK114" s="5">
        <v>46294</v>
      </c>
      <c r="AL114" s="5">
        <v>46295</v>
      </c>
    </row>
    <row r="115" spans="2:38" x14ac:dyDescent="0.25">
      <c r="B115" s="9"/>
    </row>
    <row r="116" spans="2:38" x14ac:dyDescent="0.25">
      <c r="B116" s="9"/>
    </row>
    <row r="117" spans="2:38" x14ac:dyDescent="0.25">
      <c r="B117" s="9"/>
    </row>
    <row r="118" spans="2:38" x14ac:dyDescent="0.25">
      <c r="B118" s="9"/>
    </row>
    <row r="119" spans="2:38" x14ac:dyDescent="0.25">
      <c r="B119" s="9"/>
    </row>
    <row r="120" spans="2:38" x14ac:dyDescent="0.25">
      <c r="B120" s="9"/>
    </row>
    <row r="121" spans="2:38" x14ac:dyDescent="0.25">
      <c r="B121" s="9"/>
    </row>
    <row r="122" spans="2:38" x14ac:dyDescent="0.25">
      <c r="B122" s="9"/>
    </row>
    <row r="123" spans="2:38" x14ac:dyDescent="0.25">
      <c r="B123" s="9"/>
    </row>
    <row r="124" spans="2:38" x14ac:dyDescent="0.25">
      <c r="B124" s="9"/>
    </row>
    <row r="125" spans="2:38" x14ac:dyDescent="0.25">
      <c r="B125" s="9"/>
    </row>
    <row r="126" spans="2:38" x14ac:dyDescent="0.25">
      <c r="B126" s="9"/>
    </row>
    <row r="127" spans="2:38" x14ac:dyDescent="0.25">
      <c r="B127" s="9"/>
    </row>
    <row r="128" spans="2:38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Q66:Q68"/>
    <mergeCell ref="Q69:Q71"/>
    <mergeCell ref="Q72:Q74"/>
    <mergeCell ref="C72:C74"/>
    <mergeCell ref="C63:C65"/>
    <mergeCell ref="Q21:Q23"/>
    <mergeCell ref="Q24:Q26"/>
    <mergeCell ref="Q27:Q29"/>
    <mergeCell ref="Q30:Q32"/>
    <mergeCell ref="Q33:Q35"/>
    <mergeCell ref="Q6:Q8"/>
    <mergeCell ref="Q9:Q11"/>
    <mergeCell ref="Q12:Q14"/>
    <mergeCell ref="Q15:Q17"/>
    <mergeCell ref="Q18:Q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C6:C8"/>
    <mergeCell ref="C9:C11"/>
    <mergeCell ref="C12:C14"/>
    <mergeCell ref="C15:C17"/>
    <mergeCell ref="C18:C20"/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5" fitToWidth="0" orientation="portrait" r:id="rId2"/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322"/>
  <sheetViews>
    <sheetView topLeftCell="C287" workbookViewId="0">
      <selection activeCell="K297" sqref="K297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  <row r="267" spans="1:67" x14ac:dyDescent="0.25">
      <c r="A267" s="4">
        <f>INT(Tabela1[[#This Row],[Data e Hora]])</f>
        <v>46286</v>
      </c>
      <c r="B267" s="4" t="str">
        <f>UPPER(TEXT(Tabela1[[#This Row],[Data Corrigida]],"MMM"))</f>
        <v>SET</v>
      </c>
      <c r="C267" s="57" t="s">
        <v>795</v>
      </c>
      <c r="D267" t="s">
        <v>796</v>
      </c>
      <c r="E267" t="s">
        <v>797</v>
      </c>
      <c r="F267" t="s">
        <v>19</v>
      </c>
      <c r="G267" s="5" t="s">
        <v>798</v>
      </c>
      <c r="H267" t="s">
        <v>20</v>
      </c>
      <c r="I267" t="s">
        <v>33</v>
      </c>
      <c r="J267" s="1">
        <v>151</v>
      </c>
      <c r="K267" s="1">
        <v>2686</v>
      </c>
      <c r="L267" t="s">
        <v>34</v>
      </c>
      <c r="M267" s="1">
        <v>20</v>
      </c>
      <c r="N267" s="48">
        <v>20</v>
      </c>
      <c r="O267" s="1">
        <v>5</v>
      </c>
      <c r="P267" s="48">
        <v>5</v>
      </c>
      <c r="Q267" s="1">
        <v>0</v>
      </c>
      <c r="R267" s="1">
        <v>0</v>
      </c>
      <c r="S267" s="1">
        <v>1</v>
      </c>
      <c r="T267" s="1">
        <v>1</v>
      </c>
      <c r="U267" s="1">
        <v>0</v>
      </c>
      <c r="V267" s="1">
        <v>0</v>
      </c>
      <c r="W267" s="1">
        <v>0</v>
      </c>
      <c r="X267" s="1">
        <v>0</v>
      </c>
      <c r="Y267" s="1">
        <v>10</v>
      </c>
      <c r="Z267" s="3">
        <v>3.3112582781456954</v>
      </c>
      <c r="AA267" s="1">
        <v>5</v>
      </c>
      <c r="AB267" s="3">
        <v>3.3112582781456954</v>
      </c>
      <c r="AC267" s="1">
        <v>0</v>
      </c>
      <c r="AD267" s="3">
        <v>0</v>
      </c>
      <c r="AE267" s="1">
        <v>1</v>
      </c>
      <c r="AF267" s="3">
        <v>0.66225165562913912</v>
      </c>
      <c r="AG267" s="1">
        <v>2</v>
      </c>
      <c r="AH267" s="3">
        <v>1.3245033112582782</v>
      </c>
      <c r="AI267" s="1" t="s">
        <v>22</v>
      </c>
      <c r="AJ267" s="1">
        <v>0</v>
      </c>
      <c r="AK267" s="3">
        <v>0</v>
      </c>
      <c r="AL267" s="1">
        <v>0</v>
      </c>
      <c r="AM267" s="3">
        <v>0</v>
      </c>
      <c r="AN267" s="1" t="s">
        <v>22</v>
      </c>
      <c r="AO267" s="1">
        <v>6</v>
      </c>
      <c r="AP267" s="3">
        <v>3.9735099337748347</v>
      </c>
      <c r="AQ267" s="3">
        <v>5</v>
      </c>
      <c r="AR267" s="3">
        <v>3.3112582781456954</v>
      </c>
      <c r="AS267" s="1">
        <v>6</v>
      </c>
      <c r="AT267" s="3">
        <v>3.9735099337748347</v>
      </c>
      <c r="AU267" s="1">
        <v>0</v>
      </c>
      <c r="AV267" s="3">
        <v>0</v>
      </c>
      <c r="AW267" s="1" t="s">
        <v>22</v>
      </c>
      <c r="AX267" s="1">
        <v>10</v>
      </c>
      <c r="AY267" s="1">
        <v>0</v>
      </c>
      <c r="AZ267" s="1">
        <v>0</v>
      </c>
      <c r="BA267" s="1">
        <v>20</v>
      </c>
      <c r="BB267" s="1">
        <v>0</v>
      </c>
      <c r="BC267" s="1">
        <v>0</v>
      </c>
      <c r="BD267" s="1">
        <v>0</v>
      </c>
      <c r="BE267" s="54">
        <v>0</v>
      </c>
      <c r="BF267" s="6">
        <v>20</v>
      </c>
      <c r="BG267" s="6">
        <v>18</v>
      </c>
      <c r="BH267" s="1">
        <v>0</v>
      </c>
      <c r="BI267" s="6">
        <v>0</v>
      </c>
      <c r="BJ267" s="1" t="s">
        <v>22</v>
      </c>
      <c r="BK267" s="6">
        <v>9</v>
      </c>
      <c r="BL267" s="6">
        <v>0</v>
      </c>
      <c r="BM267" s="1">
        <v>0</v>
      </c>
      <c r="BN267" t="s">
        <v>24</v>
      </c>
      <c r="BO267">
        <v>310</v>
      </c>
    </row>
    <row r="268" spans="1:67" x14ac:dyDescent="0.25">
      <c r="A268" s="4">
        <f>INT(Tabela1[[#This Row],[Data e Hora]])</f>
        <v>46286</v>
      </c>
      <c r="B268" s="4" t="str">
        <f>UPPER(TEXT(Tabela1[[#This Row],[Data Corrigida]],"MMM"))</f>
        <v>SET</v>
      </c>
      <c r="C268" t="s">
        <v>799</v>
      </c>
      <c r="D268" t="s">
        <v>800</v>
      </c>
      <c r="E268" t="s">
        <v>801</v>
      </c>
      <c r="F268" t="s">
        <v>19</v>
      </c>
      <c r="G268" s="5" t="s">
        <v>798</v>
      </c>
      <c r="H268" t="s">
        <v>20</v>
      </c>
      <c r="I268" t="s">
        <v>33</v>
      </c>
      <c r="J268" s="1">
        <v>114</v>
      </c>
      <c r="K268" s="1">
        <v>2767</v>
      </c>
      <c r="L268" t="s">
        <v>34</v>
      </c>
      <c r="M268" s="1">
        <v>19</v>
      </c>
      <c r="N268" s="48">
        <v>19</v>
      </c>
      <c r="O268" s="1">
        <v>12</v>
      </c>
      <c r="P268" s="48">
        <v>12</v>
      </c>
      <c r="Q268" s="1">
        <v>0</v>
      </c>
      <c r="R268" s="1">
        <v>0</v>
      </c>
      <c r="S268" s="1">
        <v>2</v>
      </c>
      <c r="T268" s="1">
        <v>2</v>
      </c>
      <c r="U268" s="1">
        <v>1</v>
      </c>
      <c r="V268" s="1">
        <v>1</v>
      </c>
      <c r="W268" s="1">
        <v>4</v>
      </c>
      <c r="X268" s="1">
        <v>20</v>
      </c>
      <c r="Y268" s="1">
        <v>5</v>
      </c>
      <c r="Z268" s="3">
        <v>2.1929824561403506</v>
      </c>
      <c r="AA268" s="1">
        <v>6</v>
      </c>
      <c r="AB268" s="3">
        <v>5.2631578947368416</v>
      </c>
      <c r="AC268" s="1">
        <v>0</v>
      </c>
      <c r="AD268" s="3">
        <v>0</v>
      </c>
      <c r="AE268" s="1">
        <v>2</v>
      </c>
      <c r="AF268" s="3">
        <v>1.7543859649122806</v>
      </c>
      <c r="AG268" s="1">
        <v>2</v>
      </c>
      <c r="AH268" s="3">
        <v>1.7543859649122806</v>
      </c>
      <c r="AI268" s="1" t="s">
        <v>22</v>
      </c>
      <c r="AJ268" s="1">
        <v>0</v>
      </c>
      <c r="AK268" s="3">
        <v>0</v>
      </c>
      <c r="AL268" s="1">
        <v>0</v>
      </c>
      <c r="AM268" s="3">
        <v>0</v>
      </c>
      <c r="AN268" s="1" t="s">
        <v>22</v>
      </c>
      <c r="AO268" s="1">
        <v>11</v>
      </c>
      <c r="AP268" s="3">
        <v>9.6491228070175428</v>
      </c>
      <c r="AQ268" s="3">
        <v>7</v>
      </c>
      <c r="AR268" s="3">
        <v>6.140350877192982</v>
      </c>
      <c r="AS268" s="1">
        <v>6</v>
      </c>
      <c r="AT268" s="3">
        <v>5.2631578947368416</v>
      </c>
      <c r="AU268" s="1">
        <v>0</v>
      </c>
      <c r="AV268" s="3">
        <v>0</v>
      </c>
      <c r="AW268" s="1" t="s">
        <v>22</v>
      </c>
      <c r="AX268" s="1">
        <v>20</v>
      </c>
      <c r="AY268" s="1">
        <v>0</v>
      </c>
      <c r="AZ268" s="1">
        <v>1</v>
      </c>
      <c r="BA268" s="1">
        <v>40</v>
      </c>
      <c r="BB268" s="1">
        <v>0</v>
      </c>
      <c r="BC268" s="1">
        <v>2</v>
      </c>
      <c r="BD268" s="1">
        <v>0</v>
      </c>
      <c r="BE268" s="54">
        <v>0</v>
      </c>
      <c r="BF268" s="6">
        <v>19</v>
      </c>
      <c r="BG268" s="6">
        <v>18</v>
      </c>
      <c r="BH268" s="1">
        <v>0</v>
      </c>
      <c r="BI268" s="6">
        <v>0</v>
      </c>
      <c r="BJ268" s="1" t="s">
        <v>22</v>
      </c>
      <c r="BK268" s="6">
        <v>10</v>
      </c>
      <c r="BL268" s="6">
        <v>0</v>
      </c>
      <c r="BM268" s="1">
        <v>0</v>
      </c>
      <c r="BN268" t="s">
        <v>24</v>
      </c>
      <c r="BO268">
        <v>9225</v>
      </c>
    </row>
    <row r="269" spans="1:67" x14ac:dyDescent="0.25">
      <c r="A269" s="4">
        <f>INT(Tabela1[[#This Row],[Data e Hora]])</f>
        <v>46286</v>
      </c>
      <c r="B269" s="4" t="str">
        <f>UPPER(TEXT(Tabela1[[#This Row],[Data Corrigida]],"MMM"))</f>
        <v>SET</v>
      </c>
      <c r="C269" t="s">
        <v>802</v>
      </c>
      <c r="D269" t="s">
        <v>803</v>
      </c>
      <c r="E269" t="s">
        <v>801</v>
      </c>
      <c r="F269" t="s">
        <v>19</v>
      </c>
      <c r="G269" s="5" t="s">
        <v>798</v>
      </c>
      <c r="H269" t="s">
        <v>20</v>
      </c>
      <c r="I269" t="s">
        <v>33</v>
      </c>
      <c r="J269" s="1">
        <v>130</v>
      </c>
      <c r="K269" s="1">
        <v>2813</v>
      </c>
      <c r="L269" t="s">
        <v>34</v>
      </c>
      <c r="M269" s="1">
        <v>23</v>
      </c>
      <c r="N269" s="48">
        <v>23</v>
      </c>
      <c r="O269" s="1">
        <v>6</v>
      </c>
      <c r="P269" s="48">
        <v>6</v>
      </c>
      <c r="Q269" s="1">
        <v>0</v>
      </c>
      <c r="R269" s="1">
        <v>0</v>
      </c>
      <c r="S269" s="1">
        <v>2</v>
      </c>
      <c r="T269" s="1">
        <v>2</v>
      </c>
      <c r="U269" s="1">
        <v>0</v>
      </c>
      <c r="V269" s="1">
        <v>0</v>
      </c>
      <c r="W269" s="1">
        <v>0</v>
      </c>
      <c r="X269" s="1">
        <v>0</v>
      </c>
      <c r="Y269" s="1">
        <v>4</v>
      </c>
      <c r="Z269" s="3">
        <v>1.5384615384615385</v>
      </c>
      <c r="AA269" s="1">
        <v>6</v>
      </c>
      <c r="AB269" s="3">
        <v>4.6153846153846159</v>
      </c>
      <c r="AC269" s="1">
        <v>0</v>
      </c>
      <c r="AD269" s="3">
        <v>0</v>
      </c>
      <c r="AE269" s="1">
        <v>0</v>
      </c>
      <c r="AF269" s="3">
        <v>0</v>
      </c>
      <c r="AG269" s="1">
        <v>2</v>
      </c>
      <c r="AH269" s="3">
        <v>1.5384615384615385</v>
      </c>
      <c r="AI269" s="1" t="s">
        <v>22</v>
      </c>
      <c r="AJ269" s="1">
        <v>0</v>
      </c>
      <c r="AK269" s="3">
        <v>0</v>
      </c>
      <c r="AL269" s="1">
        <v>0</v>
      </c>
      <c r="AM269" s="3">
        <v>0</v>
      </c>
      <c r="AN269" s="1" t="s">
        <v>22</v>
      </c>
      <c r="AO269" s="1">
        <v>5</v>
      </c>
      <c r="AP269" s="3">
        <v>3.8461538461538463</v>
      </c>
      <c r="AQ269" s="3">
        <v>10</v>
      </c>
      <c r="AR269" s="3">
        <v>7.6923076923076925</v>
      </c>
      <c r="AS269" s="1">
        <v>4</v>
      </c>
      <c r="AT269" s="3">
        <v>3.0769230769230771</v>
      </c>
      <c r="AU269" s="1">
        <v>0</v>
      </c>
      <c r="AV269" s="3">
        <v>0</v>
      </c>
      <c r="AW269" s="1" t="s">
        <v>22</v>
      </c>
      <c r="AX269" s="1">
        <v>18</v>
      </c>
      <c r="AY269" s="1">
        <v>0</v>
      </c>
      <c r="AZ269" s="1">
        <v>0</v>
      </c>
      <c r="BA269" s="1">
        <v>36</v>
      </c>
      <c r="BB269" s="1">
        <v>0</v>
      </c>
      <c r="BC269" s="1">
        <v>0</v>
      </c>
      <c r="BD269" s="1">
        <v>1</v>
      </c>
      <c r="BE269" s="54">
        <v>0.76923076923076927</v>
      </c>
      <c r="BF269" s="6">
        <v>18</v>
      </c>
      <c r="BG269" s="6">
        <v>14</v>
      </c>
      <c r="BH269" s="1">
        <v>0</v>
      </c>
      <c r="BI269" s="6">
        <v>0</v>
      </c>
      <c r="BJ269" s="1" t="s">
        <v>22</v>
      </c>
      <c r="BK269" s="1" t="s">
        <v>22</v>
      </c>
      <c r="BL269" s="1" t="s">
        <v>22</v>
      </c>
      <c r="BM269" s="1" t="s">
        <v>22</v>
      </c>
      <c r="BN269" t="s">
        <v>24</v>
      </c>
      <c r="BO269">
        <v>13150</v>
      </c>
    </row>
    <row r="270" spans="1:67" x14ac:dyDescent="0.25">
      <c r="A270" s="4">
        <f>INT(Tabela1[[#This Row],[Data e Hora]])</f>
        <v>46286</v>
      </c>
      <c r="B270" s="4" t="str">
        <f>UPPER(TEXT(Tabela1[[#This Row],[Data Corrigida]],"MMM"))</f>
        <v>SET</v>
      </c>
      <c r="C270" t="s">
        <v>804</v>
      </c>
      <c r="D270" t="s">
        <v>805</v>
      </c>
      <c r="E270" t="s">
        <v>806</v>
      </c>
      <c r="F270" t="s">
        <v>19</v>
      </c>
      <c r="G270" s="5" t="s">
        <v>798</v>
      </c>
      <c r="H270" t="s">
        <v>20</v>
      </c>
      <c r="I270" t="s">
        <v>21</v>
      </c>
      <c r="J270" s="1">
        <v>161</v>
      </c>
      <c r="K270" s="1">
        <v>2846</v>
      </c>
      <c r="L270" t="s">
        <v>23</v>
      </c>
      <c r="M270" s="1">
        <v>35</v>
      </c>
      <c r="N270" s="48">
        <v>35</v>
      </c>
      <c r="O270" s="1">
        <v>14</v>
      </c>
      <c r="P270" s="48">
        <v>14.000000000000002</v>
      </c>
      <c r="Q270" s="1">
        <v>0</v>
      </c>
      <c r="R270" s="1">
        <v>0</v>
      </c>
      <c r="S270" s="1">
        <v>4</v>
      </c>
      <c r="T270" s="1">
        <v>4</v>
      </c>
      <c r="U270" s="1">
        <v>1</v>
      </c>
      <c r="V270" s="1">
        <v>1</v>
      </c>
      <c r="W270" s="1">
        <v>0</v>
      </c>
      <c r="X270" s="1">
        <v>0</v>
      </c>
      <c r="Y270" s="1">
        <v>1</v>
      </c>
      <c r="Z270" s="3">
        <v>0.3105590062111801</v>
      </c>
      <c r="AA270" s="1">
        <v>3</v>
      </c>
      <c r="AB270" s="3">
        <v>1.8633540372670807</v>
      </c>
      <c r="AC270" s="1">
        <v>0</v>
      </c>
      <c r="AD270" s="3">
        <v>0</v>
      </c>
      <c r="AE270" s="1">
        <v>3</v>
      </c>
      <c r="AF270" s="3">
        <v>1.8633540372670807</v>
      </c>
      <c r="AG270" s="1">
        <v>7</v>
      </c>
      <c r="AH270" s="3">
        <v>4.3478260869565215</v>
      </c>
      <c r="AI270" s="1" t="s">
        <v>22</v>
      </c>
      <c r="AJ270" s="1">
        <v>3</v>
      </c>
      <c r="AK270" s="3">
        <v>1.8633540372670807</v>
      </c>
      <c r="AL270" s="1">
        <v>3</v>
      </c>
      <c r="AM270" s="3">
        <v>1.8633540372670807</v>
      </c>
      <c r="AN270" s="1" t="s">
        <v>22</v>
      </c>
      <c r="AO270" s="1">
        <v>6</v>
      </c>
      <c r="AP270" s="3">
        <v>3.7267080745341614</v>
      </c>
      <c r="AQ270" s="3">
        <v>5</v>
      </c>
      <c r="AR270" s="3">
        <v>3.1055900621118013</v>
      </c>
      <c r="AS270" s="1">
        <v>6</v>
      </c>
      <c r="AT270" s="3">
        <v>3.7267080745341614</v>
      </c>
      <c r="AU270" s="1">
        <v>1</v>
      </c>
      <c r="AV270" s="3">
        <v>0.6211180124223602</v>
      </c>
      <c r="AW270" s="1" t="s">
        <v>22</v>
      </c>
      <c r="AX270" s="1">
        <v>20</v>
      </c>
      <c r="AY270" s="1">
        <v>0</v>
      </c>
      <c r="AZ270" s="1">
        <v>0</v>
      </c>
      <c r="BA270" s="1">
        <v>40</v>
      </c>
      <c r="BB270" s="1">
        <v>0</v>
      </c>
      <c r="BC270" s="1">
        <v>0</v>
      </c>
      <c r="BD270" s="1">
        <v>1</v>
      </c>
      <c r="BE270" s="54">
        <v>0.6211180124223602</v>
      </c>
      <c r="BF270" s="6">
        <v>27</v>
      </c>
      <c r="BG270" s="6">
        <v>15</v>
      </c>
      <c r="BH270" s="1">
        <v>1</v>
      </c>
      <c r="BI270" s="6">
        <v>10</v>
      </c>
      <c r="BJ270" s="1" t="s">
        <v>22</v>
      </c>
      <c r="BK270" s="1" t="s">
        <v>22</v>
      </c>
      <c r="BL270" s="1" t="s">
        <v>22</v>
      </c>
      <c r="BM270" s="1" t="s">
        <v>22</v>
      </c>
      <c r="BN270" t="s">
        <v>24</v>
      </c>
      <c r="BO270">
        <v>2650</v>
      </c>
    </row>
    <row r="271" spans="1:67" x14ac:dyDescent="0.25">
      <c r="A271" s="4">
        <f>INT(Tabela1[[#This Row],[Data e Hora]])</f>
        <v>46286</v>
      </c>
      <c r="B271" s="4" t="str">
        <f>UPPER(TEXT(Tabela1[[#This Row],[Data Corrigida]],"MMM"))</f>
        <v>SET</v>
      </c>
      <c r="C271" t="s">
        <v>807</v>
      </c>
      <c r="D271" t="s">
        <v>808</v>
      </c>
      <c r="E271" t="s">
        <v>809</v>
      </c>
      <c r="F271" t="s">
        <v>19</v>
      </c>
      <c r="G271" s="5" t="s">
        <v>798</v>
      </c>
      <c r="H271" t="s">
        <v>20</v>
      </c>
      <c r="I271" t="s">
        <v>21</v>
      </c>
      <c r="J271" s="1">
        <v>150</v>
      </c>
      <c r="K271" s="1">
        <v>2910</v>
      </c>
      <c r="L271" t="s">
        <v>23</v>
      </c>
      <c r="M271" s="1">
        <v>25</v>
      </c>
      <c r="N271" s="48">
        <v>25</v>
      </c>
      <c r="O271" s="1">
        <v>6</v>
      </c>
      <c r="P271" s="48">
        <v>6</v>
      </c>
      <c r="Q271" s="1">
        <v>0</v>
      </c>
      <c r="R271" s="1">
        <v>0</v>
      </c>
      <c r="S271" s="1">
        <v>2</v>
      </c>
      <c r="T271" s="1">
        <v>2</v>
      </c>
      <c r="U271" s="1">
        <v>0</v>
      </c>
      <c r="V271" s="1">
        <v>0</v>
      </c>
      <c r="W271" s="1">
        <v>0</v>
      </c>
      <c r="X271" s="1">
        <v>0</v>
      </c>
      <c r="Y271" s="1">
        <v>1</v>
      </c>
      <c r="Z271" s="3">
        <v>0.33333333333333337</v>
      </c>
      <c r="AA271" s="1">
        <v>3</v>
      </c>
      <c r="AB271" s="3">
        <v>2</v>
      </c>
      <c r="AC271" s="1">
        <v>0</v>
      </c>
      <c r="AD271" s="3">
        <v>0</v>
      </c>
      <c r="AE271" s="1">
        <v>0</v>
      </c>
      <c r="AF271" s="3">
        <v>0</v>
      </c>
      <c r="AG271" s="1">
        <v>6</v>
      </c>
      <c r="AH271" s="3">
        <v>4</v>
      </c>
      <c r="AI271" s="1" t="s">
        <v>22</v>
      </c>
      <c r="AJ271" s="1">
        <v>3</v>
      </c>
      <c r="AK271" s="3">
        <v>2</v>
      </c>
      <c r="AL271" s="1">
        <v>2</v>
      </c>
      <c r="AM271" s="3">
        <v>1.3333333333333335</v>
      </c>
      <c r="AN271" s="1" t="s">
        <v>22</v>
      </c>
      <c r="AO271" s="1">
        <v>5</v>
      </c>
      <c r="AP271" s="3">
        <v>3.3333333333333335</v>
      </c>
      <c r="AQ271" s="3">
        <v>2</v>
      </c>
      <c r="AR271" s="3">
        <v>1.3333333333333335</v>
      </c>
      <c r="AS271" s="1">
        <v>6</v>
      </c>
      <c r="AT271" s="3">
        <v>4</v>
      </c>
      <c r="AU271" s="1">
        <v>1</v>
      </c>
      <c r="AV271" s="3">
        <v>0.66666666666666674</v>
      </c>
      <c r="AW271" s="1" t="s">
        <v>22</v>
      </c>
      <c r="AX271" s="1">
        <v>17</v>
      </c>
      <c r="AY271" s="1">
        <v>0</v>
      </c>
      <c r="AZ271" s="1">
        <v>0</v>
      </c>
      <c r="BA271" s="1">
        <v>34</v>
      </c>
      <c r="BB271" s="1">
        <v>0</v>
      </c>
      <c r="BC271" s="1">
        <v>0</v>
      </c>
      <c r="BD271" s="1">
        <v>0</v>
      </c>
      <c r="BE271" s="54">
        <v>0</v>
      </c>
      <c r="BF271" s="6">
        <v>21</v>
      </c>
      <c r="BG271" s="6">
        <v>11</v>
      </c>
      <c r="BH271" s="1">
        <v>1</v>
      </c>
      <c r="BI271" s="6">
        <v>10</v>
      </c>
      <c r="BJ271" s="1" t="s">
        <v>22</v>
      </c>
      <c r="BK271" s="1" t="s">
        <v>22</v>
      </c>
      <c r="BL271" s="1" t="s">
        <v>22</v>
      </c>
      <c r="BM271" s="1" t="s">
        <v>22</v>
      </c>
      <c r="BN271" t="s">
        <v>22</v>
      </c>
      <c r="BO271">
        <v>1667</v>
      </c>
    </row>
    <row r="272" spans="1:67" x14ac:dyDescent="0.25">
      <c r="A272" s="4">
        <f>INT(Tabela1[[#This Row],[Data e Hora]])</f>
        <v>46286</v>
      </c>
      <c r="B272" s="4" t="str">
        <f>UPPER(TEXT(Tabela1[[#This Row],[Data Corrigida]],"MMM"))</f>
        <v>SET</v>
      </c>
      <c r="C272" t="s">
        <v>810</v>
      </c>
      <c r="D272" t="s">
        <v>811</v>
      </c>
      <c r="E272" t="s">
        <v>809</v>
      </c>
      <c r="F272" t="s">
        <v>19</v>
      </c>
      <c r="G272" s="5" t="s">
        <v>798</v>
      </c>
      <c r="H272" t="s">
        <v>20</v>
      </c>
      <c r="I272" t="s">
        <v>21</v>
      </c>
      <c r="J272" s="1">
        <v>156</v>
      </c>
      <c r="K272" s="1">
        <v>2960</v>
      </c>
      <c r="L272" t="s">
        <v>23</v>
      </c>
      <c r="M272" s="1">
        <v>29</v>
      </c>
      <c r="N272" s="48">
        <v>28.999999999999996</v>
      </c>
      <c r="O272" s="1">
        <v>13</v>
      </c>
      <c r="P272" s="48">
        <v>13</v>
      </c>
      <c r="Q272" s="1">
        <v>0</v>
      </c>
      <c r="R272" s="1">
        <v>0</v>
      </c>
      <c r="S272" s="1">
        <v>3</v>
      </c>
      <c r="T272" s="1">
        <v>3</v>
      </c>
      <c r="U272" s="1">
        <v>1</v>
      </c>
      <c r="V272" s="1">
        <v>1</v>
      </c>
      <c r="W272" s="1">
        <v>0</v>
      </c>
      <c r="X272" s="1">
        <v>0</v>
      </c>
      <c r="Y272" s="1">
        <v>1</v>
      </c>
      <c r="Z272" s="3">
        <v>0.32051282051282048</v>
      </c>
      <c r="AA272" s="1">
        <v>2</v>
      </c>
      <c r="AB272" s="3">
        <v>1.2820512820512819</v>
      </c>
      <c r="AC272" s="1">
        <v>0</v>
      </c>
      <c r="AD272" s="3">
        <v>0</v>
      </c>
      <c r="AE272" s="1">
        <v>1</v>
      </c>
      <c r="AF272" s="3">
        <v>0.64102564102564097</v>
      </c>
      <c r="AG272" s="1">
        <v>9</v>
      </c>
      <c r="AH272" s="3">
        <v>5.7692307692307692</v>
      </c>
      <c r="AI272" s="1" t="s">
        <v>22</v>
      </c>
      <c r="AJ272" s="1">
        <v>3</v>
      </c>
      <c r="AK272" s="3">
        <v>1.9230769230769231</v>
      </c>
      <c r="AL272" s="1">
        <v>2</v>
      </c>
      <c r="AM272" s="3">
        <v>1.2820512820512819</v>
      </c>
      <c r="AN272" s="1" t="s">
        <v>22</v>
      </c>
      <c r="AO272" s="1">
        <v>6</v>
      </c>
      <c r="AP272" s="3">
        <v>3.8461538461538463</v>
      </c>
      <c r="AQ272" s="3">
        <v>8</v>
      </c>
      <c r="AR272" s="3">
        <v>5.1282051282051277</v>
      </c>
      <c r="AS272" s="1">
        <v>7</v>
      </c>
      <c r="AT272" s="3">
        <v>4.4871794871794872</v>
      </c>
      <c r="AU272" s="1">
        <v>1</v>
      </c>
      <c r="AV272" s="3">
        <v>0.64102564102564097</v>
      </c>
      <c r="AW272" s="1" t="s">
        <v>22</v>
      </c>
      <c r="AX272" s="1">
        <v>19</v>
      </c>
      <c r="AY272" s="1">
        <v>0</v>
      </c>
      <c r="AZ272" s="1">
        <v>0</v>
      </c>
      <c r="BA272" s="1">
        <v>38</v>
      </c>
      <c r="BB272" s="1">
        <v>0</v>
      </c>
      <c r="BC272" s="1">
        <v>0</v>
      </c>
      <c r="BD272" s="1">
        <v>0</v>
      </c>
      <c r="BE272" s="54">
        <v>0</v>
      </c>
      <c r="BF272" s="6">
        <v>20</v>
      </c>
      <c r="BG272" s="6">
        <v>9</v>
      </c>
      <c r="BH272" s="1">
        <v>1</v>
      </c>
      <c r="BI272" s="6">
        <v>10</v>
      </c>
      <c r="BJ272" s="1" t="s">
        <v>22</v>
      </c>
      <c r="BK272" s="1" t="s">
        <v>22</v>
      </c>
      <c r="BL272" s="1" t="s">
        <v>22</v>
      </c>
      <c r="BM272" s="1" t="s">
        <v>22</v>
      </c>
      <c r="BN272" t="s">
        <v>24</v>
      </c>
      <c r="BO272">
        <v>1497</v>
      </c>
    </row>
    <row r="273" spans="1:67" x14ac:dyDescent="0.25">
      <c r="A273" s="4">
        <f>INT(Tabela1[[#This Row],[Data e Hora]])</f>
        <v>46286</v>
      </c>
      <c r="B273" s="4" t="str">
        <f>UPPER(TEXT(Tabela1[[#This Row],[Data Corrigida]],"MMM"))</f>
        <v>SET</v>
      </c>
      <c r="C273" t="s">
        <v>812</v>
      </c>
      <c r="D273" t="s">
        <v>813</v>
      </c>
      <c r="E273" t="s">
        <v>809</v>
      </c>
      <c r="F273" t="s">
        <v>19</v>
      </c>
      <c r="G273" s="5" t="s">
        <v>798</v>
      </c>
      <c r="H273" t="s">
        <v>20</v>
      </c>
      <c r="I273" t="s">
        <v>21</v>
      </c>
      <c r="J273" s="1">
        <v>156</v>
      </c>
      <c r="K273" s="1">
        <v>2910</v>
      </c>
      <c r="L273" t="s">
        <v>23</v>
      </c>
      <c r="M273" s="1">
        <v>22</v>
      </c>
      <c r="N273" s="48">
        <v>22</v>
      </c>
      <c r="O273" s="1">
        <v>8</v>
      </c>
      <c r="P273" s="48">
        <v>8</v>
      </c>
      <c r="Q273" s="1" t="s">
        <v>22</v>
      </c>
      <c r="R273" s="1" t="s">
        <v>22</v>
      </c>
      <c r="S273" s="1">
        <v>2</v>
      </c>
      <c r="T273" s="1">
        <v>2</v>
      </c>
      <c r="U273" s="1">
        <v>1</v>
      </c>
      <c r="V273" s="1">
        <v>1</v>
      </c>
      <c r="W273" s="1">
        <v>0</v>
      </c>
      <c r="X273" s="1">
        <v>0</v>
      </c>
      <c r="Y273" s="1">
        <v>3</v>
      </c>
      <c r="Z273" s="3">
        <v>0.96153846153846156</v>
      </c>
      <c r="AA273" s="1">
        <v>3</v>
      </c>
      <c r="AB273" s="3">
        <v>1.9230769230769231</v>
      </c>
      <c r="AC273" s="1">
        <v>0</v>
      </c>
      <c r="AD273" s="3">
        <v>0</v>
      </c>
      <c r="AE273" s="1">
        <v>1</v>
      </c>
      <c r="AF273" s="3">
        <v>0.64102564102564097</v>
      </c>
      <c r="AG273" s="1">
        <v>6</v>
      </c>
      <c r="AH273" s="3">
        <v>3.8461538461538463</v>
      </c>
      <c r="AI273" s="1" t="s">
        <v>22</v>
      </c>
      <c r="AJ273" s="1">
        <v>3</v>
      </c>
      <c r="AK273" s="3">
        <v>1.9230769230769231</v>
      </c>
      <c r="AL273" s="1">
        <v>1</v>
      </c>
      <c r="AM273" s="3">
        <v>0.64102564102564097</v>
      </c>
      <c r="AN273" s="1" t="s">
        <v>22</v>
      </c>
      <c r="AO273" s="1">
        <v>5</v>
      </c>
      <c r="AP273" s="3">
        <v>3.2051282051282048</v>
      </c>
      <c r="AQ273" s="3">
        <v>4</v>
      </c>
      <c r="AR273" s="3">
        <v>2.5641025641025639</v>
      </c>
      <c r="AS273" s="1">
        <v>6</v>
      </c>
      <c r="AT273" s="3">
        <v>3.8461538461538463</v>
      </c>
      <c r="AU273" s="1">
        <v>1</v>
      </c>
      <c r="AV273" s="3">
        <v>0.64102564102564097</v>
      </c>
      <c r="AW273" s="1" t="s">
        <v>22</v>
      </c>
      <c r="AX273" s="1">
        <v>16</v>
      </c>
      <c r="AY273" s="1">
        <v>1</v>
      </c>
      <c r="AZ273" s="1">
        <v>1</v>
      </c>
      <c r="BA273" s="1">
        <v>32</v>
      </c>
      <c r="BB273" s="1">
        <v>2</v>
      </c>
      <c r="BC273" s="1">
        <v>2</v>
      </c>
      <c r="BD273" s="1">
        <v>0</v>
      </c>
      <c r="BE273" s="54">
        <v>0</v>
      </c>
      <c r="BF273" s="6">
        <v>21</v>
      </c>
      <c r="BG273" s="6">
        <v>9</v>
      </c>
      <c r="BH273" s="1">
        <v>0</v>
      </c>
      <c r="BI273" s="6">
        <v>0</v>
      </c>
      <c r="BJ273" s="1" t="s">
        <v>22</v>
      </c>
      <c r="BK273" s="1" t="s">
        <v>22</v>
      </c>
      <c r="BL273" s="1" t="s">
        <v>22</v>
      </c>
      <c r="BM273" s="1" t="s">
        <v>22</v>
      </c>
      <c r="BN273" t="s">
        <v>24</v>
      </c>
      <c r="BO273">
        <v>2582</v>
      </c>
    </row>
    <row r="274" spans="1:67" x14ac:dyDescent="0.25">
      <c r="A274" s="4">
        <f>INT(Tabela1[[#This Row],[Data e Hora]])</f>
        <v>46288</v>
      </c>
      <c r="B274" s="4" t="str">
        <f>UPPER(TEXT(Tabela1[[#This Row],[Data Corrigida]],"MMM"))</f>
        <v>SET</v>
      </c>
      <c r="C274" s="57" t="s">
        <v>814</v>
      </c>
      <c r="D274" t="s">
        <v>815</v>
      </c>
      <c r="E274" t="s">
        <v>816</v>
      </c>
      <c r="F274" t="s">
        <v>19</v>
      </c>
      <c r="G274" s="5" t="s">
        <v>817</v>
      </c>
      <c r="H274" t="s">
        <v>20</v>
      </c>
      <c r="I274" t="s">
        <v>21</v>
      </c>
      <c r="J274" s="1">
        <v>100</v>
      </c>
      <c r="K274" s="1">
        <v>2765</v>
      </c>
      <c r="L274" t="s">
        <v>23</v>
      </c>
      <c r="M274" s="1">
        <v>51</v>
      </c>
      <c r="N274" s="48">
        <v>51</v>
      </c>
      <c r="O274" s="1">
        <v>14</v>
      </c>
      <c r="P274" s="48">
        <v>14.000000000000002</v>
      </c>
      <c r="Q274" s="1">
        <v>0</v>
      </c>
      <c r="R274" s="1">
        <v>0</v>
      </c>
      <c r="S274" s="1">
        <v>3</v>
      </c>
      <c r="T274" s="1">
        <v>3</v>
      </c>
      <c r="U274" s="1">
        <v>1</v>
      </c>
      <c r="V274" s="1">
        <v>1</v>
      </c>
      <c r="W274" s="1">
        <v>6</v>
      </c>
      <c r="X274" s="1">
        <v>30</v>
      </c>
      <c r="Y274" s="1">
        <v>2</v>
      </c>
      <c r="Z274" s="3">
        <v>1</v>
      </c>
      <c r="AA274" s="1">
        <v>3</v>
      </c>
      <c r="AB274" s="3">
        <v>3</v>
      </c>
      <c r="AC274" s="1">
        <v>0</v>
      </c>
      <c r="AD274" s="3">
        <v>0</v>
      </c>
      <c r="AE274" s="1">
        <v>2</v>
      </c>
      <c r="AF274" s="3">
        <v>2</v>
      </c>
      <c r="AG274" s="1">
        <v>4</v>
      </c>
      <c r="AH274" s="3">
        <v>4</v>
      </c>
      <c r="AI274" s="1" t="s">
        <v>22</v>
      </c>
      <c r="AJ274" s="1">
        <v>2</v>
      </c>
      <c r="AK274" s="3">
        <v>2</v>
      </c>
      <c r="AL274" s="1">
        <v>2</v>
      </c>
      <c r="AM274" s="3">
        <v>2</v>
      </c>
      <c r="AN274" s="1" t="s">
        <v>22</v>
      </c>
      <c r="AO274" s="1">
        <v>4</v>
      </c>
      <c r="AP274" s="3">
        <v>4</v>
      </c>
      <c r="AQ274" s="3">
        <v>3</v>
      </c>
      <c r="AR274" s="3">
        <v>3</v>
      </c>
      <c r="AS274" s="1">
        <v>6</v>
      </c>
      <c r="AT274" s="3">
        <v>6</v>
      </c>
      <c r="AU274" s="1">
        <v>3</v>
      </c>
      <c r="AV274" s="3">
        <v>3</v>
      </c>
      <c r="AW274" s="1" t="s">
        <v>22</v>
      </c>
      <c r="AX274" s="1">
        <v>21</v>
      </c>
      <c r="AY274" s="1">
        <v>0</v>
      </c>
      <c r="AZ274" s="1">
        <v>0</v>
      </c>
      <c r="BA274" s="1">
        <v>42</v>
      </c>
      <c r="BB274" s="1">
        <v>0</v>
      </c>
      <c r="BC274" s="1">
        <v>0</v>
      </c>
      <c r="BD274" s="1">
        <v>0</v>
      </c>
      <c r="BE274" s="54">
        <v>0</v>
      </c>
      <c r="BF274" s="6">
        <v>23</v>
      </c>
      <c r="BG274" s="6">
        <v>20</v>
      </c>
      <c r="BH274" s="1">
        <v>1</v>
      </c>
      <c r="BI274" s="6">
        <v>10</v>
      </c>
      <c r="BJ274" s="1" t="s">
        <v>22</v>
      </c>
      <c r="BK274" s="6">
        <v>0</v>
      </c>
      <c r="BL274" s="6">
        <v>0</v>
      </c>
      <c r="BM274" s="1">
        <v>1</v>
      </c>
      <c r="BN274" t="s">
        <v>24</v>
      </c>
      <c r="BO274">
        <v>1699</v>
      </c>
    </row>
    <row r="275" spans="1:67" x14ac:dyDescent="0.25">
      <c r="A275" s="4">
        <f>INT(Tabela1[[#This Row],[Data e Hora]])</f>
        <v>46288</v>
      </c>
      <c r="B275" s="4" t="str">
        <f>UPPER(TEXT(Tabela1[[#This Row],[Data Corrigida]],"MMM"))</f>
        <v>SET</v>
      </c>
      <c r="C275" t="s">
        <v>818</v>
      </c>
      <c r="D275" t="s">
        <v>819</v>
      </c>
      <c r="E275" t="s">
        <v>816</v>
      </c>
      <c r="F275" t="s">
        <v>19</v>
      </c>
      <c r="G275" s="5" t="s">
        <v>817</v>
      </c>
      <c r="H275" t="s">
        <v>20</v>
      </c>
      <c r="I275" t="s">
        <v>21</v>
      </c>
      <c r="J275" s="1">
        <v>135</v>
      </c>
      <c r="K275" s="1">
        <v>2765</v>
      </c>
      <c r="L275" t="s">
        <v>23</v>
      </c>
      <c r="M275" s="1">
        <v>40</v>
      </c>
      <c r="N275" s="48">
        <v>40</v>
      </c>
      <c r="O275" s="1">
        <v>15</v>
      </c>
      <c r="P275" s="48">
        <v>15</v>
      </c>
      <c r="Q275" s="1">
        <v>0</v>
      </c>
      <c r="R275" s="1">
        <v>0</v>
      </c>
      <c r="S275" s="1">
        <v>4</v>
      </c>
      <c r="T275" s="1">
        <v>4</v>
      </c>
      <c r="U275" s="1">
        <v>1</v>
      </c>
      <c r="V275" s="1">
        <v>1</v>
      </c>
      <c r="W275" s="1">
        <v>3</v>
      </c>
      <c r="X275" s="1">
        <v>15</v>
      </c>
      <c r="Y275" s="1">
        <v>1</v>
      </c>
      <c r="Z275" s="3">
        <v>0.37037037037037041</v>
      </c>
      <c r="AA275" s="1">
        <v>3</v>
      </c>
      <c r="AB275" s="3">
        <v>2.2222222222222223</v>
      </c>
      <c r="AC275" s="1">
        <v>0</v>
      </c>
      <c r="AD275" s="3">
        <v>0</v>
      </c>
      <c r="AE275" s="1">
        <v>2</v>
      </c>
      <c r="AF275" s="3">
        <v>1.4814814814814816</v>
      </c>
      <c r="AG275" s="1">
        <v>6</v>
      </c>
      <c r="AH275" s="3">
        <v>4.4444444444444446</v>
      </c>
      <c r="AI275" s="1" t="s">
        <v>22</v>
      </c>
      <c r="AJ275" s="1">
        <v>3</v>
      </c>
      <c r="AK275" s="3">
        <v>2.2222222222222223</v>
      </c>
      <c r="AL275" s="1">
        <v>2</v>
      </c>
      <c r="AM275" s="3">
        <v>1.4814814814814816</v>
      </c>
      <c r="AN275" s="1" t="s">
        <v>22</v>
      </c>
      <c r="AO275" s="1">
        <v>5</v>
      </c>
      <c r="AP275" s="3">
        <v>3.7037037037037033</v>
      </c>
      <c r="AQ275" s="3">
        <v>2</v>
      </c>
      <c r="AR275" s="3">
        <v>1.4814814814814816</v>
      </c>
      <c r="AS275" s="1">
        <v>9</v>
      </c>
      <c r="AT275" s="3">
        <v>6.666666666666667</v>
      </c>
      <c r="AU275" s="1">
        <v>2</v>
      </c>
      <c r="AV275" s="3">
        <v>1.4814814814814816</v>
      </c>
      <c r="AW275" s="1" t="s">
        <v>22</v>
      </c>
      <c r="AX275" s="1">
        <v>15</v>
      </c>
      <c r="AY275" s="1">
        <v>0</v>
      </c>
      <c r="AZ275" s="1">
        <v>0</v>
      </c>
      <c r="BA275" s="1">
        <v>30</v>
      </c>
      <c r="BB275" s="1">
        <v>0</v>
      </c>
      <c r="BC275" s="1">
        <v>0</v>
      </c>
      <c r="BD275" s="1">
        <v>0</v>
      </c>
      <c r="BE275" s="54">
        <v>0</v>
      </c>
      <c r="BF275" s="6">
        <v>19</v>
      </c>
      <c r="BG275" s="6">
        <v>17</v>
      </c>
      <c r="BH275" s="1">
        <v>1</v>
      </c>
      <c r="BI275" s="6">
        <v>10</v>
      </c>
      <c r="BJ275" s="1" t="s">
        <v>22</v>
      </c>
      <c r="BK275" s="6">
        <v>2</v>
      </c>
      <c r="BL275" s="6">
        <v>0</v>
      </c>
      <c r="BM275" s="1">
        <v>1</v>
      </c>
      <c r="BN275" t="s">
        <v>24</v>
      </c>
      <c r="BO275">
        <v>2096</v>
      </c>
    </row>
    <row r="276" spans="1:67" x14ac:dyDescent="0.25">
      <c r="A276" s="4">
        <f>INT(Tabela1[[#This Row],[Data e Hora]])</f>
        <v>46288</v>
      </c>
      <c r="B276" s="4" t="str">
        <f>UPPER(TEXT(Tabela1[[#This Row],[Data Corrigida]],"MMM"))</f>
        <v>SET</v>
      </c>
      <c r="C276" t="s">
        <v>820</v>
      </c>
      <c r="D276" t="s">
        <v>821</v>
      </c>
      <c r="E276" t="s">
        <v>816</v>
      </c>
      <c r="F276" t="s">
        <v>19</v>
      </c>
      <c r="G276" s="5" t="s">
        <v>817</v>
      </c>
      <c r="H276" t="s">
        <v>20</v>
      </c>
      <c r="I276" t="s">
        <v>21</v>
      </c>
      <c r="J276" s="1">
        <v>110</v>
      </c>
      <c r="K276" s="1">
        <v>2732</v>
      </c>
      <c r="L276" t="s">
        <v>23</v>
      </c>
      <c r="M276" s="1">
        <v>25</v>
      </c>
      <c r="N276" s="48">
        <v>25</v>
      </c>
      <c r="O276" s="1">
        <v>8</v>
      </c>
      <c r="P276" s="48">
        <v>8</v>
      </c>
      <c r="Q276" s="1">
        <v>0</v>
      </c>
      <c r="R276" s="1">
        <v>0</v>
      </c>
      <c r="S276" s="1">
        <v>4</v>
      </c>
      <c r="T276" s="1">
        <v>4</v>
      </c>
      <c r="U276" s="1">
        <v>1</v>
      </c>
      <c r="V276" s="1">
        <v>1</v>
      </c>
      <c r="W276" s="1">
        <v>0</v>
      </c>
      <c r="X276" s="1">
        <v>0</v>
      </c>
      <c r="Y276" s="1">
        <v>1</v>
      </c>
      <c r="Z276" s="3">
        <v>0.45454545454545453</v>
      </c>
      <c r="AA276" s="1">
        <v>8</v>
      </c>
      <c r="AB276" s="3">
        <v>7.2727272727272725</v>
      </c>
      <c r="AC276" s="1">
        <v>0</v>
      </c>
      <c r="AD276" s="3">
        <v>0</v>
      </c>
      <c r="AE276" s="1">
        <v>1</v>
      </c>
      <c r="AF276" s="3">
        <v>0.90909090909090906</v>
      </c>
      <c r="AG276" s="1">
        <v>6</v>
      </c>
      <c r="AH276" s="3">
        <v>5.4545454545454541</v>
      </c>
      <c r="AI276" s="1" t="s">
        <v>22</v>
      </c>
      <c r="AJ276" s="1">
        <v>3</v>
      </c>
      <c r="AK276" s="3">
        <v>2.7272727272727271</v>
      </c>
      <c r="AL276" s="1">
        <v>2</v>
      </c>
      <c r="AM276" s="3">
        <v>1.8181818181818181</v>
      </c>
      <c r="AN276" s="1" t="s">
        <v>22</v>
      </c>
      <c r="AO276" s="1">
        <v>10</v>
      </c>
      <c r="AP276" s="3">
        <v>9.0909090909090917</v>
      </c>
      <c r="AQ276" s="3">
        <v>2</v>
      </c>
      <c r="AR276" s="3">
        <v>1.8181818181818181</v>
      </c>
      <c r="AS276" s="1">
        <v>9</v>
      </c>
      <c r="AT276" s="3">
        <v>8.1818181818181817</v>
      </c>
      <c r="AU276" s="1">
        <v>2</v>
      </c>
      <c r="AV276" s="3">
        <v>1.8181818181818181</v>
      </c>
      <c r="AW276" s="1" t="s">
        <v>22</v>
      </c>
      <c r="AX276" s="1">
        <v>13</v>
      </c>
      <c r="AY276" s="1">
        <v>0</v>
      </c>
      <c r="AZ276" s="1">
        <v>0</v>
      </c>
      <c r="BA276" s="1">
        <v>26</v>
      </c>
      <c r="BB276" s="1">
        <v>0</v>
      </c>
      <c r="BC276" s="1">
        <v>0</v>
      </c>
      <c r="BD276" s="1">
        <v>0</v>
      </c>
      <c r="BE276" s="54">
        <v>0</v>
      </c>
      <c r="BF276" s="6">
        <v>25</v>
      </c>
      <c r="BG276" s="6">
        <v>19</v>
      </c>
      <c r="BH276" s="1">
        <v>1</v>
      </c>
      <c r="BI276" s="6">
        <v>10</v>
      </c>
      <c r="BJ276" s="1" t="s">
        <v>22</v>
      </c>
      <c r="BK276" s="1" t="s">
        <v>22</v>
      </c>
      <c r="BL276" s="1" t="s">
        <v>22</v>
      </c>
      <c r="BM276" s="1" t="s">
        <v>22</v>
      </c>
      <c r="BN276" t="s">
        <v>24</v>
      </c>
      <c r="BO276">
        <v>1705</v>
      </c>
    </row>
    <row r="277" spans="1:67" x14ac:dyDescent="0.25">
      <c r="A277" s="4">
        <f>INT(Tabela1[[#This Row],[Data e Hora]])</f>
        <v>46288</v>
      </c>
      <c r="B277" s="4" t="str">
        <f>UPPER(TEXT(Tabela1[[#This Row],[Data Corrigida]],"MMM"))</f>
        <v>SET</v>
      </c>
      <c r="C277" t="s">
        <v>822</v>
      </c>
      <c r="D277" t="s">
        <v>823</v>
      </c>
      <c r="E277" t="s">
        <v>816</v>
      </c>
      <c r="F277" t="s">
        <v>19</v>
      </c>
      <c r="G277" s="5" t="s">
        <v>817</v>
      </c>
      <c r="H277" t="s">
        <v>20</v>
      </c>
      <c r="I277" t="s">
        <v>21</v>
      </c>
      <c r="J277" s="1">
        <v>125</v>
      </c>
      <c r="K277" s="1">
        <v>2762</v>
      </c>
      <c r="L277" t="s">
        <v>23</v>
      </c>
      <c r="M277" s="1">
        <v>33</v>
      </c>
      <c r="N277" s="48">
        <v>33</v>
      </c>
      <c r="O277" s="1">
        <v>12</v>
      </c>
      <c r="P277" s="48">
        <v>12</v>
      </c>
      <c r="Q277" s="1">
        <v>0</v>
      </c>
      <c r="R277" s="1">
        <v>0</v>
      </c>
      <c r="S277" s="1">
        <v>1</v>
      </c>
      <c r="T277" s="1">
        <v>1</v>
      </c>
      <c r="U277" s="1">
        <v>1</v>
      </c>
      <c r="V277" s="1">
        <v>1</v>
      </c>
      <c r="W277" s="1">
        <v>2</v>
      </c>
      <c r="X277" s="1">
        <v>10</v>
      </c>
      <c r="Y277" s="1">
        <v>1</v>
      </c>
      <c r="Z277" s="3">
        <v>0.4</v>
      </c>
      <c r="AA277" s="1">
        <v>8</v>
      </c>
      <c r="AB277" s="3">
        <v>6.4</v>
      </c>
      <c r="AC277" s="1">
        <v>0</v>
      </c>
      <c r="AD277" s="3">
        <v>0</v>
      </c>
      <c r="AE277" s="1">
        <v>2</v>
      </c>
      <c r="AF277" s="3">
        <v>1.6</v>
      </c>
      <c r="AG277" s="1">
        <v>6</v>
      </c>
      <c r="AH277" s="3">
        <v>4.8</v>
      </c>
      <c r="AI277" s="1" t="s">
        <v>22</v>
      </c>
      <c r="AJ277" s="1">
        <v>3</v>
      </c>
      <c r="AK277" s="3">
        <v>2.4</v>
      </c>
      <c r="AL277" s="1">
        <v>2</v>
      </c>
      <c r="AM277" s="3">
        <v>1.6</v>
      </c>
      <c r="AN277" s="1" t="s">
        <v>22</v>
      </c>
      <c r="AO277" s="1">
        <v>9</v>
      </c>
      <c r="AP277" s="3">
        <v>7.1999999999999993</v>
      </c>
      <c r="AQ277" s="3">
        <v>4</v>
      </c>
      <c r="AR277" s="3">
        <v>3.2</v>
      </c>
      <c r="AS277" s="1">
        <v>7</v>
      </c>
      <c r="AT277" s="3">
        <v>5.6000000000000005</v>
      </c>
      <c r="AU277" s="1">
        <v>2</v>
      </c>
      <c r="AV277" s="3">
        <v>1.6</v>
      </c>
      <c r="AW277" s="1" t="s">
        <v>22</v>
      </c>
      <c r="AX277" s="1">
        <v>15</v>
      </c>
      <c r="AY277" s="1">
        <v>0</v>
      </c>
      <c r="AZ277" s="1">
        <v>0</v>
      </c>
      <c r="BA277" s="1">
        <v>30</v>
      </c>
      <c r="BB277" s="1">
        <v>0</v>
      </c>
      <c r="BC277" s="1">
        <v>0</v>
      </c>
      <c r="BD277" s="1">
        <v>0</v>
      </c>
      <c r="BE277" s="54">
        <v>0</v>
      </c>
      <c r="BF277" s="6">
        <v>26</v>
      </c>
      <c r="BG277" s="6">
        <v>23</v>
      </c>
      <c r="BH277" s="1">
        <v>1</v>
      </c>
      <c r="BI277" s="6">
        <v>10</v>
      </c>
      <c r="BJ277" s="1" t="s">
        <v>22</v>
      </c>
      <c r="BK277" s="1" t="s">
        <v>22</v>
      </c>
      <c r="BL277" s="1" t="s">
        <v>22</v>
      </c>
      <c r="BM277" s="1" t="s">
        <v>22</v>
      </c>
      <c r="BN277" t="s">
        <v>24</v>
      </c>
      <c r="BO277">
        <v>1695</v>
      </c>
    </row>
    <row r="278" spans="1:67" x14ac:dyDescent="0.25">
      <c r="A278" s="4">
        <f>INT(Tabela1[[#This Row],[Data e Hora]])</f>
        <v>46287</v>
      </c>
      <c r="B278" s="4" t="str">
        <f>UPPER(TEXT(Tabela1[[#This Row],[Data Corrigida]],"MMM"))</f>
        <v>SET</v>
      </c>
      <c r="C278" t="s">
        <v>824</v>
      </c>
      <c r="D278" t="s">
        <v>825</v>
      </c>
      <c r="E278" t="s">
        <v>826</v>
      </c>
      <c r="F278" t="s">
        <v>19</v>
      </c>
      <c r="G278" s="5" t="s">
        <v>827</v>
      </c>
      <c r="H278" t="s">
        <v>20</v>
      </c>
      <c r="I278" t="s">
        <v>33</v>
      </c>
      <c r="J278" s="1">
        <v>151</v>
      </c>
      <c r="K278" s="1">
        <v>2762</v>
      </c>
      <c r="L278" t="s">
        <v>34</v>
      </c>
      <c r="M278" s="1">
        <v>20</v>
      </c>
      <c r="N278" s="48">
        <v>20</v>
      </c>
      <c r="O278" s="1">
        <v>5</v>
      </c>
      <c r="P278" s="48">
        <v>5</v>
      </c>
      <c r="Q278" s="1">
        <v>0</v>
      </c>
      <c r="R278" s="1">
        <v>0</v>
      </c>
      <c r="S278" s="1">
        <v>1</v>
      </c>
      <c r="T278" s="1">
        <v>1</v>
      </c>
      <c r="U278" s="1">
        <v>1</v>
      </c>
      <c r="V278" s="1">
        <v>1</v>
      </c>
      <c r="W278" s="1">
        <v>0</v>
      </c>
      <c r="X278" s="1">
        <v>0</v>
      </c>
      <c r="Y278" s="1">
        <v>6</v>
      </c>
      <c r="Z278" s="3">
        <v>1.9867549668874174</v>
      </c>
      <c r="AA278" s="1">
        <v>5</v>
      </c>
      <c r="AB278" s="3">
        <v>3.3112582781456954</v>
      </c>
      <c r="AC278" s="1">
        <v>0</v>
      </c>
      <c r="AD278" s="3">
        <v>0</v>
      </c>
      <c r="AE278" s="1">
        <v>1</v>
      </c>
      <c r="AF278" s="3">
        <v>0.66225165562913912</v>
      </c>
      <c r="AG278" s="1">
        <v>2</v>
      </c>
      <c r="AH278" s="3">
        <v>1.3245033112582782</v>
      </c>
      <c r="AI278" s="1" t="s">
        <v>22</v>
      </c>
      <c r="AJ278" s="1">
        <v>0</v>
      </c>
      <c r="AK278" s="3">
        <v>0</v>
      </c>
      <c r="AL278" s="1">
        <v>0</v>
      </c>
      <c r="AM278" s="3">
        <v>0</v>
      </c>
      <c r="AN278" s="1" t="s">
        <v>22</v>
      </c>
      <c r="AO278" s="1">
        <v>6</v>
      </c>
      <c r="AP278" s="3">
        <v>3.9735099337748347</v>
      </c>
      <c r="AQ278" s="3">
        <v>4</v>
      </c>
      <c r="AR278" s="3">
        <v>2.6490066225165565</v>
      </c>
      <c r="AS278" s="1">
        <v>7</v>
      </c>
      <c r="AT278" s="3">
        <v>4.6357615894039732</v>
      </c>
      <c r="AU278" s="1">
        <v>0</v>
      </c>
      <c r="AV278" s="3">
        <v>0</v>
      </c>
      <c r="AW278" s="1" t="s">
        <v>22</v>
      </c>
      <c r="AX278" s="1">
        <v>16</v>
      </c>
      <c r="AY278" s="1">
        <v>0</v>
      </c>
      <c r="AZ278" s="1">
        <v>0</v>
      </c>
      <c r="BA278" s="1">
        <v>32</v>
      </c>
      <c r="BB278" s="1">
        <v>0</v>
      </c>
      <c r="BC278" s="1">
        <v>0</v>
      </c>
      <c r="BD278" s="1">
        <v>0</v>
      </c>
      <c r="BE278" s="54">
        <v>0</v>
      </c>
      <c r="BF278" s="6">
        <v>20</v>
      </c>
      <c r="BG278" s="6">
        <v>18</v>
      </c>
      <c r="BH278" s="1">
        <v>0</v>
      </c>
      <c r="BI278" s="6">
        <v>0</v>
      </c>
      <c r="BJ278" s="1" t="s">
        <v>22</v>
      </c>
      <c r="BK278" s="6">
        <v>0</v>
      </c>
      <c r="BL278" s="6">
        <v>0</v>
      </c>
      <c r="BM278" s="1">
        <v>0</v>
      </c>
      <c r="BN278" t="s">
        <v>24</v>
      </c>
      <c r="BO278">
        <v>274</v>
      </c>
    </row>
    <row r="279" spans="1:67" x14ac:dyDescent="0.25">
      <c r="A279" s="4">
        <f>INT(Tabela1[[#This Row],[Data e Hora]])</f>
        <v>46287</v>
      </c>
      <c r="B279" s="4" t="str">
        <f>UPPER(TEXT(Tabela1[[#This Row],[Data Corrigida]],"MMM"))</f>
        <v>SET</v>
      </c>
      <c r="C279" t="s">
        <v>828</v>
      </c>
      <c r="D279" t="s">
        <v>829</v>
      </c>
      <c r="E279" t="s">
        <v>826</v>
      </c>
      <c r="F279" t="s">
        <v>19</v>
      </c>
      <c r="G279" s="5" t="s">
        <v>827</v>
      </c>
      <c r="H279" t="s">
        <v>20</v>
      </c>
      <c r="I279" t="s">
        <v>33</v>
      </c>
      <c r="J279" s="1">
        <v>151</v>
      </c>
      <c r="K279" s="1">
        <v>2758</v>
      </c>
      <c r="L279" t="s">
        <v>34</v>
      </c>
      <c r="M279" s="1">
        <v>25</v>
      </c>
      <c r="N279" s="48">
        <v>25</v>
      </c>
      <c r="O279" s="1">
        <v>9</v>
      </c>
      <c r="P279" s="48">
        <v>9</v>
      </c>
      <c r="Q279" s="1">
        <v>0</v>
      </c>
      <c r="R279" s="1">
        <v>0</v>
      </c>
      <c r="S279" s="1">
        <v>1</v>
      </c>
      <c r="T279" s="1">
        <v>1</v>
      </c>
      <c r="U279" s="1">
        <v>0</v>
      </c>
      <c r="V279" s="1">
        <v>0</v>
      </c>
      <c r="W279" s="1">
        <v>0</v>
      </c>
      <c r="X279" s="1">
        <v>0</v>
      </c>
      <c r="Y279" s="1">
        <v>5</v>
      </c>
      <c r="Z279" s="3">
        <v>1.6556291390728477</v>
      </c>
      <c r="AA279" s="1">
        <v>19</v>
      </c>
      <c r="AB279" s="3">
        <v>12.582781456953644</v>
      </c>
      <c r="AC279" s="1">
        <v>0</v>
      </c>
      <c r="AD279" s="3">
        <v>0</v>
      </c>
      <c r="AE279" s="1">
        <v>1</v>
      </c>
      <c r="AF279" s="3">
        <v>0.66225165562913912</v>
      </c>
      <c r="AG279" s="1">
        <v>4</v>
      </c>
      <c r="AH279" s="3">
        <v>2.6490066225165565</v>
      </c>
      <c r="AI279" s="1" t="s">
        <v>22</v>
      </c>
      <c r="AJ279" s="1">
        <v>0</v>
      </c>
      <c r="AK279" s="3">
        <v>0</v>
      </c>
      <c r="AL279" s="1">
        <v>0</v>
      </c>
      <c r="AM279" s="3">
        <v>0</v>
      </c>
      <c r="AN279" s="1" t="s">
        <v>22</v>
      </c>
      <c r="AO279" s="1">
        <v>6</v>
      </c>
      <c r="AP279" s="3">
        <v>3.9735099337748347</v>
      </c>
      <c r="AQ279" s="3">
        <v>4</v>
      </c>
      <c r="AR279" s="3">
        <v>2.6490066225165565</v>
      </c>
      <c r="AS279" s="1">
        <v>9</v>
      </c>
      <c r="AT279" s="3">
        <v>5.9602649006622519</v>
      </c>
      <c r="AU279" s="1">
        <v>0</v>
      </c>
      <c r="AV279" s="3">
        <v>0</v>
      </c>
      <c r="AW279" s="1" t="s">
        <v>22</v>
      </c>
      <c r="AX279" s="1">
        <v>19</v>
      </c>
      <c r="AY279" s="1">
        <v>0</v>
      </c>
      <c r="AZ279" s="1">
        <v>0</v>
      </c>
      <c r="BA279" s="1">
        <v>38</v>
      </c>
      <c r="BB279" s="1">
        <v>0</v>
      </c>
      <c r="BC279" s="1">
        <v>0</v>
      </c>
      <c r="BD279" s="1">
        <v>3</v>
      </c>
      <c r="BE279" s="54">
        <v>1.9867549668874174</v>
      </c>
      <c r="BF279" s="6">
        <v>25</v>
      </c>
      <c r="BG279" s="6">
        <v>13</v>
      </c>
      <c r="BH279" s="1">
        <v>0</v>
      </c>
      <c r="BI279" s="6">
        <v>0</v>
      </c>
      <c r="BJ279" s="1" t="s">
        <v>22</v>
      </c>
      <c r="BK279" s="6">
        <v>1</v>
      </c>
      <c r="BL279" s="6">
        <v>0</v>
      </c>
      <c r="BM279" s="1">
        <v>0</v>
      </c>
      <c r="BN279" t="s">
        <v>24</v>
      </c>
      <c r="BO279">
        <v>13832</v>
      </c>
    </row>
    <row r="280" spans="1:67" x14ac:dyDescent="0.25">
      <c r="A280" s="4">
        <f>INT(Tabela1[[#This Row],[Data e Hora]])</f>
        <v>46287</v>
      </c>
      <c r="B280" s="4" t="str">
        <f>UPPER(TEXT(Tabela1[[#This Row],[Data Corrigida]],"MMM"))</f>
        <v>SET</v>
      </c>
      <c r="C280" t="s">
        <v>830</v>
      </c>
      <c r="D280" t="s">
        <v>831</v>
      </c>
      <c r="E280" t="s">
        <v>832</v>
      </c>
      <c r="F280" t="s">
        <v>19</v>
      </c>
      <c r="G280" s="5" t="s">
        <v>827</v>
      </c>
      <c r="H280" t="s">
        <v>20</v>
      </c>
      <c r="I280" t="s">
        <v>33</v>
      </c>
      <c r="J280" s="1">
        <v>151</v>
      </c>
      <c r="K280" s="1">
        <v>2758</v>
      </c>
      <c r="L280" t="s">
        <v>34</v>
      </c>
      <c r="M280" s="1">
        <v>21</v>
      </c>
      <c r="N280" s="48">
        <v>21</v>
      </c>
      <c r="O280" s="1">
        <v>4</v>
      </c>
      <c r="P280" s="48">
        <v>4</v>
      </c>
      <c r="Q280" s="1">
        <v>1</v>
      </c>
      <c r="R280" s="1">
        <v>10</v>
      </c>
      <c r="S280" s="1">
        <v>1</v>
      </c>
      <c r="T280" s="1">
        <v>1</v>
      </c>
      <c r="U280" s="1">
        <v>0</v>
      </c>
      <c r="V280" s="1">
        <v>0</v>
      </c>
      <c r="W280" s="1">
        <v>0</v>
      </c>
      <c r="X280" s="1">
        <v>0</v>
      </c>
      <c r="Y280" s="1">
        <v>3</v>
      </c>
      <c r="Z280" s="3">
        <v>0.99337748344370869</v>
      </c>
      <c r="AA280" s="1">
        <v>6</v>
      </c>
      <c r="AB280" s="3">
        <v>3.9735099337748347</v>
      </c>
      <c r="AC280" s="1">
        <v>0</v>
      </c>
      <c r="AD280" s="3">
        <v>0</v>
      </c>
      <c r="AE280" s="1">
        <v>2</v>
      </c>
      <c r="AF280" s="3">
        <v>1.3245033112582782</v>
      </c>
      <c r="AG280" s="1">
        <v>3</v>
      </c>
      <c r="AH280" s="3">
        <v>1.9867549668874174</v>
      </c>
      <c r="AI280" s="1" t="s">
        <v>22</v>
      </c>
      <c r="AJ280" s="1">
        <v>1</v>
      </c>
      <c r="AK280" s="3">
        <v>0.66225165562913912</v>
      </c>
      <c r="AL280" s="1">
        <v>0</v>
      </c>
      <c r="AM280" s="3">
        <v>0</v>
      </c>
      <c r="AN280" s="1" t="s">
        <v>22</v>
      </c>
      <c r="AO280" s="1">
        <v>7</v>
      </c>
      <c r="AP280" s="3">
        <v>4.6357615894039732</v>
      </c>
      <c r="AQ280" s="3" t="s">
        <v>22</v>
      </c>
      <c r="AR280" s="3" t="s">
        <v>22</v>
      </c>
      <c r="AS280" s="1">
        <v>5</v>
      </c>
      <c r="AT280" s="3">
        <v>3.3112582781456954</v>
      </c>
      <c r="AU280" s="1">
        <v>0</v>
      </c>
      <c r="AV280" s="3">
        <v>0</v>
      </c>
      <c r="AW280" s="1" t="s">
        <v>22</v>
      </c>
      <c r="AX280" s="1">
        <v>16</v>
      </c>
      <c r="AY280" s="1">
        <v>2</v>
      </c>
      <c r="AZ280" s="1">
        <v>2</v>
      </c>
      <c r="BA280" s="1">
        <v>32</v>
      </c>
      <c r="BB280" s="1">
        <v>4</v>
      </c>
      <c r="BC280" s="1">
        <v>4</v>
      </c>
      <c r="BD280" s="1">
        <v>1</v>
      </c>
      <c r="BE280" s="54">
        <v>0.66225165562913912</v>
      </c>
      <c r="BF280" s="6">
        <v>20</v>
      </c>
      <c r="BG280" s="6">
        <v>17</v>
      </c>
      <c r="BH280" s="1">
        <v>0</v>
      </c>
      <c r="BI280" s="6">
        <v>0</v>
      </c>
      <c r="BJ280" s="1" t="s">
        <v>22</v>
      </c>
      <c r="BK280" s="6">
        <v>0</v>
      </c>
      <c r="BL280" s="6">
        <v>0</v>
      </c>
      <c r="BM280" s="1">
        <v>0</v>
      </c>
      <c r="BN280" t="s">
        <v>24</v>
      </c>
      <c r="BO280">
        <v>9164</v>
      </c>
    </row>
    <row r="281" spans="1:67" x14ac:dyDescent="0.25">
      <c r="A281" s="4">
        <f>INT(Tabela1[[#This Row],[Data e Hora]])</f>
        <v>46287</v>
      </c>
      <c r="B281" s="4" t="str">
        <f>UPPER(TEXT(Tabela1[[#This Row],[Data Corrigida]],"MMM"))</f>
        <v>SET</v>
      </c>
      <c r="C281" t="s">
        <v>833</v>
      </c>
      <c r="D281" t="s">
        <v>834</v>
      </c>
      <c r="E281" t="s">
        <v>835</v>
      </c>
      <c r="F281" t="s">
        <v>19</v>
      </c>
      <c r="G281" s="5" t="s">
        <v>827</v>
      </c>
      <c r="H281" t="s">
        <v>20</v>
      </c>
      <c r="I281" t="s">
        <v>21</v>
      </c>
      <c r="J281" s="1">
        <v>151</v>
      </c>
      <c r="K281" s="1">
        <v>285</v>
      </c>
      <c r="L281" t="s">
        <v>23</v>
      </c>
      <c r="M281" s="1">
        <v>35</v>
      </c>
      <c r="N281" s="48">
        <v>35</v>
      </c>
      <c r="O281" s="1">
        <v>9</v>
      </c>
      <c r="P281" s="48">
        <v>9</v>
      </c>
      <c r="Q281" s="1">
        <v>0</v>
      </c>
      <c r="R281" s="1">
        <v>0</v>
      </c>
      <c r="S281" s="1">
        <v>3</v>
      </c>
      <c r="T281" s="1">
        <v>3</v>
      </c>
      <c r="U281" s="1">
        <v>1</v>
      </c>
      <c r="V281" s="1">
        <v>1</v>
      </c>
      <c r="W281" s="1">
        <v>0</v>
      </c>
      <c r="X281" s="1">
        <v>0</v>
      </c>
      <c r="Y281" s="1">
        <v>1</v>
      </c>
      <c r="Z281" s="3">
        <v>0.33112582781456956</v>
      </c>
      <c r="AA281" s="1">
        <v>8</v>
      </c>
      <c r="AB281" s="3">
        <v>5.298013245033113</v>
      </c>
      <c r="AC281" s="1">
        <v>0</v>
      </c>
      <c r="AD281" s="3">
        <v>0</v>
      </c>
      <c r="AE281" s="1">
        <v>2</v>
      </c>
      <c r="AF281" s="3">
        <v>1.3245033112582782</v>
      </c>
      <c r="AG281" s="1">
        <v>7</v>
      </c>
      <c r="AH281" s="3">
        <v>4.6357615894039732</v>
      </c>
      <c r="AI281" s="1" t="s">
        <v>22</v>
      </c>
      <c r="AJ281" s="1">
        <v>5</v>
      </c>
      <c r="AK281" s="3">
        <v>3.3112582781456954</v>
      </c>
      <c r="AL281" s="1">
        <v>2</v>
      </c>
      <c r="AM281" s="3">
        <v>1.3245033112582782</v>
      </c>
      <c r="AN281" s="1" t="s">
        <v>22</v>
      </c>
      <c r="AO281" s="1">
        <v>9</v>
      </c>
      <c r="AP281" s="3">
        <v>5.9602649006622519</v>
      </c>
      <c r="AQ281" s="3">
        <v>4</v>
      </c>
      <c r="AR281" s="3">
        <v>2.6490066225165565</v>
      </c>
      <c r="AS281" s="1">
        <v>7</v>
      </c>
      <c r="AT281" s="3">
        <v>4.6357615894039732</v>
      </c>
      <c r="AU281" s="1">
        <v>2</v>
      </c>
      <c r="AV281" s="3">
        <v>1.3245033112582782</v>
      </c>
      <c r="AW281" s="1" t="s">
        <v>22</v>
      </c>
      <c r="AX281" s="1">
        <v>19</v>
      </c>
      <c r="AY281" s="1">
        <v>0</v>
      </c>
      <c r="AZ281" s="1">
        <v>0</v>
      </c>
      <c r="BA281" s="1">
        <v>38</v>
      </c>
      <c r="BB281" s="1">
        <v>0</v>
      </c>
      <c r="BC281" s="1">
        <v>0</v>
      </c>
      <c r="BD281" s="1">
        <v>0</v>
      </c>
      <c r="BE281" s="54">
        <v>0</v>
      </c>
      <c r="BF281" s="6">
        <v>21</v>
      </c>
      <c r="BG281" s="6">
        <v>16</v>
      </c>
      <c r="BH281" s="1">
        <v>0</v>
      </c>
      <c r="BI281" s="6">
        <v>0</v>
      </c>
      <c r="BJ281" s="1" t="s">
        <v>22</v>
      </c>
      <c r="BK281" s="6">
        <v>0</v>
      </c>
      <c r="BL281" s="6">
        <v>0</v>
      </c>
      <c r="BM281" s="1">
        <v>1</v>
      </c>
      <c r="BN281" t="s">
        <v>22</v>
      </c>
      <c r="BO281">
        <v>1400</v>
      </c>
    </row>
    <row r="282" spans="1:67" x14ac:dyDescent="0.25">
      <c r="A282" s="4">
        <f>INT(Tabela1[[#This Row],[Data e Hora]])</f>
        <v>46287</v>
      </c>
      <c r="B282" s="4" t="str">
        <f>UPPER(TEXT(Tabela1[[#This Row],[Data Corrigida]],"MMM"))</f>
        <v>SET</v>
      </c>
      <c r="C282" t="s">
        <v>836</v>
      </c>
      <c r="D282" t="s">
        <v>837</v>
      </c>
      <c r="E282" t="s">
        <v>835</v>
      </c>
      <c r="F282" t="s">
        <v>19</v>
      </c>
      <c r="G282" s="5" t="s">
        <v>827</v>
      </c>
      <c r="H282" t="s">
        <v>20</v>
      </c>
      <c r="I282" t="s">
        <v>21</v>
      </c>
      <c r="J282" s="1">
        <v>151</v>
      </c>
      <c r="K282" s="1">
        <v>2856</v>
      </c>
      <c r="L282" t="s">
        <v>23</v>
      </c>
      <c r="M282" s="1">
        <v>39</v>
      </c>
      <c r="N282" s="48">
        <v>39</v>
      </c>
      <c r="O282" s="1">
        <v>25</v>
      </c>
      <c r="P282" s="48">
        <v>25</v>
      </c>
      <c r="Q282" s="1">
        <v>0</v>
      </c>
      <c r="R282" s="1">
        <v>0</v>
      </c>
      <c r="S282" s="1">
        <v>2</v>
      </c>
      <c r="T282" s="1">
        <v>2</v>
      </c>
      <c r="U282" s="1">
        <v>1</v>
      </c>
      <c r="V282" s="1">
        <v>1</v>
      </c>
      <c r="W282" s="1">
        <v>0</v>
      </c>
      <c r="X282" s="1">
        <v>0</v>
      </c>
      <c r="Y282" s="1">
        <v>1</v>
      </c>
      <c r="Z282" s="3">
        <v>0.33112582781456956</v>
      </c>
      <c r="AA282" s="1">
        <v>10</v>
      </c>
      <c r="AB282" s="3">
        <v>6.6225165562913908</v>
      </c>
      <c r="AC282" s="1">
        <v>0</v>
      </c>
      <c r="AD282" s="3">
        <v>0</v>
      </c>
      <c r="AE282" s="1">
        <v>2</v>
      </c>
      <c r="AF282" s="3">
        <v>1.3245033112582782</v>
      </c>
      <c r="AG282" s="1">
        <v>8</v>
      </c>
      <c r="AH282" s="3">
        <v>5.298013245033113</v>
      </c>
      <c r="AI282" s="1" t="s">
        <v>22</v>
      </c>
      <c r="AJ282" s="1">
        <v>2</v>
      </c>
      <c r="AK282" s="3">
        <v>1.3245033112582782</v>
      </c>
      <c r="AL282" s="1">
        <v>2</v>
      </c>
      <c r="AM282" s="3">
        <v>1.3245033112582782</v>
      </c>
      <c r="AN282" s="1" t="s">
        <v>22</v>
      </c>
      <c r="AO282" s="1">
        <v>10</v>
      </c>
      <c r="AP282" s="3">
        <v>6.6225165562913908</v>
      </c>
      <c r="AQ282" s="3">
        <v>6</v>
      </c>
      <c r="AR282" s="3">
        <v>3.9735099337748347</v>
      </c>
      <c r="AS282" s="1">
        <v>9</v>
      </c>
      <c r="AT282" s="3">
        <v>5.9602649006622519</v>
      </c>
      <c r="AU282" s="1">
        <v>2</v>
      </c>
      <c r="AV282" s="3">
        <v>1.3245033112582782</v>
      </c>
      <c r="AW282" s="1" t="s">
        <v>22</v>
      </c>
      <c r="AX282" s="1">
        <v>15</v>
      </c>
      <c r="AY282" s="1">
        <v>0</v>
      </c>
      <c r="AZ282" s="1">
        <v>0</v>
      </c>
      <c r="BA282" s="1">
        <v>30</v>
      </c>
      <c r="BB282" s="1">
        <v>0</v>
      </c>
      <c r="BC282" s="1">
        <v>0</v>
      </c>
      <c r="BD282" s="1">
        <v>1</v>
      </c>
      <c r="BE282" s="54">
        <v>0.66225165562913912</v>
      </c>
      <c r="BF282" s="6">
        <v>26</v>
      </c>
      <c r="BG282" s="6">
        <v>21</v>
      </c>
      <c r="BH282" s="1">
        <v>1</v>
      </c>
      <c r="BI282" s="6">
        <v>10</v>
      </c>
      <c r="BJ282" s="1" t="s">
        <v>22</v>
      </c>
      <c r="BK282" s="1" t="s">
        <v>22</v>
      </c>
      <c r="BL282" s="1" t="s">
        <v>22</v>
      </c>
      <c r="BM282" s="1" t="s">
        <v>22</v>
      </c>
      <c r="BN282" t="s">
        <v>24</v>
      </c>
      <c r="BO282">
        <v>2114</v>
      </c>
    </row>
    <row r="283" spans="1:67" x14ac:dyDescent="0.25">
      <c r="A283" s="4">
        <f>INT(Tabela1[[#This Row],[Data e Hora]])</f>
        <v>46287</v>
      </c>
      <c r="B283" s="4" t="str">
        <f>UPPER(TEXT(Tabela1[[#This Row],[Data Corrigida]],"MMM"))</f>
        <v>SET</v>
      </c>
      <c r="C283" t="s">
        <v>838</v>
      </c>
      <c r="D283" t="s">
        <v>839</v>
      </c>
      <c r="E283" t="s">
        <v>835</v>
      </c>
      <c r="F283" t="s">
        <v>19</v>
      </c>
      <c r="G283" s="5" t="s">
        <v>827</v>
      </c>
      <c r="H283" t="s">
        <v>20</v>
      </c>
      <c r="I283" t="s">
        <v>21</v>
      </c>
      <c r="J283" s="1">
        <v>146</v>
      </c>
      <c r="K283" s="1">
        <v>2842</v>
      </c>
      <c r="L283" t="s">
        <v>23</v>
      </c>
      <c r="M283" s="1">
        <v>29</v>
      </c>
      <c r="N283" s="48">
        <v>28.999999999999996</v>
      </c>
      <c r="O283" s="1">
        <v>7</v>
      </c>
      <c r="P283" s="48">
        <v>7.0000000000000009</v>
      </c>
      <c r="Q283" s="1">
        <v>0</v>
      </c>
      <c r="R283" s="1">
        <v>0</v>
      </c>
      <c r="S283" s="1">
        <v>5</v>
      </c>
      <c r="T283" s="1">
        <v>5</v>
      </c>
      <c r="U283" s="1">
        <v>1</v>
      </c>
      <c r="V283" s="1">
        <v>1</v>
      </c>
      <c r="W283" s="1">
        <v>0</v>
      </c>
      <c r="X283" s="1">
        <v>0</v>
      </c>
      <c r="Y283" s="1">
        <v>3</v>
      </c>
      <c r="Z283" s="3">
        <v>1.0273972602739725</v>
      </c>
      <c r="AA283" s="1">
        <v>5</v>
      </c>
      <c r="AB283" s="3">
        <v>3.4246575342465753</v>
      </c>
      <c r="AC283" s="1">
        <v>0</v>
      </c>
      <c r="AD283" s="3">
        <v>0</v>
      </c>
      <c r="AE283" s="1">
        <v>4</v>
      </c>
      <c r="AF283" s="3">
        <v>2.7397260273972601</v>
      </c>
      <c r="AG283" s="1">
        <v>9</v>
      </c>
      <c r="AH283" s="3">
        <v>6.1643835616438354</v>
      </c>
      <c r="AI283" s="1" t="s">
        <v>22</v>
      </c>
      <c r="AJ283" s="1">
        <v>3</v>
      </c>
      <c r="AK283" s="3">
        <v>2.054794520547945</v>
      </c>
      <c r="AL283" s="1">
        <v>3</v>
      </c>
      <c r="AM283" s="3">
        <v>2.054794520547945</v>
      </c>
      <c r="AN283" s="1" t="s">
        <v>22</v>
      </c>
      <c r="AO283" s="1">
        <v>8</v>
      </c>
      <c r="AP283" s="3">
        <v>5.4794520547945202</v>
      </c>
      <c r="AQ283" s="3">
        <v>2</v>
      </c>
      <c r="AR283" s="3">
        <v>1.3698630136986301</v>
      </c>
      <c r="AS283" s="1">
        <v>9</v>
      </c>
      <c r="AT283" s="3">
        <v>6.1643835616438354</v>
      </c>
      <c r="AU283" s="1">
        <v>2</v>
      </c>
      <c r="AV283" s="3">
        <v>1.3698630136986301</v>
      </c>
      <c r="AW283" s="1" t="s">
        <v>22</v>
      </c>
      <c r="AX283" s="1">
        <v>18</v>
      </c>
      <c r="AY283" s="1">
        <v>0</v>
      </c>
      <c r="AZ283" s="1">
        <v>0</v>
      </c>
      <c r="BA283" s="1">
        <v>36</v>
      </c>
      <c r="BB283" s="1">
        <v>0</v>
      </c>
      <c r="BC283" s="1">
        <v>0</v>
      </c>
      <c r="BD283" s="1">
        <v>2</v>
      </c>
      <c r="BE283" s="54">
        <v>1.3698630136986301</v>
      </c>
      <c r="BF283" s="6">
        <v>25</v>
      </c>
      <c r="BG283" s="6">
        <v>21</v>
      </c>
      <c r="BH283" s="1">
        <v>1</v>
      </c>
      <c r="BI283" s="6">
        <v>10</v>
      </c>
      <c r="BJ283" s="1" t="s">
        <v>22</v>
      </c>
      <c r="BK283" s="6">
        <v>1</v>
      </c>
      <c r="BL283" s="6">
        <v>0</v>
      </c>
      <c r="BM283" s="1">
        <v>1</v>
      </c>
      <c r="BN283" t="s">
        <v>24</v>
      </c>
      <c r="BO283">
        <v>3241</v>
      </c>
    </row>
    <row r="284" spans="1:67" x14ac:dyDescent="0.25">
      <c r="A284" s="4">
        <f>INT(Tabela1[[#This Row],[Data e Hora]])</f>
        <v>46287</v>
      </c>
      <c r="B284" s="4" t="str">
        <f>UPPER(TEXT(Tabela1[[#This Row],[Data Corrigida]],"MMM"))</f>
        <v>SET</v>
      </c>
      <c r="C284" t="s">
        <v>840</v>
      </c>
      <c r="D284" t="s">
        <v>841</v>
      </c>
      <c r="E284" t="s">
        <v>842</v>
      </c>
      <c r="F284" t="s">
        <v>19</v>
      </c>
      <c r="G284" s="5" t="s">
        <v>827</v>
      </c>
      <c r="H284" t="s">
        <v>20</v>
      </c>
      <c r="I284" t="s">
        <v>21</v>
      </c>
      <c r="J284" s="1">
        <v>130</v>
      </c>
      <c r="K284" s="1">
        <v>2918</v>
      </c>
      <c r="L284" t="s">
        <v>23</v>
      </c>
      <c r="M284" s="1">
        <v>30</v>
      </c>
      <c r="N284" s="48">
        <v>30</v>
      </c>
      <c r="O284" s="1">
        <v>9</v>
      </c>
      <c r="P284" s="48">
        <v>9</v>
      </c>
      <c r="Q284" s="1">
        <v>0</v>
      </c>
      <c r="R284" s="1">
        <v>0</v>
      </c>
      <c r="S284" s="1">
        <v>2</v>
      </c>
      <c r="T284" s="1">
        <v>2</v>
      </c>
      <c r="U284" s="1">
        <v>1</v>
      </c>
      <c r="V284" s="1">
        <v>1</v>
      </c>
      <c r="W284" s="1">
        <v>0</v>
      </c>
      <c r="X284" s="1">
        <v>0</v>
      </c>
      <c r="Y284" s="1">
        <v>8</v>
      </c>
      <c r="Z284" s="3">
        <v>3.0769230769230771</v>
      </c>
      <c r="AA284" s="1">
        <v>12</v>
      </c>
      <c r="AB284" s="3">
        <v>9.2307692307692317</v>
      </c>
      <c r="AC284" s="1">
        <v>0</v>
      </c>
      <c r="AD284" s="3">
        <v>0</v>
      </c>
      <c r="AE284" s="1">
        <v>2</v>
      </c>
      <c r="AF284" s="3">
        <v>1.5384615384615385</v>
      </c>
      <c r="AG284" s="1">
        <v>7</v>
      </c>
      <c r="AH284" s="3">
        <v>5.384615384615385</v>
      </c>
      <c r="AI284" s="1" t="s">
        <v>22</v>
      </c>
      <c r="AJ284" s="1">
        <v>3</v>
      </c>
      <c r="AK284" s="3">
        <v>2.3076923076923079</v>
      </c>
      <c r="AL284" s="1">
        <v>3</v>
      </c>
      <c r="AM284" s="3">
        <v>2.3076923076923079</v>
      </c>
      <c r="AN284" s="1" t="s">
        <v>22</v>
      </c>
      <c r="AO284" s="1">
        <v>5</v>
      </c>
      <c r="AP284" s="3">
        <v>3.8461538461538463</v>
      </c>
      <c r="AQ284" s="3">
        <v>2</v>
      </c>
      <c r="AR284" s="3">
        <v>1.5384615384615385</v>
      </c>
      <c r="AS284" s="1">
        <v>13</v>
      </c>
      <c r="AT284" s="3">
        <v>10</v>
      </c>
      <c r="AU284" s="1">
        <v>3</v>
      </c>
      <c r="AV284" s="3">
        <v>2.3076923076923079</v>
      </c>
      <c r="AW284" s="1" t="s">
        <v>22</v>
      </c>
      <c r="AX284" s="1">
        <v>20</v>
      </c>
      <c r="AY284" s="1">
        <v>1</v>
      </c>
      <c r="AZ284" s="1">
        <v>1</v>
      </c>
      <c r="BA284" s="1">
        <v>40</v>
      </c>
      <c r="BB284" s="1">
        <v>2</v>
      </c>
      <c r="BC284" s="1">
        <v>2</v>
      </c>
      <c r="BD284" s="1">
        <v>1</v>
      </c>
      <c r="BE284" s="54">
        <v>0.76923076923076927</v>
      </c>
      <c r="BF284" s="6">
        <v>23</v>
      </c>
      <c r="BG284" s="6">
        <v>19</v>
      </c>
      <c r="BH284" s="1">
        <v>0</v>
      </c>
      <c r="BI284" s="6">
        <v>0</v>
      </c>
      <c r="BJ284" s="1" t="s">
        <v>22</v>
      </c>
      <c r="BK284" s="1" t="s">
        <v>22</v>
      </c>
      <c r="BL284" s="1" t="s">
        <v>22</v>
      </c>
      <c r="BM284" s="1" t="s">
        <v>22</v>
      </c>
      <c r="BN284" t="s">
        <v>24</v>
      </c>
      <c r="BO284">
        <v>2959</v>
      </c>
    </row>
    <row r="285" spans="1:67" x14ac:dyDescent="0.25">
      <c r="A285" s="4">
        <f>INT(Tabela1[[#This Row],[Data e Hora]])</f>
        <v>46288</v>
      </c>
      <c r="B285" s="4" t="str">
        <f>UPPER(TEXT(Tabela1[[#This Row],[Data Corrigida]],"MMM"))</f>
        <v>SET</v>
      </c>
      <c r="C285" s="57" t="s">
        <v>843</v>
      </c>
      <c r="D285" t="s">
        <v>844</v>
      </c>
      <c r="E285" t="s">
        <v>845</v>
      </c>
      <c r="F285" t="s">
        <v>19</v>
      </c>
      <c r="G285" s="5" t="s">
        <v>817</v>
      </c>
      <c r="H285" t="s">
        <v>20</v>
      </c>
      <c r="I285" t="s">
        <v>33</v>
      </c>
      <c r="J285" s="1">
        <v>141</v>
      </c>
      <c r="K285" s="1">
        <v>2731</v>
      </c>
      <c r="L285" t="s">
        <v>34</v>
      </c>
      <c r="M285" s="1">
        <v>20</v>
      </c>
      <c r="N285" s="48">
        <v>20</v>
      </c>
      <c r="O285" s="1">
        <v>4</v>
      </c>
      <c r="P285" s="48">
        <v>4</v>
      </c>
      <c r="Q285" s="1">
        <v>0</v>
      </c>
      <c r="R285" s="1">
        <v>0</v>
      </c>
      <c r="S285" s="1">
        <v>1</v>
      </c>
      <c r="T285" s="1">
        <v>1</v>
      </c>
      <c r="U285" s="1">
        <v>0</v>
      </c>
      <c r="V285" s="1">
        <v>0</v>
      </c>
      <c r="W285" s="1">
        <v>0</v>
      </c>
      <c r="X285" s="1">
        <v>0</v>
      </c>
      <c r="Y285" s="1">
        <v>2</v>
      </c>
      <c r="Z285" s="3">
        <v>0.70921985815602839</v>
      </c>
      <c r="AA285" s="1">
        <v>4</v>
      </c>
      <c r="AB285" s="3">
        <v>2.8368794326241136</v>
      </c>
      <c r="AC285" s="1">
        <v>0</v>
      </c>
      <c r="AD285" s="3">
        <v>0</v>
      </c>
      <c r="AE285" s="1">
        <v>1</v>
      </c>
      <c r="AF285" s="3">
        <v>0.70921985815602839</v>
      </c>
      <c r="AG285" s="1">
        <v>3</v>
      </c>
      <c r="AH285" s="3">
        <v>2.1276595744680851</v>
      </c>
      <c r="AI285" s="1" t="s">
        <v>22</v>
      </c>
      <c r="AJ285" s="1">
        <v>0</v>
      </c>
      <c r="AK285" s="3">
        <v>0</v>
      </c>
      <c r="AL285" s="1">
        <v>0</v>
      </c>
      <c r="AM285" s="3">
        <v>0</v>
      </c>
      <c r="AN285" s="1" t="s">
        <v>22</v>
      </c>
      <c r="AO285" s="1">
        <v>4</v>
      </c>
      <c r="AP285" s="3">
        <v>2.8368794326241136</v>
      </c>
      <c r="AQ285" s="3">
        <v>3</v>
      </c>
      <c r="AR285" s="3">
        <v>2.1276595744680851</v>
      </c>
      <c r="AS285" s="1">
        <v>6</v>
      </c>
      <c r="AT285" s="3">
        <v>4.2553191489361701</v>
      </c>
      <c r="AU285" s="1">
        <v>0</v>
      </c>
      <c r="AV285" s="3">
        <v>0</v>
      </c>
      <c r="AW285" s="1" t="s">
        <v>22</v>
      </c>
      <c r="AX285" s="1">
        <v>19</v>
      </c>
      <c r="AY285" s="1">
        <v>0</v>
      </c>
      <c r="AZ285" s="1">
        <v>0</v>
      </c>
      <c r="BA285" s="1">
        <v>38</v>
      </c>
      <c r="BB285" s="1">
        <v>0</v>
      </c>
      <c r="BC285" s="1">
        <v>0</v>
      </c>
      <c r="BD285" s="1">
        <v>0</v>
      </c>
      <c r="BE285" s="54">
        <v>0</v>
      </c>
      <c r="BF285" s="6">
        <v>20</v>
      </c>
      <c r="BG285" s="6">
        <v>17</v>
      </c>
      <c r="BH285" s="1">
        <v>0</v>
      </c>
      <c r="BI285" s="6">
        <v>0</v>
      </c>
      <c r="BJ285" s="1" t="s">
        <v>22</v>
      </c>
      <c r="BK285" s="6">
        <v>0</v>
      </c>
      <c r="BL285" s="6">
        <v>0</v>
      </c>
      <c r="BM285" s="1">
        <v>0</v>
      </c>
      <c r="BN285" t="s">
        <v>24</v>
      </c>
      <c r="BO285">
        <v>227</v>
      </c>
    </row>
    <row r="286" spans="1:67" x14ac:dyDescent="0.25">
      <c r="A286" s="4">
        <f>INT(Tabela1[[#This Row],[Data e Hora]])</f>
        <v>46288</v>
      </c>
      <c r="B286" s="4" t="str">
        <f>UPPER(TEXT(Tabela1[[#This Row],[Data Corrigida]],"MMM"))</f>
        <v>SET</v>
      </c>
      <c r="C286" t="s">
        <v>846</v>
      </c>
      <c r="D286" t="s">
        <v>847</v>
      </c>
      <c r="E286" t="s">
        <v>845</v>
      </c>
      <c r="F286" t="s">
        <v>19</v>
      </c>
      <c r="G286" s="5" t="s">
        <v>817</v>
      </c>
      <c r="H286" t="s">
        <v>20</v>
      </c>
      <c r="I286" t="s">
        <v>33</v>
      </c>
      <c r="J286" s="1">
        <v>145</v>
      </c>
      <c r="K286" s="1">
        <v>2820</v>
      </c>
      <c r="L286" t="s">
        <v>34</v>
      </c>
      <c r="M286" s="1">
        <v>21</v>
      </c>
      <c r="N286" s="48">
        <v>21</v>
      </c>
      <c r="O286" s="1">
        <v>10</v>
      </c>
      <c r="P286" s="48">
        <v>10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6</v>
      </c>
      <c r="Z286" s="3">
        <v>2.0689655172413794</v>
      </c>
      <c r="AA286" s="1">
        <v>8</v>
      </c>
      <c r="AB286" s="3">
        <v>5.5172413793103452</v>
      </c>
      <c r="AC286" s="1">
        <v>0</v>
      </c>
      <c r="AD286" s="3">
        <v>0</v>
      </c>
      <c r="AE286" s="1">
        <v>3</v>
      </c>
      <c r="AF286" s="3">
        <v>2.0689655172413794</v>
      </c>
      <c r="AG286" s="1">
        <v>2</v>
      </c>
      <c r="AH286" s="3">
        <v>1.3793103448275863</v>
      </c>
      <c r="AI286" s="1" t="s">
        <v>22</v>
      </c>
      <c r="AJ286" s="1">
        <v>1</v>
      </c>
      <c r="AK286" s="3">
        <v>0.68965517241379315</v>
      </c>
      <c r="AL286" s="1">
        <v>0</v>
      </c>
      <c r="AM286" s="3">
        <v>0</v>
      </c>
      <c r="AN286" s="1" t="s">
        <v>22</v>
      </c>
      <c r="AO286" s="1">
        <v>8</v>
      </c>
      <c r="AP286" s="3">
        <v>5.5172413793103452</v>
      </c>
      <c r="AQ286" s="3">
        <v>4</v>
      </c>
      <c r="AR286" s="3">
        <v>2.7586206896551726</v>
      </c>
      <c r="AS286" s="1">
        <v>5</v>
      </c>
      <c r="AT286" s="3">
        <v>3.4482758620689653</v>
      </c>
      <c r="AU286" s="1">
        <v>1</v>
      </c>
      <c r="AV286" s="3">
        <v>0.68965517241379315</v>
      </c>
      <c r="AW286" s="1" t="s">
        <v>22</v>
      </c>
      <c r="AX286" s="1">
        <v>20</v>
      </c>
      <c r="AY286" s="1">
        <v>0</v>
      </c>
      <c r="AZ286" s="1">
        <v>0</v>
      </c>
      <c r="BA286" s="1">
        <v>40</v>
      </c>
      <c r="BB286" s="1">
        <v>0</v>
      </c>
      <c r="BC286" s="1">
        <v>0</v>
      </c>
      <c r="BD286" s="1">
        <v>1</v>
      </c>
      <c r="BE286" s="54">
        <v>0.68965517241379315</v>
      </c>
      <c r="BF286" s="6">
        <v>23</v>
      </c>
      <c r="BG286" s="6">
        <v>14</v>
      </c>
      <c r="BH286" s="1">
        <v>0</v>
      </c>
      <c r="BI286" s="6">
        <v>0</v>
      </c>
      <c r="BJ286" s="1" t="s">
        <v>22</v>
      </c>
      <c r="BK286" s="6">
        <v>0</v>
      </c>
      <c r="BL286" s="6">
        <v>0</v>
      </c>
      <c r="BM286" s="1">
        <v>0</v>
      </c>
      <c r="BN286" t="s">
        <v>24</v>
      </c>
      <c r="BO286">
        <v>10475</v>
      </c>
    </row>
    <row r="287" spans="1:67" x14ac:dyDescent="0.25">
      <c r="A287" s="4">
        <f>INT(Tabela1[[#This Row],[Data e Hora]])</f>
        <v>46288</v>
      </c>
      <c r="B287" s="4" t="str">
        <f>UPPER(TEXT(Tabela1[[#This Row],[Data Corrigida]],"MMM"))</f>
        <v>SET</v>
      </c>
      <c r="C287" t="s">
        <v>848</v>
      </c>
      <c r="D287" t="s">
        <v>849</v>
      </c>
      <c r="E287" t="s">
        <v>845</v>
      </c>
      <c r="F287" t="s">
        <v>19</v>
      </c>
      <c r="G287" s="5" t="s">
        <v>817</v>
      </c>
      <c r="H287" t="s">
        <v>20</v>
      </c>
      <c r="I287" t="s">
        <v>33</v>
      </c>
      <c r="J287" s="1">
        <v>79</v>
      </c>
      <c r="K287" s="1">
        <v>2765</v>
      </c>
      <c r="L287" t="s">
        <v>34</v>
      </c>
      <c r="M287" s="1">
        <v>18</v>
      </c>
      <c r="N287" s="48">
        <v>18</v>
      </c>
      <c r="O287" s="1">
        <v>6</v>
      </c>
      <c r="P287" s="48">
        <v>6</v>
      </c>
      <c r="Q287" s="1">
        <v>0</v>
      </c>
      <c r="R287" s="1">
        <v>0</v>
      </c>
      <c r="S287" s="1">
        <v>1</v>
      </c>
      <c r="T287" s="1">
        <v>1</v>
      </c>
      <c r="U287" s="1">
        <v>0</v>
      </c>
      <c r="V287" s="1">
        <v>0</v>
      </c>
      <c r="W287" s="1">
        <v>0</v>
      </c>
      <c r="X287" s="1">
        <v>0</v>
      </c>
      <c r="Y287" s="1">
        <v>5</v>
      </c>
      <c r="Z287" s="3">
        <v>3.1645569620253164</v>
      </c>
      <c r="AA287" s="1">
        <v>1</v>
      </c>
      <c r="AB287" s="3">
        <v>1.2658227848101267</v>
      </c>
      <c r="AC287" s="1">
        <v>0</v>
      </c>
      <c r="AD287" s="3">
        <v>0</v>
      </c>
      <c r="AE287" s="1">
        <v>2</v>
      </c>
      <c r="AF287" s="3">
        <v>2.5316455696202533</v>
      </c>
      <c r="AG287" s="1">
        <v>0</v>
      </c>
      <c r="AH287" s="3">
        <v>0</v>
      </c>
      <c r="AI287" s="1" t="s">
        <v>22</v>
      </c>
      <c r="AJ287" s="1">
        <v>3</v>
      </c>
      <c r="AK287" s="3">
        <v>3.79746835443038</v>
      </c>
      <c r="AL287" s="1">
        <v>0</v>
      </c>
      <c r="AM287" s="3">
        <v>0</v>
      </c>
      <c r="AN287" s="1" t="s">
        <v>22</v>
      </c>
      <c r="AO287" s="1">
        <v>5</v>
      </c>
      <c r="AP287" s="3">
        <v>6.3291139240506329</v>
      </c>
      <c r="AQ287" s="3">
        <v>1</v>
      </c>
      <c r="AR287" s="3">
        <v>1.2658227848101267</v>
      </c>
      <c r="AS287" s="1">
        <v>4</v>
      </c>
      <c r="AT287" s="3">
        <v>5.0632911392405067</v>
      </c>
      <c r="AU287" s="1">
        <v>0</v>
      </c>
      <c r="AV287" s="3">
        <v>0</v>
      </c>
      <c r="AW287" s="1" t="s">
        <v>22</v>
      </c>
      <c r="AX287" s="1">
        <v>16</v>
      </c>
      <c r="AY287" s="1">
        <v>0</v>
      </c>
      <c r="AZ287" s="1">
        <v>0</v>
      </c>
      <c r="BA287" s="1">
        <v>32</v>
      </c>
      <c r="BB287" s="1">
        <v>0</v>
      </c>
      <c r="BC287" s="1">
        <v>0</v>
      </c>
      <c r="BD287" s="1">
        <v>0</v>
      </c>
      <c r="BE287" s="54">
        <v>0</v>
      </c>
      <c r="BF287" s="6">
        <v>25</v>
      </c>
      <c r="BG287" s="6">
        <v>17</v>
      </c>
      <c r="BH287" s="1">
        <v>0</v>
      </c>
      <c r="BI287" s="6">
        <v>0</v>
      </c>
      <c r="BJ287" s="1" t="s">
        <v>22</v>
      </c>
      <c r="BK287" s="6">
        <v>0</v>
      </c>
      <c r="BL287" s="6">
        <v>0</v>
      </c>
      <c r="BM287" s="1">
        <v>0</v>
      </c>
      <c r="BN287" t="s">
        <v>24</v>
      </c>
      <c r="BO287">
        <v>10966</v>
      </c>
    </row>
    <row r="288" spans="1:67" x14ac:dyDescent="0.25">
      <c r="A288" s="4">
        <f>INT(Tabela1[[#This Row],[Data e Hora]])</f>
        <v>46290</v>
      </c>
      <c r="B288" s="4" t="str">
        <f>UPPER(TEXT(Tabela1[[#This Row],[Data Corrigida]],"MMM"))</f>
        <v>SET</v>
      </c>
      <c r="C288" s="57" t="s">
        <v>850</v>
      </c>
      <c r="D288" t="s">
        <v>851</v>
      </c>
      <c r="E288" t="s">
        <v>852</v>
      </c>
      <c r="F288" t="s">
        <v>19</v>
      </c>
      <c r="G288" s="5" t="s">
        <v>853</v>
      </c>
      <c r="H288" t="s">
        <v>20</v>
      </c>
      <c r="I288" t="s">
        <v>33</v>
      </c>
      <c r="J288" s="1">
        <v>110</v>
      </c>
      <c r="K288" s="1">
        <v>2926</v>
      </c>
      <c r="L288" t="s">
        <v>34</v>
      </c>
      <c r="M288" s="1">
        <v>20</v>
      </c>
      <c r="N288" s="48">
        <v>20</v>
      </c>
      <c r="O288" s="1">
        <v>9</v>
      </c>
      <c r="P288" s="48">
        <v>9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5</v>
      </c>
      <c r="Z288" s="3">
        <v>2.2727272727272729</v>
      </c>
      <c r="AA288" s="1">
        <v>5</v>
      </c>
      <c r="AB288" s="3">
        <v>4.5454545454545459</v>
      </c>
      <c r="AC288" s="1">
        <v>0</v>
      </c>
      <c r="AD288" s="3">
        <v>0</v>
      </c>
      <c r="AE288" s="1">
        <v>1</v>
      </c>
      <c r="AF288" s="3">
        <v>0.90909090909090906</v>
      </c>
      <c r="AG288" s="1">
        <v>2</v>
      </c>
      <c r="AH288" s="3">
        <v>1.8181818181818181</v>
      </c>
      <c r="AI288" s="1" t="s">
        <v>22</v>
      </c>
      <c r="AJ288" s="1">
        <v>0</v>
      </c>
      <c r="AK288" s="3">
        <v>0</v>
      </c>
      <c r="AL288" s="1">
        <v>0</v>
      </c>
      <c r="AM288" s="3">
        <v>0</v>
      </c>
      <c r="AN288" s="1" t="s">
        <v>22</v>
      </c>
      <c r="AO288" s="1">
        <v>7</v>
      </c>
      <c r="AP288" s="3">
        <v>6.3636363636363633</v>
      </c>
      <c r="AQ288" s="3">
        <v>5</v>
      </c>
      <c r="AR288" s="3">
        <v>4.5454545454545459</v>
      </c>
      <c r="AS288" s="1">
        <v>6</v>
      </c>
      <c r="AT288" s="3">
        <v>5.4545454545454541</v>
      </c>
      <c r="AU288" s="1">
        <v>0</v>
      </c>
      <c r="AV288" s="3">
        <v>0</v>
      </c>
      <c r="AW288" s="1" t="s">
        <v>22</v>
      </c>
      <c r="AX288" s="1">
        <v>19</v>
      </c>
      <c r="AY288" s="1">
        <v>0</v>
      </c>
      <c r="AZ288" s="1">
        <v>0</v>
      </c>
      <c r="BA288" s="1">
        <v>38</v>
      </c>
      <c r="BB288" s="1">
        <v>0</v>
      </c>
      <c r="BC288" s="1">
        <v>0</v>
      </c>
      <c r="BD288" s="1">
        <v>0</v>
      </c>
      <c r="BE288" s="54">
        <v>0</v>
      </c>
      <c r="BF288" s="6">
        <v>20</v>
      </c>
      <c r="BG288" s="6">
        <v>18</v>
      </c>
      <c r="BH288" s="1">
        <v>0</v>
      </c>
      <c r="BI288" s="6">
        <v>0</v>
      </c>
      <c r="BJ288" s="1" t="s">
        <v>22</v>
      </c>
      <c r="BK288" s="6">
        <v>2</v>
      </c>
      <c r="BL288" s="6">
        <v>0</v>
      </c>
      <c r="BM288" s="1">
        <v>0</v>
      </c>
      <c r="BN288" t="s">
        <v>24</v>
      </c>
      <c r="BO288">
        <v>271</v>
      </c>
    </row>
    <row r="289" spans="1:67" x14ac:dyDescent="0.25">
      <c r="A289" s="4">
        <f>INT(Tabela1[[#This Row],[Data e Hora]])</f>
        <v>46290</v>
      </c>
      <c r="B289" s="4" t="str">
        <f>UPPER(TEXT(Tabela1[[#This Row],[Data Corrigida]],"MMM"))</f>
        <v>SET</v>
      </c>
      <c r="C289" t="s">
        <v>854</v>
      </c>
      <c r="D289" t="s">
        <v>855</v>
      </c>
      <c r="E289" t="s">
        <v>852</v>
      </c>
      <c r="F289" t="s">
        <v>19</v>
      </c>
      <c r="G289" s="5" t="s">
        <v>853</v>
      </c>
      <c r="H289" t="s">
        <v>20</v>
      </c>
      <c r="I289" t="s">
        <v>33</v>
      </c>
      <c r="J289" s="1">
        <v>79</v>
      </c>
      <c r="K289" s="1">
        <v>2926</v>
      </c>
      <c r="L289" t="s">
        <v>34</v>
      </c>
      <c r="M289" s="1">
        <v>25</v>
      </c>
      <c r="N289" s="48">
        <v>25</v>
      </c>
      <c r="O289" s="1">
        <v>8</v>
      </c>
      <c r="P289" s="48">
        <v>8</v>
      </c>
      <c r="Q289" s="1">
        <v>0</v>
      </c>
      <c r="R289" s="1">
        <v>0</v>
      </c>
      <c r="S289" s="1">
        <v>1</v>
      </c>
      <c r="T289" s="1">
        <v>1</v>
      </c>
      <c r="U289" s="1">
        <v>0</v>
      </c>
      <c r="V289" s="1">
        <v>0</v>
      </c>
      <c r="W289" s="1">
        <v>0</v>
      </c>
      <c r="X289" s="1">
        <v>0</v>
      </c>
      <c r="Y289" s="1">
        <v>4</v>
      </c>
      <c r="Z289" s="3">
        <v>2.5316455696202533</v>
      </c>
      <c r="AA289" s="1">
        <v>8</v>
      </c>
      <c r="AB289" s="3">
        <v>10.126582278481013</v>
      </c>
      <c r="AC289" s="1">
        <v>0</v>
      </c>
      <c r="AD289" s="3">
        <v>0</v>
      </c>
      <c r="AE289" s="1">
        <v>0</v>
      </c>
      <c r="AF289" s="3">
        <v>0</v>
      </c>
      <c r="AG289" s="1">
        <v>1</v>
      </c>
      <c r="AH289" s="3">
        <v>1.2658227848101267</v>
      </c>
      <c r="AI289" s="1" t="s">
        <v>22</v>
      </c>
      <c r="AJ289" s="1">
        <v>0</v>
      </c>
      <c r="AK289" s="3">
        <v>0</v>
      </c>
      <c r="AL289" s="1">
        <v>0</v>
      </c>
      <c r="AM289" s="3">
        <v>0</v>
      </c>
      <c r="AN289" s="1" t="s">
        <v>22</v>
      </c>
      <c r="AO289" s="1">
        <v>9</v>
      </c>
      <c r="AP289" s="3">
        <v>11.39240506329114</v>
      </c>
      <c r="AQ289" s="3">
        <v>3</v>
      </c>
      <c r="AR289" s="3">
        <v>3.79746835443038</v>
      </c>
      <c r="AS289" s="1">
        <v>7</v>
      </c>
      <c r="AT289" s="3">
        <v>8.8607594936708853</v>
      </c>
      <c r="AU289" s="1">
        <v>1</v>
      </c>
      <c r="AV289" s="3">
        <v>1.2658227848101267</v>
      </c>
      <c r="AW289" s="1" t="s">
        <v>22</v>
      </c>
      <c r="AX289" s="1">
        <v>20</v>
      </c>
      <c r="AY289" s="1">
        <v>0</v>
      </c>
      <c r="AZ289" s="1">
        <v>0</v>
      </c>
      <c r="BA289" s="1">
        <v>40</v>
      </c>
      <c r="BB289" s="1">
        <v>0</v>
      </c>
      <c r="BC289" s="1">
        <v>0</v>
      </c>
      <c r="BD289" s="1">
        <v>0</v>
      </c>
      <c r="BE289" s="54">
        <v>0</v>
      </c>
      <c r="BF289" s="6">
        <v>20</v>
      </c>
      <c r="BG289" s="6">
        <v>19</v>
      </c>
      <c r="BH289" s="1">
        <v>0</v>
      </c>
      <c r="BI289" s="6">
        <v>0</v>
      </c>
      <c r="BJ289" s="1" t="s">
        <v>22</v>
      </c>
      <c r="BK289" s="6">
        <v>8</v>
      </c>
      <c r="BL289" s="6">
        <v>0</v>
      </c>
      <c r="BM289" s="1">
        <v>0</v>
      </c>
      <c r="BN289" t="s">
        <v>24</v>
      </c>
      <c r="BO289">
        <v>7647</v>
      </c>
    </row>
    <row r="290" spans="1:67" x14ac:dyDescent="0.25">
      <c r="A290" s="4">
        <f>INT(Tabela1[[#This Row],[Data e Hora]])</f>
        <v>46290</v>
      </c>
      <c r="B290" s="4" t="str">
        <f>UPPER(TEXT(Tabela1[[#This Row],[Data Corrigida]],"MMM"))</f>
        <v>SET</v>
      </c>
      <c r="C290" t="s">
        <v>856</v>
      </c>
      <c r="D290" t="s">
        <v>857</v>
      </c>
      <c r="E290" t="s">
        <v>852</v>
      </c>
      <c r="F290" t="s">
        <v>19</v>
      </c>
      <c r="G290" s="5" t="s">
        <v>853</v>
      </c>
      <c r="H290" t="s">
        <v>20</v>
      </c>
      <c r="I290" t="s">
        <v>33</v>
      </c>
      <c r="J290" s="1">
        <v>130</v>
      </c>
      <c r="K290" s="1">
        <v>2908</v>
      </c>
      <c r="L290" t="s">
        <v>34</v>
      </c>
      <c r="M290" s="1">
        <v>22</v>
      </c>
      <c r="N290" s="48">
        <v>22</v>
      </c>
      <c r="O290" s="1">
        <v>10</v>
      </c>
      <c r="P290" s="48">
        <v>10</v>
      </c>
      <c r="Q290" s="1">
        <v>1</v>
      </c>
      <c r="R290" s="1">
        <v>10</v>
      </c>
      <c r="S290" s="1">
        <v>1</v>
      </c>
      <c r="T290" s="1">
        <v>1</v>
      </c>
      <c r="U290" s="1">
        <v>0</v>
      </c>
      <c r="V290" s="1">
        <v>0</v>
      </c>
      <c r="W290" s="1">
        <v>0</v>
      </c>
      <c r="X290" s="1">
        <v>0</v>
      </c>
      <c r="Y290" s="1">
        <v>4</v>
      </c>
      <c r="Z290" s="3">
        <v>1.5384615384615385</v>
      </c>
      <c r="AA290" s="1">
        <v>6</v>
      </c>
      <c r="AB290" s="3">
        <v>4.6153846153846159</v>
      </c>
      <c r="AC290" s="1">
        <v>1</v>
      </c>
      <c r="AD290" s="3">
        <v>0.76923076923076927</v>
      </c>
      <c r="AE290" s="1">
        <v>1</v>
      </c>
      <c r="AF290" s="3">
        <v>0.76923076923076927</v>
      </c>
      <c r="AG290" s="1">
        <v>2</v>
      </c>
      <c r="AH290" s="3">
        <v>1.5384615384615385</v>
      </c>
      <c r="AI290" s="1" t="s">
        <v>22</v>
      </c>
      <c r="AJ290" s="1">
        <v>1</v>
      </c>
      <c r="AK290" s="3">
        <v>0.76923076923076927</v>
      </c>
      <c r="AL290" s="1">
        <v>0</v>
      </c>
      <c r="AM290" s="3">
        <v>0</v>
      </c>
      <c r="AN290" s="1" t="s">
        <v>22</v>
      </c>
      <c r="AO290" s="1">
        <v>8</v>
      </c>
      <c r="AP290" s="3">
        <v>6.1538461538461542</v>
      </c>
      <c r="AQ290" s="3" t="s">
        <v>22</v>
      </c>
      <c r="AR290" s="3" t="s">
        <v>22</v>
      </c>
      <c r="AS290" s="1">
        <v>6</v>
      </c>
      <c r="AT290" s="3">
        <v>4.6153846153846159</v>
      </c>
      <c r="AU290" s="1">
        <v>0</v>
      </c>
      <c r="AV290" s="3">
        <v>0</v>
      </c>
      <c r="AW290" s="1" t="s">
        <v>22</v>
      </c>
      <c r="AX290" s="1">
        <v>19</v>
      </c>
      <c r="AY290" s="1">
        <v>0</v>
      </c>
      <c r="AZ290" s="1">
        <v>0</v>
      </c>
      <c r="BA290" s="1">
        <v>38</v>
      </c>
      <c r="BB290" s="1">
        <v>0</v>
      </c>
      <c r="BC290" s="1">
        <v>0</v>
      </c>
      <c r="BD290" s="1">
        <v>2</v>
      </c>
      <c r="BE290" s="54">
        <v>1.5384615384615385</v>
      </c>
      <c r="BF290" s="6">
        <v>26</v>
      </c>
      <c r="BG290" s="6">
        <v>24</v>
      </c>
      <c r="BH290" s="1">
        <v>0</v>
      </c>
      <c r="BI290" s="6">
        <v>0</v>
      </c>
      <c r="BJ290" s="1" t="s">
        <v>22</v>
      </c>
      <c r="BK290" s="6">
        <v>0</v>
      </c>
      <c r="BL290" s="6">
        <v>0</v>
      </c>
      <c r="BM290" s="1">
        <v>0</v>
      </c>
      <c r="BN290" t="s">
        <v>24</v>
      </c>
      <c r="BO290">
        <v>14736</v>
      </c>
    </row>
    <row r="291" spans="1:67" x14ac:dyDescent="0.25">
      <c r="A291" s="4">
        <f>INT(Tabela1[[#This Row],[Data e Hora]])</f>
        <v>46290</v>
      </c>
      <c r="B291" s="4" t="str">
        <f>UPPER(TEXT(Tabela1[[#This Row],[Data Corrigida]],"MMM"))</f>
        <v>SET</v>
      </c>
      <c r="C291" t="s">
        <v>858</v>
      </c>
      <c r="D291" t="s">
        <v>859</v>
      </c>
      <c r="E291" t="s">
        <v>860</v>
      </c>
      <c r="F291" t="s">
        <v>19</v>
      </c>
      <c r="G291" s="5" t="s">
        <v>853</v>
      </c>
      <c r="H291" t="s">
        <v>20</v>
      </c>
      <c r="I291" t="s">
        <v>21</v>
      </c>
      <c r="J291" s="1">
        <v>100</v>
      </c>
      <c r="K291" s="1">
        <v>3079</v>
      </c>
      <c r="L291" t="s">
        <v>23</v>
      </c>
      <c r="M291" s="1">
        <v>47</v>
      </c>
      <c r="N291" s="48">
        <v>47</v>
      </c>
      <c r="O291" s="1">
        <v>19</v>
      </c>
      <c r="P291" s="48">
        <v>19</v>
      </c>
      <c r="Q291" s="1">
        <v>0</v>
      </c>
      <c r="R291" s="1">
        <v>0</v>
      </c>
      <c r="S291" s="1">
        <v>3</v>
      </c>
      <c r="T291" s="1">
        <v>3</v>
      </c>
      <c r="U291" s="1">
        <v>1</v>
      </c>
      <c r="V291" s="1">
        <v>1</v>
      </c>
      <c r="W291" s="1">
        <v>0</v>
      </c>
      <c r="X291" s="1">
        <v>0</v>
      </c>
      <c r="Y291" s="1">
        <v>2</v>
      </c>
      <c r="Z291" s="3">
        <v>1</v>
      </c>
      <c r="AA291" s="1">
        <v>6</v>
      </c>
      <c r="AB291" s="3">
        <v>6</v>
      </c>
      <c r="AC291" s="1">
        <v>0</v>
      </c>
      <c r="AD291" s="3">
        <v>0</v>
      </c>
      <c r="AE291" s="1">
        <v>4</v>
      </c>
      <c r="AF291" s="3">
        <v>4</v>
      </c>
      <c r="AG291" s="1">
        <v>9</v>
      </c>
      <c r="AH291" s="3">
        <v>9</v>
      </c>
      <c r="AI291" s="1" t="s">
        <v>22</v>
      </c>
      <c r="AJ291" s="1">
        <v>6</v>
      </c>
      <c r="AK291" s="3">
        <v>6</v>
      </c>
      <c r="AL291" s="1">
        <v>2</v>
      </c>
      <c r="AM291" s="3">
        <v>2</v>
      </c>
      <c r="AN291" s="1" t="s">
        <v>22</v>
      </c>
      <c r="AO291" s="1">
        <v>12</v>
      </c>
      <c r="AP291" s="3">
        <v>12</v>
      </c>
      <c r="AQ291" s="3">
        <v>2</v>
      </c>
      <c r="AR291" s="3">
        <v>2</v>
      </c>
      <c r="AS291" s="1">
        <v>9</v>
      </c>
      <c r="AT291" s="3">
        <v>9</v>
      </c>
      <c r="AU291" s="1">
        <v>2</v>
      </c>
      <c r="AV291" s="3">
        <v>2</v>
      </c>
      <c r="AW291" s="1" t="s">
        <v>22</v>
      </c>
      <c r="AX291" s="1">
        <v>20</v>
      </c>
      <c r="AY291" s="1">
        <v>0</v>
      </c>
      <c r="AZ291" s="1">
        <v>0</v>
      </c>
      <c r="BA291" s="1">
        <v>40</v>
      </c>
      <c r="BB291" s="1">
        <v>0</v>
      </c>
      <c r="BC291" s="1">
        <v>0</v>
      </c>
      <c r="BD291" s="1">
        <v>0</v>
      </c>
      <c r="BE291" s="54">
        <v>0</v>
      </c>
      <c r="BF291" s="6">
        <v>25</v>
      </c>
      <c r="BG291" s="6">
        <v>23</v>
      </c>
      <c r="BH291" s="1">
        <v>1</v>
      </c>
      <c r="BI291" s="6">
        <v>10</v>
      </c>
      <c r="BJ291" s="1" t="s">
        <v>22</v>
      </c>
      <c r="BK291" s="1" t="s">
        <v>22</v>
      </c>
      <c r="BL291" s="1" t="s">
        <v>22</v>
      </c>
      <c r="BM291" s="1" t="s">
        <v>22</v>
      </c>
      <c r="BN291" t="s">
        <v>24</v>
      </c>
      <c r="BO291">
        <v>1861</v>
      </c>
    </row>
    <row r="292" spans="1:67" x14ac:dyDescent="0.25">
      <c r="A292" s="4">
        <f>INT(Tabela1[[#This Row],[Data e Hora]])</f>
        <v>46290</v>
      </c>
      <c r="B292" s="4" t="str">
        <f>UPPER(TEXT(Tabela1[[#This Row],[Data Corrigida]],"MMM"))</f>
        <v>SET</v>
      </c>
      <c r="C292" t="s">
        <v>861</v>
      </c>
      <c r="D292" t="s">
        <v>862</v>
      </c>
      <c r="E292" t="s">
        <v>860</v>
      </c>
      <c r="F292" t="s">
        <v>19</v>
      </c>
      <c r="G292" s="5" t="s">
        <v>853</v>
      </c>
      <c r="H292" t="s">
        <v>20</v>
      </c>
      <c r="I292" t="s">
        <v>21</v>
      </c>
      <c r="J292" s="1">
        <v>155</v>
      </c>
      <c r="K292" s="1">
        <v>3088</v>
      </c>
      <c r="L292" t="s">
        <v>23</v>
      </c>
      <c r="M292" s="1">
        <v>43</v>
      </c>
      <c r="N292" s="48">
        <v>43</v>
      </c>
      <c r="O292" s="1">
        <v>22</v>
      </c>
      <c r="P292" s="48">
        <v>22</v>
      </c>
      <c r="Q292" s="1">
        <v>0</v>
      </c>
      <c r="R292" s="1">
        <v>0</v>
      </c>
      <c r="S292" s="1">
        <v>2</v>
      </c>
      <c r="T292" s="1">
        <v>2</v>
      </c>
      <c r="U292" s="1">
        <v>1</v>
      </c>
      <c r="V292" s="1">
        <v>1</v>
      </c>
      <c r="W292" s="1">
        <v>0</v>
      </c>
      <c r="X292" s="1">
        <v>0</v>
      </c>
      <c r="Y292" s="1">
        <v>1</v>
      </c>
      <c r="Z292" s="3">
        <v>0.32258064516129031</v>
      </c>
      <c r="AA292" s="1">
        <v>9</v>
      </c>
      <c r="AB292" s="3">
        <v>5.806451612903226</v>
      </c>
      <c r="AC292" s="1">
        <v>0</v>
      </c>
      <c r="AD292" s="3">
        <v>0</v>
      </c>
      <c r="AE292" s="1">
        <v>5</v>
      </c>
      <c r="AF292" s="3">
        <v>3.225806451612903</v>
      </c>
      <c r="AG292" s="1">
        <v>10</v>
      </c>
      <c r="AH292" s="3">
        <v>6.4516129032258061</v>
      </c>
      <c r="AI292" s="1" t="s">
        <v>22</v>
      </c>
      <c r="AJ292" s="1">
        <v>8</v>
      </c>
      <c r="AK292" s="3">
        <v>5.161290322580645</v>
      </c>
      <c r="AL292" s="1">
        <v>3</v>
      </c>
      <c r="AM292" s="3">
        <v>1.935483870967742</v>
      </c>
      <c r="AN292" s="1" t="s">
        <v>22</v>
      </c>
      <c r="AO292" s="1">
        <v>12</v>
      </c>
      <c r="AP292" s="3">
        <v>7.741935483870968</v>
      </c>
      <c r="AQ292" s="3">
        <v>2</v>
      </c>
      <c r="AR292" s="3">
        <v>1.2903225806451613</v>
      </c>
      <c r="AS292" s="1">
        <v>11</v>
      </c>
      <c r="AT292" s="3">
        <v>7.096774193548387</v>
      </c>
      <c r="AU292" s="1">
        <v>4</v>
      </c>
      <c r="AV292" s="3">
        <v>2.5806451612903225</v>
      </c>
      <c r="AW292" s="1" t="s">
        <v>22</v>
      </c>
      <c r="AX292" s="1">
        <v>20</v>
      </c>
      <c r="AY292" s="1">
        <v>0</v>
      </c>
      <c r="AZ292" s="1">
        <v>0</v>
      </c>
      <c r="BA292" s="1">
        <v>40</v>
      </c>
      <c r="BB292" s="1">
        <v>0</v>
      </c>
      <c r="BC292" s="1">
        <v>0</v>
      </c>
      <c r="BD292" s="1">
        <v>0</v>
      </c>
      <c r="BE292" s="54">
        <v>0</v>
      </c>
      <c r="BF292" s="6">
        <v>25</v>
      </c>
      <c r="BG292" s="6">
        <v>19</v>
      </c>
      <c r="BH292" s="1">
        <v>0</v>
      </c>
      <c r="BI292" s="6">
        <v>0</v>
      </c>
      <c r="BJ292" s="1" t="s">
        <v>22</v>
      </c>
      <c r="BK292" s="6">
        <v>0</v>
      </c>
      <c r="BL292" s="6">
        <v>0</v>
      </c>
      <c r="BM292" s="1">
        <v>1</v>
      </c>
      <c r="BN292" t="s">
        <v>24</v>
      </c>
      <c r="BO292">
        <v>2519</v>
      </c>
    </row>
    <row r="293" spans="1:67" x14ac:dyDescent="0.25">
      <c r="A293" s="4">
        <f>INT(Tabela1[[#This Row],[Data e Hora]])</f>
        <v>46290</v>
      </c>
      <c r="B293" s="4" t="str">
        <f>UPPER(TEXT(Tabela1[[#This Row],[Data Corrigida]],"MMM"))</f>
        <v>SET</v>
      </c>
      <c r="C293" t="s">
        <v>863</v>
      </c>
      <c r="D293" t="s">
        <v>864</v>
      </c>
      <c r="E293" t="s">
        <v>865</v>
      </c>
      <c r="F293" t="s">
        <v>19</v>
      </c>
      <c r="G293" s="5" t="s">
        <v>853</v>
      </c>
      <c r="H293" t="s">
        <v>20</v>
      </c>
      <c r="I293" t="s">
        <v>21</v>
      </c>
      <c r="J293" s="1">
        <v>125</v>
      </c>
      <c r="K293" s="1">
        <v>3100</v>
      </c>
      <c r="L293" t="s">
        <v>23</v>
      </c>
      <c r="M293" s="1">
        <v>40</v>
      </c>
      <c r="N293" s="48">
        <v>40</v>
      </c>
      <c r="O293" s="1">
        <v>21</v>
      </c>
      <c r="P293" s="48">
        <v>21</v>
      </c>
      <c r="Q293" s="1">
        <v>0</v>
      </c>
      <c r="R293" s="1">
        <v>0</v>
      </c>
      <c r="S293" s="1">
        <v>2</v>
      </c>
      <c r="T293" s="1">
        <v>2</v>
      </c>
      <c r="U293" s="1">
        <v>1</v>
      </c>
      <c r="V293" s="1">
        <v>1</v>
      </c>
      <c r="W293" s="1">
        <v>0</v>
      </c>
      <c r="X293" s="1">
        <v>0</v>
      </c>
      <c r="Y293" s="1">
        <v>1</v>
      </c>
      <c r="Z293" s="3">
        <v>0.4</v>
      </c>
      <c r="AA293" s="1">
        <v>9</v>
      </c>
      <c r="AB293" s="3">
        <v>7.1999999999999993</v>
      </c>
      <c r="AC293" s="1">
        <v>0</v>
      </c>
      <c r="AD293" s="3">
        <v>0</v>
      </c>
      <c r="AE293" s="1">
        <v>4</v>
      </c>
      <c r="AF293" s="3">
        <v>3.2</v>
      </c>
      <c r="AG293" s="1">
        <v>8</v>
      </c>
      <c r="AH293" s="3">
        <v>6.4</v>
      </c>
      <c r="AI293" s="1" t="s">
        <v>22</v>
      </c>
      <c r="AJ293" s="1">
        <v>7</v>
      </c>
      <c r="AK293" s="3">
        <v>5.6000000000000005</v>
      </c>
      <c r="AL293" s="1">
        <v>2</v>
      </c>
      <c r="AM293" s="3">
        <v>1.6</v>
      </c>
      <c r="AN293" s="1" t="s">
        <v>22</v>
      </c>
      <c r="AO293" s="1">
        <v>13</v>
      </c>
      <c r="AP293" s="3">
        <v>10.4</v>
      </c>
      <c r="AQ293" s="3">
        <v>2</v>
      </c>
      <c r="AR293" s="3">
        <v>1.6</v>
      </c>
      <c r="AS293" s="1">
        <v>12</v>
      </c>
      <c r="AT293" s="3">
        <v>9.6</v>
      </c>
      <c r="AU293" s="1">
        <v>3</v>
      </c>
      <c r="AV293" s="3">
        <v>2.4</v>
      </c>
      <c r="AW293" s="1" t="s">
        <v>22</v>
      </c>
      <c r="AX293" s="1">
        <v>19</v>
      </c>
      <c r="AY293" s="1">
        <v>1</v>
      </c>
      <c r="AZ293" s="1">
        <v>1</v>
      </c>
      <c r="BA293" s="1">
        <v>38</v>
      </c>
      <c r="BB293" s="1">
        <v>2</v>
      </c>
      <c r="BC293" s="1">
        <v>2</v>
      </c>
      <c r="BD293" s="1">
        <v>0</v>
      </c>
      <c r="BE293" s="54">
        <v>0</v>
      </c>
      <c r="BF293" s="6">
        <v>22</v>
      </c>
      <c r="BG293" s="6">
        <v>17</v>
      </c>
      <c r="BH293" s="1">
        <v>1</v>
      </c>
      <c r="BI293" s="6">
        <v>10</v>
      </c>
      <c r="BJ293" s="1" t="s">
        <v>22</v>
      </c>
      <c r="BK293" s="6">
        <v>0</v>
      </c>
      <c r="BL293" s="6">
        <v>0</v>
      </c>
      <c r="BM293" s="1">
        <v>2</v>
      </c>
      <c r="BN293" t="s">
        <v>22</v>
      </c>
      <c r="BO293">
        <v>5985</v>
      </c>
    </row>
    <row r="294" spans="1:67" x14ac:dyDescent="0.25">
      <c r="A294" s="4">
        <f>INT(Tabela1[[#This Row],[Data e Hora]])</f>
        <v>46290</v>
      </c>
      <c r="B294" s="4" t="str">
        <f>UPPER(TEXT(Tabela1[[#This Row],[Data Corrigida]],"MMM"))</f>
        <v>SET</v>
      </c>
      <c r="C294" t="s">
        <v>866</v>
      </c>
      <c r="D294" t="s">
        <v>867</v>
      </c>
      <c r="E294" t="s">
        <v>865</v>
      </c>
      <c r="F294" t="s">
        <v>19</v>
      </c>
      <c r="G294" s="5" t="s">
        <v>853</v>
      </c>
      <c r="H294" t="s">
        <v>20</v>
      </c>
      <c r="I294" t="s">
        <v>21</v>
      </c>
      <c r="J294" s="1">
        <v>137</v>
      </c>
      <c r="K294" s="1">
        <v>3120</v>
      </c>
      <c r="L294" t="s">
        <v>23</v>
      </c>
      <c r="M294" s="1">
        <v>25</v>
      </c>
      <c r="N294" s="48">
        <v>25</v>
      </c>
      <c r="O294" s="1">
        <v>6</v>
      </c>
      <c r="P294" s="48">
        <v>6</v>
      </c>
      <c r="Q294" s="1">
        <v>0</v>
      </c>
      <c r="R294" s="1">
        <v>0</v>
      </c>
      <c r="S294" s="1">
        <v>3</v>
      </c>
      <c r="T294" s="1">
        <v>3</v>
      </c>
      <c r="U294" s="1">
        <v>1</v>
      </c>
      <c r="V294" s="1">
        <v>1</v>
      </c>
      <c r="W294" s="1">
        <v>0</v>
      </c>
      <c r="X294" s="1">
        <v>0</v>
      </c>
      <c r="Y294" s="1">
        <v>1</v>
      </c>
      <c r="Z294" s="3">
        <v>0.36496350364963503</v>
      </c>
      <c r="AA294" s="1">
        <v>7</v>
      </c>
      <c r="AB294" s="3">
        <v>5.1094890510948909</v>
      </c>
      <c r="AC294" s="1">
        <v>0</v>
      </c>
      <c r="AD294" s="3">
        <v>0</v>
      </c>
      <c r="AE294" s="1">
        <v>2</v>
      </c>
      <c r="AF294" s="3">
        <v>1.4598540145985401</v>
      </c>
      <c r="AG294" s="1">
        <v>7</v>
      </c>
      <c r="AH294" s="3">
        <v>5.1094890510948909</v>
      </c>
      <c r="AI294" s="1" t="s">
        <v>22</v>
      </c>
      <c r="AJ294" s="1">
        <v>5</v>
      </c>
      <c r="AK294" s="3">
        <v>3.6496350364963499</v>
      </c>
      <c r="AL294" s="1">
        <v>2</v>
      </c>
      <c r="AM294" s="3">
        <v>1.4598540145985401</v>
      </c>
      <c r="AN294" s="1" t="s">
        <v>22</v>
      </c>
      <c r="AO294" s="1">
        <v>7</v>
      </c>
      <c r="AP294" s="3">
        <v>5.1094890510948909</v>
      </c>
      <c r="AQ294" s="3">
        <v>1</v>
      </c>
      <c r="AR294" s="3">
        <v>0.72992700729927007</v>
      </c>
      <c r="AS294" s="1">
        <v>6</v>
      </c>
      <c r="AT294" s="3">
        <v>4.3795620437956204</v>
      </c>
      <c r="AU294" s="1">
        <v>2</v>
      </c>
      <c r="AV294" s="3">
        <v>1.4598540145985401</v>
      </c>
      <c r="AW294" s="1" t="s">
        <v>22</v>
      </c>
      <c r="AX294" s="1">
        <v>21</v>
      </c>
      <c r="AY294" s="1">
        <v>0</v>
      </c>
      <c r="AZ294" s="1">
        <v>0</v>
      </c>
      <c r="BA294" s="1">
        <v>42</v>
      </c>
      <c r="BB294" s="1">
        <v>0</v>
      </c>
      <c r="BC294" s="1">
        <v>0</v>
      </c>
      <c r="BD294" s="1">
        <v>0</v>
      </c>
      <c r="BE294" s="54">
        <v>0</v>
      </c>
      <c r="BF294" s="6">
        <v>15</v>
      </c>
      <c r="BG294" s="6">
        <v>19</v>
      </c>
      <c r="BH294" s="1">
        <v>1</v>
      </c>
      <c r="BI294" s="6">
        <v>10</v>
      </c>
      <c r="BJ294" s="1" t="s">
        <v>22</v>
      </c>
      <c r="BK294" s="1" t="s">
        <v>22</v>
      </c>
      <c r="BL294" s="1" t="s">
        <v>22</v>
      </c>
      <c r="BM294" s="1" t="s">
        <v>22</v>
      </c>
      <c r="BN294" t="s">
        <v>24</v>
      </c>
      <c r="BO294">
        <v>1829</v>
      </c>
    </row>
    <row r="295" spans="1:67" x14ac:dyDescent="0.25">
      <c r="A295" s="4">
        <f>INT(Tabela1[[#This Row],[Data e Hora]])</f>
        <v>46289</v>
      </c>
      <c r="B295" s="4" t="str">
        <f>UPPER(TEXT(Tabela1[[#This Row],[Data Corrigida]],"MMM"))</f>
        <v>SET</v>
      </c>
      <c r="C295" t="s">
        <v>868</v>
      </c>
      <c r="D295" t="s">
        <v>869</v>
      </c>
      <c r="E295" t="s">
        <v>870</v>
      </c>
      <c r="F295" t="s">
        <v>19</v>
      </c>
      <c r="G295" s="5" t="s">
        <v>871</v>
      </c>
      <c r="H295" t="s">
        <v>20</v>
      </c>
      <c r="I295" t="s">
        <v>33</v>
      </c>
      <c r="J295" s="1">
        <v>156</v>
      </c>
      <c r="K295" s="1">
        <v>3001</v>
      </c>
      <c r="L295" t="s">
        <v>34</v>
      </c>
      <c r="M295" s="1">
        <v>20</v>
      </c>
      <c r="N295" s="48">
        <v>20</v>
      </c>
      <c r="O295" s="1">
        <v>5</v>
      </c>
      <c r="P295" s="48">
        <v>5</v>
      </c>
      <c r="Q295" s="1">
        <v>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7</v>
      </c>
      <c r="Z295" s="3">
        <v>2.2435897435897436</v>
      </c>
      <c r="AA295" s="1">
        <v>4</v>
      </c>
      <c r="AB295" s="3">
        <v>2.5641025641025639</v>
      </c>
      <c r="AC295" s="1">
        <v>0</v>
      </c>
      <c r="AD295" s="3">
        <v>0</v>
      </c>
      <c r="AE295" s="1">
        <v>2</v>
      </c>
      <c r="AF295" s="3">
        <v>1.2820512820512819</v>
      </c>
      <c r="AG295" s="1">
        <v>2</v>
      </c>
      <c r="AH295" s="3">
        <v>1.2820512820512819</v>
      </c>
      <c r="AI295" s="1" t="s">
        <v>22</v>
      </c>
      <c r="AJ295" s="1">
        <v>0</v>
      </c>
      <c r="AK295" s="3">
        <v>0</v>
      </c>
      <c r="AL295" s="1">
        <v>0</v>
      </c>
      <c r="AM295" s="3">
        <v>0</v>
      </c>
      <c r="AN295" s="1" t="s">
        <v>22</v>
      </c>
      <c r="AO295" s="1">
        <v>5</v>
      </c>
      <c r="AP295" s="3">
        <v>3.2051282051282048</v>
      </c>
      <c r="AQ295" s="3">
        <v>5</v>
      </c>
      <c r="AR295" s="3">
        <v>3.2051282051282048</v>
      </c>
      <c r="AS295" s="1">
        <v>6</v>
      </c>
      <c r="AT295" s="3">
        <v>3.8461538461538463</v>
      </c>
      <c r="AU295" s="1">
        <v>1</v>
      </c>
      <c r="AV295" s="3">
        <v>0.64102564102564097</v>
      </c>
      <c r="AW295" s="1" t="s">
        <v>22</v>
      </c>
      <c r="AX295" s="1">
        <v>19</v>
      </c>
      <c r="AY295" s="1">
        <v>0</v>
      </c>
      <c r="AZ295" s="1">
        <v>0</v>
      </c>
      <c r="BA295" s="1">
        <v>38</v>
      </c>
      <c r="BB295" s="1">
        <v>0</v>
      </c>
      <c r="BC295" s="1">
        <v>0</v>
      </c>
      <c r="BD295" s="1">
        <v>0</v>
      </c>
      <c r="BE295" s="54">
        <v>0</v>
      </c>
      <c r="BF295" s="6">
        <v>20</v>
      </c>
      <c r="BG295" s="6">
        <v>16</v>
      </c>
      <c r="BH295" s="1">
        <v>0</v>
      </c>
      <c r="BI295" s="6">
        <v>0</v>
      </c>
      <c r="BJ295" s="1" t="s">
        <v>22</v>
      </c>
      <c r="BK295" s="6">
        <v>0</v>
      </c>
      <c r="BL295" s="6">
        <v>0</v>
      </c>
      <c r="BM295" s="1">
        <v>0</v>
      </c>
      <c r="BN295" t="s">
        <v>24</v>
      </c>
      <c r="BO295">
        <v>1177</v>
      </c>
    </row>
    <row r="296" spans="1:67" x14ac:dyDescent="0.25">
      <c r="A296" s="4">
        <f>INT(Tabela1[[#This Row],[Data e Hora]])</f>
        <v>46289</v>
      </c>
      <c r="B296" s="4" t="str">
        <f>UPPER(TEXT(Tabela1[[#This Row],[Data Corrigida]],"MMM"))</f>
        <v>SET</v>
      </c>
      <c r="C296" t="s">
        <v>872</v>
      </c>
      <c r="D296" t="s">
        <v>873</v>
      </c>
      <c r="E296" t="s">
        <v>870</v>
      </c>
      <c r="F296" t="s">
        <v>19</v>
      </c>
      <c r="G296" s="5" t="s">
        <v>871</v>
      </c>
      <c r="H296" t="s">
        <v>20</v>
      </c>
      <c r="I296" t="s">
        <v>33</v>
      </c>
      <c r="J296" s="1">
        <v>151</v>
      </c>
      <c r="K296" s="1">
        <v>3038</v>
      </c>
      <c r="L296" t="s">
        <v>34</v>
      </c>
      <c r="M296" s="1">
        <v>20</v>
      </c>
      <c r="N296" s="48">
        <v>20</v>
      </c>
      <c r="O296" s="1">
        <v>6</v>
      </c>
      <c r="P296" s="48">
        <v>6</v>
      </c>
      <c r="Q296" s="1">
        <v>0</v>
      </c>
      <c r="R296" s="1">
        <v>0</v>
      </c>
      <c r="S296" s="1">
        <v>1</v>
      </c>
      <c r="T296" s="1">
        <v>1</v>
      </c>
      <c r="U296" s="1">
        <v>0</v>
      </c>
      <c r="V296" s="1">
        <v>0</v>
      </c>
      <c r="W296" s="1">
        <v>0</v>
      </c>
      <c r="X296" s="1">
        <v>0</v>
      </c>
      <c r="Y296" s="1">
        <v>6</v>
      </c>
      <c r="Z296" s="3">
        <v>1.9867549668874174</v>
      </c>
      <c r="AA296" s="1">
        <v>11</v>
      </c>
      <c r="AB296" s="3">
        <v>7.2847682119205297</v>
      </c>
      <c r="AC296" s="1">
        <v>0</v>
      </c>
      <c r="AD296" s="3">
        <v>0</v>
      </c>
      <c r="AE296" s="1">
        <v>1</v>
      </c>
      <c r="AF296" s="3">
        <v>0.66225165562913912</v>
      </c>
      <c r="AG296" s="1">
        <v>2</v>
      </c>
      <c r="AH296" s="3">
        <v>1.3245033112582782</v>
      </c>
      <c r="AI296" s="1" t="s">
        <v>22</v>
      </c>
      <c r="AJ296" s="1">
        <v>0</v>
      </c>
      <c r="AK296" s="3">
        <v>0</v>
      </c>
      <c r="AL296" s="1">
        <v>0</v>
      </c>
      <c r="AM296" s="3">
        <v>0</v>
      </c>
      <c r="AN296" s="1" t="s">
        <v>22</v>
      </c>
      <c r="AO296" s="1">
        <v>8</v>
      </c>
      <c r="AP296" s="3">
        <v>5.298013245033113</v>
      </c>
      <c r="AQ296" s="3">
        <v>6</v>
      </c>
      <c r="AR296" s="3">
        <v>3.9735099337748347</v>
      </c>
      <c r="AS296" s="1">
        <v>6</v>
      </c>
      <c r="AT296" s="3">
        <v>3.9735099337748347</v>
      </c>
      <c r="AU296" s="1">
        <v>0</v>
      </c>
      <c r="AV296" s="3">
        <v>0</v>
      </c>
      <c r="AW296" s="1" t="s">
        <v>22</v>
      </c>
      <c r="AX296" s="1">
        <v>19</v>
      </c>
      <c r="AY296" s="1">
        <v>0</v>
      </c>
      <c r="AZ296" s="1">
        <v>0</v>
      </c>
      <c r="BA296" s="1">
        <v>38</v>
      </c>
      <c r="BB296" s="1">
        <v>0</v>
      </c>
      <c r="BC296" s="1">
        <v>0</v>
      </c>
      <c r="BD296" s="1">
        <v>0</v>
      </c>
      <c r="BE296" s="54">
        <v>0</v>
      </c>
      <c r="BF296" s="6">
        <v>16</v>
      </c>
      <c r="BG296" s="6">
        <v>15</v>
      </c>
      <c r="BH296" s="1">
        <v>0</v>
      </c>
      <c r="BI296" s="6">
        <v>0</v>
      </c>
      <c r="BJ296" s="1" t="s">
        <v>22</v>
      </c>
      <c r="BK296" s="6">
        <v>1</v>
      </c>
      <c r="BL296" s="6">
        <v>0</v>
      </c>
      <c r="BM296" s="1">
        <v>0</v>
      </c>
      <c r="BN296" t="s">
        <v>24</v>
      </c>
      <c r="BO296">
        <v>6645</v>
      </c>
    </row>
    <row r="297" spans="1:67" x14ac:dyDescent="0.25">
      <c r="A297" s="4">
        <f>INT(Tabela1[[#This Row],[Data e Hora]])</f>
        <v>46289</v>
      </c>
      <c r="B297" s="4" t="str">
        <f>UPPER(TEXT(Tabela1[[#This Row],[Data Corrigida]],"MMM"))</f>
        <v>SET</v>
      </c>
      <c r="C297" t="s">
        <v>874</v>
      </c>
      <c r="D297" t="s">
        <v>875</v>
      </c>
      <c r="E297" t="s">
        <v>876</v>
      </c>
      <c r="F297" t="s">
        <v>19</v>
      </c>
      <c r="G297" s="5" t="s">
        <v>871</v>
      </c>
      <c r="H297" t="s">
        <v>20</v>
      </c>
      <c r="I297" t="s">
        <v>33</v>
      </c>
      <c r="J297" s="1">
        <v>130</v>
      </c>
      <c r="K297" s="1">
        <v>2171</v>
      </c>
      <c r="L297" t="s">
        <v>34</v>
      </c>
      <c r="M297" s="1">
        <v>21</v>
      </c>
      <c r="N297" s="48">
        <v>21</v>
      </c>
      <c r="O297" s="1">
        <v>10</v>
      </c>
      <c r="P297" s="48">
        <v>10</v>
      </c>
      <c r="Q297" s="1">
        <v>0</v>
      </c>
      <c r="R297" s="1">
        <v>0</v>
      </c>
      <c r="S297" s="1">
        <v>1</v>
      </c>
      <c r="T297" s="1">
        <v>1</v>
      </c>
      <c r="U297" s="1">
        <v>0</v>
      </c>
      <c r="V297" s="1">
        <v>0</v>
      </c>
      <c r="W297" s="1">
        <v>1</v>
      </c>
      <c r="X297" s="1">
        <v>5</v>
      </c>
      <c r="Y297" s="1">
        <v>5</v>
      </c>
      <c r="Z297" s="3">
        <v>1.9230769230769231</v>
      </c>
      <c r="AA297" s="1">
        <v>1</v>
      </c>
      <c r="AB297" s="3">
        <v>0.76923076923076927</v>
      </c>
      <c r="AC297" s="1">
        <v>0</v>
      </c>
      <c r="AD297" s="3">
        <v>0</v>
      </c>
      <c r="AE297" s="1">
        <v>0</v>
      </c>
      <c r="AF297" s="3">
        <v>0</v>
      </c>
      <c r="AG297" s="1">
        <v>2</v>
      </c>
      <c r="AH297" s="3">
        <v>1.5384615384615385</v>
      </c>
      <c r="AI297" s="1" t="s">
        <v>22</v>
      </c>
      <c r="AJ297" s="1">
        <v>1</v>
      </c>
      <c r="AK297" s="3">
        <v>0.76923076923076927</v>
      </c>
      <c r="AL297" s="1">
        <v>0</v>
      </c>
      <c r="AM297" s="3">
        <v>0</v>
      </c>
      <c r="AN297" s="1" t="s">
        <v>22</v>
      </c>
      <c r="AO297" s="1">
        <v>8</v>
      </c>
      <c r="AP297" s="3">
        <v>6.1538461538461542</v>
      </c>
      <c r="AQ297" s="3">
        <v>10</v>
      </c>
      <c r="AR297" s="3">
        <v>7.6923076923076925</v>
      </c>
      <c r="AS297" s="1">
        <v>5</v>
      </c>
      <c r="AT297" s="3">
        <v>3.8461538461538463</v>
      </c>
      <c r="AU297" s="1">
        <v>0</v>
      </c>
      <c r="AV297" s="3">
        <v>0</v>
      </c>
      <c r="AW297" s="1" t="s">
        <v>22</v>
      </c>
      <c r="AX297" s="1">
        <v>20</v>
      </c>
      <c r="AY297" s="1">
        <v>0</v>
      </c>
      <c r="AZ297" s="1">
        <v>0</v>
      </c>
      <c r="BA297" s="1">
        <v>40</v>
      </c>
      <c r="BB297" s="1">
        <v>0</v>
      </c>
      <c r="BC297" s="1">
        <v>0</v>
      </c>
      <c r="BD297" s="1">
        <v>1</v>
      </c>
      <c r="BE297" s="54">
        <v>0.76923076923076927</v>
      </c>
      <c r="BF297" s="6">
        <v>16</v>
      </c>
      <c r="BG297" s="6">
        <v>12</v>
      </c>
      <c r="BH297" s="1">
        <v>0</v>
      </c>
      <c r="BI297" s="6">
        <v>0</v>
      </c>
      <c r="BJ297" s="1" t="s">
        <v>22</v>
      </c>
      <c r="BK297" s="6">
        <v>3</v>
      </c>
      <c r="BL297" s="6">
        <v>0</v>
      </c>
      <c r="BM297" s="1">
        <v>0</v>
      </c>
      <c r="BN297" t="s">
        <v>24</v>
      </c>
      <c r="BO297">
        <v>12039</v>
      </c>
    </row>
    <row r="298" spans="1:67" x14ac:dyDescent="0.25">
      <c r="A298" s="4">
        <f>INT(Tabela1[[#This Row],[Data e Hora]])</f>
        <v>46289</v>
      </c>
      <c r="B298" s="4" t="str">
        <f>UPPER(TEXT(Tabela1[[#This Row],[Data Corrigida]],"MMM"))</f>
        <v>SET</v>
      </c>
      <c r="C298" t="s">
        <v>877</v>
      </c>
      <c r="D298" t="s">
        <v>878</v>
      </c>
      <c r="E298" t="s">
        <v>879</v>
      </c>
      <c r="F298" t="s">
        <v>19</v>
      </c>
      <c r="G298" s="5" t="s">
        <v>871</v>
      </c>
      <c r="H298" t="s">
        <v>20</v>
      </c>
      <c r="I298" t="s">
        <v>21</v>
      </c>
      <c r="J298" s="1">
        <v>160</v>
      </c>
      <c r="K298" s="1">
        <v>3140</v>
      </c>
      <c r="L298" t="s">
        <v>23</v>
      </c>
      <c r="M298" s="1">
        <v>44</v>
      </c>
      <c r="N298" s="48">
        <v>44</v>
      </c>
      <c r="O298" s="1">
        <v>29</v>
      </c>
      <c r="P298" s="48">
        <v>28.999999999999996</v>
      </c>
      <c r="Q298" s="1">
        <v>0</v>
      </c>
      <c r="R298" s="1">
        <v>0</v>
      </c>
      <c r="S298" s="1">
        <v>4</v>
      </c>
      <c r="T298" s="1">
        <v>4</v>
      </c>
      <c r="U298" s="1">
        <v>1</v>
      </c>
      <c r="V298" s="1">
        <v>1</v>
      </c>
      <c r="W298" s="1">
        <v>0</v>
      </c>
      <c r="X298" s="1">
        <v>0</v>
      </c>
      <c r="Y298" s="1">
        <v>2</v>
      </c>
      <c r="Z298" s="3">
        <v>0.625</v>
      </c>
      <c r="AA298" s="1">
        <v>3</v>
      </c>
      <c r="AB298" s="3">
        <v>1.875</v>
      </c>
      <c r="AC298" s="1">
        <v>0</v>
      </c>
      <c r="AD298" s="3">
        <v>0</v>
      </c>
      <c r="AE298" s="1">
        <v>1</v>
      </c>
      <c r="AF298" s="3">
        <v>0.625</v>
      </c>
      <c r="AG298" s="1">
        <v>7</v>
      </c>
      <c r="AH298" s="3">
        <v>4.375</v>
      </c>
      <c r="AI298" s="1" t="s">
        <v>22</v>
      </c>
      <c r="AJ298" s="1">
        <v>6</v>
      </c>
      <c r="AK298" s="3">
        <v>3.75</v>
      </c>
      <c r="AL298" s="1">
        <v>2</v>
      </c>
      <c r="AM298" s="3">
        <v>1.25</v>
      </c>
      <c r="AN298" s="1" t="s">
        <v>22</v>
      </c>
      <c r="AO298" s="1">
        <v>9</v>
      </c>
      <c r="AP298" s="3">
        <v>5.625</v>
      </c>
      <c r="AQ298" s="3">
        <v>3</v>
      </c>
      <c r="AR298" s="3">
        <v>1.875</v>
      </c>
      <c r="AS298" s="1">
        <v>7</v>
      </c>
      <c r="AT298" s="3">
        <v>4.375</v>
      </c>
      <c r="AU298" s="1">
        <v>2</v>
      </c>
      <c r="AV298" s="3">
        <v>1.25</v>
      </c>
      <c r="AW298" s="1" t="s">
        <v>22</v>
      </c>
      <c r="AX298" s="1">
        <v>19</v>
      </c>
      <c r="AY298" s="1">
        <v>0</v>
      </c>
      <c r="AZ298" s="1">
        <v>0</v>
      </c>
      <c r="BA298" s="1">
        <v>38</v>
      </c>
      <c r="BB298" s="1">
        <v>0</v>
      </c>
      <c r="BC298" s="1">
        <v>0</v>
      </c>
      <c r="BD298" s="1">
        <v>0</v>
      </c>
      <c r="BE298" s="54">
        <v>0</v>
      </c>
      <c r="BF298" s="6">
        <v>22</v>
      </c>
      <c r="BG298" s="6">
        <v>21</v>
      </c>
      <c r="BH298" s="1">
        <v>1</v>
      </c>
      <c r="BI298" s="6">
        <v>10</v>
      </c>
      <c r="BJ298" s="1" t="s">
        <v>22</v>
      </c>
      <c r="BK298" s="1" t="s">
        <v>22</v>
      </c>
      <c r="BL298" s="1" t="s">
        <v>22</v>
      </c>
      <c r="BM298" s="1" t="s">
        <v>22</v>
      </c>
      <c r="BN298" t="s">
        <v>24</v>
      </c>
      <c r="BO298">
        <v>2863</v>
      </c>
    </row>
    <row r="299" spans="1:67" x14ac:dyDescent="0.25">
      <c r="A299" s="4">
        <f>INT(Tabela1[[#This Row],[Data e Hora]])</f>
        <v>46289</v>
      </c>
      <c r="B299" s="4" t="str">
        <f>UPPER(TEXT(Tabela1[[#This Row],[Data Corrigida]],"MMM"))</f>
        <v>SET</v>
      </c>
      <c r="C299" t="s">
        <v>880</v>
      </c>
      <c r="D299" t="s">
        <v>881</v>
      </c>
      <c r="E299" t="s">
        <v>879</v>
      </c>
      <c r="F299" t="s">
        <v>19</v>
      </c>
      <c r="G299" s="5" t="s">
        <v>871</v>
      </c>
      <c r="H299" t="s">
        <v>20</v>
      </c>
      <c r="I299" t="s">
        <v>21</v>
      </c>
      <c r="J299" s="1">
        <v>151</v>
      </c>
      <c r="K299" s="1">
        <v>3140</v>
      </c>
      <c r="L299" t="s">
        <v>23</v>
      </c>
      <c r="M299" s="1">
        <v>37</v>
      </c>
      <c r="N299" s="48">
        <v>37</v>
      </c>
      <c r="O299" s="1">
        <v>20</v>
      </c>
      <c r="P299" s="48">
        <v>20</v>
      </c>
      <c r="Q299" s="1">
        <v>0</v>
      </c>
      <c r="R299" s="1">
        <v>0</v>
      </c>
      <c r="S299" s="1">
        <v>4</v>
      </c>
      <c r="T299" s="1">
        <v>4</v>
      </c>
      <c r="U299" s="1">
        <v>1</v>
      </c>
      <c r="V299" s="1">
        <v>1</v>
      </c>
      <c r="W299" s="1">
        <v>0</v>
      </c>
      <c r="X299" s="1">
        <v>0</v>
      </c>
      <c r="Y299" s="1">
        <v>1</v>
      </c>
      <c r="Z299" s="3">
        <v>0.33112582781456956</v>
      </c>
      <c r="AA299" s="1">
        <v>5</v>
      </c>
      <c r="AB299" s="3">
        <v>3.3112582781456954</v>
      </c>
      <c r="AC299" s="1">
        <v>0</v>
      </c>
      <c r="AD299" s="3">
        <v>0</v>
      </c>
      <c r="AE299" s="1">
        <v>2</v>
      </c>
      <c r="AF299" s="3">
        <v>1.3245033112582782</v>
      </c>
      <c r="AG299" s="1">
        <v>6</v>
      </c>
      <c r="AH299" s="3">
        <v>3.9735099337748347</v>
      </c>
      <c r="AI299" s="1" t="s">
        <v>22</v>
      </c>
      <c r="AJ299" s="1">
        <v>5</v>
      </c>
      <c r="AK299" s="3">
        <v>3.3112582781456954</v>
      </c>
      <c r="AL299" s="1">
        <v>2</v>
      </c>
      <c r="AM299" s="3">
        <v>1.3245033112582782</v>
      </c>
      <c r="AN299" s="1" t="s">
        <v>22</v>
      </c>
      <c r="AO299" s="1">
        <v>13</v>
      </c>
      <c r="AP299" s="3">
        <v>8.6092715231788084</v>
      </c>
      <c r="AQ299" s="3">
        <v>3</v>
      </c>
      <c r="AR299" s="3">
        <v>1.9867549668874174</v>
      </c>
      <c r="AS299" s="1">
        <v>7</v>
      </c>
      <c r="AT299" s="3">
        <v>4.6357615894039732</v>
      </c>
      <c r="AU299" s="1">
        <v>2</v>
      </c>
      <c r="AV299" s="3">
        <v>1.3245033112582782</v>
      </c>
      <c r="AW299" s="1" t="s">
        <v>22</v>
      </c>
      <c r="AX299" s="1">
        <v>20</v>
      </c>
      <c r="AY299" s="1">
        <v>0</v>
      </c>
      <c r="AZ299" s="1">
        <v>0</v>
      </c>
      <c r="BA299" s="1">
        <v>40</v>
      </c>
      <c r="BB299" s="1">
        <v>0</v>
      </c>
      <c r="BC299" s="1">
        <v>0</v>
      </c>
      <c r="BD299" s="1">
        <v>1</v>
      </c>
      <c r="BE299" s="54">
        <v>0.66225165562913912</v>
      </c>
      <c r="BF299" s="6">
        <v>20</v>
      </c>
      <c r="BG299" s="6">
        <v>18</v>
      </c>
      <c r="BH299" s="1">
        <v>1</v>
      </c>
      <c r="BI299" s="6">
        <v>10</v>
      </c>
      <c r="BJ299" s="1" t="s">
        <v>22</v>
      </c>
      <c r="BK299" s="6">
        <v>2</v>
      </c>
      <c r="BL299" s="6">
        <v>0</v>
      </c>
      <c r="BM299" s="1">
        <v>1</v>
      </c>
      <c r="BN299" t="s">
        <v>24</v>
      </c>
      <c r="BO299">
        <v>2051</v>
      </c>
    </row>
    <row r="300" spans="1:67" x14ac:dyDescent="0.25">
      <c r="A300" s="4">
        <f>INT(Tabela1[[#This Row],[Data e Hora]])</f>
        <v>46289</v>
      </c>
      <c r="B300" s="4" t="str">
        <f>UPPER(TEXT(Tabela1[[#This Row],[Data Corrigida]],"MMM"))</f>
        <v>SET</v>
      </c>
      <c r="C300" t="s">
        <v>882</v>
      </c>
      <c r="D300" t="s">
        <v>883</v>
      </c>
      <c r="E300" t="s">
        <v>879</v>
      </c>
      <c r="F300" t="s">
        <v>19</v>
      </c>
      <c r="G300" s="5" t="s">
        <v>871</v>
      </c>
      <c r="H300" t="s">
        <v>20</v>
      </c>
      <c r="I300" t="s">
        <v>21</v>
      </c>
      <c r="J300" s="1">
        <v>151</v>
      </c>
      <c r="K300" s="1">
        <v>2937</v>
      </c>
      <c r="L300" t="s">
        <v>23</v>
      </c>
      <c r="M300" s="1">
        <v>37</v>
      </c>
      <c r="N300" s="48">
        <v>37</v>
      </c>
      <c r="O300" s="1">
        <v>8</v>
      </c>
      <c r="P300" s="48">
        <v>8</v>
      </c>
      <c r="Q300" s="1">
        <v>0</v>
      </c>
      <c r="R300" s="1">
        <v>0</v>
      </c>
      <c r="S300" s="1">
        <v>1</v>
      </c>
      <c r="T300" s="1">
        <v>1</v>
      </c>
      <c r="U300" s="1">
        <v>1</v>
      </c>
      <c r="V300" s="1">
        <v>1</v>
      </c>
      <c r="W300" s="1">
        <v>0</v>
      </c>
      <c r="X300" s="1">
        <v>0</v>
      </c>
      <c r="Y300" s="1">
        <v>1</v>
      </c>
      <c r="Z300" s="3">
        <v>0.33112582781456956</v>
      </c>
      <c r="AA300" s="1">
        <v>4</v>
      </c>
      <c r="AB300" s="3">
        <v>2.6490066225165565</v>
      </c>
      <c r="AC300" s="1">
        <v>0</v>
      </c>
      <c r="AD300" s="3">
        <v>0</v>
      </c>
      <c r="AE300" s="1">
        <v>2</v>
      </c>
      <c r="AF300" s="3">
        <v>1.3245033112582782</v>
      </c>
      <c r="AG300" s="1">
        <v>6</v>
      </c>
      <c r="AH300" s="3">
        <v>3.9735099337748347</v>
      </c>
      <c r="AI300" s="1" t="s">
        <v>22</v>
      </c>
      <c r="AJ300" s="1">
        <v>7</v>
      </c>
      <c r="AK300" s="3">
        <v>4.6357615894039732</v>
      </c>
      <c r="AL300" s="1">
        <v>2</v>
      </c>
      <c r="AM300" s="3">
        <v>1.3245033112582782</v>
      </c>
      <c r="AN300" s="1" t="s">
        <v>22</v>
      </c>
      <c r="AO300" s="1">
        <v>14</v>
      </c>
      <c r="AP300" s="3">
        <v>9.2715231788079464</v>
      </c>
      <c r="AQ300" s="3">
        <v>3</v>
      </c>
      <c r="AR300" s="3">
        <v>1.9867549668874174</v>
      </c>
      <c r="AS300" s="1">
        <v>6</v>
      </c>
      <c r="AT300" s="3">
        <v>3.9735099337748347</v>
      </c>
      <c r="AU300" s="1">
        <v>1</v>
      </c>
      <c r="AV300" s="3">
        <v>0.66225165562913912</v>
      </c>
      <c r="AW300" s="1" t="s">
        <v>22</v>
      </c>
      <c r="AX300" s="1">
        <v>19</v>
      </c>
      <c r="AY300" s="1">
        <v>0</v>
      </c>
      <c r="AZ300" s="1">
        <v>0</v>
      </c>
      <c r="BA300" s="1">
        <v>38</v>
      </c>
      <c r="BB300" s="1">
        <v>0</v>
      </c>
      <c r="BC300" s="1">
        <v>0</v>
      </c>
      <c r="BD300" s="1">
        <v>0</v>
      </c>
      <c r="BE300" s="54">
        <v>0</v>
      </c>
      <c r="BF300" s="6">
        <v>22</v>
      </c>
      <c r="BG300" s="6">
        <v>17</v>
      </c>
      <c r="BH300" s="1">
        <v>0</v>
      </c>
      <c r="BI300" s="6">
        <v>0</v>
      </c>
      <c r="BJ300" s="1" t="s">
        <v>22</v>
      </c>
      <c r="BK300" s="1" t="s">
        <v>22</v>
      </c>
      <c r="BL300" s="1" t="s">
        <v>22</v>
      </c>
      <c r="BM300" s="1" t="s">
        <v>22</v>
      </c>
      <c r="BN300" t="s">
        <v>24</v>
      </c>
      <c r="BO300">
        <v>2396</v>
      </c>
    </row>
    <row r="301" spans="1:67" x14ac:dyDescent="0.25">
      <c r="A301" s="4">
        <f>INT(Tabela1[[#This Row],[Data e Hora]])</f>
        <v>46289</v>
      </c>
      <c r="B301" s="4" t="str">
        <f>UPPER(TEXT(Tabela1[[#This Row],[Data Corrigida]],"MMM"))</f>
        <v>SET</v>
      </c>
      <c r="C301" t="s">
        <v>884</v>
      </c>
      <c r="D301" t="s">
        <v>885</v>
      </c>
      <c r="E301" t="s">
        <v>886</v>
      </c>
      <c r="F301" t="s">
        <v>19</v>
      </c>
      <c r="G301" s="5" t="s">
        <v>871</v>
      </c>
      <c r="H301" t="s">
        <v>20</v>
      </c>
      <c r="I301" t="s">
        <v>21</v>
      </c>
      <c r="J301" s="1">
        <v>161</v>
      </c>
      <c r="K301" s="1">
        <v>2937</v>
      </c>
      <c r="L301" t="s">
        <v>23</v>
      </c>
      <c r="M301" s="1">
        <v>41</v>
      </c>
      <c r="N301" s="48">
        <v>41</v>
      </c>
      <c r="O301" s="1">
        <v>22</v>
      </c>
      <c r="P301" s="48">
        <v>22</v>
      </c>
      <c r="Q301" s="1">
        <v>0</v>
      </c>
      <c r="R301" s="1">
        <v>0</v>
      </c>
      <c r="S301" s="1">
        <v>2</v>
      </c>
      <c r="T301" s="1">
        <v>2</v>
      </c>
      <c r="U301" s="1">
        <v>1</v>
      </c>
      <c r="V301" s="1">
        <v>1</v>
      </c>
      <c r="W301" s="1">
        <v>0</v>
      </c>
      <c r="X301" s="1">
        <v>0</v>
      </c>
      <c r="Y301" s="1">
        <v>1</v>
      </c>
      <c r="Z301" s="3">
        <v>0.3105590062111801</v>
      </c>
      <c r="AA301" s="1">
        <v>9</v>
      </c>
      <c r="AB301" s="3">
        <v>5.5900621118012426</v>
      </c>
      <c r="AC301" s="1">
        <v>0</v>
      </c>
      <c r="AD301" s="3">
        <v>0</v>
      </c>
      <c r="AE301" s="1">
        <v>2</v>
      </c>
      <c r="AF301" s="3">
        <v>1.2422360248447204</v>
      </c>
      <c r="AG301" s="1">
        <v>6</v>
      </c>
      <c r="AH301" s="3">
        <v>3.7267080745341614</v>
      </c>
      <c r="AI301" s="1" t="s">
        <v>22</v>
      </c>
      <c r="AJ301" s="1">
        <v>6</v>
      </c>
      <c r="AK301" s="3">
        <v>3.7267080745341614</v>
      </c>
      <c r="AL301" s="1">
        <v>2</v>
      </c>
      <c r="AM301" s="3">
        <v>1.2422360248447204</v>
      </c>
      <c r="AN301" s="1" t="s">
        <v>22</v>
      </c>
      <c r="AO301" s="1">
        <v>14</v>
      </c>
      <c r="AP301" s="3">
        <v>8.695652173913043</v>
      </c>
      <c r="AQ301" s="3">
        <v>3</v>
      </c>
      <c r="AR301" s="3">
        <v>1.8633540372670807</v>
      </c>
      <c r="AS301" s="1">
        <v>7</v>
      </c>
      <c r="AT301" s="3">
        <v>4.3478260869565215</v>
      </c>
      <c r="AU301" s="1">
        <v>2</v>
      </c>
      <c r="AV301" s="3">
        <v>1.2422360248447204</v>
      </c>
      <c r="AW301" s="1" t="s">
        <v>22</v>
      </c>
      <c r="AX301" s="1">
        <v>20</v>
      </c>
      <c r="AY301" s="1">
        <v>0</v>
      </c>
      <c r="AZ301" s="1">
        <v>0</v>
      </c>
      <c r="BA301" s="1">
        <v>40</v>
      </c>
      <c r="BB301" s="1">
        <v>0</v>
      </c>
      <c r="BC301" s="1">
        <v>0</v>
      </c>
      <c r="BD301" s="1">
        <v>0</v>
      </c>
      <c r="BE301" s="54">
        <v>0</v>
      </c>
      <c r="BF301" s="6">
        <v>14</v>
      </c>
      <c r="BG301" s="6">
        <v>9</v>
      </c>
      <c r="BH301" s="1">
        <v>0</v>
      </c>
      <c r="BI301" s="6">
        <v>0</v>
      </c>
      <c r="BJ301" s="1" t="s">
        <v>22</v>
      </c>
      <c r="BK301" s="1" t="s">
        <v>22</v>
      </c>
      <c r="BL301" s="1" t="s">
        <v>22</v>
      </c>
      <c r="BM301" s="1" t="s">
        <v>22</v>
      </c>
      <c r="BN301" t="s">
        <v>24</v>
      </c>
      <c r="BO301">
        <v>1403</v>
      </c>
    </row>
    <row r="302" spans="1:67" x14ac:dyDescent="0.25">
      <c r="A302" s="4">
        <f>INT(Tabela1[[#This Row],[Data e Hora]])</f>
        <v>46293</v>
      </c>
      <c r="B302" s="4" t="str">
        <f>UPPER(TEXT(Tabela1[[#This Row],[Data Corrigida]],"MMM"))</f>
        <v>SET</v>
      </c>
      <c r="C302" s="57" t="s">
        <v>887</v>
      </c>
      <c r="D302" t="s">
        <v>888</v>
      </c>
      <c r="E302" t="s">
        <v>889</v>
      </c>
      <c r="F302" t="s">
        <v>19</v>
      </c>
      <c r="G302" s="5" t="s">
        <v>890</v>
      </c>
      <c r="H302" t="s">
        <v>20</v>
      </c>
      <c r="I302" t="s">
        <v>33</v>
      </c>
      <c r="J302" s="1">
        <v>161</v>
      </c>
      <c r="K302" s="1">
        <v>3225</v>
      </c>
      <c r="L302" t="s">
        <v>34</v>
      </c>
      <c r="M302" s="1">
        <v>20</v>
      </c>
      <c r="N302" s="48">
        <v>20</v>
      </c>
      <c r="O302" s="1">
        <v>6</v>
      </c>
      <c r="P302" s="48">
        <v>6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5</v>
      </c>
      <c r="Z302" s="3">
        <v>1.5527950310559007</v>
      </c>
      <c r="AA302" s="1">
        <v>4</v>
      </c>
      <c r="AB302" s="3">
        <v>2.4844720496894408</v>
      </c>
      <c r="AC302" s="1">
        <v>0</v>
      </c>
      <c r="AD302" s="3">
        <v>0</v>
      </c>
      <c r="AE302" s="1">
        <v>2</v>
      </c>
      <c r="AF302" s="3">
        <v>1.2422360248447204</v>
      </c>
      <c r="AG302" s="1">
        <v>3</v>
      </c>
      <c r="AH302" s="3">
        <v>1.8633540372670807</v>
      </c>
      <c r="AI302" s="1" t="s">
        <v>22</v>
      </c>
      <c r="AJ302" s="1">
        <v>0</v>
      </c>
      <c r="AK302" s="3">
        <v>0</v>
      </c>
      <c r="AL302" s="1">
        <v>0</v>
      </c>
      <c r="AM302" s="3">
        <v>0</v>
      </c>
      <c r="AN302" s="1" t="s">
        <v>22</v>
      </c>
      <c r="AO302" s="1">
        <v>6</v>
      </c>
      <c r="AP302" s="3">
        <v>3.7267080745341614</v>
      </c>
      <c r="AQ302" s="3">
        <v>4</v>
      </c>
      <c r="AR302" s="3">
        <v>2.4844720496894408</v>
      </c>
      <c r="AS302" s="1">
        <v>6</v>
      </c>
      <c r="AT302" s="3">
        <v>3.7267080745341614</v>
      </c>
      <c r="AU302" s="1">
        <v>0</v>
      </c>
      <c r="AV302" s="3">
        <v>0</v>
      </c>
      <c r="AW302" s="1" t="s">
        <v>22</v>
      </c>
      <c r="AX302" s="1">
        <v>18</v>
      </c>
      <c r="AY302" s="1">
        <v>0</v>
      </c>
      <c r="AZ302" s="1">
        <v>0</v>
      </c>
      <c r="BA302" s="1">
        <v>36</v>
      </c>
      <c r="BB302" s="1">
        <v>0</v>
      </c>
      <c r="BC302" s="1">
        <v>0</v>
      </c>
      <c r="BD302" s="1">
        <v>0</v>
      </c>
      <c r="BE302" s="54">
        <v>0</v>
      </c>
      <c r="BF302" s="6">
        <v>20</v>
      </c>
      <c r="BG302" s="6">
        <v>18</v>
      </c>
      <c r="BH302" s="1">
        <v>0</v>
      </c>
      <c r="BI302" s="6">
        <v>0</v>
      </c>
      <c r="BJ302" s="1" t="s">
        <v>22</v>
      </c>
      <c r="BK302" s="6">
        <v>0</v>
      </c>
      <c r="BL302" s="6">
        <v>0</v>
      </c>
      <c r="BM302" s="1">
        <v>0</v>
      </c>
      <c r="BN302" t="s">
        <v>24</v>
      </c>
      <c r="BO302">
        <v>3787</v>
      </c>
    </row>
    <row r="303" spans="1:67" x14ac:dyDescent="0.25">
      <c r="A303" s="4">
        <f>INT(Tabela1[[#This Row],[Data e Hora]])</f>
        <v>46293</v>
      </c>
      <c r="B303" s="4" t="str">
        <f>UPPER(TEXT(Tabela1[[#This Row],[Data Corrigida]],"MMM"))</f>
        <v>SET</v>
      </c>
      <c r="C303" t="s">
        <v>891</v>
      </c>
      <c r="D303" t="s">
        <v>892</v>
      </c>
      <c r="E303" t="s">
        <v>889</v>
      </c>
      <c r="F303" t="s">
        <v>19</v>
      </c>
      <c r="G303" s="5" t="s">
        <v>890</v>
      </c>
      <c r="H303" t="s">
        <v>20</v>
      </c>
      <c r="I303" t="s">
        <v>33</v>
      </c>
      <c r="J303" s="1">
        <v>79</v>
      </c>
      <c r="K303" s="1">
        <v>3390</v>
      </c>
      <c r="L303" t="s">
        <v>34</v>
      </c>
      <c r="M303" s="1">
        <v>17</v>
      </c>
      <c r="N303" s="48">
        <v>17</v>
      </c>
      <c r="O303" s="1">
        <v>16</v>
      </c>
      <c r="P303" s="48">
        <v>16</v>
      </c>
      <c r="Q303" s="1">
        <v>0</v>
      </c>
      <c r="R303" s="1">
        <v>0</v>
      </c>
      <c r="S303" s="1">
        <v>1</v>
      </c>
      <c r="T303" s="1">
        <v>1</v>
      </c>
      <c r="U303" s="1">
        <v>0</v>
      </c>
      <c r="V303" s="1">
        <v>0</v>
      </c>
      <c r="W303" s="1">
        <v>1</v>
      </c>
      <c r="X303" s="1">
        <v>5</v>
      </c>
      <c r="Y303" s="1">
        <v>5</v>
      </c>
      <c r="Z303" s="3">
        <v>3.1645569620253164</v>
      </c>
      <c r="AA303" s="1">
        <v>5</v>
      </c>
      <c r="AB303" s="3">
        <v>6.3291139240506329</v>
      </c>
      <c r="AC303" s="1">
        <v>0</v>
      </c>
      <c r="AD303" s="3">
        <v>0</v>
      </c>
      <c r="AE303" s="1">
        <v>3</v>
      </c>
      <c r="AF303" s="3">
        <v>3.79746835443038</v>
      </c>
      <c r="AG303" s="1">
        <v>2</v>
      </c>
      <c r="AH303" s="3">
        <v>2.5316455696202533</v>
      </c>
      <c r="AI303" s="1" t="s">
        <v>22</v>
      </c>
      <c r="AJ303" s="1">
        <v>1</v>
      </c>
      <c r="AK303" s="3">
        <v>1.2658227848101267</v>
      </c>
      <c r="AL303" s="1">
        <v>0</v>
      </c>
      <c r="AM303" s="3">
        <v>0</v>
      </c>
      <c r="AN303" s="1" t="s">
        <v>22</v>
      </c>
      <c r="AO303" s="1">
        <v>11</v>
      </c>
      <c r="AP303" s="3">
        <v>13.924050632911392</v>
      </c>
      <c r="AQ303" s="3">
        <v>5</v>
      </c>
      <c r="AR303" s="3">
        <v>6.3291139240506329</v>
      </c>
      <c r="AS303" s="1">
        <v>6</v>
      </c>
      <c r="AT303" s="3">
        <v>7.59493670886076</v>
      </c>
      <c r="AU303" s="1">
        <v>0</v>
      </c>
      <c r="AV303" s="3">
        <v>0</v>
      </c>
      <c r="AW303" s="1" t="s">
        <v>22</v>
      </c>
      <c r="AX303" s="1">
        <v>19</v>
      </c>
      <c r="AY303" s="1">
        <v>0</v>
      </c>
      <c r="AZ303" s="1">
        <v>0</v>
      </c>
      <c r="BA303" s="1">
        <v>38</v>
      </c>
      <c r="BB303" s="1">
        <v>0</v>
      </c>
      <c r="BC303" s="1">
        <v>0</v>
      </c>
      <c r="BD303" s="1">
        <v>0</v>
      </c>
      <c r="BE303" s="54">
        <v>0</v>
      </c>
      <c r="BF303" s="6">
        <v>19</v>
      </c>
      <c r="BG303" s="6">
        <v>17</v>
      </c>
      <c r="BH303" s="1">
        <v>0</v>
      </c>
      <c r="BI303" s="6">
        <v>0</v>
      </c>
      <c r="BJ303" s="1" t="s">
        <v>22</v>
      </c>
      <c r="BK303" s="6">
        <v>1</v>
      </c>
      <c r="BL303" s="6">
        <v>0</v>
      </c>
      <c r="BM303" s="1">
        <v>0</v>
      </c>
      <c r="BN303" t="s">
        <v>24</v>
      </c>
      <c r="BO303">
        <v>10785</v>
      </c>
    </row>
    <row r="304" spans="1:67" x14ac:dyDescent="0.25">
      <c r="A304" s="4">
        <f>INT(Tabela1[[#This Row],[Data e Hora]])</f>
        <v>46293</v>
      </c>
      <c r="B304" s="4" t="str">
        <f>UPPER(TEXT(Tabela1[[#This Row],[Data Corrigida]],"MMM"))</f>
        <v>SET</v>
      </c>
      <c r="C304" t="s">
        <v>893</v>
      </c>
      <c r="D304" t="s">
        <v>894</v>
      </c>
      <c r="E304" t="s">
        <v>895</v>
      </c>
      <c r="F304" t="s">
        <v>19</v>
      </c>
      <c r="G304" s="5" t="s">
        <v>890</v>
      </c>
      <c r="H304" t="s">
        <v>20</v>
      </c>
      <c r="I304" t="s">
        <v>33</v>
      </c>
      <c r="J304" s="1">
        <v>130</v>
      </c>
      <c r="K304" s="1">
        <v>3231</v>
      </c>
      <c r="L304" t="s">
        <v>34</v>
      </c>
      <c r="M304" s="1">
        <v>16</v>
      </c>
      <c r="N304" s="48">
        <v>16</v>
      </c>
      <c r="O304" s="1">
        <v>6</v>
      </c>
      <c r="P304" s="48">
        <v>6</v>
      </c>
      <c r="Q304" s="1">
        <v>0</v>
      </c>
      <c r="R304" s="1">
        <v>0</v>
      </c>
      <c r="S304" s="1">
        <v>3</v>
      </c>
      <c r="T304" s="1">
        <v>3</v>
      </c>
      <c r="U304" s="1">
        <v>2</v>
      </c>
      <c r="V304" s="1">
        <v>2</v>
      </c>
      <c r="W304" s="1">
        <v>1</v>
      </c>
      <c r="X304" s="1">
        <v>5</v>
      </c>
      <c r="Y304" s="1">
        <v>4</v>
      </c>
      <c r="Z304" s="3">
        <v>1.5384615384615385</v>
      </c>
      <c r="AA304" s="1">
        <v>5</v>
      </c>
      <c r="AB304" s="3">
        <v>3.8461538461538463</v>
      </c>
      <c r="AC304" s="1">
        <v>0</v>
      </c>
      <c r="AD304" s="3">
        <v>0</v>
      </c>
      <c r="AE304" s="1">
        <v>1</v>
      </c>
      <c r="AF304" s="3">
        <v>0.76923076923076927</v>
      </c>
      <c r="AG304" s="1">
        <v>2</v>
      </c>
      <c r="AH304" s="3">
        <v>1.5384615384615385</v>
      </c>
      <c r="AI304" s="1" t="s">
        <v>22</v>
      </c>
      <c r="AJ304" s="1">
        <v>0</v>
      </c>
      <c r="AK304" s="3">
        <v>0</v>
      </c>
      <c r="AL304" s="1">
        <v>0</v>
      </c>
      <c r="AM304" s="3">
        <v>0</v>
      </c>
      <c r="AN304" s="1" t="s">
        <v>22</v>
      </c>
      <c r="AO304" s="1">
        <v>8</v>
      </c>
      <c r="AP304" s="3">
        <v>6.1538461538461542</v>
      </c>
      <c r="AQ304" s="3">
        <v>5</v>
      </c>
      <c r="AR304" s="3">
        <v>3.8461538461538463</v>
      </c>
      <c r="AS304" s="1">
        <v>6</v>
      </c>
      <c r="AT304" s="3">
        <v>4.6153846153846159</v>
      </c>
      <c r="AU304" s="1">
        <v>1</v>
      </c>
      <c r="AV304" s="3">
        <v>0.76923076923076927</v>
      </c>
      <c r="AW304" s="1" t="s">
        <v>22</v>
      </c>
      <c r="AX304" s="1">
        <v>19</v>
      </c>
      <c r="AY304" s="1">
        <v>0</v>
      </c>
      <c r="AZ304" s="1">
        <v>0</v>
      </c>
      <c r="BA304" s="1">
        <v>38</v>
      </c>
      <c r="BB304" s="1">
        <v>0</v>
      </c>
      <c r="BC304" s="1">
        <v>0</v>
      </c>
      <c r="BD304" s="1">
        <v>0</v>
      </c>
      <c r="BE304" s="54">
        <v>0</v>
      </c>
      <c r="BF304" s="6">
        <v>20</v>
      </c>
      <c r="BG304" s="6">
        <v>19</v>
      </c>
      <c r="BH304" s="1">
        <v>0</v>
      </c>
      <c r="BI304" s="6">
        <v>0</v>
      </c>
      <c r="BJ304" s="1" t="s">
        <v>22</v>
      </c>
      <c r="BK304" s="6">
        <v>2</v>
      </c>
      <c r="BL304" s="6">
        <v>0</v>
      </c>
      <c r="BM304" s="1">
        <v>0</v>
      </c>
      <c r="BN304" t="s">
        <v>24</v>
      </c>
      <c r="BO304">
        <v>10054</v>
      </c>
    </row>
    <row r="305" spans="1:67" x14ac:dyDescent="0.25">
      <c r="A305" s="4">
        <f>INT(Tabela1[[#This Row],[Data e Hora]])</f>
        <v>46293</v>
      </c>
      <c r="B305" s="4" t="str">
        <f>UPPER(TEXT(Tabela1[[#This Row],[Data Corrigida]],"MMM"))</f>
        <v>SET</v>
      </c>
      <c r="C305" t="s">
        <v>896</v>
      </c>
      <c r="D305" t="s">
        <v>897</v>
      </c>
      <c r="E305" t="s">
        <v>898</v>
      </c>
      <c r="F305" t="s">
        <v>19</v>
      </c>
      <c r="G305" s="5" t="s">
        <v>890</v>
      </c>
      <c r="H305" t="s">
        <v>20</v>
      </c>
      <c r="I305" t="s">
        <v>21</v>
      </c>
      <c r="J305" s="1">
        <v>120</v>
      </c>
      <c r="K305" s="1">
        <v>3298</v>
      </c>
      <c r="L305" t="s">
        <v>23</v>
      </c>
      <c r="M305" s="1">
        <v>39</v>
      </c>
      <c r="N305" s="48">
        <v>39</v>
      </c>
      <c r="O305" s="1">
        <v>18</v>
      </c>
      <c r="P305" s="48">
        <v>18</v>
      </c>
      <c r="Q305" s="1">
        <v>0</v>
      </c>
      <c r="R305" s="1">
        <v>0</v>
      </c>
      <c r="S305" s="1">
        <v>3</v>
      </c>
      <c r="T305" s="1">
        <v>3</v>
      </c>
      <c r="U305" s="1">
        <v>1</v>
      </c>
      <c r="V305" s="1">
        <v>1</v>
      </c>
      <c r="W305" s="1">
        <v>0</v>
      </c>
      <c r="X305" s="1">
        <v>0</v>
      </c>
      <c r="Y305" s="1">
        <v>4</v>
      </c>
      <c r="Z305" s="3">
        <v>1.6666666666666667</v>
      </c>
      <c r="AA305" s="1">
        <v>2</v>
      </c>
      <c r="AB305" s="3">
        <v>1.6666666666666667</v>
      </c>
      <c r="AC305" s="1">
        <v>0</v>
      </c>
      <c r="AD305" s="3">
        <v>0</v>
      </c>
      <c r="AE305" s="1">
        <v>1</v>
      </c>
      <c r="AF305" s="3">
        <v>0.83333333333333337</v>
      </c>
      <c r="AG305" s="1">
        <v>4</v>
      </c>
      <c r="AH305" s="3">
        <v>3.3333333333333335</v>
      </c>
      <c r="AI305" s="1" t="s">
        <v>22</v>
      </c>
      <c r="AJ305" s="1">
        <v>7</v>
      </c>
      <c r="AK305" s="3">
        <v>5.833333333333333</v>
      </c>
      <c r="AL305" s="1">
        <v>2</v>
      </c>
      <c r="AM305" s="3">
        <v>1.6666666666666667</v>
      </c>
      <c r="AN305" s="1" t="s">
        <v>22</v>
      </c>
      <c r="AO305" s="1">
        <v>11</v>
      </c>
      <c r="AP305" s="3">
        <v>9.1666666666666661</v>
      </c>
      <c r="AQ305" s="3">
        <v>2</v>
      </c>
      <c r="AR305" s="3">
        <v>1.6666666666666667</v>
      </c>
      <c r="AS305" s="1">
        <v>7</v>
      </c>
      <c r="AT305" s="3">
        <v>5.833333333333333</v>
      </c>
      <c r="AU305" s="1">
        <v>2</v>
      </c>
      <c r="AV305" s="3">
        <v>1.6666666666666667</v>
      </c>
      <c r="AW305" s="1" t="s">
        <v>22</v>
      </c>
      <c r="AX305" s="1">
        <v>20</v>
      </c>
      <c r="AY305" s="1">
        <v>0</v>
      </c>
      <c r="AZ305" s="1">
        <v>0</v>
      </c>
      <c r="BA305" s="1">
        <v>40</v>
      </c>
      <c r="BB305" s="1">
        <v>0</v>
      </c>
      <c r="BC305" s="1">
        <v>0</v>
      </c>
      <c r="BD305" s="1">
        <v>1</v>
      </c>
      <c r="BE305" s="54">
        <v>0.83333333333333337</v>
      </c>
      <c r="BF305" s="6">
        <v>19</v>
      </c>
      <c r="BG305" s="6">
        <v>21</v>
      </c>
      <c r="BH305" s="1">
        <v>1</v>
      </c>
      <c r="BI305" s="6">
        <v>10</v>
      </c>
      <c r="BJ305" s="1" t="s">
        <v>22</v>
      </c>
      <c r="BK305" s="1" t="s">
        <v>22</v>
      </c>
      <c r="BL305" s="1" t="s">
        <v>22</v>
      </c>
      <c r="BM305" s="1" t="s">
        <v>22</v>
      </c>
      <c r="BN305" t="s">
        <v>24</v>
      </c>
      <c r="BO305">
        <v>1697</v>
      </c>
    </row>
    <row r="306" spans="1:67" x14ac:dyDescent="0.25">
      <c r="A306" s="4">
        <f>INT(Tabela1[[#This Row],[Data e Hora]])</f>
        <v>46293</v>
      </c>
      <c r="B306" s="4" t="str">
        <f>UPPER(TEXT(Tabela1[[#This Row],[Data Corrigida]],"MMM"))</f>
        <v>SET</v>
      </c>
      <c r="C306" t="s">
        <v>899</v>
      </c>
      <c r="D306" t="s">
        <v>900</v>
      </c>
      <c r="E306" t="s">
        <v>901</v>
      </c>
      <c r="F306" t="s">
        <v>19</v>
      </c>
      <c r="G306" s="5" t="s">
        <v>890</v>
      </c>
      <c r="H306" t="s">
        <v>20</v>
      </c>
      <c r="I306" t="s">
        <v>21</v>
      </c>
      <c r="J306" s="1">
        <v>161</v>
      </c>
      <c r="K306" s="1">
        <v>2867</v>
      </c>
      <c r="L306" t="s">
        <v>23</v>
      </c>
      <c r="M306" s="1">
        <v>30</v>
      </c>
      <c r="N306" s="48">
        <v>30</v>
      </c>
      <c r="O306" s="1">
        <v>13</v>
      </c>
      <c r="P306" s="48">
        <v>13</v>
      </c>
      <c r="Q306" s="1">
        <v>0</v>
      </c>
      <c r="R306" s="1">
        <v>0</v>
      </c>
      <c r="S306" s="1">
        <v>1</v>
      </c>
      <c r="T306" s="1">
        <v>1</v>
      </c>
      <c r="U306" s="1">
        <v>1</v>
      </c>
      <c r="V306" s="1">
        <v>1</v>
      </c>
      <c r="W306" s="1">
        <v>0</v>
      </c>
      <c r="X306" s="1">
        <v>0</v>
      </c>
      <c r="Y306" s="1">
        <v>2</v>
      </c>
      <c r="Z306" s="3">
        <v>0.6211180124223602</v>
      </c>
      <c r="AA306" s="1">
        <v>3</v>
      </c>
      <c r="AB306" s="3">
        <v>1.8633540372670807</v>
      </c>
      <c r="AC306" s="1">
        <v>0</v>
      </c>
      <c r="AD306" s="3">
        <v>0</v>
      </c>
      <c r="AE306" s="1">
        <v>1</v>
      </c>
      <c r="AF306" s="3">
        <v>0.6211180124223602</v>
      </c>
      <c r="AG306" s="1">
        <v>5</v>
      </c>
      <c r="AH306" s="3">
        <v>3.1055900621118013</v>
      </c>
      <c r="AI306" s="1" t="s">
        <v>22</v>
      </c>
      <c r="AJ306" s="1">
        <v>7</v>
      </c>
      <c r="AK306" s="3">
        <v>4.3478260869565215</v>
      </c>
      <c r="AL306" s="1">
        <v>3</v>
      </c>
      <c r="AM306" s="3">
        <v>1.8633540372670807</v>
      </c>
      <c r="AN306" s="1" t="s">
        <v>22</v>
      </c>
      <c r="AO306" s="1">
        <v>10</v>
      </c>
      <c r="AP306" s="3">
        <v>6.2111801242236027</v>
      </c>
      <c r="AQ306" s="3">
        <v>1</v>
      </c>
      <c r="AR306" s="3">
        <v>0.6211180124223602</v>
      </c>
      <c r="AS306" s="1">
        <v>7</v>
      </c>
      <c r="AT306" s="3">
        <v>4.3478260869565215</v>
      </c>
      <c r="AU306" s="1">
        <v>1</v>
      </c>
      <c r="AV306" s="3">
        <v>0.6211180124223602</v>
      </c>
      <c r="AW306" s="1" t="s">
        <v>22</v>
      </c>
      <c r="AX306" s="1">
        <v>17</v>
      </c>
      <c r="AY306" s="1">
        <v>0</v>
      </c>
      <c r="AZ306" s="1">
        <v>0</v>
      </c>
      <c r="BA306" s="1">
        <v>34</v>
      </c>
      <c r="BB306" s="1">
        <v>0</v>
      </c>
      <c r="BC306" s="1">
        <v>0</v>
      </c>
      <c r="BD306" s="1">
        <v>0</v>
      </c>
      <c r="BE306" s="54">
        <v>0</v>
      </c>
      <c r="BF306" s="6">
        <v>19</v>
      </c>
      <c r="BG306" s="6">
        <v>25</v>
      </c>
      <c r="BH306" s="1">
        <v>1</v>
      </c>
      <c r="BI306" s="6">
        <v>10</v>
      </c>
      <c r="BJ306" s="1" t="s">
        <v>22</v>
      </c>
      <c r="BK306" s="6">
        <v>1</v>
      </c>
      <c r="BL306" s="6">
        <v>0</v>
      </c>
      <c r="BM306" s="1">
        <v>0</v>
      </c>
      <c r="BN306" t="s">
        <v>24</v>
      </c>
      <c r="BO306">
        <v>2376</v>
      </c>
    </row>
    <row r="307" spans="1:67" x14ac:dyDescent="0.25">
      <c r="A307" s="4">
        <f>INT(Tabela1[[#This Row],[Data e Hora]])</f>
        <v>46293</v>
      </c>
      <c r="B307" s="4" t="str">
        <f>UPPER(TEXT(Tabela1[[#This Row],[Data Corrigida]],"MMM"))</f>
        <v>SET</v>
      </c>
      <c r="C307" t="s">
        <v>902</v>
      </c>
      <c r="D307" t="s">
        <v>903</v>
      </c>
      <c r="E307" t="s">
        <v>901</v>
      </c>
      <c r="F307" t="s">
        <v>19</v>
      </c>
      <c r="G307" s="5" t="s">
        <v>890</v>
      </c>
      <c r="H307" t="s">
        <v>20</v>
      </c>
      <c r="I307" t="s">
        <v>21</v>
      </c>
      <c r="J307" s="1">
        <v>151</v>
      </c>
      <c r="K307" s="1">
        <v>2953</v>
      </c>
      <c r="L307" t="s">
        <v>23</v>
      </c>
      <c r="M307" s="1">
        <v>28</v>
      </c>
      <c r="N307" s="48">
        <v>28.000000000000004</v>
      </c>
      <c r="O307" s="1">
        <v>12</v>
      </c>
      <c r="P307" s="48">
        <v>12</v>
      </c>
      <c r="Q307" s="1">
        <v>0</v>
      </c>
      <c r="R307" s="1">
        <v>0</v>
      </c>
      <c r="S307" s="1">
        <v>2</v>
      </c>
      <c r="T307" s="1">
        <v>2</v>
      </c>
      <c r="U307" s="1">
        <v>1</v>
      </c>
      <c r="V307" s="1">
        <v>1</v>
      </c>
      <c r="W307" s="1">
        <v>0</v>
      </c>
      <c r="X307" s="1">
        <v>0</v>
      </c>
      <c r="Y307" s="1">
        <v>1</v>
      </c>
      <c r="Z307" s="3">
        <v>0.33112582781456956</v>
      </c>
      <c r="AA307" s="1">
        <v>3</v>
      </c>
      <c r="AB307" s="3">
        <v>1.9867549668874174</v>
      </c>
      <c r="AC307" s="1">
        <v>0</v>
      </c>
      <c r="AD307" s="3">
        <v>0</v>
      </c>
      <c r="AE307" s="1">
        <v>2</v>
      </c>
      <c r="AF307" s="3">
        <v>1.3245033112582782</v>
      </c>
      <c r="AG307" s="1">
        <v>6</v>
      </c>
      <c r="AH307" s="3">
        <v>3.9735099337748347</v>
      </c>
      <c r="AI307" s="1" t="s">
        <v>22</v>
      </c>
      <c r="AJ307" s="1">
        <v>9</v>
      </c>
      <c r="AK307" s="3">
        <v>5.9602649006622519</v>
      </c>
      <c r="AL307" s="1">
        <v>2</v>
      </c>
      <c r="AM307" s="3">
        <v>1.3245033112582782</v>
      </c>
      <c r="AN307" s="1" t="s">
        <v>22</v>
      </c>
      <c r="AO307" s="1">
        <v>14</v>
      </c>
      <c r="AP307" s="3">
        <v>9.2715231788079464</v>
      </c>
      <c r="AQ307" s="3">
        <v>2</v>
      </c>
      <c r="AR307" s="3">
        <v>1.3245033112582782</v>
      </c>
      <c r="AS307" s="1">
        <v>7</v>
      </c>
      <c r="AT307" s="3">
        <v>4.6357615894039732</v>
      </c>
      <c r="AU307" s="1">
        <v>1</v>
      </c>
      <c r="AV307" s="3">
        <v>0.66225165562913912</v>
      </c>
      <c r="AW307" s="1" t="s">
        <v>22</v>
      </c>
      <c r="AX307" s="1">
        <v>19</v>
      </c>
      <c r="AY307" s="1">
        <v>0</v>
      </c>
      <c r="AZ307" s="1">
        <v>0</v>
      </c>
      <c r="BA307" s="1">
        <v>38</v>
      </c>
      <c r="BB307" s="1">
        <v>0</v>
      </c>
      <c r="BC307" s="1">
        <v>0</v>
      </c>
      <c r="BD307" s="1">
        <v>0</v>
      </c>
      <c r="BE307" s="54">
        <v>0</v>
      </c>
      <c r="BF307" s="6">
        <v>17</v>
      </c>
      <c r="BG307" s="6">
        <v>22</v>
      </c>
      <c r="BH307" s="1">
        <v>1</v>
      </c>
      <c r="BI307" s="6">
        <v>10</v>
      </c>
      <c r="BJ307" s="1" t="s">
        <v>22</v>
      </c>
      <c r="BK307" s="6">
        <v>1</v>
      </c>
      <c r="BL307" s="6">
        <v>0</v>
      </c>
      <c r="BM307" s="1">
        <v>1</v>
      </c>
      <c r="BN307" t="s">
        <v>24</v>
      </c>
      <c r="BO307">
        <v>2966</v>
      </c>
    </row>
    <row r="308" spans="1:67" x14ac:dyDescent="0.25">
      <c r="A308" s="4">
        <f>INT(Tabela1[[#This Row],[Data e Hora]])</f>
        <v>46293</v>
      </c>
      <c r="B308" s="4" t="str">
        <f>UPPER(TEXT(Tabela1[[#This Row],[Data Corrigida]],"MMM"))</f>
        <v>SET</v>
      </c>
      <c r="C308" t="s">
        <v>904</v>
      </c>
      <c r="D308" t="s">
        <v>905</v>
      </c>
      <c r="E308" t="s">
        <v>901</v>
      </c>
      <c r="F308" t="s">
        <v>19</v>
      </c>
      <c r="G308" s="5" t="s">
        <v>890</v>
      </c>
      <c r="H308" t="s">
        <v>20</v>
      </c>
      <c r="I308" t="s">
        <v>21</v>
      </c>
      <c r="J308" s="1">
        <v>160</v>
      </c>
      <c r="K308" s="1">
        <v>3244</v>
      </c>
      <c r="L308" t="s">
        <v>23</v>
      </c>
      <c r="M308" s="1">
        <v>31</v>
      </c>
      <c r="N308" s="48">
        <v>31</v>
      </c>
      <c r="O308" s="1">
        <v>9</v>
      </c>
      <c r="P308" s="48">
        <v>9</v>
      </c>
      <c r="Q308" s="1">
        <v>0</v>
      </c>
      <c r="R308" s="1">
        <v>0</v>
      </c>
      <c r="S308" s="1">
        <v>2</v>
      </c>
      <c r="T308" s="1">
        <v>2</v>
      </c>
      <c r="U308" s="1">
        <v>1</v>
      </c>
      <c r="V308" s="1">
        <v>1</v>
      </c>
      <c r="W308" s="1">
        <v>0</v>
      </c>
      <c r="X308" s="1">
        <v>0</v>
      </c>
      <c r="Y308" s="1">
        <v>2</v>
      </c>
      <c r="Z308" s="3">
        <v>0.625</v>
      </c>
      <c r="AA308" s="1">
        <v>2</v>
      </c>
      <c r="AB308" s="3">
        <v>1.25</v>
      </c>
      <c r="AC308" s="1">
        <v>0</v>
      </c>
      <c r="AD308" s="3">
        <v>0</v>
      </c>
      <c r="AE308" s="1">
        <v>1</v>
      </c>
      <c r="AF308" s="3">
        <v>0.625</v>
      </c>
      <c r="AG308" s="1">
        <v>5</v>
      </c>
      <c r="AH308" s="3">
        <v>3.125</v>
      </c>
      <c r="AI308" s="1" t="s">
        <v>22</v>
      </c>
      <c r="AJ308" s="1">
        <v>2</v>
      </c>
      <c r="AK308" s="3">
        <v>1.25</v>
      </c>
      <c r="AL308" s="1">
        <v>1</v>
      </c>
      <c r="AM308" s="3">
        <v>0.625</v>
      </c>
      <c r="AN308" s="1" t="s">
        <v>22</v>
      </c>
      <c r="AO308" s="1">
        <v>8</v>
      </c>
      <c r="AP308" s="3">
        <v>5</v>
      </c>
      <c r="AQ308" s="3">
        <v>1</v>
      </c>
      <c r="AR308" s="3">
        <v>0.625</v>
      </c>
      <c r="AS308" s="1">
        <v>7</v>
      </c>
      <c r="AT308" s="3">
        <v>4.375</v>
      </c>
      <c r="AU308" s="1">
        <v>1</v>
      </c>
      <c r="AV308" s="3">
        <v>0.625</v>
      </c>
      <c r="AW308" s="1" t="s">
        <v>22</v>
      </c>
      <c r="AX308" s="1">
        <v>19</v>
      </c>
      <c r="AY308" s="1">
        <v>0</v>
      </c>
      <c r="AZ308" s="1">
        <v>0</v>
      </c>
      <c r="BA308" s="1">
        <v>38</v>
      </c>
      <c r="BB308" s="1">
        <v>0</v>
      </c>
      <c r="BC308" s="1">
        <v>0</v>
      </c>
      <c r="BD308" s="1">
        <v>0</v>
      </c>
      <c r="BE308" s="54">
        <v>0</v>
      </c>
      <c r="BF308" s="6">
        <v>16</v>
      </c>
      <c r="BG308" s="6">
        <v>13</v>
      </c>
      <c r="BH308" s="1">
        <v>0</v>
      </c>
      <c r="BI308" s="6">
        <v>0</v>
      </c>
      <c r="BJ308" s="1" t="s">
        <v>22</v>
      </c>
      <c r="BK308" s="1" t="s">
        <v>22</v>
      </c>
      <c r="BL308" s="1" t="s">
        <v>22</v>
      </c>
      <c r="BM308" s="1" t="s">
        <v>22</v>
      </c>
      <c r="BN308" t="s">
        <v>24</v>
      </c>
      <c r="BO308">
        <v>2291</v>
      </c>
    </row>
    <row r="309" spans="1:67" x14ac:dyDescent="0.25">
      <c r="A309" s="4">
        <f>INT(Tabela1[[#This Row],[Data e Hora]])</f>
        <v>46294</v>
      </c>
      <c r="B309" s="4" t="str">
        <f>UPPER(TEXT(Tabela1[[#This Row],[Data Corrigida]],"MMM"))</f>
        <v>SET</v>
      </c>
      <c r="C309" s="57" t="s">
        <v>906</v>
      </c>
      <c r="D309" t="s">
        <v>907</v>
      </c>
      <c r="E309" t="s">
        <v>908</v>
      </c>
      <c r="F309" t="s">
        <v>19</v>
      </c>
      <c r="G309" s="5" t="s">
        <v>909</v>
      </c>
      <c r="H309" t="s">
        <v>20</v>
      </c>
      <c r="I309" t="s">
        <v>33</v>
      </c>
      <c r="J309" s="1">
        <v>157</v>
      </c>
      <c r="K309" s="1">
        <v>2965</v>
      </c>
      <c r="L309" t="s">
        <v>34</v>
      </c>
      <c r="M309" s="1">
        <v>20</v>
      </c>
      <c r="N309" s="48">
        <v>20</v>
      </c>
      <c r="O309" s="1">
        <v>5</v>
      </c>
      <c r="P309" s="48">
        <v>5</v>
      </c>
      <c r="Q309" s="1">
        <v>8</v>
      </c>
      <c r="R309" s="1">
        <v>80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4</v>
      </c>
      <c r="Z309" s="3">
        <v>1.2738853503184715</v>
      </c>
      <c r="AA309" s="1">
        <v>4</v>
      </c>
      <c r="AB309" s="3">
        <v>2.547770700636943</v>
      </c>
      <c r="AC309" s="1">
        <v>0</v>
      </c>
      <c r="AD309" s="3">
        <v>0</v>
      </c>
      <c r="AE309" s="1">
        <v>1</v>
      </c>
      <c r="AF309" s="3">
        <v>0.63694267515923575</v>
      </c>
      <c r="AG309" s="1">
        <v>2</v>
      </c>
      <c r="AH309" s="3">
        <v>1.2738853503184715</v>
      </c>
      <c r="AI309" s="1" t="s">
        <v>22</v>
      </c>
      <c r="AJ309" s="1">
        <v>0</v>
      </c>
      <c r="AK309" s="3">
        <v>0</v>
      </c>
      <c r="AL309" s="1">
        <v>0</v>
      </c>
      <c r="AM309" s="3">
        <v>0</v>
      </c>
      <c r="AN309" s="1" t="s">
        <v>22</v>
      </c>
      <c r="AO309" s="1">
        <v>5</v>
      </c>
      <c r="AP309" s="3">
        <v>3.1847133757961785</v>
      </c>
      <c r="AQ309" s="3">
        <v>5</v>
      </c>
      <c r="AR309" s="3">
        <v>3.1847133757961785</v>
      </c>
      <c r="AS309" s="1">
        <v>6</v>
      </c>
      <c r="AT309" s="3">
        <v>3.8216560509554141</v>
      </c>
      <c r="AU309" s="1">
        <v>1</v>
      </c>
      <c r="AV309" s="3">
        <v>0.63694267515923575</v>
      </c>
      <c r="AW309" s="1" t="s">
        <v>22</v>
      </c>
      <c r="AX309" s="1">
        <v>19</v>
      </c>
      <c r="AY309" s="1">
        <v>0</v>
      </c>
      <c r="AZ309" s="1">
        <v>0</v>
      </c>
      <c r="BA309" s="1">
        <v>38</v>
      </c>
      <c r="BB309" s="1">
        <v>0</v>
      </c>
      <c r="BC309" s="1">
        <v>0</v>
      </c>
      <c r="BD309" s="1">
        <v>0</v>
      </c>
      <c r="BE309" s="54">
        <v>0</v>
      </c>
      <c r="BF309" s="6">
        <v>20</v>
      </c>
      <c r="BG309" s="6">
        <v>17</v>
      </c>
      <c r="BH309" s="1">
        <v>0</v>
      </c>
      <c r="BI309" s="6">
        <v>0</v>
      </c>
      <c r="BJ309" s="1" t="s">
        <v>22</v>
      </c>
      <c r="BK309" s="6">
        <v>2</v>
      </c>
      <c r="BL309" s="6">
        <v>0</v>
      </c>
      <c r="BM309" s="1">
        <v>0</v>
      </c>
      <c r="BN309" t="s">
        <v>24</v>
      </c>
      <c r="BO309">
        <v>214</v>
      </c>
    </row>
    <row r="310" spans="1:67" x14ac:dyDescent="0.25">
      <c r="A310" s="4">
        <f>INT(Tabela1[[#This Row],[Data e Hora]])</f>
        <v>46294</v>
      </c>
      <c r="B310" s="4" t="str">
        <f>UPPER(TEXT(Tabela1[[#This Row],[Data Corrigida]],"MMM"))</f>
        <v>SET</v>
      </c>
      <c r="C310" t="s">
        <v>910</v>
      </c>
      <c r="D310" t="s">
        <v>911</v>
      </c>
      <c r="E310" t="s">
        <v>908</v>
      </c>
      <c r="F310" t="s">
        <v>19</v>
      </c>
      <c r="G310" s="5" t="s">
        <v>909</v>
      </c>
      <c r="H310" t="s">
        <v>20</v>
      </c>
      <c r="I310" t="s">
        <v>33</v>
      </c>
      <c r="J310" s="1">
        <v>79</v>
      </c>
      <c r="K310" s="1">
        <v>2821</v>
      </c>
      <c r="L310" t="s">
        <v>34</v>
      </c>
      <c r="M310" s="1">
        <v>20</v>
      </c>
      <c r="N310" s="48">
        <v>20</v>
      </c>
      <c r="O310" s="1">
        <v>5</v>
      </c>
      <c r="P310" s="48">
        <v>5</v>
      </c>
      <c r="Q310" s="1">
        <v>0</v>
      </c>
      <c r="R310" s="1">
        <v>0</v>
      </c>
      <c r="S310" s="1">
        <v>1</v>
      </c>
      <c r="T310" s="1">
        <v>1</v>
      </c>
      <c r="U310" s="1">
        <v>0</v>
      </c>
      <c r="V310" s="1">
        <v>0</v>
      </c>
      <c r="W310" s="1">
        <v>0</v>
      </c>
      <c r="X310" s="1">
        <v>0</v>
      </c>
      <c r="Y310" s="1">
        <v>6</v>
      </c>
      <c r="Z310" s="3">
        <v>3.79746835443038</v>
      </c>
      <c r="AA310" s="1">
        <v>5</v>
      </c>
      <c r="AB310" s="3">
        <v>6.3291139240506329</v>
      </c>
      <c r="AC310" s="1">
        <v>0</v>
      </c>
      <c r="AD310" s="3">
        <v>0</v>
      </c>
      <c r="AE310" s="1">
        <v>1</v>
      </c>
      <c r="AF310" s="3">
        <v>1.2658227848101267</v>
      </c>
      <c r="AG310" s="1">
        <v>2</v>
      </c>
      <c r="AH310" s="3">
        <v>2.5316455696202533</v>
      </c>
      <c r="AI310" s="1" t="s">
        <v>22</v>
      </c>
      <c r="AJ310" s="1">
        <v>0</v>
      </c>
      <c r="AK310" s="3">
        <v>0</v>
      </c>
      <c r="AL310" s="1">
        <v>0</v>
      </c>
      <c r="AM310" s="3">
        <v>0</v>
      </c>
      <c r="AN310" s="1" t="s">
        <v>22</v>
      </c>
      <c r="AO310" s="1">
        <v>3</v>
      </c>
      <c r="AP310" s="3">
        <v>3.79746835443038</v>
      </c>
      <c r="AQ310" s="3">
        <v>6</v>
      </c>
      <c r="AR310" s="3">
        <v>7.59493670886076</v>
      </c>
      <c r="AS310" s="1">
        <v>5</v>
      </c>
      <c r="AT310" s="3">
        <v>6.3291139240506329</v>
      </c>
      <c r="AU310" s="1">
        <v>0</v>
      </c>
      <c r="AV310" s="3">
        <v>0</v>
      </c>
      <c r="AW310" s="1" t="s">
        <v>22</v>
      </c>
      <c r="AX310" s="1">
        <v>18</v>
      </c>
      <c r="AY310" s="1">
        <v>0</v>
      </c>
      <c r="AZ310" s="1">
        <v>0</v>
      </c>
      <c r="BA310" s="1">
        <v>36</v>
      </c>
      <c r="BB310" s="1">
        <v>0</v>
      </c>
      <c r="BC310" s="1">
        <v>0</v>
      </c>
      <c r="BD310" s="1">
        <v>0</v>
      </c>
      <c r="BE310" s="54">
        <v>0</v>
      </c>
      <c r="BF310" s="6">
        <v>20</v>
      </c>
      <c r="BG310" s="6">
        <v>17</v>
      </c>
      <c r="BH310" s="1">
        <v>0</v>
      </c>
      <c r="BI310" s="6">
        <v>0</v>
      </c>
      <c r="BJ310" s="1" t="s">
        <v>22</v>
      </c>
      <c r="BK310" s="6">
        <v>4</v>
      </c>
      <c r="BL310" s="6">
        <v>0</v>
      </c>
      <c r="BM310" s="1">
        <v>0</v>
      </c>
      <c r="BN310" t="s">
        <v>24</v>
      </c>
      <c r="BO310">
        <v>10836</v>
      </c>
    </row>
    <row r="311" spans="1:67" x14ac:dyDescent="0.25">
      <c r="A311" s="4">
        <f>INT(Tabela1[[#This Row],[Data e Hora]])</f>
        <v>46294</v>
      </c>
      <c r="B311" s="4" t="str">
        <f>UPPER(TEXT(Tabela1[[#This Row],[Data Corrigida]],"MMM"))</f>
        <v>SET</v>
      </c>
      <c r="C311" t="s">
        <v>912</v>
      </c>
      <c r="D311" t="s">
        <v>913</v>
      </c>
      <c r="E311" t="s">
        <v>914</v>
      </c>
      <c r="F311" t="s">
        <v>19</v>
      </c>
      <c r="G311" s="5" t="s">
        <v>909</v>
      </c>
      <c r="H311" t="s">
        <v>20</v>
      </c>
      <c r="I311" t="s">
        <v>33</v>
      </c>
      <c r="J311" s="1">
        <v>161</v>
      </c>
      <c r="K311" s="1">
        <v>3025</v>
      </c>
      <c r="L311" t="s">
        <v>34</v>
      </c>
      <c r="M311" s="1">
        <v>22</v>
      </c>
      <c r="N311" s="48">
        <v>22</v>
      </c>
      <c r="O311" s="1">
        <v>6</v>
      </c>
      <c r="P311" s="48">
        <v>6</v>
      </c>
      <c r="Q311" s="1">
        <v>0</v>
      </c>
      <c r="R311" s="1">
        <v>0</v>
      </c>
      <c r="S311" s="1">
        <v>1</v>
      </c>
      <c r="T311" s="1">
        <v>1</v>
      </c>
      <c r="U311" s="1">
        <v>0</v>
      </c>
      <c r="V311" s="1">
        <v>0</v>
      </c>
      <c r="W311" s="1">
        <v>0</v>
      </c>
      <c r="X311" s="1">
        <v>0</v>
      </c>
      <c r="Y311" s="1" t="s">
        <v>22</v>
      </c>
      <c r="Z311" s="3" t="s">
        <v>22</v>
      </c>
      <c r="AA311" s="1">
        <v>5</v>
      </c>
      <c r="AB311" s="3">
        <v>3.1055900621118013</v>
      </c>
      <c r="AC311" s="1">
        <v>0</v>
      </c>
      <c r="AD311" s="3">
        <v>0</v>
      </c>
      <c r="AE311" s="1">
        <v>3</v>
      </c>
      <c r="AF311" s="3">
        <v>1.8633540372670807</v>
      </c>
      <c r="AG311" s="1">
        <v>2</v>
      </c>
      <c r="AH311" s="3">
        <v>1.2422360248447204</v>
      </c>
      <c r="AI311" s="1" t="s">
        <v>22</v>
      </c>
      <c r="AJ311" s="1">
        <v>0</v>
      </c>
      <c r="AK311" s="3">
        <v>0</v>
      </c>
      <c r="AL311" s="1">
        <v>0</v>
      </c>
      <c r="AM311" s="3">
        <v>0</v>
      </c>
      <c r="AN311" s="1" t="s">
        <v>22</v>
      </c>
      <c r="AO311" s="1">
        <v>7</v>
      </c>
      <c r="AP311" s="3">
        <v>4.3478260869565215</v>
      </c>
      <c r="AQ311" s="3">
        <v>5</v>
      </c>
      <c r="AR311" s="3">
        <v>3.1055900621118013</v>
      </c>
      <c r="AS311" s="1">
        <v>5</v>
      </c>
      <c r="AT311" s="3">
        <v>3.1055900621118013</v>
      </c>
      <c r="AU311" s="1">
        <v>0</v>
      </c>
      <c r="AV311" s="3">
        <v>0</v>
      </c>
      <c r="AW311" s="1" t="s">
        <v>22</v>
      </c>
      <c r="AX311" s="1">
        <v>19</v>
      </c>
      <c r="AY311" s="1">
        <v>0</v>
      </c>
      <c r="AZ311" s="1">
        <v>0</v>
      </c>
      <c r="BA311" s="1">
        <v>38</v>
      </c>
      <c r="BB311" s="1">
        <v>0</v>
      </c>
      <c r="BC311" s="1">
        <v>0</v>
      </c>
      <c r="BD311" s="1">
        <v>1</v>
      </c>
      <c r="BE311" s="54">
        <v>0.6211180124223602</v>
      </c>
      <c r="BF311" s="6">
        <v>19</v>
      </c>
      <c r="BG311" s="6">
        <v>16</v>
      </c>
      <c r="BH311" s="1">
        <v>0</v>
      </c>
      <c r="BI311" s="6">
        <v>0</v>
      </c>
      <c r="BJ311" s="1" t="s">
        <v>22</v>
      </c>
      <c r="BK311" s="6">
        <v>1</v>
      </c>
      <c r="BL311" s="6">
        <v>0</v>
      </c>
      <c r="BM311" s="1">
        <v>0</v>
      </c>
      <c r="BN311" t="s">
        <v>24</v>
      </c>
      <c r="BO311">
        <v>20734</v>
      </c>
    </row>
    <row r="312" spans="1:67" x14ac:dyDescent="0.25">
      <c r="A312" s="4">
        <f>INT(Tabela1[[#This Row],[Data e Hora]])</f>
        <v>46294</v>
      </c>
      <c r="B312" s="4" t="str">
        <f>UPPER(TEXT(Tabela1[[#This Row],[Data Corrigida]],"MMM"))</f>
        <v>SET</v>
      </c>
      <c r="C312" t="s">
        <v>915</v>
      </c>
      <c r="D312" t="s">
        <v>916</v>
      </c>
      <c r="E312" t="s">
        <v>917</v>
      </c>
      <c r="F312" t="s">
        <v>19</v>
      </c>
      <c r="G312" s="5" t="s">
        <v>909</v>
      </c>
      <c r="H312" t="s">
        <v>20</v>
      </c>
      <c r="I312" t="s">
        <v>21</v>
      </c>
      <c r="J312" s="1">
        <v>150</v>
      </c>
      <c r="K312" s="1">
        <v>3094</v>
      </c>
      <c r="L312" t="s">
        <v>23</v>
      </c>
      <c r="M312" s="1">
        <v>41</v>
      </c>
      <c r="N312" s="48">
        <v>41</v>
      </c>
      <c r="O312" s="1">
        <v>23</v>
      </c>
      <c r="P312" s="48">
        <v>23</v>
      </c>
      <c r="Q312" s="1">
        <v>0</v>
      </c>
      <c r="R312" s="1">
        <v>0</v>
      </c>
      <c r="S312" s="1">
        <v>1</v>
      </c>
      <c r="T312" s="1">
        <v>1</v>
      </c>
      <c r="U312" s="1">
        <v>1</v>
      </c>
      <c r="V312" s="1">
        <v>1</v>
      </c>
      <c r="W312" s="1">
        <v>0</v>
      </c>
      <c r="X312" s="1">
        <v>0</v>
      </c>
      <c r="Y312" s="1">
        <v>2</v>
      </c>
      <c r="Z312" s="3">
        <v>0.66666666666666674</v>
      </c>
      <c r="AA312" s="1">
        <v>2</v>
      </c>
      <c r="AB312" s="3">
        <v>1.3333333333333335</v>
      </c>
      <c r="AC312" s="1">
        <v>0</v>
      </c>
      <c r="AD312" s="3">
        <v>0</v>
      </c>
      <c r="AE312" s="1">
        <v>1</v>
      </c>
      <c r="AF312" s="3">
        <v>0.66666666666666674</v>
      </c>
      <c r="AG312" s="1">
        <v>5</v>
      </c>
      <c r="AH312" s="3">
        <v>3.3333333333333335</v>
      </c>
      <c r="AI312" s="1" t="s">
        <v>22</v>
      </c>
      <c r="AJ312" s="1">
        <v>5</v>
      </c>
      <c r="AK312" s="3">
        <v>3.3333333333333335</v>
      </c>
      <c r="AL312" s="1">
        <v>2</v>
      </c>
      <c r="AM312" s="3">
        <v>1.3333333333333335</v>
      </c>
      <c r="AN312" s="1" t="s">
        <v>22</v>
      </c>
      <c r="AO312" s="1">
        <v>9</v>
      </c>
      <c r="AP312" s="3">
        <v>6</v>
      </c>
      <c r="AQ312" s="3">
        <v>1</v>
      </c>
      <c r="AR312" s="3">
        <v>0.66666666666666674</v>
      </c>
      <c r="AS312" s="1">
        <v>7</v>
      </c>
      <c r="AT312" s="3">
        <v>4.666666666666667</v>
      </c>
      <c r="AU312" s="1">
        <v>1</v>
      </c>
      <c r="AV312" s="3">
        <v>0.66666666666666674</v>
      </c>
      <c r="AW312" s="1" t="s">
        <v>22</v>
      </c>
      <c r="AX312" s="1">
        <v>19</v>
      </c>
      <c r="AY312" s="1">
        <v>0</v>
      </c>
      <c r="AZ312" s="1">
        <v>0</v>
      </c>
      <c r="BA312" s="1">
        <v>38</v>
      </c>
      <c r="BB312" s="1">
        <v>0</v>
      </c>
      <c r="BC312" s="1">
        <v>0</v>
      </c>
      <c r="BD312" s="1">
        <v>2</v>
      </c>
      <c r="BE312" s="54">
        <v>1.3333333333333335</v>
      </c>
      <c r="BF312" s="6">
        <v>25</v>
      </c>
      <c r="BG312" s="6">
        <v>20</v>
      </c>
      <c r="BH312" s="1">
        <v>1</v>
      </c>
      <c r="BI312" s="6">
        <v>10</v>
      </c>
      <c r="BJ312" s="1" t="s">
        <v>22</v>
      </c>
      <c r="BK312" s="1" t="s">
        <v>22</v>
      </c>
      <c r="BL312" s="1" t="s">
        <v>22</v>
      </c>
      <c r="BM312" s="1" t="s">
        <v>22</v>
      </c>
      <c r="BN312" t="s">
        <v>24</v>
      </c>
      <c r="BO312">
        <v>1475</v>
      </c>
    </row>
    <row r="313" spans="1:67" x14ac:dyDescent="0.25">
      <c r="A313" s="4">
        <f>INT(Tabela1[[#This Row],[Data e Hora]])</f>
        <v>46294</v>
      </c>
      <c r="B313" s="4" t="str">
        <f>UPPER(TEXT(Tabela1[[#This Row],[Data Corrigida]],"MMM"))</f>
        <v>SET</v>
      </c>
      <c r="C313" t="s">
        <v>918</v>
      </c>
      <c r="D313" t="s">
        <v>919</v>
      </c>
      <c r="E313" t="s">
        <v>917</v>
      </c>
      <c r="F313" t="s">
        <v>19</v>
      </c>
      <c r="G313" s="5" t="s">
        <v>909</v>
      </c>
      <c r="H313" t="s">
        <v>20</v>
      </c>
      <c r="I313" t="s">
        <v>21</v>
      </c>
      <c r="J313" s="1">
        <v>160</v>
      </c>
      <c r="K313" s="1">
        <v>3321</v>
      </c>
      <c r="L313" t="s">
        <v>23</v>
      </c>
      <c r="M313" s="1">
        <v>35</v>
      </c>
      <c r="N313" s="48">
        <v>35</v>
      </c>
      <c r="O313" s="1">
        <v>23</v>
      </c>
      <c r="P313" s="48">
        <v>23</v>
      </c>
      <c r="Q313" s="1">
        <v>0</v>
      </c>
      <c r="R313" s="1">
        <v>0</v>
      </c>
      <c r="S313" s="1">
        <v>3</v>
      </c>
      <c r="T313" s="1">
        <v>3</v>
      </c>
      <c r="U313" s="1">
        <v>1</v>
      </c>
      <c r="V313" s="1">
        <v>1</v>
      </c>
      <c r="W313" s="1">
        <v>2</v>
      </c>
      <c r="X313" s="1">
        <v>10</v>
      </c>
      <c r="Y313" s="1">
        <v>2</v>
      </c>
      <c r="Z313" s="3">
        <v>0.625</v>
      </c>
      <c r="AA313" s="1">
        <v>2</v>
      </c>
      <c r="AB313" s="3">
        <v>1.25</v>
      </c>
      <c r="AC313" s="1">
        <v>0</v>
      </c>
      <c r="AD313" s="3">
        <v>0</v>
      </c>
      <c r="AE313" s="1">
        <v>2</v>
      </c>
      <c r="AF313" s="3">
        <v>1.25</v>
      </c>
      <c r="AG313" s="1">
        <v>6</v>
      </c>
      <c r="AH313" s="3">
        <v>3.75</v>
      </c>
      <c r="AI313" s="1" t="s">
        <v>22</v>
      </c>
      <c r="AJ313" s="1">
        <v>7</v>
      </c>
      <c r="AK313" s="3">
        <v>4.375</v>
      </c>
      <c r="AL313" s="1">
        <v>3</v>
      </c>
      <c r="AM313" s="3">
        <v>1.875</v>
      </c>
      <c r="AN313" s="1" t="s">
        <v>22</v>
      </c>
      <c r="AO313" s="1">
        <v>11</v>
      </c>
      <c r="AP313" s="3">
        <v>6.8750000000000009</v>
      </c>
      <c r="AQ313" s="3">
        <v>1</v>
      </c>
      <c r="AR313" s="3">
        <v>0.625</v>
      </c>
      <c r="AS313" s="1">
        <v>6</v>
      </c>
      <c r="AT313" s="3">
        <v>3.75</v>
      </c>
      <c r="AU313" s="1">
        <v>1</v>
      </c>
      <c r="AV313" s="3">
        <v>0.625</v>
      </c>
      <c r="AW313" s="1" t="s">
        <v>22</v>
      </c>
      <c r="AX313" s="1">
        <v>17</v>
      </c>
      <c r="AY313" s="1">
        <v>0</v>
      </c>
      <c r="AZ313" s="1">
        <v>0</v>
      </c>
      <c r="BA313" s="1">
        <v>34</v>
      </c>
      <c r="BB313" s="1">
        <v>0</v>
      </c>
      <c r="BC313" s="1">
        <v>0</v>
      </c>
      <c r="BD313" s="1">
        <v>0</v>
      </c>
      <c r="BE313" s="54">
        <v>0</v>
      </c>
      <c r="BF313" s="6">
        <v>22</v>
      </c>
      <c r="BG313" s="6">
        <v>19</v>
      </c>
      <c r="BH313" s="1">
        <v>0</v>
      </c>
      <c r="BI313" s="6">
        <v>0</v>
      </c>
      <c r="BJ313" s="1" t="s">
        <v>22</v>
      </c>
      <c r="BK313" s="6">
        <v>0</v>
      </c>
      <c r="BL313" s="6">
        <v>0</v>
      </c>
      <c r="BM313" s="1">
        <v>1</v>
      </c>
      <c r="BN313" t="s">
        <v>22</v>
      </c>
      <c r="BO313">
        <v>1851</v>
      </c>
    </row>
    <row r="314" spans="1:67" x14ac:dyDescent="0.25">
      <c r="A314" s="4">
        <f>INT(Tabela1[[#This Row],[Data e Hora]])</f>
        <v>46294</v>
      </c>
      <c r="B314" s="4" t="str">
        <f>UPPER(TEXT(Tabela1[[#This Row],[Data Corrigida]],"MMM"))</f>
        <v>SET</v>
      </c>
      <c r="C314" t="s">
        <v>920</v>
      </c>
      <c r="D314" t="s">
        <v>921</v>
      </c>
      <c r="E314" t="s">
        <v>917</v>
      </c>
      <c r="F314" t="s">
        <v>19</v>
      </c>
      <c r="G314" s="5" t="s">
        <v>909</v>
      </c>
      <c r="H314" t="s">
        <v>20</v>
      </c>
      <c r="I314" t="s">
        <v>21</v>
      </c>
      <c r="J314" s="1">
        <v>80</v>
      </c>
      <c r="K314" s="1">
        <v>3018</v>
      </c>
      <c r="L314" t="s">
        <v>23</v>
      </c>
      <c r="M314" s="1">
        <v>33</v>
      </c>
      <c r="N314" s="48">
        <v>33</v>
      </c>
      <c r="O314" s="1">
        <v>20</v>
      </c>
      <c r="P314" s="48">
        <v>20</v>
      </c>
      <c r="Q314" s="1">
        <v>0</v>
      </c>
      <c r="R314" s="1">
        <v>0</v>
      </c>
      <c r="S314" s="1">
        <v>1</v>
      </c>
      <c r="T314" s="1">
        <v>1</v>
      </c>
      <c r="U314" s="1">
        <v>1</v>
      </c>
      <c r="V314" s="1">
        <v>1</v>
      </c>
      <c r="W314" s="1">
        <v>3</v>
      </c>
      <c r="X314" s="1">
        <v>15</v>
      </c>
      <c r="Y314" s="1">
        <v>2</v>
      </c>
      <c r="Z314" s="3">
        <v>1.25</v>
      </c>
      <c r="AA314" s="1">
        <v>2</v>
      </c>
      <c r="AB314" s="3">
        <v>2.5</v>
      </c>
      <c r="AC314" s="1">
        <v>0</v>
      </c>
      <c r="AD314" s="3">
        <v>0</v>
      </c>
      <c r="AE314" s="1">
        <v>2</v>
      </c>
      <c r="AF314" s="3">
        <v>2.5</v>
      </c>
      <c r="AG314" s="1">
        <v>4</v>
      </c>
      <c r="AH314" s="3">
        <v>5</v>
      </c>
      <c r="AI314" s="1" t="s">
        <v>22</v>
      </c>
      <c r="AJ314" s="1">
        <v>5</v>
      </c>
      <c r="AK314" s="3">
        <v>6.25</v>
      </c>
      <c r="AL314" s="1">
        <v>2</v>
      </c>
      <c r="AM314" s="3">
        <v>2.5</v>
      </c>
      <c r="AN314" s="1" t="s">
        <v>22</v>
      </c>
      <c r="AO314" s="1">
        <v>10</v>
      </c>
      <c r="AP314" s="3">
        <v>12.5</v>
      </c>
      <c r="AQ314" s="3">
        <v>2</v>
      </c>
      <c r="AR314" s="3">
        <v>2.5</v>
      </c>
      <c r="AS314" s="1">
        <v>6</v>
      </c>
      <c r="AT314" s="3">
        <v>7.5</v>
      </c>
      <c r="AU314" s="1">
        <v>2</v>
      </c>
      <c r="AV314" s="3">
        <v>2.5</v>
      </c>
      <c r="AW314" s="1" t="s">
        <v>22</v>
      </c>
      <c r="AX314" s="1">
        <v>14</v>
      </c>
      <c r="AY314" s="1">
        <v>0</v>
      </c>
      <c r="AZ314" s="1">
        <v>0</v>
      </c>
      <c r="BA314" s="1">
        <v>28</v>
      </c>
      <c r="BB314" s="1">
        <v>0</v>
      </c>
      <c r="BC314" s="1">
        <v>0</v>
      </c>
      <c r="BD314" s="1">
        <v>0</v>
      </c>
      <c r="BE314" s="54">
        <v>0</v>
      </c>
      <c r="BF314" s="6">
        <v>25</v>
      </c>
      <c r="BG314" s="6">
        <v>18</v>
      </c>
      <c r="BH314" s="1">
        <v>1</v>
      </c>
      <c r="BI314" s="6">
        <v>10</v>
      </c>
      <c r="BJ314" s="1" t="s">
        <v>22</v>
      </c>
      <c r="BK314" s="6">
        <v>0</v>
      </c>
      <c r="BL314" s="6">
        <v>0</v>
      </c>
      <c r="BM314" s="1">
        <v>1</v>
      </c>
      <c r="BN314" t="s">
        <v>24</v>
      </c>
      <c r="BO314">
        <v>1968</v>
      </c>
    </row>
    <row r="315" spans="1:67" x14ac:dyDescent="0.25">
      <c r="A315" s="4">
        <f>INT(Tabela1[[#This Row],[Data e Hora]])</f>
        <v>46294</v>
      </c>
      <c r="B315" s="4" t="str">
        <f>UPPER(TEXT(Tabela1[[#This Row],[Data Corrigida]],"MMM"))</f>
        <v>SET</v>
      </c>
      <c r="C315" t="s">
        <v>922</v>
      </c>
      <c r="D315" t="s">
        <v>923</v>
      </c>
      <c r="E315" t="s">
        <v>917</v>
      </c>
      <c r="F315" t="s">
        <v>19</v>
      </c>
      <c r="G315" s="5" t="s">
        <v>909</v>
      </c>
      <c r="H315" t="s">
        <v>20</v>
      </c>
      <c r="I315" t="s">
        <v>21</v>
      </c>
      <c r="J315" s="1">
        <v>146</v>
      </c>
      <c r="K315" s="1">
        <v>3019</v>
      </c>
      <c r="L315" t="s">
        <v>23</v>
      </c>
      <c r="M315" s="1">
        <v>30</v>
      </c>
      <c r="N315" s="48">
        <v>30</v>
      </c>
      <c r="O315" s="1">
        <v>11</v>
      </c>
      <c r="P315" s="48">
        <v>11</v>
      </c>
      <c r="Q315" s="1">
        <v>0</v>
      </c>
      <c r="R315" s="1">
        <v>0</v>
      </c>
      <c r="S315" s="1">
        <v>4</v>
      </c>
      <c r="T315" s="1">
        <v>4</v>
      </c>
      <c r="U315" s="1">
        <v>1</v>
      </c>
      <c r="V315" s="1">
        <v>1</v>
      </c>
      <c r="W315" s="1">
        <v>0</v>
      </c>
      <c r="X315" s="1">
        <v>0</v>
      </c>
      <c r="Y315" s="1">
        <v>2</v>
      </c>
      <c r="Z315" s="3">
        <v>0.68493150684931503</v>
      </c>
      <c r="AA315" s="1">
        <v>4</v>
      </c>
      <c r="AB315" s="3">
        <v>2.7397260273972601</v>
      </c>
      <c r="AC315" s="1">
        <v>0</v>
      </c>
      <c r="AD315" s="3">
        <v>0</v>
      </c>
      <c r="AE315" s="1">
        <v>3</v>
      </c>
      <c r="AF315" s="3">
        <v>2.054794520547945</v>
      </c>
      <c r="AG315" s="1">
        <v>6</v>
      </c>
      <c r="AH315" s="3">
        <v>4.10958904109589</v>
      </c>
      <c r="AI315" s="1" t="s">
        <v>22</v>
      </c>
      <c r="AJ315" s="1">
        <v>8</v>
      </c>
      <c r="AK315" s="3">
        <v>5.4794520547945202</v>
      </c>
      <c r="AL315" s="1">
        <v>2</v>
      </c>
      <c r="AM315" s="3">
        <v>1.3698630136986301</v>
      </c>
      <c r="AN315" s="1" t="s">
        <v>22</v>
      </c>
      <c r="AO315" s="1">
        <v>11</v>
      </c>
      <c r="AP315" s="3">
        <v>7.5342465753424657</v>
      </c>
      <c r="AQ315" s="3">
        <v>1</v>
      </c>
      <c r="AR315" s="3">
        <v>0.68493150684931503</v>
      </c>
      <c r="AS315" s="1">
        <v>6</v>
      </c>
      <c r="AT315" s="3">
        <v>4.10958904109589</v>
      </c>
      <c r="AU315" s="1">
        <v>2</v>
      </c>
      <c r="AV315" s="3">
        <v>1.3698630136986301</v>
      </c>
      <c r="AW315" s="1" t="s">
        <v>22</v>
      </c>
      <c r="AX315" s="1">
        <v>19</v>
      </c>
      <c r="AY315" s="1">
        <v>0</v>
      </c>
      <c r="AZ315" s="1">
        <v>0</v>
      </c>
      <c r="BA315" s="1">
        <v>38</v>
      </c>
      <c r="BB315" s="1">
        <v>0</v>
      </c>
      <c r="BC315" s="1">
        <v>0</v>
      </c>
      <c r="BD315" s="1">
        <v>0</v>
      </c>
      <c r="BE315" s="54">
        <v>0</v>
      </c>
      <c r="BF315" s="6">
        <v>20</v>
      </c>
      <c r="BG315" s="6">
        <v>18</v>
      </c>
      <c r="BH315" s="1">
        <v>1</v>
      </c>
      <c r="BI315" s="6">
        <v>10</v>
      </c>
      <c r="BJ315" s="1" t="s">
        <v>22</v>
      </c>
      <c r="BK315" s="1" t="s">
        <v>22</v>
      </c>
      <c r="BL315" s="1" t="s">
        <v>22</v>
      </c>
      <c r="BM315" s="1" t="s">
        <v>22</v>
      </c>
      <c r="BN315" t="s">
        <v>24</v>
      </c>
      <c r="BO315">
        <v>3447</v>
      </c>
    </row>
    <row r="316" spans="1:67" x14ac:dyDescent="0.25">
      <c r="A316" s="4">
        <f>INT(Tabela1[[#This Row],[Data e Hora]])</f>
        <v>46295</v>
      </c>
      <c r="B316" s="4" t="str">
        <f>UPPER(TEXT(Tabela1[[#This Row],[Data Corrigida]],"MMM"))</f>
        <v>SET</v>
      </c>
      <c r="C316" s="57" t="s">
        <v>924</v>
      </c>
      <c r="D316" t="s">
        <v>925</v>
      </c>
      <c r="E316" t="s">
        <v>926</v>
      </c>
      <c r="F316" t="s">
        <v>19</v>
      </c>
      <c r="G316" s="5" t="s">
        <v>927</v>
      </c>
      <c r="H316" t="s">
        <v>20</v>
      </c>
      <c r="I316" t="s">
        <v>33</v>
      </c>
      <c r="J316" s="1">
        <v>151</v>
      </c>
      <c r="K316" s="1">
        <v>3089</v>
      </c>
      <c r="L316" t="s">
        <v>34</v>
      </c>
      <c r="M316" s="1">
        <v>20</v>
      </c>
      <c r="N316" s="48">
        <v>20</v>
      </c>
      <c r="O316" s="1">
        <v>6</v>
      </c>
      <c r="P316" s="48">
        <v>6</v>
      </c>
      <c r="Q316" s="1">
        <v>0</v>
      </c>
      <c r="R316" s="1">
        <v>0</v>
      </c>
      <c r="S316" s="1">
        <v>1</v>
      </c>
      <c r="T316" s="1">
        <v>1</v>
      </c>
      <c r="U316" s="1">
        <v>0</v>
      </c>
      <c r="V316" s="1">
        <v>0</v>
      </c>
      <c r="W316" s="1">
        <v>0</v>
      </c>
      <c r="X316" s="1">
        <v>0</v>
      </c>
      <c r="Y316" s="1">
        <v>3</v>
      </c>
      <c r="Z316" s="3">
        <v>0.99337748344370869</v>
      </c>
      <c r="AA316" s="1">
        <v>3</v>
      </c>
      <c r="AB316" s="3">
        <v>1.9867549668874174</v>
      </c>
      <c r="AC316" s="1">
        <v>0</v>
      </c>
      <c r="AD316" s="3">
        <v>0</v>
      </c>
      <c r="AE316" s="1">
        <v>2</v>
      </c>
      <c r="AF316" s="3">
        <v>1.3245033112582782</v>
      </c>
      <c r="AG316" s="1">
        <v>3</v>
      </c>
      <c r="AH316" s="3">
        <v>1.9867549668874174</v>
      </c>
      <c r="AI316" s="1" t="s">
        <v>22</v>
      </c>
      <c r="AJ316" s="1">
        <v>0</v>
      </c>
      <c r="AK316" s="3">
        <v>0</v>
      </c>
      <c r="AL316" s="1">
        <v>0</v>
      </c>
      <c r="AM316" s="3">
        <v>0</v>
      </c>
      <c r="AN316" s="1" t="s">
        <v>22</v>
      </c>
      <c r="AO316" s="1">
        <v>4</v>
      </c>
      <c r="AP316" s="3">
        <v>2.6490066225165565</v>
      </c>
      <c r="AQ316" s="3">
        <v>4</v>
      </c>
      <c r="AR316" s="3">
        <v>2.6490066225165565</v>
      </c>
      <c r="AS316" s="1">
        <v>5</v>
      </c>
      <c r="AT316" s="3">
        <v>3.3112582781456954</v>
      </c>
      <c r="AU316" s="1">
        <v>0</v>
      </c>
      <c r="AV316" s="3">
        <v>0</v>
      </c>
      <c r="AW316" s="1" t="s">
        <v>22</v>
      </c>
      <c r="AX316" s="1">
        <v>16</v>
      </c>
      <c r="AY316" s="1">
        <v>0</v>
      </c>
      <c r="AZ316" s="1">
        <v>0</v>
      </c>
      <c r="BA316" s="1">
        <v>32</v>
      </c>
      <c r="BB316" s="1">
        <v>0</v>
      </c>
      <c r="BC316" s="1">
        <v>0</v>
      </c>
      <c r="BD316" s="1">
        <v>0</v>
      </c>
      <c r="BE316" s="54">
        <v>0</v>
      </c>
      <c r="BF316" s="6">
        <v>20</v>
      </c>
      <c r="BG316" s="6">
        <v>17</v>
      </c>
      <c r="BH316" s="1">
        <v>0</v>
      </c>
      <c r="BI316" s="6">
        <v>0</v>
      </c>
      <c r="BJ316" s="1" t="s">
        <v>22</v>
      </c>
      <c r="BK316" s="6">
        <v>0</v>
      </c>
      <c r="BL316" s="6">
        <v>0</v>
      </c>
      <c r="BM316" s="1">
        <v>0</v>
      </c>
      <c r="BN316" t="s">
        <v>24</v>
      </c>
      <c r="BO316">
        <v>1071</v>
      </c>
    </row>
    <row r="317" spans="1:67" x14ac:dyDescent="0.25">
      <c r="A317" s="4">
        <f>INT(Tabela1[[#This Row],[Data e Hora]])</f>
        <v>46295</v>
      </c>
      <c r="B317" s="4" t="str">
        <f>UPPER(TEXT(Tabela1[[#This Row],[Data Corrigida]],"MMM"))</f>
        <v>SET</v>
      </c>
      <c r="C317" t="s">
        <v>928</v>
      </c>
      <c r="D317" t="s">
        <v>929</v>
      </c>
      <c r="E317" t="s">
        <v>926</v>
      </c>
      <c r="F317" t="s">
        <v>19</v>
      </c>
      <c r="G317" s="5" t="s">
        <v>927</v>
      </c>
      <c r="H317" t="s">
        <v>20</v>
      </c>
      <c r="I317" t="s">
        <v>33</v>
      </c>
      <c r="J317" s="1">
        <v>127</v>
      </c>
      <c r="K317" s="1">
        <v>3146</v>
      </c>
      <c r="L317" t="s">
        <v>34</v>
      </c>
      <c r="M317" s="1">
        <v>15</v>
      </c>
      <c r="N317" s="48">
        <v>15</v>
      </c>
      <c r="O317" s="1">
        <v>5</v>
      </c>
      <c r="P317" s="48">
        <v>5</v>
      </c>
      <c r="Q317" s="1">
        <v>0</v>
      </c>
      <c r="R317" s="1">
        <v>0</v>
      </c>
      <c r="S317" s="1">
        <v>3</v>
      </c>
      <c r="T317" s="1">
        <v>3</v>
      </c>
      <c r="U317" s="1">
        <v>2</v>
      </c>
      <c r="V317" s="1">
        <v>2</v>
      </c>
      <c r="W317" s="1">
        <v>0</v>
      </c>
      <c r="X317" s="1">
        <v>0</v>
      </c>
      <c r="Y317" s="1">
        <v>4</v>
      </c>
      <c r="Z317" s="3">
        <v>1.5748031496062991</v>
      </c>
      <c r="AA317" s="1">
        <v>15</v>
      </c>
      <c r="AB317" s="3">
        <v>11.811023622047244</v>
      </c>
      <c r="AC317" s="1">
        <v>0</v>
      </c>
      <c r="AD317" s="3">
        <v>0</v>
      </c>
      <c r="AE317" s="1">
        <v>3</v>
      </c>
      <c r="AF317" s="3">
        <v>2.3622047244094486</v>
      </c>
      <c r="AG317" s="1">
        <v>4</v>
      </c>
      <c r="AH317" s="3">
        <v>3.1496062992125982</v>
      </c>
      <c r="AI317" s="1" t="s">
        <v>22</v>
      </c>
      <c r="AJ317" s="1">
        <v>1</v>
      </c>
      <c r="AK317" s="3">
        <v>0.78740157480314954</v>
      </c>
      <c r="AL317" s="1">
        <v>0</v>
      </c>
      <c r="AM317" s="3">
        <v>0</v>
      </c>
      <c r="AN317" s="1" t="s">
        <v>22</v>
      </c>
      <c r="AO317" s="1">
        <v>3</v>
      </c>
      <c r="AP317" s="3">
        <v>2.3622047244094486</v>
      </c>
      <c r="AQ317" s="3">
        <v>2</v>
      </c>
      <c r="AR317" s="3">
        <v>1.5748031496062991</v>
      </c>
      <c r="AS317" s="1">
        <v>4</v>
      </c>
      <c r="AT317" s="3">
        <v>3.1496062992125982</v>
      </c>
      <c r="AU317" s="1">
        <v>0</v>
      </c>
      <c r="AV317" s="3">
        <v>0</v>
      </c>
      <c r="AW317" s="1" t="s">
        <v>22</v>
      </c>
      <c r="AX317" s="1">
        <v>19</v>
      </c>
      <c r="AY317" s="1">
        <v>0</v>
      </c>
      <c r="AZ317" s="1">
        <v>0</v>
      </c>
      <c r="BA317" s="1">
        <v>38</v>
      </c>
      <c r="BB317" s="1">
        <v>0</v>
      </c>
      <c r="BC317" s="1">
        <v>0</v>
      </c>
      <c r="BD317" s="1">
        <v>0</v>
      </c>
      <c r="BE317" s="54">
        <v>0</v>
      </c>
      <c r="BF317" s="6">
        <v>27</v>
      </c>
      <c r="BG317" s="6">
        <v>14</v>
      </c>
      <c r="BH317" s="1">
        <v>0</v>
      </c>
      <c r="BI317" s="6">
        <v>0</v>
      </c>
      <c r="BJ317" s="1" t="s">
        <v>22</v>
      </c>
      <c r="BK317" s="6">
        <v>0</v>
      </c>
      <c r="BL317" s="6">
        <v>0</v>
      </c>
      <c r="BM317" s="1">
        <v>0</v>
      </c>
      <c r="BN317" t="s">
        <v>24</v>
      </c>
      <c r="BO317">
        <v>8188</v>
      </c>
    </row>
    <row r="318" spans="1:67" x14ac:dyDescent="0.25">
      <c r="A318" s="4">
        <f>INT(Tabela1[[#This Row],[Data e Hora]])</f>
        <v>46295</v>
      </c>
      <c r="B318" s="4" t="str">
        <f>UPPER(TEXT(Tabela1[[#This Row],[Data Corrigida]],"MMM"))</f>
        <v>SET</v>
      </c>
      <c r="C318" t="s">
        <v>930</v>
      </c>
      <c r="D318" t="s">
        <v>931</v>
      </c>
      <c r="E318" t="s">
        <v>932</v>
      </c>
      <c r="F318" t="s">
        <v>19</v>
      </c>
      <c r="G318" s="5" t="s">
        <v>927</v>
      </c>
      <c r="H318" t="s">
        <v>20</v>
      </c>
      <c r="I318" t="s">
        <v>33</v>
      </c>
      <c r="J318" s="1">
        <v>133</v>
      </c>
      <c r="K318" s="1">
        <v>2751</v>
      </c>
      <c r="L318" t="s">
        <v>34</v>
      </c>
      <c r="M318" s="1">
        <v>20</v>
      </c>
      <c r="N318" s="48">
        <v>20</v>
      </c>
      <c r="O318" s="1">
        <v>8</v>
      </c>
      <c r="P318" s="48">
        <v>8</v>
      </c>
      <c r="Q318" s="1">
        <v>0</v>
      </c>
      <c r="R318" s="1">
        <v>0</v>
      </c>
      <c r="S318" s="1">
        <v>1</v>
      </c>
      <c r="T318" s="1">
        <v>1</v>
      </c>
      <c r="U318" s="1">
        <v>0</v>
      </c>
      <c r="V318" s="1">
        <v>0</v>
      </c>
      <c r="W318" s="1">
        <v>0</v>
      </c>
      <c r="X318" s="1">
        <v>0</v>
      </c>
      <c r="Y318" s="1">
        <v>4</v>
      </c>
      <c r="Z318" s="3">
        <v>1.5037593984962405</v>
      </c>
      <c r="AA318" s="1">
        <v>4</v>
      </c>
      <c r="AB318" s="3">
        <v>3.007518796992481</v>
      </c>
      <c r="AC318" s="1">
        <v>0</v>
      </c>
      <c r="AD318" s="3">
        <v>0</v>
      </c>
      <c r="AE318" s="1">
        <v>1</v>
      </c>
      <c r="AF318" s="3">
        <v>0.75187969924812026</v>
      </c>
      <c r="AG318" s="1">
        <v>1</v>
      </c>
      <c r="AH318" s="3">
        <v>0.75187969924812026</v>
      </c>
      <c r="AI318" s="1" t="s">
        <v>22</v>
      </c>
      <c r="AJ318" s="1">
        <v>0</v>
      </c>
      <c r="AK318" s="3">
        <v>0</v>
      </c>
      <c r="AL318" s="1">
        <v>0</v>
      </c>
      <c r="AM318" s="3">
        <v>0</v>
      </c>
      <c r="AN318" s="1" t="s">
        <v>22</v>
      </c>
      <c r="AO318" s="1">
        <v>7</v>
      </c>
      <c r="AP318" s="3">
        <v>5.2631578947368416</v>
      </c>
      <c r="AQ318" s="3">
        <v>6</v>
      </c>
      <c r="AR318" s="3">
        <v>4.5112781954887211</v>
      </c>
      <c r="AS318" s="1">
        <v>4</v>
      </c>
      <c r="AT318" s="3">
        <v>3.007518796992481</v>
      </c>
      <c r="AU318" s="1">
        <v>0</v>
      </c>
      <c r="AV318" s="3">
        <v>0</v>
      </c>
      <c r="AW318" s="1" t="s">
        <v>22</v>
      </c>
      <c r="AX318" s="1">
        <v>16</v>
      </c>
      <c r="AY318" s="1">
        <v>0</v>
      </c>
      <c r="AZ318" s="1">
        <v>0</v>
      </c>
      <c r="BA318" s="1">
        <v>32</v>
      </c>
      <c r="BB318" s="1">
        <v>0</v>
      </c>
      <c r="BC318" s="1">
        <v>0</v>
      </c>
      <c r="BD318" s="1">
        <v>4</v>
      </c>
      <c r="BE318" s="54">
        <v>3.007518796992481</v>
      </c>
      <c r="BF318" s="6">
        <v>20</v>
      </c>
      <c r="BG318" s="6">
        <v>17</v>
      </c>
      <c r="BH318" s="1">
        <v>0</v>
      </c>
      <c r="BI318" s="6">
        <v>0</v>
      </c>
      <c r="BJ318" s="1" t="s">
        <v>22</v>
      </c>
      <c r="BK318" s="6">
        <v>1</v>
      </c>
      <c r="BL318" s="6">
        <v>0</v>
      </c>
      <c r="BM318" s="1">
        <v>0</v>
      </c>
      <c r="BN318" t="s">
        <v>24</v>
      </c>
      <c r="BO318">
        <v>11301</v>
      </c>
    </row>
    <row r="319" spans="1:67" x14ac:dyDescent="0.25">
      <c r="A319" s="4">
        <f>INT(Tabela1[[#This Row],[Data e Hora]])</f>
        <v>46295</v>
      </c>
      <c r="B319" s="4" t="str">
        <f>UPPER(TEXT(Tabela1[[#This Row],[Data Corrigida]],"MMM"))</f>
        <v>SET</v>
      </c>
      <c r="C319" t="s">
        <v>933</v>
      </c>
      <c r="D319" t="s">
        <v>934</v>
      </c>
      <c r="E319" t="s">
        <v>935</v>
      </c>
      <c r="F319" t="s">
        <v>19</v>
      </c>
      <c r="G319" s="5" t="s">
        <v>927</v>
      </c>
      <c r="H319" t="s">
        <v>20</v>
      </c>
      <c r="I319" t="s">
        <v>21</v>
      </c>
      <c r="J319" s="1">
        <v>161</v>
      </c>
      <c r="K319" s="1">
        <v>2943</v>
      </c>
      <c r="L319" t="s">
        <v>23</v>
      </c>
      <c r="M319" s="1">
        <v>35</v>
      </c>
      <c r="N319" s="48">
        <v>35</v>
      </c>
      <c r="O319" s="1">
        <v>20</v>
      </c>
      <c r="P319" s="48">
        <v>20</v>
      </c>
      <c r="Q319" s="1">
        <v>0</v>
      </c>
      <c r="R319" s="1">
        <v>0</v>
      </c>
      <c r="S319" s="1">
        <v>3</v>
      </c>
      <c r="T319" s="1">
        <v>3</v>
      </c>
      <c r="U319" s="1">
        <v>1</v>
      </c>
      <c r="V319" s="1">
        <v>1</v>
      </c>
      <c r="W319" s="1">
        <v>0</v>
      </c>
      <c r="X319" s="1">
        <v>0</v>
      </c>
      <c r="Y319" s="1">
        <v>2</v>
      </c>
      <c r="Z319" s="3">
        <v>0.6211180124223602</v>
      </c>
      <c r="AA319" s="1">
        <v>3</v>
      </c>
      <c r="AB319" s="3">
        <v>1.8633540372670807</v>
      </c>
      <c r="AC319" s="1">
        <v>0</v>
      </c>
      <c r="AD319" s="3">
        <v>0</v>
      </c>
      <c r="AE319" s="1">
        <v>1</v>
      </c>
      <c r="AF319" s="3">
        <v>0.6211180124223602</v>
      </c>
      <c r="AG319" s="1">
        <v>5</v>
      </c>
      <c r="AH319" s="3">
        <v>3.1055900621118013</v>
      </c>
      <c r="AI319" s="1" t="s">
        <v>22</v>
      </c>
      <c r="AJ319" s="1">
        <v>3</v>
      </c>
      <c r="AK319" s="3">
        <v>1.8633540372670807</v>
      </c>
      <c r="AL319" s="1">
        <v>2</v>
      </c>
      <c r="AM319" s="3">
        <v>1.2422360248447204</v>
      </c>
      <c r="AN319" s="1" t="s">
        <v>22</v>
      </c>
      <c r="AO319" s="1">
        <v>6</v>
      </c>
      <c r="AP319" s="3">
        <v>3.7267080745341614</v>
      </c>
      <c r="AQ319" s="3">
        <v>1</v>
      </c>
      <c r="AR319" s="3">
        <v>0.6211180124223602</v>
      </c>
      <c r="AS319" s="1">
        <v>7</v>
      </c>
      <c r="AT319" s="3">
        <v>4.3478260869565215</v>
      </c>
      <c r="AU319" s="1">
        <v>1</v>
      </c>
      <c r="AV319" s="3">
        <v>0.6211180124223602</v>
      </c>
      <c r="AW319" s="1" t="s">
        <v>22</v>
      </c>
      <c r="AX319" s="1">
        <v>19</v>
      </c>
      <c r="AY319" s="1">
        <v>0</v>
      </c>
      <c r="AZ319" s="1">
        <v>0</v>
      </c>
      <c r="BA319" s="1">
        <v>38</v>
      </c>
      <c r="BB319" s="1">
        <v>0</v>
      </c>
      <c r="BC319" s="1">
        <v>0</v>
      </c>
      <c r="BD319" s="1">
        <v>0</v>
      </c>
      <c r="BE319" s="54">
        <v>0</v>
      </c>
      <c r="BF319" s="6">
        <v>21</v>
      </c>
      <c r="BG319" s="6">
        <v>16</v>
      </c>
      <c r="BH319" s="1">
        <v>1</v>
      </c>
      <c r="BI319" s="6">
        <v>10</v>
      </c>
      <c r="BJ319" s="1" t="s">
        <v>22</v>
      </c>
      <c r="BK319" s="1" t="s">
        <v>22</v>
      </c>
      <c r="BL319" s="1" t="s">
        <v>22</v>
      </c>
      <c r="BM319" s="1" t="s">
        <v>22</v>
      </c>
      <c r="BN319" t="s">
        <v>24</v>
      </c>
      <c r="BO319">
        <v>1416</v>
      </c>
    </row>
    <row r="320" spans="1:67" x14ac:dyDescent="0.25">
      <c r="A320" s="4">
        <f>INT(Tabela1[[#This Row],[Data e Hora]])</f>
        <v>46295</v>
      </c>
      <c r="B320" s="4" t="str">
        <f>UPPER(TEXT(Tabela1[[#This Row],[Data Corrigida]],"MMM"))</f>
        <v>SET</v>
      </c>
      <c r="C320" t="s">
        <v>936</v>
      </c>
      <c r="D320" t="s">
        <v>937</v>
      </c>
      <c r="E320" t="s">
        <v>935</v>
      </c>
      <c r="F320" t="s">
        <v>19</v>
      </c>
      <c r="G320" s="5" t="s">
        <v>927</v>
      </c>
      <c r="H320" t="s">
        <v>20</v>
      </c>
      <c r="I320" t="s">
        <v>21</v>
      </c>
      <c r="J320" s="1">
        <v>160</v>
      </c>
      <c r="K320" s="1">
        <v>2775</v>
      </c>
      <c r="L320" t="s">
        <v>23</v>
      </c>
      <c r="M320" s="1">
        <v>49</v>
      </c>
      <c r="N320" s="48">
        <v>49</v>
      </c>
      <c r="O320" s="1">
        <v>31</v>
      </c>
      <c r="P320" s="48">
        <v>31</v>
      </c>
      <c r="Q320" s="1">
        <v>0</v>
      </c>
      <c r="R320" s="1">
        <v>0</v>
      </c>
      <c r="S320" s="1">
        <v>2</v>
      </c>
      <c r="T320" s="1">
        <v>2</v>
      </c>
      <c r="U320" s="1">
        <v>1</v>
      </c>
      <c r="V320" s="1">
        <v>1</v>
      </c>
      <c r="W320" s="1">
        <v>0</v>
      </c>
      <c r="X320" s="1">
        <v>0</v>
      </c>
      <c r="Y320" s="1">
        <v>5</v>
      </c>
      <c r="Z320" s="3">
        <v>1.5625</v>
      </c>
      <c r="AA320" s="1">
        <v>2</v>
      </c>
      <c r="AB320" s="3">
        <v>1.25</v>
      </c>
      <c r="AC320" s="1">
        <v>0</v>
      </c>
      <c r="AD320" s="3">
        <v>0</v>
      </c>
      <c r="AE320" s="1">
        <v>3</v>
      </c>
      <c r="AF320" s="3">
        <v>1.875</v>
      </c>
      <c r="AG320" s="1">
        <v>5</v>
      </c>
      <c r="AH320" s="3">
        <v>3.125</v>
      </c>
      <c r="AI320" s="1" t="s">
        <v>22</v>
      </c>
      <c r="AJ320" s="1">
        <v>3</v>
      </c>
      <c r="AK320" s="3">
        <v>1.875</v>
      </c>
      <c r="AL320" s="1">
        <v>3</v>
      </c>
      <c r="AM320" s="3">
        <v>1.875</v>
      </c>
      <c r="AN320" s="1" t="s">
        <v>22</v>
      </c>
      <c r="AO320" s="1">
        <v>7</v>
      </c>
      <c r="AP320" s="3">
        <v>4.375</v>
      </c>
      <c r="AQ320" s="3">
        <v>2</v>
      </c>
      <c r="AR320" s="3">
        <v>1.25</v>
      </c>
      <c r="AS320" s="1">
        <v>8</v>
      </c>
      <c r="AT320" s="3">
        <v>5</v>
      </c>
      <c r="AU320" s="1">
        <v>1</v>
      </c>
      <c r="AV320" s="3">
        <v>0.625</v>
      </c>
      <c r="AW320" s="1" t="s">
        <v>22</v>
      </c>
      <c r="AX320" s="1">
        <v>20</v>
      </c>
      <c r="AY320" s="1">
        <v>0</v>
      </c>
      <c r="AZ320" s="1">
        <v>0</v>
      </c>
      <c r="BA320" s="1">
        <v>40</v>
      </c>
      <c r="BB320" s="1">
        <v>0</v>
      </c>
      <c r="BC320" s="1">
        <v>0</v>
      </c>
      <c r="BD320" s="1">
        <v>0</v>
      </c>
      <c r="BE320" s="54">
        <v>0</v>
      </c>
      <c r="BF320" s="6">
        <v>19</v>
      </c>
      <c r="BG320" s="6">
        <v>17</v>
      </c>
      <c r="BH320" s="1">
        <v>1</v>
      </c>
      <c r="BI320" s="6">
        <v>10</v>
      </c>
      <c r="BJ320" s="1" t="s">
        <v>22</v>
      </c>
      <c r="BK320" s="6">
        <v>0</v>
      </c>
      <c r="BL320" s="6">
        <v>0</v>
      </c>
      <c r="BM320" s="1">
        <v>2</v>
      </c>
      <c r="BN320" t="s">
        <v>24</v>
      </c>
      <c r="BO320">
        <v>1721</v>
      </c>
    </row>
    <row r="321" spans="1:67" x14ac:dyDescent="0.25">
      <c r="A321" s="4">
        <f>INT(Tabela1[[#This Row],[Data e Hora]])</f>
        <v>46295</v>
      </c>
      <c r="B321" s="4" t="str">
        <f>UPPER(TEXT(Tabela1[[#This Row],[Data Corrigida]],"MMM"))</f>
        <v>SET</v>
      </c>
      <c r="C321" t="s">
        <v>938</v>
      </c>
      <c r="D321" t="s">
        <v>939</v>
      </c>
      <c r="E321" t="s">
        <v>935</v>
      </c>
      <c r="F321" t="s">
        <v>19</v>
      </c>
      <c r="G321" s="5" t="s">
        <v>927</v>
      </c>
      <c r="H321" t="s">
        <v>20</v>
      </c>
      <c r="I321" t="s">
        <v>21</v>
      </c>
      <c r="J321" s="1">
        <v>135</v>
      </c>
      <c r="K321" s="1">
        <v>2861</v>
      </c>
      <c r="L321" t="s">
        <v>23</v>
      </c>
      <c r="M321" s="1">
        <v>31</v>
      </c>
      <c r="N321" s="48">
        <v>31</v>
      </c>
      <c r="O321" s="1">
        <v>14</v>
      </c>
      <c r="P321" s="48">
        <v>14.000000000000002</v>
      </c>
      <c r="Q321" s="1">
        <v>0</v>
      </c>
      <c r="R321" s="1">
        <v>0</v>
      </c>
      <c r="S321" s="1">
        <v>1</v>
      </c>
      <c r="T321" s="1">
        <v>1</v>
      </c>
      <c r="U321" s="1">
        <v>0</v>
      </c>
      <c r="V321" s="1">
        <v>0</v>
      </c>
      <c r="W321" s="1">
        <v>0</v>
      </c>
      <c r="X321" s="1">
        <v>0</v>
      </c>
      <c r="Y321" s="1">
        <v>1</v>
      </c>
      <c r="Z321" s="3">
        <v>0.37037037037037041</v>
      </c>
      <c r="AA321" s="1">
        <v>3</v>
      </c>
      <c r="AB321" s="3">
        <v>2.2222222222222223</v>
      </c>
      <c r="AC321" s="1">
        <v>1</v>
      </c>
      <c r="AD321" s="3">
        <v>0.74074074074074081</v>
      </c>
      <c r="AE321" s="1">
        <v>1</v>
      </c>
      <c r="AF321" s="3">
        <v>0.74074074074074081</v>
      </c>
      <c r="AG321" s="1">
        <v>5</v>
      </c>
      <c r="AH321" s="3">
        <v>3.7037037037037033</v>
      </c>
      <c r="AI321" s="1" t="s">
        <v>22</v>
      </c>
      <c r="AJ321" s="1">
        <v>3</v>
      </c>
      <c r="AK321" s="3">
        <v>2.2222222222222223</v>
      </c>
      <c r="AL321" s="1">
        <v>1</v>
      </c>
      <c r="AM321" s="3">
        <v>0.74074074074074081</v>
      </c>
      <c r="AN321" s="1" t="s">
        <v>22</v>
      </c>
      <c r="AO321" s="1">
        <v>5</v>
      </c>
      <c r="AP321" s="3">
        <v>3.7037037037037033</v>
      </c>
      <c r="AQ321" s="3">
        <v>1</v>
      </c>
      <c r="AR321" s="3">
        <v>0.74074074074074081</v>
      </c>
      <c r="AS321" s="1">
        <v>6</v>
      </c>
      <c r="AT321" s="3">
        <v>4.4444444444444446</v>
      </c>
      <c r="AU321" s="1">
        <v>1</v>
      </c>
      <c r="AV321" s="3">
        <v>0.74074074074074081</v>
      </c>
      <c r="AW321" s="1" t="s">
        <v>22</v>
      </c>
      <c r="AX321" s="1">
        <v>21</v>
      </c>
      <c r="AY321" s="1">
        <v>0</v>
      </c>
      <c r="AZ321" s="1">
        <v>0</v>
      </c>
      <c r="BA321" s="1">
        <v>42</v>
      </c>
      <c r="BB321" s="1">
        <v>0</v>
      </c>
      <c r="BC321" s="1">
        <v>0</v>
      </c>
      <c r="BD321" s="1">
        <v>0</v>
      </c>
      <c r="BE321" s="54">
        <v>0</v>
      </c>
      <c r="BF321" s="6">
        <v>20</v>
      </c>
      <c r="BG321" s="6">
        <v>27</v>
      </c>
      <c r="BH321" s="1">
        <v>1</v>
      </c>
      <c r="BI321" s="6">
        <v>10</v>
      </c>
      <c r="BJ321" s="1" t="s">
        <v>22</v>
      </c>
      <c r="BK321" s="6">
        <v>0</v>
      </c>
      <c r="BL321" s="6">
        <v>0</v>
      </c>
      <c r="BM321" s="1">
        <v>1</v>
      </c>
      <c r="BN321" t="s">
        <v>24</v>
      </c>
      <c r="BO321">
        <v>2325</v>
      </c>
    </row>
    <row r="322" spans="1:67" x14ac:dyDescent="0.25">
      <c r="A322" s="4">
        <f>INT(Tabela1[[#This Row],[Data e Hora]])</f>
        <v>46295</v>
      </c>
      <c r="B322" s="4" t="str">
        <f>UPPER(TEXT(Tabela1[[#This Row],[Data Corrigida]],"MMM"))</f>
        <v>SET</v>
      </c>
      <c r="C322" t="s">
        <v>940</v>
      </c>
      <c r="D322" t="s">
        <v>941</v>
      </c>
      <c r="E322" t="s">
        <v>942</v>
      </c>
      <c r="F322" t="s">
        <v>19</v>
      </c>
      <c r="G322" s="5" t="s">
        <v>927</v>
      </c>
      <c r="H322" t="s">
        <v>20</v>
      </c>
      <c r="I322" t="s">
        <v>21</v>
      </c>
      <c r="J322" s="1">
        <v>146</v>
      </c>
      <c r="K322" s="1">
        <v>2949</v>
      </c>
      <c r="L322" t="s">
        <v>23</v>
      </c>
      <c r="M322" s="1">
        <v>29</v>
      </c>
      <c r="N322" s="48">
        <v>28.999999999999996</v>
      </c>
      <c r="O322" s="1">
        <v>11</v>
      </c>
      <c r="P322" s="48">
        <v>11</v>
      </c>
      <c r="Q322" s="1">
        <v>0</v>
      </c>
      <c r="R322" s="1">
        <v>0</v>
      </c>
      <c r="S322" s="1">
        <v>3</v>
      </c>
      <c r="T322" s="1">
        <v>3</v>
      </c>
      <c r="U322" s="1">
        <v>1</v>
      </c>
      <c r="V322" s="1">
        <v>1</v>
      </c>
      <c r="W322" s="1">
        <v>0</v>
      </c>
      <c r="X322" s="1">
        <v>0</v>
      </c>
      <c r="Y322" s="1">
        <v>1</v>
      </c>
      <c r="Z322" s="3">
        <v>0.34246575342465752</v>
      </c>
      <c r="AA322" s="1">
        <v>2</v>
      </c>
      <c r="AB322" s="3">
        <v>1.3698630136986301</v>
      </c>
      <c r="AC322" s="1">
        <v>0</v>
      </c>
      <c r="AD322" s="3">
        <v>0</v>
      </c>
      <c r="AE322" s="1">
        <v>1</v>
      </c>
      <c r="AF322" s="3">
        <v>0.68493150684931503</v>
      </c>
      <c r="AG322" s="1">
        <v>5</v>
      </c>
      <c r="AH322" s="3">
        <v>3.4246575342465753</v>
      </c>
      <c r="AI322" s="1" t="s">
        <v>22</v>
      </c>
      <c r="AJ322" s="1">
        <v>2</v>
      </c>
      <c r="AK322" s="3">
        <v>1.3698630136986301</v>
      </c>
      <c r="AL322" s="1">
        <v>2</v>
      </c>
      <c r="AM322" s="3">
        <v>1.3698630136986301</v>
      </c>
      <c r="AN322" s="1" t="s">
        <v>22</v>
      </c>
      <c r="AO322" s="1">
        <v>6</v>
      </c>
      <c r="AP322" s="3">
        <v>4.10958904109589</v>
      </c>
      <c r="AQ322" s="3">
        <v>1</v>
      </c>
      <c r="AR322" s="3">
        <v>0.68493150684931503</v>
      </c>
      <c r="AS322" s="1">
        <v>6</v>
      </c>
      <c r="AT322" s="3">
        <v>4.10958904109589</v>
      </c>
      <c r="AU322" s="1">
        <v>1</v>
      </c>
      <c r="AV322" s="3">
        <v>0.68493150684931503</v>
      </c>
      <c r="AW322" s="1" t="s">
        <v>22</v>
      </c>
      <c r="AX322" s="1">
        <v>18</v>
      </c>
      <c r="AY322" s="1">
        <v>0</v>
      </c>
      <c r="AZ322" s="1">
        <v>0</v>
      </c>
      <c r="BA322" s="1">
        <v>36</v>
      </c>
      <c r="BB322" s="1">
        <v>0</v>
      </c>
      <c r="BC322" s="1">
        <v>0</v>
      </c>
      <c r="BD322" s="1">
        <v>0</v>
      </c>
      <c r="BE322" s="54">
        <v>0</v>
      </c>
      <c r="BF322" s="6">
        <v>17</v>
      </c>
      <c r="BG322" s="6">
        <v>23</v>
      </c>
      <c r="BH322" s="1">
        <v>1</v>
      </c>
      <c r="BI322" s="6">
        <v>10</v>
      </c>
      <c r="BJ322" s="1" t="s">
        <v>22</v>
      </c>
      <c r="BK322" s="1" t="s">
        <v>22</v>
      </c>
      <c r="BL322" s="1" t="s">
        <v>22</v>
      </c>
      <c r="BM322" s="1" t="s">
        <v>22</v>
      </c>
      <c r="BN322" t="s">
        <v>24</v>
      </c>
      <c r="BO322">
        <v>1752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2026-09-22T15:54:53Z</cp:lastPrinted>
  <dcterms:created xsi:type="dcterms:W3CDTF">2026-08-03T16:36:45Z</dcterms:created>
  <dcterms:modified xsi:type="dcterms:W3CDTF">2026-10-01T13:52:35Z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