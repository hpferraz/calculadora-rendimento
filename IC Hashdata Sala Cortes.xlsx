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J60" i="2"/>
  <c r="K41" i="2"/>
  <c r="AC19" i="2"/>
  <c r="AQ23" i="2"/>
  <c r="V8" i="2"/>
  <c r="AK4" i="2"/>
  <c r="AM26" i="2"/>
  <c r="AM53" i="2"/>
  <c r="W56" i="2"/>
  <c r="I4" i="2"/>
  <c r="AL5" i="2"/>
  <c r="AN38" i="2"/>
  <c r="J41" i="2"/>
  <c r="U42" i="2"/>
  <c r="AL41" i="2"/>
  <c r="AN58" i="2"/>
  <c r="V58" i="2"/>
  <c r="AA42" i="2"/>
  <c r="AR32" i="2"/>
  <c r="Z30" i="2"/>
  <c r="O28" i="2"/>
  <c r="I42" i="2"/>
  <c r="AR50" i="2"/>
  <c r="AP4" i="2"/>
  <c r="X32" i="2"/>
  <c r="AJ19" i="2"/>
  <c r="AA35" i="2"/>
  <c r="R57" i="2"/>
  <c r="AE41" i="2"/>
  <c r="AQ33" i="2"/>
  <c r="V4" i="2"/>
  <c r="Y51" i="2"/>
  <c r="K4" i="2"/>
  <c r="AE4" i="2"/>
  <c r="Y31" i="2"/>
  <c r="AA49" i="2"/>
  <c r="AR17" i="2"/>
  <c r="AD40" i="2"/>
  <c r="AD42" i="2"/>
  <c r="R60" i="2"/>
  <c r="AE13" i="2"/>
  <c r="G15" i="2"/>
  <c r="AJ26" i="2"/>
  <c r="L27" i="2"/>
  <c r="AI7" i="2"/>
  <c r="J33" i="2"/>
  <c r="H49" i="2"/>
  <c r="W31" i="2"/>
  <c r="L60" i="2"/>
  <c r="W16" i="2"/>
  <c r="AR53" i="2"/>
  <c r="G32" i="2"/>
  <c r="M33" i="2"/>
  <c r="AN55" i="2"/>
  <c r="AL28" i="2"/>
  <c r="M23" i="2"/>
  <c r="AA12" i="2"/>
  <c r="AC40" i="2"/>
  <c r="AL54" i="2"/>
  <c r="AR11" i="2"/>
  <c r="J50" i="2"/>
  <c r="AQ53" i="2"/>
  <c r="Q47" i="2"/>
  <c r="AN53" i="2"/>
  <c r="P27" i="2"/>
  <c r="L28" i="2"/>
  <c r="K23" i="2"/>
  <c r="Y50" i="2"/>
  <c r="AE38" i="2"/>
  <c r="V42" i="2"/>
  <c r="AM49" i="2"/>
  <c r="AF41" i="2"/>
  <c r="P60" i="2"/>
  <c r="J5" i="2"/>
  <c r="AK29" i="2"/>
  <c r="AI34" i="2"/>
  <c r="AC39" i="2"/>
  <c r="AO51" i="2"/>
  <c r="W5" i="2"/>
  <c r="AE5" i="2"/>
  <c r="AL52" i="2"/>
  <c r="AF60" i="2"/>
  <c r="AH53" i="2"/>
  <c r="AD8" i="2"/>
  <c r="Y7" i="2"/>
  <c r="AD49" i="2"/>
  <c r="AE40" i="2"/>
  <c r="AH37" i="2"/>
  <c r="AG13" i="2"/>
  <c r="N18" i="2"/>
  <c r="Y47" i="2"/>
  <c r="AJ22" i="2"/>
  <c r="AO9" i="2"/>
  <c r="L34" i="2"/>
  <c r="V11" i="2"/>
  <c r="AK32" i="2"/>
  <c r="AH4" i="2"/>
  <c r="X25" i="2"/>
  <c r="AP11" i="2"/>
  <c r="AF56" i="2"/>
  <c r="Y19" i="2"/>
  <c r="M4" i="2"/>
  <c r="AN42" i="2"/>
  <c r="K13" i="2"/>
  <c r="AF58" i="2"/>
  <c r="U20" i="2"/>
  <c r="Q32" i="2"/>
  <c r="AM8" i="2"/>
  <c r="AL42" i="2"/>
  <c r="P19" i="2"/>
  <c r="AA5" i="2"/>
  <c r="Q26" i="2"/>
  <c r="M46" i="2"/>
  <c r="AD20" i="2"/>
  <c r="P32" i="2"/>
  <c r="G34" i="2"/>
  <c r="I48" i="2"/>
  <c r="AD31" i="2"/>
  <c r="V60" i="2"/>
  <c r="P10" i="2"/>
  <c r="AJ36" i="2"/>
  <c r="AL4" i="2"/>
  <c r="Q35" i="2"/>
  <c r="O26" i="2"/>
  <c r="X6" i="2"/>
  <c r="I21" i="2"/>
  <c r="AB60" i="2"/>
  <c r="Z37" i="2"/>
  <c r="W28" i="2"/>
  <c r="AH27" i="2"/>
  <c r="K6" i="2"/>
  <c r="H16" i="2"/>
  <c r="O39" i="2"/>
  <c r="AO4" i="2"/>
  <c r="U56" i="2"/>
  <c r="K48" i="2"/>
  <c r="AD5" i="2"/>
  <c r="AG60" i="2"/>
  <c r="Y8" i="2"/>
  <c r="AM28" i="2"/>
  <c r="J48" i="2"/>
  <c r="AD53" i="2"/>
  <c r="AP35" i="2"/>
  <c r="AE51" i="2"/>
  <c r="AF5" i="2"/>
  <c r="M11" i="2"/>
  <c r="AA52" i="2"/>
  <c r="AQ38" i="2"/>
  <c r="G18" i="2"/>
  <c r="O20" i="2"/>
  <c r="AK39" i="2"/>
  <c r="N47" i="2"/>
  <c r="K17" i="2"/>
  <c r="AF57" i="2"/>
  <c r="AG36" i="2"/>
  <c r="J16" i="2"/>
  <c r="AR49" i="2"/>
  <c r="H58" i="2"/>
  <c r="H50" i="2"/>
  <c r="AP22" i="2"/>
  <c r="AE18" i="2"/>
  <c r="K12" i="2"/>
  <c r="AB53" i="2"/>
  <c r="Y52" i="2"/>
  <c r="L4" i="2"/>
  <c r="M41" i="2"/>
  <c r="AM29" i="2"/>
  <c r="AI29" i="2"/>
  <c r="AA50" i="2"/>
  <c r="O54" i="2"/>
  <c r="AM33" i="2"/>
  <c r="Y13" i="2"/>
  <c r="AM5" i="2"/>
  <c r="G24" i="2"/>
  <c r="AQ31" i="2"/>
  <c r="M22" i="2"/>
  <c r="AQ32" i="2"/>
  <c r="Z57" i="2"/>
  <c r="O10" i="2"/>
  <c r="Y28" i="2"/>
  <c r="AE8" i="2"/>
  <c r="AO11" i="2"/>
  <c r="V41" i="2"/>
  <c r="AF17" i="2"/>
  <c r="AM39" i="2"/>
  <c r="AR60" i="2"/>
  <c r="X42" i="2"/>
  <c r="AI35" i="2"/>
  <c r="AH52" i="2"/>
  <c r="P51" i="2"/>
  <c r="AA28" i="2"/>
  <c r="AE36" i="2"/>
  <c r="K51" i="2"/>
  <c r="AQ13" i="2"/>
  <c r="AO37" i="2"/>
  <c r="AI12" i="2"/>
  <c r="AI37" i="2"/>
  <c r="Q51" i="2"/>
  <c r="G48" i="2"/>
  <c r="AD38" i="2"/>
  <c r="X40" i="2"/>
  <c r="AI57" i="2"/>
  <c r="AP12" i="2"/>
  <c r="AI8" i="2"/>
  <c r="K55" i="2"/>
  <c r="V50" i="2"/>
  <c r="AB40" i="2"/>
  <c r="AM13" i="2"/>
  <c r="AD37" i="2"/>
  <c r="AH31" i="2"/>
  <c r="Z50" i="2"/>
  <c r="X24" i="2"/>
  <c r="G49" i="2"/>
  <c r="AA18" i="2"/>
  <c r="AN56" i="2"/>
  <c r="AQ57" i="2"/>
  <c r="AE24" i="2"/>
  <c r="K60" i="2"/>
  <c r="O7" i="2"/>
  <c r="X51" i="2"/>
  <c r="AJ56" i="2"/>
  <c r="AK52" i="2"/>
  <c r="AN30" i="2"/>
  <c r="I14" i="2"/>
  <c r="AK25" i="2"/>
  <c r="AK14" i="2"/>
  <c r="AH9" i="2"/>
  <c r="R23" i="2"/>
  <c r="K39" i="2"/>
  <c r="AF39" i="2"/>
  <c r="W60" i="2"/>
  <c r="AN49" i="2"/>
  <c r="AR54" i="2"/>
  <c r="O11" i="2"/>
  <c r="AJ47" i="2"/>
  <c r="AF20" i="2"/>
  <c r="AE32" i="2"/>
  <c r="I38" i="2"/>
  <c r="AA21" i="2"/>
  <c r="AB23" i="2"/>
  <c r="J54" i="2"/>
  <c r="O31" i="2"/>
  <c r="AF36" i="2"/>
  <c r="AI36" i="2"/>
  <c r="P57" i="2"/>
  <c r="AL50" i="2"/>
  <c r="Q40" i="2"/>
  <c r="AR16" i="2"/>
  <c r="R52" i="2"/>
  <c r="AH49" i="2"/>
  <c r="M57" i="2"/>
  <c r="AL23" i="2"/>
  <c r="AP47" i="2"/>
  <c r="AC22" i="2"/>
  <c r="Y10" i="2"/>
  <c r="N59" i="2"/>
  <c r="AC42" i="2"/>
  <c r="I16" i="2"/>
  <c r="AM25" i="2"/>
  <c r="AD17" i="2"/>
  <c r="I23" i="2"/>
  <c r="AP38" i="2"/>
  <c r="AG39" i="2"/>
  <c r="AJ42" i="2"/>
  <c r="U24" i="2"/>
  <c r="AI32" i="2"/>
  <c r="O22" i="2"/>
  <c r="AP13" i="2"/>
  <c r="H15" i="2"/>
  <c r="H33" i="2"/>
  <c r="I41" i="2"/>
  <c r="AA24" i="2"/>
  <c r="AC59" i="2"/>
  <c r="AF54" i="2"/>
  <c r="Z20" i="2"/>
  <c r="AC9" i="2"/>
  <c r="AK20" i="2"/>
  <c r="K36" i="2"/>
  <c r="AH29" i="2"/>
  <c r="I58" i="2"/>
  <c r="AO13" i="2"/>
  <c r="AJ52" i="2"/>
  <c r="AG47" i="2"/>
  <c r="AN36" i="2"/>
  <c r="AE26" i="2"/>
  <c r="AH54" i="2"/>
  <c r="AL37" i="2"/>
  <c r="Z14" i="2"/>
  <c r="H14" i="2"/>
  <c r="G37" i="2"/>
  <c r="N9" i="2"/>
  <c r="AM51" i="2"/>
  <c r="W40" i="2"/>
  <c r="L41" i="2"/>
  <c r="Z27" i="2"/>
  <c r="X33" i="2"/>
  <c r="AK15" i="2"/>
  <c r="AD16" i="2"/>
  <c r="AO36" i="2"/>
  <c r="J40" i="2"/>
  <c r="V5" i="2"/>
  <c r="K49" i="2"/>
  <c r="I29" i="2"/>
  <c r="V27" i="2"/>
  <c r="Q8" i="2"/>
  <c r="AN60" i="2"/>
  <c r="Z29" i="2"/>
  <c r="V13" i="2"/>
  <c r="AQ22" i="2"/>
  <c r="AQ56" i="2"/>
  <c r="U26" i="2"/>
  <c r="Y33" i="2"/>
  <c r="AG6" i="2"/>
  <c r="AC36" i="2"/>
  <c r="AQ59" i="2"/>
  <c r="R40" i="2"/>
  <c r="H59" i="2"/>
  <c r="AF19" i="2"/>
  <c r="K25" i="2"/>
  <c r="L18" i="2"/>
  <c r="AH10" i="2"/>
  <c r="AD35" i="2"/>
  <c r="G19" i="2"/>
  <c r="AP24" i="2"/>
  <c r="AB41" i="2"/>
  <c r="Z58" i="2"/>
  <c r="J6" i="2"/>
  <c r="AK30" i="2"/>
  <c r="X27" i="2"/>
  <c r="O58" i="2"/>
  <c r="W53" i="2"/>
  <c r="AK55" i="2"/>
  <c r="AP56" i="2"/>
  <c r="M17" i="2"/>
  <c r="R41" i="2"/>
  <c r="Q28" i="2"/>
  <c r="AD28" i="2"/>
  <c r="G13" i="2"/>
  <c r="AE52" i="2"/>
  <c r="AJ28" i="2"/>
  <c r="AC17" i="2"/>
  <c r="AD59" i="2"/>
  <c r="AA4" i="2"/>
  <c r="P34" i="2"/>
  <c r="AM50" i="2"/>
  <c r="AJ40" i="2"/>
  <c r="AG41" i="2"/>
  <c r="H32" i="2"/>
  <c r="AJ13" i="2"/>
  <c r="K18" i="2"/>
  <c r="AH47" i="2"/>
  <c r="G14" i="2"/>
  <c r="AQ41" i="2"/>
  <c r="AN39" i="2"/>
  <c r="W58" i="2"/>
  <c r="AG42" i="2"/>
  <c r="V7" i="2"/>
  <c r="K16" i="2"/>
  <c r="AR10" i="2"/>
  <c r="X53" i="2"/>
  <c r="Q55" i="2"/>
  <c r="AA60" i="2"/>
  <c r="P52" i="2"/>
  <c r="AH19" i="2"/>
  <c r="N53" i="2"/>
  <c r="AJ39" i="2"/>
  <c r="J18" i="2"/>
  <c r="AO16" i="2"/>
  <c r="AE28" i="2"/>
  <c r="M38" i="2"/>
  <c r="W30" i="2"/>
  <c r="N52" i="2"/>
  <c r="M48" i="2"/>
  <c r="V33" i="2"/>
  <c r="AA31" i="2"/>
  <c r="J36" i="2"/>
  <c r="W11" i="2"/>
  <c r="Z35" i="2"/>
  <c r="I39" i="2"/>
  <c r="AP54" i="2"/>
  <c r="K57" i="2"/>
  <c r="R55" i="2"/>
  <c r="H4" i="2"/>
  <c r="AA38" i="2"/>
  <c r="AK51" i="2"/>
  <c r="W55" i="2"/>
  <c r="H23" i="2"/>
  <c r="AM12" i="2"/>
  <c r="U36" i="2"/>
  <c r="AL30" i="2"/>
  <c r="AG15" i="2"/>
  <c r="X57" i="2"/>
  <c r="G47" i="2"/>
  <c r="N50" i="2"/>
  <c r="G6" i="2"/>
  <c r="AK41" i="2"/>
  <c r="M24" i="2"/>
  <c r="AH21" i="2"/>
  <c r="O15" i="2"/>
  <c r="AM19" i="2"/>
  <c r="J11" i="2"/>
  <c r="U39" i="2"/>
  <c r="AO31" i="2"/>
  <c r="W34" i="2"/>
  <c r="AH36" i="2"/>
  <c r="AD13" i="2"/>
  <c r="AB26" i="2"/>
  <c r="O4" i="2"/>
  <c r="R5" i="2"/>
  <c r="AC21" i="2"/>
  <c r="AG51" i="2"/>
  <c r="AF42" i="2"/>
  <c r="AF18" i="2"/>
  <c r="AN31" i="2"/>
  <c r="W20" i="2"/>
  <c r="AC35" i="2"/>
  <c r="H27" i="2"/>
  <c r="R9" i="2"/>
  <c r="J26" i="2"/>
  <c r="AB5" i="2"/>
  <c r="U60" i="2"/>
  <c r="AE60" i="2"/>
  <c r="AJ59" i="2"/>
  <c r="I24" i="2"/>
  <c r="AF28" i="2"/>
  <c r="H42" i="2"/>
  <c r="AL34" i="2"/>
  <c r="X29" i="2"/>
  <c r="AG53" i="2"/>
  <c r="W19" i="2"/>
  <c r="Q24" i="2"/>
  <c r="I59" i="2"/>
  <c r="AD27" i="2"/>
  <c r="AN29" i="2"/>
  <c r="P30" i="2"/>
  <c r="P17" i="2"/>
  <c r="L39" i="2"/>
  <c r="AK48" i="2"/>
  <c r="K19" i="2"/>
  <c r="G55" i="2"/>
  <c r="Y54" i="2"/>
  <c r="AM58" i="2"/>
  <c r="AI22" i="2"/>
  <c r="AC41" i="2"/>
  <c r="N57" i="2"/>
  <c r="R17" i="2"/>
  <c r="Z11" i="2"/>
  <c r="AC27" i="2"/>
  <c r="AM34" i="2"/>
  <c r="AI19" i="2"/>
  <c r="AO24" i="2"/>
  <c r="V21" i="2"/>
  <c r="V16" i="2"/>
  <c r="AG55" i="2"/>
  <c r="AA29" i="2"/>
  <c r="J7" i="2"/>
  <c r="AP57" i="2"/>
  <c r="Q23" i="2"/>
  <c r="AA15" i="2"/>
  <c r="K31" i="2"/>
  <c r="R42" i="2"/>
  <c r="G42" i="2"/>
  <c r="AC12" i="2"/>
  <c r="U52" i="2"/>
  <c r="J52" i="2"/>
  <c r="AI11" i="2"/>
  <c r="Y58" i="2"/>
  <c r="Q42" i="2"/>
  <c r="K33" i="2"/>
  <c r="Y55" i="2"/>
  <c r="AF49" i="2"/>
  <c r="AO18" i="2"/>
  <c r="P20" i="2"/>
  <c r="AO27" i="2"/>
  <c r="I46" i="2"/>
  <c r="AF13" i="2"/>
  <c r="W50" i="2"/>
  <c r="J19" i="2"/>
  <c r="P8" i="2"/>
  <c r="P39" i="2"/>
  <c r="AC34" i="2"/>
  <c r="N15" i="2"/>
  <c r="U30" i="2"/>
  <c r="AO42" i="2"/>
  <c r="W51" i="2"/>
  <c r="AK10" i="2"/>
  <c r="AH40" i="2"/>
  <c r="AG21" i="2"/>
  <c r="U48" i="2"/>
  <c r="AQ21" i="2"/>
  <c r="AP9" i="2"/>
  <c r="AP55" i="2"/>
  <c r="AF52" i="2"/>
  <c r="AA48" i="2"/>
  <c r="AA13" i="2"/>
  <c r="M16" i="2"/>
  <c r="U31" i="2"/>
  <c r="Z40" i="2"/>
  <c r="V39" i="2"/>
  <c r="AO33" i="2"/>
  <c r="V51" i="2"/>
  <c r="AP18" i="2"/>
  <c r="AE29" i="2"/>
  <c r="L12" i="2"/>
  <c r="AB31" i="2"/>
  <c r="AH5" i="2"/>
  <c r="L6" i="2"/>
  <c r="Y12" i="2"/>
  <c r="R8" i="2"/>
  <c r="P49" i="2"/>
  <c r="P50" i="2"/>
  <c r="AM48" i="2"/>
  <c r="M55" i="2"/>
  <c r="W35" i="2"/>
  <c r="AC51" i="2"/>
  <c r="G17" i="2"/>
  <c r="AP29" i="2"/>
  <c r="W42" i="2"/>
  <c r="N49" i="2"/>
  <c r="V30" i="2"/>
  <c r="K7" i="2"/>
  <c r="AF4" i="2"/>
  <c r="AJ18" i="2"/>
  <c r="U46" i="2"/>
  <c r="AH28" i="2"/>
  <c r="AF15" i="2"/>
  <c r="L16" i="2"/>
  <c r="AA19" i="2"/>
  <c r="AR6" i="2"/>
  <c r="Y16" i="2"/>
  <c r="X18" i="2"/>
  <c r="V35" i="2"/>
  <c r="AO50" i="2"/>
  <c r="AB17" i="2"/>
  <c r="L36" i="2"/>
  <c r="AJ21" i="2"/>
  <c r="Q58" i="2"/>
  <c r="L9" i="2"/>
  <c r="N23" i="2"/>
  <c r="L38" i="2"/>
  <c r="P28" i="2"/>
  <c r="V28" i="2"/>
  <c r="AJ8" i="2"/>
  <c r="AR35" i="2"/>
  <c r="AB47" i="2"/>
  <c r="H38" i="2"/>
  <c r="AK58" i="2"/>
  <c r="R24" i="2"/>
  <c r="I15" i="2"/>
  <c r="R38" i="2"/>
  <c r="AM10" i="2"/>
  <c r="AR4" i="2"/>
  <c r="AM47" i="2"/>
  <c r="P4" i="2"/>
  <c r="AF6" i="2"/>
  <c r="Z54" i="2"/>
  <c r="AC23" i="2"/>
  <c r="K15" i="2"/>
  <c r="I60" i="2"/>
  <c r="Z13" i="2"/>
  <c r="U59" i="2"/>
  <c r="AO40" i="2"/>
  <c r="AH15" i="2"/>
  <c r="AP40" i="2"/>
  <c r="P53" i="2"/>
  <c r="V17" i="2"/>
  <c r="AC48" i="2"/>
  <c r="AB19" i="2"/>
  <c r="AL19" i="2"/>
  <c r="AJ46" i="2"/>
  <c r="W14" i="2"/>
  <c r="Q25" i="2"/>
  <c r="AN15" i="2"/>
  <c r="AE20" i="2"/>
  <c r="H25" i="2"/>
  <c r="AM59" i="2"/>
  <c r="AA7" i="2"/>
  <c r="AK37" i="2"/>
  <c r="AK59" i="2"/>
  <c r="AR15" i="2"/>
  <c r="R35" i="2"/>
  <c r="AM23" i="2"/>
  <c r="L17" i="2"/>
  <c r="AI47" i="2"/>
  <c r="M21" i="2"/>
  <c r="AL6" i="2"/>
  <c r="I47" i="2"/>
  <c r="R59" i="2"/>
  <c r="I20" i="2"/>
  <c r="W26" i="2"/>
  <c r="Z39" i="2"/>
  <c r="AN47" i="2"/>
  <c r="AG38" i="2"/>
  <c r="P46" i="2"/>
  <c r="AE50" i="2"/>
  <c r="V57" i="2"/>
  <c r="M50" i="2"/>
  <c r="AQ54" i="2"/>
  <c r="J35" i="2"/>
  <c r="AA51" i="2"/>
  <c r="AJ57" i="2"/>
  <c r="AO53" i="2"/>
  <c r="O51" i="2"/>
  <c r="L25" i="2"/>
  <c r="N58" i="2"/>
  <c r="X56" i="2"/>
  <c r="R13" i="2"/>
  <c r="AM52" i="2"/>
  <c r="AE25" i="2"/>
  <c r="V47" i="2"/>
  <c r="I54" i="2"/>
  <c r="AA30" i="2"/>
  <c r="L10" i="2"/>
  <c r="R16" i="2"/>
  <c r="AA46" i="2"/>
  <c r="AN9" i="2"/>
  <c r="J24" i="2"/>
  <c r="X58" i="2"/>
  <c r="AI41" i="2"/>
  <c r="AG25" i="2"/>
  <c r="I26" i="2"/>
  <c r="O23" i="2"/>
  <c r="AJ20" i="2"/>
  <c r="AI30" i="2"/>
  <c r="P15" i="2"/>
  <c r="Q60" i="2"/>
  <c r="AA22" i="2"/>
  <c r="AF47" i="2"/>
  <c r="AI50" i="2"/>
  <c r="AK17" i="2"/>
  <c r="AO48" i="2"/>
  <c r="AK23" i="2"/>
  <c r="AR26" i="2"/>
  <c r="AN34" i="2"/>
  <c r="AD57" i="2"/>
  <c r="AN5" i="2"/>
  <c r="AG46" i="2"/>
  <c r="AC6" i="2"/>
  <c r="AQ58" i="2"/>
  <c r="Z42" i="2"/>
  <c r="O49" i="2"/>
  <c r="N51" i="2"/>
  <c r="Y15" i="2"/>
  <c r="AC24" i="2"/>
  <c r="AD55" i="2"/>
  <c r="M31" i="2"/>
  <c r="AR52" i="2"/>
  <c r="J12" i="2"/>
  <c r="Z25" i="2"/>
  <c r="M59" i="2"/>
  <c r="AI38" i="2"/>
  <c r="AE7" i="2"/>
  <c r="AI58" i="2"/>
  <c r="AG14" i="2"/>
  <c r="L14" i="2"/>
  <c r="I9" i="2"/>
  <c r="AQ15" i="2"/>
  <c r="K26" i="2"/>
  <c r="AG34" i="2"/>
  <c r="N7" i="2"/>
  <c r="AQ8" i="2"/>
  <c r="Z38" i="2"/>
  <c r="AK8" i="2"/>
  <c r="AH8" i="2"/>
  <c r="J22" i="2"/>
  <c r="Y48" i="2"/>
  <c r="N22" i="2"/>
  <c r="AO55" i="2"/>
  <c r="V46" i="2"/>
  <c r="AB9" i="2"/>
  <c r="AL46" i="2"/>
  <c r="AI15" i="2"/>
  <c r="AB36" i="2"/>
  <c r="J39" i="2"/>
  <c r="AL51" i="2"/>
  <c r="L13" i="2"/>
  <c r="M56" i="2"/>
  <c r="Z32" i="2"/>
  <c r="AQ46" i="2"/>
  <c r="U18" i="2"/>
  <c r="AN41" i="2"/>
  <c r="AR29" i="2"/>
  <c r="U27" i="2"/>
  <c r="AF29" i="2"/>
  <c r="AN22" i="2"/>
  <c r="AG48" i="2"/>
  <c r="V19" i="2"/>
  <c r="AR38" i="2"/>
  <c r="Y59" i="2"/>
  <c r="AC55" i="2"/>
  <c r="N24" i="2"/>
  <c r="J27" i="2"/>
  <c r="Y18" i="2"/>
  <c r="AP20" i="2"/>
  <c r="K9" i="2"/>
  <c r="Z15" i="2"/>
  <c r="I8" i="2"/>
  <c r="I17" i="2"/>
  <c r="AM38" i="2"/>
  <c r="K50" i="2"/>
  <c r="AO23" i="2"/>
  <c r="X60" i="2"/>
  <c r="AD25" i="2"/>
  <c r="Q6" i="2"/>
  <c r="Z24" i="2"/>
  <c r="W18" i="2"/>
  <c r="R48" i="2"/>
  <c r="AN35" i="2"/>
  <c r="AK34" i="2"/>
  <c r="I49" i="2"/>
  <c r="AE49" i="2"/>
  <c r="AO15" i="2"/>
  <c r="AQ28" i="2"/>
  <c r="L5" i="2"/>
  <c r="AF51" i="2"/>
  <c r="AB29" i="2"/>
  <c r="AB49" i="2"/>
  <c r="AE23" i="2"/>
  <c r="AF53" i="2"/>
  <c r="AK53" i="2"/>
  <c r="X31" i="2"/>
  <c r="P7" i="2"/>
  <c r="AO6" i="2"/>
  <c r="AO26" i="2"/>
  <c r="AL20" i="2"/>
  <c r="AF48" i="2"/>
  <c r="G5" i="2"/>
  <c r="AR14" i="2"/>
  <c r="AI52" i="2"/>
  <c r="N46" i="2"/>
  <c r="AK31" i="2"/>
  <c r="Z18" i="2"/>
  <c r="G60" i="2"/>
  <c r="H24" i="2"/>
  <c r="G11" i="2"/>
  <c r="H41" i="2"/>
  <c r="J29" i="2"/>
  <c r="W32" i="2"/>
  <c r="AB58" i="2"/>
  <c r="Y53" i="2"/>
  <c r="H19" i="2"/>
  <c r="U35" i="2"/>
  <c r="O16" i="2"/>
  <c r="AD10" i="2"/>
  <c r="X26" i="2"/>
  <c r="AR39" i="2"/>
  <c r="AA56" i="2"/>
  <c r="AG54" i="2"/>
  <c r="W48" i="2"/>
  <c r="AI33" i="2"/>
  <c r="U23" i="2"/>
  <c r="P22" i="2"/>
  <c r="L22" i="2"/>
  <c r="Z31" i="2"/>
  <c r="O32" i="2"/>
  <c r="Q12" i="2"/>
  <c r="AB37" i="2"/>
  <c r="V56" i="2"/>
  <c r="AE57" i="2"/>
  <c r="J42" i="2"/>
  <c r="AO41" i="2"/>
  <c r="AA55" i="2"/>
  <c r="H28" i="2"/>
  <c r="G29" i="2"/>
  <c r="G53" i="2"/>
  <c r="Z55" i="2"/>
  <c r="AN17" i="2"/>
  <c r="AN59" i="2"/>
  <c r="G23" i="2"/>
  <c r="O37" i="2"/>
  <c r="AL53" i="2"/>
  <c r="AG59" i="2"/>
  <c r="AN14" i="2"/>
  <c r="O35" i="2"/>
  <c r="AR37" i="2"/>
  <c r="P12" i="2"/>
  <c r="AH24" i="2"/>
  <c r="L52" i="2"/>
  <c r="AP23" i="2"/>
  <c r="AB54" i="2"/>
  <c r="AE14" i="2"/>
  <c r="AL33" i="2"/>
  <c r="N27" i="2"/>
  <c r="Q56" i="2"/>
  <c r="I37" i="2"/>
  <c r="AA59" i="2"/>
  <c r="AM11" i="2"/>
  <c r="P33" i="2"/>
  <c r="X49" i="2"/>
  <c r="AP7" i="2"/>
  <c r="AO57" i="2"/>
  <c r="AG11" i="2"/>
  <c r="AE10" i="2"/>
  <c r="Q38" i="2"/>
  <c r="U22" i="2"/>
  <c r="AP14" i="2"/>
  <c r="U47" i="2"/>
  <c r="AE16" i="2"/>
  <c r="AJ7" i="2"/>
  <c r="J14" i="2"/>
  <c r="W8" i="2"/>
  <c r="X7" i="2"/>
  <c r="N13" i="2"/>
  <c r="R11" i="2"/>
  <c r="W13" i="2"/>
  <c r="Q15" i="2"/>
  <c r="J4" i="2"/>
  <c r="AA9" i="2"/>
  <c r="U34" i="2"/>
  <c r="Q30" i="2"/>
  <c r="AL10" i="2"/>
  <c r="X41" i="2"/>
  <c r="J17" i="2"/>
  <c r="AG56" i="2"/>
  <c r="P31" i="2"/>
  <c r="J25" i="2"/>
  <c r="R21" i="2"/>
  <c r="AP59" i="2"/>
  <c r="Q50" i="2"/>
  <c r="AC10" i="2"/>
  <c r="L24" i="2"/>
  <c r="AG18" i="2"/>
  <c r="X12" i="2"/>
  <c r="Q39" i="2"/>
  <c r="X59" i="2"/>
  <c r="U6" i="2"/>
  <c r="AQ16" i="2"/>
  <c r="AH46" i="2"/>
  <c r="N36" i="2"/>
  <c r="H9" i="2"/>
  <c r="AA39" i="2"/>
  <c r="J51" i="2"/>
  <c r="AQ37" i="2"/>
  <c r="AP58" i="2"/>
  <c r="I5" i="2"/>
  <c r="AJ37" i="2"/>
  <c r="AN4" i="2"/>
  <c r="AC16" i="2"/>
  <c r="AG10" i="2"/>
  <c r="AR51" i="2"/>
  <c r="X35" i="2"/>
  <c r="AD9" i="2"/>
  <c r="AE46" i="2"/>
  <c r="R51" i="2"/>
  <c r="AI21" i="2"/>
  <c r="K22" i="2"/>
  <c r="G50" i="2"/>
  <c r="AB12" i="2"/>
  <c r="AH20" i="2"/>
  <c r="AC25" i="2"/>
  <c r="O48" i="2"/>
  <c r="X54" i="2"/>
  <c r="AH11" i="2"/>
  <c r="U49" i="2"/>
  <c r="AA26" i="2"/>
  <c r="AQ36" i="2"/>
  <c r="P58" i="2"/>
  <c r="AO47" i="2"/>
  <c r="AQ20" i="2"/>
  <c r="AE12" i="2"/>
  <c r="AC32" i="2"/>
  <c r="O17" i="2"/>
  <c r="W25" i="2"/>
  <c r="AB21" i="2"/>
  <c r="AM35" i="2"/>
  <c r="O41" i="2"/>
  <c r="AQ11" i="2"/>
  <c r="AP37" i="2"/>
  <c r="AQ60" i="2"/>
  <c r="M7" i="2"/>
  <c r="AF59" i="2"/>
  <c r="AH14" i="2"/>
  <c r="AN48" i="2"/>
  <c r="P48" i="2"/>
  <c r="R54" i="2"/>
  <c r="W52" i="2"/>
  <c r="AB11" i="2"/>
  <c r="AJ51" i="2"/>
  <c r="AJ35" i="2"/>
  <c r="Y41" i="2"/>
  <c r="AC28" i="2"/>
  <c r="AH60" i="2"/>
  <c r="W46" i="2"/>
  <c r="U9" i="2"/>
  <c r="AG20" i="2"/>
  <c r="AO7" i="2"/>
  <c r="AO19" i="2"/>
  <c r="AO5" i="2"/>
  <c r="AN24" i="2"/>
  <c r="AR20" i="2"/>
  <c r="AK49" i="2"/>
  <c r="Y4" i="2"/>
  <c r="W38" i="2"/>
  <c r="AO32" i="2"/>
  <c r="AP46" i="2"/>
  <c r="Z8" i="2"/>
  <c r="J58" i="2"/>
  <c r="AL49" i="2"/>
  <c r="AG9" i="2"/>
  <c r="AH51" i="2"/>
  <c r="M36" i="2"/>
  <c r="K5" i="2"/>
  <c r="L20" i="2"/>
  <c r="AA36" i="2"/>
  <c r="AN8" i="2"/>
  <c r="J57" i="2"/>
  <c r="AL31" i="2"/>
  <c r="AI5" i="2"/>
  <c r="AD36" i="2"/>
  <c r="Q21" i="2"/>
  <c r="AL58" i="2"/>
  <c r="X19" i="2"/>
  <c r="AD51" i="2"/>
  <c r="M14" i="2"/>
  <c r="X23" i="2"/>
  <c r="AB4" i="2"/>
  <c r="Y37" i="2"/>
  <c r="AG12" i="2"/>
  <c r="I31" i="2"/>
  <c r="AL22" i="2"/>
  <c r="AM31" i="2"/>
  <c r="AH25" i="2"/>
  <c r="M40" i="2"/>
  <c r="AN50" i="2"/>
  <c r="AB14" i="2"/>
  <c r="AE55" i="2"/>
  <c r="U4" i="2"/>
  <c r="U21" i="2"/>
  <c r="AR42" i="2"/>
  <c r="R53" i="2"/>
  <c r="Q54" i="2"/>
  <c r="Y22" i="2"/>
  <c r="AL13" i="2"/>
  <c r="AP27" i="2"/>
  <c r="N60" i="2"/>
  <c r="AL7" i="2"/>
  <c r="Q11" i="2"/>
  <c r="J32" i="2"/>
  <c r="AK24" i="2"/>
  <c r="M30" i="2"/>
  <c r="K29" i="2"/>
  <c r="AK50" i="2"/>
  <c r="AL11" i="2"/>
  <c r="Y21" i="2"/>
  <c r="M49" i="2"/>
  <c r="G30" i="2"/>
  <c r="U57" i="2"/>
  <c r="AL32" i="2"/>
  <c r="AD22" i="2"/>
  <c r="Q17" i="2"/>
  <c r="N12" i="2"/>
  <c r="J9" i="2"/>
  <c r="Y32" i="2"/>
  <c r="AL40" i="2"/>
  <c r="AO22" i="2"/>
  <c r="P14" i="2"/>
  <c r="AE33" i="2"/>
  <c r="K10" i="2"/>
  <c r="N21" i="2"/>
  <c r="K30" i="2"/>
  <c r="Q20" i="2"/>
  <c r="AO14" i="2"/>
  <c r="M15" i="2"/>
  <c r="H35" i="2"/>
  <c r="AK12" i="2"/>
  <c r="H20" i="2"/>
  <c r="P40" i="2"/>
  <c r="AD39" i="2"/>
  <c r="Z26" i="2"/>
  <c r="AQ40" i="2"/>
  <c r="G21" i="2"/>
  <c r="AN18" i="2"/>
  <c r="V34" i="2"/>
  <c r="AR13" i="2"/>
  <c r="J30" i="2"/>
  <c r="Q14" i="2"/>
  <c r="N4" i="2"/>
  <c r="AF37" i="2"/>
  <c r="N37" i="2"/>
  <c r="AP30" i="2"/>
  <c r="N41" i="2"/>
  <c r="AN23" i="2"/>
  <c r="AO59" i="2"/>
  <c r="AR48" i="2"/>
  <c r="H39" i="2"/>
  <c r="AL14" i="2"/>
  <c r="K24" i="2"/>
  <c r="R22" i="2"/>
  <c r="AJ41" i="2"/>
  <c r="R32" i="2"/>
  <c r="AE39" i="2"/>
  <c r="AI40" i="2"/>
  <c r="AE19" i="2"/>
  <c r="U17" i="2"/>
  <c r="AM56" i="2"/>
  <c r="AR23" i="2"/>
  <c r="AG31" i="2"/>
  <c r="AJ15" i="2"/>
  <c r="AD52" i="2"/>
  <c r="W15" i="2"/>
  <c r="G33" i="2"/>
  <c r="Q46" i="2"/>
  <c r="AC38" i="2"/>
  <c r="W23" i="2"/>
  <c r="O21" i="2"/>
  <c r="AB59" i="2"/>
  <c r="AM6" i="2"/>
  <c r="AH22" i="2"/>
  <c r="Y38" i="2"/>
  <c r="AJ32" i="2"/>
  <c r="U14" i="2"/>
  <c r="AG58" i="2"/>
  <c r="O42" i="2"/>
  <c r="V38" i="2"/>
  <c r="AQ25" i="2"/>
  <c r="AI6" i="2"/>
  <c r="I34" i="2"/>
  <c r="AR24" i="2"/>
  <c r="Y36" i="2"/>
  <c r="Z56" i="2"/>
  <c r="V49" i="2"/>
  <c r="R58" i="2"/>
  <c r="M6" i="2"/>
  <c r="H13" i="2"/>
  <c r="X16" i="2"/>
  <c r="Y34" i="2"/>
  <c r="G51" i="2"/>
  <c r="AD26" i="2"/>
  <c r="AF21" i="2"/>
  <c r="Y30" i="2"/>
  <c r="AD58" i="2"/>
  <c r="AJ17" i="2"/>
  <c r="I56" i="2"/>
  <c r="AR5" i="2"/>
  <c r="P18" i="2"/>
  <c r="X55" i="2"/>
  <c r="U15" i="2"/>
  <c r="AQ35" i="2"/>
  <c r="AP10" i="2"/>
  <c r="AA11" i="2"/>
  <c r="X30" i="2"/>
  <c r="AQ52" i="2"/>
  <c r="N19" i="2"/>
  <c r="AJ4" i="2"/>
  <c r="AF32" i="2"/>
  <c r="M19" i="2"/>
  <c r="AK54" i="2"/>
  <c r="U53" i="2"/>
  <c r="Q22" i="2"/>
  <c r="R33" i="2"/>
  <c r="Z4" i="2"/>
  <c r="R7" i="2"/>
  <c r="I28" i="2"/>
  <c r="K42" i="2"/>
  <c r="X39" i="2"/>
  <c r="AI55" i="2"/>
  <c r="I50" i="2"/>
  <c r="U10" i="2"/>
  <c r="AN12" i="2"/>
  <c r="I18" i="2"/>
  <c r="AO60" i="2"/>
  <c r="AM42" i="2"/>
  <c r="Z9" i="2"/>
  <c r="AE56" i="2"/>
  <c r="AQ27" i="2"/>
  <c r="L40" i="2"/>
  <c r="AP41" i="2"/>
  <c r="V37" i="2"/>
  <c r="AE34" i="2"/>
  <c r="X52" i="2"/>
  <c r="I55" i="2"/>
  <c r="X9" i="2"/>
  <c r="O46" i="2"/>
  <c r="X38" i="2"/>
  <c r="I19" i="2"/>
  <c r="AI51" i="2"/>
  <c r="AO35" i="2"/>
  <c r="AQ49" i="2"/>
  <c r="AK56" i="2"/>
  <c r="U28" i="2"/>
  <c r="P5" i="2"/>
  <c r="H11" i="2"/>
  <c r="Z7" i="2"/>
  <c r="AF33" i="2"/>
  <c r="AE58" i="2"/>
  <c r="AO28" i="2"/>
  <c r="AA17" i="2"/>
  <c r="P29" i="2"/>
  <c r="AE48" i="2"/>
  <c r="AI27" i="2"/>
  <c r="H6" i="2"/>
  <c r="Y20" i="2"/>
  <c r="AC37" i="2"/>
  <c r="Q9" i="2"/>
  <c r="AD47" i="2"/>
  <c r="AD33" i="2"/>
  <c r="Y24" i="2"/>
  <c r="I57" i="2"/>
  <c r="AP19" i="2"/>
  <c r="AJ60" i="2"/>
  <c r="AB35" i="2"/>
  <c r="H17" i="2"/>
  <c r="AE21" i="2"/>
  <c r="AO12" i="2"/>
  <c r="R46" i="2"/>
  <c r="R6" i="2"/>
  <c r="W59" i="2"/>
  <c r="AJ27" i="2"/>
  <c r="AB13" i="2"/>
  <c r="AA25" i="2"/>
  <c r="AK5" i="2"/>
  <c r="W9" i="2"/>
  <c r="AD60" i="2"/>
  <c r="AO10" i="2"/>
  <c r="AP39" i="2"/>
  <c r="AR46" i="2"/>
  <c r="AB10" i="2"/>
  <c r="AF23" i="2"/>
  <c r="N20" i="2"/>
  <c r="AP36" i="2"/>
  <c r="Z41" i="2"/>
  <c r="AQ24" i="2"/>
  <c r="AG28" i="2"/>
  <c r="I13" i="2"/>
  <c r="AH41" i="2"/>
  <c r="Z36" i="2"/>
  <c r="AN13" i="2"/>
  <c r="AK28" i="2"/>
  <c r="M10" i="2"/>
  <c r="G9" i="2"/>
  <c r="AB30" i="2"/>
  <c r="AA10" i="2"/>
  <c r="AD50" i="2"/>
  <c r="O25" i="2"/>
  <c r="AQ19" i="2"/>
  <c r="AJ12" i="2"/>
  <c r="V55" i="2"/>
  <c r="L35" i="2"/>
  <c r="Z17" i="2"/>
  <c r="AN33" i="2"/>
  <c r="AA16" i="2"/>
  <c r="X20" i="2"/>
  <c r="AA33" i="2"/>
  <c r="U50" i="2"/>
  <c r="Y56" i="2"/>
  <c r="G40" i="2"/>
  <c r="AG26" i="2"/>
  <c r="N48" i="2"/>
  <c r="X48" i="2"/>
  <c r="G28" i="2"/>
  <c r="M25" i="2"/>
  <c r="AE15" i="2"/>
  <c r="AQ34" i="2"/>
  <c r="AR19" i="2"/>
  <c r="AD6" i="2"/>
  <c r="AK46" i="2"/>
  <c r="AG24" i="2"/>
  <c r="AN46" i="2"/>
  <c r="AR34" i="2"/>
  <c r="G26" i="2"/>
  <c r="Q5" i="2"/>
  <c r="AK57" i="2"/>
  <c r="U5" i="2"/>
  <c r="AE42" i="2"/>
  <c r="M47" i="2"/>
  <c r="O29" i="2"/>
  <c r="I32" i="2"/>
  <c r="Y6" i="2"/>
  <c r="L59" i="2"/>
  <c r="L57" i="2"/>
  <c r="AO54" i="2"/>
  <c r="H21" i="2"/>
  <c r="AL8" i="2"/>
  <c r="Y29" i="2"/>
  <c r="AK6" i="2"/>
  <c r="AD32" i="2"/>
  <c r="AM54" i="2"/>
  <c r="M52" i="2"/>
  <c r="U12" i="2"/>
  <c r="I52" i="2"/>
  <c r="V40" i="2"/>
  <c r="R47" i="2"/>
  <c r="AK7" i="2"/>
  <c r="AB33" i="2"/>
  <c r="G35" i="2"/>
  <c r="Y14" i="2"/>
  <c r="P56" i="2"/>
  <c r="V48" i="2"/>
  <c r="AQ42" i="2"/>
  <c r="U38" i="2"/>
  <c r="J56" i="2"/>
  <c r="AM17" i="2"/>
  <c r="J46" i="2"/>
  <c r="N14" i="2"/>
  <c r="AE9" i="2"/>
  <c r="AN28" i="2"/>
  <c r="AK35" i="2"/>
  <c r="AB42" i="2"/>
  <c r="AP8" i="2"/>
  <c r="AJ29" i="2"/>
  <c r="G58" i="2"/>
  <c r="G54" i="2"/>
  <c r="AP34" i="2"/>
  <c r="AO8" i="2"/>
  <c r="AL15" i="2"/>
  <c r="G4" i="2"/>
  <c r="AI53" i="2"/>
  <c r="AI31" i="2"/>
  <c r="AP6" i="2"/>
  <c r="AK60" i="2"/>
  <c r="AR9" i="2"/>
  <c r="AM57" i="2"/>
  <c r="AM22" i="2"/>
  <c r="L23" i="2"/>
  <c r="N25" i="2"/>
  <c r="O30" i="2"/>
  <c r="AR25" i="2"/>
  <c r="J21" i="2"/>
  <c r="AP42" i="2"/>
  <c r="AC31" i="2"/>
  <c r="AM18" i="2"/>
  <c r="AF26" i="2"/>
  <c r="X17" i="2"/>
  <c r="AK33" i="2"/>
  <c r="AM7" i="2"/>
  <c r="H26" i="2"/>
  <c r="AK36" i="2"/>
  <c r="K59" i="2"/>
  <c r="Z59" i="2"/>
  <c r="W36" i="2"/>
  <c r="AL17" i="2"/>
  <c r="Y40" i="2"/>
  <c r="AI25" i="2"/>
  <c r="G7" i="2"/>
  <c r="AF14" i="2"/>
  <c r="AI23" i="2"/>
  <c r="AM24" i="2"/>
  <c r="AH55" i="2"/>
  <c r="AP48" i="2"/>
  <c r="K37" i="2"/>
  <c r="AP52" i="2"/>
  <c r="AG40" i="2"/>
  <c r="Q59" i="2"/>
  <c r="J38" i="2"/>
  <c r="AE35" i="2"/>
  <c r="X36" i="2"/>
  <c r="L15" i="2"/>
  <c r="O52" i="2"/>
  <c r="AL26" i="2"/>
  <c r="O33" i="2"/>
  <c r="O50" i="2"/>
  <c r="X22" i="2"/>
  <c r="AF25" i="2"/>
  <c r="J28" i="2"/>
  <c r="P16" i="2"/>
  <c r="H53" i="2"/>
  <c r="AM40" i="2"/>
  <c r="AF12" i="2"/>
  <c r="N6" i="2"/>
  <c r="AM4" i="2"/>
  <c r="AJ24" i="2"/>
  <c r="AB57" i="2"/>
  <c r="Z12" i="2"/>
  <c r="AP53" i="2"/>
  <c r="AI59" i="2"/>
  <c r="AL48" i="2"/>
  <c r="AR41" i="2"/>
  <c r="AJ34" i="2"/>
  <c r="L46" i="2"/>
  <c r="AF30" i="2"/>
  <c r="N34" i="2"/>
  <c r="Z47" i="2"/>
  <c r="AH48" i="2"/>
  <c r="J37" i="2"/>
  <c r="J10" i="2"/>
  <c r="O8" i="2"/>
  <c r="K53" i="2"/>
  <c r="AC57" i="2"/>
  <c r="AL35" i="2"/>
  <c r="W6" i="2"/>
  <c r="AO49" i="2"/>
  <c r="AG17" i="2"/>
  <c r="J47" i="2"/>
  <c r="AL29" i="2"/>
  <c r="AR7" i="2"/>
  <c r="AJ16" i="2"/>
  <c r="Z60" i="2"/>
  <c r="AP28" i="2"/>
  <c r="G12" i="2"/>
  <c r="L47" i="2"/>
  <c r="AR36" i="2"/>
  <c r="AG5" i="2"/>
  <c r="J20" i="2"/>
  <c r="Y42" i="2"/>
  <c r="AQ18" i="2"/>
  <c r="L30" i="2"/>
  <c r="Q19" i="2"/>
  <c r="AH12" i="2"/>
  <c r="AQ4" i="2"/>
  <c r="AC15" i="2"/>
  <c r="Z21" i="2"/>
  <c r="AJ48" i="2"/>
  <c r="M53" i="2"/>
  <c r="AA37" i="2"/>
  <c r="L26" i="2"/>
  <c r="AQ17" i="2"/>
  <c r="V52" i="2"/>
  <c r="AH59" i="2"/>
  <c r="R12" i="2"/>
  <c r="AD14" i="2"/>
  <c r="AD15" i="2"/>
  <c r="W29" i="2"/>
  <c r="H52" i="2"/>
  <c r="AI48" i="2"/>
  <c r="H36" i="2"/>
  <c r="X11" i="2"/>
  <c r="AC11" i="2"/>
  <c r="Y57" i="2"/>
  <c r="P25" i="2"/>
  <c r="P37" i="2"/>
  <c r="X46" i="2"/>
  <c r="AF40" i="2"/>
  <c r="AC60" i="2"/>
  <c r="R27" i="2"/>
  <c r="AP26" i="2"/>
  <c r="V54" i="2"/>
  <c r="H12" i="2"/>
  <c r="N28" i="2"/>
  <c r="AG32" i="2"/>
  <c r="AI60" i="2"/>
  <c r="G39" i="2"/>
  <c r="V14" i="2"/>
  <c r="M5" i="2"/>
  <c r="Q29" i="2"/>
  <c r="I25" i="2"/>
  <c r="M34" i="2"/>
  <c r="AR18" i="2"/>
  <c r="AN21" i="2"/>
  <c r="AK16" i="2"/>
  <c r="J55" i="2"/>
  <c r="AR12" i="2"/>
  <c r="AB38" i="2"/>
  <c r="Z6" i="2"/>
  <c r="P59" i="2"/>
  <c r="I27" i="2"/>
  <c r="AH30" i="2"/>
  <c r="Q53" i="2"/>
  <c r="AF55" i="2"/>
  <c r="Y60" i="2"/>
  <c r="W37" i="2"/>
  <c r="Q57" i="2"/>
  <c r="AL24" i="2"/>
  <c r="AB32" i="2"/>
  <c r="AI10" i="2"/>
  <c r="R34" i="2"/>
  <c r="AD21" i="2"/>
  <c r="Z5" i="2"/>
  <c r="G46" i="2"/>
  <c r="AP25" i="2"/>
  <c r="AC49" i="2"/>
  <c r="AH17" i="2"/>
  <c r="AK47" i="2"/>
  <c r="AJ58" i="2"/>
  <c r="G8" i="2"/>
  <c r="W41" i="2"/>
  <c r="O55" i="2"/>
  <c r="AH57" i="2"/>
  <c r="O60" i="2"/>
  <c r="AP5" i="2"/>
  <c r="AI46" i="2"/>
  <c r="G31" i="2"/>
  <c r="AM32" i="2"/>
  <c r="Z49" i="2"/>
  <c r="AP50" i="2"/>
  <c r="AH32" i="2"/>
  <c r="Z33" i="2"/>
  <c r="AJ11" i="2"/>
  <c r="AC56" i="2"/>
  <c r="L54" i="2"/>
  <c r="AG8" i="2"/>
  <c r="M20" i="2"/>
  <c r="R25" i="2"/>
  <c r="AB24" i="2"/>
  <c r="AB8" i="2"/>
  <c r="H34" i="2"/>
  <c r="K34" i="2"/>
  <c r="AE31" i="2"/>
  <c r="O53" i="2"/>
  <c r="G27" i="2"/>
  <c r="AJ31" i="2"/>
  <c r="V23" i="2"/>
  <c r="AJ23" i="2"/>
  <c r="AO34" i="2"/>
  <c r="AH7" i="2"/>
  <c r="W21" i="2"/>
  <c r="AC50" i="2"/>
  <c r="AM55" i="2"/>
  <c r="AN11" i="2"/>
  <c r="AQ47" i="2"/>
  <c r="AF31" i="2"/>
  <c r="M54" i="2"/>
  <c r="L56" i="2"/>
  <c r="AB50" i="2"/>
  <c r="Y35" i="2"/>
  <c r="AK27" i="2"/>
  <c r="U54" i="2"/>
  <c r="AR30" i="2"/>
  <c r="AQ39" i="2"/>
  <c r="X13" i="2"/>
  <c r="I22" i="2"/>
  <c r="W49" i="2"/>
  <c r="AL60" i="2"/>
  <c r="R29" i="2"/>
  <c r="N39" i="2"/>
  <c r="M37" i="2"/>
  <c r="AR57" i="2"/>
  <c r="G36" i="2"/>
  <c r="H8" i="2"/>
  <c r="V20" i="2"/>
  <c r="AG19" i="2"/>
  <c r="U51" i="2"/>
  <c r="V12" i="2"/>
  <c r="J15" i="2"/>
  <c r="Q13" i="2"/>
  <c r="M26" i="2"/>
  <c r="W12" i="2"/>
  <c r="AL36" i="2"/>
  <c r="Q34" i="2"/>
  <c r="W7" i="2"/>
  <c r="J31" i="2"/>
  <c r="X34" i="2"/>
  <c r="I30" i="2"/>
  <c r="AD46" i="2"/>
  <c r="G16" i="2"/>
  <c r="X28" i="2"/>
  <c r="AG57" i="2"/>
  <c r="AM46" i="2"/>
  <c r="AD4" i="2"/>
  <c r="L29" i="2"/>
  <c r="AQ50" i="2"/>
  <c r="H30" i="2"/>
  <c r="AB25" i="2"/>
  <c r="AL12" i="2"/>
  <c r="AC5" i="2"/>
  <c r="X4" i="2"/>
  <c r="AO17" i="2"/>
  <c r="P26" i="2"/>
  <c r="O57" i="2"/>
  <c r="O34" i="2"/>
  <c r="N26" i="2"/>
  <c r="H29" i="2"/>
  <c r="AC58" i="2"/>
  <c r="AH6" i="2"/>
  <c r="Q41" i="2"/>
  <c r="O38" i="2"/>
  <c r="U55" i="2"/>
  <c r="AP31" i="2"/>
  <c r="AR31" i="2"/>
  <c r="P23" i="2"/>
  <c r="AA47" i="2"/>
  <c r="Q33" i="2"/>
  <c r="M9" i="2"/>
  <c r="W39" i="2"/>
  <c r="AA14" i="2"/>
  <c r="AL57" i="2"/>
  <c r="U37" i="2"/>
  <c r="AD54" i="2"/>
  <c r="I40" i="2"/>
  <c r="AD29" i="2"/>
  <c r="I33" i="2"/>
  <c r="AH35" i="2"/>
  <c r="AC46" i="2"/>
  <c r="P41" i="2"/>
  <c r="AF34" i="2"/>
  <c r="AH39" i="2"/>
  <c r="AF38" i="2"/>
  <c r="AI20" i="2"/>
  <c r="R10" i="2"/>
  <c r="Z16" i="2"/>
  <c r="AH26" i="2"/>
  <c r="AH23" i="2"/>
  <c r="AI14" i="2"/>
  <c r="V18" i="2"/>
  <c r="AG29" i="2"/>
  <c r="AB48" i="2"/>
  <c r="P38" i="2"/>
  <c r="R15" i="2"/>
  <c r="AA6" i="2"/>
  <c r="I6" i="2"/>
  <c r="I10" i="2"/>
  <c r="AK13" i="2"/>
  <c r="W33" i="2"/>
  <c r="Y25" i="2"/>
  <c r="K52" i="2"/>
  <c r="AJ33" i="2"/>
  <c r="L55" i="2"/>
  <c r="AQ5" i="2"/>
  <c r="AG16" i="2"/>
  <c r="O6" i="2"/>
  <c r="AN40" i="2"/>
  <c r="AR22" i="2"/>
  <c r="H60" i="2"/>
  <c r="G56" i="2"/>
  <c r="L8" i="2"/>
  <c r="AA8" i="2"/>
  <c r="V26" i="2"/>
  <c r="AL27" i="2"/>
  <c r="AG50" i="2"/>
  <c r="AI39" i="2"/>
  <c r="Y17" i="2"/>
  <c r="AC29" i="2"/>
  <c r="O13" i="2"/>
  <c r="Y26" i="2"/>
  <c r="Y46" i="2"/>
  <c r="AM15" i="2"/>
  <c r="Q27" i="2"/>
  <c r="AQ26" i="2"/>
  <c r="L19" i="2"/>
  <c r="AH33" i="2"/>
  <c r="AE54" i="2"/>
  <c r="AN20" i="2"/>
  <c r="L21" i="2"/>
  <c r="X5" i="2"/>
  <c r="J53" i="2"/>
  <c r="H55" i="2"/>
  <c r="AN57" i="2"/>
  <c r="K35" i="2"/>
  <c r="K11" i="2"/>
  <c r="AA34" i="2"/>
  <c r="AP49" i="2"/>
  <c r="R4" i="2"/>
  <c r="AJ54" i="2"/>
  <c r="L31" i="2"/>
  <c r="AF24" i="2"/>
  <c r="AN10" i="2"/>
  <c r="AB56" i="2"/>
  <c r="P13" i="2"/>
  <c r="R50" i="2"/>
  <c r="Y39" i="2"/>
  <c r="AE47" i="2"/>
  <c r="AO56" i="2"/>
  <c r="AD18" i="2"/>
  <c r="Z23" i="2"/>
  <c r="AJ14" i="2"/>
  <c r="AC30" i="2"/>
  <c r="AR47" i="2"/>
  <c r="O14" i="2"/>
  <c r="AI49" i="2"/>
  <c r="AK26" i="2"/>
  <c r="I36" i="2"/>
  <c r="X15" i="2"/>
  <c r="AD19" i="2"/>
  <c r="AP15" i="2"/>
  <c r="G25" i="2"/>
  <c r="AJ49" i="2"/>
  <c r="G38" i="2"/>
  <c r="AH13" i="2"/>
  <c r="R56" i="2"/>
  <c r="M12" i="2"/>
  <c r="Z52" i="2"/>
  <c r="U40" i="2"/>
  <c r="AF7" i="2"/>
  <c r="H22" i="2"/>
  <c r="Z10" i="2"/>
  <c r="AO39" i="2"/>
  <c r="V32" i="2"/>
  <c r="AM9" i="2"/>
  <c r="U41" i="2"/>
  <c r="AL47" i="2"/>
  <c r="U7" i="2"/>
  <c r="P54" i="2"/>
  <c r="AN6" i="2"/>
  <c r="AF9" i="2"/>
  <c r="AI56" i="2"/>
  <c r="AG37" i="2"/>
  <c r="AB22" i="2"/>
  <c r="J49" i="2"/>
  <c r="P6" i="2"/>
  <c r="K8" i="2"/>
  <c r="AO46" i="2"/>
  <c r="N11" i="2"/>
  <c r="AI24" i="2"/>
  <c r="AH34" i="2"/>
  <c r="Q4" i="2"/>
  <c r="AD11" i="2"/>
  <c r="AL59" i="2"/>
  <c r="P24" i="2"/>
  <c r="AP33" i="2"/>
  <c r="AA57" i="2"/>
  <c r="K38" i="2"/>
  <c r="AD41" i="2"/>
  <c r="P11" i="2"/>
  <c r="N38" i="2"/>
  <c r="AN52" i="2"/>
  <c r="R19" i="2"/>
  <c r="N5" i="2"/>
  <c r="AA32" i="2"/>
  <c r="I53" i="2"/>
  <c r="Z34" i="2"/>
  <c r="AD23" i="2"/>
  <c r="AM16" i="2"/>
  <c r="K56" i="2"/>
  <c r="AF10" i="2"/>
  <c r="AO21" i="2"/>
  <c r="AB52" i="2"/>
  <c r="AK11" i="2"/>
  <c r="AH16" i="2"/>
  <c r="H5" i="2"/>
  <c r="U11" i="2"/>
  <c r="AP16" i="2"/>
  <c r="L11" i="2"/>
  <c r="N8" i="2"/>
  <c r="Y27" i="2"/>
  <c r="W4" i="2"/>
  <c r="U33" i="2"/>
  <c r="K21" i="2"/>
  <c r="V31" i="2"/>
  <c r="H7" i="2"/>
  <c r="N17" i="2"/>
  <c r="AK19" i="2"/>
  <c r="I35" i="2"/>
  <c r="AB16" i="2"/>
  <c r="L51" i="2"/>
  <c r="Y9" i="2"/>
  <c r="V59" i="2"/>
  <c r="N35" i="2"/>
  <c r="AJ6" i="2"/>
  <c r="H57" i="2"/>
  <c r="L58" i="2"/>
  <c r="M29" i="2"/>
  <c r="K47" i="2"/>
  <c r="AQ10" i="2"/>
  <c r="AE6" i="2"/>
  <c r="R31" i="2"/>
  <c r="AD30" i="2"/>
  <c r="R39" i="2"/>
  <c r="AC13" i="2"/>
  <c r="AC18" i="2"/>
  <c r="V53" i="2"/>
  <c r="AE17" i="2"/>
  <c r="O36" i="2"/>
  <c r="AL9" i="2"/>
  <c r="AJ25" i="2"/>
  <c r="L53" i="2"/>
  <c r="AN7" i="2"/>
  <c r="Y49" i="2"/>
  <c r="N40" i="2"/>
  <c r="R14" i="2"/>
  <c r="M51" i="2"/>
  <c r="M39" i="2"/>
  <c r="AD24" i="2"/>
  <c r="AA23" i="2"/>
  <c r="Z51" i="2"/>
  <c r="R18" i="2"/>
  <c r="AI17" i="2"/>
  <c r="H56" i="2"/>
  <c r="AC52" i="2"/>
  <c r="AP32" i="2"/>
  <c r="M28" i="2"/>
  <c r="K40" i="2"/>
  <c r="AI13" i="2"/>
  <c r="G22" i="2"/>
  <c r="AF50" i="2"/>
  <c r="AH58" i="2"/>
  <c r="N10" i="2"/>
  <c r="AB6" i="2"/>
  <c r="AM27" i="2"/>
  <c r="V22" i="2"/>
  <c r="AQ29" i="2"/>
  <c r="AO25" i="2"/>
  <c r="AL55" i="2"/>
  <c r="K27" i="2"/>
  <c r="G59" i="2"/>
  <c r="O12" i="2"/>
  <c r="L48" i="2"/>
  <c r="O24" i="2"/>
  <c r="AN16" i="2"/>
  <c r="Y11" i="2"/>
  <c r="R26" i="2"/>
  <c r="AR40" i="2"/>
  <c r="AP51" i="2"/>
  <c r="AE11" i="2"/>
  <c r="U58" i="2"/>
  <c r="V10" i="2"/>
  <c r="P35" i="2"/>
  <c r="N31" i="2"/>
  <c r="Q52" i="2"/>
  <c r="L7" i="2"/>
  <c r="R30" i="2"/>
  <c r="H46" i="2"/>
  <c r="AM41" i="2"/>
  <c r="AJ30" i="2"/>
  <c r="AF27" i="2"/>
  <c r="AG7" i="2"/>
  <c r="O40" i="2"/>
  <c r="Z53" i="2"/>
  <c r="G52" i="2"/>
  <c r="AN37" i="2"/>
  <c r="U8" i="2"/>
  <c r="AB15" i="2"/>
  <c r="W17" i="2"/>
  <c r="AH56" i="2"/>
  <c r="N16" i="2"/>
  <c r="AJ9" i="2"/>
  <c r="Q10" i="2"/>
  <c r="AI4" i="2"/>
  <c r="AA40" i="2"/>
  <c r="O19" i="2"/>
  <c r="AN26" i="2"/>
  <c r="V25" i="2"/>
  <c r="AN19" i="2"/>
  <c r="AF11" i="2"/>
  <c r="AG33" i="2"/>
  <c r="AQ14" i="2"/>
  <c r="Q37" i="2"/>
  <c r="P42" i="2"/>
  <c r="H18" i="2"/>
  <c r="AJ50" i="2"/>
  <c r="N30" i="2"/>
  <c r="AF22" i="2"/>
  <c r="K46" i="2"/>
  <c r="AR8" i="2"/>
  <c r="AM21" i="2"/>
  <c r="AN54" i="2"/>
  <c r="O56" i="2"/>
  <c r="AK38" i="2"/>
  <c r="Z46" i="2"/>
  <c r="H40" i="2"/>
  <c r="AR55" i="2"/>
  <c r="AE59" i="2"/>
  <c r="AJ5" i="2"/>
  <c r="AI16" i="2"/>
  <c r="W27" i="2"/>
  <c r="AG49" i="2"/>
  <c r="W22" i="2"/>
  <c r="H51" i="2"/>
  <c r="AA54" i="2"/>
  <c r="G20" i="2"/>
  <c r="R28" i="2"/>
  <c r="J34" i="2"/>
  <c r="AR28" i="2"/>
  <c r="J13" i="2"/>
  <c r="AC53" i="2"/>
  <c r="AM30" i="2"/>
  <c r="Q36" i="2"/>
  <c r="Q48" i="2"/>
  <c r="N32" i="2"/>
  <c r="L50" i="2"/>
  <c r="AM60" i="2"/>
  <c r="J23" i="2"/>
  <c r="Y5" i="2"/>
  <c r="W54" i="2"/>
  <c r="P36" i="2"/>
  <c r="W47" i="2"/>
  <c r="AB46" i="2"/>
  <c r="AL25" i="2"/>
  <c r="G57" i="2"/>
  <c r="AE37" i="2"/>
  <c r="AC54" i="2"/>
  <c r="AO30" i="2"/>
  <c r="AB34" i="2"/>
  <c r="AQ7" i="2"/>
  <c r="AP21" i="2"/>
  <c r="O59" i="2"/>
  <c r="M42" i="2"/>
  <c r="AD56" i="2"/>
  <c r="M60" i="2"/>
  <c r="AE30" i="2"/>
  <c r="AQ12" i="2"/>
  <c r="AL16" i="2"/>
  <c r="V36" i="2"/>
  <c r="AO29" i="2"/>
  <c r="AF16" i="2"/>
  <c r="H48" i="2"/>
  <c r="O9" i="2"/>
  <c r="AQ51" i="2"/>
  <c r="N55" i="2"/>
  <c r="P55" i="2"/>
  <c r="R37" i="2"/>
  <c r="AA53" i="2"/>
  <c r="Z28" i="2"/>
  <c r="Z19" i="2"/>
  <c r="AK21" i="2"/>
  <c r="AG35" i="2"/>
  <c r="AB39" i="2"/>
  <c r="W24" i="2"/>
  <c r="AO52" i="2"/>
  <c r="AG4" i="2"/>
  <c r="AJ53" i="2"/>
  <c r="AC14" i="2"/>
  <c r="AK42" i="2"/>
  <c r="P9" i="2"/>
  <c r="O27" i="2"/>
  <c r="K14" i="2"/>
  <c r="AF35" i="2"/>
  <c r="R49" i="2"/>
  <c r="AG22" i="2"/>
  <c r="AC33" i="2"/>
  <c r="M27" i="2"/>
  <c r="AM20" i="2"/>
  <c r="AA27" i="2"/>
  <c r="X21" i="2"/>
  <c r="P47" i="2"/>
  <c r="AJ38" i="2"/>
  <c r="AM14" i="2"/>
  <c r="AM36" i="2"/>
  <c r="AE27" i="2"/>
  <c r="H10" i="2"/>
  <c r="AO58" i="2"/>
  <c r="AR21" i="2"/>
  <c r="X10" i="2"/>
  <c r="AC20" i="2"/>
  <c r="AN25" i="2"/>
  <c r="AK9" i="2"/>
  <c r="AN32" i="2"/>
  <c r="N42" i="2"/>
  <c r="X37" i="2"/>
  <c r="AG52" i="2"/>
  <c r="AO38" i="2"/>
  <c r="AN27" i="2"/>
  <c r="AG23" i="2"/>
  <c r="AR56" i="2"/>
  <c r="AM37" i="2"/>
  <c r="L42" i="2"/>
  <c r="AD7" i="2"/>
  <c r="AH42" i="2"/>
  <c r="J59" i="2"/>
  <c r="J8" i="2"/>
  <c r="L37" i="2"/>
  <c r="L32" i="2"/>
  <c r="AI18" i="2"/>
  <c r="O5" i="2"/>
  <c r="AB27" i="2"/>
  <c r="G41" i="2"/>
  <c r="AA41" i="2"/>
  <c r="AD12" i="2"/>
  <c r="P21" i="2"/>
  <c r="AI28" i="2"/>
  <c r="AA58" i="2"/>
  <c r="Q7" i="2"/>
  <c r="H37" i="2"/>
  <c r="X50" i="2"/>
  <c r="N54" i="2"/>
  <c r="O47" i="2"/>
  <c r="AI54" i="2"/>
  <c r="AC4" i="2"/>
  <c r="M32" i="2"/>
  <c r="AF8" i="2"/>
  <c r="Q18" i="2"/>
  <c r="AH18" i="2"/>
  <c r="X14" i="2"/>
  <c r="Q31" i="2"/>
  <c r="L49" i="2"/>
  <c r="AK40" i="2"/>
  <c r="U29" i="2"/>
  <c r="AR58" i="2"/>
  <c r="AQ6" i="2"/>
  <c r="U13" i="2"/>
  <c r="AQ9" i="2"/>
  <c r="N33" i="2"/>
  <c r="M8" i="2"/>
  <c r="I51" i="2"/>
  <c r="AI26" i="2"/>
  <c r="AK18" i="2"/>
  <c r="V6" i="2"/>
  <c r="AF46" i="2"/>
  <c r="U16" i="2"/>
  <c r="N29" i="2"/>
  <c r="V29" i="2"/>
  <c r="V15" i="2"/>
  <c r="N56" i="2"/>
  <c r="K54" i="2"/>
  <c r="Q49" i="2"/>
  <c r="AB55" i="2"/>
  <c r="V9" i="2"/>
  <c r="I11" i="2"/>
  <c r="W10" i="2"/>
  <c r="AA20" i="2"/>
  <c r="AB20" i="2"/>
  <c r="AG30" i="2"/>
  <c r="I7" i="2"/>
  <c r="U25" i="2"/>
  <c r="G10" i="2"/>
  <c r="M58" i="2"/>
  <c r="AE53" i="2"/>
  <c r="AG27" i="2"/>
  <c r="AI9" i="2"/>
  <c r="K32" i="2"/>
  <c r="M13" i="2"/>
  <c r="AB18" i="2"/>
  <c r="AQ55" i="2"/>
  <c r="V24" i="2"/>
  <c r="H31" i="2"/>
  <c r="AN51" i="2"/>
  <c r="Z48" i="2"/>
  <c r="AR59" i="2"/>
  <c r="AL21" i="2"/>
  <c r="AD48" i="2"/>
  <c r="AQ48" i="2"/>
  <c r="AE22" i="2"/>
  <c r="K28" i="2"/>
  <c r="H54" i="2"/>
  <c r="Y23" i="2"/>
  <c r="AL18" i="2"/>
  <c r="K20" i="2"/>
  <c r="X8" i="2"/>
  <c r="U32" i="2"/>
  <c r="U19" i="2"/>
  <c r="K58" i="2"/>
  <c r="AH50" i="2"/>
  <c r="AB51" i="2"/>
  <c r="AD34" i="2"/>
  <c r="AL39" i="2"/>
  <c r="AP17" i="2"/>
  <c r="L33" i="2"/>
  <c r="W57" i="2"/>
  <c r="AC8" i="2"/>
  <c r="Z22" i="2"/>
  <c r="R36" i="2"/>
  <c r="AB28" i="2"/>
  <c r="AK22" i="2"/>
  <c r="X47" i="2"/>
  <c r="AP60" i="2"/>
  <c r="AI42" i="2"/>
  <c r="AL56" i="2"/>
  <c r="AJ10" i="2"/>
  <c r="O18" i="2"/>
  <c r="Q16" i="2"/>
  <c r="AL38" i="2"/>
  <c r="AH38" i="2"/>
  <c r="M35" i="2"/>
  <c r="AQ30" i="2"/>
  <c r="AJ55" i="2"/>
  <c r="H47" i="2"/>
  <c r="AB7" i="2"/>
  <c r="R20" i="2"/>
  <c r="AO20" i="2"/>
  <c r="I12" i="2"/>
  <c r="AR33" i="2"/>
  <c r="AR27" i="2"/>
  <c r="M18" i="2"/>
  <c r="AC7" i="2"/>
  <c r="AC26" i="2"/>
  <c r="G43" i="2"/>
  <c r="AQ43" i="2"/>
  <c r="H43" i="2"/>
  <c r="AM43" i="2"/>
  <c r="AG43" i="2"/>
  <c r="AL43" i="2"/>
  <c r="Z43" i="2"/>
  <c r="N43" i="2"/>
  <c r="AC43" i="2"/>
  <c r="AJ43" i="2"/>
  <c r="J43" i="2"/>
  <c r="AI43" i="2"/>
  <c r="X43" i="2"/>
  <c r="I43" i="2"/>
  <c r="U43" i="2"/>
  <c r="AA43" i="2"/>
  <c r="M43" i="2"/>
  <c r="R43" i="2"/>
  <c r="Q43" i="2"/>
  <c r="AD43" i="2"/>
  <c r="L43" i="2"/>
  <c r="P43" i="2"/>
  <c r="W43" i="2"/>
  <c r="AO43" i="2"/>
  <c r="AE43" i="2"/>
  <c r="O43" i="2"/>
  <c r="AN43" i="2"/>
  <c r="AK43" i="2"/>
  <c r="AB43" i="2"/>
  <c r="K43" i="2"/>
  <c r="AP43" i="2"/>
  <c r="AF43" i="2"/>
  <c r="Y43" i="2"/>
  <c r="AH43" i="2"/>
  <c r="AR43" i="2"/>
  <c r="V43" i="2"/>
  <c r="D45" i="2" l="1"/>
  <c r="L44" i="2"/>
  <c r="AH44" i="2"/>
  <c r="I44" i="2"/>
  <c r="U44" i="2"/>
  <c r="AR44" i="2"/>
  <c r="AN44" i="2"/>
  <c r="G44" i="2"/>
  <c r="Y44" i="2"/>
  <c r="W44" i="2"/>
  <c r="AP44" i="2"/>
  <c r="AM44" i="2"/>
  <c r="O44" i="2"/>
  <c r="R44" i="2"/>
  <c r="AQ44" i="2"/>
  <c r="AC44" i="2"/>
  <c r="AD44" i="2"/>
  <c r="AB44" i="2"/>
  <c r="AE44" i="2"/>
  <c r="H44" i="2"/>
  <c r="AL44" i="2"/>
  <c r="Q44" i="2"/>
  <c r="AA44" i="2"/>
  <c r="AK44" i="2"/>
  <c r="P44" i="2"/>
  <c r="K44" i="2"/>
  <c r="AF44" i="2"/>
  <c r="AG44" i="2"/>
  <c r="AO44" i="2"/>
  <c r="X44" i="2"/>
  <c r="J44" i="2"/>
  <c r="M44" i="2"/>
  <c r="AI44" i="2"/>
  <c r="Z44" i="2"/>
  <c r="N44" i="2"/>
  <c r="AJ44" i="2"/>
  <c r="V44" i="2"/>
  <c r="AR45" i="2" l="1"/>
  <c r="L45" i="2"/>
  <c r="R45" i="2"/>
  <c r="X45" i="2"/>
  <c r="J45" i="2"/>
  <c r="K45" i="2"/>
  <c r="AP45" i="2"/>
  <c r="AC45" i="2"/>
  <c r="G45" i="2"/>
  <c r="Q45" i="2"/>
  <c r="P45" i="2"/>
  <c r="U45" i="2"/>
  <c r="O45" i="2"/>
  <c r="W45" i="2"/>
  <c r="N45" i="2"/>
  <c r="Y45" i="2"/>
  <c r="AG45" i="2"/>
  <c r="I45" i="2"/>
  <c r="AD45" i="2"/>
  <c r="AJ45" i="2"/>
  <c r="AE45" i="2"/>
  <c r="AI45" i="2"/>
  <c r="AM45" i="2"/>
  <c r="V45" i="2"/>
  <c r="H45" i="2"/>
  <c r="AO45" i="2"/>
  <c r="Z45" i="2"/>
  <c r="AL45" i="2"/>
  <c r="AB45" i="2"/>
  <c r="AQ45" i="2"/>
  <c r="M45" i="2"/>
  <c r="AH45" i="2"/>
  <c r="AK45" i="2"/>
  <c r="AA45" i="2"/>
  <c r="AF45" i="2"/>
  <c r="AN45" i="2"/>
</calcChain>
</file>

<file path=xl/sharedStrings.xml><?xml version="1.0" encoding="utf-8"?>
<sst xmlns="http://schemas.openxmlformats.org/spreadsheetml/2006/main" count="1536" uniqueCount="461">
  <si>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</si>
  <si>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</si>
  <si>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</si>
  <si>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</si>
  <si>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</si>
  <si>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</si>
  <si>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</si>
  <si>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</si>
  <si>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</si>
  <si>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</si>
  <si>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</si>
  <si>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</si>
  <si>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</si>
  <si>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</si>
  <si>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</si>
  <si>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</si>
  <si>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</si>
  <si>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</si>
  <si>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</si>
  <si>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</si>
  <si>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</si>
  <si>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</si>
  <si>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</si>
  <si>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</si>
  <si>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</si>
  <si>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</si>
  <si>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</si>
  <si>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</si>
  <si>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</si>
  <si>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</si>
  <si>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</si>
  <si>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</si>
  <si>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</si>
  <si>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</si>
  <si>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</si>
  <si>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</si>
  <si>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</si>
  <si>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</si>
  <si>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</si>
  <si>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</si>
  <si>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</si>
  <si>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</si>
  <si>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</si>
  <si>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</si>
  <si>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</si>
  <si>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</si>
  <si>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</si>
  <si>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</si>
  <si>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</si>
  <si>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</si>
  <si>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</si>
  <si>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</si>
  <si>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</si>
  <si>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</si>
  <si>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</si>
  <si>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</si>
  <si>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</si>
  <si>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</si>
  <si>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</si>
  <si>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</si>
  <si>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</si>
  <si>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</si>
  <si>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</si>
  <si>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</si>
  <si>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</si>
  <si>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</si>
  <si>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</si>
  <si>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</si>
  <si>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</si>
  <si>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</si>
  <si>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</si>
  <si>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</si>
  <si>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</si>
  <si>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</si>
  <si>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</si>
  <si>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</si>
  <si>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</si>
  <si>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</si>
  <si>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</si>
  <si>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</si>
  <si>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</si>
  <si>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</si>
  <si>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</si>
  <si>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</si>
  <si>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</si>
  <si>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</si>
  <si>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</si>
  <si>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</si>
  <si>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</si>
  <si>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</si>
  <si>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</si>
  <si>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</si>
  <si>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</si>
  <si>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</si>
  <si>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</si>
  <si>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</si>
  <si>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</si>
  <si>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</si>
  <si>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</si>
  <si>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</si>
  <si>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</si>
  <si>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</si>
  <si>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</si>
  <si>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</si>
  <si>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</si>
  <si>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</si>
  <si>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</si>
  <si>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</si>
  <si>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</si>
  <si>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</si>
  <si>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</si>
  <si>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</si>
  <si>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</si>
  <si>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</si>
  <si>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</si>
  <si>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</si>
  <si>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</si>
  <si>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</si>
  <si>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</si>
  <si>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</si>
  <si>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</si>
  <si>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</si>
  <si>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</si>
  <si>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</si>
  <si>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</si>
  <si>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</si>
  <si>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</si>
  <si>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</si>
  <si>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</si>
  <si>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</si>
  <si>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</si>
  <si>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</si>
  <si>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</si>
  <si>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</si>
  <si>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</si>
  <si>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</si>
  <si>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</si>
  <si>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</si>
  <si>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</si>
  <si>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</si>
  <si>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</si>
  <si>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</si>
  <si>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</si>
  <si>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</si>
  <si>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</si>
  <si>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Eficiência da Pinçagem</t>
  </si>
  <si>
    <t>Eficiência remoção cartilagem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</si>
  <si>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</si>
  <si>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</si>
  <si>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</si>
  <si>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</si>
  <si>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</si>
  <si>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</si>
  <si>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</si>
  <si>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</si>
  <si>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</si>
  <si>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</si>
  <si>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</si>
  <si>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</si>
  <si>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</si>
  <si>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</si>
  <si>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</si>
  <si>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</si>
  <si>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</si>
  <si>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</si>
  <si>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</si>
  <si>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</si>
  <si>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</si>
  <si>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</si>
  <si>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</si>
  <si>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</si>
  <si>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</si>
  <si>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</si>
  <si>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</si>
  <si>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</si>
  <si>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</si>
  <si>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</si>
  <si>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</si>
  <si>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</si>
  <si>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</si>
  <si>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</si>
  <si>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</si>
  <si>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</si>
  <si>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</si>
  <si>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</si>
  <si>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</si>
  <si>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</si>
  <si>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</si>
  <si>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</si>
  <si>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</si>
  <si>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</si>
  <si>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</si>
  <si>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</si>
  <si>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</si>
  <si>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</si>
  <si>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</si>
  <si>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</si>
  <si>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</si>
  <si>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</si>
  <si>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</si>
  <si>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</si>
  <si>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</si>
  <si>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</si>
  <si>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</si>
  <si>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</si>
  <si>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</si>
  <si>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</si>
  <si>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</si>
  <si>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</si>
  <si>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</si>
  <si>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</si>
  <si>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</si>
  <si>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</si>
  <si>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</si>
  <si>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</si>
  <si>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</si>
  <si>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</si>
  <si>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</si>
  <si>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</si>
  <si>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</si>
  <si>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</si>
  <si>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</si>
  <si>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</si>
  <si>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</si>
  <si>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</si>
  <si>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</si>
  <si>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</si>
  <si>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</si>
  <si>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</si>
  <si>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</si>
  <si>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</si>
  <si>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</si>
  <si>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</si>
  <si>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</si>
  <si>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</si>
  <si>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</si>
  <si>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</si>
  <si>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</si>
  <si>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</si>
  <si>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</si>
  <si>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</si>
  <si>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</si>
  <si>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</si>
  <si>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</si>
  <si>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</si>
  <si>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</si>
  <si>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</si>
  <si>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</si>
  <si>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</si>
  <si>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</si>
  <si>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</si>
  <si>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</si>
  <si>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</si>
  <si>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</si>
  <si>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</si>
  <si>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</si>
  <si>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</si>
  <si>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</si>
  <si>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</si>
  <si>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</si>
  <si>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</si>
  <si>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</si>
  <si>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</si>
  <si>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</si>
  <si>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</si>
  <si>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</si>
  <si>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</si>
  <si>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</si>
  <si>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</si>
  <si>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</si>
  <si>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</si>
  <si>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</si>
  <si>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</si>
  <si>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</si>
  <si>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</si>
  <si>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</si>
  <si>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</si>
  <si>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</si>
  <si>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</si>
  <si>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</si>
  <si>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</si>
  <si>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</si>
  <si>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</si>
  <si>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</si>
  <si>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</si>
  <si>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</si>
  <si>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</si>
  <si>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</si>
  <si>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</si>
  <si>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</si>
  <si>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</si>
  <si>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</si>
  <si>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</si>
  <si>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</si>
  <si>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</si>
  <si>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</si>
  <si>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</si>
  <si>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</si>
  <si>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</si>
  <si>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</si>
  <si>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</si>
  <si>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</si>
  <si>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</si>
  <si>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</si>
  <si>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</si>
  <si>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</si>
  <si>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</si>
  <si>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</si>
  <si>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</si>
  <si>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</si>
  <si>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</si>
  <si>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</si>
  <si>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</si>
  <si>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</si>
  <si>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</si>
  <si>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</si>
  <si>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</si>
  <si>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</si>
  <si>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</si>
  <si>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</si>
  <si>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</si>
  <si>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</si>
  <si>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</si>
  <si>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</si>
  <si>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</si>
  <si>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</si>
  <si>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</si>
  <si>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</si>
  <si>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</si>
  <si>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</si>
  <si>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</si>
  <si>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</si>
  <si>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</si>
  <si>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</si>
  <si>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</si>
  <si>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</si>
  <si>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</si>
  <si>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</si>
  <si>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</si>
  <si>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</si>
  <si>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</si>
  <si>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</si>
  <si>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</si>
  <si>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</si>
  <si>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</si>
  <si>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</si>
  <si>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</si>
  <si>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</si>
  <si>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</si>
  <si>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</si>
  <si>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</si>
  <si>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</si>
  <si>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</si>
  <si>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</si>
  <si>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</si>
  <si>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</si>
  <si>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</si>
  <si>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</si>
  <si>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</si>
  <si>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</si>
  <si>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</si>
  <si>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</si>
  <si>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</si>
  <si>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</si>
  <si>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</si>
  <si>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</si>
  <si>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</si>
  <si>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</si>
  <si>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</si>
  <si>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</si>
  <si>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</si>
  <si>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</si>
  <si>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</si>
  <si>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</si>
  <si>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</si>
  <si>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</si>
  <si>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</si>
  <si>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</si>
  <si>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</si>
  <si>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</si>
  <si>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</si>
  <si>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</si>
  <si>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</si>
  <si>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</si>
  <si>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</si>
  <si>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</si>
  <si>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</si>
  <si>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</si>
  <si>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</si>
  <si>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</si>
  <si>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</si>
  <si>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</si>
  <si>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</si>
  <si>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</si>
  <si>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</si>
  <si>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</si>
  <si>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</si>
  <si>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</si>
  <si>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</si>
  <si>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</si>
  <si>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</si>
  <si>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</si>
  <si>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</si>
  <si>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</si>
  <si>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</si>
  <si>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</si>
  <si>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</si>
  <si>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</si>
  <si>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</si>
  <si>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</si>
  <si>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</si>
  <si>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</si>
  <si>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</si>
  <si>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</si>
  <si>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</si>
  <si>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</si>
  <si>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</si>
  <si>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</si>
  <si>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</si>
  <si>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</si>
  <si>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</si>
  <si>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</si>
  <si>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</si>
  <si>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</si>
  <si>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</si>
  <si>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nn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</si>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</sst>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1257300</xdr:colOff>
      <xdr:row>0</xdr:row>
      <xdr:rowOff>0</xdr:rowOff>
    </xdr:from>
    <xdr:to>
      <xdr:col>4</xdr:col>
      <xdr:colOff>47625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28574</xdr:colOff>
      <xdr:row>0</xdr:row>
      <xdr:rowOff>0</xdr:rowOff>
    </xdr:from>
    <xdr:to>
      <xdr:col>6</xdr:col>
      <xdr:colOff>380999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1276350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86.365372916669" createdVersion="5" refreshedVersion="5" minRefreshableVersion="3" recordCount="154">
  <cacheSource type="worksheet">
    <worksheetSource name="Tabela1" r:id="rId2"/>
  </cacheSource>
  <cacheFields count="38">
    <cacheField name="Mês" numFmtId="0">
      <sharedItems count="9">
        <s v="JAN"/>
        <s v="FEV"/>
        <s v="MAR"/>
        <s v="ABR"/>
        <s v="MAI"/>
        <s v="JUN"/>
        <s v="JUL"/>
        <s v="AGO"/>
        <s v="SE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38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2" maxValue="380"/>
    </cacheField>
    <cacheField name="Eficiência da Pinçagem" numFmtId="0">
      <sharedItems containsMixedTypes="1" containsNumber="1" containsInteger="1" minValue="19" maxValue="94"/>
    </cacheField>
    <cacheField name="Eficiência remoção cartilagem" numFmtId="0">
      <sharedItems containsBlank="1" containsMixedTypes="1" containsNumber="1" containsInteger="1" minValue="-280" maxValue="88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47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MixedTypes="1" containsNumber="1" minValue="-120.00000000000003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4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m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m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m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m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m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m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m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m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m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m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m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m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m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m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m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m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m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m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m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m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m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m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m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m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m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m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m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m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m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m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m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m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m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m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m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m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m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m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m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m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m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m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m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m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m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m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m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m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m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m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m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m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m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m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m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m/>
    <n v="34"/>
    <n v="17"/>
    <n v="4"/>
    <n v="33"/>
    <n v="2"/>
    <n v="-65"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m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m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m/>
    <n v="40"/>
    <n v="20"/>
    <n v="4"/>
    <n v="33"/>
    <n v="2"/>
    <n v="-65"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m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m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m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m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m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m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m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m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m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m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m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m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m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m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m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m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m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m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m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m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m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m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s v="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s v="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s v="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s v="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s v="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s v="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s v="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s v="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s v=""/>
    <n v="47"/>
    <n v="23.5"/>
    <n v="44"/>
    <n v="44"/>
    <n v="22"/>
    <n v="-120.00000000000003"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s v="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n v="0"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s v="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n v="0"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n v="123"/>
    <n v="61.5"/>
    <n v="66"/>
    <n v="13"/>
    <n v="33"/>
    <n v="35"/>
    <n v="0"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n v="107"/>
    <n v="53.5"/>
    <n v="91"/>
    <n v="14"/>
    <n v="45.5"/>
    <n v="30"/>
    <n v="6"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n v="105"/>
    <n v="52.5"/>
    <n v="48"/>
    <n v="14"/>
    <n v="24"/>
    <n v="30"/>
    <n v="6"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n v="147"/>
    <n v="73.5"/>
    <n v="68"/>
    <n v="10"/>
    <n v="34"/>
    <n v="50"/>
    <n v="0"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F118" firstHeaderRow="1" firstDataRow="2" firstDataCol="0"/>
  <pivotFields count="38">
    <pivotField showAll="0">
      <items count="10">
        <item h="1" x="0"/>
        <item h="1" x="1"/>
        <item h="1" x="2"/>
        <item h="1" x="3"/>
        <item h="1" x="4"/>
        <item h="1" x="5"/>
        <item h="1" x="6"/>
        <item h="1" x="7"/>
        <item x="8"/>
        <item t="default"/>
      </items>
    </pivotField>
    <pivotField showAll="0"/>
    <pivotField showAll="0"/>
    <pivotField showAll="0"/>
    <pivotField showAll="0"/>
    <pivotField axis="axisCol" showAll="0" sortType="ascending">
      <items count="39">
        <item x="26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20"/>
        <item x="21"/>
        <item x="22"/>
        <item x="23"/>
        <item x="2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2">
    <i>
      <x/>
    </i>
    <i>
      <x v="1"/>
    </i>
    <i>
      <x v="2"/>
    </i>
    <i>
      <x v="6"/>
    </i>
    <i>
      <x v="7"/>
    </i>
    <i>
      <x v="9"/>
    </i>
    <i>
      <x v="11"/>
    </i>
    <i>
      <x v="15"/>
    </i>
    <i>
      <x v="16"/>
    </i>
    <i>
      <x v="17"/>
    </i>
    <i>
      <x v="19"/>
    </i>
    <i>
      <x v="21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6"/>
        <i x="7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55" totalsRowShown="0">
  <autoFilter ref="A1:AL155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Eficiência da Pinçagem"/>
    <tableColumn id="16" name="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C19" sqref="C19"/>
    </sheetView>
  </sheetViews>
  <sheetFormatPr defaultColWidth="9.85546875" defaultRowHeight="15" x14ac:dyDescent="0.25"/>
  <cols>
    <col min="1" max="2" width="9.85546875" style="25" customWidth="1"/>
    <col min="3" max="3" width="24.42578125" style="25" customWidth="1"/>
    <col min="4" max="4" width="23.140625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158</v>
      </c>
      <c r="C3" s="5" t="s">
        <v>159</v>
      </c>
      <c r="D3" s="5" t="s">
        <v>141</v>
      </c>
      <c r="E3" s="19" t="s">
        <v>155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01/09/2026</v>
      </c>
      <c r="V3" s="20" t="str">
        <f t="shared" ref="V3:AR3" si="0">IF(V118="","",V118)</f>
        <v>02/09/2026</v>
      </c>
      <c r="W3" s="20" t="str">
        <f t="shared" si="0"/>
        <v>03/09/2026</v>
      </c>
      <c r="X3" s="20" t="str">
        <f t="shared" si="0"/>
        <v>08/09/2026</v>
      </c>
      <c r="Y3" s="20" t="str">
        <f t="shared" si="0"/>
        <v>09/09/2026</v>
      </c>
      <c r="Z3" s="20" t="str">
        <f t="shared" si="0"/>
        <v>10/09/2026</v>
      </c>
      <c r="AA3" s="20" t="str">
        <f t="shared" si="0"/>
        <v>11/09/2026</v>
      </c>
      <c r="AB3" s="20" t="str">
        <f t="shared" si="0"/>
        <v>14/09/2026</v>
      </c>
      <c r="AC3" s="20" t="str">
        <f t="shared" si="0"/>
        <v>15/09/2026</v>
      </c>
      <c r="AD3" s="20" t="str">
        <f t="shared" si="0"/>
        <v>16/09/2026</v>
      </c>
      <c r="AE3" s="20" t="str">
        <f t="shared" si="0"/>
        <v>17/09/2026</v>
      </c>
      <c r="AF3" s="20" t="str">
        <f t="shared" si="0"/>
        <v>18/09/2026</v>
      </c>
      <c r="AG3" s="20" t="str">
        <f t="shared" si="0"/>
        <v/>
      </c>
      <c r="AH3" s="20" t="str">
        <f t="shared" si="0"/>
        <v/>
      </c>
      <c r="AI3" s="20" t="str">
        <f t="shared" si="0"/>
        <v/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>
        <f ca="1">IFERROR(AVERAGEIFS(INDIRECT("Tabela1["&amp;$D4&amp;"]"),Tabela1[Turno],$F4,Tabela1[Data],W$3),"")</f>
        <v>7</v>
      </c>
      <c r="X4" s="26">
        <f ca="1">IFERROR(AVERAGEIFS(INDIRECT("Tabela1["&amp;$D4&amp;"]"),Tabela1[Turno],$F4,Tabela1[Data],X$3),"")</f>
        <v>7</v>
      </c>
      <c r="Y4" s="26">
        <f ca="1">IFERROR(AVERAGEIFS(INDIRECT("Tabela1["&amp;$D4&amp;"]"),Tabela1[Turno],$F4,Tabela1[Data],Y$3),"")</f>
        <v>5</v>
      </c>
      <c r="Z4" s="26">
        <f ca="1">IFERROR(AVERAGEIFS(INDIRECT("Tabela1["&amp;$D4&amp;"]"),Tabela1[Turno],$F4,Tabela1[Data],Z$3),"")</f>
        <v>5</v>
      </c>
      <c r="AA4" s="26">
        <f ca="1">IFERROR(AVERAGEIFS(INDIRECT("Tabela1["&amp;$D4&amp;"]"),Tabela1[Turno],$F4,Tabela1[Data],AA$3),"")</f>
        <v>7</v>
      </c>
      <c r="AB4" s="26" t="str">
        <f ca="1">IFERROR(AVERAGEIFS(INDIRECT("Tabela1["&amp;$D4&amp;"]"),Tabela1[Turno],$F4,Tabela1[Data],AB$3),"")</f>
        <v/>
      </c>
      <c r="AC4" s="26">
        <f ca="1">IFERROR(AVERAGEIFS(INDIRECT("Tabela1["&amp;$D4&amp;"]"),Tabela1[Turno],$F4,Tabela1[Data],AC$3),"")</f>
        <v>5</v>
      </c>
      <c r="AD4" s="26" t="str">
        <f ca="1">IFERROR(AVERAGEIFS(INDIRECT("Tabela1["&amp;$D4&amp;"]"),Tabela1[Turno],$F4,Tabela1[Data],AD$3),"")</f>
        <v/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 t="str">
        <f ca="1">IFERROR(AVERAGEIFS(INDIRECT("Tabela1["&amp;$D4&amp;"]"),Tabela1[Turno],$F4,Tabela1[Data],AG$3),"")</f>
        <v/>
      </c>
      <c r="AH4" s="26" t="str">
        <f ca="1">IFERROR(AVERAGEIFS(INDIRECT("Tabela1["&amp;$D4&amp;"]"),Tabela1[Turno],$F4,Tabela1[Data],AH$3),"")</f>
        <v/>
      </c>
      <c r="AI4" s="26" t="str">
        <f ca="1">IFERROR(AVERAGEIFS(INDIRECT("Tabela1["&amp;$D4&amp;"]"),Tabela1[Turno],$F4,Tabela1[Data],AI$3),"")</f>
        <v/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6.9454545454545453</v>
      </c>
      <c r="P5" s="12" t="str">
        <f ca="1">IFERROR(AVERAGEIFS(INDIRECT("Tabela1["&amp;$D5&amp;"]"),Tabela1[Turno],$F5,Tabela1[Mês],P$3),"")</f>
        <v/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6.666666666666667</v>
      </c>
      <c r="W5" s="12">
        <f ca="1">IFERROR(AVERAGEIFS(INDIRECT("Tabela1["&amp;$D5&amp;"]"),Tabela1[Turno],$F5,Tabela1[Data],W$3),"")</f>
        <v>6.5</v>
      </c>
      <c r="X5" s="12">
        <f ca="1">IFERROR(AVERAGEIFS(INDIRECT("Tabela1["&amp;$D5&amp;"]"),Tabela1[Turno],$F5,Tabela1[Data],X$3),"")</f>
        <v>8</v>
      </c>
      <c r="Y5" s="12">
        <f ca="1">IFERROR(AVERAGEIFS(INDIRECT("Tabela1["&amp;$D5&amp;"]"),Tabela1[Turno],$F5,Tabela1[Data],Y$3),"")</f>
        <v>6.5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>
        <f ca="1">IFERROR(AVERAGEIFS(INDIRECT("Tabela1["&amp;$D5&amp;"]"),Tabela1[Turno],$F5,Tabela1[Data],AC$3),"")</f>
        <v>7</v>
      </c>
      <c r="AD5" s="12">
        <f ca="1">IFERROR(AVERAGEIFS(INDIRECT("Tabela1["&amp;$D5&amp;"]"),Tabela1[Turno],$F5,Tabela1[Data],AD$3),"")</f>
        <v>7</v>
      </c>
      <c r="AE5" s="12">
        <f ca="1">IFERROR(AVERAGEIFS(INDIRECT("Tabela1["&amp;$D5&amp;"]"),Tabela1[Turno],$F5,Tabela1[Data],AE$3),"")</f>
        <v>7</v>
      </c>
      <c r="AF5" s="12">
        <f ca="1">IFERROR(AVERAGEIFS(INDIRECT("Tabela1["&amp;$D5&amp;"]"),Tabela1[Turno],$F5,Tabela1[Data],AF$3),"")</f>
        <v>7</v>
      </c>
      <c r="AG5" s="12" t="str">
        <f ca="1">IFERROR(AVERAGEIFS(INDIRECT("Tabela1["&amp;$D5&amp;"]"),Tabela1[Turno],$F5,Tabela1[Data],AG$3),"")</f>
        <v/>
      </c>
      <c r="AH5" s="12" t="str">
        <f ca="1">IFERROR(AVERAGEIFS(INDIRECT("Tabela1["&amp;$D5&amp;"]"),Tabela1[Turno],$F5,Tabela1[Data],AH$3),"")</f>
        <v/>
      </c>
      <c r="AI5" s="12" t="str">
        <f ca="1">IFERROR(AVERAGEIFS(INDIRECT("Tabela1["&amp;$D5&amp;"]"),Tabela1[Turno],$F5,Tabela1[Data],AI$3),"")</f>
        <v/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6.8524590163934427</v>
      </c>
      <c r="P6" s="9" t="str">
        <f ca="1">IFERROR(AVERAGEIFS(INDIRECT("Tabela1["&amp;$D6&amp;"]"),Tabela1[Mês],P$3),"")</f>
        <v/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6.666666666666667</v>
      </c>
      <c r="W6" s="9">
        <f ca="1">IFERROR(AVERAGEIFS(INDIRECT("Tabela1["&amp;$D6&amp;"]"),Tabela1[Data],W$3),"")</f>
        <v>6.6</v>
      </c>
      <c r="X6" s="9">
        <f ca="1">IFERROR(AVERAGEIFS(INDIRECT("Tabela1["&amp;$D6&amp;"]"),Tabela1[Data],X$3),"")</f>
        <v>7.75</v>
      </c>
      <c r="Y6" s="9">
        <f ca="1">IFERROR(AVERAGEIFS(INDIRECT("Tabela1["&amp;$D6&amp;"]"),Tabela1[Data],Y$3),"")</f>
        <v>6.2</v>
      </c>
      <c r="Z6" s="9">
        <f ca="1">IFERROR(AVERAGEIFS(INDIRECT("Tabela1["&amp;$D6&amp;"]"),Tabela1[Data],Z$3),"")</f>
        <v>6.6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>
        <f ca="1">IFERROR(AVERAGEIFS(INDIRECT("Tabela1["&amp;$D6&amp;"]"),Tabela1[Data],AC$3),"")</f>
        <v>6.7142857142857144</v>
      </c>
      <c r="AD6" s="9">
        <f ca="1">IFERROR(AVERAGEIFS(INDIRECT("Tabela1["&amp;$D6&amp;"]"),Tabela1[Data],AD$3),"")</f>
        <v>7</v>
      </c>
      <c r="AE6" s="9">
        <f ca="1">IFERROR(AVERAGEIFS(INDIRECT("Tabela1["&amp;$D6&amp;"]"),Tabela1[Data],AE$3),"")</f>
        <v>7</v>
      </c>
      <c r="AF6" s="9">
        <f ca="1">IFERROR(AVERAGEIFS(INDIRECT("Tabela1["&amp;$D6&amp;"]"),Tabela1[Data],AF$3),"")</f>
        <v>7</v>
      </c>
      <c r="AG6" s="9" t="str">
        <f ca="1">IFERROR(AVERAGEIFS(INDIRECT("Tabela1["&amp;$D6&amp;"]"),Tabela1[Data],AG$3),"")</f>
        <v/>
      </c>
      <c r="AH6" s="9" t="str">
        <f ca="1">IFERROR(AVERAGEIFS(INDIRECT("Tabela1["&amp;$D6&amp;"]"),Tabela1[Data],AH$3),"")</f>
        <v/>
      </c>
      <c r="AI6" s="9" t="str">
        <f ca="1">IFERROR(AVERAGEIFS(INDIRECT("Tabela1["&amp;$D6&amp;"]"),Tabela1[Data],AI$3),"")</f>
        <v/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9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>
        <f ca="1">IFERROR(AVERAGEIFS(INDIRECT("Tabela1["&amp;$D7&amp;"]"),Tabela1[Turno],$F7,Tabela1[Data],W$3),"")</f>
        <v>10</v>
      </c>
      <c r="X7" s="26">
        <f ca="1">IFERROR(AVERAGEIFS(INDIRECT("Tabela1["&amp;$D7&amp;"]"),Tabela1[Turno],$F7,Tabela1[Data],X$3),"")</f>
        <v>7</v>
      </c>
      <c r="Y7" s="26">
        <f ca="1">IFERROR(AVERAGEIFS(INDIRECT("Tabela1["&amp;$D7&amp;"]"),Tabela1[Turno],$F7,Tabela1[Data],Y$3),"")</f>
        <v>10</v>
      </c>
      <c r="Z7" s="26">
        <f ca="1">IFERROR(AVERAGEIFS(INDIRECT("Tabela1["&amp;$D7&amp;"]"),Tabela1[Turno],$F7,Tabela1[Data],Z$3),"")</f>
        <v>7</v>
      </c>
      <c r="AA7" s="26">
        <f ca="1">IFERROR(AVERAGEIFS(INDIRECT("Tabela1["&amp;$D7&amp;"]"),Tabela1[Turno],$F7,Tabela1[Data],AA$3),"")</f>
        <v>10</v>
      </c>
      <c r="AB7" s="26" t="str">
        <f ca="1">IFERROR(AVERAGEIFS(INDIRECT("Tabela1["&amp;$D7&amp;"]"),Tabela1[Turno],$F7,Tabela1[Data],AB$3),"")</f>
        <v/>
      </c>
      <c r="AC7" s="26">
        <f ca="1">IFERROR(AVERAGEIFS(INDIRECT("Tabela1["&amp;$D7&amp;"]"),Tabela1[Turno],$F7,Tabela1[Data],AC$3),"")</f>
        <v>10</v>
      </c>
      <c r="AD7" s="26" t="str">
        <f ca="1">IFERROR(AVERAGEIFS(INDIRECT("Tabela1["&amp;$D7&amp;"]"),Tabela1[Turno],$F7,Tabela1[Data],AD$3),"")</f>
        <v/>
      </c>
      <c r="AE7" s="26" t="str">
        <f ca="1">IFERROR(AVERAGEIFS(INDIRECT("Tabela1["&amp;$D7&amp;"]"),Tabela1[Turno],$F7,Tabela1[Data],AE$3),"")</f>
        <v/>
      </c>
      <c r="AF7" s="26" t="str">
        <f ca="1">IFERROR(AVERAGEIFS(INDIRECT("Tabela1["&amp;$D7&amp;"]"),Tabela1[Turno],$F7,Tabela1[Data],AF$3),"")</f>
        <v/>
      </c>
      <c r="AG7" s="26" t="str">
        <f ca="1">IFERROR(AVERAGEIFS(INDIRECT("Tabela1["&amp;$D7&amp;"]"),Tabela1[Turno],$F7,Tabela1[Data],AG$3),"")</f>
        <v/>
      </c>
      <c r="AH7" s="26" t="str">
        <f ca="1">IFERROR(AVERAGEIFS(INDIRECT("Tabela1["&amp;$D7&amp;"]"),Tabela1[Turno],$F7,Tabela1[Data],AH$3),"")</f>
        <v/>
      </c>
      <c r="AI7" s="26" t="str">
        <f ca="1">IFERROR(AVERAGEIFS(INDIRECT("Tabela1["&amp;$D7&amp;"]"),Tabela1[Turno],$F7,Tabela1[Data],AI$3),"")</f>
        <v/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7.1607142857142856</v>
      </c>
      <c r="P8" s="12" t="str">
        <f ca="1">IFERROR(AVERAGEIFS(INDIRECT("Tabela1["&amp;$D8&amp;"]"),Tabela1[Turno],$F8,Tabela1[Mês],P$3),"")</f>
        <v/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7</v>
      </c>
      <c r="V8" s="12">
        <f ca="1">IFERROR(AVERAGEIFS(INDIRECT("Tabela1["&amp;$D8&amp;"]"),Tabela1[Turno],$F8,Tabela1[Data],V$3),"")</f>
        <v>7.5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7.75</v>
      </c>
      <c r="AC8" s="12">
        <f ca="1">IFERROR(AVERAGEIFS(INDIRECT("Tabela1["&amp;$D8&amp;"]"),Tabela1[Turno],$F8,Tabela1[Data],AC$3),"")</f>
        <v>7</v>
      </c>
      <c r="AD8" s="12">
        <f ca="1">IFERROR(AVERAGEIFS(INDIRECT("Tabela1["&amp;$D8&amp;"]"),Tabela1[Turno],$F8,Tabela1[Data],AD$3),"")</f>
        <v>7</v>
      </c>
      <c r="AE8" s="12">
        <f ca="1">IFERROR(AVERAGEIFS(INDIRECT("Tabela1["&amp;$D8&amp;"]"),Tabela1[Turno],$F8,Tabela1[Data],AE$3),"")</f>
        <v>7.75</v>
      </c>
      <c r="AF8" s="12">
        <f ca="1">IFERROR(AVERAGEIFS(INDIRECT("Tabela1["&amp;$D8&amp;"]"),Tabela1[Turno],$F8,Tabela1[Data],AF$3),"")</f>
        <v>7</v>
      </c>
      <c r="AG8" s="12" t="str">
        <f ca="1">IFERROR(AVERAGEIFS(INDIRECT("Tabela1["&amp;$D8&amp;"]"),Tabela1[Turno],$F8,Tabela1[Data],AG$3),"")</f>
        <v/>
      </c>
      <c r="AH8" s="12" t="str">
        <f ca="1">IFERROR(AVERAGEIFS(INDIRECT("Tabela1["&amp;$D8&amp;"]"),Tabela1[Turno],$F8,Tabela1[Data],AH$3),"")</f>
        <v/>
      </c>
      <c r="AI8" s="12" t="str">
        <f ca="1">IFERROR(AVERAGEIFS(INDIRECT("Tabela1["&amp;$D8&amp;"]"),Tabela1[Turno],$F8,Tabela1[Data],AI$3),"")</f>
        <v/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7.338709677419355</v>
      </c>
      <c r="P9" s="9" t="str">
        <f ca="1">IFERROR(AVERAGEIFS(INDIRECT("Tabela1["&amp;$D9&amp;"]"),Tabela1[Mês],P$3),"")</f>
        <v/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7</v>
      </c>
      <c r="V9" s="9">
        <f ca="1">IFERROR(AVERAGEIFS(INDIRECT("Tabela1["&amp;$D9&amp;"]"),Tabela1[Data],V$3),"")</f>
        <v>7.5</v>
      </c>
      <c r="W9" s="9">
        <f ca="1">IFERROR(AVERAGEIFS(INDIRECT("Tabela1["&amp;$D9&amp;"]"),Tabela1[Data],W$3),"")</f>
        <v>7.6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</v>
      </c>
      <c r="AA9" s="9">
        <f ca="1">IFERROR(AVERAGEIFS(INDIRECT("Tabela1["&amp;$D9&amp;"]"),Tabela1[Data],AA$3),"")</f>
        <v>7.6</v>
      </c>
      <c r="AB9" s="9">
        <f ca="1">IFERROR(AVERAGEIFS(INDIRECT("Tabela1["&amp;$D9&amp;"]"),Tabela1[Data],AB$3),"")</f>
        <v>7.75</v>
      </c>
      <c r="AC9" s="9">
        <f ca="1">IFERROR(AVERAGEIFS(INDIRECT("Tabela1["&amp;$D9&amp;"]"),Tabela1[Data],AC$3),"")</f>
        <v>7.4285714285714288</v>
      </c>
      <c r="AD9" s="9">
        <f ca="1">IFERROR(AVERAGEIFS(INDIRECT("Tabela1["&amp;$D9&amp;"]"),Tabela1[Data],AD$3),"")</f>
        <v>7</v>
      </c>
      <c r="AE9" s="9">
        <f ca="1">IFERROR(AVERAGEIFS(INDIRECT("Tabela1["&amp;$D9&amp;"]"),Tabela1[Data],AE$3),"")</f>
        <v>7.75</v>
      </c>
      <c r="AF9" s="9">
        <f ca="1">IFERROR(AVERAGEIFS(INDIRECT("Tabela1["&amp;$D9&amp;"]"),Tabela1[Data],AF$3),"")</f>
        <v>7</v>
      </c>
      <c r="AG9" s="9" t="str">
        <f ca="1">IFERROR(AVERAGEIFS(INDIRECT("Tabela1["&amp;$D9&amp;"]"),Tabela1[Data],AG$3),"")</f>
        <v/>
      </c>
      <c r="AH9" s="9" t="str">
        <f ca="1">IFERROR(AVERAGEIFS(INDIRECT("Tabela1["&amp;$D9&amp;"]"),Tabela1[Data],AH$3),"")</f>
        <v/>
      </c>
      <c r="AI9" s="9" t="str">
        <f ca="1">IFERROR(AVERAGEIFS(INDIRECT("Tabela1["&amp;$D9&amp;"]"),Tabela1[Data],AI$3),"")</f>
        <v/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>
        <f ca="1">IFERROR(AVERAGEIFS(INDIRECT("Tabela1["&amp;$D10&amp;"]"),Tabela1[Turno],$F10,Tabela1[Data],W$3),"")</f>
        <v>7</v>
      </c>
      <c r="X10" s="26">
        <f ca="1">IFERROR(AVERAGEIFS(INDIRECT("Tabela1["&amp;$D10&amp;"]"),Tabela1[Turno],$F10,Tabela1[Data],X$3),"")</f>
        <v>7</v>
      </c>
      <c r="Y10" s="26">
        <f ca="1">IFERROR(AVERAGEIFS(INDIRECT("Tabela1["&amp;$D10&amp;"]"),Tabela1[Turno],$F10,Tabela1[Data],Y$3),"")</f>
        <v>7</v>
      </c>
      <c r="Z10" s="26">
        <f ca="1">IFERROR(AVERAGEIFS(INDIRECT("Tabela1["&amp;$D10&amp;"]"),Tabela1[Turno],$F10,Tabela1[Data],Z$3),"")</f>
        <v>7</v>
      </c>
      <c r="AA10" s="26">
        <f ca="1">IFERROR(AVERAGEIFS(INDIRECT("Tabela1["&amp;$D10&amp;"]"),Tabela1[Turno],$F10,Tabela1[Data],AA$3),"")</f>
        <v>10</v>
      </c>
      <c r="AB10" s="26" t="str">
        <f ca="1">IFERROR(AVERAGEIFS(INDIRECT("Tabela1["&amp;$D10&amp;"]"),Tabela1[Turno],$F10,Tabela1[Data],AB$3),"")</f>
        <v/>
      </c>
      <c r="AC10" s="26">
        <f ca="1">IFERROR(AVERAGEIFS(INDIRECT("Tabela1["&amp;$D10&amp;"]"),Tabela1[Turno],$F10,Tabela1[Data],AC$3),"")</f>
        <v>10</v>
      </c>
      <c r="AD10" s="26" t="str">
        <f ca="1">IFERROR(AVERAGEIFS(INDIRECT("Tabela1["&amp;$D10&amp;"]"),Tabela1[Turno],$F10,Tabela1[Data],AD$3),"")</f>
        <v/>
      </c>
      <c r="AE10" s="26" t="str">
        <f ca="1">IFERROR(AVERAGEIFS(INDIRECT("Tabela1["&amp;$D10&amp;"]"),Tabela1[Turno],$F10,Tabela1[Data],AE$3),"")</f>
        <v/>
      </c>
      <c r="AF10" s="26" t="str">
        <f ca="1">IFERROR(AVERAGEIFS(INDIRECT("Tabela1["&amp;$D10&amp;"]"),Tabela1[Turno],$F10,Tabela1[Data],AF$3),"")</f>
        <v/>
      </c>
      <c r="AG10" s="26" t="str">
        <f ca="1">IFERROR(AVERAGEIFS(INDIRECT("Tabela1["&amp;$D10&amp;"]"),Tabela1[Turno],$F10,Tabela1[Data],AG$3),"")</f>
        <v/>
      </c>
      <c r="AH10" s="26" t="str">
        <f ca="1">IFERROR(AVERAGEIFS(INDIRECT("Tabela1["&amp;$D10&amp;"]"),Tabela1[Turno],$F10,Tabela1[Data],AH$3),"")</f>
        <v/>
      </c>
      <c r="AI10" s="26" t="str">
        <f ca="1">IFERROR(AVERAGEIFS(INDIRECT("Tabela1["&amp;$D10&amp;"]"),Tabela1[Turno],$F10,Tabela1[Data],AI$3),"")</f>
        <v/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7</v>
      </c>
      <c r="P11" s="12" t="str">
        <f ca="1">IFERROR(AVERAGEIFS(INDIRECT("Tabela1["&amp;$D11&amp;"]"),Tabela1[Turno],$F11,Tabela1[Mês],P$3),"")</f>
        <v/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7</v>
      </c>
      <c r="AC11" s="12">
        <f ca="1">IFERROR(AVERAGEIFS(INDIRECT("Tabela1["&amp;$D11&amp;"]"),Tabela1[Turno],$F11,Tabela1[Data],AC$3),"")</f>
        <v>7</v>
      </c>
      <c r="AD11" s="12">
        <f ca="1">IFERROR(AVERAGEIFS(INDIRECT("Tabela1["&amp;$D11&amp;"]"),Tabela1[Turno],$F11,Tabela1[Data],AD$3),"")</f>
        <v>7</v>
      </c>
      <c r="AE11" s="12">
        <f ca="1">IFERROR(AVERAGEIFS(INDIRECT("Tabela1["&amp;$D11&amp;"]"),Tabela1[Turno],$F11,Tabela1[Data],AE$3),"")</f>
        <v>7</v>
      </c>
      <c r="AF11" s="12">
        <f ca="1">IFERROR(AVERAGEIFS(INDIRECT("Tabela1["&amp;$D11&amp;"]"),Tabela1[Turno],$F11,Tabela1[Data],AF$3),"")</f>
        <v>7</v>
      </c>
      <c r="AG11" s="12" t="str">
        <f ca="1">IFERROR(AVERAGEIFS(INDIRECT("Tabela1["&amp;$D11&amp;"]"),Tabela1[Turno],$F11,Tabela1[Data],AG$3),"")</f>
        <v/>
      </c>
      <c r="AH11" s="12" t="str">
        <f ca="1">IFERROR(AVERAGEIFS(INDIRECT("Tabela1["&amp;$D11&amp;"]"),Tabela1[Turno],$F11,Tabela1[Data],AH$3),"")</f>
        <v/>
      </c>
      <c r="AI11" s="12" t="str">
        <f ca="1">IFERROR(AVERAGEIFS(INDIRECT("Tabela1["&amp;$D11&amp;"]"),Tabela1[Turno],$F11,Tabela1[Data],AI$3),"")</f>
        <v/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7.096774193548387</v>
      </c>
      <c r="P12" s="9" t="str">
        <f ca="1">IFERROR(AVERAGEIFS(INDIRECT("Tabela1["&amp;$D12&amp;"]"),Tabela1[Mês],P$3),"")</f>
        <v/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7.6</v>
      </c>
      <c r="AB12" s="9">
        <f ca="1">IFERROR(AVERAGEIFS(INDIRECT("Tabela1["&amp;$D12&amp;"]"),Tabela1[Data],AB$3),"")</f>
        <v>7</v>
      </c>
      <c r="AC12" s="9">
        <f ca="1">IFERROR(AVERAGEIFS(INDIRECT("Tabela1["&amp;$D12&amp;"]"),Tabela1[Data],AC$3),"")</f>
        <v>7.4285714285714288</v>
      </c>
      <c r="AD12" s="9">
        <f ca="1">IFERROR(AVERAGEIFS(INDIRECT("Tabela1["&amp;$D12&amp;"]"),Tabela1[Data],AD$3),"")</f>
        <v>7</v>
      </c>
      <c r="AE12" s="9">
        <f ca="1">IFERROR(AVERAGEIFS(INDIRECT("Tabela1["&amp;$D12&amp;"]"),Tabela1[Data],AE$3),"")</f>
        <v>7</v>
      </c>
      <c r="AF12" s="9">
        <f ca="1">IFERROR(AVERAGEIFS(INDIRECT("Tabela1["&amp;$D12&amp;"]"),Tabela1[Data],AF$3),"")</f>
        <v>7</v>
      </c>
      <c r="AG12" s="9" t="str">
        <f ca="1">IFERROR(AVERAGEIFS(INDIRECT("Tabela1["&amp;$D12&amp;"]"),Tabela1[Data],AG$3),"")</f>
        <v/>
      </c>
      <c r="AH12" s="9" t="str">
        <f ca="1">IFERROR(AVERAGEIFS(INDIRECT("Tabela1["&amp;$D12&amp;"]"),Tabela1[Data],AH$3),"")</f>
        <v/>
      </c>
      <c r="AI12" s="9" t="str">
        <f ca="1">IFERROR(AVERAGEIFS(INDIRECT("Tabela1["&amp;$D12&amp;"]"),Tabela1[Data],AI$3),"")</f>
        <v/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6.333333333333333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>
        <f ca="1">IFERROR(AVERAGEIFS(INDIRECT("Tabela1["&amp;$D13&amp;"]"),Tabela1[Turno],$F13,Tabela1[Data],W$3),"")</f>
        <v>7</v>
      </c>
      <c r="X13" s="26">
        <f ca="1">IFERROR(AVERAGEIFS(INDIRECT("Tabela1["&amp;$D13&amp;"]"),Tabela1[Turno],$F13,Tabela1[Data],X$3),"")</f>
        <v>7</v>
      </c>
      <c r="Y13" s="26">
        <f ca="1">IFERROR(AVERAGEIFS(INDIRECT("Tabela1["&amp;$D13&amp;"]"),Tabela1[Turno],$F13,Tabela1[Data],Y$3),"")</f>
        <v>5</v>
      </c>
      <c r="Z13" s="26">
        <f ca="1">IFERROR(AVERAGEIFS(INDIRECT("Tabela1["&amp;$D13&amp;"]"),Tabela1[Turno],$F13,Tabela1[Data],Z$3),"")</f>
        <v>7</v>
      </c>
      <c r="AA13" s="26">
        <f ca="1">IFERROR(AVERAGEIFS(INDIRECT("Tabela1["&amp;$D13&amp;"]"),Tabela1[Turno],$F13,Tabela1[Data],AA$3),"")</f>
        <v>7</v>
      </c>
      <c r="AB13" s="26" t="str">
        <f ca="1">IFERROR(AVERAGEIFS(INDIRECT("Tabela1["&amp;$D13&amp;"]"),Tabela1[Turno],$F13,Tabela1[Data],AB$3),"")</f>
        <v/>
      </c>
      <c r="AC13" s="26">
        <f ca="1">IFERROR(AVERAGEIFS(INDIRECT("Tabela1["&amp;$D13&amp;"]"),Tabela1[Turno],$F13,Tabela1[Data],AC$3),"")</f>
        <v>5</v>
      </c>
      <c r="AD13" s="26" t="str">
        <f ca="1">IFERROR(AVERAGEIFS(INDIRECT("Tabela1["&amp;$D13&amp;"]"),Tabela1[Turno],$F13,Tabela1[Data],AD$3),"")</f>
        <v/>
      </c>
      <c r="AE13" s="26" t="str">
        <f ca="1">IFERROR(AVERAGEIFS(INDIRECT("Tabela1["&amp;$D13&amp;"]"),Tabela1[Turno],$F13,Tabela1[Data],AE$3),"")</f>
        <v/>
      </c>
      <c r="AF13" s="26" t="str">
        <f ca="1">IFERROR(AVERAGEIFS(INDIRECT("Tabela1["&amp;$D13&amp;"]"),Tabela1[Turno],$F13,Tabela1[Data],AF$3),"")</f>
        <v/>
      </c>
      <c r="AG13" s="26" t="str">
        <f ca="1">IFERROR(AVERAGEIFS(INDIRECT("Tabela1["&amp;$D13&amp;"]"),Tabela1[Turno],$F13,Tabela1[Data],AG$3),"")</f>
        <v/>
      </c>
      <c r="AH13" s="26" t="str">
        <f ca="1">IFERROR(AVERAGEIFS(INDIRECT("Tabela1["&amp;$D13&amp;"]"),Tabela1[Turno],$F13,Tabela1[Data],AH$3),"")</f>
        <v/>
      </c>
      <c r="AI13" s="26" t="str">
        <f ca="1">IFERROR(AVERAGEIFS(INDIRECT("Tabela1["&amp;$D13&amp;"]"),Tabela1[Turno],$F13,Tabela1[Data],AI$3),"")</f>
        <v/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5.3928571428571432</v>
      </c>
      <c r="P14" s="12" t="str">
        <f ca="1">IFERROR(AVERAGEIFS(INDIRECT("Tabela1["&amp;$D14&amp;"]"),Tabela1[Turno],$F14,Tabela1[Mês],P$3),"")</f>
        <v/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5.333333333333333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5.5</v>
      </c>
      <c r="Z14" s="12">
        <f ca="1">IFERROR(AVERAGEIFS(INDIRECT("Tabela1["&amp;$D14&amp;"]"),Tabela1[Turno],$F14,Tabela1[Data],Z$3),"")</f>
        <v>6</v>
      </c>
      <c r="AA14" s="12">
        <f ca="1">IFERROR(AVERAGEIFS(INDIRECT("Tabela1["&amp;$D14&amp;"]"),Tabela1[Turno],$F14,Tabela1[Data],AA$3),"")</f>
        <v>5.5</v>
      </c>
      <c r="AB14" s="12">
        <f ca="1">IFERROR(AVERAGEIFS(INDIRECT("Tabela1["&amp;$D14&amp;"]"),Tabela1[Turno],$F14,Tabela1[Data],AB$3),"")</f>
        <v>5.5</v>
      </c>
      <c r="AC14" s="12">
        <f ca="1">IFERROR(AVERAGEIFS(INDIRECT("Tabela1["&amp;$D14&amp;"]"),Tabela1[Turno],$F14,Tabela1[Data],AC$3),"")</f>
        <v>5</v>
      </c>
      <c r="AD14" s="12">
        <f ca="1">IFERROR(AVERAGEIFS(INDIRECT("Tabela1["&amp;$D14&amp;"]"),Tabela1[Turno],$F14,Tabela1[Data],AD$3),"")</f>
        <v>5</v>
      </c>
      <c r="AE14" s="12">
        <f ca="1">IFERROR(AVERAGEIFS(INDIRECT("Tabela1["&amp;$D14&amp;"]"),Tabela1[Turno],$F14,Tabela1[Data],AE$3),"")</f>
        <v>5.5</v>
      </c>
      <c r="AF14" s="12">
        <f ca="1">IFERROR(AVERAGEIFS(INDIRECT("Tabela1["&amp;$D14&amp;"]"),Tabela1[Turno],$F14,Tabela1[Data],AF$3),"")</f>
        <v>5.5</v>
      </c>
      <c r="AG14" s="12" t="str">
        <f ca="1">IFERROR(AVERAGEIFS(INDIRECT("Tabela1["&amp;$D14&amp;"]"),Tabela1[Turno],$F14,Tabela1[Data],AG$3),"")</f>
        <v/>
      </c>
      <c r="AH14" s="12" t="str">
        <f ca="1">IFERROR(AVERAGEIFS(INDIRECT("Tabela1["&amp;$D14&amp;"]"),Tabela1[Turno],$F14,Tabela1[Data],AH$3),"")</f>
        <v/>
      </c>
      <c r="AI14" s="12" t="str">
        <f ca="1">IFERROR(AVERAGEIFS(INDIRECT("Tabela1["&amp;$D14&amp;"]"),Tabela1[Turno],$F14,Tabela1[Data],AI$3),"")</f>
        <v/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5.4838709677419351</v>
      </c>
      <c r="P15" s="9" t="str">
        <f ca="1">IFERROR(AVERAGEIFS(INDIRECT("Tabela1["&amp;$D15&amp;"]"),Tabela1[Mês],P$3),"")</f>
        <v/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5.333333333333333</v>
      </c>
      <c r="W15" s="9">
        <f ca="1">IFERROR(AVERAGEIFS(INDIRECT("Tabela1["&amp;$D15&amp;"]"),Tabela1[Data],W$3),"")</f>
        <v>5.4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5.4</v>
      </c>
      <c r="Z15" s="9">
        <f ca="1">IFERROR(AVERAGEIFS(INDIRECT("Tabela1["&amp;$D15&amp;"]"),Tabela1[Data],Z$3),"")</f>
        <v>6.2</v>
      </c>
      <c r="AA15" s="9">
        <f ca="1">IFERROR(AVERAGEIFS(INDIRECT("Tabela1["&amp;$D15&amp;"]"),Tabela1[Data],AA$3),"")</f>
        <v>5.8</v>
      </c>
      <c r="AB15" s="9">
        <f ca="1">IFERROR(AVERAGEIFS(INDIRECT("Tabela1["&amp;$D15&amp;"]"),Tabela1[Data],AB$3),"")</f>
        <v>5.5</v>
      </c>
      <c r="AC15" s="9">
        <f ca="1">IFERROR(AVERAGEIFS(INDIRECT("Tabela1["&amp;$D15&amp;"]"),Tabela1[Data],AC$3),"")</f>
        <v>5</v>
      </c>
      <c r="AD15" s="9">
        <f ca="1">IFERROR(AVERAGEIFS(INDIRECT("Tabela1["&amp;$D15&amp;"]"),Tabela1[Data],AD$3),"")</f>
        <v>5</v>
      </c>
      <c r="AE15" s="9">
        <f ca="1">IFERROR(AVERAGEIFS(INDIRECT("Tabela1["&amp;$D15&amp;"]"),Tabela1[Data],AE$3),"")</f>
        <v>5.5</v>
      </c>
      <c r="AF15" s="9">
        <f ca="1">IFERROR(AVERAGEIFS(INDIRECT("Tabela1["&amp;$D15&amp;"]"),Tabela1[Data],AF$3),"")</f>
        <v>5.5</v>
      </c>
      <c r="AG15" s="9" t="str">
        <f ca="1">IFERROR(AVERAGEIFS(INDIRECT("Tabela1["&amp;$D15&amp;"]"),Tabela1[Data],AG$3),"")</f>
        <v/>
      </c>
      <c r="AH15" s="9" t="str">
        <f ca="1">IFERROR(AVERAGEIFS(INDIRECT("Tabela1["&amp;$D15&amp;"]"),Tabela1[Data],AH$3),"")</f>
        <v/>
      </c>
      <c r="AI15" s="9" t="str">
        <f ca="1">IFERROR(AVERAGEIFS(INDIRECT("Tabela1["&amp;$D15&amp;"]"),Tabela1[Data],AI$3),"")</f>
        <v/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164</v>
      </c>
      <c r="D16" s="4" t="str">
        <f>IF(E16=0,#REF!,E16)</f>
        <v>Eficiência da Pinçagem</v>
      </c>
      <c r="E16" s="39" t="str">
        <f>Coleta!N1</f>
        <v>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0.78333333333333333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>
        <f ca="1">IFERROR(AVERAGEIFS(INDIRECT("Tabela1["&amp;$D16&amp;"]"),Tabela1[Turno],$F16,Tabela1[Data],W$3)/100,"")</f>
        <v>0.79</v>
      </c>
      <c r="X16" s="28">
        <f ca="1">IFERROR(AVERAGEIFS(INDIRECT("Tabela1["&amp;$D16&amp;"]"),Tabela1[Turno],$F16,Tabela1[Data],X$3)/100,"")</f>
        <v>0.81</v>
      </c>
      <c r="Y16" s="28">
        <f ca="1">IFERROR(AVERAGEIFS(INDIRECT("Tabela1["&amp;$D16&amp;"]"),Tabela1[Turno],$F16,Tabela1[Data],Y$3)/100,"")</f>
        <v>0.83</v>
      </c>
      <c r="Z16" s="28">
        <f ca="1">IFERROR(AVERAGEIFS(INDIRECT("Tabela1["&amp;$D16&amp;"]"),Tabela1[Turno],$F16,Tabela1[Data],Z$3)/100,"")</f>
        <v>0.73</v>
      </c>
      <c r="AA16" s="28">
        <f ca="1">IFERROR(AVERAGEIFS(INDIRECT("Tabela1["&amp;$D16&amp;"]"),Tabela1[Turno],$F16,Tabela1[Data],AA$3)/100,"")</f>
        <v>0.76</v>
      </c>
      <c r="AB16" s="28" t="str">
        <f ca="1">IFERROR(AVERAGEIFS(INDIRECT("Tabela1["&amp;$D16&amp;"]"),Tabela1[Turno],$F16,Tabela1[Data],AB$3)/100,"")</f>
        <v/>
      </c>
      <c r="AC16" s="28">
        <f ca="1">IFERROR(AVERAGEIFS(INDIRECT("Tabela1["&amp;$D16&amp;"]"),Tabela1[Turno],$F16,Tabela1[Data],AC$3)/100,"")</f>
        <v>0.78</v>
      </c>
      <c r="AD16" s="28" t="str">
        <f ca="1">IFERROR(AVERAGEIFS(INDIRECT("Tabela1["&amp;$D16&amp;"]"),Tabela1[Turno],$F16,Tabela1[Data],AD$3)/100,"")</f>
        <v/>
      </c>
      <c r="AE16" s="28" t="str">
        <f ca="1">IFERROR(AVERAGEIFS(INDIRECT("Tabela1["&amp;$D16&amp;"]"),Tabela1[Turno],$F16,Tabela1[Data],AE$3)/100,"")</f>
        <v/>
      </c>
      <c r="AF16" s="28" t="str">
        <f ca="1">IFERROR(AVERAGEIFS(INDIRECT("Tabela1["&amp;$D16&amp;"]"),Tabela1[Turno],$F16,Tabela1[Data],AF$3)/100,"")</f>
        <v/>
      </c>
      <c r="AG16" s="28" t="str">
        <f ca="1">IFERROR(AVERAGEIFS(INDIRECT("Tabela1["&amp;$D16&amp;"]"),Tabela1[Turno],$F16,Tabela1[Data],AG$3)/100,"")</f>
        <v/>
      </c>
      <c r="AH16" s="28" t="str">
        <f ca="1">IFERROR(AVERAGEIFS(INDIRECT("Tabela1["&amp;$D16&amp;"]"),Tabela1[Turno],$F16,Tabela1[Data],AH$3)/100,"")</f>
        <v/>
      </c>
      <c r="AI16" s="28" t="str">
        <f ca="1">IFERROR(AVERAGEIFS(INDIRECT("Tabela1["&amp;$D16&amp;"]"),Tabela1[Turno],$F16,Tabela1[Data],AI$3)/100,"")</f>
        <v/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164</v>
      </c>
      <c r="D17" s="4" t="str">
        <f t="shared" si="2"/>
        <v>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0.83017857142857143</v>
      </c>
      <c r="P17" s="16" t="str">
        <f ca="1">IFERROR(AVERAGEIFS(INDIRECT("Tabela1["&amp;$D17&amp;"]"),Tabela1[Turno],$F17,Tabela1[Mês],P$3)/100,"")</f>
        <v/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0.78249999999999997</v>
      </c>
      <c r="V17" s="16">
        <f ca="1">IFERROR(AVERAGEIFS(INDIRECT("Tabela1["&amp;$D17&amp;"]"),Tabela1[Turno],$F17,Tabela1[Data],V$3)/100,"")</f>
        <v>0.84666666666666668</v>
      </c>
      <c r="W17" s="16">
        <f ca="1">IFERROR(AVERAGEIFS(INDIRECT("Tabela1["&amp;$D17&amp;"]"),Tabela1[Turno],$F17,Tabela1[Data],W$3)/100,"")</f>
        <v>0.81499999999999995</v>
      </c>
      <c r="X17" s="16">
        <f ca="1">IFERROR(AVERAGEIFS(INDIRECT("Tabela1["&amp;$D17&amp;"]"),Tabela1[Turno],$F17,Tabela1[Data],X$3)/100,"")</f>
        <v>0.745</v>
      </c>
      <c r="Y17" s="16">
        <f ca="1">IFERROR(AVERAGEIFS(INDIRECT("Tabela1["&amp;$D17&amp;"]"),Tabela1[Turno],$F17,Tabela1[Data],Y$3)/100,"")</f>
        <v>0.84</v>
      </c>
      <c r="Z17" s="16">
        <f ca="1">IFERROR(AVERAGEIFS(INDIRECT("Tabela1["&amp;$D17&amp;"]"),Tabela1[Turno],$F17,Tabela1[Data],Z$3)/100,"")</f>
        <v>0.87</v>
      </c>
      <c r="AA17" s="16">
        <f ca="1">IFERROR(AVERAGEIFS(INDIRECT("Tabela1["&amp;$D17&amp;"]"),Tabela1[Turno],$F17,Tabela1[Data],AA$3)/100,"")</f>
        <v>0.86250000000000004</v>
      </c>
      <c r="AB17" s="16">
        <f ca="1">IFERROR(AVERAGEIFS(INDIRECT("Tabela1["&amp;$D17&amp;"]"),Tabela1[Turno],$F17,Tabela1[Data],AB$3)/100,"")</f>
        <v>0.87749999999999995</v>
      </c>
      <c r="AC17" s="16">
        <f ca="1">IFERROR(AVERAGEIFS(INDIRECT("Tabela1["&amp;$D17&amp;"]"),Tabela1[Turno],$F17,Tabela1[Data],AC$3)/100,"")</f>
        <v>0.9</v>
      </c>
      <c r="AD17" s="16">
        <f ca="1">IFERROR(AVERAGEIFS(INDIRECT("Tabela1["&amp;$D17&amp;"]"),Tabela1[Turno],$F17,Tabela1[Data],AD$3)/100,"")</f>
        <v>0.83499999999999996</v>
      </c>
      <c r="AE17" s="16">
        <f ca="1">IFERROR(AVERAGEIFS(INDIRECT("Tabela1["&amp;$D17&amp;"]"),Tabela1[Turno],$F17,Tabela1[Data],AE$3)/100,"")</f>
        <v>0.73</v>
      </c>
      <c r="AF17" s="16">
        <f ca="1">IFERROR(AVERAGEIFS(INDIRECT("Tabela1["&amp;$D17&amp;"]"),Tabela1[Turno],$F17,Tabela1[Data],AF$3)/100,"")</f>
        <v>0.86250000000000004</v>
      </c>
      <c r="AG17" s="16" t="str">
        <f ca="1">IFERROR(AVERAGEIFS(INDIRECT("Tabela1["&amp;$D17&amp;"]"),Tabela1[Turno],$F17,Tabela1[Data],AG$3)/100,"")</f>
        <v/>
      </c>
      <c r="AH17" s="16" t="str">
        <f ca="1">IFERROR(AVERAGEIFS(INDIRECT("Tabela1["&amp;$D17&amp;"]"),Tabela1[Turno],$F17,Tabela1[Data],AH$3)/100,"")</f>
        <v/>
      </c>
      <c r="AI17" s="16" t="str">
        <f ca="1">IFERROR(AVERAGEIFS(INDIRECT("Tabela1["&amp;$D17&amp;"]"),Tabela1[Turno],$F17,Tabela1[Data],AI$3)/100,"")</f>
        <v/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164</v>
      </c>
      <c r="D18" s="4" t="str">
        <f t="shared" si="2"/>
        <v>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0.82564516129032262</v>
      </c>
      <c r="P18" s="10" t="str">
        <f ca="1">IFERROR(AVERAGEIFS(INDIRECT("Tabela1["&amp;$D18&amp;"]"),Tabela1[Mês],P$3)/100,"")</f>
        <v/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0.78249999999999997</v>
      </c>
      <c r="V18" s="10">
        <f ca="1">IFERROR(AVERAGEIFS(INDIRECT("Tabela1["&amp;$D18&amp;"]"),Tabela1[Data],V$3)/100,"")</f>
        <v>0.84666666666666668</v>
      </c>
      <c r="W18" s="10">
        <f ca="1">IFERROR(AVERAGEIFS(INDIRECT("Tabela1["&amp;$D18&amp;"]"),Tabela1[Data],W$3)/100,"")</f>
        <v>0.81</v>
      </c>
      <c r="X18" s="10">
        <f ca="1">IFERROR(AVERAGEIFS(INDIRECT("Tabela1["&amp;$D18&amp;"]"),Tabela1[Data],X$3)/100,"")</f>
        <v>0.75800000000000001</v>
      </c>
      <c r="Y18" s="10">
        <f ca="1">IFERROR(AVERAGEIFS(INDIRECT("Tabela1["&amp;$D18&amp;"]"),Tabela1[Data],Y$3)/100,"")</f>
        <v>0.83799999999999997</v>
      </c>
      <c r="Z18" s="10">
        <f ca="1">IFERROR(AVERAGEIFS(INDIRECT("Tabela1["&amp;$D18&amp;"]"),Tabela1[Data],Z$3)/100,"")</f>
        <v>0.84200000000000008</v>
      </c>
      <c r="AA18" s="10">
        <f ca="1">IFERROR(AVERAGEIFS(INDIRECT("Tabela1["&amp;$D18&amp;"]"),Tabela1[Data],AA$3)/100,"")</f>
        <v>0.84200000000000008</v>
      </c>
      <c r="AB18" s="10">
        <f ca="1">IFERROR(AVERAGEIFS(INDIRECT("Tabela1["&amp;$D18&amp;"]"),Tabela1[Data],AB$3)/100,"")</f>
        <v>0.87749999999999995</v>
      </c>
      <c r="AC18" s="10">
        <f ca="1">IFERROR(AVERAGEIFS(INDIRECT("Tabela1["&amp;$D18&amp;"]"),Tabela1[Data],AC$3)/100,"")</f>
        <v>0.8828571428571429</v>
      </c>
      <c r="AD18" s="10">
        <f ca="1">IFERROR(AVERAGEIFS(INDIRECT("Tabela1["&amp;$D18&amp;"]"),Tabela1[Data],AD$3)/100,"")</f>
        <v>0.83499999999999996</v>
      </c>
      <c r="AE18" s="10">
        <f ca="1">IFERROR(AVERAGEIFS(INDIRECT("Tabela1["&amp;$D18&amp;"]"),Tabela1[Data],AE$3)/100,"")</f>
        <v>0.73</v>
      </c>
      <c r="AF18" s="10">
        <f ca="1">IFERROR(AVERAGEIFS(INDIRECT("Tabela1["&amp;$D18&amp;"]"),Tabela1[Data],AF$3)/100,"")</f>
        <v>0.86250000000000004</v>
      </c>
      <c r="AG18" s="10" t="str">
        <f ca="1">IFERROR(AVERAGEIFS(INDIRECT("Tabela1["&amp;$D18&amp;"]"),Tabela1[Data],AG$3)/100,"")</f>
        <v/>
      </c>
      <c r="AH18" s="10" t="str">
        <f ca="1">IFERROR(AVERAGEIFS(INDIRECT("Tabela1["&amp;$D18&amp;"]"),Tabela1[Data],AH$3)/100,"")</f>
        <v/>
      </c>
      <c r="AI18" s="10" t="str">
        <f ca="1">IFERROR(AVERAGEIFS(INDIRECT("Tabela1["&amp;$D18&amp;"]"),Tabela1[Data],AI$3)/100,"")</f>
        <v/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165</v>
      </c>
      <c r="D19" s="4" t="str">
        <f t="shared" si="2"/>
        <v>Eficiência remoção cartilagem</v>
      </c>
      <c r="E19" s="39" t="str">
        <f>Coleta!O1</f>
        <v>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0.65500000000000003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>
        <f ca="1">IFERROR(AVERAGEIFS(INDIRECT("Tabela1["&amp;$D19&amp;"]"),Tabela1[Turno],$F19,Tabela1[Data],W$3)/100,"")</f>
        <v>0.62</v>
      </c>
      <c r="X19" s="28">
        <f ca="1">IFERROR(AVERAGEIFS(INDIRECT("Tabela1["&amp;$D19&amp;"]"),Tabela1[Turno],$F19,Tabela1[Data],X$3)/100,"")</f>
        <v>0.68</v>
      </c>
      <c r="Y19" s="28">
        <f ca="1">IFERROR(AVERAGEIFS(INDIRECT("Tabela1["&amp;$D19&amp;"]"),Tabela1[Turno],$F19,Tabela1[Data],Y$3)/100,"")</f>
        <v>0.72</v>
      </c>
      <c r="Z19" s="28">
        <f ca="1">IFERROR(AVERAGEIFS(INDIRECT("Tabela1["&amp;$D19&amp;"]"),Tabela1[Turno],$F19,Tabela1[Data],Z$3)/100,"")</f>
        <v>0.64</v>
      </c>
      <c r="AA19" s="28">
        <f ca="1">IFERROR(AVERAGEIFS(INDIRECT("Tabela1["&amp;$D19&amp;"]"),Tabela1[Turno],$F19,Tabela1[Data],AA$3)/100,"")</f>
        <v>0.64</v>
      </c>
      <c r="AB19" s="28" t="str">
        <f ca="1">IFERROR(AVERAGEIFS(INDIRECT("Tabela1["&amp;$D19&amp;"]"),Tabela1[Turno],$F19,Tabela1[Data],AB$3)/100,"")</f>
        <v/>
      </c>
      <c r="AC19" s="28">
        <f ca="1">IFERROR(AVERAGEIFS(INDIRECT("Tabela1["&amp;$D19&amp;"]"),Tabela1[Turno],$F19,Tabela1[Data],AC$3)/100,"")</f>
        <v>0.63</v>
      </c>
      <c r="AD19" s="28" t="str">
        <f ca="1">IFERROR(AVERAGEIFS(INDIRECT("Tabela1["&amp;$D19&amp;"]"),Tabela1[Turno],$F19,Tabela1[Data],AD$3)/100,"")</f>
        <v/>
      </c>
      <c r="AE19" s="28" t="str">
        <f ca="1">IFERROR(AVERAGEIFS(INDIRECT("Tabela1["&amp;$D19&amp;"]"),Tabela1[Turno],$F19,Tabela1[Data],AE$3)/100,"")</f>
        <v/>
      </c>
      <c r="AF19" s="28" t="str">
        <f ca="1">IFERROR(AVERAGEIFS(INDIRECT("Tabela1["&amp;$D19&amp;"]"),Tabela1[Turno],$F19,Tabela1[Data],AF$3)/100,"")</f>
        <v/>
      </c>
      <c r="AG19" s="28" t="str">
        <f ca="1">IFERROR(AVERAGEIFS(INDIRECT("Tabela1["&amp;$D19&amp;"]"),Tabela1[Turno],$F19,Tabela1[Data],AG$3)/100,"")</f>
        <v/>
      </c>
      <c r="AH19" s="28" t="str">
        <f ca="1">IFERROR(AVERAGEIFS(INDIRECT("Tabela1["&amp;$D19&amp;"]"),Tabela1[Turno],$F19,Tabela1[Data],AH$3)/100,"")</f>
        <v/>
      </c>
      <c r="AI19" s="28" t="str">
        <f ca="1">IFERROR(AVERAGEIFS(INDIRECT("Tabela1["&amp;$D19&amp;"]"),Tabela1[Turno],$F19,Tabela1[Data],AI$3)/100,"")</f>
        <v/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165</v>
      </c>
      <c r="D20" s="4" t="str">
        <f t="shared" si="2"/>
        <v>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0.63803571428571426</v>
      </c>
      <c r="P20" s="16" t="str">
        <f ca="1">IFERROR(AVERAGEIFS(INDIRECT("Tabela1["&amp;$D20&amp;"]"),Tabela1[Turno],$F20,Tabela1[Mês],P$3)/100,"")</f>
        <v/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0.65500000000000003</v>
      </c>
      <c r="V20" s="16">
        <f ca="1">IFERROR(AVERAGEIFS(INDIRECT("Tabela1["&amp;$D20&amp;"]"),Tabela1[Turno],$F20,Tabela1[Data],V$3)/100,"")</f>
        <v>0.70833333333333326</v>
      </c>
      <c r="W20" s="16">
        <f ca="1">IFERROR(AVERAGEIFS(INDIRECT("Tabela1["&amp;$D20&amp;"]"),Tabela1[Turno],$F20,Tabela1[Data],W$3)/100,"")</f>
        <v>0.64500000000000002</v>
      </c>
      <c r="X20" s="16">
        <f ca="1">IFERROR(AVERAGEIFS(INDIRECT("Tabela1["&amp;$D20&amp;"]"),Tabela1[Turno],$F20,Tabela1[Data],X$3)/100,"")</f>
        <v>0.76</v>
      </c>
      <c r="Y20" s="16">
        <f ca="1">IFERROR(AVERAGEIFS(INDIRECT("Tabela1["&amp;$D20&amp;"]"),Tabela1[Turno],$F20,Tabela1[Data],Y$3)/100,"")</f>
        <v>0.81</v>
      </c>
      <c r="Z20" s="16">
        <f ca="1">IFERROR(AVERAGEIFS(INDIRECT("Tabela1["&amp;$D20&amp;"]"),Tabela1[Turno],$F20,Tabela1[Data],Z$3)/100,"")</f>
        <v>0.69499999999999995</v>
      </c>
      <c r="AA20" s="16">
        <f ca="1">IFERROR(AVERAGEIFS(INDIRECT("Tabela1["&amp;$D20&amp;"]"),Tabela1[Turno],$F20,Tabela1[Data],AA$3)/100,"")</f>
        <v>0.69</v>
      </c>
      <c r="AB20" s="16">
        <f ca="1">IFERROR(AVERAGEIFS(INDIRECT("Tabela1["&amp;$D20&amp;"]"),Tabela1[Turno],$F20,Tabela1[Data],AB$3)/100,"")</f>
        <v>0.71750000000000003</v>
      </c>
      <c r="AC20" s="16">
        <f ca="1">IFERROR(AVERAGEIFS(INDIRECT("Tabela1["&amp;$D20&amp;"]"),Tabela1[Turno],$F20,Tabela1[Data],AC$3)/100,"")</f>
        <v>0.10333333333333333</v>
      </c>
      <c r="AD20" s="16">
        <f ca="1">IFERROR(AVERAGEIFS(INDIRECT("Tabela1["&amp;$D20&amp;"]"),Tabela1[Turno],$F20,Tabela1[Data],AD$3)/100,"")</f>
        <v>0.69</v>
      </c>
      <c r="AE20" s="16">
        <f ca="1">IFERROR(AVERAGEIFS(INDIRECT("Tabela1["&amp;$D20&amp;"]"),Tabela1[Turno],$F20,Tabela1[Data],AE$3)/100,"")</f>
        <v>0.7</v>
      </c>
      <c r="AF20" s="16">
        <f ca="1">IFERROR(AVERAGEIFS(INDIRECT("Tabela1["&amp;$D20&amp;"]"),Tabela1[Turno],$F20,Tabela1[Data],AF$3)/100,"")</f>
        <v>0.69750000000000001</v>
      </c>
      <c r="AG20" s="16" t="str">
        <f ca="1">IFERROR(AVERAGEIFS(INDIRECT("Tabela1["&amp;$D20&amp;"]"),Tabela1[Turno],$F20,Tabela1[Data],AG$3)/100,"")</f>
        <v/>
      </c>
      <c r="AH20" s="16" t="str">
        <f ca="1">IFERROR(AVERAGEIFS(INDIRECT("Tabela1["&amp;$D20&amp;"]"),Tabela1[Turno],$F20,Tabela1[Data],AH$3)/100,"")</f>
        <v/>
      </c>
      <c r="AI20" s="16" t="str">
        <f ca="1">IFERROR(AVERAGEIFS(INDIRECT("Tabela1["&amp;$D20&amp;"]"),Tabela1[Turno],$F20,Tabela1[Data],AI$3)/100,"")</f>
        <v/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165</v>
      </c>
      <c r="D21" s="4" t="str">
        <f t="shared" si="2"/>
        <v>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0.63967741935483868</v>
      </c>
      <c r="P21" s="10" t="str">
        <f ca="1">IFERROR(AVERAGEIFS(INDIRECT("Tabela1["&amp;$D21&amp;"]"),Tabela1[Mês],P$3)/100,"")</f>
        <v/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0.65500000000000003</v>
      </c>
      <c r="V21" s="10">
        <f ca="1">IFERROR(AVERAGEIFS(INDIRECT("Tabela1["&amp;$D21&amp;"]"),Tabela1[Data],V$3)/100,"")</f>
        <v>0.70833333333333326</v>
      </c>
      <c r="W21" s="10">
        <f ca="1">IFERROR(AVERAGEIFS(INDIRECT("Tabela1["&amp;$D21&amp;"]"),Tabela1[Data],W$3)/100,"")</f>
        <v>0.64</v>
      </c>
      <c r="X21" s="10">
        <f ca="1">IFERROR(AVERAGEIFS(INDIRECT("Tabela1["&amp;$D21&amp;"]"),Tabela1[Data],X$3)/100,"")</f>
        <v>0.74400000000000011</v>
      </c>
      <c r="Y21" s="10">
        <f ca="1">IFERROR(AVERAGEIFS(INDIRECT("Tabela1["&amp;$D21&amp;"]"),Tabela1[Data],Y$3)/100,"")</f>
        <v>0.79200000000000004</v>
      </c>
      <c r="Z21" s="10">
        <f ca="1">IFERROR(AVERAGEIFS(INDIRECT("Tabela1["&amp;$D21&amp;"]"),Tabela1[Data],Z$3)/100,"")</f>
        <v>0.68400000000000005</v>
      </c>
      <c r="AA21" s="10">
        <f ca="1">IFERROR(AVERAGEIFS(INDIRECT("Tabela1["&amp;$D21&amp;"]"),Tabela1[Data],AA$3)/100,"")</f>
        <v>0.68</v>
      </c>
      <c r="AB21" s="10">
        <f ca="1">IFERROR(AVERAGEIFS(INDIRECT("Tabela1["&amp;$D21&amp;"]"),Tabela1[Data],AB$3)/100,"")</f>
        <v>0.71750000000000003</v>
      </c>
      <c r="AC21" s="10">
        <f ca="1">IFERROR(AVERAGEIFS(INDIRECT("Tabela1["&amp;$D21&amp;"]"),Tabela1[Data],AC$3)/100,"")</f>
        <v>0.17857142857142858</v>
      </c>
      <c r="AD21" s="10">
        <f ca="1">IFERROR(AVERAGEIFS(INDIRECT("Tabela1["&amp;$D21&amp;"]"),Tabela1[Data],AD$3)/100,"")</f>
        <v>0.69</v>
      </c>
      <c r="AE21" s="10">
        <f ca="1">IFERROR(AVERAGEIFS(INDIRECT("Tabela1["&amp;$D21&amp;"]"),Tabela1[Data],AE$3)/100,"")</f>
        <v>0.7</v>
      </c>
      <c r="AF21" s="10">
        <f ca="1">IFERROR(AVERAGEIFS(INDIRECT("Tabela1["&amp;$D21&amp;"]"),Tabela1[Data],AF$3)/100,"")</f>
        <v>0.69750000000000001</v>
      </c>
      <c r="AG21" s="10" t="str">
        <f ca="1">IFERROR(AVERAGEIFS(INDIRECT("Tabela1["&amp;$D21&amp;"]"),Tabela1[Data],AG$3)/100,"")</f>
        <v/>
      </c>
      <c r="AH21" s="10" t="str">
        <f ca="1">IFERROR(AVERAGEIFS(INDIRECT("Tabela1["&amp;$D21&amp;"]"),Tabela1[Data],AH$3)/100,"")</f>
        <v/>
      </c>
      <c r="AI21" s="10" t="str">
        <f ca="1">IFERROR(AVERAGEIFS(INDIRECT("Tabela1["&amp;$D21&amp;"]"),Tabela1[Data],AI$3)/100,"")</f>
        <v/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7.833333333333333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>
        <f ca="1">IFERROR(AVERAGEIFS(INDIRECT("Tabela1["&amp;$D22&amp;"]"),Tabela1[Turno],$F22,Tabela1[Data],W$3),"")</f>
        <v>5</v>
      </c>
      <c r="X22" s="26">
        <f ca="1">IFERROR(AVERAGEIFS(INDIRECT("Tabela1["&amp;$D22&amp;"]"),Tabela1[Turno],$F22,Tabela1[Data],X$3),"")</f>
        <v>7</v>
      </c>
      <c r="Y22" s="26">
        <f ca="1">IFERROR(AVERAGEIFS(INDIRECT("Tabela1["&amp;$D22&amp;"]"),Tabela1[Turno],$F22,Tabela1[Data],Y$3),"")</f>
        <v>5</v>
      </c>
      <c r="Z22" s="26">
        <f ca="1">IFERROR(AVERAGEIFS(INDIRECT("Tabela1["&amp;$D22&amp;"]"),Tabela1[Turno],$F22,Tabela1[Data],Z$3),"")</f>
        <v>10</v>
      </c>
      <c r="AA22" s="26">
        <f ca="1">IFERROR(AVERAGEIFS(INDIRECT("Tabela1["&amp;$D22&amp;"]"),Tabela1[Turno],$F22,Tabela1[Data],AA$3),"")</f>
        <v>10</v>
      </c>
      <c r="AB22" s="26" t="str">
        <f ca="1">IFERROR(AVERAGEIFS(INDIRECT("Tabela1["&amp;$D22&amp;"]"),Tabela1[Turno],$F22,Tabela1[Data],AB$3),"")</f>
        <v/>
      </c>
      <c r="AC22" s="26">
        <f ca="1">IFERROR(AVERAGEIFS(INDIRECT("Tabela1["&amp;$D22&amp;"]"),Tabela1[Turno],$F22,Tabela1[Data],AC$3),"")</f>
        <v>10</v>
      </c>
      <c r="AD22" s="26" t="str">
        <f ca="1">IFERROR(AVERAGEIFS(INDIRECT("Tabela1["&amp;$D22&amp;"]"),Tabela1[Turno],$F22,Tabela1[Data],AD$3),"")</f>
        <v/>
      </c>
      <c r="AE22" s="26" t="str">
        <f ca="1">IFERROR(AVERAGEIFS(INDIRECT("Tabela1["&amp;$D22&amp;"]"),Tabela1[Turno],$F22,Tabela1[Data],AE$3),"")</f>
        <v/>
      </c>
      <c r="AF22" s="26" t="str">
        <f ca="1">IFERROR(AVERAGEIFS(INDIRECT("Tabela1["&amp;$D22&amp;"]"),Tabela1[Turno],$F22,Tabela1[Data],AF$3),"")</f>
        <v/>
      </c>
      <c r="AG22" s="26" t="str">
        <f ca="1">IFERROR(AVERAGEIFS(INDIRECT("Tabela1["&amp;$D22&amp;"]"),Tabela1[Turno],$F22,Tabela1[Data],AG$3),"")</f>
        <v/>
      </c>
      <c r="AH22" s="26" t="str">
        <f ca="1">IFERROR(AVERAGEIFS(INDIRECT("Tabela1["&amp;$D22&amp;"]"),Tabela1[Turno],$F22,Tabela1[Data],AH$3),"")</f>
        <v/>
      </c>
      <c r="AI22" s="26" t="str">
        <f ca="1">IFERROR(AVERAGEIFS(INDIRECT("Tabela1["&amp;$D22&amp;"]"),Tabela1[Turno],$F22,Tabela1[Data],AI$3),"")</f>
        <v/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6.6785714285714288</v>
      </c>
      <c r="P23" s="12" t="str">
        <f ca="1">IFERROR(AVERAGEIFS(INDIRECT("Tabela1["&amp;$D23&amp;"]"),Tabela1[Turno],$F23,Tabela1[Mês],P$3),"")</f>
        <v/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6.5</v>
      </c>
      <c r="V23" s="12">
        <f ca="1">IFERROR(AVERAGEIFS(INDIRECT("Tabela1["&amp;$D23&amp;"]"),Tabela1[Turno],$F23,Tabela1[Data],V$3),"")</f>
        <v>7</v>
      </c>
      <c r="W23" s="12">
        <f ca="1">IFERROR(AVERAGEIFS(INDIRECT("Tabela1["&amp;$D23&amp;"]"),Tabela1[Turno],$F23,Tabela1[Data],W$3),"")</f>
        <v>7</v>
      </c>
      <c r="X23" s="12">
        <f ca="1">IFERROR(AVERAGEIFS(INDIRECT("Tabela1["&amp;$D23&amp;"]"),Tabela1[Turno],$F23,Tabela1[Data],X$3),"")</f>
        <v>6.5</v>
      </c>
      <c r="Y23" s="12">
        <f ca="1">IFERROR(AVERAGEIFS(INDIRECT("Tabela1["&amp;$D23&amp;"]"),Tabela1[Turno],$F23,Tabela1[Data],Y$3),"")</f>
        <v>6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7</v>
      </c>
      <c r="AC23" s="12">
        <f ca="1">IFERROR(AVERAGEIFS(INDIRECT("Tabela1["&amp;$D23&amp;"]"),Tabela1[Turno],$F23,Tabela1[Data],AC$3),"")</f>
        <v>6.333333333333333</v>
      </c>
      <c r="AD23" s="12">
        <f ca="1">IFERROR(AVERAGEIFS(INDIRECT("Tabela1["&amp;$D23&amp;"]"),Tabela1[Turno],$F23,Tabela1[Data],AD$3),"")</f>
        <v>6.5</v>
      </c>
      <c r="AE23" s="12">
        <f ca="1">IFERROR(AVERAGEIFS(INDIRECT("Tabela1["&amp;$D23&amp;"]"),Tabela1[Turno],$F23,Tabela1[Data],AE$3),"")</f>
        <v>7</v>
      </c>
      <c r="AF23" s="12">
        <f ca="1">IFERROR(AVERAGEIFS(INDIRECT("Tabela1["&amp;$D23&amp;"]"),Tabela1[Turno],$F23,Tabela1[Data],AF$3),"")</f>
        <v>7</v>
      </c>
      <c r="AG23" s="12" t="str">
        <f ca="1">IFERROR(AVERAGEIFS(INDIRECT("Tabela1["&amp;$D23&amp;"]"),Tabela1[Turno],$F23,Tabela1[Data],AG$3),"")</f>
        <v/>
      </c>
      <c r="AH23" s="12" t="str">
        <f ca="1">IFERROR(AVERAGEIFS(INDIRECT("Tabela1["&amp;$D23&amp;"]"),Tabela1[Turno],$F23,Tabela1[Data],AH$3),"")</f>
        <v/>
      </c>
      <c r="AI23" s="12" t="str">
        <f ca="1">IFERROR(AVERAGEIFS(INDIRECT("Tabela1["&amp;$D23&amp;"]"),Tabela1[Turno],$F23,Tabela1[Data],AI$3),"")</f>
        <v/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6.790322580645161</v>
      </c>
      <c r="P24" s="9" t="str">
        <f ca="1">IFERROR(AVERAGEIFS(INDIRECT("Tabela1["&amp;$D24&amp;"]"),Tabela1[Mês],P$3),"")</f>
        <v/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6.5</v>
      </c>
      <c r="V24" s="9">
        <f ca="1">IFERROR(AVERAGEIFS(INDIRECT("Tabela1["&amp;$D24&amp;"]"),Tabela1[Data],V$3),"")</f>
        <v>7</v>
      </c>
      <c r="W24" s="9">
        <f ca="1">IFERROR(AVERAGEIFS(INDIRECT("Tabela1["&amp;$D24&amp;"]"),Tabela1[Data],W$3),"")</f>
        <v>6.6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5.8</v>
      </c>
      <c r="Z24" s="9">
        <f ca="1">IFERROR(AVERAGEIFS(INDIRECT("Tabela1["&amp;$D24&amp;"]"),Tabela1[Data],Z$3),"")</f>
        <v>7.6</v>
      </c>
      <c r="AA24" s="9">
        <f ca="1">IFERROR(AVERAGEIFS(INDIRECT("Tabela1["&amp;$D24&amp;"]"),Tabela1[Data],AA$3),"")</f>
        <v>7.2</v>
      </c>
      <c r="AB24" s="9">
        <f ca="1">IFERROR(AVERAGEIFS(INDIRECT("Tabela1["&amp;$D24&amp;"]"),Tabela1[Data],AB$3),"")</f>
        <v>7</v>
      </c>
      <c r="AC24" s="9">
        <f ca="1">IFERROR(AVERAGEIFS(INDIRECT("Tabela1["&amp;$D24&amp;"]"),Tabela1[Data],AC$3),"")</f>
        <v>6.8571428571428568</v>
      </c>
      <c r="AD24" s="9">
        <f ca="1">IFERROR(AVERAGEIFS(INDIRECT("Tabela1["&amp;$D24&amp;"]"),Tabela1[Data],AD$3),"")</f>
        <v>6.5</v>
      </c>
      <c r="AE24" s="9">
        <f ca="1">IFERROR(AVERAGEIFS(INDIRECT("Tabela1["&amp;$D24&amp;"]"),Tabela1[Data],AE$3),"")</f>
        <v>7</v>
      </c>
      <c r="AF24" s="9">
        <f ca="1">IFERROR(AVERAGEIFS(INDIRECT("Tabela1["&amp;$D24&amp;"]"),Tabela1[Data],AF$3),"")</f>
        <v>7</v>
      </c>
      <c r="AG24" s="9" t="str">
        <f ca="1">IFERROR(AVERAGEIFS(INDIRECT("Tabela1["&amp;$D24&amp;"]"),Tabela1[Data],AG$3),"")</f>
        <v/>
      </c>
      <c r="AH24" s="9" t="str">
        <f ca="1">IFERROR(AVERAGEIFS(INDIRECT("Tabela1["&amp;$D24&amp;"]"),Tabela1[Data],AH$3),"")</f>
        <v/>
      </c>
      <c r="AI24" s="9" t="str">
        <f ca="1">IFERROR(AVERAGEIFS(INDIRECT("Tabela1["&amp;$D24&amp;"]"),Tabela1[Data],AI$3),"")</f>
        <v/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>
        <f ca="1">IFERROR(AVERAGEIFS(INDIRECT("Tabela1["&amp;$D25&amp;"]"),Tabela1[Turno],$F25,Tabela1[Data],W$3),"")</f>
        <v>10</v>
      </c>
      <c r="X25" s="26">
        <f ca="1">IFERROR(AVERAGEIFS(INDIRECT("Tabela1["&amp;$D25&amp;"]"),Tabela1[Turno],$F25,Tabela1[Data],X$3),"")</f>
        <v>10</v>
      </c>
      <c r="Y25" s="26">
        <f ca="1">IFERROR(AVERAGEIFS(INDIRECT("Tabela1["&amp;$D25&amp;"]"),Tabela1[Turno],$F25,Tabela1[Data],Y$3),"")</f>
        <v>7</v>
      </c>
      <c r="Z25" s="26">
        <f ca="1">IFERROR(AVERAGEIFS(INDIRECT("Tabela1["&amp;$D25&amp;"]"),Tabela1[Turno],$F25,Tabela1[Data],Z$3),"")</f>
        <v>10</v>
      </c>
      <c r="AA25" s="26">
        <f ca="1">IFERROR(AVERAGEIFS(INDIRECT("Tabela1["&amp;$D25&amp;"]"),Tabela1[Turno],$F25,Tabela1[Data],AA$3),"")</f>
        <v>7</v>
      </c>
      <c r="AB25" s="26" t="str">
        <f ca="1">IFERROR(AVERAGEIFS(INDIRECT("Tabela1["&amp;$D25&amp;"]"),Tabela1[Turno],$F25,Tabela1[Data],AB$3),"")</f>
        <v/>
      </c>
      <c r="AC25" s="26">
        <f ca="1">IFERROR(AVERAGEIFS(INDIRECT("Tabela1["&amp;$D25&amp;"]"),Tabela1[Turno],$F25,Tabela1[Data],AC$3),"")</f>
        <v>10</v>
      </c>
      <c r="AD25" s="26" t="str">
        <f ca="1">IFERROR(AVERAGEIFS(INDIRECT("Tabela1["&amp;$D25&amp;"]"),Tabela1[Turno],$F25,Tabela1[Data],AD$3),"")</f>
        <v/>
      </c>
      <c r="AE25" s="26" t="str">
        <f ca="1">IFERROR(AVERAGEIFS(INDIRECT("Tabela1["&amp;$D25&amp;"]"),Tabela1[Turno],$F25,Tabela1[Data],AE$3),"")</f>
        <v/>
      </c>
      <c r="AF25" s="26" t="str">
        <f ca="1">IFERROR(AVERAGEIFS(INDIRECT("Tabela1["&amp;$D25&amp;"]"),Tabela1[Turno],$F25,Tabela1[Data],AF$3),"")</f>
        <v/>
      </c>
      <c r="AG25" s="26" t="str">
        <f ca="1">IFERROR(AVERAGEIFS(INDIRECT("Tabela1["&amp;$D25&amp;"]"),Tabela1[Turno],$F25,Tabela1[Data],AG$3),"")</f>
        <v/>
      </c>
      <c r="AH25" s="26" t="str">
        <f ca="1">IFERROR(AVERAGEIFS(INDIRECT("Tabela1["&amp;$D25&amp;"]"),Tabela1[Turno],$F25,Tabela1[Data],AH$3),"")</f>
        <v/>
      </c>
      <c r="AI25" s="26" t="str">
        <f ca="1">IFERROR(AVERAGEIFS(INDIRECT("Tabela1["&amp;$D25&amp;"]"),Tabela1[Turno],$F25,Tabela1[Data],AI$3),"")</f>
        <v/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6.872727272727273</v>
      </c>
      <c r="P26" s="12" t="str">
        <f ca="1">IFERROR(AVERAGEIFS(INDIRECT("Tabela1["&amp;$D26&amp;"]"),Tabela1[Turno],$F26,Tabela1[Mês],P$3),"")</f>
        <v/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</v>
      </c>
      <c r="V26" s="12">
        <f ca="1">IFERROR(AVERAGEIFS(INDIRECT("Tabela1["&amp;$D26&amp;"]"),Tabela1[Turno],$F26,Tabela1[Data],V$3),"")</f>
        <v>6.333333333333333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8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>
        <f ca="1">IFERROR(AVERAGEIFS(INDIRECT("Tabela1["&amp;$D26&amp;"]"),Tabela1[Turno],$F26,Tabela1[Data],AC$3),"")</f>
        <v>6.333333333333333</v>
      </c>
      <c r="AD26" s="12">
        <f ca="1">IFERROR(AVERAGEIFS(INDIRECT("Tabela1["&amp;$D26&amp;"]"),Tabela1[Turno],$F26,Tabela1[Data],AD$3),"")</f>
        <v>7</v>
      </c>
      <c r="AE26" s="12">
        <f ca="1">IFERROR(AVERAGEIFS(INDIRECT("Tabela1["&amp;$D26&amp;"]"),Tabela1[Turno],$F26,Tabela1[Data],AE$3),"")</f>
        <v>6.5</v>
      </c>
      <c r="AF26" s="12">
        <f ca="1">IFERROR(AVERAGEIFS(INDIRECT("Tabela1["&amp;$D26&amp;"]"),Tabela1[Turno],$F26,Tabela1[Data],AF$3),"")</f>
        <v>7</v>
      </c>
      <c r="AG26" s="12" t="str">
        <f ca="1">IFERROR(AVERAGEIFS(INDIRECT("Tabela1["&amp;$D26&amp;"]"),Tabela1[Turno],$F26,Tabela1[Data],AG$3),"")</f>
        <v/>
      </c>
      <c r="AH26" s="12" t="str">
        <f ca="1">IFERROR(AVERAGEIFS(INDIRECT("Tabela1["&amp;$D26&amp;"]"),Tabela1[Turno],$F26,Tabela1[Data],AH$3),"")</f>
        <v/>
      </c>
      <c r="AI26" s="12" t="str">
        <f ca="1">IFERROR(AVERAGEIFS(INDIRECT("Tabela1["&amp;$D26&amp;"]"),Tabela1[Turno],$F26,Tabela1[Data],AI$3),"")</f>
        <v/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7.081967213114754</v>
      </c>
      <c r="P27" s="9" t="str">
        <f ca="1">IFERROR(AVERAGEIFS(INDIRECT("Tabela1["&amp;$D27&amp;"]"),Tabela1[Mês],P$3),"")</f>
        <v/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</v>
      </c>
      <c r="V27" s="9">
        <f ca="1">IFERROR(AVERAGEIFS(INDIRECT("Tabela1["&amp;$D27&amp;"]"),Tabela1[Data],V$3),"")</f>
        <v>6.333333333333333</v>
      </c>
      <c r="W27" s="9">
        <f ca="1">IFERROR(AVERAGEIFS(INDIRECT("Tabela1["&amp;$D27&amp;"]"),Tabela1[Data],W$3),"")</f>
        <v>7.6</v>
      </c>
      <c r="X27" s="9">
        <f ca="1">IFERROR(AVERAGEIFS(INDIRECT("Tabela1["&amp;$D27&amp;"]"),Tabela1[Data],X$3),"")</f>
        <v>7.6</v>
      </c>
      <c r="Y27" s="9">
        <f ca="1">IFERROR(AVERAGEIFS(INDIRECT("Tabela1["&amp;$D27&amp;"]"),Tabela1[Data],Y$3),"")</f>
        <v>7.75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>
        <f ca="1">IFERROR(AVERAGEIFS(INDIRECT("Tabela1["&amp;$D27&amp;"]"),Tabela1[Data],AC$3),"")</f>
        <v>6.8571428571428568</v>
      </c>
      <c r="AD27" s="9">
        <f ca="1">IFERROR(AVERAGEIFS(INDIRECT("Tabela1["&amp;$D27&amp;"]"),Tabela1[Data],AD$3),"")</f>
        <v>7</v>
      </c>
      <c r="AE27" s="9">
        <f ca="1">IFERROR(AVERAGEIFS(INDIRECT("Tabela1["&amp;$D27&amp;"]"),Tabela1[Data],AE$3),"")</f>
        <v>6.5</v>
      </c>
      <c r="AF27" s="9">
        <f ca="1">IFERROR(AVERAGEIFS(INDIRECT("Tabela1["&amp;$D27&amp;"]"),Tabela1[Data],AF$3),"")</f>
        <v>7</v>
      </c>
      <c r="AG27" s="9" t="str">
        <f ca="1">IFERROR(AVERAGEIFS(INDIRECT("Tabela1["&amp;$D27&amp;"]"),Tabela1[Data],AG$3),"")</f>
        <v/>
      </c>
      <c r="AH27" s="9" t="str">
        <f ca="1">IFERROR(AVERAGEIFS(INDIRECT("Tabela1["&amp;$D27&amp;"]"),Tabela1[Data],AH$3),"")</f>
        <v/>
      </c>
      <c r="AI27" s="9" t="str">
        <f ca="1">IFERROR(AVERAGEIFS(INDIRECT("Tabela1["&amp;$D27&amp;"]"),Tabela1[Data],AI$3),"")</f>
        <v/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>
        <f ca="1">IFERROR(AVERAGEIFS(INDIRECT("Tabela1["&amp;$D28&amp;"]"),Tabela1[Turno],$F28,Tabela1[Data],W$3),"")</f>
        <v>10</v>
      </c>
      <c r="X28" s="26">
        <f ca="1">IFERROR(AVERAGEIFS(INDIRECT("Tabela1["&amp;$D28&amp;"]"),Tabela1[Turno],$F28,Tabela1[Data],X$3),"")</f>
        <v>10</v>
      </c>
      <c r="Y28" s="26">
        <f ca="1">IFERROR(AVERAGEIFS(INDIRECT("Tabela1["&amp;$D28&amp;"]"),Tabela1[Turno],$F28,Tabela1[Data],Y$3),"")</f>
        <v>10</v>
      </c>
      <c r="Z28" s="26">
        <f ca="1">IFERROR(AVERAGEIFS(INDIRECT("Tabela1["&amp;$D28&amp;"]"),Tabela1[Turno],$F28,Tabela1[Data],Z$3),"")</f>
        <v>10</v>
      </c>
      <c r="AA28" s="26">
        <f ca="1">IFERROR(AVERAGEIFS(INDIRECT("Tabela1["&amp;$D28&amp;"]"),Tabela1[Turno],$F28,Tabela1[Data],AA$3),"")</f>
        <v>10</v>
      </c>
      <c r="AB28" s="26" t="str">
        <f ca="1">IFERROR(AVERAGEIFS(INDIRECT("Tabela1["&amp;$D28&amp;"]"),Tabela1[Turno],$F28,Tabela1[Data],AB$3),"")</f>
        <v/>
      </c>
      <c r="AC28" s="26">
        <f ca="1">IFERROR(AVERAGEIFS(INDIRECT("Tabela1["&amp;$D28&amp;"]"),Tabela1[Turno],$F28,Tabela1[Data],AC$3),"")</f>
        <v>10</v>
      </c>
      <c r="AD28" s="26" t="str">
        <f ca="1">IFERROR(AVERAGEIFS(INDIRECT("Tabela1["&amp;$D28&amp;"]"),Tabela1[Turno],$F28,Tabela1[Data],AD$3),"")</f>
        <v/>
      </c>
      <c r="AE28" s="26" t="str">
        <f ca="1">IFERROR(AVERAGEIFS(INDIRECT("Tabela1["&amp;$D28&amp;"]"),Tabela1[Turno],$F28,Tabela1[Data],AE$3),"")</f>
        <v/>
      </c>
      <c r="AF28" s="26" t="str">
        <f ca="1">IFERROR(AVERAGEIFS(INDIRECT("Tabela1["&amp;$D28&amp;"]"),Tabela1[Turno],$F28,Tabela1[Data],AF$3),"")</f>
        <v/>
      </c>
      <c r="AG28" s="26" t="str">
        <f ca="1">IFERROR(AVERAGEIFS(INDIRECT("Tabela1["&amp;$D28&amp;"]"),Tabela1[Turno],$F28,Tabela1[Data],AG$3),"")</f>
        <v/>
      </c>
      <c r="AH28" s="26" t="str">
        <f ca="1">IFERROR(AVERAGEIFS(INDIRECT("Tabela1["&amp;$D28&amp;"]"),Tabela1[Turno],$F28,Tabela1[Data],AH$3),"")</f>
        <v/>
      </c>
      <c r="AI28" s="26" t="str">
        <f ca="1">IFERROR(AVERAGEIFS(INDIRECT("Tabela1["&amp;$D28&amp;"]"),Tabela1[Turno],$F28,Tabela1[Data],AI$3),"")</f>
        <v/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7</v>
      </c>
      <c r="P29" s="12" t="str">
        <f ca="1">IFERROR(AVERAGEIFS(INDIRECT("Tabela1["&amp;$D29&amp;"]"),Tabela1[Turno],$F29,Tabela1[Mês],P$3),"")</f>
        <v/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>
        <f ca="1">IFERROR(AVERAGEIFS(INDIRECT("Tabela1["&amp;$D29&amp;"]"),Tabela1[Turno],$F29,Tabela1[Data],AC$3),"")</f>
        <v>7</v>
      </c>
      <c r="AD29" s="12">
        <f ca="1">IFERROR(AVERAGEIFS(INDIRECT("Tabela1["&amp;$D29&amp;"]"),Tabela1[Turno],$F29,Tabela1[Data],AD$3),"")</f>
        <v>7</v>
      </c>
      <c r="AE29" s="12">
        <f ca="1">IFERROR(AVERAGEIFS(INDIRECT("Tabela1["&amp;$D29&amp;"]"),Tabela1[Turno],$F29,Tabela1[Data],AE$3),"")</f>
        <v>7</v>
      </c>
      <c r="AF29" s="12">
        <f ca="1">IFERROR(AVERAGEIFS(INDIRECT("Tabela1["&amp;$D29&amp;"]"),Tabela1[Turno],$F29,Tabela1[Data],AF$3),"")</f>
        <v>7</v>
      </c>
      <c r="AG29" s="12" t="str">
        <f ca="1">IFERROR(AVERAGEIFS(INDIRECT("Tabela1["&amp;$D29&amp;"]"),Tabela1[Turno],$F29,Tabela1[Data],AG$3),"")</f>
        <v/>
      </c>
      <c r="AH29" s="12" t="str">
        <f ca="1">IFERROR(AVERAGEIFS(INDIRECT("Tabela1["&amp;$D29&amp;"]"),Tabela1[Turno],$F29,Tabela1[Data],AH$3),"")</f>
        <v/>
      </c>
      <c r="AI29" s="12" t="str">
        <f ca="1">IFERROR(AVERAGEIFS(INDIRECT("Tabela1["&amp;$D29&amp;"]"),Tabela1[Turno],$F29,Tabela1[Data],AI$3),"")</f>
        <v/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7.290322580645161</v>
      </c>
      <c r="P30" s="9" t="str">
        <f ca="1">IFERROR(AVERAGEIFS(INDIRECT("Tabela1["&amp;$D30&amp;"]"),Tabela1[Mês],P$3),"")</f>
        <v/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7.6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7.6</v>
      </c>
      <c r="AB30" s="9">
        <f ca="1">IFERROR(AVERAGEIFS(INDIRECT("Tabela1["&amp;$D30&amp;"]"),Tabela1[Data],AB$3),"")</f>
        <v>7</v>
      </c>
      <c r="AC30" s="9">
        <f ca="1">IFERROR(AVERAGEIFS(INDIRECT("Tabela1["&amp;$D30&amp;"]"),Tabela1[Data],AC$3),"")</f>
        <v>7.4285714285714288</v>
      </c>
      <c r="AD30" s="9">
        <f ca="1">IFERROR(AVERAGEIFS(INDIRECT("Tabela1["&amp;$D30&amp;"]"),Tabela1[Data],AD$3),"")</f>
        <v>7</v>
      </c>
      <c r="AE30" s="9">
        <f ca="1">IFERROR(AVERAGEIFS(INDIRECT("Tabela1["&amp;$D30&amp;"]"),Tabela1[Data],AE$3),"")</f>
        <v>7</v>
      </c>
      <c r="AF30" s="9">
        <f ca="1">IFERROR(AVERAGEIFS(INDIRECT("Tabela1["&amp;$D30&amp;"]"),Tabela1[Data],AF$3),"")</f>
        <v>7</v>
      </c>
      <c r="AG30" s="9" t="str">
        <f ca="1">IFERROR(AVERAGEIFS(INDIRECT("Tabela1["&amp;$D30&amp;"]"),Tabela1[Data],AG$3),"")</f>
        <v/>
      </c>
      <c r="AH30" s="9" t="str">
        <f ca="1">IFERROR(AVERAGEIFS(INDIRECT("Tabela1["&amp;$D30&amp;"]"),Tabela1[Data],AH$3),"")</f>
        <v/>
      </c>
      <c r="AI30" s="9" t="str">
        <f ca="1">IFERROR(AVERAGEIFS(INDIRECT("Tabela1["&amp;$D30&amp;"]"),Tabela1[Data],AI$3),"")</f>
        <v/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8.5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>
        <f ca="1">IFERROR(AVERAGEIFS(INDIRECT("Tabela1["&amp;$D31&amp;"]"),Tabela1[Turno],$F31,Tabela1[Data],W$3),"")</f>
        <v>10</v>
      </c>
      <c r="X31" s="26">
        <f ca="1">IFERROR(AVERAGEIFS(INDIRECT("Tabela1["&amp;$D31&amp;"]"),Tabela1[Turno],$F31,Tabela1[Data],X$3),"")</f>
        <v>10</v>
      </c>
      <c r="Y31" s="26">
        <f ca="1">IFERROR(AVERAGEIFS(INDIRECT("Tabela1["&amp;$D31&amp;"]"),Tabela1[Turno],$F31,Tabela1[Data],Y$3),"")</f>
        <v>7</v>
      </c>
      <c r="Z31" s="26">
        <f ca="1">IFERROR(AVERAGEIFS(INDIRECT("Tabela1["&amp;$D31&amp;"]"),Tabela1[Turno],$F31,Tabela1[Data],Z$3),"")</f>
        <v>10</v>
      </c>
      <c r="AA31" s="26">
        <f ca="1">IFERROR(AVERAGEIFS(INDIRECT("Tabela1["&amp;$D31&amp;"]"),Tabela1[Turno],$F31,Tabela1[Data],AA$3),"")</f>
        <v>7</v>
      </c>
      <c r="AB31" s="26" t="str">
        <f ca="1">IFERROR(AVERAGEIFS(INDIRECT("Tabela1["&amp;$D31&amp;"]"),Tabela1[Turno],$F31,Tabela1[Data],AB$3),"")</f>
        <v/>
      </c>
      <c r="AC31" s="26">
        <f ca="1">IFERROR(AVERAGEIFS(INDIRECT("Tabela1["&amp;$D31&amp;"]"),Tabela1[Turno],$F31,Tabela1[Data],AC$3),"")</f>
        <v>7</v>
      </c>
      <c r="AD31" s="26" t="str">
        <f ca="1">IFERROR(AVERAGEIFS(INDIRECT("Tabela1["&amp;$D31&amp;"]"),Tabela1[Turno],$F31,Tabela1[Data],AD$3),"")</f>
        <v/>
      </c>
      <c r="AE31" s="26" t="str">
        <f ca="1">IFERROR(AVERAGEIFS(INDIRECT("Tabela1["&amp;$D31&amp;"]"),Tabela1[Turno],$F31,Tabela1[Data],AE$3),"")</f>
        <v/>
      </c>
      <c r="AF31" s="26" t="str">
        <f ca="1">IFERROR(AVERAGEIFS(INDIRECT("Tabela1["&amp;$D31&amp;"]"),Tabela1[Turno],$F31,Tabela1[Data],AF$3),"")</f>
        <v/>
      </c>
      <c r="AG31" s="26" t="str">
        <f ca="1">IFERROR(AVERAGEIFS(INDIRECT("Tabela1["&amp;$D31&amp;"]"),Tabela1[Turno],$F31,Tabela1[Data],AG$3),"")</f>
        <v/>
      </c>
      <c r="AH31" s="26" t="str">
        <f ca="1">IFERROR(AVERAGEIFS(INDIRECT("Tabela1["&amp;$D31&amp;"]"),Tabela1[Turno],$F31,Tabela1[Data],AH$3),"")</f>
        <v/>
      </c>
      <c r="AI31" s="26" t="str">
        <f ca="1">IFERROR(AVERAGEIFS(INDIRECT("Tabela1["&amp;$D31&amp;"]"),Tabela1[Turno],$F31,Tabela1[Data],AI$3),"")</f>
        <v/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6.8928571428571432</v>
      </c>
      <c r="P32" s="12" t="str">
        <f ca="1">IFERROR(AVERAGEIFS(INDIRECT("Tabela1["&amp;$D32&amp;"]"),Tabela1[Turno],$F32,Tabela1[Mês],P$3),"")</f>
        <v/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6.5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7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6.5</v>
      </c>
      <c r="AB32" s="12">
        <f ca="1">IFERROR(AVERAGEIFS(INDIRECT("Tabela1["&amp;$D32&amp;"]"),Tabela1[Turno],$F32,Tabela1[Data],AB$3),"")</f>
        <v>7</v>
      </c>
      <c r="AC32" s="12">
        <f ca="1">IFERROR(AVERAGEIFS(INDIRECT("Tabela1["&amp;$D32&amp;"]"),Tabela1[Turno],$F32,Tabela1[Data],AC$3),"")</f>
        <v>7</v>
      </c>
      <c r="AD32" s="12">
        <f ca="1">IFERROR(AVERAGEIFS(INDIRECT("Tabela1["&amp;$D32&amp;"]"),Tabela1[Turno],$F32,Tabela1[Data],AD$3),"")</f>
        <v>7</v>
      </c>
      <c r="AE32" s="12">
        <f ca="1">IFERROR(AVERAGEIFS(INDIRECT("Tabela1["&amp;$D32&amp;"]"),Tabela1[Turno],$F32,Tabela1[Data],AE$3),"")</f>
        <v>7</v>
      </c>
      <c r="AF32" s="12">
        <f ca="1">IFERROR(AVERAGEIFS(INDIRECT("Tabela1["&amp;$D32&amp;"]"),Tabela1[Turno],$F32,Tabela1[Data],AF$3),"")</f>
        <v>7</v>
      </c>
      <c r="AG32" s="12" t="str">
        <f ca="1">IFERROR(AVERAGEIFS(INDIRECT("Tabela1["&amp;$D32&amp;"]"),Tabela1[Turno],$F32,Tabela1[Data],AG$3),"")</f>
        <v/>
      </c>
      <c r="AH32" s="12" t="str">
        <f ca="1">IFERROR(AVERAGEIFS(INDIRECT("Tabela1["&amp;$D32&amp;"]"),Tabela1[Turno],$F32,Tabela1[Data],AH$3),"")</f>
        <v/>
      </c>
      <c r="AI32" s="12" t="str">
        <f ca="1">IFERROR(AVERAGEIFS(INDIRECT("Tabela1["&amp;$D32&amp;"]"),Tabela1[Turno],$F32,Tabela1[Data],AI$3),"")</f>
        <v/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7.0483870967741939</v>
      </c>
      <c r="P33" s="9" t="str">
        <f ca="1">IFERROR(AVERAGEIFS(INDIRECT("Tabela1["&amp;$D33&amp;"]"),Tabela1[Mês],P$3),"")</f>
        <v/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6.5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7.6</v>
      </c>
      <c r="X33" s="9">
        <f ca="1">IFERROR(AVERAGEIFS(INDIRECT("Tabela1["&amp;$D33&amp;"]"),Tabela1[Data],X$3),"")</f>
        <v>7.6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7.6</v>
      </c>
      <c r="AA33" s="9">
        <f ca="1">IFERROR(AVERAGEIFS(INDIRECT("Tabela1["&amp;$D33&amp;"]"),Tabela1[Data],AA$3),"")</f>
        <v>6.6</v>
      </c>
      <c r="AB33" s="9">
        <f ca="1">IFERROR(AVERAGEIFS(INDIRECT("Tabela1["&amp;$D33&amp;"]"),Tabela1[Data],AB$3),"")</f>
        <v>7</v>
      </c>
      <c r="AC33" s="9">
        <f ca="1">IFERROR(AVERAGEIFS(INDIRECT("Tabela1["&amp;$D33&amp;"]"),Tabela1[Data],AC$3),"")</f>
        <v>7</v>
      </c>
      <c r="AD33" s="9">
        <f ca="1">IFERROR(AVERAGEIFS(INDIRECT("Tabela1["&amp;$D33&amp;"]"),Tabela1[Data],AD$3),"")</f>
        <v>7</v>
      </c>
      <c r="AE33" s="9">
        <f ca="1">IFERROR(AVERAGEIFS(INDIRECT("Tabela1["&amp;$D33&amp;"]"),Tabela1[Data],AE$3),"")</f>
        <v>7</v>
      </c>
      <c r="AF33" s="9">
        <f ca="1">IFERROR(AVERAGEIFS(INDIRECT("Tabela1["&amp;$D33&amp;"]"),Tabela1[Data],AF$3),"")</f>
        <v>7</v>
      </c>
      <c r="AG33" s="9" t="str">
        <f ca="1">IFERROR(AVERAGEIFS(INDIRECT("Tabela1["&amp;$D33&amp;"]"),Tabela1[Data],AG$3),"")</f>
        <v/>
      </c>
      <c r="AH33" s="9" t="str">
        <f ca="1">IFERROR(AVERAGEIFS(INDIRECT("Tabela1["&amp;$D33&amp;"]"),Tabela1[Data],AH$3),"")</f>
        <v/>
      </c>
      <c r="AI33" s="9" t="str">
        <f ca="1">IFERROR(AVERAGEIFS(INDIRECT("Tabela1["&amp;$D33&amp;"]"),Tabela1[Data],AI$3),"")</f>
        <v/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164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8.5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>
        <f ca="1">IFERROR(AVERAGEIFS(INDIRECT("Tabela1["&amp;$D34&amp;"]"),Tabela1[Turno],$F34,Tabela1[Data],W$3),"")</f>
        <v>7</v>
      </c>
      <c r="X34" s="26">
        <f ca="1">IFERROR(AVERAGEIFS(INDIRECT("Tabela1["&amp;$D34&amp;"]"),Tabela1[Turno],$F34,Tabela1[Data],X$3),"")</f>
        <v>7</v>
      </c>
      <c r="Y34" s="26">
        <f ca="1">IFERROR(AVERAGEIFS(INDIRECT("Tabela1["&amp;$D34&amp;"]"),Tabela1[Turno],$F34,Tabela1[Data],Y$3),"")</f>
        <v>10</v>
      </c>
      <c r="Z34" s="26">
        <f ca="1">IFERROR(AVERAGEIFS(INDIRECT("Tabela1["&amp;$D34&amp;"]"),Tabela1[Turno],$F34,Tabela1[Data],Z$3),"")</f>
        <v>10</v>
      </c>
      <c r="AA34" s="26">
        <f ca="1">IFERROR(AVERAGEIFS(INDIRECT("Tabela1["&amp;$D34&amp;"]"),Tabela1[Turno],$F34,Tabela1[Data],AA$3),"")</f>
        <v>7</v>
      </c>
      <c r="AB34" s="26" t="str">
        <f ca="1">IFERROR(AVERAGEIFS(INDIRECT("Tabela1["&amp;$D34&amp;"]"),Tabela1[Turno],$F34,Tabela1[Data],AB$3),"")</f>
        <v/>
      </c>
      <c r="AC34" s="26">
        <f ca="1">IFERROR(AVERAGEIFS(INDIRECT("Tabela1["&amp;$D34&amp;"]"),Tabela1[Turno],$F34,Tabela1[Data],AC$3),"")</f>
        <v>10</v>
      </c>
      <c r="AD34" s="26" t="str">
        <f ca="1">IFERROR(AVERAGEIFS(INDIRECT("Tabela1["&amp;$D34&amp;"]"),Tabela1[Turno],$F34,Tabela1[Data],AD$3),"")</f>
        <v/>
      </c>
      <c r="AE34" s="26" t="str">
        <f ca="1">IFERROR(AVERAGEIFS(INDIRECT("Tabela1["&amp;$D34&amp;"]"),Tabela1[Turno],$F34,Tabela1[Data],AE$3),"")</f>
        <v/>
      </c>
      <c r="AF34" s="26" t="str">
        <f ca="1">IFERROR(AVERAGEIFS(INDIRECT("Tabela1["&amp;$D34&amp;"]"),Tabela1[Turno],$F34,Tabela1[Data],AF$3),"")</f>
        <v/>
      </c>
      <c r="AG34" s="26" t="str">
        <f ca="1">IFERROR(AVERAGEIFS(INDIRECT("Tabela1["&amp;$D34&amp;"]"),Tabela1[Turno],$F34,Tabela1[Data],AG$3),"")</f>
        <v/>
      </c>
      <c r="AH34" s="26" t="str">
        <f ca="1">IFERROR(AVERAGEIFS(INDIRECT("Tabela1["&amp;$D34&amp;"]"),Tabela1[Turno],$F34,Tabela1[Data],AH$3),"")</f>
        <v/>
      </c>
      <c r="AI34" s="26" t="str">
        <f ca="1">IFERROR(AVERAGEIFS(INDIRECT("Tabela1["&amp;$D34&amp;"]"),Tabela1[Turno],$F34,Tabela1[Data],AI$3),"")</f>
        <v/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164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7.0535714285714288</v>
      </c>
      <c r="P35" s="12" t="str">
        <f ca="1">IFERROR(AVERAGEIFS(INDIRECT("Tabela1["&amp;$D35&amp;"]"),Tabela1[Turno],$F35,Tabela1[Mês],P$3),"")</f>
        <v/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>
        <f ca="1">IFERROR(AVERAGEIFS(INDIRECT("Tabela1["&amp;$D35&amp;"]"),Tabela1[Turno],$F35,Tabela1[Data],AC$3),"")</f>
        <v>7</v>
      </c>
      <c r="AD35" s="12">
        <f ca="1">IFERROR(AVERAGEIFS(INDIRECT("Tabela1["&amp;$D35&amp;"]"),Tabela1[Turno],$F35,Tabela1[Data],AD$3),"")</f>
        <v>7.75</v>
      </c>
      <c r="AE35" s="12">
        <f ca="1">IFERROR(AVERAGEIFS(INDIRECT("Tabela1["&amp;$D35&amp;"]"),Tabela1[Turno],$F35,Tabela1[Data],AE$3),"")</f>
        <v>7</v>
      </c>
      <c r="AF35" s="12">
        <f ca="1">IFERROR(AVERAGEIFS(INDIRECT("Tabela1["&amp;$D35&amp;"]"),Tabela1[Turno],$F35,Tabela1[Data],AF$3),"")</f>
        <v>7</v>
      </c>
      <c r="AG35" s="12" t="str">
        <f ca="1">IFERROR(AVERAGEIFS(INDIRECT("Tabela1["&amp;$D35&amp;"]"),Tabela1[Turno],$F35,Tabela1[Data],AG$3),"")</f>
        <v/>
      </c>
      <c r="AH35" s="12" t="str">
        <f ca="1">IFERROR(AVERAGEIFS(INDIRECT("Tabela1["&amp;$D35&amp;"]"),Tabela1[Turno],$F35,Tabela1[Data],AH$3),"")</f>
        <v/>
      </c>
      <c r="AI35" s="12" t="str">
        <f ca="1">IFERROR(AVERAGEIFS(INDIRECT("Tabela1["&amp;$D35&amp;"]"),Tabela1[Turno],$F35,Tabela1[Data],AI$3),"")</f>
        <v/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164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7.193548387096774</v>
      </c>
      <c r="P36" s="9" t="str">
        <f ca="1">IFERROR(AVERAGEIFS(INDIRECT("Tabela1["&amp;$D36&amp;"]"),Tabela1[Mês],P$3),"")</f>
        <v/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7.6</v>
      </c>
      <c r="Z36" s="9">
        <f ca="1">IFERROR(AVERAGEIFS(INDIRECT("Tabela1["&amp;$D36&amp;"]"),Tabela1[Data],Z$3),"")</f>
        <v>7.6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>
        <f ca="1">IFERROR(AVERAGEIFS(INDIRECT("Tabela1["&amp;$D36&amp;"]"),Tabela1[Data],AC$3),"")</f>
        <v>7.4285714285714288</v>
      </c>
      <c r="AD36" s="9">
        <f ca="1">IFERROR(AVERAGEIFS(INDIRECT("Tabela1["&amp;$D36&amp;"]"),Tabela1[Data],AD$3),"")</f>
        <v>7.75</v>
      </c>
      <c r="AE36" s="9">
        <f ca="1">IFERROR(AVERAGEIFS(INDIRECT("Tabela1["&amp;$D36&amp;"]"),Tabela1[Data],AE$3),"")</f>
        <v>7</v>
      </c>
      <c r="AF36" s="9">
        <f ca="1">IFERROR(AVERAGEIFS(INDIRECT("Tabela1["&amp;$D36&amp;"]"),Tabela1[Data],AF$3),"")</f>
        <v>7</v>
      </c>
      <c r="AG36" s="9" t="str">
        <f ca="1">IFERROR(AVERAGEIFS(INDIRECT("Tabela1["&amp;$D36&amp;"]"),Tabela1[Data],AG$3),"")</f>
        <v/>
      </c>
      <c r="AH36" s="9" t="str">
        <f ca="1">IFERROR(AVERAGEIFS(INDIRECT("Tabela1["&amp;$D36&amp;"]"),Tabela1[Data],AH$3),"")</f>
        <v/>
      </c>
      <c r="AI36" s="9" t="str">
        <f ca="1">IFERROR(AVERAGEIFS(INDIRECT("Tabela1["&amp;$D36&amp;"]"),Tabela1[Data],AI$3),"")</f>
        <v/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165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6.666666666666667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>
        <f ca="1">IFERROR(AVERAGEIFS(INDIRECT("Tabela1["&amp;$D37&amp;"]"),Tabela1[Turno],$F37,Tabela1[Data],W$3),"")</f>
        <v>10</v>
      </c>
      <c r="X37" s="26">
        <f ca="1">IFERROR(AVERAGEIFS(INDIRECT("Tabela1["&amp;$D37&amp;"]"),Tabela1[Turno],$F37,Tabela1[Data],X$3),"")</f>
        <v>5</v>
      </c>
      <c r="Y37" s="26">
        <f ca="1">IFERROR(AVERAGEIFS(INDIRECT("Tabela1["&amp;$D37&amp;"]"),Tabela1[Turno],$F37,Tabela1[Data],Y$3),"")</f>
        <v>5</v>
      </c>
      <c r="Z37" s="26">
        <f ca="1">IFERROR(AVERAGEIFS(INDIRECT("Tabela1["&amp;$D37&amp;"]"),Tabela1[Turno],$F37,Tabela1[Data],Z$3),"")</f>
        <v>5</v>
      </c>
      <c r="AA37" s="26">
        <f ca="1">IFERROR(AVERAGEIFS(INDIRECT("Tabela1["&amp;$D37&amp;"]"),Tabela1[Turno],$F37,Tabela1[Data],AA$3),"")</f>
        <v>10</v>
      </c>
      <c r="AB37" s="26" t="str">
        <f ca="1">IFERROR(AVERAGEIFS(INDIRECT("Tabela1["&amp;$D37&amp;"]"),Tabela1[Turno],$F37,Tabela1[Data],AB$3),"")</f>
        <v/>
      </c>
      <c r="AC37" s="26">
        <f ca="1">IFERROR(AVERAGEIFS(INDIRECT("Tabela1["&amp;$D37&amp;"]"),Tabela1[Turno],$F37,Tabela1[Data],AC$3),"")</f>
        <v>5</v>
      </c>
      <c r="AD37" s="26" t="str">
        <f ca="1">IFERROR(AVERAGEIFS(INDIRECT("Tabela1["&amp;$D37&amp;"]"),Tabela1[Turno],$F37,Tabela1[Data],AD$3),"")</f>
        <v/>
      </c>
      <c r="AE37" s="26" t="str">
        <f ca="1">IFERROR(AVERAGEIFS(INDIRECT("Tabela1["&amp;$D37&amp;"]"),Tabela1[Turno],$F37,Tabela1[Data],AE$3),"")</f>
        <v/>
      </c>
      <c r="AF37" s="26" t="str">
        <f ca="1">IFERROR(AVERAGEIFS(INDIRECT("Tabela1["&amp;$D37&amp;"]"),Tabela1[Turno],$F37,Tabela1[Data],AF$3),"")</f>
        <v/>
      </c>
      <c r="AG37" s="26" t="str">
        <f ca="1">IFERROR(AVERAGEIFS(INDIRECT("Tabela1["&amp;$D37&amp;"]"),Tabela1[Turno],$F37,Tabela1[Data],AG$3),"")</f>
        <v/>
      </c>
      <c r="AH37" s="26" t="str">
        <f ca="1">IFERROR(AVERAGEIFS(INDIRECT("Tabela1["&amp;$D37&amp;"]"),Tabela1[Turno],$F37,Tabela1[Data],AH$3),"")</f>
        <v/>
      </c>
      <c r="AI37" s="26" t="str">
        <f ca="1">IFERROR(AVERAGEIFS(INDIRECT("Tabela1["&amp;$D37&amp;"]"),Tabela1[Turno],$F37,Tabela1[Data],AI$3),"")</f>
        <v/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165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6.4423076923076925</v>
      </c>
      <c r="P38" s="12" t="str">
        <f ca="1">IFERROR(AVERAGEIFS(INDIRECT("Tabela1["&amp;$D38&amp;"]"),Tabela1[Turno],$F38,Tabela1[Mês],P$3),"")</f>
        <v/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5</v>
      </c>
      <c r="V38" s="12">
        <f ca="1">IFERROR(AVERAGEIFS(INDIRECT("Tabela1["&amp;$D38&amp;"]"),Tabela1[Turno],$F38,Tabela1[Data],V$3),"")</f>
        <v>5</v>
      </c>
      <c r="W38" s="12">
        <f ca="1">IFERROR(AVERAGEIFS(INDIRECT("Tabela1["&amp;$D38&amp;"]"),Tabela1[Turno],$F38,Tabela1[Data],W$3),"")</f>
        <v>7</v>
      </c>
      <c r="X38" s="12">
        <f ca="1">IFERROR(AVERAGEIFS(INDIRECT("Tabela1["&amp;$D38&amp;"]"),Tabela1[Turno],$F38,Tabela1[Data],X$3),"")</f>
        <v>6.5</v>
      </c>
      <c r="Y38" s="12">
        <f ca="1">IFERROR(AVERAGEIFS(INDIRECT("Tabela1["&amp;$D38&amp;"]"),Tabela1[Turno],$F38,Tabela1[Data],Y$3),"")</f>
        <v>7</v>
      </c>
      <c r="Z38" s="12">
        <f ca="1">IFERROR(AVERAGEIFS(INDIRECT("Tabela1["&amp;$D38&amp;"]"),Tabela1[Turno],$F38,Tabela1[Data],Z$3),"")</f>
        <v>7.75</v>
      </c>
      <c r="AA38" s="12">
        <f ca="1">IFERROR(AVERAGEIFS(INDIRECT("Tabela1["&amp;$D38&amp;"]"),Tabela1[Turno],$F38,Tabela1[Data],AA$3),"")</f>
        <v>7.75</v>
      </c>
      <c r="AB38" s="12">
        <f ca="1">IFERROR(AVERAGEIFS(INDIRECT("Tabela1["&amp;$D38&amp;"]"),Tabela1[Turno],$F38,Tabela1[Data],AB$3),"")</f>
        <v>7.75</v>
      </c>
      <c r="AC38" s="12">
        <f ca="1">IFERROR(AVERAGEIFS(INDIRECT("Tabela1["&amp;$D38&amp;"]"),Tabela1[Turno],$F38,Tabela1[Data],AC$3),"")</f>
        <v>7</v>
      </c>
      <c r="AD38" s="12">
        <f ca="1">IFERROR(AVERAGEIFS(INDIRECT("Tabela1["&amp;$D38&amp;"]"),Tabela1[Turno],$F38,Tabela1[Data],AD$3),"")</f>
        <v>7</v>
      </c>
      <c r="AE38" s="12">
        <f ca="1">IFERROR(AVERAGEIFS(INDIRECT("Tabela1["&amp;$D38&amp;"]"),Tabela1[Turno],$F38,Tabela1[Data],AE$3),"")</f>
        <v>5.5</v>
      </c>
      <c r="AF38" s="12">
        <f ca="1">IFERROR(AVERAGEIFS(INDIRECT("Tabela1["&amp;$D38&amp;"]"),Tabela1[Turno],$F38,Tabela1[Data],AF$3),"")</f>
        <v>6.333333333333333</v>
      </c>
      <c r="AG38" s="12" t="str">
        <f ca="1">IFERROR(AVERAGEIFS(INDIRECT("Tabela1["&amp;$D38&amp;"]"),Tabela1[Turno],$F38,Tabela1[Data],AG$3),"")</f>
        <v/>
      </c>
      <c r="AH38" s="12" t="str">
        <f ca="1">IFERROR(AVERAGEIFS(INDIRECT("Tabela1["&amp;$D38&amp;"]"),Tabela1[Turno],$F38,Tabela1[Data],AH$3),"")</f>
        <v/>
      </c>
      <c r="AI38" s="12" t="str">
        <f ca="1">IFERROR(AVERAGEIFS(INDIRECT("Tabela1["&amp;$D38&amp;"]"),Tabela1[Turno],$F38,Tabela1[Data],AI$3),"")</f>
        <v/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165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6.4655172413793105</v>
      </c>
      <c r="P39" s="9" t="str">
        <f ca="1">IFERROR(AVERAGEIFS(INDIRECT("Tabela1["&amp;$D39&amp;"]"),Tabela1[Mês],P$3),"")</f>
        <v/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5</v>
      </c>
      <c r="V39" s="9">
        <f ca="1">IFERROR(AVERAGEIFS(INDIRECT("Tabela1["&amp;$D39&amp;"]"),Tabela1[Data],V$3),"")</f>
        <v>5</v>
      </c>
      <c r="W39" s="9">
        <f ca="1">IFERROR(AVERAGEIFS(INDIRECT("Tabela1["&amp;$D39&amp;"]"),Tabela1[Data],W$3),"")</f>
        <v>7.6</v>
      </c>
      <c r="X39" s="9">
        <f ca="1">IFERROR(AVERAGEIFS(INDIRECT("Tabela1["&amp;$D39&amp;"]"),Tabela1[Data],X$3),"")</f>
        <v>6.2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7.2</v>
      </c>
      <c r="AA39" s="9">
        <f ca="1">IFERROR(AVERAGEIFS(INDIRECT("Tabela1["&amp;$D39&amp;"]"),Tabela1[Data],AA$3),"")</f>
        <v>8.1999999999999993</v>
      </c>
      <c r="AB39" s="9">
        <f ca="1">IFERROR(AVERAGEIFS(INDIRECT("Tabela1["&amp;$D39&amp;"]"),Tabela1[Data],AB$3),"")</f>
        <v>7.75</v>
      </c>
      <c r="AC39" s="9">
        <f ca="1">IFERROR(AVERAGEIFS(INDIRECT("Tabela1["&amp;$D39&amp;"]"),Tabela1[Data],AC$3),"")</f>
        <v>6.7142857142857144</v>
      </c>
      <c r="AD39" s="9">
        <f ca="1">IFERROR(AVERAGEIFS(INDIRECT("Tabela1["&amp;$D39&amp;"]"),Tabela1[Data],AD$3),"")</f>
        <v>7</v>
      </c>
      <c r="AE39" s="9">
        <f ca="1">IFERROR(AVERAGEIFS(INDIRECT("Tabela1["&amp;$D39&amp;"]"),Tabela1[Data],AE$3),"")</f>
        <v>5.5</v>
      </c>
      <c r="AF39" s="9">
        <f ca="1">IFERROR(AVERAGEIFS(INDIRECT("Tabela1["&amp;$D39&amp;"]"),Tabela1[Data],AF$3),"")</f>
        <v>6.333333333333333</v>
      </c>
      <c r="AG39" s="9" t="str">
        <f ca="1">IFERROR(AVERAGEIFS(INDIRECT("Tabela1["&amp;$D39&amp;"]"),Tabela1[Data],AG$3),"")</f>
        <v/>
      </c>
      <c r="AH39" s="9" t="str">
        <f ca="1">IFERROR(AVERAGEIFS(INDIRECT("Tabela1["&amp;$D39&amp;"]"),Tabela1[Data],AH$3),"")</f>
        <v/>
      </c>
      <c r="AI39" s="9" t="str">
        <f ca="1">IFERROR(AVERAGEIFS(INDIRECT("Tabela1["&amp;$D39&amp;"]"),Tabela1[Data],AI$3),"")</f>
        <v/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>
        <f ca="1">IFERROR(AVERAGEIFS(INDIRECT("Tabela1["&amp;$D40&amp;"]"),Tabela1[Turno],$F40,Tabela1[Data],W$3),"")</f>
        <v>7</v>
      </c>
      <c r="X40" s="26">
        <f ca="1">IFERROR(AVERAGEIFS(INDIRECT("Tabela1["&amp;$D40&amp;"]"),Tabela1[Turno],$F40,Tabela1[Data],X$3),"")</f>
        <v>10</v>
      </c>
      <c r="Y40" s="26">
        <f ca="1">IFERROR(AVERAGEIFS(INDIRECT("Tabela1["&amp;$D40&amp;"]"),Tabela1[Turno],$F40,Tabela1[Data],Y$3),"")</f>
        <v>7</v>
      </c>
      <c r="Z40" s="26">
        <f ca="1">IFERROR(AVERAGEIFS(INDIRECT("Tabela1["&amp;$D40&amp;"]"),Tabela1[Turno],$F40,Tabela1[Data],Z$3),"")</f>
        <v>7</v>
      </c>
      <c r="AA40" s="26">
        <f ca="1">IFERROR(AVERAGEIFS(INDIRECT("Tabela1["&amp;$D40&amp;"]"),Tabela1[Turno],$F40,Tabela1[Data],AA$3),"")</f>
        <v>10</v>
      </c>
      <c r="AB40" s="26" t="str">
        <f ca="1">IFERROR(AVERAGEIFS(INDIRECT("Tabela1["&amp;$D40&amp;"]"),Tabela1[Turno],$F40,Tabela1[Data],AB$3),"")</f>
        <v/>
      </c>
      <c r="AC40" s="26">
        <f ca="1">IFERROR(AVERAGEIFS(INDIRECT("Tabela1["&amp;$D40&amp;"]"),Tabela1[Turno],$F40,Tabela1[Data],AC$3),"")</f>
        <v>7</v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8.5319148936170208</v>
      </c>
      <c r="P41" s="12" t="str">
        <f ca="1">IFERROR(AVERAGEIFS(INDIRECT("Tabela1["&amp;$D41&amp;"]"),Tabela1[Turno],$F41,Tabela1[Mês],P$3),"")</f>
        <v/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9</v>
      </c>
      <c r="V41" s="12">
        <f ca="1">IFERROR(AVERAGEIFS(INDIRECT("Tabela1["&amp;$D41&amp;"]"),Tabela1[Turno],$F41,Tabela1[Data],V$3),"")</f>
        <v>8.5</v>
      </c>
      <c r="W41" s="12">
        <f ca="1">IFERROR(AVERAGEIFS(INDIRECT("Tabela1["&amp;$D41&amp;"]"),Tabela1[Turno],$F41,Tabela1[Data],W$3),"")</f>
        <v>10</v>
      </c>
      <c r="X41" s="12">
        <f ca="1">IFERROR(AVERAGEIFS(INDIRECT("Tabela1["&amp;$D41&amp;"]"),Tabela1[Turno],$F41,Tabela1[Data],X$3),"")</f>
        <v>7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9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>
        <f ca="1">IFERROR(AVERAGEIFS(INDIRECT("Tabela1["&amp;$D41&amp;"]"),Tabela1[Turno],$F41,Tabela1[Data],AC$3),"")</f>
        <v>8</v>
      </c>
      <c r="AD41" s="12">
        <f ca="1">IFERROR(AVERAGEIFS(INDIRECT("Tabela1["&amp;$D41&amp;"]"),Tabela1[Turno],$F41,Tabela1[Data],AD$3),"")</f>
        <v>9.25</v>
      </c>
      <c r="AE41" s="12">
        <f ca="1">IFERROR(AVERAGEIFS(INDIRECT("Tabela1["&amp;$D41&amp;"]"),Tabela1[Turno],$F41,Tabela1[Data],AE$3),"")</f>
        <v>9</v>
      </c>
      <c r="AF41" s="12">
        <f ca="1">IFERROR(AVERAGEIFS(INDIRECT("Tabela1["&amp;$D41&amp;"]"),Tabela1[Turno],$F41,Tabela1[Data],AF$3),"")</f>
        <v>10</v>
      </c>
      <c r="AG41" s="12" t="str">
        <f ca="1">IFERROR(AVERAGEIFS(INDIRECT("Tabela1["&amp;$D41&amp;"]"),Tabela1[Turno],$F41,Tabela1[Data],AG$3),"")</f>
        <v/>
      </c>
      <c r="AH41" s="12" t="str">
        <f ca="1">IFERROR(AVERAGEIFS(INDIRECT("Tabela1["&amp;$D41&amp;"]"),Tabela1[Turno],$F41,Tabela1[Data],AH$3),"")</f>
        <v/>
      </c>
      <c r="AI41" s="12" t="str">
        <f ca="1">IFERROR(AVERAGEIFS(INDIRECT("Tabela1["&amp;$D41&amp;"]"),Tabela1[Turno],$F41,Tabela1[Data],AI$3),"")</f>
        <v/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8.4716981132075464</v>
      </c>
      <c r="P42" s="9" t="str">
        <f ca="1">IFERROR(AVERAGEIFS(INDIRECT("Tabela1["&amp;$D42&amp;"]"),Tabela1[Mês],P$3),"")</f>
        <v/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9</v>
      </c>
      <c r="V42" s="9">
        <f ca="1">IFERROR(AVERAGEIFS(INDIRECT("Tabela1["&amp;$D42&amp;"]"),Tabela1[Data],V$3),"")</f>
        <v>8.5</v>
      </c>
      <c r="W42" s="9">
        <f ca="1">IFERROR(AVERAGEIFS(INDIRECT("Tabela1["&amp;$D42&amp;"]"),Tabela1[Data],W$3),"")</f>
        <v>9.25</v>
      </c>
      <c r="X42" s="9">
        <f ca="1">IFERROR(AVERAGEIFS(INDIRECT("Tabela1["&amp;$D42&amp;"]"),Tabela1[Data],X$3),"")</f>
        <v>7.6</v>
      </c>
      <c r="Y42" s="9">
        <f ca="1">IFERROR(AVERAGEIFS(INDIRECT("Tabela1["&amp;$D42&amp;"]"),Tabela1[Data],Y$3),"")</f>
        <v>8.1999999999999993</v>
      </c>
      <c r="Z42" s="9">
        <f ca="1">IFERROR(AVERAGEIFS(INDIRECT("Tabela1["&amp;$D42&amp;"]"),Tabela1[Data],Z$3),"")</f>
        <v>8.5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7</v>
      </c>
      <c r="AC42" s="9">
        <f ca="1">IFERROR(AVERAGEIFS(INDIRECT("Tabela1["&amp;$D42&amp;"]"),Tabela1[Data],AC$3),"")</f>
        <v>7.8571428571428568</v>
      </c>
      <c r="AD42" s="9">
        <f ca="1">IFERROR(AVERAGEIFS(INDIRECT("Tabela1["&amp;$D42&amp;"]"),Tabela1[Data],AD$3),"")</f>
        <v>9.25</v>
      </c>
      <c r="AE42" s="9">
        <f ca="1">IFERROR(AVERAGEIFS(INDIRECT("Tabela1["&amp;$D42&amp;"]"),Tabela1[Data],AE$3),"")</f>
        <v>9</v>
      </c>
      <c r="AF42" s="9">
        <f ca="1">IFERROR(AVERAGEIFS(INDIRECT("Tabela1["&amp;$D42&amp;"]"),Tabela1[Data],AF$3),"")</f>
        <v>10</v>
      </c>
      <c r="AG42" s="9" t="str">
        <f ca="1">IFERROR(AVERAGEIFS(INDIRECT("Tabela1["&amp;$D42&amp;"]"),Tabela1[Data],AG$3),"")</f>
        <v/>
      </c>
      <c r="AH42" s="9" t="str">
        <f ca="1">IFERROR(AVERAGEIFS(INDIRECT("Tabela1["&amp;$D42&amp;"]"),Tabela1[Data],AH$3),"")</f>
        <v/>
      </c>
      <c r="AI42" s="9" t="str">
        <f ca="1">IFERROR(AVERAGEIFS(INDIRECT("Tabela1["&amp;$D42&amp;"]"),Tabela1[Data],AI$3),"")</f>
        <v/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>
        <f ca="1">IFERROR(AVERAGEIFS(INDIRECT("Tabela1["&amp;$D43&amp;"]"),Tabela1[Turno],$F43,Tabela1[Data],W$3),"")</f>
        <v>7</v>
      </c>
      <c r="X43" s="26">
        <f ca="1">IFERROR(AVERAGEIFS(INDIRECT("Tabela1["&amp;$D43&amp;"]"),Tabela1[Turno],$F43,Tabela1[Data],X$3),"")</f>
        <v>10</v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8.3829787234042552</v>
      </c>
      <c r="P44" s="12" t="str">
        <f ca="1">IFERROR(AVERAGEIFS(INDIRECT("Tabela1["&amp;$D44&amp;"]"),Tabela1[Turno],$F44,Tabela1[Mês],P$3),"")</f>
        <v/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9</v>
      </c>
      <c r="V44" s="12">
        <f ca="1">IFERROR(AVERAGEIFS(INDIRECT("Tabela1["&amp;$D44&amp;"]"),Tabela1[Turno],$F44,Tabela1[Data],V$3),"")</f>
        <v>8.5</v>
      </c>
      <c r="W44" s="12">
        <f ca="1">IFERROR(AVERAGEIFS(INDIRECT("Tabela1["&amp;$D44&amp;"]"),Tabela1[Turno],$F44,Tabela1[Data],W$3),"")</f>
        <v>10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8.75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9</v>
      </c>
      <c r="AB44" s="12">
        <f ca="1">IFERROR(AVERAGEIFS(INDIRECT("Tabela1["&amp;$D44&amp;"]"),Tabela1[Turno],$F44,Tabela1[Data],AB$3),"")</f>
        <v>6.333333333333333</v>
      </c>
      <c r="AC44" s="12">
        <f ca="1">IFERROR(AVERAGEIFS(INDIRECT("Tabela1["&amp;$D44&amp;"]"),Tabela1[Turno],$F44,Tabela1[Data],AC$3),"")</f>
        <v>7</v>
      </c>
      <c r="AD44" s="12">
        <f ca="1">IFERROR(AVERAGEIFS(INDIRECT("Tabela1["&amp;$D44&amp;"]"),Tabela1[Turno],$F44,Tabela1[Data],AD$3),"")</f>
        <v>8.5</v>
      </c>
      <c r="AE44" s="12">
        <f ca="1">IFERROR(AVERAGEIFS(INDIRECT("Tabela1["&amp;$D44&amp;"]"),Tabela1[Turno],$F44,Tabela1[Data],AE$3),"")</f>
        <v>10</v>
      </c>
      <c r="AF44" s="12">
        <f ca="1">IFERROR(AVERAGEIFS(INDIRECT("Tabela1["&amp;$D44&amp;"]"),Tabela1[Turno],$F44,Tabela1[Data],AF$3),"")</f>
        <v>10</v>
      </c>
      <c r="AG44" s="12" t="str">
        <f ca="1">IFERROR(AVERAGEIFS(INDIRECT("Tabela1["&amp;$D44&amp;"]"),Tabela1[Turno],$F44,Tabela1[Data],AG$3),"")</f>
        <v/>
      </c>
      <c r="AH44" s="12" t="str">
        <f ca="1">IFERROR(AVERAGEIFS(INDIRECT("Tabela1["&amp;$D44&amp;"]"),Tabela1[Turno],$F44,Tabela1[Data],AH$3),"")</f>
        <v/>
      </c>
      <c r="AI44" s="12" t="str">
        <f ca="1">IFERROR(AVERAGEIFS(INDIRECT("Tabela1["&amp;$D44&amp;"]"),Tabela1[Turno],$F44,Tabela1[Data],AI$3),"")</f>
        <v/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8.387755102040817</v>
      </c>
      <c r="P45" s="9" t="str">
        <f ca="1">IFERROR(AVERAGEIFS(INDIRECT("Tabela1["&amp;$D45&amp;"]"),Tabela1[Mês],P$3),"")</f>
        <v/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9</v>
      </c>
      <c r="V45" s="9">
        <f ca="1">IFERROR(AVERAGEIFS(INDIRECT("Tabela1["&amp;$D45&amp;"]"),Tabela1[Data],V$3),"")</f>
        <v>8.5</v>
      </c>
      <c r="W45" s="9">
        <f ca="1">IFERROR(AVERAGEIFS(INDIRECT("Tabela1["&amp;$D45&amp;"]"),Tabela1[Data],W$3),"")</f>
        <v>9.25</v>
      </c>
      <c r="X45" s="9">
        <f ca="1">IFERROR(AVERAGEIFS(INDIRECT("Tabela1["&amp;$D45&amp;"]"),Tabela1[Data],X$3),"")</f>
        <v>7.6</v>
      </c>
      <c r="Y45" s="9">
        <f ca="1">IFERROR(AVERAGEIFS(INDIRECT("Tabela1["&amp;$D45&amp;"]"),Tabela1[Data],Y$3),"")</f>
        <v>8.75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9</v>
      </c>
      <c r="AB45" s="9">
        <f ca="1">IFERROR(AVERAGEIFS(INDIRECT("Tabela1["&amp;$D45&amp;"]"),Tabela1[Data],AB$3),"")</f>
        <v>6.333333333333333</v>
      </c>
      <c r="AC45" s="9">
        <f ca="1">IFERROR(AVERAGEIFS(INDIRECT("Tabela1["&amp;$D45&amp;"]"),Tabela1[Data],AC$3),"")</f>
        <v>7</v>
      </c>
      <c r="AD45" s="9">
        <f ca="1">IFERROR(AVERAGEIFS(INDIRECT("Tabela1["&amp;$D45&amp;"]"),Tabela1[Data],AD$3),"")</f>
        <v>8.5</v>
      </c>
      <c r="AE45" s="9">
        <f ca="1">IFERROR(AVERAGEIFS(INDIRECT("Tabela1["&amp;$D45&amp;"]"),Tabela1[Data],AE$3),"")</f>
        <v>10</v>
      </c>
      <c r="AF45" s="9">
        <f ca="1">IFERROR(AVERAGEIFS(INDIRECT("Tabela1["&amp;$D45&amp;"]"),Tabela1[Data],AF$3),"")</f>
        <v>10</v>
      </c>
      <c r="AG45" s="9" t="str">
        <f ca="1">IFERROR(AVERAGEIFS(INDIRECT("Tabela1["&amp;$D45&amp;"]"),Tabela1[Data],AG$3),"")</f>
        <v/>
      </c>
      <c r="AH45" s="9" t="str">
        <f ca="1">IFERROR(AVERAGEIFS(INDIRECT("Tabela1["&amp;$D45&amp;"]"),Tabela1[Data],AH$3),"")</f>
        <v/>
      </c>
      <c r="AI45" s="9" t="str">
        <f ca="1">IFERROR(AVERAGEIFS(INDIRECT("Tabela1["&amp;$D45&amp;"]"),Tabela1[Data],AI$3),"")</f>
        <v/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0.62749999999999995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>
        <f ca="1">IFERROR(AVERAGEIFS(INDIRECT("Tabela1["&amp;$D46&amp;"]"),Tabela1[Turno],$F46,Tabela1[Data],W$3)/100,"")</f>
        <v>0.26</v>
      </c>
      <c r="X46" s="28">
        <f ca="1">IFERROR(AVERAGEIFS(INDIRECT("Tabela1["&amp;$D46&amp;"]"),Tabela1[Turno],$F46,Tabela1[Data],X$3)/100,"")</f>
        <v>0.77500000000000002</v>
      </c>
      <c r="Y46" s="28">
        <f ca="1">IFERROR(AVERAGEIFS(INDIRECT("Tabela1["&amp;$D46&amp;"]"),Tabela1[Turno],$F46,Tabela1[Data],Y$3)/100,"")</f>
        <v>0.68</v>
      </c>
      <c r="Z46" s="28">
        <f ca="1">IFERROR(AVERAGEIFS(INDIRECT("Tabela1["&amp;$D46&amp;"]"),Tabela1[Turno],$F46,Tabela1[Data],Z$3)/100,"")</f>
        <v>0.48</v>
      </c>
      <c r="AA46" s="28">
        <f ca="1">IFERROR(AVERAGEIFS(INDIRECT("Tabela1["&amp;$D46&amp;"]"),Tabela1[Turno],$F46,Tabela1[Data],AA$3)/100,"")</f>
        <v>0.91</v>
      </c>
      <c r="AB46" s="28" t="str">
        <f ca="1">IFERROR(AVERAGEIFS(INDIRECT("Tabela1["&amp;$D46&amp;"]"),Tabela1[Turno],$F46,Tabela1[Data],AB$3)/100,"")</f>
        <v/>
      </c>
      <c r="AC46" s="28">
        <f ca="1">IFERROR(AVERAGEIFS(INDIRECT("Tabela1["&amp;$D46&amp;"]"),Tabela1[Turno],$F46,Tabela1[Data],AC$3)/100,"")</f>
        <v>0.66</v>
      </c>
      <c r="AD46" s="28" t="str">
        <f ca="1">IFERROR(AVERAGEIFS(INDIRECT("Tabela1["&amp;$D46&amp;"]"),Tabela1[Turno],$F46,Tabela1[Data],AD$3)/100,"")</f>
        <v/>
      </c>
      <c r="AE46" s="28" t="str">
        <f ca="1">IFERROR(AVERAGEIFS(INDIRECT("Tabela1["&amp;$D46&amp;"]"),Tabela1[Turno],$F46,Tabela1[Data],AE$3)/100,"")</f>
        <v/>
      </c>
      <c r="AF46" s="28" t="str">
        <f ca="1">IFERROR(AVERAGEIFS(INDIRECT("Tabela1["&amp;$D46&amp;"]"),Tabela1[Turno],$F46,Tabela1[Data],AF$3)/100,"")</f>
        <v/>
      </c>
      <c r="AG46" s="28" t="str">
        <f ca="1">IFERROR(AVERAGEIFS(INDIRECT("Tabela1["&amp;$D46&amp;"]"),Tabela1[Turno],$F46,Tabela1[Data],AG$3)/100,"")</f>
        <v/>
      </c>
      <c r="AH46" s="28" t="str">
        <f ca="1">IFERROR(AVERAGEIFS(INDIRECT("Tabela1["&amp;$D46&amp;"]"),Tabela1[Turno],$F46,Tabela1[Data],AH$3)/100,"")</f>
        <v/>
      </c>
      <c r="AI46" s="28" t="str">
        <f ca="1">IFERROR(AVERAGEIFS(INDIRECT("Tabela1["&amp;$D46&amp;"]"),Tabela1[Turno],$F46,Tabela1[Data],AI$3)/100,"")</f>
        <v/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0.24118181818181816</v>
      </c>
      <c r="P47" s="16" t="str">
        <f ca="1">IFERROR(AVERAGEIFS(INDIRECT("Tabela1["&amp;$D47&amp;"]"),Tabela1[Turno],$F47,Tabela1[Mês],P$3)/100,"")</f>
        <v/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0.21</v>
      </c>
      <c r="V47" s="16">
        <f ca="1">IFERROR(AVERAGEIFS(INDIRECT("Tabela1["&amp;$D47&amp;"]"),Tabela1[Turno],$F47,Tabela1[Data],V$3)/100,"")</f>
        <v>0.25916666666666666</v>
      </c>
      <c r="W47" s="16">
        <f ca="1">IFERROR(AVERAGEIFS(INDIRECT("Tabela1["&amp;$D47&amp;"]"),Tabela1[Turno],$F47,Tabela1[Data],W$3)/100,"")</f>
        <v>0.23499999999999999</v>
      </c>
      <c r="X47" s="16">
        <f ca="1">IFERROR(AVERAGEIFS(INDIRECT("Tabela1["&amp;$D47&amp;"]"),Tabela1[Turno],$F47,Tabela1[Data],X$3)/100,"")</f>
        <v>0.24374999999999999</v>
      </c>
      <c r="Y47" s="16">
        <f ca="1">IFERROR(AVERAGEIFS(INDIRECT("Tabela1["&amp;$D47&amp;"]"),Tabela1[Turno],$F47,Tabela1[Data],Y$3)/100,"")</f>
        <v>0.20874999999999999</v>
      </c>
      <c r="Z47" s="16">
        <f ca="1">IFERROR(AVERAGEIFS(INDIRECT("Tabela1["&amp;$D47&amp;"]"),Tabela1[Turno],$F47,Tabela1[Data],Z$3)/100,"")</f>
        <v>0.2225</v>
      </c>
      <c r="AA47" s="16">
        <f ca="1">IFERROR(AVERAGEIFS(INDIRECT("Tabela1["&amp;$D47&amp;"]"),Tabela1[Turno],$F47,Tabela1[Data],AA$3)/100,"")</f>
        <v>0.25374999999999998</v>
      </c>
      <c r="AB47" s="16">
        <f ca="1">IFERROR(AVERAGEIFS(INDIRECT("Tabela1["&amp;$D47&amp;"]"),Tabela1[Turno],$F47,Tabela1[Data],AB$3)/100,"")</f>
        <v>0.26833333333333331</v>
      </c>
      <c r="AC47" s="16" t="s">
        <v>425</v>
      </c>
      <c r="AD47" s="16">
        <f ca="1">IFERROR(AVERAGEIFS(INDIRECT("Tabela1["&amp;$D47&amp;"]"),Tabela1[Turno],$F47,Tabela1[Data],AD$3)/100,"")</f>
        <v>0.2475</v>
      </c>
      <c r="AE47" s="16">
        <f ca="1">IFERROR(AVERAGEIFS(INDIRECT("Tabela1["&amp;$D47&amp;"]"),Tabela1[Turno],$F47,Tabela1[Data],AE$3)/100,"")</f>
        <v>0.27</v>
      </c>
      <c r="AF47" s="16">
        <f ca="1">IFERROR(AVERAGEIFS(INDIRECT("Tabela1["&amp;$D47&amp;"]"),Tabela1[Turno],$F47,Tabela1[Data],AF$3)/100,"")</f>
        <v>0.24249999999999999</v>
      </c>
      <c r="AG47" s="16" t="str">
        <f ca="1">IFERROR(AVERAGEIFS(INDIRECT("Tabela1["&amp;$D47&amp;"]"),Tabela1[Turno],$F47,Tabela1[Data],AG$3)/100,"")</f>
        <v/>
      </c>
      <c r="AH47" s="16" t="str">
        <f ca="1">IFERROR(AVERAGEIFS(INDIRECT("Tabela1["&amp;$D47&amp;"]"),Tabela1[Turno],$F47,Tabela1[Data],AH$3)/100,"")</f>
        <v/>
      </c>
      <c r="AI47" s="16" t="str">
        <f ca="1">IFERROR(AVERAGEIFS(INDIRECT("Tabela1["&amp;$D47&amp;"]"),Tabela1[Turno],$F47,Tabela1[Data],AI$3)/100,"")</f>
        <v/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0.27918032786885244</v>
      </c>
      <c r="P48" s="10" t="str">
        <f ca="1">IFERROR(AVERAGEIFS(INDIRECT("Tabela1["&amp;$D48&amp;"]"),Tabela1[Mês],P$3)/100,"")</f>
        <v/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0.21</v>
      </c>
      <c r="V48" s="10">
        <f ca="1">IFERROR(AVERAGEIFS(INDIRECT("Tabela1["&amp;$D48&amp;"]"),Tabela1[Data],V$3)/100,"")</f>
        <v>0.25916666666666666</v>
      </c>
      <c r="W48" s="10">
        <f ca="1">IFERROR(AVERAGEIFS(INDIRECT("Tabela1["&amp;$D48&amp;"]"),Tabela1[Data],W$3)/100,"")</f>
        <v>0.24</v>
      </c>
      <c r="X48" s="10">
        <f ca="1">IFERROR(AVERAGEIFS(INDIRECT("Tabela1["&amp;$D48&amp;"]"),Tabela1[Data],X$3)/100,"")</f>
        <v>0.35</v>
      </c>
      <c r="Y48" s="10">
        <f ca="1">IFERROR(AVERAGEIFS(INDIRECT("Tabela1["&amp;$D48&amp;"]"),Tabela1[Data],Y$3)/100,"")</f>
        <v>0.30299999999999999</v>
      </c>
      <c r="Z48" s="10">
        <f ca="1">IFERROR(AVERAGEIFS(INDIRECT("Tabela1["&amp;$D48&amp;"]"),Tabela1[Data],Z$3)/100,"")</f>
        <v>0.27399999999999997</v>
      </c>
      <c r="AA48" s="10">
        <f ca="1">IFERROR(AVERAGEIFS(INDIRECT("Tabela1["&amp;$D48&amp;"]"),Tabela1[Data],AA$3)/100,"")</f>
        <v>0.38500000000000001</v>
      </c>
      <c r="AB48" s="10">
        <f ca="1">IFERROR(AVERAGEIFS(INDIRECT("Tabela1["&amp;$D48&amp;"]"),Tabela1[Data],AB$3)/100,"")</f>
        <v>0.26833333333333331</v>
      </c>
      <c r="AC48" s="10">
        <f ca="1">IFERROR(AVERAGEIFS(INDIRECT("Tabela1["&amp;$D48&amp;"]"),Tabela1[Data],AC$3)/100,"")</f>
        <v>0.31285714285714283</v>
      </c>
      <c r="AD48" s="10">
        <f ca="1">IFERROR(AVERAGEIFS(INDIRECT("Tabela1["&amp;$D48&amp;"]"),Tabela1[Data],AD$3)/100,"")</f>
        <v>0.2475</v>
      </c>
      <c r="AE48" s="10">
        <f ca="1">IFERROR(AVERAGEIFS(INDIRECT("Tabela1["&amp;$D48&amp;"]"),Tabela1[Data],AE$3)/100,"")</f>
        <v>0.27</v>
      </c>
      <c r="AF48" s="10">
        <f ca="1">IFERROR(AVERAGEIFS(INDIRECT("Tabela1["&amp;$D48&amp;"]"),Tabela1[Data],AF$3)/100,"")</f>
        <v>0.24249999999999999</v>
      </c>
      <c r="AG48" s="10" t="str">
        <f ca="1">IFERROR(AVERAGEIFS(INDIRECT("Tabela1["&amp;$D48&amp;"]"),Tabela1[Data],AG$3)/100,"")</f>
        <v/>
      </c>
      <c r="AH48" s="10" t="str">
        <f ca="1">IFERROR(AVERAGEIFS(INDIRECT("Tabela1["&amp;$D48&amp;"]"),Tabela1[Data],AH$3)/100,"")</f>
        <v/>
      </c>
      <c r="AI48" s="10" t="str">
        <f ca="1">IFERROR(AVERAGEIFS(INDIRECT("Tabela1["&amp;$D48&amp;"]"),Tabela1[Data],AI$3)/100,"")</f>
        <v/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0.32416666666666666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>
        <f ca="1">IFERROR(AVERAGEIFS(INDIRECT("Tabela1["&amp;$D49&amp;"]"),Tabela1[Turno],$F49,Tabela1[Data],W$3)/100,"")</f>
        <v>0.255</v>
      </c>
      <c r="X49" s="28">
        <f ca="1">IFERROR(AVERAGEIFS(INDIRECT("Tabela1["&amp;$D49&amp;"]"),Tabela1[Turno],$F49,Tabela1[Data],X$3)/100,"")</f>
        <v>0.24</v>
      </c>
      <c r="Y49" s="28">
        <f ca="1">IFERROR(AVERAGEIFS(INDIRECT("Tabela1["&amp;$D49&amp;"]"),Tabela1[Turno],$F49,Tabela1[Data],Y$3)/100,"")</f>
        <v>0.5</v>
      </c>
      <c r="Z49" s="28">
        <f ca="1">IFERROR(AVERAGEIFS(INDIRECT("Tabela1["&amp;$D49&amp;"]"),Tabela1[Turno],$F49,Tabela1[Data],Z$3)/100,"")</f>
        <v>0.3</v>
      </c>
      <c r="AA49" s="28">
        <f ca="1">IFERROR(AVERAGEIFS(INDIRECT("Tabela1["&amp;$D49&amp;"]"),Tabela1[Turno],$F49,Tabela1[Data],AA$3)/100,"")</f>
        <v>0.3</v>
      </c>
      <c r="AB49" s="28" t="str">
        <f ca="1">IFERROR(AVERAGEIFS(INDIRECT("Tabela1["&amp;$D49&amp;"]"),Tabela1[Turno],$F49,Tabela1[Data],AB$3)/100,"")</f>
        <v/>
      </c>
      <c r="AC49" s="28">
        <f ca="1">IFERROR(AVERAGEIFS(INDIRECT("Tabela1["&amp;$D49&amp;"]"),Tabela1[Turno],$F49,Tabela1[Data],AC$3)/100,"")</f>
        <v>0.35</v>
      </c>
      <c r="AD49" s="28" t="str">
        <f ca="1">IFERROR(AVERAGEIFS(INDIRECT("Tabela1["&amp;$D49&amp;"]"),Tabela1[Turno],$F49,Tabela1[Data],AD$3)/100,"")</f>
        <v/>
      </c>
      <c r="AE49" s="28" t="str">
        <f ca="1">IFERROR(AVERAGEIFS(INDIRECT("Tabela1["&amp;$D49&amp;"]"),Tabela1[Turno],$F49,Tabela1[Data],AE$3)/100,"")</f>
        <v/>
      </c>
      <c r="AF49" s="28" t="str">
        <f ca="1">IFERROR(AVERAGEIFS(INDIRECT("Tabela1["&amp;$D49&amp;"]"),Tabela1[Turno],$F49,Tabela1[Data],AF$3)/100,"")</f>
        <v/>
      </c>
      <c r="AG49" s="28" t="str">
        <f ca="1">IFERROR(AVERAGEIFS(INDIRECT("Tabela1["&amp;$D49&amp;"]"),Tabela1[Turno],$F49,Tabela1[Data],AG$3)/100,"")</f>
        <v/>
      </c>
      <c r="AH49" s="28" t="str">
        <f ca="1">IFERROR(AVERAGEIFS(INDIRECT("Tabela1["&amp;$D49&amp;"]"),Tabela1[Turno],$F49,Tabela1[Data],AH$3)/100,"")</f>
        <v/>
      </c>
      <c r="AI49" s="28" t="str">
        <f ca="1">IFERROR(AVERAGEIFS(INDIRECT("Tabela1["&amp;$D49&amp;"]"),Tabela1[Turno],$F49,Tabela1[Data],AI$3)/100,"")</f>
        <v/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0.19294642857142857</v>
      </c>
      <c r="P50" s="16" t="str">
        <f ca="1">IFERROR(AVERAGEIFS(INDIRECT("Tabela1["&amp;$D50&amp;"]"),Tabela1[Turno],$F50,Tabela1[Mês],P$3)/100,"")</f>
        <v/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0.20624999999999999</v>
      </c>
      <c r="V50" s="16">
        <f ca="1">IFERROR(AVERAGEIFS(INDIRECT("Tabela1["&amp;$D50&amp;"]"),Tabela1[Turno],$F50,Tabela1[Data],V$3)/100,"")</f>
        <v>0.20333333333333331</v>
      </c>
      <c r="W50" s="16">
        <f ca="1">IFERROR(AVERAGEIFS(INDIRECT("Tabela1["&amp;$D50&amp;"]"),Tabela1[Turno],$F50,Tabela1[Data],W$3)/100,"")</f>
        <v>0.19125</v>
      </c>
      <c r="X50" s="16">
        <f ca="1">IFERROR(AVERAGEIFS(INDIRECT("Tabela1["&amp;$D50&amp;"]"),Tabela1[Turno],$F50,Tabela1[Data],X$3)/100,"")</f>
        <v>0.17624999999999999</v>
      </c>
      <c r="Y50" s="16">
        <f ca="1">IFERROR(AVERAGEIFS(INDIRECT("Tabela1["&amp;$D50&amp;"]"),Tabela1[Turno],$F50,Tabela1[Data],Y$3)/100,"")</f>
        <v>0.20624999999999999</v>
      </c>
      <c r="Z50" s="16">
        <f ca="1">IFERROR(AVERAGEIFS(INDIRECT("Tabela1["&amp;$D50&amp;"]"),Tabela1[Turno],$F50,Tabela1[Data],Z$3)/100,"")</f>
        <v>0.19125</v>
      </c>
      <c r="AA50" s="16">
        <f ca="1">IFERROR(AVERAGEIFS(INDIRECT("Tabela1["&amp;$D50&amp;"]"),Tabela1[Turno],$F50,Tabela1[Data],AA$3)/100,"")</f>
        <v>0.17874999999999999</v>
      </c>
      <c r="AB50" s="16">
        <f ca="1">IFERROR(AVERAGEIFS(INDIRECT("Tabela1["&amp;$D50&amp;"]"),Tabela1[Turno],$F50,Tabela1[Data],AB$3)/100,"")</f>
        <v>0.185</v>
      </c>
      <c r="AC50" s="16">
        <f ca="1">IFERROR(AVERAGEIFS(INDIRECT("Tabela1["&amp;$D50&amp;"]"),Tabela1[Turno],$F50,Tabela1[Data],AC$3)/100,"")</f>
        <v>0.19333333333333333</v>
      </c>
      <c r="AD50" s="16">
        <f ca="1">IFERROR(AVERAGEIFS(INDIRECT("Tabela1["&amp;$D50&amp;"]"),Tabela1[Turno],$F50,Tabela1[Data],AD$3)/100,"")</f>
        <v>0.18375</v>
      </c>
      <c r="AE50" s="16">
        <f ca="1">IFERROR(AVERAGEIFS(INDIRECT("Tabela1["&amp;$D50&amp;"]"),Tabela1[Turno],$F50,Tabela1[Data],AE$3)/100,"")</f>
        <v>0.1925</v>
      </c>
      <c r="AF50" s="16">
        <f ca="1">IFERROR(AVERAGEIFS(INDIRECT("Tabela1["&amp;$D50&amp;"]"),Tabela1[Turno],$F50,Tabela1[Data],AF$3)/100,"")</f>
        <v>0.18875</v>
      </c>
      <c r="AG50" s="16" t="str">
        <f ca="1">IFERROR(AVERAGEIFS(INDIRECT("Tabela1["&amp;$D50&amp;"]"),Tabela1[Turno],$F50,Tabela1[Data],AG$3)/100,"")</f>
        <v/>
      </c>
      <c r="AH50" s="16" t="str">
        <f ca="1">IFERROR(AVERAGEIFS(INDIRECT("Tabela1["&amp;$D50&amp;"]"),Tabela1[Turno],$F50,Tabela1[Data],AH$3)/100,"")</f>
        <v/>
      </c>
      <c r="AI50" s="16" t="str">
        <f ca="1">IFERROR(AVERAGEIFS(INDIRECT("Tabela1["&amp;$D50&amp;"]"),Tabela1[Turno],$F50,Tabela1[Data],AI$3)/100,"")</f>
        <v/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0.20564516129032259</v>
      </c>
      <c r="P51" s="10" t="str">
        <f ca="1">IFERROR(AVERAGEIFS(INDIRECT("Tabela1["&amp;$D51&amp;"]"),Tabela1[Mês],P$3)/100,"")</f>
        <v/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0.20624999999999999</v>
      </c>
      <c r="V51" s="10">
        <f ca="1">IFERROR(AVERAGEIFS(INDIRECT("Tabela1["&amp;$D51&amp;"]"),Tabela1[Data],V$3)/100,"")</f>
        <v>0.20333333333333331</v>
      </c>
      <c r="W51" s="10">
        <f ca="1">IFERROR(AVERAGEIFS(INDIRECT("Tabela1["&amp;$D51&amp;"]"),Tabela1[Data],W$3)/100,"")</f>
        <v>0.20399999999999999</v>
      </c>
      <c r="X51" s="10">
        <f ca="1">IFERROR(AVERAGEIFS(INDIRECT("Tabela1["&amp;$D51&amp;"]"),Tabela1[Data],X$3)/100,"")</f>
        <v>0.18899999999999997</v>
      </c>
      <c r="Y51" s="10">
        <f ca="1">IFERROR(AVERAGEIFS(INDIRECT("Tabela1["&amp;$D51&amp;"]"),Tabela1[Data],Y$3)/100,"")</f>
        <v>0.26500000000000001</v>
      </c>
      <c r="Z51" s="10">
        <f ca="1">IFERROR(AVERAGEIFS(INDIRECT("Tabela1["&amp;$D51&amp;"]"),Tabela1[Data],Z$3)/100,"")</f>
        <v>0.21299999999999999</v>
      </c>
      <c r="AA51" s="10">
        <f ca="1">IFERROR(AVERAGEIFS(INDIRECT("Tabela1["&amp;$D51&amp;"]"),Tabela1[Data],AA$3)/100,"")</f>
        <v>0.20300000000000001</v>
      </c>
      <c r="AB51" s="10">
        <f ca="1">IFERROR(AVERAGEIFS(INDIRECT("Tabela1["&amp;$D51&amp;"]"),Tabela1[Data],AB$3)/100,"")</f>
        <v>0.185</v>
      </c>
      <c r="AC51" s="10">
        <f ca="1">IFERROR(AVERAGEIFS(INDIRECT("Tabela1["&amp;$D51&amp;"]"),Tabela1[Data],AC$3)/100,"")</f>
        <v>0.21571428571428572</v>
      </c>
      <c r="AD51" s="10">
        <f ca="1">IFERROR(AVERAGEIFS(INDIRECT("Tabela1["&amp;$D51&amp;"]"),Tabela1[Data],AD$3)/100,"")</f>
        <v>0.18375</v>
      </c>
      <c r="AE51" s="10">
        <f ca="1">IFERROR(AVERAGEIFS(INDIRECT("Tabela1["&amp;$D51&amp;"]"),Tabela1[Data],AE$3)/100,"")</f>
        <v>0.1925</v>
      </c>
      <c r="AF51" s="10">
        <f ca="1">IFERROR(AVERAGEIFS(INDIRECT("Tabela1["&amp;$D51&amp;"]"),Tabela1[Data],AF$3)/100,"")</f>
        <v>0.18875</v>
      </c>
      <c r="AG51" s="10" t="str">
        <f ca="1">IFERROR(AVERAGEIFS(INDIRECT("Tabela1["&amp;$D51&amp;"]"),Tabela1[Data],AG$3)/100,"")</f>
        <v/>
      </c>
      <c r="AH51" s="10" t="str">
        <f ca="1">IFERROR(AVERAGEIFS(INDIRECT("Tabela1["&amp;$D51&amp;"]"),Tabela1[Data],AH$3)/100,"")</f>
        <v/>
      </c>
      <c r="AI51" s="10" t="str">
        <f ca="1">IFERROR(AVERAGEIFS(INDIRECT("Tabela1["&amp;$D51&amp;"]"),Tabela1[Data],AI$3)/100,"")</f>
        <v/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0.27500000000000002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>
        <f ca="1">IFERROR(AVERAGEIFS(INDIRECT("Tabela1["&amp;$D52&amp;"]"),Tabela1[Turno],$F52,Tabela1[Data],W$3)/100,"")</f>
        <v>0.3</v>
      </c>
      <c r="X52" s="28">
        <f ca="1">IFERROR(AVERAGEIFS(INDIRECT("Tabela1["&amp;$D52&amp;"]"),Tabela1[Turno],$F52,Tabela1[Data],X$3)/100,"")</f>
        <v>0.25</v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 t="str">
        <f ca="1">IFERROR(AVERAGEIFS(INDIRECT("Tabela1["&amp;$D52&amp;"]"),Tabela1[Turno],$F52,Tabela1[Data],AE$3)/100,"")</f>
        <v/>
      </c>
      <c r="AF52" s="28" t="str">
        <f ca="1">IFERROR(AVERAGEIFS(INDIRECT("Tabela1["&amp;$D52&amp;"]"),Tabela1[Turno],$F52,Tabela1[Data],AF$3)/100,"")</f>
        <v/>
      </c>
      <c r="AG52" s="28" t="str">
        <f ca="1">IFERROR(AVERAGEIFS(INDIRECT("Tabela1["&amp;$D52&amp;"]"),Tabela1[Turno],$F52,Tabela1[Data],AG$3)/100,"")</f>
        <v/>
      </c>
      <c r="AH52" s="28" t="str">
        <f ca="1">IFERROR(AVERAGEIFS(INDIRECT("Tabela1["&amp;$D52&amp;"]"),Tabela1[Turno],$F52,Tabela1[Data],AH$3)/100,"")</f>
        <v/>
      </c>
      <c r="AI52" s="28" t="str">
        <f ca="1">IFERROR(AVERAGEIFS(INDIRECT("Tabela1["&amp;$D52&amp;"]"),Tabela1[Turno],$F52,Tabela1[Data],AI$3)/100,"")</f>
        <v/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0.76818181818181808</v>
      </c>
      <c r="P53" s="16" t="str">
        <f ca="1">IFERROR(AVERAGEIFS(INDIRECT("Tabela1["&amp;$D53&amp;"]"),Tabela1[Turno],$F53,Tabela1[Mês],P$3)/100,"")</f>
        <v/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0.76249999999999996</v>
      </c>
      <c r="V53" s="16">
        <f ca="1">IFERROR(AVERAGEIFS(INDIRECT("Tabela1["&amp;$D53&amp;"]"),Tabela1[Turno],$F53,Tabela1[Data],V$3)/100,"")</f>
        <v>0.78</v>
      </c>
      <c r="W53" s="16">
        <f ca="1">IFERROR(AVERAGEIFS(INDIRECT("Tabela1["&amp;$D53&amp;"]"),Tabela1[Turno],$F53,Tabela1[Data],W$3)/100,"")</f>
        <v>0.71250000000000002</v>
      </c>
      <c r="X53" s="16">
        <f ca="1">IFERROR(AVERAGEIFS(INDIRECT("Tabela1["&amp;$D53&amp;"]"),Tabela1[Turno],$F53,Tabela1[Data],X$3)/100,"")</f>
        <v>0.77500000000000002</v>
      </c>
      <c r="Y53" s="16">
        <f ca="1">IFERROR(AVERAGEIFS(INDIRECT("Tabela1["&amp;$D53&amp;"]"),Tabela1[Turno],$F53,Tabela1[Data],Y$3)/100,"")</f>
        <v>0.77500000000000002</v>
      </c>
      <c r="Z53" s="16">
        <f ca="1">IFERROR(AVERAGEIFS(INDIRECT("Tabela1["&amp;$D53&amp;"]"),Tabela1[Turno],$F53,Tabela1[Data],Z$3)/100,"")</f>
        <v>0.73750000000000004</v>
      </c>
      <c r="AA53" s="16">
        <f ca="1">IFERROR(AVERAGEIFS(INDIRECT("Tabela1["&amp;$D53&amp;"]"),Tabela1[Turno],$F53,Tabela1[Data],AA$3)/100,"")</f>
        <v>0.82499999999999996</v>
      </c>
      <c r="AB53" s="16">
        <f ca="1">IFERROR(AVERAGEIFS(INDIRECT("Tabela1["&amp;$D53&amp;"]"),Tabela1[Turno],$F53,Tabela1[Data],AB$3)/100,"")</f>
        <v>0.77500000000000002</v>
      </c>
      <c r="AC53" s="16">
        <f ca="1">IFERROR(AVERAGEIFS(INDIRECT("Tabela1["&amp;$D53&amp;"]"),Tabela1[Turno],$F53,Tabela1[Data],AC$3)/100,"")</f>
        <v>0.75</v>
      </c>
      <c r="AD53" s="16">
        <f ca="1">IFERROR(AVERAGEIFS(INDIRECT("Tabela1["&amp;$D53&amp;"]"),Tabela1[Turno],$F53,Tabela1[Data],AD$3)/100,"")</f>
        <v>0.8</v>
      </c>
      <c r="AE53" s="16">
        <f ca="1">IFERROR(AVERAGEIFS(INDIRECT("Tabela1["&amp;$D53&amp;"]"),Tabela1[Turno],$F53,Tabela1[Data],AE$3)/100,"")</f>
        <v>0.76249999999999996</v>
      </c>
      <c r="AF53" s="16">
        <f ca="1">IFERROR(AVERAGEIFS(INDIRECT("Tabela1["&amp;$D53&amp;"]"),Tabela1[Turno],$F53,Tabela1[Data],AF$3)/100,"")</f>
        <v>0.77500000000000002</v>
      </c>
      <c r="AG53" s="16" t="str">
        <f ca="1">IFERROR(AVERAGEIFS(INDIRECT("Tabela1["&amp;$D53&amp;"]"),Tabela1[Turno],$F53,Tabela1[Data],AG$3)/100,"")</f>
        <v/>
      </c>
      <c r="AH53" s="16" t="str">
        <f ca="1">IFERROR(AVERAGEIFS(INDIRECT("Tabela1["&amp;$D53&amp;"]"),Tabela1[Turno],$F53,Tabela1[Data],AH$3)/100,"")</f>
        <v/>
      </c>
      <c r="AI53" s="16" t="str">
        <f ca="1">IFERROR(AVERAGEIFS(INDIRECT("Tabela1["&amp;$D53&amp;"]"),Tabela1[Turno],$F53,Tabela1[Data],AI$3)/100,"")</f>
        <v/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0.75087719298245614</v>
      </c>
      <c r="P54" s="10" t="str">
        <f ca="1">IFERROR(AVERAGEIFS(INDIRECT("Tabela1["&amp;$D54&amp;"]"),Tabela1[Mês],P$3)/100,"")</f>
        <v/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0.76249999999999996</v>
      </c>
      <c r="V54" s="10">
        <f ca="1">IFERROR(AVERAGEIFS(INDIRECT("Tabela1["&amp;$D54&amp;"]"),Tabela1[Data],V$3)/100,"")</f>
        <v>0.78</v>
      </c>
      <c r="W54" s="10">
        <f ca="1">IFERROR(AVERAGEIFS(INDIRECT("Tabela1["&amp;$D54&amp;"]"),Tabela1[Data],W$3)/100,"")</f>
        <v>0.63</v>
      </c>
      <c r="X54" s="10">
        <f ca="1">IFERROR(AVERAGEIFS(INDIRECT("Tabela1["&amp;$D54&amp;"]"),Tabela1[Data],X$3)/100,"")</f>
        <v>0.67</v>
      </c>
      <c r="Y54" s="10">
        <f ca="1">IFERROR(AVERAGEIFS(INDIRECT("Tabela1["&amp;$D54&amp;"]"),Tabela1[Data],Y$3)/100,"")</f>
        <v>0.77500000000000002</v>
      </c>
      <c r="Z54" s="10">
        <f ca="1">IFERROR(AVERAGEIFS(INDIRECT("Tabela1["&amp;$D54&amp;"]"),Tabela1[Data],Z$3)/100,"")</f>
        <v>0.73750000000000004</v>
      </c>
      <c r="AA54" s="10">
        <f ca="1">IFERROR(AVERAGEIFS(INDIRECT("Tabela1["&amp;$D54&amp;"]"),Tabela1[Data],AA$3)/100,"")</f>
        <v>0.82499999999999996</v>
      </c>
      <c r="AB54" s="10">
        <f ca="1">IFERROR(AVERAGEIFS(INDIRECT("Tabela1["&amp;$D54&amp;"]"),Tabela1[Data],AB$3)/100,"")</f>
        <v>0.77500000000000002</v>
      </c>
      <c r="AC54" s="10">
        <f ca="1">IFERROR(AVERAGEIFS(INDIRECT("Tabela1["&amp;$D54&amp;"]"),Tabela1[Data],AC$3)/100,"")</f>
        <v>0.75</v>
      </c>
      <c r="AD54" s="10">
        <f ca="1">IFERROR(AVERAGEIFS(INDIRECT("Tabela1["&amp;$D54&amp;"]"),Tabela1[Data],AD$3)/100,"")</f>
        <v>0.8</v>
      </c>
      <c r="AE54" s="10">
        <f ca="1">IFERROR(AVERAGEIFS(INDIRECT("Tabela1["&amp;$D54&amp;"]"),Tabela1[Data],AE$3)/100,"")</f>
        <v>0.76249999999999996</v>
      </c>
      <c r="AF54" s="10">
        <f ca="1">IFERROR(AVERAGEIFS(INDIRECT("Tabela1["&amp;$D54&amp;"]"),Tabela1[Data],AF$3)/100,"")</f>
        <v>0.77500000000000002</v>
      </c>
      <c r="AG54" s="10" t="str">
        <f ca="1">IFERROR(AVERAGEIFS(INDIRECT("Tabela1["&amp;$D54&amp;"]"),Tabela1[Data],AG$3)/100,"")</f>
        <v/>
      </c>
      <c r="AH54" s="10" t="str">
        <f ca="1">IFERROR(AVERAGEIFS(INDIRECT("Tabela1["&amp;$D54&amp;"]"),Tabela1[Data],AH$3)/100,"")</f>
        <v/>
      </c>
      <c r="AI54" s="10" t="str">
        <f ca="1">IFERROR(AVERAGEIFS(INDIRECT("Tabela1["&amp;$D54&amp;"]"),Tabela1[Data],AI$3)/100,"")</f>
        <v/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 t="str">
        <f ca="1">IFERROR(AVERAGEIFS(INDIRECT("Tabela1["&amp;$D55&amp;"]"),Tabela1[Turno],$F55,Tabela1[Mês],O$3)/100,"")</f>
        <v/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 t="str">
        <f ca="1">IFERROR(AVERAGEIFS(INDIRECT("Tabela1["&amp;$D55&amp;"]"),Tabela1[Turno],$F55,Tabela1[Data],AE$3)/100,"")</f>
        <v/>
      </c>
      <c r="AF55" s="28" t="str">
        <f ca="1">IFERROR(AVERAGEIFS(INDIRECT("Tabela1["&amp;$D55&amp;"]"),Tabela1[Turno],$F55,Tabela1[Data],AF$3)/100,"")</f>
        <v/>
      </c>
      <c r="AG55" s="28" t="str">
        <f ca="1">IFERROR(AVERAGEIFS(INDIRECT("Tabela1["&amp;$D55&amp;"]"),Tabela1[Turno],$F55,Tabela1[Data],AG$3)/100,"")</f>
        <v/>
      </c>
      <c r="AH55" s="28" t="str">
        <f ca="1">IFERROR(AVERAGEIFS(INDIRECT("Tabela1["&amp;$D55&amp;"]"),Tabela1[Turno],$F55,Tabela1[Data],AH$3)/100,"")</f>
        <v/>
      </c>
      <c r="AI55" s="28" t="str">
        <f ca="1">IFERROR(AVERAGEIFS(INDIRECT("Tabela1["&amp;$D55&amp;"]"),Tabela1[Turno],$F55,Tabela1[Data],AI$3)/100,"")</f>
        <v/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0.28839285714285717</v>
      </c>
      <c r="P56" s="16" t="str">
        <f ca="1">IFERROR(AVERAGEIFS(INDIRECT("Tabela1["&amp;$D56&amp;"]"),Tabela1[Turno],$F56,Tabela1[Mês],P$3)/100,"")</f>
        <v/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0.27500000000000002</v>
      </c>
      <c r="V56" s="16">
        <f ca="1">IFERROR(AVERAGEIFS(INDIRECT("Tabela1["&amp;$D56&amp;"]"),Tabela1[Turno],$F56,Tabela1[Data],V$3)/100,"")</f>
        <v>0.20833333333333331</v>
      </c>
      <c r="W56" s="16">
        <f ca="1">IFERROR(AVERAGEIFS(INDIRECT("Tabela1["&amp;$D56&amp;"]"),Tabela1[Turno],$F56,Tabela1[Data],W$3)/100,"")</f>
        <v>0.375</v>
      </c>
      <c r="X56" s="16">
        <f ca="1">IFERROR(AVERAGEIFS(INDIRECT("Tabela1["&amp;$D56&amp;"]"),Tabela1[Turno],$F56,Tabela1[Data],X$3)/100,"")</f>
        <v>0.23749999999999999</v>
      </c>
      <c r="Y56" s="16">
        <f ca="1">IFERROR(AVERAGEIFS(INDIRECT("Tabela1["&amp;$D56&amp;"]"),Tabela1[Turno],$F56,Tabela1[Data],Y$3)/100,"")</f>
        <v>0.27500000000000002</v>
      </c>
      <c r="Z56" s="16">
        <f ca="1">IFERROR(AVERAGEIFS(INDIRECT("Tabela1["&amp;$D56&amp;"]"),Tabela1[Turno],$F56,Tabela1[Data],Z$3)/100,"")</f>
        <v>0.25</v>
      </c>
      <c r="AA56" s="16">
        <f ca="1">IFERROR(AVERAGEIFS(INDIRECT("Tabela1["&amp;$D56&amp;"]"),Tabela1[Turno],$F56,Tabela1[Data],AA$3)/100,"")</f>
        <v>0.28749999999999998</v>
      </c>
      <c r="AB56" s="16">
        <f ca="1">IFERROR(AVERAGEIFS(INDIRECT("Tabela1["&amp;$D56&amp;"]"),Tabela1[Turno],$F56,Tabela1[Data],AB$3)/100,"")</f>
        <v>0.23749999999999999</v>
      </c>
      <c r="AC56" s="16">
        <f ca="1">IFERROR(AVERAGEIFS(INDIRECT("Tabela1["&amp;$D56&amp;"]"),Tabela1[Turno],$F56,Tabela1[Data],AC$3)/100,"")</f>
        <v>0.26666666666666666</v>
      </c>
      <c r="AD56" s="16">
        <f ca="1">IFERROR(AVERAGEIFS(INDIRECT("Tabela1["&amp;$D56&amp;"]"),Tabela1[Turno],$F56,Tabela1[Data],AD$3)/100,"")</f>
        <v>0.38750000000000001</v>
      </c>
      <c r="AE56" s="16">
        <f ca="1">IFERROR(AVERAGEIFS(INDIRECT("Tabela1["&amp;$D56&amp;"]"),Tabela1[Turno],$F56,Tabela1[Data],AE$3)/100,"")</f>
        <v>0.35</v>
      </c>
      <c r="AF56" s="16">
        <f ca="1">IFERROR(AVERAGEIFS(INDIRECT("Tabela1["&amp;$D56&amp;"]"),Tabela1[Turno],$F56,Tabela1[Data],AF$3)/100,"")</f>
        <v>0.375</v>
      </c>
      <c r="AG56" s="16" t="str">
        <f ca="1">IFERROR(AVERAGEIFS(INDIRECT("Tabela1["&amp;$D56&amp;"]"),Tabela1[Turno],$F56,Tabela1[Data],AG$3)/100,"")</f>
        <v/>
      </c>
      <c r="AH56" s="16" t="str">
        <f ca="1">IFERROR(AVERAGEIFS(INDIRECT("Tabela1["&amp;$D56&amp;"]"),Tabela1[Turno],$F56,Tabela1[Data],AH$3)/100,"")</f>
        <v/>
      </c>
      <c r="AI56" s="16" t="str">
        <f ca="1">IFERROR(AVERAGEIFS(INDIRECT("Tabela1["&amp;$D56&amp;"]"),Tabela1[Turno],$F56,Tabela1[Data],AI$3)/100,"")</f>
        <v/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0.28839285714285717</v>
      </c>
      <c r="P57" s="10" t="str">
        <f ca="1">IFERROR(AVERAGEIFS(INDIRECT("Tabela1["&amp;$D57&amp;"]"),Tabela1[Mês],P$3)/100,"")</f>
        <v/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0.27500000000000002</v>
      </c>
      <c r="V57" s="10">
        <f ca="1">IFERROR(AVERAGEIFS(INDIRECT("Tabela1["&amp;$D57&amp;"]"),Tabela1[Data],V$3)/100,"")</f>
        <v>0.20833333333333331</v>
      </c>
      <c r="W57" s="10">
        <f ca="1">IFERROR(AVERAGEIFS(INDIRECT("Tabela1["&amp;$D57&amp;"]"),Tabela1[Data],W$3)/100,"")</f>
        <v>0.375</v>
      </c>
      <c r="X57" s="10">
        <f ca="1">IFERROR(AVERAGEIFS(INDIRECT("Tabela1["&amp;$D57&amp;"]"),Tabela1[Data],X$3)/100,"")</f>
        <v>0.23749999999999999</v>
      </c>
      <c r="Y57" s="10">
        <f ca="1">IFERROR(AVERAGEIFS(INDIRECT("Tabela1["&amp;$D57&amp;"]"),Tabela1[Data],Y$3)/100,"")</f>
        <v>0.27500000000000002</v>
      </c>
      <c r="Z57" s="10">
        <f ca="1">IFERROR(AVERAGEIFS(INDIRECT("Tabela1["&amp;$D57&amp;"]"),Tabela1[Data],Z$3)/100,"")</f>
        <v>0.25</v>
      </c>
      <c r="AA57" s="10">
        <f ca="1">IFERROR(AVERAGEIFS(INDIRECT("Tabela1["&amp;$D57&amp;"]"),Tabela1[Data],AA$3)/100,"")</f>
        <v>0.28749999999999998</v>
      </c>
      <c r="AB57" s="10">
        <f ca="1">IFERROR(AVERAGEIFS(INDIRECT("Tabela1["&amp;$D57&amp;"]"),Tabela1[Data],AB$3)/100,"")</f>
        <v>0.23749999999999999</v>
      </c>
      <c r="AC57" s="10">
        <f ca="1">IFERROR(AVERAGEIFS(INDIRECT("Tabela1["&amp;$D57&amp;"]"),Tabela1[Data],AC$3)/100,"")</f>
        <v>0.26666666666666666</v>
      </c>
      <c r="AD57" s="10">
        <f ca="1">IFERROR(AVERAGEIFS(INDIRECT("Tabela1["&amp;$D57&amp;"]"),Tabela1[Data],AD$3)/100,"")</f>
        <v>0.38750000000000001</v>
      </c>
      <c r="AE57" s="10">
        <f ca="1">IFERROR(AVERAGEIFS(INDIRECT("Tabela1["&amp;$D57&amp;"]"),Tabela1[Data],AE$3)/100,"")</f>
        <v>0.35</v>
      </c>
      <c r="AF57" s="10">
        <f ca="1">IFERROR(AVERAGEIFS(INDIRECT("Tabela1["&amp;$D57&amp;"]"),Tabela1[Data],AF$3)/100,"")</f>
        <v>0.375</v>
      </c>
      <c r="AG57" s="10" t="str">
        <f ca="1">IFERROR(AVERAGEIFS(INDIRECT("Tabela1["&amp;$D57&amp;"]"),Tabela1[Data],AG$3)/100,"")</f>
        <v/>
      </c>
      <c r="AH57" s="10" t="str">
        <f ca="1">IFERROR(AVERAGEIFS(INDIRECT("Tabela1["&amp;$D57&amp;"]"),Tabela1[Data],AH$3)/100,"")</f>
        <v/>
      </c>
      <c r="AI57" s="10" t="str">
        <f ca="1">IFERROR(AVERAGEIFS(INDIRECT("Tabela1["&amp;$D57&amp;"]"),Tabela1[Data],AI$3)/100,"")</f>
        <v/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8.2777777777777786</v>
      </c>
      <c r="P59" s="12" t="str">
        <f ca="1">IFERROR(AVERAGEIFS(INDIRECT("Tabela1["&amp;$D59&amp;"]"),Tabela1[Turno],$F59,Tabela1[Mês],P$3),"")</f>
        <v/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7.75</v>
      </c>
      <c r="V59" s="12">
        <f ca="1">IFERROR(AVERAGEIFS(INDIRECT("Tabela1["&amp;$D59&amp;"]"),Tabela1[Turno],$F59,Tabela1[Data],V$3),"")</f>
        <v>9</v>
      </c>
      <c r="W59" s="12">
        <f ca="1">IFERROR(AVERAGEIFS(INDIRECT("Tabela1["&amp;$D59&amp;"]"),Tabela1[Turno],$F59,Tabela1[Data],W$3),"")</f>
        <v>7.75</v>
      </c>
      <c r="X59" s="12">
        <f ca="1">IFERROR(AVERAGEIFS(INDIRECT("Tabela1["&amp;$D59&amp;"]"),Tabela1[Turno],$F59,Tabela1[Data],X$3),"")</f>
        <v>8</v>
      </c>
      <c r="Y59" s="12">
        <f ca="1">IFERROR(AVERAGEIFS(INDIRECT("Tabela1["&amp;$D59&amp;"]"),Tabela1[Turno],$F59,Tabela1[Data],Y$3),"")</f>
        <v>9</v>
      </c>
      <c r="Z59" s="12">
        <f ca="1">IFERROR(AVERAGEIFS(INDIRECT("Tabela1["&amp;$D59&amp;"]"),Tabela1[Turno],$F59,Tabela1[Data],Z$3),"")</f>
        <v>7.333333333333333</v>
      </c>
      <c r="AA59" s="12">
        <f ca="1">IFERROR(AVERAGEIFS(INDIRECT("Tabela1["&amp;$D59&amp;"]"),Tabela1[Turno],$F59,Tabela1[Data],AA$3),"")</f>
        <v>9.25</v>
      </c>
      <c r="AB59" s="12">
        <f ca="1">IFERROR(AVERAGEIFS(INDIRECT("Tabela1["&amp;$D59&amp;"]"),Tabela1[Turno],$F59,Tabela1[Data],AB$3),"")</f>
        <v>8.5</v>
      </c>
      <c r="AC59" s="12">
        <f ca="1">IFERROR(AVERAGEIFS(INDIRECT("Tabela1["&amp;$D59&amp;"]"),Tabela1[Turno],$F59,Tabela1[Data],AC$3),"")</f>
        <v>8.3333333333333339</v>
      </c>
      <c r="AD59" s="12">
        <f ca="1">IFERROR(AVERAGEIFS(INDIRECT("Tabela1["&amp;$D59&amp;"]"),Tabela1[Turno],$F59,Tabela1[Data],AD$3),"")</f>
        <v>8.5</v>
      </c>
      <c r="AE59" s="12">
        <f ca="1">IFERROR(AVERAGEIFS(INDIRECT("Tabela1["&amp;$D59&amp;"]"),Tabela1[Turno],$F59,Tabela1[Data],AE$3),"")</f>
        <v>6.75</v>
      </c>
      <c r="AF59" s="12">
        <f ca="1">IFERROR(AVERAGEIFS(INDIRECT("Tabela1["&amp;$D59&amp;"]"),Tabela1[Turno],$F59,Tabela1[Data],AF$3),"")</f>
        <v>9.25</v>
      </c>
      <c r="AG59" s="12" t="str">
        <f ca="1">IFERROR(AVERAGEIFS(INDIRECT("Tabela1["&amp;$D59&amp;"]"),Tabela1[Turno],$F59,Tabela1[Data],AG$3),"")</f>
        <v/>
      </c>
      <c r="AH59" s="12" t="str">
        <f ca="1">IFERROR(AVERAGEIFS(INDIRECT("Tabela1["&amp;$D59&amp;"]"),Tabela1[Turno],$F59,Tabela1[Data],AH$3),"")</f>
        <v/>
      </c>
      <c r="AI59" s="12" t="str">
        <f ca="1">IFERROR(AVERAGEIFS(INDIRECT("Tabela1["&amp;$D59&amp;"]"),Tabela1[Turno],$F59,Tabela1[Data],AI$3),"")</f>
        <v/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8.2777777777777786</v>
      </c>
      <c r="P60" s="9" t="str">
        <f ca="1">IFERROR(AVERAGEIFS(INDIRECT("Tabela1["&amp;$D60&amp;"]"),Tabela1[Mês],P$3),"")</f>
        <v/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7.75</v>
      </c>
      <c r="V60" s="9">
        <f ca="1">IFERROR(AVERAGEIFS(INDIRECT("Tabela1["&amp;$D60&amp;"]"),Tabela1[Data],V$3),"")</f>
        <v>9</v>
      </c>
      <c r="W60" s="9">
        <f ca="1">IFERROR(AVERAGEIFS(INDIRECT("Tabela1["&amp;$D60&amp;"]"),Tabela1[Data],W$3),"")</f>
        <v>7.75</v>
      </c>
      <c r="X60" s="9">
        <f ca="1">IFERROR(AVERAGEIFS(INDIRECT("Tabela1["&amp;$D60&amp;"]"),Tabela1[Data],X$3),"")</f>
        <v>8</v>
      </c>
      <c r="Y60" s="9">
        <f ca="1">IFERROR(AVERAGEIFS(INDIRECT("Tabela1["&amp;$D60&amp;"]"),Tabela1[Data],Y$3),"")</f>
        <v>9</v>
      </c>
      <c r="Z60" s="9">
        <f ca="1">IFERROR(AVERAGEIFS(INDIRECT("Tabela1["&amp;$D60&amp;"]"),Tabela1[Data],Z$3),"")</f>
        <v>7.333333333333333</v>
      </c>
      <c r="AA60" s="9">
        <f ca="1">IFERROR(AVERAGEIFS(INDIRECT("Tabela1["&amp;$D60&amp;"]"),Tabela1[Data],AA$3),"")</f>
        <v>9.25</v>
      </c>
      <c r="AB60" s="9">
        <f ca="1">IFERROR(AVERAGEIFS(INDIRECT("Tabela1["&amp;$D60&amp;"]"),Tabela1[Data],AB$3),"")</f>
        <v>8.5</v>
      </c>
      <c r="AC60" s="9">
        <f ca="1">IFERROR(AVERAGEIFS(INDIRECT("Tabela1["&amp;$D60&amp;"]"),Tabela1[Data],AC$3),"")</f>
        <v>8.3333333333333339</v>
      </c>
      <c r="AD60" s="9">
        <f ca="1">IFERROR(AVERAGEIFS(INDIRECT("Tabela1["&amp;$D60&amp;"]"),Tabela1[Data],AD$3),"")</f>
        <v>8.5</v>
      </c>
      <c r="AE60" s="9">
        <f ca="1">IFERROR(AVERAGEIFS(INDIRECT("Tabela1["&amp;$D60&amp;"]"),Tabela1[Data],AE$3),"")</f>
        <v>6.75</v>
      </c>
      <c r="AF60" s="9">
        <f ca="1">IFERROR(AVERAGEIFS(INDIRECT("Tabela1["&amp;$D60&amp;"]"),Tabela1[Data],AF$3),"")</f>
        <v>9.25</v>
      </c>
      <c r="AG60" s="9" t="str">
        <f ca="1">IFERROR(AVERAGEIFS(INDIRECT("Tabela1["&amp;$D60&amp;"]"),Tabela1[Data],AG$3),"")</f>
        <v/>
      </c>
      <c r="AH60" s="9" t="str">
        <f ca="1">IFERROR(AVERAGEIFS(INDIRECT("Tabela1["&amp;$D60&amp;"]"),Tabela1[Data],AH$3),"")</f>
        <v/>
      </c>
      <c r="AI60" s="9" t="str">
        <f ca="1">IFERROR(AVERAGEIFS(INDIRECT("Tabela1["&amp;$D60&amp;"]"),Tabela1[Data],AI$3),"")</f>
        <v/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157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292</v>
      </c>
      <c r="V118" t="s">
        <v>324</v>
      </c>
      <c r="W118" t="s">
        <v>312</v>
      </c>
      <c r="X118" t="s">
        <v>341</v>
      </c>
      <c r="Y118" t="s">
        <v>381</v>
      </c>
      <c r="Z118" t="s">
        <v>369</v>
      </c>
      <c r="AA118" t="s">
        <v>356</v>
      </c>
      <c r="AB118" t="s">
        <v>393</v>
      </c>
      <c r="AC118" t="s">
        <v>404</v>
      </c>
      <c r="AD118" t="s">
        <v>429</v>
      </c>
      <c r="AE118" t="s">
        <v>453</v>
      </c>
      <c r="AF118" t="s">
        <v>441</v>
      </c>
      <c r="AG118"/>
      <c r="AH118"/>
      <c r="AI118"/>
      <c r="AJ118"/>
      <c r="AK118"/>
      <c r="AL118"/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55"/>
  <sheetViews>
    <sheetView topLeftCell="B1" workbookViewId="0">
      <selection activeCell="G12" sqref="G12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148</v>
      </c>
      <c r="J1" t="s">
        <v>147</v>
      </c>
      <c r="K1" t="s">
        <v>144</v>
      </c>
      <c r="L1" t="s">
        <v>5</v>
      </c>
      <c r="M1" t="s">
        <v>6</v>
      </c>
      <c r="N1" t="s">
        <v>145</v>
      </c>
      <c r="O1" t="s">
        <v>146</v>
      </c>
      <c r="P1" t="s">
        <v>160</v>
      </c>
      <c r="Q1" t="s">
        <v>149</v>
      </c>
      <c r="R1" t="s">
        <v>150</v>
      </c>
      <c r="S1" t="s">
        <v>161</v>
      </c>
      <c r="T1" t="s">
        <v>162</v>
      </c>
      <c r="U1" t="s">
        <v>163</v>
      </c>
      <c r="V1" t="s">
        <v>7</v>
      </c>
      <c r="W1" t="s">
        <v>307</v>
      </c>
      <c r="X1" t="s">
        <v>308</v>
      </c>
      <c r="Y1" t="s">
        <v>151</v>
      </c>
      <c r="Z1" t="s">
        <v>152</v>
      </c>
      <c r="AA1" t="s">
        <v>8</v>
      </c>
      <c r="AB1" t="s">
        <v>9</v>
      </c>
      <c r="AC1" t="s">
        <v>153</v>
      </c>
      <c r="AD1" t="s">
        <v>156</v>
      </c>
      <c r="AE1" t="s">
        <v>10</v>
      </c>
      <c r="AF1" t="s">
        <v>166</v>
      </c>
      <c r="AG1" t="s">
        <v>154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167</v>
      </c>
      <c r="C47" s="1" t="s">
        <v>168</v>
      </c>
      <c r="D47" s="1" t="s">
        <v>169</v>
      </c>
      <c r="E47" t="s">
        <v>18</v>
      </c>
      <c r="F47" s="2" t="s">
        <v>170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171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172</v>
      </c>
      <c r="C48" s="1" t="s">
        <v>173</v>
      </c>
      <c r="D48" s="1" t="s">
        <v>169</v>
      </c>
      <c r="E48" t="s">
        <v>18</v>
      </c>
      <c r="F48" s="2" t="s">
        <v>170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174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175</v>
      </c>
      <c r="C49" s="1" t="s">
        <v>176</v>
      </c>
      <c r="D49" s="1" t="s">
        <v>169</v>
      </c>
      <c r="E49" t="s">
        <v>18</v>
      </c>
      <c r="F49" s="2" t="s">
        <v>177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178</v>
      </c>
      <c r="C50" s="1" t="s">
        <v>179</v>
      </c>
      <c r="D50" s="1" t="s">
        <v>180</v>
      </c>
      <c r="E50" t="s">
        <v>18</v>
      </c>
      <c r="F50" s="2" t="s">
        <v>170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181</v>
      </c>
      <c r="C51" s="1" t="s">
        <v>182</v>
      </c>
      <c r="D51" s="1" t="s">
        <v>183</v>
      </c>
      <c r="E51" t="s">
        <v>18</v>
      </c>
      <c r="F51" s="2" t="s">
        <v>177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184</v>
      </c>
      <c r="C52" s="1" t="s">
        <v>185</v>
      </c>
      <c r="D52" s="1" t="s">
        <v>183</v>
      </c>
      <c r="E52" t="s">
        <v>18</v>
      </c>
      <c r="F52" s="2" t="s">
        <v>177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186</v>
      </c>
      <c r="C53" s="1" t="s">
        <v>187</v>
      </c>
      <c r="D53" s="1" t="s">
        <v>183</v>
      </c>
      <c r="E53" t="s">
        <v>18</v>
      </c>
      <c r="F53" s="2" t="s">
        <v>177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188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189</v>
      </c>
      <c r="C54" s="1" t="s">
        <v>190</v>
      </c>
      <c r="D54" s="1" t="s">
        <v>191</v>
      </c>
      <c r="E54" t="s">
        <v>18</v>
      </c>
      <c r="F54" s="2" t="s">
        <v>177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192</v>
      </c>
      <c r="C55" s="1" t="s">
        <v>193</v>
      </c>
      <c r="D55" s="1" t="s">
        <v>194</v>
      </c>
      <c r="E55" t="s">
        <v>18</v>
      </c>
      <c r="F55" s="2" t="s">
        <v>195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196</v>
      </c>
      <c r="C56" s="1" t="s">
        <v>197</v>
      </c>
      <c r="D56" s="1" t="s">
        <v>198</v>
      </c>
      <c r="E56" t="s">
        <v>18</v>
      </c>
      <c r="F56" s="2" t="s">
        <v>195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199</v>
      </c>
      <c r="C57" s="1" t="s">
        <v>200</v>
      </c>
      <c r="D57" s="1" t="s">
        <v>198</v>
      </c>
      <c r="E57" t="s">
        <v>18</v>
      </c>
      <c r="F57" s="2" t="s">
        <v>195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201</v>
      </c>
      <c r="C58" s="1" t="s">
        <v>202</v>
      </c>
      <c r="D58" s="1" t="s">
        <v>198</v>
      </c>
      <c r="E58" t="s">
        <v>18</v>
      </c>
      <c r="F58" s="2" t="s">
        <v>195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203</v>
      </c>
      <c r="C59" s="1" t="s">
        <v>204</v>
      </c>
      <c r="D59" s="1" t="s">
        <v>205</v>
      </c>
      <c r="E59" t="s">
        <v>18</v>
      </c>
      <c r="F59" s="2" t="s">
        <v>206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207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208</v>
      </c>
      <c r="C60" s="1" t="s">
        <v>209</v>
      </c>
      <c r="D60" s="1" t="s">
        <v>205</v>
      </c>
      <c r="E60" t="s">
        <v>18</v>
      </c>
      <c r="F60" s="2" t="s">
        <v>206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210</v>
      </c>
      <c r="C61" s="1" t="s">
        <v>211</v>
      </c>
      <c r="D61" s="1" t="s">
        <v>205</v>
      </c>
      <c r="E61" t="s">
        <v>18</v>
      </c>
      <c r="F61" s="2" t="s">
        <v>206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212</v>
      </c>
      <c r="C62" s="1" t="s">
        <v>213</v>
      </c>
      <c r="D62" s="1" t="s">
        <v>214</v>
      </c>
      <c r="E62" t="s">
        <v>18</v>
      </c>
      <c r="F62" s="2" t="s">
        <v>206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215</v>
      </c>
      <c r="C63" s="1" t="s">
        <v>216</v>
      </c>
      <c r="D63" s="1" t="s">
        <v>217</v>
      </c>
      <c r="E63" t="s">
        <v>18</v>
      </c>
      <c r="F63" s="2" t="s">
        <v>218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219</v>
      </c>
      <c r="C64" s="1" t="s">
        <v>220</v>
      </c>
      <c r="D64" s="1" t="s">
        <v>217</v>
      </c>
      <c r="E64" t="s">
        <v>18</v>
      </c>
      <c r="F64" s="2" t="s">
        <v>218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221</v>
      </c>
      <c r="C65" s="1" t="s">
        <v>222</v>
      </c>
      <c r="D65" s="1" t="s">
        <v>223</v>
      </c>
      <c r="E65" t="s">
        <v>18</v>
      </c>
      <c r="F65" s="2" t="s">
        <v>218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171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224</v>
      </c>
      <c r="C66" s="1" t="s">
        <v>225</v>
      </c>
      <c r="D66" s="1" t="s">
        <v>226</v>
      </c>
      <c r="E66" t="s">
        <v>18</v>
      </c>
      <c r="F66" s="2" t="s">
        <v>227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171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228</v>
      </c>
      <c r="C67" s="1" t="s">
        <v>229</v>
      </c>
      <c r="D67" s="1" t="s">
        <v>226</v>
      </c>
      <c r="E67" t="s">
        <v>18</v>
      </c>
      <c r="F67" s="2" t="s">
        <v>227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230</v>
      </c>
      <c r="C68" s="1" t="s">
        <v>231</v>
      </c>
      <c r="D68" s="1" t="s">
        <v>232</v>
      </c>
      <c r="E68" t="s">
        <v>18</v>
      </c>
      <c r="F68" s="2" t="s">
        <v>227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233</v>
      </c>
      <c r="C69" s="1" t="s">
        <v>234</v>
      </c>
      <c r="D69" s="1" t="s">
        <v>235</v>
      </c>
      <c r="E69" t="s">
        <v>18</v>
      </c>
      <c r="F69" s="2" t="s">
        <v>236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237</v>
      </c>
      <c r="C70" s="1" t="s">
        <v>238</v>
      </c>
      <c r="D70" s="1" t="s">
        <v>235</v>
      </c>
      <c r="E70" t="s">
        <v>18</v>
      </c>
      <c r="F70" s="2" t="s">
        <v>236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171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239</v>
      </c>
      <c r="C71" s="1" t="s">
        <v>240</v>
      </c>
      <c r="D71" s="1" t="s">
        <v>235</v>
      </c>
      <c r="E71" t="s">
        <v>18</v>
      </c>
      <c r="F71" s="2" t="s">
        <v>236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171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241</v>
      </c>
      <c r="C72" s="1" t="s">
        <v>242</v>
      </c>
      <c r="D72" s="1" t="s">
        <v>243</v>
      </c>
      <c r="E72" t="s">
        <v>18</v>
      </c>
      <c r="F72" s="2" t="s">
        <v>236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244</v>
      </c>
      <c r="C73" s="1" t="s">
        <v>245</v>
      </c>
      <c r="D73" s="1" t="s">
        <v>246</v>
      </c>
      <c r="E73" t="s">
        <v>18</v>
      </c>
      <c r="F73" s="2" t="s">
        <v>247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248</v>
      </c>
      <c r="C74" s="1" t="s">
        <v>249</v>
      </c>
      <c r="D74" s="1" t="s">
        <v>246</v>
      </c>
      <c r="E74" t="s">
        <v>18</v>
      </c>
      <c r="F74" s="2" t="s">
        <v>247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250</v>
      </c>
      <c r="C75" s="1" t="s">
        <v>251</v>
      </c>
      <c r="D75" s="1" t="s">
        <v>246</v>
      </c>
      <c r="E75" t="s">
        <v>18</v>
      </c>
      <c r="F75" s="2" t="s">
        <v>247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252</v>
      </c>
      <c r="C76" s="1" t="s">
        <v>253</v>
      </c>
      <c r="D76" s="1" t="s">
        <v>254</v>
      </c>
      <c r="E76" t="s">
        <v>18</v>
      </c>
      <c r="F76" s="2" t="s">
        <v>247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171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255</v>
      </c>
      <c r="C77" s="1" t="s">
        <v>256</v>
      </c>
      <c r="D77" s="1" t="s">
        <v>257</v>
      </c>
      <c r="E77" t="s">
        <v>18</v>
      </c>
      <c r="F77" s="2" t="s">
        <v>258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259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260</v>
      </c>
      <c r="C78" s="1" t="s">
        <v>261</v>
      </c>
      <c r="D78" s="1" t="s">
        <v>257</v>
      </c>
      <c r="E78" t="s">
        <v>18</v>
      </c>
      <c r="F78" s="2" t="s">
        <v>258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262</v>
      </c>
      <c r="C79" s="1" t="s">
        <v>263</v>
      </c>
      <c r="D79" s="1" t="s">
        <v>257</v>
      </c>
      <c r="E79" t="s">
        <v>18</v>
      </c>
      <c r="F79" s="2" t="s">
        <v>258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171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264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265</v>
      </c>
      <c r="C80" s="1" t="s">
        <v>266</v>
      </c>
      <c r="D80" s="1" t="s">
        <v>267</v>
      </c>
      <c r="E80" t="s">
        <v>18</v>
      </c>
      <c r="F80" s="2" t="s">
        <v>258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171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268</v>
      </c>
      <c r="C81" s="1" t="s">
        <v>269</v>
      </c>
      <c r="D81" s="1" t="s">
        <v>270</v>
      </c>
      <c r="E81" t="s">
        <v>18</v>
      </c>
      <c r="F81" s="2" t="s">
        <v>271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272</v>
      </c>
      <c r="C82" s="1" t="s">
        <v>273</v>
      </c>
      <c r="D82" s="1" t="s">
        <v>270</v>
      </c>
      <c r="E82" t="s">
        <v>18</v>
      </c>
      <c r="F82" s="2" t="s">
        <v>271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274</v>
      </c>
      <c r="C83" s="1" t="s">
        <v>275</v>
      </c>
      <c r="D83" s="1" t="s">
        <v>276</v>
      </c>
      <c r="E83" t="s">
        <v>18</v>
      </c>
      <c r="F83" s="2" t="s">
        <v>271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277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278</v>
      </c>
      <c r="C84" s="1" t="s">
        <v>279</v>
      </c>
      <c r="D84" s="1" t="s">
        <v>280</v>
      </c>
      <c r="E84" t="s">
        <v>18</v>
      </c>
      <c r="F84" s="2" t="s">
        <v>281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282</v>
      </c>
      <c r="C85" s="1" t="s">
        <v>283</v>
      </c>
      <c r="D85" s="1" t="s">
        <v>280</v>
      </c>
      <c r="E85" t="s">
        <v>18</v>
      </c>
      <c r="F85" s="2" t="s">
        <v>281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284</v>
      </c>
      <c r="C86" s="1" t="s">
        <v>285</v>
      </c>
      <c r="D86" s="1" t="s">
        <v>286</v>
      </c>
      <c r="E86" t="s">
        <v>18</v>
      </c>
      <c r="F86" s="2" t="s">
        <v>281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287</v>
      </c>
      <c r="C87" s="1" t="s">
        <v>288</v>
      </c>
      <c r="D87" s="1" t="s">
        <v>286</v>
      </c>
      <c r="E87" t="s">
        <v>18</v>
      </c>
      <c r="F87" s="2" t="s">
        <v>281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289</v>
      </c>
      <c r="C88" s="1" t="s">
        <v>290</v>
      </c>
      <c r="D88" s="1" t="s">
        <v>291</v>
      </c>
      <c r="E88" t="s">
        <v>18</v>
      </c>
      <c r="F88" s="2" t="s">
        <v>292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171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293</v>
      </c>
      <c r="C89" s="1" t="s">
        <v>294</v>
      </c>
      <c r="D89" s="1" t="s">
        <v>295</v>
      </c>
      <c r="E89" t="s">
        <v>18</v>
      </c>
      <c r="F89" s="2" t="s">
        <v>292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296</v>
      </c>
      <c r="C90" s="1" t="s">
        <v>297</v>
      </c>
      <c r="D90" s="1" t="s">
        <v>295</v>
      </c>
      <c r="E90" t="s">
        <v>18</v>
      </c>
      <c r="F90" s="2" t="s">
        <v>292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171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298</v>
      </c>
      <c r="C91" s="1" t="s">
        <v>299</v>
      </c>
      <c r="D91" s="1" t="s">
        <v>300</v>
      </c>
      <c r="E91" t="s">
        <v>18</v>
      </c>
      <c r="F91" s="2" t="s">
        <v>292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171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302</v>
      </c>
      <c r="C92" s="1"/>
      <c r="D92" s="1"/>
      <c r="E92" t="s">
        <v>301</v>
      </c>
      <c r="F92" s="2" t="s">
        <v>281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303</v>
      </c>
      <c r="C93" s="1"/>
      <c r="D93" s="1"/>
      <c r="E93" t="s">
        <v>301</v>
      </c>
      <c r="F93" s="2" t="s">
        <v>271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304</v>
      </c>
      <c r="C94" s="1"/>
      <c r="D94" s="1"/>
      <c r="E94" t="s">
        <v>301</v>
      </c>
      <c r="F94" s="2" t="s">
        <v>247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305</v>
      </c>
      <c r="C95" s="1"/>
      <c r="D95" s="1"/>
      <c r="E95" t="s">
        <v>301</v>
      </c>
      <c r="F95" s="2" t="s">
        <v>236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306</v>
      </c>
      <c r="C96" s="1"/>
      <c r="D96" s="1"/>
      <c r="E96" t="s">
        <v>301</v>
      </c>
      <c r="F96" s="2" t="s">
        <v>227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289</v>
      </c>
      <c r="C97" s="1" t="s">
        <v>290</v>
      </c>
      <c r="D97" s="1" t="s">
        <v>291</v>
      </c>
      <c r="E97" t="s">
        <v>18</v>
      </c>
      <c r="F97" s="2" t="s">
        <v>292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171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293</v>
      </c>
      <c r="C98" s="1" t="s">
        <v>294</v>
      </c>
      <c r="D98" s="1" t="s">
        <v>295</v>
      </c>
      <c r="E98" t="s">
        <v>18</v>
      </c>
      <c r="F98" s="2" t="s">
        <v>292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296</v>
      </c>
      <c r="C99" s="1" t="s">
        <v>297</v>
      </c>
      <c r="D99" s="1" t="s">
        <v>295</v>
      </c>
      <c r="E99" t="s">
        <v>18</v>
      </c>
      <c r="F99" s="2" t="s">
        <v>292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171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298</v>
      </c>
      <c r="C100" s="1" t="s">
        <v>299</v>
      </c>
      <c r="D100" s="1" t="s">
        <v>300</v>
      </c>
      <c r="E100" t="s">
        <v>18</v>
      </c>
      <c r="F100" s="2" t="s">
        <v>292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171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278</v>
      </c>
      <c r="C101" s="1" t="s">
        <v>279</v>
      </c>
      <c r="D101" s="1" t="s">
        <v>280</v>
      </c>
      <c r="E101" t="s">
        <v>18</v>
      </c>
      <c r="F101" s="2" t="s">
        <v>281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309</v>
      </c>
      <c r="C102" s="1" t="s">
        <v>310</v>
      </c>
      <c r="D102" s="1" t="s">
        <v>311</v>
      </c>
      <c r="E102" t="s">
        <v>18</v>
      </c>
      <c r="F102" s="2" t="s">
        <v>312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188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313</v>
      </c>
      <c r="C103" s="1" t="s">
        <v>314</v>
      </c>
      <c r="D103" s="1" t="s">
        <v>311</v>
      </c>
      <c r="E103" t="s">
        <v>18</v>
      </c>
      <c r="F103" s="2" t="s">
        <v>312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171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315</v>
      </c>
      <c r="C104" s="1" t="s">
        <v>316</v>
      </c>
      <c r="D104" s="1" t="s">
        <v>311</v>
      </c>
      <c r="E104" t="s">
        <v>18</v>
      </c>
      <c r="F104" s="2" t="s">
        <v>312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317</v>
      </c>
      <c r="C105" s="1" t="s">
        <v>318</v>
      </c>
      <c r="D105" s="1" t="s">
        <v>319</v>
      </c>
      <c r="E105" t="s">
        <v>18</v>
      </c>
      <c r="F105" s="2" t="s">
        <v>312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171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320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321</v>
      </c>
      <c r="C106" s="1" t="s">
        <v>322</v>
      </c>
      <c r="D106" s="1" t="s">
        <v>323</v>
      </c>
      <c r="E106" t="s">
        <v>18</v>
      </c>
      <c r="F106" s="2" t="s">
        <v>324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171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325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326</v>
      </c>
      <c r="C107" s="1" t="s">
        <v>327</v>
      </c>
      <c r="D107" s="1" t="s">
        <v>328</v>
      </c>
      <c r="E107" t="s">
        <v>18</v>
      </c>
      <c r="F107" s="2" t="s">
        <v>324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171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329</v>
      </c>
      <c r="C108" s="1" t="s">
        <v>330</v>
      </c>
      <c r="D108" s="1" t="s">
        <v>331</v>
      </c>
      <c r="E108" t="s">
        <v>18</v>
      </c>
      <c r="F108" s="2" t="s">
        <v>324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332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333</v>
      </c>
      <c r="C109" s="1" t="s">
        <v>334</v>
      </c>
      <c r="D109" s="1" t="s">
        <v>331</v>
      </c>
      <c r="E109" t="s">
        <v>18</v>
      </c>
      <c r="F109" s="2" t="s">
        <v>324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171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335</v>
      </c>
      <c r="C110" s="1" t="s">
        <v>336</v>
      </c>
      <c r="D110" s="1" t="s">
        <v>337</v>
      </c>
      <c r="E110" t="s">
        <v>301</v>
      </c>
      <c r="F110" s="2" t="s">
        <v>312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338</v>
      </c>
      <c r="C111" s="1" t="s">
        <v>339</v>
      </c>
      <c r="D111" s="1" t="s">
        <v>340</v>
      </c>
      <c r="E111" t="s">
        <v>18</v>
      </c>
      <c r="F111" s="2" t="s">
        <v>341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171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342</v>
      </c>
      <c r="C112" s="1" t="s">
        <v>343</v>
      </c>
      <c r="D112" s="1" t="s">
        <v>340</v>
      </c>
      <c r="E112" t="s">
        <v>18</v>
      </c>
      <c r="F112" s="2" t="s">
        <v>341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171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344</v>
      </c>
      <c r="C113" s="1" t="s">
        <v>345</v>
      </c>
      <c r="D113" s="1" t="s">
        <v>346</v>
      </c>
      <c r="E113" t="s">
        <v>18</v>
      </c>
      <c r="F113" s="2" t="s">
        <v>341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171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347</v>
      </c>
      <c r="C114" s="1" t="s">
        <v>348</v>
      </c>
      <c r="D114" s="1" t="s">
        <v>349</v>
      </c>
      <c r="E114" t="s">
        <v>18</v>
      </c>
      <c r="F114" s="2" t="s">
        <v>341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350</v>
      </c>
      <c r="C115" s="1" t="s">
        <v>351</v>
      </c>
      <c r="D115" s="1" t="s">
        <v>352</v>
      </c>
      <c r="E115" t="s">
        <v>301</v>
      </c>
      <c r="F115" s="2" t="s">
        <v>341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353</v>
      </c>
      <c r="C116" s="1" t="s">
        <v>354</v>
      </c>
      <c r="D116" s="1" t="s">
        <v>355</v>
      </c>
      <c r="E116" t="s">
        <v>18</v>
      </c>
      <c r="F116" s="2" t="s">
        <v>356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171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357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358</v>
      </c>
      <c r="C117" s="1" t="s">
        <v>359</v>
      </c>
      <c r="D117" s="1" t="s">
        <v>360</v>
      </c>
      <c r="E117" t="s">
        <v>18</v>
      </c>
      <c r="F117" s="2" t="s">
        <v>356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361</v>
      </c>
      <c r="C118" s="1" t="s">
        <v>362</v>
      </c>
      <c r="D118" s="1" t="s">
        <v>360</v>
      </c>
      <c r="E118" t="s">
        <v>18</v>
      </c>
      <c r="F118" s="2" t="s">
        <v>356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171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325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363</v>
      </c>
      <c r="C119" s="1" t="s">
        <v>364</v>
      </c>
      <c r="D119" s="1" t="s">
        <v>365</v>
      </c>
      <c r="E119" t="s">
        <v>18</v>
      </c>
      <c r="F119" s="2" t="s">
        <v>356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171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366</v>
      </c>
      <c r="C120" s="1" t="s">
        <v>367</v>
      </c>
      <c r="D120" s="1" t="s">
        <v>368</v>
      </c>
      <c r="E120" t="s">
        <v>18</v>
      </c>
      <c r="F120" s="2" t="s">
        <v>369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332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370</v>
      </c>
      <c r="C121" s="1" t="s">
        <v>371</v>
      </c>
      <c r="D121" s="1" t="s">
        <v>368</v>
      </c>
      <c r="E121" t="s">
        <v>18</v>
      </c>
      <c r="F121" s="2" t="s">
        <v>369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171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207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372</v>
      </c>
      <c r="C122" s="1" t="s">
        <v>373</v>
      </c>
      <c r="D122" s="1" t="s">
        <v>374</v>
      </c>
      <c r="E122" t="s">
        <v>18</v>
      </c>
      <c r="F122" s="2" t="s">
        <v>369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171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375</v>
      </c>
      <c r="C123" s="1" t="s">
        <v>376</v>
      </c>
      <c r="D123" s="1" t="s">
        <v>377</v>
      </c>
      <c r="E123" t="s">
        <v>18</v>
      </c>
      <c r="F123" s="2" t="s">
        <v>369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171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378</v>
      </c>
      <c r="C124" s="1" t="s">
        <v>379</v>
      </c>
      <c r="D124" s="1" t="s">
        <v>380</v>
      </c>
      <c r="E124" t="s">
        <v>18</v>
      </c>
      <c r="F124" s="2" t="s">
        <v>381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382</v>
      </c>
      <c r="C125" s="1" t="s">
        <v>383</v>
      </c>
      <c r="D125" s="1" t="s">
        <v>384</v>
      </c>
      <c r="E125" t="s">
        <v>18</v>
      </c>
      <c r="F125" s="2" t="s">
        <v>381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171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385</v>
      </c>
      <c r="C126" s="1" t="s">
        <v>386</v>
      </c>
      <c r="D126" s="1" t="s">
        <v>384</v>
      </c>
      <c r="E126" t="s">
        <v>18</v>
      </c>
      <c r="F126" s="2" t="s">
        <v>381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387</v>
      </c>
      <c r="C127" s="1" t="s">
        <v>388</v>
      </c>
      <c r="D127" s="1" t="s">
        <v>389</v>
      </c>
      <c r="E127" t="s">
        <v>18</v>
      </c>
      <c r="F127" s="2" t="s">
        <v>381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171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390</v>
      </c>
      <c r="C128" s="1" t="s">
        <v>391</v>
      </c>
      <c r="D128" s="1" t="s">
        <v>392</v>
      </c>
      <c r="E128" t="s">
        <v>18</v>
      </c>
      <c r="F128" s="2" t="s">
        <v>393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394</v>
      </c>
      <c r="C129" s="1" t="s">
        <v>395</v>
      </c>
      <c r="D129" s="1" t="s">
        <v>392</v>
      </c>
      <c r="E129" t="s">
        <v>18</v>
      </c>
      <c r="F129" s="2" t="s">
        <v>393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396</v>
      </c>
      <c r="C130" s="1" t="s">
        <v>397</v>
      </c>
      <c r="D130" s="1" t="s">
        <v>392</v>
      </c>
      <c r="E130" t="s">
        <v>18</v>
      </c>
      <c r="F130" s="2" t="s">
        <v>393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398</v>
      </c>
      <c r="C131" s="1" t="s">
        <v>399</v>
      </c>
      <c r="D131" s="1" t="s">
        <v>400</v>
      </c>
      <c r="E131" t="s">
        <v>18</v>
      </c>
      <c r="F131" s="2" t="s">
        <v>393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171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401</v>
      </c>
      <c r="C132" s="1" t="s">
        <v>402</v>
      </c>
      <c r="D132" s="1" t="s">
        <v>403</v>
      </c>
      <c r="E132" t="s">
        <v>18</v>
      </c>
      <c r="F132" s="2" t="s">
        <v>404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171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405</v>
      </c>
      <c r="C133" s="1" t="s">
        <v>406</v>
      </c>
      <c r="D133" s="1" t="s">
        <v>407</v>
      </c>
      <c r="E133" t="s">
        <v>18</v>
      </c>
      <c r="F133" s="2" t="s">
        <v>404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357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408</v>
      </c>
      <c r="C134" s="1" t="s">
        <v>409</v>
      </c>
      <c r="D134" s="1" t="s">
        <v>407</v>
      </c>
      <c r="E134" t="s">
        <v>18</v>
      </c>
      <c r="F134" s="2" t="s">
        <v>404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171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410</v>
      </c>
      <c r="C135" s="1" t="s">
        <v>411</v>
      </c>
      <c r="D135" s="1" t="s">
        <v>412</v>
      </c>
      <c r="E135" t="s">
        <v>18</v>
      </c>
      <c r="F135" s="2" t="s">
        <v>324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171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413</v>
      </c>
      <c r="C136" s="1" t="s">
        <v>414</v>
      </c>
      <c r="D136" s="1" t="s">
        <v>415</v>
      </c>
      <c r="E136" t="s">
        <v>301</v>
      </c>
      <c r="F136" s="2" t="s">
        <v>404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416</v>
      </c>
      <c r="C137" s="1" t="s">
        <v>417</v>
      </c>
      <c r="D137" s="1" t="s">
        <v>418</v>
      </c>
      <c r="E137" t="s">
        <v>301</v>
      </c>
      <c r="F137" s="2" t="s">
        <v>356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419</v>
      </c>
      <c r="C138" s="1" t="s">
        <v>420</v>
      </c>
      <c r="D138" s="1" t="s">
        <v>421</v>
      </c>
      <c r="E138" t="s">
        <v>301</v>
      </c>
      <c r="F138" s="2" t="s">
        <v>369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422</v>
      </c>
      <c r="C139" s="1" t="s">
        <v>423</v>
      </c>
      <c r="D139" s="1" t="s">
        <v>424</v>
      </c>
      <c r="E139" t="s">
        <v>301</v>
      </c>
      <c r="F139" s="2" t="s">
        <v>381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426</v>
      </c>
      <c r="C140" s="1" t="s">
        <v>427</v>
      </c>
      <c r="D140" s="1" t="s">
        <v>428</v>
      </c>
      <c r="E140" t="s">
        <v>18</v>
      </c>
      <c r="F140" s="2" t="s">
        <v>429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430</v>
      </c>
      <c r="C141" s="1" t="s">
        <v>431</v>
      </c>
      <c r="D141" s="1" t="s">
        <v>432</v>
      </c>
      <c r="E141" t="s">
        <v>18</v>
      </c>
      <c r="F141" s="2" t="s">
        <v>429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433</v>
      </c>
      <c r="C142" s="1" t="s">
        <v>434</v>
      </c>
      <c r="D142" s="1" t="s">
        <v>432</v>
      </c>
      <c r="E142" t="s">
        <v>18</v>
      </c>
      <c r="F142" s="2" t="s">
        <v>429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435</v>
      </c>
      <c r="C143" s="1" t="s">
        <v>436</v>
      </c>
      <c r="D143" s="1" t="s">
        <v>437</v>
      </c>
      <c r="E143" t="s">
        <v>18</v>
      </c>
      <c r="F143" s="2" t="s">
        <v>429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171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401</v>
      </c>
      <c r="C144" s="1" t="s">
        <v>402</v>
      </c>
      <c r="D144" s="1" t="s">
        <v>403</v>
      </c>
      <c r="E144" t="s">
        <v>18</v>
      </c>
      <c r="F144" s="2" t="s">
        <v>404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171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405</v>
      </c>
      <c r="C145" s="1" t="s">
        <v>406</v>
      </c>
      <c r="D145" s="1" t="s">
        <v>407</v>
      </c>
      <c r="E145" t="s">
        <v>18</v>
      </c>
      <c r="F145" s="2" t="s">
        <v>404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357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408</v>
      </c>
      <c r="C146" s="1" t="s">
        <v>409</v>
      </c>
      <c r="D146" s="1" t="s">
        <v>407</v>
      </c>
      <c r="E146" t="s">
        <v>18</v>
      </c>
      <c r="F146" s="2" t="s">
        <v>404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171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410</v>
      </c>
      <c r="C147" s="1" t="s">
        <v>411</v>
      </c>
      <c r="D147" s="1" t="s">
        <v>412</v>
      </c>
      <c r="E147" t="s">
        <v>18</v>
      </c>
      <c r="F147" s="2" t="s">
        <v>324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171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438</v>
      </c>
      <c r="C148" s="1" t="s">
        <v>439</v>
      </c>
      <c r="D148" s="1" t="s">
        <v>440</v>
      </c>
      <c r="E148" t="s">
        <v>18</v>
      </c>
      <c r="F148" s="2" t="s">
        <v>441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171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442</v>
      </c>
      <c r="C149" s="1" t="s">
        <v>443</v>
      </c>
      <c r="D149" s="1" t="s">
        <v>440</v>
      </c>
      <c r="E149" t="s">
        <v>18</v>
      </c>
      <c r="F149" s="2" t="s">
        <v>441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171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444</v>
      </c>
      <c r="C150" s="1" t="s">
        <v>445</v>
      </c>
      <c r="D150" s="1" t="s">
        <v>446</v>
      </c>
      <c r="E150" t="s">
        <v>18</v>
      </c>
      <c r="F150" s="2" t="s">
        <v>441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171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357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447</v>
      </c>
      <c r="C151" s="1" t="s">
        <v>448</v>
      </c>
      <c r="D151" s="1" t="s">
        <v>446</v>
      </c>
      <c r="E151" t="s">
        <v>18</v>
      </c>
      <c r="F151" s="2" t="s">
        <v>441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171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449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450</v>
      </c>
      <c r="C152" s="1" t="s">
        <v>451</v>
      </c>
      <c r="D152" s="1" t="s">
        <v>452</v>
      </c>
      <c r="E152" t="s">
        <v>18</v>
      </c>
      <c r="F152" s="2" t="s">
        <v>453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171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454</v>
      </c>
      <c r="C153" s="1" t="s">
        <v>455</v>
      </c>
      <c r="D153" s="1" t="s">
        <v>452</v>
      </c>
      <c r="E153" t="s">
        <v>18</v>
      </c>
      <c r="F153" s="2" t="s">
        <v>453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171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456</v>
      </c>
      <c r="C154" s="1" t="s">
        <v>457</v>
      </c>
      <c r="D154" s="1" t="s">
        <v>458</v>
      </c>
      <c r="E154" t="s">
        <v>18</v>
      </c>
      <c r="F154" s="2" t="s">
        <v>453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171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459</v>
      </c>
      <c r="C155" s="1" t="s">
        <v>460</v>
      </c>
      <c r="D155" s="1" t="s">
        <v>458</v>
      </c>
      <c r="E155" t="s">
        <v>18</v>
      </c>
      <c r="F155" s="2" t="s">
        <v>453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171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2026-09-21T17:40:43Z</dcterms:modified>
  <cp:category/>
</cp:coreProperties>
</file>