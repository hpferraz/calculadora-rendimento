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21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050" i="1" l="1"/>
  <c r="B1050" i="1" s="1"/>
  <c r="A1051" i="1"/>
  <c r="B1051" i="1" s="1"/>
  <c r="A1052" i="1"/>
  <c r="A1053" i="1"/>
  <c r="A1054" i="1"/>
  <c r="A1055" i="1"/>
  <c r="A1056" i="1"/>
  <c r="A1057" i="1"/>
  <c r="A1058" i="1"/>
  <c r="B1058" i="1" s="1"/>
  <c r="A1059" i="1"/>
  <c r="B1059" i="1" s="1"/>
  <c r="A1060" i="1"/>
  <c r="A1061" i="1"/>
  <c r="B1061" i="1" s="1"/>
  <c r="A1062" i="1"/>
  <c r="B1062" i="1" s="1"/>
  <c r="A1063" i="1"/>
  <c r="B1063" i="1" s="1"/>
  <c r="A1064" i="1"/>
  <c r="A1065" i="1"/>
  <c r="A1066" i="1"/>
  <c r="A1067" i="1"/>
  <c r="A1068" i="1"/>
  <c r="A1069" i="1"/>
  <c r="A1070" i="1"/>
  <c r="B1070" i="1" s="1"/>
  <c r="A1071" i="1"/>
  <c r="B1071" i="1" s="1"/>
  <c r="A1072" i="1"/>
  <c r="A1073" i="1"/>
  <c r="B1073" i="1" s="1"/>
  <c r="A1074" i="1"/>
  <c r="B1074" i="1" s="1"/>
  <c r="A1075" i="1"/>
  <c r="B1075" i="1" s="1"/>
  <c r="A1076" i="1"/>
  <c r="A1077" i="1"/>
  <c r="A1078" i="1"/>
  <c r="A1079" i="1"/>
  <c r="A1080" i="1"/>
  <c r="A1081" i="1"/>
  <c r="A1082" i="1"/>
  <c r="B1082" i="1" s="1"/>
  <c r="A1083" i="1"/>
  <c r="B1083" i="1" s="1"/>
  <c r="A1084" i="1"/>
  <c r="A1085" i="1"/>
  <c r="B1085" i="1" s="1"/>
  <c r="A1086" i="1"/>
  <c r="B1086" i="1" s="1"/>
  <c r="A1087" i="1"/>
  <c r="B1087" i="1" s="1"/>
  <c r="A1088" i="1"/>
  <c r="A1089" i="1"/>
  <c r="A1090" i="1"/>
  <c r="A1091" i="1"/>
  <c r="A1092" i="1"/>
  <c r="A1093" i="1"/>
  <c r="A1094" i="1"/>
  <c r="B1094" i="1" s="1"/>
  <c r="A1095" i="1"/>
  <c r="B1095" i="1" s="1"/>
  <c r="A1096" i="1"/>
  <c r="A1097" i="1"/>
  <c r="B1097" i="1" s="1"/>
  <c r="A1098" i="1"/>
  <c r="B1098" i="1" s="1"/>
  <c r="A1099" i="1"/>
  <c r="B1099" i="1" s="1"/>
  <c r="A1100" i="1"/>
  <c r="A1101" i="1"/>
  <c r="A1102" i="1"/>
  <c r="A1103" i="1"/>
  <c r="B1052" i="1"/>
  <c r="B1053" i="1"/>
  <c r="B1054" i="1"/>
  <c r="B1055" i="1"/>
  <c r="B1056" i="1"/>
  <c r="B1057" i="1"/>
  <c r="B1060" i="1"/>
  <c r="B1064" i="1"/>
  <c r="B1065" i="1"/>
  <c r="B1066" i="1"/>
  <c r="B1067" i="1"/>
  <c r="B1068" i="1"/>
  <c r="B1069" i="1"/>
  <c r="B1072" i="1"/>
  <c r="B1076" i="1"/>
  <c r="B1077" i="1"/>
  <c r="B1078" i="1"/>
  <c r="B1079" i="1"/>
  <c r="B1080" i="1"/>
  <c r="B1081" i="1"/>
  <c r="B1084" i="1"/>
  <c r="B1088" i="1"/>
  <c r="B1089" i="1"/>
  <c r="B1090" i="1"/>
  <c r="B1091" i="1"/>
  <c r="B1092" i="1"/>
  <c r="B1093" i="1"/>
  <c r="B1096" i="1"/>
  <c r="B1100" i="1"/>
  <c r="B1101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Y1065" i="1"/>
  <c r="Z1065" i="1" s="1"/>
  <c r="Y1066" i="1"/>
  <c r="Z1066" i="1" s="1"/>
  <c r="Y1067" i="1"/>
  <c r="AA1067" i="1" s="1"/>
  <c r="Y1068" i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Y1077" i="1"/>
  <c r="Z1077" i="1" s="1"/>
  <c r="Y1078" i="1"/>
  <c r="Z1078" i="1" s="1"/>
  <c r="Y1079" i="1"/>
  <c r="Z1079" i="1" s="1"/>
  <c r="Y1080" i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Y1089" i="1"/>
  <c r="AA1089" i="1" s="1"/>
  <c r="Y1090" i="1"/>
  <c r="AA1090" i="1" s="1"/>
  <c r="Y1091" i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Z1064" i="1"/>
  <c r="Z1067" i="1"/>
  <c r="Z1068" i="1"/>
  <c r="Z1076" i="1"/>
  <c r="Z1080" i="1"/>
  <c r="Z1088" i="1"/>
  <c r="Z1091" i="1"/>
  <c r="AA1053" i="1"/>
  <c r="AA1060" i="1"/>
  <c r="AA1064" i="1"/>
  <c r="AA1065" i="1"/>
  <c r="AA1068" i="1"/>
  <c r="AA1071" i="1"/>
  <c r="AA1072" i="1"/>
  <c r="AA1074" i="1"/>
  <c r="AA1075" i="1"/>
  <c r="AA1076" i="1"/>
  <c r="AA1080" i="1"/>
  <c r="AA1084" i="1"/>
  <c r="AA1085" i="1"/>
  <c r="AA1088" i="1"/>
  <c r="AA1091" i="1"/>
  <c r="AA1096" i="1"/>
  <c r="AA1097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A1103" i="1" l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A914" i="1"/>
  <c r="A915" i="1"/>
  <c r="A916" i="1"/>
  <c r="A917" i="1"/>
  <c r="A918" i="1"/>
  <c r="A919" i="1"/>
  <c r="A920" i="1"/>
  <c r="B920" i="1" s="1"/>
  <c r="A921" i="1"/>
  <c r="B921" i="1" s="1"/>
  <c r="A922" i="1"/>
  <c r="B922" i="1" s="1"/>
  <c r="A923" i="1"/>
  <c r="B923" i="1" s="1"/>
  <c r="A924" i="1"/>
  <c r="B924" i="1" s="1"/>
  <c r="A925" i="1"/>
  <c r="B925" i="1" s="1"/>
  <c r="A926" i="1"/>
  <c r="A927" i="1"/>
  <c r="A928" i="1"/>
  <c r="A929" i="1"/>
  <c r="A930" i="1"/>
  <c r="A931" i="1"/>
  <c r="A932" i="1"/>
  <c r="A933" i="1"/>
  <c r="A934" i="1"/>
  <c r="B934" i="1" s="1"/>
  <c r="A935" i="1"/>
  <c r="B935" i="1" s="1"/>
  <c r="A936" i="1"/>
  <c r="B936" i="1" s="1"/>
  <c r="A937" i="1"/>
  <c r="B937" i="1" s="1"/>
  <c r="A938" i="1"/>
  <c r="A939" i="1"/>
  <c r="A940" i="1"/>
  <c r="A941" i="1"/>
  <c r="A942" i="1"/>
  <c r="A943" i="1"/>
  <c r="A944" i="1"/>
  <c r="B944" i="1" s="1"/>
  <c r="A945" i="1"/>
  <c r="B945" i="1" s="1"/>
  <c r="A946" i="1"/>
  <c r="B946" i="1" s="1"/>
  <c r="A947" i="1"/>
  <c r="B947" i="1" s="1"/>
  <c r="A948" i="1"/>
  <c r="B948" i="1" s="1"/>
  <c r="A949" i="1"/>
  <c r="B949" i="1" s="1"/>
  <c r="A950" i="1"/>
  <c r="A951" i="1"/>
  <c r="A952" i="1"/>
  <c r="A953" i="1"/>
  <c r="A954" i="1"/>
  <c r="A955" i="1"/>
  <c r="A956" i="1"/>
  <c r="B956" i="1" s="1"/>
  <c r="A957" i="1"/>
  <c r="B957" i="1" s="1"/>
  <c r="A958" i="1"/>
  <c r="B958" i="1" s="1"/>
  <c r="A959" i="1"/>
  <c r="B959" i="1" s="1"/>
  <c r="A960" i="1"/>
  <c r="B960" i="1" s="1"/>
  <c r="A961" i="1"/>
  <c r="B961" i="1" s="1"/>
  <c r="A962" i="1"/>
  <c r="A963" i="1"/>
  <c r="A964" i="1"/>
  <c r="A965" i="1"/>
  <c r="A966" i="1"/>
  <c r="A967" i="1"/>
  <c r="A968" i="1"/>
  <c r="A969" i="1"/>
  <c r="A970" i="1"/>
  <c r="B970" i="1" s="1"/>
  <c r="A971" i="1"/>
  <c r="B971" i="1" s="1"/>
  <c r="A972" i="1"/>
  <c r="B972" i="1" s="1"/>
  <c r="A973" i="1"/>
  <c r="B973" i="1" s="1"/>
  <c r="A974" i="1"/>
  <c r="A975" i="1"/>
  <c r="A976" i="1"/>
  <c r="A977" i="1"/>
  <c r="A978" i="1"/>
  <c r="A979" i="1"/>
  <c r="A980" i="1"/>
  <c r="B980" i="1" s="1"/>
  <c r="A981" i="1"/>
  <c r="B981" i="1" s="1"/>
  <c r="A982" i="1"/>
  <c r="B982" i="1" s="1"/>
  <c r="A983" i="1"/>
  <c r="B983" i="1" s="1"/>
  <c r="A984" i="1"/>
  <c r="B984" i="1" s="1"/>
  <c r="A985" i="1"/>
  <c r="B985" i="1" s="1"/>
  <c r="A986" i="1"/>
  <c r="A987" i="1"/>
  <c r="A988" i="1"/>
  <c r="A989" i="1"/>
  <c r="A990" i="1"/>
  <c r="A991" i="1"/>
  <c r="A992" i="1"/>
  <c r="B992" i="1" s="1"/>
  <c r="A993" i="1"/>
  <c r="B993" i="1" s="1"/>
  <c r="A994" i="1"/>
  <c r="B994" i="1" s="1"/>
  <c r="A995" i="1"/>
  <c r="B995" i="1" s="1"/>
  <c r="A996" i="1"/>
  <c r="B996" i="1" s="1"/>
  <c r="A997" i="1"/>
  <c r="B997" i="1" s="1"/>
  <c r="A998" i="1"/>
  <c r="A999" i="1"/>
  <c r="A1000" i="1"/>
  <c r="A1001" i="1"/>
  <c r="A1002" i="1"/>
  <c r="A1003" i="1"/>
  <c r="A1004" i="1"/>
  <c r="A1005" i="1"/>
  <c r="A1006" i="1"/>
  <c r="B1006" i="1" s="1"/>
  <c r="A1007" i="1"/>
  <c r="B1007" i="1" s="1"/>
  <c r="A1008" i="1"/>
  <c r="B1008" i="1" s="1"/>
  <c r="A1009" i="1"/>
  <c r="B1009" i="1" s="1"/>
  <c r="A1010" i="1"/>
  <c r="A1011" i="1"/>
  <c r="A1012" i="1"/>
  <c r="A1013" i="1"/>
  <c r="A1014" i="1"/>
  <c r="A1015" i="1"/>
  <c r="A1016" i="1"/>
  <c r="B1016" i="1" s="1"/>
  <c r="A1017" i="1"/>
  <c r="B1017" i="1" s="1"/>
  <c r="A1018" i="1"/>
  <c r="B1018" i="1" s="1"/>
  <c r="A1019" i="1"/>
  <c r="B1019" i="1" s="1"/>
  <c r="A1020" i="1"/>
  <c r="B1020" i="1" s="1"/>
  <c r="A1021" i="1"/>
  <c r="B1021" i="1" s="1"/>
  <c r="A1022" i="1"/>
  <c r="A1023" i="1"/>
  <c r="A1024" i="1"/>
  <c r="A1025" i="1"/>
  <c r="A1026" i="1"/>
  <c r="A1027" i="1"/>
  <c r="A1028" i="1"/>
  <c r="B1028" i="1" s="1"/>
  <c r="A1029" i="1"/>
  <c r="B1029" i="1" s="1"/>
  <c r="A1030" i="1"/>
  <c r="B1030" i="1" s="1"/>
  <c r="A1031" i="1"/>
  <c r="B1031" i="1" s="1"/>
  <c r="A1032" i="1"/>
  <c r="B1032" i="1" s="1"/>
  <c r="A1033" i="1"/>
  <c r="B1033" i="1" s="1"/>
  <c r="A1034" i="1"/>
  <c r="A1035" i="1"/>
  <c r="A1036" i="1"/>
  <c r="A1037" i="1"/>
  <c r="A1038" i="1"/>
  <c r="A1039" i="1"/>
  <c r="A1040" i="1"/>
  <c r="A1041" i="1"/>
  <c r="A1042" i="1"/>
  <c r="B1042" i="1" s="1"/>
  <c r="A1043" i="1"/>
  <c r="B1043" i="1" s="1"/>
  <c r="A1044" i="1"/>
  <c r="B1044" i="1" s="1"/>
  <c r="A1045" i="1"/>
  <c r="B1045" i="1" s="1"/>
  <c r="A1046" i="1"/>
  <c r="A1047" i="1"/>
  <c r="A1048" i="1"/>
  <c r="A1049" i="1"/>
  <c r="B914" i="1"/>
  <c r="B915" i="1"/>
  <c r="B916" i="1"/>
  <c r="B917" i="1"/>
  <c r="B918" i="1"/>
  <c r="B919" i="1"/>
  <c r="B926" i="1"/>
  <c r="B927" i="1"/>
  <c r="B928" i="1"/>
  <c r="B929" i="1"/>
  <c r="B930" i="1"/>
  <c r="B931" i="1"/>
  <c r="B932" i="1"/>
  <c r="B933" i="1"/>
  <c r="B938" i="1"/>
  <c r="B939" i="1"/>
  <c r="B940" i="1"/>
  <c r="B941" i="1"/>
  <c r="B942" i="1"/>
  <c r="B943" i="1"/>
  <c r="B950" i="1"/>
  <c r="B951" i="1"/>
  <c r="B952" i="1"/>
  <c r="B953" i="1"/>
  <c r="B954" i="1"/>
  <c r="B955" i="1"/>
  <c r="B962" i="1"/>
  <c r="B963" i="1"/>
  <c r="B964" i="1"/>
  <c r="B965" i="1"/>
  <c r="B966" i="1"/>
  <c r="B967" i="1"/>
  <c r="B968" i="1"/>
  <c r="B969" i="1"/>
  <c r="B974" i="1"/>
  <c r="B975" i="1"/>
  <c r="B976" i="1"/>
  <c r="B977" i="1"/>
  <c r="B978" i="1"/>
  <c r="B979" i="1"/>
  <c r="B986" i="1"/>
  <c r="B987" i="1"/>
  <c r="B988" i="1"/>
  <c r="B989" i="1"/>
  <c r="B990" i="1"/>
  <c r="B991" i="1"/>
  <c r="B998" i="1"/>
  <c r="B999" i="1"/>
  <c r="B1000" i="1"/>
  <c r="B1001" i="1"/>
  <c r="B1002" i="1"/>
  <c r="B1003" i="1"/>
  <c r="B1004" i="1"/>
  <c r="B1005" i="1"/>
  <c r="B1010" i="1"/>
  <c r="B1011" i="1"/>
  <c r="B1012" i="1"/>
  <c r="B1013" i="1"/>
  <c r="B1014" i="1"/>
  <c r="B1015" i="1"/>
  <c r="B1022" i="1"/>
  <c r="B1023" i="1"/>
  <c r="B1024" i="1"/>
  <c r="B1025" i="1"/>
  <c r="B1026" i="1"/>
  <c r="B1027" i="1"/>
  <c r="B1034" i="1"/>
  <c r="B1035" i="1"/>
  <c r="B1036" i="1"/>
  <c r="B1037" i="1"/>
  <c r="B1038" i="1"/>
  <c r="B1039" i="1"/>
  <c r="B1040" i="1"/>
  <c r="B1041" i="1"/>
  <c r="B1046" i="1"/>
  <c r="B1047" i="1"/>
  <c r="B1048" i="1"/>
  <c r="B1049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Y991" i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Z936" i="1"/>
  <c r="Z942" i="1"/>
  <c r="Z943" i="1"/>
  <c r="Z948" i="1"/>
  <c r="Z973" i="1"/>
  <c r="Z978" i="1"/>
  <c r="Z980" i="1"/>
  <c r="Z982" i="1"/>
  <c r="Z990" i="1"/>
  <c r="Z991" i="1"/>
  <c r="Z1026" i="1"/>
  <c r="Z1038" i="1"/>
  <c r="Z1040" i="1"/>
  <c r="Z1041" i="1"/>
  <c r="Z1044" i="1"/>
  <c r="AA919" i="1"/>
  <c r="AA930" i="1"/>
  <c r="AA939" i="1"/>
  <c r="AA942" i="1"/>
  <c r="AA951" i="1"/>
  <c r="AA963" i="1"/>
  <c r="AA966" i="1"/>
  <c r="AA967" i="1"/>
  <c r="AA968" i="1"/>
  <c r="AA975" i="1"/>
  <c r="AA978" i="1"/>
  <c r="AA990" i="1"/>
  <c r="AA991" i="1"/>
  <c r="AA999" i="1"/>
  <c r="AA1011" i="1"/>
  <c r="AA1014" i="1"/>
  <c r="AA1015" i="1"/>
  <c r="AA1016" i="1"/>
  <c r="AA1017" i="1"/>
  <c r="AA1023" i="1"/>
  <c r="AA1026" i="1"/>
  <c r="AA1027" i="1"/>
  <c r="AA1035" i="1"/>
  <c r="AA1038" i="1"/>
  <c r="AA104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A956" i="1" l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A818" i="1"/>
  <c r="A819" i="1"/>
  <c r="A820" i="1"/>
  <c r="A821" i="1"/>
  <c r="A822" i="1"/>
  <c r="B822" i="1" s="1"/>
  <c r="A823" i="1"/>
  <c r="A824" i="1"/>
  <c r="A825" i="1"/>
  <c r="A826" i="1"/>
  <c r="A827" i="1"/>
  <c r="A828" i="1"/>
  <c r="B828" i="1" s="1"/>
  <c r="A829" i="1"/>
  <c r="B829" i="1" s="1"/>
  <c r="A830" i="1"/>
  <c r="A831" i="1"/>
  <c r="A832" i="1"/>
  <c r="A833" i="1"/>
  <c r="A834" i="1"/>
  <c r="B834" i="1" s="1"/>
  <c r="A835" i="1"/>
  <c r="B835" i="1" s="1"/>
  <c r="A836" i="1"/>
  <c r="B836" i="1" s="1"/>
  <c r="A837" i="1"/>
  <c r="B837" i="1" s="1"/>
  <c r="A838" i="1"/>
  <c r="A839" i="1"/>
  <c r="B839" i="1" s="1"/>
  <c r="A840" i="1"/>
  <c r="B840" i="1" s="1"/>
  <c r="A841" i="1"/>
  <c r="B841" i="1" s="1"/>
  <c r="A842" i="1"/>
  <c r="A843" i="1"/>
  <c r="A844" i="1"/>
  <c r="A845" i="1"/>
  <c r="A846" i="1"/>
  <c r="B846" i="1" s="1"/>
  <c r="A847" i="1"/>
  <c r="B847" i="1" s="1"/>
  <c r="A848" i="1"/>
  <c r="B848" i="1" s="1"/>
  <c r="A849" i="1"/>
  <c r="B849" i="1" s="1"/>
  <c r="A850" i="1"/>
  <c r="A851" i="1"/>
  <c r="A852" i="1"/>
  <c r="B852" i="1" s="1"/>
  <c r="A853" i="1"/>
  <c r="B853" i="1" s="1"/>
  <c r="A854" i="1"/>
  <c r="A855" i="1"/>
  <c r="A856" i="1"/>
  <c r="A857" i="1"/>
  <c r="A858" i="1"/>
  <c r="B858" i="1" s="1"/>
  <c r="A859" i="1"/>
  <c r="B859" i="1" s="1"/>
  <c r="A860" i="1"/>
  <c r="B860" i="1" s="1"/>
  <c r="A861" i="1"/>
  <c r="B861" i="1" s="1"/>
  <c r="A862" i="1"/>
  <c r="A863" i="1"/>
  <c r="A864" i="1"/>
  <c r="B864" i="1" s="1"/>
  <c r="A865" i="1"/>
  <c r="B865" i="1" s="1"/>
  <c r="A866" i="1"/>
  <c r="A867" i="1"/>
  <c r="A868" i="1"/>
  <c r="A869" i="1"/>
  <c r="A870" i="1"/>
  <c r="A871" i="1"/>
  <c r="A872" i="1"/>
  <c r="B872" i="1" s="1"/>
  <c r="A873" i="1"/>
  <c r="B873" i="1" s="1"/>
  <c r="A874" i="1"/>
  <c r="A875" i="1"/>
  <c r="A876" i="1"/>
  <c r="B876" i="1" s="1"/>
  <c r="A877" i="1"/>
  <c r="B877" i="1" s="1"/>
  <c r="A878" i="1"/>
  <c r="A879" i="1"/>
  <c r="A880" i="1"/>
  <c r="A881" i="1"/>
  <c r="A882" i="1"/>
  <c r="A883" i="1"/>
  <c r="A884" i="1"/>
  <c r="A885" i="1"/>
  <c r="A886" i="1"/>
  <c r="A887" i="1"/>
  <c r="A888" i="1"/>
  <c r="B888" i="1" s="1"/>
  <c r="A889" i="1"/>
  <c r="B889" i="1" s="1"/>
  <c r="A890" i="1"/>
  <c r="A891" i="1"/>
  <c r="A892" i="1"/>
  <c r="A893" i="1"/>
  <c r="A894" i="1"/>
  <c r="B894" i="1" s="1"/>
  <c r="A895" i="1"/>
  <c r="B895" i="1" s="1"/>
  <c r="A896" i="1"/>
  <c r="B896" i="1" s="1"/>
  <c r="A897" i="1"/>
  <c r="B897" i="1" s="1"/>
  <c r="A898" i="1"/>
  <c r="A899" i="1"/>
  <c r="A900" i="1"/>
  <c r="B900" i="1" s="1"/>
  <c r="A901" i="1"/>
  <c r="B901" i="1" s="1"/>
  <c r="A902" i="1"/>
  <c r="A903" i="1"/>
  <c r="A904" i="1"/>
  <c r="A905" i="1"/>
  <c r="A906" i="1"/>
  <c r="B906" i="1" s="1"/>
  <c r="A907" i="1"/>
  <c r="B907" i="1" s="1"/>
  <c r="A908" i="1"/>
  <c r="B908" i="1" s="1"/>
  <c r="A909" i="1"/>
  <c r="B909" i="1" s="1"/>
  <c r="A910" i="1"/>
  <c r="B910" i="1" s="1"/>
  <c r="A911" i="1"/>
  <c r="A912" i="1"/>
  <c r="B912" i="1" s="1"/>
  <c r="A913" i="1"/>
  <c r="B913" i="1" s="1"/>
  <c r="B818" i="1"/>
  <c r="B819" i="1"/>
  <c r="B820" i="1"/>
  <c r="B821" i="1"/>
  <c r="B823" i="1"/>
  <c r="B824" i="1"/>
  <c r="B825" i="1"/>
  <c r="B826" i="1"/>
  <c r="B827" i="1"/>
  <c r="B830" i="1"/>
  <c r="B831" i="1"/>
  <c r="B832" i="1"/>
  <c r="B833" i="1"/>
  <c r="B838" i="1"/>
  <c r="B842" i="1"/>
  <c r="B843" i="1"/>
  <c r="B844" i="1"/>
  <c r="B845" i="1"/>
  <c r="B850" i="1"/>
  <c r="B851" i="1"/>
  <c r="B854" i="1"/>
  <c r="B855" i="1"/>
  <c r="B856" i="1"/>
  <c r="B857" i="1"/>
  <c r="B862" i="1"/>
  <c r="B863" i="1"/>
  <c r="B866" i="1"/>
  <c r="B867" i="1"/>
  <c r="B868" i="1"/>
  <c r="B869" i="1"/>
  <c r="B870" i="1"/>
  <c r="B871" i="1"/>
  <c r="B874" i="1"/>
  <c r="B875" i="1"/>
  <c r="B878" i="1"/>
  <c r="B879" i="1"/>
  <c r="B880" i="1"/>
  <c r="B881" i="1"/>
  <c r="B882" i="1"/>
  <c r="B883" i="1"/>
  <c r="B884" i="1"/>
  <c r="B885" i="1"/>
  <c r="B886" i="1"/>
  <c r="B887" i="1"/>
  <c r="B890" i="1"/>
  <c r="B891" i="1"/>
  <c r="B892" i="1"/>
  <c r="B893" i="1"/>
  <c r="B898" i="1"/>
  <c r="B899" i="1"/>
  <c r="B902" i="1"/>
  <c r="B903" i="1"/>
  <c r="B904" i="1"/>
  <c r="B905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Y824" i="1"/>
  <c r="AA824" i="1" s="1"/>
  <c r="Y825" i="1"/>
  <c r="Y826" i="1"/>
  <c r="AA826" i="1" s="1"/>
  <c r="Y827" i="1"/>
  <c r="AA827" i="1" s="1"/>
  <c r="Y828" i="1"/>
  <c r="AA828" i="1" s="1"/>
  <c r="Y829" i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Y836" i="1"/>
  <c r="AA836" i="1" s="1"/>
  <c r="Y837" i="1"/>
  <c r="Y838" i="1"/>
  <c r="AA838" i="1" s="1"/>
  <c r="Y839" i="1"/>
  <c r="AA839" i="1" s="1"/>
  <c r="Y840" i="1"/>
  <c r="AA840" i="1" s="1"/>
  <c r="Y841" i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Y848" i="1"/>
  <c r="AA848" i="1" s="1"/>
  <c r="Y849" i="1"/>
  <c r="Y850" i="1"/>
  <c r="AA850" i="1" s="1"/>
  <c r="Y851" i="1"/>
  <c r="AA851" i="1" s="1"/>
  <c r="Y852" i="1"/>
  <c r="AA852" i="1" s="1"/>
  <c r="Y853" i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Y860" i="1"/>
  <c r="AA860" i="1" s="1"/>
  <c r="Y861" i="1"/>
  <c r="Y862" i="1"/>
  <c r="AA862" i="1" s="1"/>
  <c r="Y863" i="1"/>
  <c r="AA863" i="1" s="1"/>
  <c r="Y864" i="1"/>
  <c r="AA864" i="1" s="1"/>
  <c r="Y865" i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Y872" i="1"/>
  <c r="AA872" i="1" s="1"/>
  <c r="Y873" i="1"/>
  <c r="Y874" i="1"/>
  <c r="AA874" i="1" s="1"/>
  <c r="Y875" i="1"/>
  <c r="AA875" i="1" s="1"/>
  <c r="Y876" i="1"/>
  <c r="AA876" i="1" s="1"/>
  <c r="Y877" i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Y884" i="1"/>
  <c r="AA884" i="1" s="1"/>
  <c r="Y885" i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3" i="1"/>
  <c r="Z885" i="1"/>
  <c r="Z886" i="1"/>
  <c r="Z887" i="1"/>
  <c r="Z888" i="1"/>
  <c r="Z895" i="1"/>
  <c r="Z897" i="1"/>
  <c r="Z903" i="1"/>
  <c r="Z907" i="1"/>
  <c r="AA823" i="1"/>
  <c r="AA825" i="1"/>
  <c r="AA829" i="1"/>
  <c r="AA835" i="1"/>
  <c r="AA837" i="1"/>
  <c r="AA841" i="1"/>
  <c r="AA847" i="1"/>
  <c r="AA849" i="1"/>
  <c r="AA853" i="1"/>
  <c r="AA859" i="1"/>
  <c r="AA861" i="1"/>
  <c r="AA865" i="1"/>
  <c r="AA871" i="1"/>
  <c r="AA873" i="1"/>
  <c r="AA877" i="1"/>
  <c r="AA883" i="1"/>
  <c r="AA885" i="1"/>
  <c r="AA890" i="1"/>
  <c r="AA891" i="1"/>
  <c r="AA892" i="1"/>
  <c r="AA895" i="1"/>
  <c r="AA901" i="1"/>
  <c r="AA907" i="1"/>
  <c r="AA909" i="1"/>
  <c r="AA913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A902" i="1" l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A792" i="1"/>
  <c r="A793" i="1"/>
  <c r="B793" i="1" s="1"/>
  <c r="A794" i="1"/>
  <c r="B794" i="1" s="1"/>
  <c r="A795" i="1"/>
  <c r="B795" i="1" s="1"/>
  <c r="A796" i="1"/>
  <c r="B796" i="1" s="1"/>
  <c r="A797" i="1"/>
  <c r="B797" i="1" s="1"/>
  <c r="A798" i="1"/>
  <c r="B798" i="1" s="1"/>
  <c r="A799" i="1"/>
  <c r="B799" i="1" s="1"/>
  <c r="A800" i="1"/>
  <c r="B800" i="1" s="1"/>
  <c r="A801" i="1"/>
  <c r="B801" i="1" s="1"/>
  <c r="A802" i="1"/>
  <c r="B802" i="1" s="1"/>
  <c r="A803" i="1"/>
  <c r="B803" i="1" s="1"/>
  <c r="A804" i="1"/>
  <c r="B804" i="1" s="1"/>
  <c r="A805" i="1"/>
  <c r="B805" i="1" s="1"/>
  <c r="A806" i="1"/>
  <c r="B806" i="1" s="1"/>
  <c r="A807" i="1"/>
  <c r="B807" i="1" s="1"/>
  <c r="A808" i="1"/>
  <c r="B808" i="1" s="1"/>
  <c r="A809" i="1"/>
  <c r="B809" i="1" s="1"/>
  <c r="A810" i="1"/>
  <c r="B810" i="1" s="1"/>
  <c r="A811" i="1"/>
  <c r="B811" i="1" s="1"/>
  <c r="A812" i="1"/>
  <c r="B812" i="1" s="1"/>
  <c r="A813" i="1"/>
  <c r="B813" i="1" s="1"/>
  <c r="A814" i="1"/>
  <c r="B814" i="1" s="1"/>
  <c r="A815" i="1"/>
  <c r="B815" i="1" s="1"/>
  <c r="A816" i="1"/>
  <c r="B816" i="1" s="1"/>
  <c r="A817" i="1"/>
  <c r="B817" i="1" s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A749" i="1"/>
  <c r="B749" i="1" s="1"/>
  <c r="A750" i="1"/>
  <c r="B750" i="1" s="1"/>
  <c r="A751" i="1"/>
  <c r="B751" i="1" s="1"/>
  <c r="A752" i="1"/>
  <c r="B752" i="1" s="1"/>
  <c r="A753" i="1"/>
  <c r="B753" i="1" s="1"/>
  <c r="A754" i="1"/>
  <c r="B754" i="1" s="1"/>
  <c r="A755" i="1"/>
  <c r="B755" i="1" s="1"/>
  <c r="A756" i="1"/>
  <c r="B756" i="1" s="1"/>
  <c r="A757" i="1"/>
  <c r="B757" i="1" s="1"/>
  <c r="A758" i="1"/>
  <c r="B758" i="1" s="1"/>
  <c r="A759" i="1"/>
  <c r="B759" i="1" s="1"/>
  <c r="A760" i="1"/>
  <c r="B760" i="1" s="1"/>
  <c r="A761" i="1"/>
  <c r="B761" i="1" s="1"/>
  <c r="A762" i="1"/>
  <c r="B762" i="1" s="1"/>
  <c r="A763" i="1"/>
  <c r="B763" i="1" s="1"/>
  <c r="A764" i="1"/>
  <c r="B764" i="1" s="1"/>
  <c r="A765" i="1"/>
  <c r="B765" i="1" s="1"/>
  <c r="A766" i="1"/>
  <c r="B766" i="1" s="1"/>
  <c r="A767" i="1"/>
  <c r="B767" i="1" s="1"/>
  <c r="A768" i="1"/>
  <c r="B768" i="1" s="1"/>
  <c r="A769" i="1"/>
  <c r="B769" i="1" s="1"/>
  <c r="A770" i="1"/>
  <c r="B770" i="1" s="1"/>
  <c r="A771" i="1"/>
  <c r="B771" i="1" s="1"/>
  <c r="A772" i="1"/>
  <c r="B772" i="1" s="1"/>
  <c r="A773" i="1"/>
  <c r="B773" i="1" s="1"/>
  <c r="A774" i="1"/>
  <c r="B774" i="1" s="1"/>
  <c r="A775" i="1"/>
  <c r="B775" i="1" s="1"/>
  <c r="A776" i="1"/>
  <c r="B776" i="1" s="1"/>
  <c r="A777" i="1"/>
  <c r="B777" i="1" s="1"/>
  <c r="A778" i="1"/>
  <c r="B778" i="1" s="1"/>
  <c r="A779" i="1"/>
  <c r="B779" i="1" s="1"/>
  <c r="A780" i="1"/>
  <c r="B780" i="1" s="1"/>
  <c r="A781" i="1"/>
  <c r="B781" i="1" s="1"/>
  <c r="A782" i="1"/>
  <c r="B782" i="1" s="1"/>
  <c r="A783" i="1"/>
  <c r="B783" i="1" s="1"/>
  <c r="A784" i="1"/>
  <c r="B784" i="1" s="1"/>
  <c r="A785" i="1"/>
  <c r="B785" i="1" s="1"/>
  <c r="A786" i="1"/>
  <c r="B786" i="1" s="1"/>
  <c r="A787" i="1"/>
  <c r="B787" i="1" s="1"/>
  <c r="A788" i="1"/>
  <c r="B788" i="1" s="1"/>
  <c r="A789" i="1"/>
  <c r="B789" i="1" s="1"/>
  <c r="A790" i="1"/>
  <c r="B790" i="1" s="1"/>
  <c r="A791" i="1"/>
  <c r="B791" i="1" s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741" i="1"/>
  <c r="B741" i="1" s="1"/>
  <c r="Y741" i="1"/>
  <c r="AA741" i="1" s="1"/>
  <c r="AB741" i="1"/>
  <c r="AC741" i="1"/>
  <c r="A742" i="1"/>
  <c r="B742" i="1" s="1"/>
  <c r="Y742" i="1"/>
  <c r="Z742" i="1" s="1"/>
  <c r="AB742" i="1"/>
  <c r="AC742" i="1"/>
  <c r="A743" i="1"/>
  <c r="B743" i="1" s="1"/>
  <c r="Y743" i="1"/>
  <c r="AA743" i="1" s="1"/>
  <c r="AB743" i="1"/>
  <c r="AC743" i="1"/>
  <c r="A744" i="1"/>
  <c r="B744" i="1" s="1"/>
  <c r="Y744" i="1"/>
  <c r="Z744" i="1" s="1"/>
  <c r="AB744" i="1"/>
  <c r="AC744" i="1"/>
  <c r="A745" i="1"/>
  <c r="B745" i="1" s="1"/>
  <c r="Y745" i="1"/>
  <c r="Z745" i="1" s="1"/>
  <c r="AB745" i="1"/>
  <c r="AC745" i="1"/>
  <c r="A746" i="1"/>
  <c r="B746" i="1" s="1"/>
  <c r="Y746" i="1"/>
  <c r="AB746" i="1"/>
  <c r="AC746" i="1"/>
  <c r="A747" i="1"/>
  <c r="B747" i="1" s="1"/>
  <c r="Y747" i="1"/>
  <c r="Z747" i="1" s="1"/>
  <c r="AB747" i="1"/>
  <c r="AC747" i="1"/>
  <c r="A740" i="1"/>
  <c r="B740" i="1" s="1"/>
  <c r="A748" i="1"/>
  <c r="B748" i="1" s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A688" i="1"/>
  <c r="B688" i="1" s="1"/>
  <c r="A689" i="1"/>
  <c r="B689" i="1" s="1"/>
  <c r="A690" i="1"/>
  <c r="B690" i="1" s="1"/>
  <c r="A691" i="1"/>
  <c r="B691" i="1" s="1"/>
  <c r="A692" i="1"/>
  <c r="B692" i="1" s="1"/>
  <c r="A693" i="1"/>
  <c r="B693" i="1" s="1"/>
  <c r="A694" i="1"/>
  <c r="B694" i="1" s="1"/>
  <c r="A695" i="1"/>
  <c r="B695" i="1" s="1"/>
  <c r="A696" i="1"/>
  <c r="B696" i="1" s="1"/>
  <c r="A697" i="1"/>
  <c r="B697" i="1" s="1"/>
  <c r="A698" i="1"/>
  <c r="B698" i="1" s="1"/>
  <c r="A699" i="1"/>
  <c r="B699" i="1" s="1"/>
  <c r="A700" i="1"/>
  <c r="B700" i="1" s="1"/>
  <c r="A701" i="1"/>
  <c r="B701" i="1" s="1"/>
  <c r="A702" i="1"/>
  <c r="B702" i="1" s="1"/>
  <c r="A703" i="1"/>
  <c r="B703" i="1" s="1"/>
  <c r="A704" i="1"/>
  <c r="B704" i="1" s="1"/>
  <c r="A705" i="1"/>
  <c r="B705" i="1" s="1"/>
  <c r="A706" i="1"/>
  <c r="B706" i="1" s="1"/>
  <c r="A707" i="1"/>
  <c r="B707" i="1" s="1"/>
  <c r="A708" i="1"/>
  <c r="B708" i="1" s="1"/>
  <c r="A709" i="1"/>
  <c r="B709" i="1" s="1"/>
  <c r="A710" i="1"/>
  <c r="B710" i="1" s="1"/>
  <c r="A711" i="1"/>
  <c r="B711" i="1" s="1"/>
  <c r="A712" i="1"/>
  <c r="B712" i="1" s="1"/>
  <c r="A713" i="1"/>
  <c r="B713" i="1" s="1"/>
  <c r="A714" i="1"/>
  <c r="B714" i="1" s="1"/>
  <c r="A715" i="1"/>
  <c r="B715" i="1" s="1"/>
  <c r="A716" i="1"/>
  <c r="B716" i="1" s="1"/>
  <c r="A717" i="1"/>
  <c r="B717" i="1" s="1"/>
  <c r="A718" i="1"/>
  <c r="B718" i="1" s="1"/>
  <c r="A719" i="1"/>
  <c r="B719" i="1" s="1"/>
  <c r="A720" i="1"/>
  <c r="B720" i="1" s="1"/>
  <c r="A721" i="1"/>
  <c r="B721" i="1" s="1"/>
  <c r="A722" i="1"/>
  <c r="B722" i="1" s="1"/>
  <c r="A723" i="1"/>
  <c r="B723" i="1" s="1"/>
  <c r="A724" i="1"/>
  <c r="B724" i="1" s="1"/>
  <c r="A725" i="1"/>
  <c r="B725" i="1" s="1"/>
  <c r="A726" i="1"/>
  <c r="B726" i="1" s="1"/>
  <c r="A727" i="1"/>
  <c r="B727" i="1" s="1"/>
  <c r="A728" i="1"/>
  <c r="B728" i="1" s="1"/>
  <c r="A729" i="1"/>
  <c r="B729" i="1" s="1"/>
  <c r="A730" i="1"/>
  <c r="B730" i="1" s="1"/>
  <c r="A731" i="1"/>
  <c r="B731" i="1" s="1"/>
  <c r="A732" i="1"/>
  <c r="B732" i="1" s="1"/>
  <c r="A733" i="1"/>
  <c r="B733" i="1" s="1"/>
  <c r="A734" i="1"/>
  <c r="B734" i="1" s="1"/>
  <c r="A735" i="1"/>
  <c r="B735" i="1" s="1"/>
  <c r="A736" i="1"/>
  <c r="B736" i="1" s="1"/>
  <c r="A737" i="1"/>
  <c r="B737" i="1" s="1"/>
  <c r="A738" i="1"/>
  <c r="B738" i="1" s="1"/>
  <c r="A739" i="1"/>
  <c r="B739" i="1" s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A625" i="1"/>
  <c r="B625" i="1" s="1"/>
  <c r="A626" i="1"/>
  <c r="B626" i="1" s="1"/>
  <c r="A627" i="1"/>
  <c r="B627" i="1" s="1"/>
  <c r="A628" i="1"/>
  <c r="B628" i="1" s="1"/>
  <c r="A629" i="1"/>
  <c r="B629" i="1" s="1"/>
  <c r="A630" i="1"/>
  <c r="B630" i="1" s="1"/>
  <c r="A631" i="1"/>
  <c r="B631" i="1" s="1"/>
  <c r="A632" i="1"/>
  <c r="B632" i="1" s="1"/>
  <c r="A633" i="1"/>
  <c r="B633" i="1" s="1"/>
  <c r="A634" i="1"/>
  <c r="B634" i="1" s="1"/>
  <c r="A635" i="1"/>
  <c r="B635" i="1" s="1"/>
  <c r="A636" i="1"/>
  <c r="B636" i="1" s="1"/>
  <c r="A637" i="1"/>
  <c r="B637" i="1" s="1"/>
  <c r="A638" i="1"/>
  <c r="B638" i="1" s="1"/>
  <c r="A639" i="1"/>
  <c r="B639" i="1" s="1"/>
  <c r="A640" i="1"/>
  <c r="B640" i="1" s="1"/>
  <c r="A641" i="1"/>
  <c r="B641" i="1" s="1"/>
  <c r="A642" i="1"/>
  <c r="B642" i="1" s="1"/>
  <c r="A643" i="1"/>
  <c r="B643" i="1" s="1"/>
  <c r="A644" i="1"/>
  <c r="B644" i="1" s="1"/>
  <c r="A645" i="1"/>
  <c r="B645" i="1" s="1"/>
  <c r="A646" i="1"/>
  <c r="B646" i="1" s="1"/>
  <c r="A647" i="1"/>
  <c r="B647" i="1" s="1"/>
  <c r="A648" i="1"/>
  <c r="B648" i="1" s="1"/>
  <c r="A649" i="1"/>
  <c r="B649" i="1" s="1"/>
  <c r="A650" i="1"/>
  <c r="B650" i="1" s="1"/>
  <c r="A651" i="1"/>
  <c r="B651" i="1" s="1"/>
  <c r="A652" i="1"/>
  <c r="B652" i="1" s="1"/>
  <c r="A653" i="1"/>
  <c r="B653" i="1" s="1"/>
  <c r="A654" i="1"/>
  <c r="B654" i="1" s="1"/>
  <c r="A655" i="1"/>
  <c r="B655" i="1" s="1"/>
  <c r="A656" i="1"/>
  <c r="B656" i="1" s="1"/>
  <c r="A657" i="1"/>
  <c r="B657" i="1" s="1"/>
  <c r="A658" i="1"/>
  <c r="B658" i="1" s="1"/>
  <c r="A659" i="1"/>
  <c r="B659" i="1" s="1"/>
  <c r="A660" i="1"/>
  <c r="B660" i="1" s="1"/>
  <c r="A661" i="1"/>
  <c r="B661" i="1" s="1"/>
  <c r="A662" i="1"/>
  <c r="B662" i="1" s="1"/>
  <c r="A663" i="1"/>
  <c r="B663" i="1" s="1"/>
  <c r="A664" i="1"/>
  <c r="B664" i="1" s="1"/>
  <c r="A665" i="1"/>
  <c r="B665" i="1" s="1"/>
  <c r="A666" i="1"/>
  <c r="B666" i="1" s="1"/>
  <c r="A667" i="1"/>
  <c r="B667" i="1" s="1"/>
  <c r="A668" i="1"/>
  <c r="B668" i="1" s="1"/>
  <c r="A669" i="1"/>
  <c r="B669" i="1" s="1"/>
  <c r="A670" i="1"/>
  <c r="B670" i="1" s="1"/>
  <c r="A671" i="1"/>
  <c r="B671" i="1" s="1"/>
  <c r="A672" i="1"/>
  <c r="B672" i="1" s="1"/>
  <c r="A673" i="1"/>
  <c r="B673" i="1" s="1"/>
  <c r="A674" i="1"/>
  <c r="B674" i="1" s="1"/>
  <c r="A675" i="1"/>
  <c r="B675" i="1" s="1"/>
  <c r="A676" i="1"/>
  <c r="B676" i="1" s="1"/>
  <c r="A677" i="1"/>
  <c r="B677" i="1" s="1"/>
  <c r="A678" i="1"/>
  <c r="B678" i="1" s="1"/>
  <c r="A679" i="1"/>
  <c r="B679" i="1" s="1"/>
  <c r="A680" i="1"/>
  <c r="B680" i="1" s="1"/>
  <c r="A681" i="1"/>
  <c r="B681" i="1" s="1"/>
  <c r="A682" i="1"/>
  <c r="B682" i="1" s="1"/>
  <c r="A683" i="1"/>
  <c r="B683" i="1" s="1"/>
  <c r="A684" i="1"/>
  <c r="B684" i="1" s="1"/>
  <c r="A685" i="1"/>
  <c r="B685" i="1" s="1"/>
  <c r="A686" i="1"/>
  <c r="B686" i="1" s="1"/>
  <c r="A687" i="1"/>
  <c r="B687" i="1" s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A541" i="1"/>
  <c r="A542" i="1"/>
  <c r="A543" i="1"/>
  <c r="A544" i="1"/>
  <c r="A545" i="1"/>
  <c r="B545" i="1" s="1"/>
  <c r="A546" i="1"/>
  <c r="B546" i="1" s="1"/>
  <c r="A547" i="1"/>
  <c r="B547" i="1" s="1"/>
  <c r="A548" i="1"/>
  <c r="B548" i="1" s="1"/>
  <c r="A549" i="1"/>
  <c r="B549" i="1" s="1"/>
  <c r="A550" i="1"/>
  <c r="B550" i="1" s="1"/>
  <c r="A551" i="1"/>
  <c r="B551" i="1" s="1"/>
  <c r="A552" i="1"/>
  <c r="B552" i="1" s="1"/>
  <c r="A553" i="1"/>
  <c r="B553" i="1" s="1"/>
  <c r="A554" i="1"/>
  <c r="B554" i="1" s="1"/>
  <c r="A555" i="1"/>
  <c r="B555" i="1" s="1"/>
  <c r="A556" i="1"/>
  <c r="B556" i="1" s="1"/>
  <c r="A557" i="1"/>
  <c r="B557" i="1" s="1"/>
  <c r="A558" i="1"/>
  <c r="B558" i="1" s="1"/>
  <c r="A559" i="1"/>
  <c r="B559" i="1" s="1"/>
  <c r="A560" i="1"/>
  <c r="B560" i="1" s="1"/>
  <c r="A561" i="1"/>
  <c r="B561" i="1" s="1"/>
  <c r="A562" i="1"/>
  <c r="B562" i="1" s="1"/>
  <c r="A563" i="1"/>
  <c r="B563" i="1" s="1"/>
  <c r="A564" i="1"/>
  <c r="B564" i="1" s="1"/>
  <c r="A565" i="1"/>
  <c r="B565" i="1" s="1"/>
  <c r="A566" i="1"/>
  <c r="B566" i="1" s="1"/>
  <c r="A567" i="1"/>
  <c r="B567" i="1" s="1"/>
  <c r="A568" i="1"/>
  <c r="B568" i="1" s="1"/>
  <c r="A569" i="1"/>
  <c r="B569" i="1" s="1"/>
  <c r="A570" i="1"/>
  <c r="B570" i="1" s="1"/>
  <c r="A571" i="1"/>
  <c r="B571" i="1" s="1"/>
  <c r="A572" i="1"/>
  <c r="B572" i="1" s="1"/>
  <c r="A573" i="1"/>
  <c r="B573" i="1" s="1"/>
  <c r="A574" i="1"/>
  <c r="B574" i="1" s="1"/>
  <c r="A575" i="1"/>
  <c r="B575" i="1" s="1"/>
  <c r="A576" i="1"/>
  <c r="B576" i="1" s="1"/>
  <c r="A577" i="1"/>
  <c r="B577" i="1" s="1"/>
  <c r="A578" i="1"/>
  <c r="B578" i="1" s="1"/>
  <c r="A579" i="1"/>
  <c r="B579" i="1" s="1"/>
  <c r="A580" i="1"/>
  <c r="B580" i="1" s="1"/>
  <c r="A581" i="1"/>
  <c r="B581" i="1" s="1"/>
  <c r="A582" i="1"/>
  <c r="B582" i="1" s="1"/>
  <c r="A583" i="1"/>
  <c r="B583" i="1" s="1"/>
  <c r="A584" i="1"/>
  <c r="B584" i="1" s="1"/>
  <c r="A585" i="1"/>
  <c r="B585" i="1" s="1"/>
  <c r="A586" i="1"/>
  <c r="B586" i="1" s="1"/>
  <c r="A587" i="1"/>
  <c r="B587" i="1" s="1"/>
  <c r="A588" i="1"/>
  <c r="B588" i="1" s="1"/>
  <c r="A589" i="1"/>
  <c r="B589" i="1" s="1"/>
  <c r="A590" i="1"/>
  <c r="B590" i="1" s="1"/>
  <c r="A591" i="1"/>
  <c r="B591" i="1" s="1"/>
  <c r="A592" i="1"/>
  <c r="B592" i="1" s="1"/>
  <c r="A593" i="1"/>
  <c r="B593" i="1" s="1"/>
  <c r="A594" i="1"/>
  <c r="B594" i="1" s="1"/>
  <c r="A595" i="1"/>
  <c r="B595" i="1" s="1"/>
  <c r="A596" i="1"/>
  <c r="B596" i="1" s="1"/>
  <c r="A597" i="1"/>
  <c r="B597" i="1" s="1"/>
  <c r="A598" i="1"/>
  <c r="B598" i="1" s="1"/>
  <c r="A599" i="1"/>
  <c r="B599" i="1" s="1"/>
  <c r="A600" i="1"/>
  <c r="B600" i="1" s="1"/>
  <c r="A601" i="1"/>
  <c r="B601" i="1" s="1"/>
  <c r="A602" i="1"/>
  <c r="B602" i="1" s="1"/>
  <c r="A603" i="1"/>
  <c r="B603" i="1" s="1"/>
  <c r="A604" i="1"/>
  <c r="B604" i="1" s="1"/>
  <c r="A605" i="1"/>
  <c r="B605" i="1" s="1"/>
  <c r="A606" i="1"/>
  <c r="B606" i="1" s="1"/>
  <c r="A607" i="1"/>
  <c r="B607" i="1" s="1"/>
  <c r="A608" i="1"/>
  <c r="B608" i="1" s="1"/>
  <c r="A609" i="1"/>
  <c r="B609" i="1" s="1"/>
  <c r="A610" i="1"/>
  <c r="B610" i="1" s="1"/>
  <c r="A611" i="1"/>
  <c r="B611" i="1" s="1"/>
  <c r="A612" i="1"/>
  <c r="B612" i="1" s="1"/>
  <c r="A613" i="1"/>
  <c r="B613" i="1" s="1"/>
  <c r="A614" i="1"/>
  <c r="B614" i="1" s="1"/>
  <c r="A615" i="1"/>
  <c r="B615" i="1" s="1"/>
  <c r="A616" i="1"/>
  <c r="B616" i="1" s="1"/>
  <c r="A617" i="1"/>
  <c r="B617" i="1" s="1"/>
  <c r="A618" i="1"/>
  <c r="B618" i="1" s="1"/>
  <c r="A619" i="1"/>
  <c r="B619" i="1" s="1"/>
  <c r="A620" i="1"/>
  <c r="B620" i="1" s="1"/>
  <c r="A621" i="1"/>
  <c r="B621" i="1" s="1"/>
  <c r="A622" i="1"/>
  <c r="B622" i="1" s="1"/>
  <c r="A623" i="1"/>
  <c r="B623" i="1" s="1"/>
  <c r="A624" i="1"/>
  <c r="B624" i="1" s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A503" i="1"/>
  <c r="B503" i="1" s="1"/>
  <c r="A504" i="1"/>
  <c r="B504" i="1" s="1"/>
  <c r="A505" i="1"/>
  <c r="B505" i="1" s="1"/>
  <c r="A506" i="1"/>
  <c r="B506" i="1" s="1"/>
  <c r="A507" i="1"/>
  <c r="B507" i="1" s="1"/>
  <c r="A508" i="1"/>
  <c r="B508" i="1" s="1"/>
  <c r="A509" i="1"/>
  <c r="B509" i="1" s="1"/>
  <c r="A510" i="1"/>
  <c r="B510" i="1" s="1"/>
  <c r="A511" i="1"/>
  <c r="B511" i="1" s="1"/>
  <c r="A512" i="1"/>
  <c r="B512" i="1" s="1"/>
  <c r="A513" i="1"/>
  <c r="B513" i="1" s="1"/>
  <c r="A514" i="1"/>
  <c r="B514" i="1" s="1"/>
  <c r="A515" i="1"/>
  <c r="B515" i="1" s="1"/>
  <c r="A516" i="1"/>
  <c r="B516" i="1" s="1"/>
  <c r="A517" i="1"/>
  <c r="B517" i="1" s="1"/>
  <c r="A518" i="1"/>
  <c r="B518" i="1" s="1"/>
  <c r="A519" i="1"/>
  <c r="B519" i="1" s="1"/>
  <c r="A520" i="1"/>
  <c r="B520" i="1" s="1"/>
  <c r="A521" i="1"/>
  <c r="B521" i="1" s="1"/>
  <c r="A522" i="1"/>
  <c r="B522" i="1" s="1"/>
  <c r="A523" i="1"/>
  <c r="B523" i="1" s="1"/>
  <c r="A524" i="1"/>
  <c r="B524" i="1" s="1"/>
  <c r="A525" i="1"/>
  <c r="B525" i="1" s="1"/>
  <c r="A526" i="1"/>
  <c r="B526" i="1" s="1"/>
  <c r="A527" i="1"/>
  <c r="B527" i="1" s="1"/>
  <c r="A528" i="1"/>
  <c r="B528" i="1" s="1"/>
  <c r="A529" i="1"/>
  <c r="B529" i="1" s="1"/>
  <c r="A530" i="1"/>
  <c r="B530" i="1" s="1"/>
  <c r="A531" i="1"/>
  <c r="B531" i="1" s="1"/>
  <c r="A532" i="1"/>
  <c r="B532" i="1" s="1"/>
  <c r="A533" i="1"/>
  <c r="B533" i="1" s="1"/>
  <c r="A534" i="1"/>
  <c r="B534" i="1" s="1"/>
  <c r="A535" i="1"/>
  <c r="B535" i="1" s="1"/>
  <c r="A536" i="1"/>
  <c r="B536" i="1" s="1"/>
  <c r="A537" i="1"/>
  <c r="B537" i="1" s="1"/>
  <c r="A538" i="1"/>
  <c r="B538" i="1" s="1"/>
  <c r="A539" i="1"/>
  <c r="B539" i="1" s="1"/>
  <c r="A540" i="1"/>
  <c r="B540" i="1" s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A458" i="1"/>
  <c r="B458" i="1" s="1"/>
  <c r="A459" i="1"/>
  <c r="B459" i="1" s="1"/>
  <c r="A460" i="1"/>
  <c r="B460" i="1" s="1"/>
  <c r="A461" i="1"/>
  <c r="B461" i="1" s="1"/>
  <c r="A462" i="1"/>
  <c r="B462" i="1" s="1"/>
  <c r="A463" i="1"/>
  <c r="B463" i="1" s="1"/>
  <c r="A464" i="1"/>
  <c r="B464" i="1" s="1"/>
  <c r="A465" i="1"/>
  <c r="B465" i="1" s="1"/>
  <c r="A466" i="1"/>
  <c r="B466" i="1" s="1"/>
  <c r="A467" i="1"/>
  <c r="B467" i="1" s="1"/>
  <c r="A468" i="1"/>
  <c r="B468" i="1" s="1"/>
  <c r="A469" i="1"/>
  <c r="B469" i="1" s="1"/>
  <c r="A470" i="1"/>
  <c r="B470" i="1" s="1"/>
  <c r="A471" i="1"/>
  <c r="B471" i="1" s="1"/>
  <c r="A472" i="1"/>
  <c r="B472" i="1" s="1"/>
  <c r="A473" i="1"/>
  <c r="B473" i="1" s="1"/>
  <c r="A474" i="1"/>
  <c r="B474" i="1" s="1"/>
  <c r="A475" i="1"/>
  <c r="B475" i="1" s="1"/>
  <c r="A476" i="1"/>
  <c r="B476" i="1" s="1"/>
  <c r="A477" i="1"/>
  <c r="B477" i="1" s="1"/>
  <c r="A478" i="1"/>
  <c r="B478" i="1" s="1"/>
  <c r="A479" i="1"/>
  <c r="B479" i="1" s="1"/>
  <c r="A480" i="1"/>
  <c r="B480" i="1" s="1"/>
  <c r="A481" i="1"/>
  <c r="B481" i="1" s="1"/>
  <c r="A482" i="1"/>
  <c r="B482" i="1" s="1"/>
  <c r="A483" i="1"/>
  <c r="B483" i="1" s="1"/>
  <c r="A484" i="1"/>
  <c r="B484" i="1" s="1"/>
  <c r="A485" i="1"/>
  <c r="B485" i="1" s="1"/>
  <c r="A486" i="1"/>
  <c r="B486" i="1" s="1"/>
  <c r="A487" i="1"/>
  <c r="B487" i="1" s="1"/>
  <c r="A488" i="1"/>
  <c r="B488" i="1" s="1"/>
  <c r="A489" i="1"/>
  <c r="B489" i="1" s="1"/>
  <c r="A490" i="1"/>
  <c r="B490" i="1" s="1"/>
  <c r="A491" i="1"/>
  <c r="B491" i="1" s="1"/>
  <c r="A492" i="1"/>
  <c r="B492" i="1" s="1"/>
  <c r="A493" i="1"/>
  <c r="B493" i="1" s="1"/>
  <c r="A494" i="1"/>
  <c r="B494" i="1" s="1"/>
  <c r="A495" i="1"/>
  <c r="B495" i="1" s="1"/>
  <c r="A496" i="1"/>
  <c r="B496" i="1" s="1"/>
  <c r="A497" i="1"/>
  <c r="B497" i="1" s="1"/>
  <c r="A498" i="1"/>
  <c r="B498" i="1" s="1"/>
  <c r="A499" i="1"/>
  <c r="B499" i="1" s="1"/>
  <c r="A500" i="1"/>
  <c r="B500" i="1" s="1"/>
  <c r="A501" i="1"/>
  <c r="B501" i="1" s="1"/>
  <c r="A502" i="1"/>
  <c r="B502" i="1" s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A407" i="1"/>
  <c r="B407" i="1" s="1"/>
  <c r="A408" i="1"/>
  <c r="B408" i="1" s="1"/>
  <c r="A409" i="1"/>
  <c r="B409" i="1" s="1"/>
  <c r="A410" i="1"/>
  <c r="B410" i="1" s="1"/>
  <c r="A411" i="1"/>
  <c r="B411" i="1" s="1"/>
  <c r="A412" i="1"/>
  <c r="B412" i="1" s="1"/>
  <c r="A413" i="1"/>
  <c r="B413" i="1" s="1"/>
  <c r="A414" i="1"/>
  <c r="B414" i="1" s="1"/>
  <c r="A415" i="1"/>
  <c r="B415" i="1" s="1"/>
  <c r="A416" i="1"/>
  <c r="B416" i="1" s="1"/>
  <c r="A417" i="1"/>
  <c r="B417" i="1" s="1"/>
  <c r="A418" i="1"/>
  <c r="B418" i="1" s="1"/>
  <c r="A419" i="1"/>
  <c r="B419" i="1" s="1"/>
  <c r="A420" i="1"/>
  <c r="B420" i="1" s="1"/>
  <c r="A421" i="1"/>
  <c r="B421" i="1" s="1"/>
  <c r="A422" i="1"/>
  <c r="B422" i="1" s="1"/>
  <c r="A423" i="1"/>
  <c r="B423" i="1" s="1"/>
  <c r="A424" i="1"/>
  <c r="B424" i="1" s="1"/>
  <c r="A425" i="1"/>
  <c r="B425" i="1" s="1"/>
  <c r="A426" i="1"/>
  <c r="B426" i="1" s="1"/>
  <c r="A427" i="1"/>
  <c r="B427" i="1" s="1"/>
  <c r="A428" i="1"/>
  <c r="B428" i="1" s="1"/>
  <c r="A429" i="1"/>
  <c r="B429" i="1" s="1"/>
  <c r="A430" i="1"/>
  <c r="B430" i="1" s="1"/>
  <c r="A431" i="1"/>
  <c r="B431" i="1" s="1"/>
  <c r="A432" i="1"/>
  <c r="B432" i="1" s="1"/>
  <c r="A433" i="1"/>
  <c r="B433" i="1" s="1"/>
  <c r="A434" i="1"/>
  <c r="B434" i="1" s="1"/>
  <c r="A435" i="1"/>
  <c r="B435" i="1" s="1"/>
  <c r="A436" i="1"/>
  <c r="B436" i="1" s="1"/>
  <c r="A437" i="1"/>
  <c r="B437" i="1" s="1"/>
  <c r="A438" i="1"/>
  <c r="B438" i="1" s="1"/>
  <c r="A439" i="1"/>
  <c r="B439" i="1" s="1"/>
  <c r="A440" i="1"/>
  <c r="B440" i="1" s="1"/>
  <c r="A441" i="1"/>
  <c r="B441" i="1" s="1"/>
  <c r="A442" i="1"/>
  <c r="B442" i="1" s="1"/>
  <c r="A443" i="1"/>
  <c r="B443" i="1" s="1"/>
  <c r="A444" i="1"/>
  <c r="B444" i="1" s="1"/>
  <c r="A445" i="1"/>
  <c r="B445" i="1" s="1"/>
  <c r="A446" i="1"/>
  <c r="B446" i="1" s="1"/>
  <c r="A447" i="1"/>
  <c r="B447" i="1" s="1"/>
  <c r="A448" i="1"/>
  <c r="B448" i="1" s="1"/>
  <c r="A449" i="1"/>
  <c r="B449" i="1" s="1"/>
  <c r="A450" i="1"/>
  <c r="B450" i="1" s="1"/>
  <c r="A451" i="1"/>
  <c r="B451" i="1" s="1"/>
  <c r="A452" i="1"/>
  <c r="B452" i="1" s="1"/>
  <c r="A453" i="1"/>
  <c r="B453" i="1" s="1"/>
  <c r="A454" i="1"/>
  <c r="B454" i="1" s="1"/>
  <c r="A455" i="1"/>
  <c r="B455" i="1" s="1"/>
  <c r="A456" i="1"/>
  <c r="B456" i="1" s="1"/>
  <c r="A457" i="1"/>
  <c r="B457" i="1" s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A379" i="1" l="1"/>
  <c r="B379" i="1" s="1"/>
  <c r="A380" i="1"/>
  <c r="B380" i="1" s="1"/>
  <c r="A381" i="1"/>
  <c r="B381" i="1" s="1"/>
  <c r="A382" i="1"/>
  <c r="B382" i="1" s="1"/>
  <c r="A383" i="1"/>
  <c r="B383" i="1" s="1"/>
  <c r="A384" i="1"/>
  <c r="B384" i="1" s="1"/>
  <c r="A385" i="1"/>
  <c r="B385" i="1" s="1"/>
  <c r="A386" i="1"/>
  <c r="B386" i="1" s="1"/>
  <c r="A387" i="1"/>
  <c r="B387" i="1" s="1"/>
  <c r="A388" i="1"/>
  <c r="B388" i="1" s="1"/>
  <c r="A389" i="1"/>
  <c r="B389" i="1" s="1"/>
  <c r="A390" i="1"/>
  <c r="B390" i="1" s="1"/>
  <c r="A391" i="1"/>
  <c r="B391" i="1" s="1"/>
  <c r="A392" i="1"/>
  <c r="B392" i="1" s="1"/>
  <c r="A393" i="1"/>
  <c r="B393" i="1" s="1"/>
  <c r="A394" i="1"/>
  <c r="B394" i="1" s="1"/>
  <c r="A395" i="1"/>
  <c r="B395" i="1" s="1"/>
  <c r="A396" i="1"/>
  <c r="B396" i="1" s="1"/>
  <c r="A397" i="1"/>
  <c r="B397" i="1" s="1"/>
  <c r="A398" i="1"/>
  <c r="B398" i="1" s="1"/>
  <c r="A399" i="1"/>
  <c r="B399" i="1" s="1"/>
  <c r="A400" i="1"/>
  <c r="B400" i="1" s="1"/>
  <c r="A401" i="1"/>
  <c r="B401" i="1" s="1"/>
  <c r="A402" i="1"/>
  <c r="B402" i="1" s="1"/>
  <c r="A403" i="1"/>
  <c r="B403" i="1" s="1"/>
  <c r="A404" i="1"/>
  <c r="B404" i="1" s="1"/>
  <c r="A405" i="1"/>
  <c r="B405" i="1" s="1"/>
  <c r="A406" i="1"/>
  <c r="B406" i="1" s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A341" i="1"/>
  <c r="B341" i="1" s="1"/>
  <c r="A342" i="1"/>
  <c r="B342" i="1" s="1"/>
  <c r="A343" i="1"/>
  <c r="B343" i="1" s="1"/>
  <c r="A344" i="1"/>
  <c r="B344" i="1" s="1"/>
  <c r="A345" i="1"/>
  <c r="B345" i="1" s="1"/>
  <c r="A346" i="1"/>
  <c r="B346" i="1" s="1"/>
  <c r="A347" i="1"/>
  <c r="B347" i="1" s="1"/>
  <c r="A348" i="1"/>
  <c r="B348" i="1" s="1"/>
  <c r="A349" i="1"/>
  <c r="B349" i="1" s="1"/>
  <c r="A350" i="1"/>
  <c r="B350" i="1" s="1"/>
  <c r="A351" i="1"/>
  <c r="B351" i="1" s="1"/>
  <c r="A352" i="1"/>
  <c r="B352" i="1" s="1"/>
  <c r="A353" i="1"/>
  <c r="B353" i="1" s="1"/>
  <c r="A354" i="1"/>
  <c r="B354" i="1" s="1"/>
  <c r="A355" i="1"/>
  <c r="B355" i="1" s="1"/>
  <c r="A356" i="1"/>
  <c r="B356" i="1" s="1"/>
  <c r="A357" i="1"/>
  <c r="B357" i="1" s="1"/>
  <c r="A358" i="1"/>
  <c r="B358" i="1" s="1"/>
  <c r="A359" i="1"/>
  <c r="B359" i="1" s="1"/>
  <c r="A360" i="1"/>
  <c r="B360" i="1" s="1"/>
  <c r="A361" i="1"/>
  <c r="B361" i="1" s="1"/>
  <c r="A362" i="1"/>
  <c r="B362" i="1" s="1"/>
  <c r="A363" i="1"/>
  <c r="B363" i="1" s="1"/>
  <c r="A364" i="1"/>
  <c r="B364" i="1" s="1"/>
  <c r="A365" i="1"/>
  <c r="B365" i="1" s="1"/>
  <c r="A366" i="1"/>
  <c r="B366" i="1" s="1"/>
  <c r="A367" i="1"/>
  <c r="B367" i="1" s="1"/>
  <c r="A368" i="1"/>
  <c r="B368" i="1" s="1"/>
  <c r="A369" i="1"/>
  <c r="B369" i="1" s="1"/>
  <c r="A370" i="1"/>
  <c r="B370" i="1" s="1"/>
  <c r="A371" i="1"/>
  <c r="B371" i="1" s="1"/>
  <c r="A372" i="1"/>
  <c r="B372" i="1" s="1"/>
  <c r="A373" i="1"/>
  <c r="B373" i="1" s="1"/>
  <c r="A374" i="1"/>
  <c r="B374" i="1" s="1"/>
  <c r="A375" i="1"/>
  <c r="B375" i="1" s="1"/>
  <c r="A376" i="1"/>
  <c r="B376" i="1" s="1"/>
  <c r="A377" i="1"/>
  <c r="B377" i="1" s="1"/>
  <c r="A378" i="1"/>
  <c r="B378" i="1" s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A301" i="1"/>
  <c r="B301" i="1" s="1"/>
  <c r="A302" i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309" i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16" i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23" i="1"/>
  <c r="B323" i="1" s="1"/>
  <c r="A324" i="1"/>
  <c r="B324" i="1" s="1"/>
  <c r="A325" i="1"/>
  <c r="B325" i="1" s="1"/>
  <c r="A326" i="1"/>
  <c r="B326" i="1" s="1"/>
  <c r="A327" i="1"/>
  <c r="B327" i="1" s="1"/>
  <c r="A328" i="1"/>
  <c r="B328" i="1" s="1"/>
  <c r="A329" i="1"/>
  <c r="B329" i="1" s="1"/>
  <c r="A330" i="1"/>
  <c r="B330" i="1" s="1"/>
  <c r="A331" i="1"/>
  <c r="B331" i="1" s="1"/>
  <c r="A332" i="1"/>
  <c r="B332" i="1" s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A269" i="1"/>
  <c r="B269" i="1" s="1"/>
  <c r="A270" i="1"/>
  <c r="B270" i="1" s="1"/>
  <c r="A271" i="1"/>
  <c r="B271" i="1" s="1"/>
  <c r="A272" i="1"/>
  <c r="B272" i="1" s="1"/>
  <c r="A273" i="1"/>
  <c r="B273" i="1" s="1"/>
  <c r="A274" i="1"/>
  <c r="B274" i="1" s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A285" i="1"/>
  <c r="B285" i="1" s="1"/>
  <c r="A286" i="1"/>
  <c r="B286" i="1" s="1"/>
  <c r="A287" i="1"/>
  <c r="B287" i="1" s="1"/>
  <c r="A288" i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A247" i="1"/>
  <c r="B247" i="1" s="1"/>
  <c r="A248" i="1"/>
  <c r="B248" i="1" s="1"/>
  <c r="A249" i="1"/>
  <c r="B249" i="1" s="1"/>
  <c r="A250" i="1"/>
  <c r="B250" i="1" s="1"/>
  <c r="A251" i="1"/>
  <c r="B251" i="1" s="1"/>
  <c r="A252" i="1"/>
  <c r="B252" i="1" s="1"/>
  <c r="A253" i="1"/>
  <c r="B253" i="1" s="1"/>
  <c r="A254" i="1"/>
  <c r="B254" i="1" s="1"/>
  <c r="A255" i="1"/>
  <c r="B255" i="1" s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66" i="1" s="1"/>
  <c r="A267" i="1"/>
  <c r="B267" i="1" s="1"/>
  <c r="A268" i="1"/>
  <c r="B268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A240" i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205" i="1"/>
  <c r="B205" i="1" s="1"/>
  <c r="A206" i="1"/>
  <c r="B206" i="1" s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B217" i="1" s="1"/>
  <c r="A218" i="1"/>
  <c r="B218" i="1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A182" i="1"/>
  <c r="B182" i="1" s="1"/>
  <c r="A183" i="1"/>
  <c r="B183" i="1" s="1"/>
  <c r="A184" i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54" i="1"/>
  <c r="B154" i="1" s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A158" i="1"/>
  <c r="B158" i="1" s="1"/>
  <c r="A159" i="1"/>
  <c r="B159" i="1" s="1"/>
  <c r="A160" i="1"/>
  <c r="B160" i="1" s="1"/>
  <c r="A161" i="1"/>
  <c r="B161" i="1" s="1"/>
  <c r="A162" i="1"/>
  <c r="B162" i="1" s="1"/>
  <c r="A163" i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70" i="1"/>
  <c r="B170" i="1" s="1"/>
  <c r="A171" i="1"/>
  <c r="B171" i="1" s="1"/>
  <c r="A198" i="1"/>
  <c r="B198" i="1" s="1"/>
  <c r="A176" i="1"/>
  <c r="B176" i="1" s="1"/>
  <c r="A177" i="1"/>
  <c r="B177" i="1" s="1"/>
  <c r="A178" i="1"/>
  <c r="B178" i="1" s="1"/>
  <c r="A152" i="1"/>
  <c r="B152" i="1" s="1"/>
  <c r="A57" i="1"/>
  <c r="B57" i="1" s="1"/>
  <c r="A179" i="1"/>
  <c r="B179" i="1" s="1"/>
  <c r="A153" i="1"/>
  <c r="B153" i="1" s="1"/>
  <c r="A180" i="1"/>
  <c r="B180" i="1" s="1"/>
  <c r="A181" i="1"/>
  <c r="B181" i="1" s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A137" i="1"/>
  <c r="B137" i="1" s="1"/>
  <c r="A138" i="1"/>
  <c r="B138" i="1" s="1"/>
  <c r="A139" i="1"/>
  <c r="B139" i="1" s="1"/>
  <c r="A140" i="1"/>
  <c r="B140" i="1" s="1"/>
  <c r="A141" i="1"/>
  <c r="B141" i="1" s="1"/>
  <c r="A142" i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56" i="1"/>
  <c r="B156" i="1" s="1"/>
  <c r="A157" i="1"/>
  <c r="B157" i="1" s="1"/>
  <c r="A149" i="1"/>
  <c r="B149" i="1" s="1"/>
  <c r="A172" i="1"/>
  <c r="B172" i="1" s="1"/>
  <c r="A173" i="1"/>
  <c r="B173" i="1" s="1"/>
  <c r="A150" i="1"/>
  <c r="B150" i="1" s="1"/>
  <c r="A174" i="1"/>
  <c r="B174" i="1" s="1"/>
  <c r="A175" i="1"/>
  <c r="B175" i="1" s="1"/>
  <c r="A55" i="1"/>
  <c r="B55" i="1" s="1"/>
  <c r="A151" i="1"/>
  <c r="B151" i="1" s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A121" i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A128" i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35" i="1"/>
  <c r="B135" i="1" s="1"/>
  <c r="A136" i="1"/>
  <c r="B136" i="1" s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A120" i="1"/>
  <c r="B120" i="1" s="1"/>
  <c r="A119" i="1"/>
  <c r="B119" i="1" s="1"/>
  <c r="A118" i="1"/>
  <c r="B118" i="1" s="1"/>
  <c r="A117" i="1"/>
  <c r="B117" i="1" s="1"/>
  <c r="A116" i="1"/>
  <c r="B116" i="1" s="1"/>
  <c r="A114" i="1"/>
  <c r="B114" i="1" s="1"/>
  <c r="A112" i="1"/>
  <c r="B112" i="1" s="1"/>
  <c r="A110" i="1"/>
  <c r="B110" i="1" s="1"/>
  <c r="A115" i="1"/>
  <c r="B115" i="1" s="1"/>
  <c r="A113" i="1"/>
  <c r="B113" i="1" s="1"/>
  <c r="A111" i="1"/>
  <c r="B111" i="1" s="1"/>
  <c r="A109" i="1"/>
  <c r="B109" i="1" s="1"/>
  <c r="A108" i="1"/>
  <c r="B108" i="1" s="1"/>
  <c r="A107" i="1"/>
  <c r="B107" i="1" s="1"/>
  <c r="A106" i="1"/>
  <c r="B106" i="1" s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A105" i="1"/>
  <c r="B105" i="1" s="1"/>
  <c r="A103" i="1"/>
  <c r="B103" i="1" s="1"/>
  <c r="A102" i="1"/>
  <c r="B102" i="1" s="1"/>
  <c r="A98" i="1"/>
  <c r="B98" i="1" s="1"/>
  <c r="A97" i="1"/>
  <c r="B97" i="1" s="1"/>
  <c r="A96" i="1"/>
  <c r="B96" i="1" s="1"/>
  <c r="A95" i="1"/>
  <c r="B95" i="1" s="1"/>
  <c r="A94" i="1"/>
  <c r="B94" i="1" s="1"/>
  <c r="A93" i="1"/>
  <c r="B93" i="1" s="1"/>
  <c r="A92" i="1"/>
  <c r="B92" i="1" s="1"/>
  <c r="A91" i="1"/>
  <c r="B91" i="1" s="1"/>
  <c r="A90" i="1"/>
  <c r="B90" i="1" s="1"/>
  <c r="A104" i="1"/>
  <c r="B104" i="1" s="1"/>
  <c r="A101" i="1"/>
  <c r="B101" i="1" s="1"/>
  <c r="A100" i="1"/>
  <c r="B100" i="1" s="1"/>
  <c r="A99" i="1"/>
  <c r="B99" i="1" s="1"/>
  <c r="A89" i="1"/>
  <c r="B89" i="1" s="1"/>
  <c r="A88" i="1"/>
  <c r="B88" i="1" s="1"/>
  <c r="A86" i="1"/>
  <c r="B86" i="1" s="1"/>
  <c r="A85" i="1"/>
  <c r="B85" i="1" s="1"/>
  <c r="A84" i="1"/>
  <c r="B84" i="1" s="1"/>
  <c r="A83" i="1"/>
  <c r="B83" i="1" s="1"/>
  <c r="A82" i="1"/>
  <c r="B82" i="1" s="1"/>
  <c r="A81" i="1"/>
  <c r="B81" i="1" s="1"/>
  <c r="A87" i="1"/>
  <c r="B87" i="1" s="1"/>
  <c r="A80" i="1"/>
  <c r="B80" i="1" s="1"/>
  <c r="A79" i="1"/>
  <c r="B79" i="1" s="1"/>
  <c r="A78" i="1"/>
  <c r="B78" i="1" s="1"/>
  <c r="A77" i="1"/>
  <c r="B77" i="1" s="1"/>
  <c r="A76" i="1"/>
  <c r="B76" i="1" s="1"/>
  <c r="A75" i="1"/>
  <c r="B75" i="1" s="1"/>
  <c r="A74" i="1"/>
  <c r="B74" i="1" s="1"/>
  <c r="A73" i="1"/>
  <c r="B73" i="1" s="1"/>
  <c r="A72" i="1"/>
  <c r="B72" i="1" s="1"/>
  <c r="A71" i="1"/>
  <c r="B71" i="1" s="1"/>
  <c r="A70" i="1"/>
  <c r="B70" i="1" s="1"/>
  <c r="A69" i="1"/>
  <c r="B69" i="1" s="1"/>
  <c r="A68" i="1"/>
  <c r="B68" i="1" s="1"/>
  <c r="A67" i="1"/>
  <c r="B67" i="1" s="1"/>
  <c r="A66" i="1"/>
  <c r="B66" i="1" s="1"/>
  <c r="A65" i="1"/>
  <c r="B65" i="1" s="1"/>
  <c r="A64" i="1"/>
  <c r="B64" i="1" s="1"/>
  <c r="A63" i="1"/>
  <c r="B63" i="1" s="1"/>
  <c r="A62" i="1"/>
  <c r="B62" i="1" s="1"/>
  <c r="A61" i="1"/>
  <c r="B61" i="1" s="1"/>
  <c r="A60" i="1"/>
  <c r="B60" i="1" s="1"/>
  <c r="A59" i="1"/>
  <c r="B59" i="1" s="1"/>
  <c r="A58" i="1"/>
  <c r="B58" i="1" s="1"/>
  <c r="A148" i="1"/>
  <c r="B148" i="1" s="1"/>
  <c r="A155" i="1"/>
  <c r="B155" i="1" s="1"/>
  <c r="A56" i="1"/>
  <c r="B56" i="1" s="1"/>
  <c r="A54" i="1"/>
  <c r="B54" i="1" s="1"/>
  <c r="A53" i="1"/>
  <c r="B53" i="1" s="1"/>
  <c r="A52" i="1"/>
  <c r="B52" i="1" s="1"/>
  <c r="A51" i="1"/>
  <c r="B51" i="1" s="1"/>
  <c r="A50" i="1"/>
  <c r="B50" i="1" s="1"/>
  <c r="A49" i="1"/>
  <c r="B49" i="1" s="1"/>
  <c r="A48" i="1"/>
  <c r="B48" i="1" s="1"/>
  <c r="A47" i="1"/>
  <c r="B47" i="1" s="1"/>
  <c r="A46" i="1"/>
  <c r="B46" i="1" s="1"/>
  <c r="A45" i="1"/>
  <c r="B45" i="1" s="1"/>
  <c r="A44" i="1"/>
  <c r="B44" i="1" s="1"/>
  <c r="A43" i="1"/>
  <c r="B43" i="1" s="1"/>
  <c r="A42" i="1"/>
  <c r="B42" i="1" s="1"/>
  <c r="A41" i="1"/>
  <c r="B41" i="1" s="1"/>
  <c r="A40" i="1"/>
  <c r="B40" i="1" s="1"/>
  <c r="A39" i="1"/>
  <c r="B39" i="1" s="1"/>
  <c r="A38" i="1"/>
  <c r="B38" i="1" s="1"/>
  <c r="A37" i="1"/>
  <c r="B37" i="1" s="1"/>
  <c r="A36" i="1"/>
  <c r="B36" i="1" s="1"/>
  <c r="A35" i="1"/>
  <c r="B35" i="1" s="1"/>
  <c r="A34" i="1"/>
  <c r="B34" i="1" s="1"/>
  <c r="A33" i="1"/>
  <c r="B33" i="1" s="1"/>
  <c r="A32" i="1"/>
  <c r="B32" i="1" s="1"/>
  <c r="A31" i="1"/>
  <c r="B31" i="1" s="1"/>
  <c r="A30" i="1"/>
  <c r="B30" i="1" s="1"/>
  <c r="A29" i="1"/>
  <c r="B29" i="1" s="1"/>
  <c r="A28" i="1"/>
  <c r="B28" i="1" s="1"/>
  <c r="A27" i="1"/>
  <c r="B27" i="1" s="1"/>
  <c r="A26" i="1"/>
  <c r="B26" i="1" s="1"/>
  <c r="A25" i="1"/>
  <c r="B25" i="1" s="1"/>
  <c r="A24" i="1"/>
  <c r="B24" i="1" s="1"/>
  <c r="A23" i="1"/>
  <c r="B23" i="1" s="1"/>
  <c r="A22" i="1"/>
  <c r="B22" i="1" s="1"/>
  <c r="A21" i="1"/>
  <c r="B21" i="1" s="1"/>
  <c r="A20" i="1"/>
  <c r="B20" i="1" s="1"/>
  <c r="A19" i="1"/>
  <c r="B19" i="1" s="1"/>
  <c r="A18" i="1"/>
  <c r="B18" i="1" s="1"/>
  <c r="A17" i="1"/>
  <c r="B17" i="1" s="1"/>
  <c r="A16" i="1"/>
  <c r="B16" i="1" s="1"/>
  <c r="A15" i="1"/>
  <c r="B15" i="1" s="1"/>
  <c r="A14" i="1"/>
  <c r="B14" i="1" s="1"/>
  <c r="A13" i="1"/>
  <c r="B13" i="1" s="1"/>
  <c r="A12" i="1"/>
  <c r="B12" i="1" s="1"/>
  <c r="A11" i="1"/>
  <c r="B11" i="1" s="1"/>
  <c r="A10" i="1"/>
  <c r="B10" i="1" s="1"/>
  <c r="A9" i="1"/>
  <c r="B9" i="1" s="1"/>
  <c r="A8" i="1"/>
  <c r="B8" i="1" s="1"/>
  <c r="A7" i="1"/>
  <c r="B7" i="1" s="1"/>
  <c r="A6" i="1"/>
  <c r="B6" i="1" s="1"/>
  <c r="A5" i="1"/>
  <c r="B5" i="1" s="1"/>
  <c r="A4" i="1"/>
  <c r="B4" i="1" s="1"/>
  <c r="A3" i="1"/>
  <c r="B3" i="1" s="1"/>
  <c r="A2" i="1"/>
  <c r="B2" i="1" s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<sst xmlns="http://schemas.openxmlformats.org/spreadsheetml/2006/main" count="10216" uniqueCount="2439">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</sst>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6" borderId="0" xfId="0" applyFill="1"/>
    <xf numFmtId="165" fontId="0" fillId="0" borderId="0" xfId="0" applyNumberFormat="1" applyAlignment="1">
      <alignment horizontal="center"/>
    </xf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133"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font>
        <b/>
        <i val="0"/>
        <color rgb="FFC00000"/>
      </font>
    </dxf>
    <dxf>
      <numFmt numFmtId="167" formatCode="#,##0&quot;g&quot;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89.432795138891" createdVersion="5" refreshedVersion="5" minRefreshableVersion="3" recordCount="1102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09-24T00:00:00" count="42">
        <d v="2026-07-30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9T00:00:00"/>
        <d v="2026-08-20T00:00:00"/>
        <d v="2026-08-12T00:00:00"/>
        <d v="2026-08-13T00:00:00"/>
        <d v="2026-08-14T00:00:00"/>
        <d v="2026-08-15T00:00:00"/>
        <d v="2026-08-17T00:00:00"/>
        <d v="2026-08-18T00:00:00"/>
        <d v="2026-08-21T00:00:00"/>
        <d v="2026-08-22T00:00:00"/>
        <d v="2026-08-24T00:00:00"/>
        <d v="2026-08-26T00:00:00"/>
        <d v="2026-08-25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11T00:00:00"/>
        <d v="2026-09-09T00:00:00"/>
        <d v="2026-09-12T00:00:00"/>
        <d v="2026-09-14T00:00:00"/>
        <d v="2026-09-15T00:00:00"/>
        <d v="2026-09-16T00:00:00"/>
        <d v="2026-09-19T00:00:00"/>
        <d v="2026-09-18T00:00:00"/>
        <d v="2026-09-17T00:00:00"/>
        <d v="2026-09-22T00:00:00"/>
        <d v="2026-09-21T00:00:00"/>
        <d v="2026-09-23T00:00:00"/>
      </sharedItems>
    </cacheField>
    <cacheField name="Mês" numFmtId="0">
      <sharedItems count="3">
        <s v="JUL"/>
        <s v="AGO"/>
        <s v="SE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0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35"/>
    </cacheField>
    <cacheField name="Peso  3" numFmtId="3">
      <sharedItems containsSemiMixedTypes="0" containsString="0" containsNumber="1" containsInteger="1" minValue="688" maxValue="1807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275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050"/>
    </cacheField>
    <cacheField name="Peso  8" numFmtId="3">
      <sharedItems containsSemiMixedTypes="0" containsString="0" containsNumber="1" containsInteger="1" minValue="687" maxValue="18065"/>
    </cacheField>
    <cacheField name="Peso  9" numFmtId="3">
      <sharedItems containsSemiMixedTypes="0" containsString="0" containsNumber="1" containsInteger="1" minValue="693" maxValue="18180"/>
    </cacheField>
    <cacheField name="Peso  10" numFmtId="3">
      <sharedItems containsString="0" containsBlank="1" containsNumber="1" containsInteger="1" minValue="698" maxValue="18110"/>
    </cacheField>
    <cacheField name="Média" numFmtId="3">
      <sharedItems containsSemiMixedTypes="0" containsString="0" containsNumber="1" minValue="691.1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3.1E-2" maxValue="8.1400000000000097E-2"/>
    </cacheField>
    <cacheField name="Desvio" numFmtId="166">
      <sharedItems containsSemiMixedTypes="0" containsString="0" containsNumber="1" minValue="-419.5" maxValue="168.5"/>
    </cacheField>
    <cacheField name="Item" numFmtId="0">
      <sharedItems count="37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e v="#N/A" u="1"/>
      </sharedItems>
    </cacheField>
    <cacheField name="Família" numFmtId="0">
      <sharedItems count="9">
        <s v="PEITO"/>
        <s v="PERNA"/>
        <s v="SASSAMI"/>
        <s v="ASA"/>
        <s v="MOELA"/>
        <s v="DORSO"/>
        <s v="CORAÇÃO"/>
        <s v="CARTILAGEM PEITO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02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4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4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4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4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4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5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5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5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5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5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5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5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5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6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6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6"/>
    <x v="1"/>
    <s v="6a79aef54b165449d5bfd809"/>
    <s v="08/08/2026 00:45:27"/>
    <s v="10/08/2026 07:59:01"/>
    <s v="Ranieli"/>
    <s v="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7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7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7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7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7"/>
    <x v="1"/>
    <s v="6a7ab139f77da7ef00271bd3"/>
    <s v="10/08/2026 17:57:31"/>
    <s v="11/08/2026 02:20:57"/>
    <s v="Ranieli"/>
    <s v="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7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7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7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7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8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8"/>
    <x v="1"/>
    <s v="6a7ab13af77da7ef00271c09"/>
    <s v="11/08/2026 01:00:09"/>
    <s v="11/08/2026 02:20:58"/>
    <s v="Ranieli"/>
    <s v="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8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9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10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11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11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11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1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1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1"/>
    <x v="1"/>
    <s v="6a7d4daf8646cdc8463d56df"/>
    <s v="12/08/2026 17:56:49"/>
    <s v="13/08/2026 01:53:03"/>
    <s v="Ranieli"/>
    <s v="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1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1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1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1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1"/>
    <x v="1"/>
    <s v="6a7d4daf8646cdc8463d56fd"/>
    <s v="12/08/2026 18:23:01"/>
    <s v="13/08/2026 01:53:03"/>
    <s v="Ranieli"/>
    <s v="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1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1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2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2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2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2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2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2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2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2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2"/>
    <x v="1"/>
    <s v="6a7e6a7af77da7ef00378137"/>
    <s v="13/08/2026 22:01:04"/>
    <s v="13/08/2026 22:08:10"/>
    <s v="- -"/>
    <s v="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3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3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3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3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3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3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3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3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3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3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3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3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3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3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3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3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3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4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5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5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5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5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5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5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5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5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5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5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5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5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5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5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5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6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6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6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6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6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6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6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6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6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6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6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6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6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6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6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6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9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9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9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9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9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9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9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9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9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9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9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9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9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9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10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10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7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9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9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10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10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10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10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10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10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10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10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10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10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10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10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10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10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9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9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9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9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10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10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10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10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10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10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8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8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7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7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7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7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7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7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7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7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7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7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7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7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7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7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10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9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9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9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9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9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9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9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9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9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9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9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9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9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9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9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9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9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9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9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9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9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9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9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9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9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9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9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9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20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21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21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21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21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21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21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21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21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21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21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21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21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21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21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21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21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21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21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21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22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2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20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20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20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20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20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20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20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20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20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20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20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20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20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20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20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20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20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20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20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20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3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2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2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2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2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2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2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2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2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2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2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2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2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3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2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2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2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2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2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2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2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2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2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2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2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2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2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2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2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2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2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2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3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3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3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3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3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3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3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3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3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3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3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3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3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3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3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3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3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3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3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3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3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3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3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3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3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3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3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3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3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3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3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3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4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4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4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4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4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5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5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5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5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5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5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5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5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5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5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5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5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5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5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5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5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5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5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5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5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5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5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5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5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5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5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5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5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5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5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5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5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5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3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3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5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5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5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5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5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5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4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4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4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4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4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4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4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4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4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4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4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4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4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4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4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4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4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4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4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4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4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4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4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4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4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4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4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4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6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6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6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6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6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6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6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6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7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7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7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7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7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7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7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7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7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7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7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7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7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7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7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7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7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7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7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7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7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7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7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7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7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7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4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4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4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4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7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7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7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7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7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7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7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7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7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7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7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7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7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6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6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6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6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6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6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6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6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6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6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6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6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6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6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6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6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6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6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6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6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6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6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6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6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6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6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6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6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6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6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6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6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6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6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6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6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6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6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7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7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7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7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7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7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7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8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8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8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8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8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8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8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8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8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8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8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8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8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8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8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8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8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8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8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8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8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8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8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8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8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8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8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8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8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8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8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8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8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8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8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8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8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8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9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9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30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9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9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9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9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9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9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9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9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9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9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9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9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9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9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9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9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9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9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9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9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9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9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9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9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9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9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9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9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9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9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9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9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9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31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31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9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9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9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31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31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31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31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31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31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31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31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31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31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31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31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31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31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31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31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31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31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31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31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31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31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31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31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31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31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31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31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31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31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31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31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31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31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31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31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31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31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31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31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31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31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31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32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32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32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32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32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32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32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32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32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32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32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32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32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32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32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32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32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2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2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2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2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2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2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9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3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3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3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3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3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3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3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3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3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3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3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3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3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3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3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3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3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3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3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3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3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3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3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3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3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3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3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3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3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3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3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3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3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3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3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3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3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3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3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3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3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3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3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3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3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32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4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3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3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32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32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8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6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7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4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4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4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4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4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4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4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4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4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4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4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4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4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4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4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4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4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9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6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4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4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4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4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4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4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4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4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4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4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4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4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4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4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4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4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4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4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4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4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4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4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4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4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4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5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5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5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5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5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5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5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5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5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5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5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5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5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5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5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5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5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5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5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5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5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5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4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5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5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5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6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6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6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6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6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7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7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7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7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7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7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7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7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7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7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7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7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7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7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7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7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7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7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7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7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7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7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7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7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7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7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8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8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8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8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8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8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8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8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8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8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8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8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8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8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8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8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8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8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8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8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8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8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8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8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8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8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8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8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8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5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5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5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5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5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8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8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8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8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5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5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5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5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5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5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5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5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5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5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5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5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5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5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5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5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5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5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5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5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5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5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4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5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5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5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9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9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9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9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40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40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40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40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40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40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40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40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40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40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40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40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40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40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40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40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40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40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40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40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40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40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40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40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40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40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40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40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40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40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40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40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40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40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40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7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6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6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6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6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6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6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7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7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7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7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7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7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7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7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7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7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7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7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7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7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7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7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7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7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7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7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7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7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7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7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7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7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8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8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8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8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8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8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8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8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8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8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8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8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8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8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8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8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8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8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8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8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8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8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8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8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8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8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8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8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8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5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5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5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5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5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8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8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8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8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5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5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5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5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5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5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5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5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5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5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5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5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5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5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5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5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5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5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5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5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5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5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4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5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5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5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41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41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41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41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41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41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41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41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41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41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41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41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41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41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41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41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41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41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41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41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41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40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41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41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41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9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9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9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9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9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9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9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9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9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9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9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9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9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9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9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9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9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9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9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9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9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9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9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9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9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9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9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9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9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1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S43" firstHeaderRow="1" firstDataRow="2" firstDataCol="1"/>
  <pivotFields count="29">
    <pivotField axis="axisCol" numFmtId="165" showAll="0" sortType="ascending" defaultSubtotal="0">
      <items count="42">
        <item x="0"/>
        <item x="1"/>
        <item x="2"/>
        <item x="3"/>
        <item x="4"/>
        <item x="5"/>
        <item x="6"/>
        <item x="7"/>
        <item x="8"/>
        <item x="11"/>
        <item x="12"/>
        <item x="13"/>
        <item x="14"/>
        <item x="15"/>
        <item x="16"/>
        <item x="9"/>
        <item x="10"/>
        <item x="17"/>
        <item x="18"/>
        <item x="19"/>
        <item x="21"/>
        <item x="20"/>
        <item x="22"/>
        <item x="23"/>
        <item x="25"/>
        <item x="24"/>
        <item x="27"/>
        <item x="26"/>
        <item x="28"/>
        <item x="31"/>
        <item x="29"/>
        <item x="30"/>
        <item x="32"/>
        <item x="33"/>
        <item x="34"/>
        <item x="35"/>
        <item x="38"/>
        <item x="37"/>
        <item x="36"/>
        <item x="40"/>
        <item x="39"/>
        <item x="41"/>
      </items>
    </pivotField>
    <pivotField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38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6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t="default" sd="0"/>
      </items>
    </pivotField>
    <pivotField axis="axisRow" showAll="0">
      <items count="10">
        <item x="3"/>
        <item x="4"/>
        <item x="0"/>
        <item x="1"/>
        <item x="2"/>
        <item sd="0" m="1" x="8"/>
        <item x="5"/>
        <item sd="0" x="6"/>
        <item x="7"/>
        <item t="default" sd="0"/>
      </items>
    </pivotField>
  </pivotFields>
  <rowFields count="3">
    <field x="28"/>
    <field x="27"/>
    <field x="7"/>
  </rowFields>
  <rowItems count="37">
    <i>
      <x/>
    </i>
    <i r="1">
      <x/>
    </i>
    <i r="1">
      <x v="10"/>
    </i>
    <i r="1">
      <x v="15"/>
    </i>
    <i r="1">
      <x v="18"/>
    </i>
    <i r="1">
      <x v="21"/>
    </i>
    <i r="1">
      <x v="24"/>
    </i>
    <i>
      <x v="1"/>
    </i>
    <i r="1">
      <x v="16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1">
      <x v="34"/>
    </i>
    <i r="1">
      <x v="35"/>
    </i>
    <i>
      <x v="4"/>
    </i>
    <i r="1">
      <x v="12"/>
    </i>
    <i r="1">
      <x v="30"/>
    </i>
    <i>
      <x v="7"/>
    </i>
    <i>
      <x v="8"/>
    </i>
    <i r="1">
      <x v="36"/>
    </i>
  </rowItems>
  <colFields count="1">
    <field x="0"/>
  </colFields>
  <colItems count="18"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colItems>
  <dataFields count="1">
    <dataField name="Média de Desvio" fld="26" subtotal="average" baseField="27" baseItem="3" numFmtId="167"/>
  </dataFields>
  <formats count="14">
    <format dxfId="132">
      <pivotArea outline="0" collapsedLevelsAreSubtotals="1" fieldPosition="0"/>
    </format>
    <format dxfId="131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30">
      <pivotArea dataOnly="0" labelOnly="1" grandCol="1" outline="0" fieldPosition="0"/>
    </format>
    <format dxfId="129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8">
      <pivotArea dataOnly="0" labelOnly="1" grandCol="1" outline="0" fieldPosition="0"/>
    </format>
    <format dxfId="127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126">
      <pivotArea field="28" type="button" dataOnly="0" labelOnly="1" outline="0" axis="axisRow" fieldPosition="0"/>
    </format>
    <format dxfId="125">
      <pivotArea dataOnly="0" labelOnly="1" fieldPosition="0">
        <references count="1">
          <reference field="0" count="4">
            <x v="25"/>
            <x v="26"/>
            <x v="27"/>
            <x v="28"/>
          </reference>
        </references>
      </pivotArea>
    </format>
    <format dxfId="124">
      <pivotArea dataOnly="0" labelOnly="1" grandCol="1" outline="0" fieldPosition="0"/>
    </format>
    <format dxfId="123">
      <pivotArea field="28" type="button" dataOnly="0" labelOnly="1" outline="0" axis="axisRow" fieldPosition="0"/>
    </format>
    <format dxfId="122">
      <pivotArea dataOnly="0" labelOnly="1" fieldPosition="0">
        <references count="1">
          <reference field="0" count="9"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21">
      <pivotArea dataOnly="0" labelOnly="1" fieldPosition="0">
        <references count="1">
          <reference field="0" count="1">
            <x v="34"/>
          </reference>
        </references>
      </pivotArea>
    </format>
    <format dxfId="120">
      <pivotArea dataOnly="0" labelOnly="1" grandCol="1" outline="0" fieldPosition="0"/>
    </format>
    <format dxfId="93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21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D50" firstHeaderRow="1" firstDataRow="2" firstDataCol="1"/>
  <pivotFields count="29">
    <pivotField numFmtId="165" showAll="0" defaultSubtota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38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6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t="default" sd="0"/>
      </items>
    </pivotField>
    <pivotField axis="axisRow" showAll="0">
      <items count="10">
        <item x="3"/>
        <item sd="0" x="4"/>
        <item sd="0" x="0"/>
        <item x="1"/>
        <item sd="0" x="2"/>
        <item sd="0" m="1" x="8"/>
        <item x="5"/>
        <item x="6"/>
        <item x="7"/>
        <item t="default" sd="0"/>
      </items>
    </pivotField>
  </pivotFields>
  <rowFields count="3">
    <field x="28"/>
    <field x="27"/>
    <field x="7"/>
  </rowFields>
  <rowItems count="44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 t="grand">
      <x/>
    </i>
  </rowItems>
  <colFields count="1">
    <field x="1"/>
  </colFields>
  <colItems count="3">
    <i>
      <x/>
    </i>
    <i>
      <x v="1"/>
    </i>
    <i>
      <x v="2"/>
    </i>
  </colItems>
  <dataFields count="1">
    <dataField name="Média de Desvio" fld="26" subtotal="average" baseField="27" baseItem="1" numFmtId="167"/>
  </dataFields>
  <formats count="4">
    <format dxfId="119">
      <pivotArea outline="0" collapsedLevelsAreSubtotals="1" fieldPosition="0"/>
    </format>
    <format dxfId="118">
      <pivotArea dataOnly="0" labelOnly="1" grandCol="1" outline="0" fieldPosition="0"/>
    </format>
    <format dxfId="117">
      <pivotArea dataOnly="0" labelOnly="1" grandCol="1" outline="0" fieldPosition="0"/>
    </format>
    <format dxfId="9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9">
        <i x="3" s="1"/>
        <i x="7" s="1"/>
        <i x="6" s="1"/>
        <i x="4" s="1"/>
        <i x="0" s="1"/>
        <i x="1" s="1"/>
        <i x="2" s="1"/>
        <i x="5" s="1" nd="1"/>
        <i x="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9">
        <i x="3" s="1"/>
        <i x="7" s="1"/>
        <i x="6" s="1"/>
        <i x="5" s="1"/>
        <i x="4" s="1"/>
        <i x="0" s="1"/>
        <i x="1" s="1"/>
        <i x="2" s="1"/>
        <i x="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103" totalsRowShown="0">
  <autoFilter ref="A1:AC1103"/>
  <tableColumns count="29">
    <tableColumn id="25" name="Data Corrigida" dataDxfId="115">
      <calculatedColumnFormula>INT(Tabela1[[#This Row],[Data e Hora]])</calculatedColumnFormula>
    </tableColumn>
    <tableColumn id="26" name="Mês" dataDxfId="114">
      <calculatedColumnFormula>UPPER(TEXT(Tabela1[[#This Row],[Data Corrigida]],"MMM"))</calculatedColumnFormula>
    </tableColumn>
    <tableColumn id="1" name="ID"/>
    <tableColumn id="2" name="Data e Hora" dataDxfId="113"/>
    <tableColumn id="3" name="Data recebimento" dataDxfId="112"/>
    <tableColumn id="4" name="Usuário"/>
    <tableColumn id="5" name="Data e Hora2" dataDxfId="111"/>
    <tableColumn id="6" name="Turno"/>
    <tableColumn id="7" name="Agente de Monitoramento"/>
    <tableColumn id="8" name="SKU"/>
    <tableColumn id="9" name="Peso  1" dataDxfId="110"/>
    <tableColumn id="10" name="Peso  2" dataDxfId="109"/>
    <tableColumn id="11" name="Peso  3" dataDxfId="108"/>
    <tableColumn id="12" name="Peso  4" dataDxfId="107"/>
    <tableColumn id="13" name="Peso  5" dataDxfId="106"/>
    <tableColumn id="14" name="Peso  6" dataDxfId="105"/>
    <tableColumn id="15" name="Peso  7" dataDxfId="104"/>
    <tableColumn id="16" name="Peso  8" dataDxfId="103"/>
    <tableColumn id="17" name="Peso  9" dataDxfId="102"/>
    <tableColumn id="18" name="Peso  10" dataDxfId="101"/>
    <tableColumn id="19" name="Média" dataDxfId="100"/>
    <tableColumn id="20" name="Média (Comentário)"/>
    <tableColumn id="21" name="Colunas1"/>
    <tableColumn id="22" name="Tempo de resposta"/>
    <tableColumn id="28" name="Meta" dataDxfId="99">
      <calculatedColumnFormula>VLOOKUP(Tabela1[[#This Row],[SKU]],SKU!A:D,4,0)</calculatedColumnFormula>
    </tableColumn>
    <tableColumn id="27" name="% Sobrepeso" dataDxfId="98" dataCellStyle="Porcentagem">
      <calculatedColumnFormula>IFERROR((Tabela1[[#This Row],[Média]]-Tabela1[[#This Row],[Meta]])/Tabela1[[#This Row],[Meta]],"")</calculatedColumnFormula>
    </tableColumn>
    <tableColumn id="29" name="Desvio" dataDxfId="97" dataCellStyle="Porcentagem">
      <calculatedColumnFormula>Tabela1[[#This Row],[Média]]-Tabela1[[#This Row],[Meta]]</calculatedColumnFormula>
    </tableColumn>
    <tableColumn id="23" name="Item" dataDxfId="96">
      <calculatedColumnFormula>VLOOKUP(Tabela1[[#This Row],[SKU]],SKU!A:B,2,0)</calculatedColumnFormula>
    </tableColumn>
    <tableColumn id="24" name="Família" dataDxfId="95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4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I11" sqref="I11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6">
        <v>46266</v>
      </c>
      <c r="C6" s="26">
        <v>46267</v>
      </c>
      <c r="D6" s="26">
        <v>46268</v>
      </c>
      <c r="E6" s="26">
        <v>46273</v>
      </c>
      <c r="F6" s="28">
        <v>46274</v>
      </c>
      <c r="G6" s="28">
        <v>46275</v>
      </c>
      <c r="H6" s="28">
        <v>46276</v>
      </c>
      <c r="I6" s="28">
        <v>46277</v>
      </c>
      <c r="J6" s="28">
        <v>46279</v>
      </c>
      <c r="K6" s="28">
        <v>46280</v>
      </c>
      <c r="L6" s="30">
        <v>46281</v>
      </c>
      <c r="M6" s="30">
        <v>46282</v>
      </c>
      <c r="N6" s="30">
        <v>46283</v>
      </c>
      <c r="O6" s="30">
        <v>46284</v>
      </c>
      <c r="P6" s="30">
        <v>46286</v>
      </c>
      <c r="Q6" s="30">
        <v>46287</v>
      </c>
      <c r="R6" s="30">
        <v>46288</v>
      </c>
      <c r="S6" s="23" t="s">
        <v>409</v>
      </c>
    </row>
    <row r="7" spans="1:32" x14ac:dyDescent="0.25">
      <c r="A7" s="12" t="s">
        <v>385</v>
      </c>
      <c r="B7" s="34">
        <v>9.3999999999996362</v>
      </c>
      <c r="C7" s="34">
        <v>12.275000000000006</v>
      </c>
      <c r="D7" s="34">
        <v>6</v>
      </c>
      <c r="E7" s="34">
        <v>-34.957142857142799</v>
      </c>
      <c r="F7" s="34">
        <v>19.949999999999818</v>
      </c>
      <c r="G7" s="34">
        <v>27.385714285714261</v>
      </c>
      <c r="H7" s="34">
        <v>19.150000000000091</v>
      </c>
      <c r="I7" s="34"/>
      <c r="J7" s="34">
        <v>21.650000000000091</v>
      </c>
      <c r="K7" s="34">
        <v>13.780000000000086</v>
      </c>
      <c r="L7" s="34">
        <v>28.633333333333212</v>
      </c>
      <c r="M7" s="34">
        <v>13.89999999999994</v>
      </c>
      <c r="N7" s="34">
        <v>21.599999999999909</v>
      </c>
      <c r="O7" s="34"/>
      <c r="P7" s="34">
        <v>24.233333333333462</v>
      </c>
      <c r="Q7" s="34">
        <v>33.633333333333212</v>
      </c>
      <c r="R7" s="34">
        <v>25.400000000000091</v>
      </c>
      <c r="S7" s="34">
        <v>14.868333333333315</v>
      </c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4"/>
      <c r="C8" s="34"/>
      <c r="D8" s="34"/>
      <c r="E8" s="34">
        <v>-169.25</v>
      </c>
      <c r="F8" s="34">
        <v>30.799999999999272</v>
      </c>
      <c r="G8" s="34">
        <v>47.5</v>
      </c>
      <c r="H8" s="34">
        <v>63.5</v>
      </c>
      <c r="I8" s="34"/>
      <c r="J8" s="34"/>
      <c r="K8" s="34"/>
      <c r="L8" s="34">
        <v>29</v>
      </c>
      <c r="M8" s="34"/>
      <c r="N8" s="34"/>
      <c r="O8" s="34"/>
      <c r="P8" s="34">
        <v>59.5</v>
      </c>
      <c r="Q8" s="34"/>
      <c r="R8" s="34"/>
      <c r="S8" s="34">
        <v>-5.5777777777778583</v>
      </c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4"/>
      <c r="C9" s="34">
        <v>18.550000000000011</v>
      </c>
      <c r="D9" s="34"/>
      <c r="E9" s="34">
        <v>18.350000000000023</v>
      </c>
      <c r="F9" s="34"/>
      <c r="G9" s="34">
        <v>27.75</v>
      </c>
      <c r="H9" s="34">
        <v>2.25</v>
      </c>
      <c r="I9" s="34"/>
      <c r="J9" s="34"/>
      <c r="K9" s="34"/>
      <c r="L9" s="34"/>
      <c r="M9" s="34"/>
      <c r="N9" s="34">
        <v>31.5</v>
      </c>
      <c r="O9" s="34"/>
      <c r="P9" s="34"/>
      <c r="Q9" s="34"/>
      <c r="R9" s="34"/>
      <c r="S9" s="34">
        <v>21.025000000000006</v>
      </c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371</v>
      </c>
      <c r="B10" s="34"/>
      <c r="C10" s="34"/>
      <c r="D10" s="34"/>
      <c r="E10" s="34"/>
      <c r="F10" s="34"/>
      <c r="G10" s="34">
        <v>35.800000000000182</v>
      </c>
      <c r="H10" s="34"/>
      <c r="I10" s="34"/>
      <c r="J10" s="34"/>
      <c r="K10" s="34"/>
      <c r="L10" s="34"/>
      <c r="M10" s="34">
        <v>4.5</v>
      </c>
      <c r="N10" s="34"/>
      <c r="O10" s="34"/>
      <c r="P10" s="34"/>
      <c r="Q10" s="34"/>
      <c r="R10" s="34">
        <v>42.699999999999818</v>
      </c>
      <c r="S10" s="34">
        <v>21.875</v>
      </c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303</v>
      </c>
      <c r="B11" s="34">
        <v>9.3999999999996362</v>
      </c>
      <c r="C11" s="34">
        <v>6</v>
      </c>
      <c r="D11" s="34">
        <v>6</v>
      </c>
      <c r="E11" s="34">
        <v>9.8999999999996362</v>
      </c>
      <c r="F11" s="34">
        <v>9.1000000000003638</v>
      </c>
      <c r="G11" s="34">
        <v>-2.6000000000003638</v>
      </c>
      <c r="H11" s="34">
        <v>8.6000000000003638</v>
      </c>
      <c r="I11" s="34"/>
      <c r="J11" s="34">
        <v>10.300000000000182</v>
      </c>
      <c r="K11" s="34">
        <v>9.1000000000003638</v>
      </c>
      <c r="L11" s="34">
        <v>10.399999999999636</v>
      </c>
      <c r="M11" s="34">
        <v>6.1999999999998181</v>
      </c>
      <c r="N11" s="34">
        <v>11.699999999999818</v>
      </c>
      <c r="O11" s="34"/>
      <c r="P11" s="34">
        <v>8.1000000000003638</v>
      </c>
      <c r="Q11" s="34">
        <v>5.3999999999996362</v>
      </c>
      <c r="R11" s="34">
        <v>8.1000000000003638</v>
      </c>
      <c r="S11" s="34">
        <v>8.0199999999999356</v>
      </c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380</v>
      </c>
      <c r="B12" s="34"/>
      <c r="C12" s="34"/>
      <c r="D12" s="34"/>
      <c r="E12" s="34">
        <v>23.600000000000364</v>
      </c>
      <c r="F12" s="34"/>
      <c r="G12" s="34"/>
      <c r="H12" s="34"/>
      <c r="I12" s="34"/>
      <c r="J12" s="34">
        <v>33</v>
      </c>
      <c r="K12" s="34">
        <v>40.5</v>
      </c>
      <c r="L12" s="34">
        <v>46.5</v>
      </c>
      <c r="M12" s="34">
        <v>31</v>
      </c>
      <c r="N12" s="34"/>
      <c r="O12" s="34"/>
      <c r="P12" s="34"/>
      <c r="Q12" s="34">
        <v>47.75</v>
      </c>
      <c r="R12" s="34"/>
      <c r="S12" s="34">
        <v>37.97272727272734</v>
      </c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7" t="s">
        <v>341</v>
      </c>
      <c r="B13" s="34"/>
      <c r="C13" s="34"/>
      <c r="D13" s="34"/>
      <c r="E13" s="34"/>
      <c r="F13" s="34"/>
      <c r="G13" s="34"/>
      <c r="H13" s="34"/>
      <c r="I13" s="34"/>
      <c r="J13" s="34"/>
      <c r="K13" s="34">
        <v>6.4333333333333558</v>
      </c>
      <c r="L13" s="34"/>
      <c r="M13" s="34"/>
      <c r="N13" s="34"/>
      <c r="O13" s="34"/>
      <c r="P13" s="34">
        <v>5.1000000000000227</v>
      </c>
      <c r="Q13" s="34"/>
      <c r="R13" s="34"/>
      <c r="S13" s="34">
        <v>6.1000000000000227</v>
      </c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2" t="s">
        <v>391</v>
      </c>
      <c r="B14" s="34"/>
      <c r="C14" s="34"/>
      <c r="D14" s="34"/>
      <c r="E14" s="34"/>
      <c r="F14" s="34">
        <v>0.29999999999995453</v>
      </c>
      <c r="G14" s="34">
        <v>-1.2999999999999545</v>
      </c>
      <c r="H14" s="34"/>
      <c r="I14" s="34"/>
      <c r="J14" s="34"/>
      <c r="K14" s="34">
        <v>5.7000000000000455</v>
      </c>
      <c r="L14" s="34"/>
      <c r="M14" s="34"/>
      <c r="N14" s="34"/>
      <c r="O14" s="34"/>
      <c r="P14" s="34">
        <v>0.39999999999997726</v>
      </c>
      <c r="Q14" s="34"/>
      <c r="R14" s="34"/>
      <c r="S14" s="34">
        <v>1.2750000000000057</v>
      </c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323</v>
      </c>
      <c r="B15" s="34"/>
      <c r="C15" s="34"/>
      <c r="D15" s="34"/>
      <c r="E15" s="34"/>
      <c r="F15" s="34">
        <v>0.29999999999995453</v>
      </c>
      <c r="G15" s="34">
        <v>-1.2999999999999545</v>
      </c>
      <c r="H15" s="34"/>
      <c r="I15" s="34"/>
      <c r="J15" s="34"/>
      <c r="K15" s="34">
        <v>5.7000000000000455</v>
      </c>
      <c r="L15" s="34"/>
      <c r="M15" s="34"/>
      <c r="N15" s="34"/>
      <c r="O15" s="34"/>
      <c r="P15" s="34">
        <v>0.39999999999997726</v>
      </c>
      <c r="Q15" s="34"/>
      <c r="R15" s="34"/>
      <c r="S15" s="34">
        <v>1.2750000000000057</v>
      </c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386</v>
      </c>
      <c r="B16" s="34">
        <v>14.588888888888883</v>
      </c>
      <c r="C16" s="34">
        <v>17.693750000000009</v>
      </c>
      <c r="D16" s="34">
        <v>18.04</v>
      </c>
      <c r="E16" s="34">
        <v>16.427272727272722</v>
      </c>
      <c r="F16" s="34">
        <v>21.729999999999997</v>
      </c>
      <c r="G16" s="34">
        <v>12.477777777777773</v>
      </c>
      <c r="H16" s="34">
        <v>17</v>
      </c>
      <c r="I16" s="34">
        <v>18.239999999999988</v>
      </c>
      <c r="J16" s="34">
        <v>21.325000000000003</v>
      </c>
      <c r="K16" s="34">
        <v>9.5222222222222399</v>
      </c>
      <c r="L16" s="34">
        <v>12.978571428571408</v>
      </c>
      <c r="M16" s="34">
        <v>10.883333333333345</v>
      </c>
      <c r="N16" s="34">
        <v>17.399999999999999</v>
      </c>
      <c r="O16" s="34"/>
      <c r="P16" s="34">
        <v>12.142857142857158</v>
      </c>
      <c r="Q16" s="34">
        <v>19.033333333333342</v>
      </c>
      <c r="R16" s="34">
        <v>22.099999999999966</v>
      </c>
      <c r="S16" s="34">
        <v>15.901342281879195</v>
      </c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326</v>
      </c>
      <c r="B17" s="34">
        <v>14.762499999999989</v>
      </c>
      <c r="C17" s="34">
        <v>17.693750000000009</v>
      </c>
      <c r="D17" s="34">
        <v>17.055555555555543</v>
      </c>
      <c r="E17" s="34">
        <v>16.599999999999987</v>
      </c>
      <c r="F17" s="34">
        <v>21.344444444444434</v>
      </c>
      <c r="G17" s="34">
        <v>9.5571428571428534</v>
      </c>
      <c r="H17" s="34">
        <v>17.479999999999997</v>
      </c>
      <c r="I17" s="34">
        <v>18.239999999999988</v>
      </c>
      <c r="J17" s="34">
        <v>23.183333333333337</v>
      </c>
      <c r="K17" s="34">
        <v>9.5222222222222399</v>
      </c>
      <c r="L17" s="34">
        <v>12.978571428571408</v>
      </c>
      <c r="M17" s="34">
        <v>7.5600000000000138</v>
      </c>
      <c r="N17" s="34">
        <v>12.700000000000008</v>
      </c>
      <c r="O17" s="34"/>
      <c r="P17" s="34">
        <v>9.6333333333333453</v>
      </c>
      <c r="Q17" s="34">
        <v>14.5</v>
      </c>
      <c r="R17" s="34">
        <v>22.099999999999966</v>
      </c>
      <c r="S17" s="34">
        <v>14.988636363636363</v>
      </c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329</v>
      </c>
      <c r="B18" s="34">
        <v>13.200000000000045</v>
      </c>
      <c r="C18" s="34"/>
      <c r="D18" s="34">
        <v>26.900000000000091</v>
      </c>
      <c r="E18" s="34">
        <v>14.700000000000045</v>
      </c>
      <c r="F18" s="34">
        <v>25.200000000000045</v>
      </c>
      <c r="G18" s="34">
        <v>22.699999999999989</v>
      </c>
      <c r="H18" s="34">
        <v>12.200000000000045</v>
      </c>
      <c r="I18" s="34"/>
      <c r="J18" s="34">
        <v>15.75</v>
      </c>
      <c r="K18" s="34"/>
      <c r="L18" s="34"/>
      <c r="M18" s="34">
        <v>27.5</v>
      </c>
      <c r="N18" s="34">
        <v>24.449999999999989</v>
      </c>
      <c r="O18" s="34"/>
      <c r="P18" s="34">
        <v>27.200000000000045</v>
      </c>
      <c r="Q18" s="34">
        <v>41.700000000000045</v>
      </c>
      <c r="R18" s="34"/>
      <c r="S18" s="34">
        <v>22.988235294117665</v>
      </c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2" t="s">
        <v>396</v>
      </c>
      <c r="B19" s="34">
        <v>29.265384615384612</v>
      </c>
      <c r="C19" s="34">
        <v>22.592000000000006</v>
      </c>
      <c r="D19" s="34">
        <v>22.067857142857143</v>
      </c>
      <c r="E19" s="34">
        <v>19.636842105263145</v>
      </c>
      <c r="F19" s="34">
        <v>20.639285714285734</v>
      </c>
      <c r="G19" s="34">
        <v>16.285000000000036</v>
      </c>
      <c r="H19" s="34">
        <v>20.277777777777775</v>
      </c>
      <c r="I19" s="34">
        <v>18.811111111111099</v>
      </c>
      <c r="J19" s="34">
        <v>14.263333333333302</v>
      </c>
      <c r="K19" s="34">
        <v>31.329629629629647</v>
      </c>
      <c r="L19" s="34">
        <v>27.189473684210501</v>
      </c>
      <c r="M19" s="34">
        <v>27.685714285714301</v>
      </c>
      <c r="N19" s="34">
        <v>14.238888888888912</v>
      </c>
      <c r="O19" s="34">
        <v>7.779999999999859</v>
      </c>
      <c r="P19" s="34">
        <v>23.227272727272734</v>
      </c>
      <c r="Q19" s="34">
        <v>15.213636363636361</v>
      </c>
      <c r="R19" s="34">
        <v>15.761111111111088</v>
      </c>
      <c r="S19" s="34">
        <v>21.566153846153842</v>
      </c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352</v>
      </c>
      <c r="B20" s="34">
        <v>11.299999999999955</v>
      </c>
      <c r="C20" s="34">
        <v>8.6000000000000085</v>
      </c>
      <c r="D20" s="34">
        <v>2.859999999999991</v>
      </c>
      <c r="E20" s="34">
        <v>3.566666666666682</v>
      </c>
      <c r="F20" s="34">
        <v>7.6500000000000057</v>
      </c>
      <c r="G20" s="34">
        <v>7.8999999999999773</v>
      </c>
      <c r="H20" s="34">
        <v>8.2000000000000171</v>
      </c>
      <c r="I20" s="34">
        <v>4.3000000000000114</v>
      </c>
      <c r="J20" s="34">
        <v>1.2200000000000046</v>
      </c>
      <c r="K20" s="34">
        <v>5.1800000000000184</v>
      </c>
      <c r="L20" s="34"/>
      <c r="M20" s="34"/>
      <c r="N20" s="34">
        <v>6.0999999999999659</v>
      </c>
      <c r="O20" s="34">
        <v>7.2999999999999545</v>
      </c>
      <c r="P20" s="34">
        <v>9.1000000000000227</v>
      </c>
      <c r="Q20" s="34">
        <v>5.6750000000000114</v>
      </c>
      <c r="R20" s="34">
        <v>7.4333333333333185</v>
      </c>
      <c r="S20" s="34">
        <v>6.0690909090909084</v>
      </c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313</v>
      </c>
      <c r="B21" s="34">
        <v>28.875</v>
      </c>
      <c r="C21" s="34">
        <v>41.625</v>
      </c>
      <c r="D21" s="34">
        <v>24.1</v>
      </c>
      <c r="E21" s="34">
        <v>66</v>
      </c>
      <c r="F21" s="34">
        <v>25.875</v>
      </c>
      <c r="G21" s="34">
        <v>20.300000000000182</v>
      </c>
      <c r="H21" s="34">
        <v>16</v>
      </c>
      <c r="I21" s="34">
        <v>31.125</v>
      </c>
      <c r="J21" s="34">
        <v>-1.4400000000001456</v>
      </c>
      <c r="K21" s="34">
        <v>13.833333333333334</v>
      </c>
      <c r="L21" s="34">
        <v>53.333333333333336</v>
      </c>
      <c r="M21" s="34">
        <v>48.166666666666664</v>
      </c>
      <c r="N21" s="34">
        <v>33.875</v>
      </c>
      <c r="O21" s="34">
        <v>-1.7000000000007276</v>
      </c>
      <c r="P21" s="34">
        <v>44.125</v>
      </c>
      <c r="Q21" s="34">
        <v>19.3</v>
      </c>
      <c r="R21" s="34">
        <v>2.5</v>
      </c>
      <c r="S21" s="34">
        <v>30.693023255813937</v>
      </c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344</v>
      </c>
      <c r="B22" s="34"/>
      <c r="C22" s="34">
        <v>8.3999999999999773</v>
      </c>
      <c r="D22" s="34"/>
      <c r="E22" s="34">
        <v>3.6500000000000341</v>
      </c>
      <c r="F22" s="34">
        <v>8.7000000000000455</v>
      </c>
      <c r="G22" s="34"/>
      <c r="H22" s="34">
        <v>13.600000000000023</v>
      </c>
      <c r="I22" s="34"/>
      <c r="J22" s="34">
        <v>8.6000000000000227</v>
      </c>
      <c r="K22" s="34">
        <v>5.6000000000000227</v>
      </c>
      <c r="L22" s="34"/>
      <c r="M22" s="34"/>
      <c r="N22" s="34"/>
      <c r="O22" s="34"/>
      <c r="P22" s="34">
        <v>5.7999999999999545</v>
      </c>
      <c r="Q22" s="34"/>
      <c r="R22" s="34">
        <v>10.5</v>
      </c>
      <c r="S22" s="34">
        <v>7.611111111111124</v>
      </c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356</v>
      </c>
      <c r="B23" s="34"/>
      <c r="C23" s="34"/>
      <c r="D23" s="34">
        <v>51.300000000000182</v>
      </c>
      <c r="E23" s="34">
        <v>47.299999999999955</v>
      </c>
      <c r="F23" s="34"/>
      <c r="G23" s="34">
        <v>37.100000000000023</v>
      </c>
      <c r="H23" s="34"/>
      <c r="I23" s="34">
        <v>27.050000000000068</v>
      </c>
      <c r="J23" s="34">
        <v>33</v>
      </c>
      <c r="K23" s="34">
        <v>40.100000000000023</v>
      </c>
      <c r="L23" s="34">
        <v>36.900000000000091</v>
      </c>
      <c r="M23" s="34">
        <v>16.649999999999977</v>
      </c>
      <c r="N23" s="34">
        <v>37.500000000000114</v>
      </c>
      <c r="O23" s="34"/>
      <c r="P23" s="34">
        <v>34.75</v>
      </c>
      <c r="Q23" s="34">
        <v>29.200000000000045</v>
      </c>
      <c r="R23" s="34">
        <v>29</v>
      </c>
      <c r="S23" s="34">
        <v>32.972000000000044</v>
      </c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314</v>
      </c>
      <c r="B24" s="34">
        <v>52.599999999999909</v>
      </c>
      <c r="C24" s="34">
        <v>23.200000000000045</v>
      </c>
      <c r="D24" s="34">
        <v>35.949999999999932</v>
      </c>
      <c r="E24" s="34">
        <v>38.200000000000045</v>
      </c>
      <c r="F24" s="34">
        <v>36.600000000000058</v>
      </c>
      <c r="G24" s="34">
        <v>26.700000000000045</v>
      </c>
      <c r="H24" s="34">
        <v>41.266666666666652</v>
      </c>
      <c r="I24" s="34">
        <v>38.099999999999909</v>
      </c>
      <c r="J24" s="34">
        <v>37.850000000000023</v>
      </c>
      <c r="K24" s="34">
        <v>37.050000000000068</v>
      </c>
      <c r="L24" s="34">
        <v>34.162499999999966</v>
      </c>
      <c r="M24" s="34">
        <v>41.26666666666673</v>
      </c>
      <c r="N24" s="34">
        <v>30.650000000000091</v>
      </c>
      <c r="O24" s="34"/>
      <c r="P24" s="34">
        <v>21</v>
      </c>
      <c r="Q24" s="34">
        <v>26.699999999999932</v>
      </c>
      <c r="R24" s="34">
        <v>41.049999999999955</v>
      </c>
      <c r="S24" s="34">
        <v>35.490243902439033</v>
      </c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315</v>
      </c>
      <c r="B25" s="34">
        <v>28.549999999999955</v>
      </c>
      <c r="C25" s="34">
        <v>24.5</v>
      </c>
      <c r="D25" s="34">
        <v>19.050000000000068</v>
      </c>
      <c r="E25" s="34">
        <v>9.5999999999999091</v>
      </c>
      <c r="F25" s="34">
        <v>11.675000000000011</v>
      </c>
      <c r="G25" s="34">
        <v>4.2000000000000455</v>
      </c>
      <c r="H25" s="34">
        <v>15.299999999999955</v>
      </c>
      <c r="I25" s="34">
        <v>12.666666666666666</v>
      </c>
      <c r="J25" s="34">
        <v>25.099999999999984</v>
      </c>
      <c r="K25" s="34">
        <v>28.100000000000023</v>
      </c>
      <c r="L25" s="34">
        <v>4.9999999999954525E-2</v>
      </c>
      <c r="M25" s="34">
        <v>11.533333333333303</v>
      </c>
      <c r="N25" s="34">
        <v>5.8999999999999773</v>
      </c>
      <c r="O25" s="34"/>
      <c r="P25" s="34">
        <v>14</v>
      </c>
      <c r="Q25" s="34">
        <v>7.5499999999999545</v>
      </c>
      <c r="R25" s="34">
        <v>18.649999999999977</v>
      </c>
      <c r="S25" s="34">
        <v>12.957777777777761</v>
      </c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316</v>
      </c>
      <c r="B26" s="34">
        <v>42.5</v>
      </c>
      <c r="C26" s="34">
        <v>-9.9999999999909051E-2</v>
      </c>
      <c r="D26" s="34">
        <v>38.049999999999955</v>
      </c>
      <c r="E26" s="34">
        <v>32</v>
      </c>
      <c r="F26" s="34">
        <v>42.5</v>
      </c>
      <c r="G26" s="34">
        <v>32.900000000000091</v>
      </c>
      <c r="H26" s="34">
        <v>42.333333333333336</v>
      </c>
      <c r="I26" s="34">
        <v>10.199999999999818</v>
      </c>
      <c r="J26" s="34">
        <v>29.199999999999818</v>
      </c>
      <c r="K26" s="34">
        <v>45.899999999999942</v>
      </c>
      <c r="L26" s="34">
        <v>30.099999999999909</v>
      </c>
      <c r="M26" s="34">
        <v>28.799999999999955</v>
      </c>
      <c r="N26" s="34">
        <v>-34.649999999999977</v>
      </c>
      <c r="O26" s="34"/>
      <c r="P26" s="34">
        <v>23.600000000000062</v>
      </c>
      <c r="Q26" s="34">
        <v>21.900000000000091</v>
      </c>
      <c r="R26" s="34">
        <v>13.699999999999818</v>
      </c>
      <c r="S26" s="34">
        <v>24.820512820512786</v>
      </c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317</v>
      </c>
      <c r="B27" s="34">
        <v>38.5</v>
      </c>
      <c r="C27" s="34">
        <v>5.5</v>
      </c>
      <c r="D27" s="34">
        <v>20.625</v>
      </c>
      <c r="E27" s="34">
        <v>22.049999999999955</v>
      </c>
      <c r="F27" s="34">
        <v>23.900000000000091</v>
      </c>
      <c r="G27" s="34">
        <v>17.5</v>
      </c>
      <c r="H27" s="34">
        <v>11.25</v>
      </c>
      <c r="I27" s="34">
        <v>11.399999999999977</v>
      </c>
      <c r="J27" s="34">
        <v>28.166666666666668</v>
      </c>
      <c r="K27" s="34">
        <v>90.800000000000182</v>
      </c>
      <c r="L27" s="34">
        <v>22.700000000000045</v>
      </c>
      <c r="M27" s="34">
        <v>25.400000000000034</v>
      </c>
      <c r="N27" s="34"/>
      <c r="O27" s="34"/>
      <c r="P27" s="34">
        <v>23.566666666666681</v>
      </c>
      <c r="Q27" s="34">
        <v>22.799999999999955</v>
      </c>
      <c r="R27" s="34">
        <v>18</v>
      </c>
      <c r="S27" s="34">
        <v>24.397142857142871</v>
      </c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353</v>
      </c>
      <c r="B28" s="34">
        <v>8.7999999999999545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>
        <v>8.7999999999999545</v>
      </c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345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>
        <v>3.7999999999999545</v>
      </c>
      <c r="M29" s="34"/>
      <c r="N29" s="34"/>
      <c r="O29" s="34"/>
      <c r="P29" s="34">
        <v>-8.8999999999999773</v>
      </c>
      <c r="Q29" s="34"/>
      <c r="R29" s="34">
        <v>-4.7999999999999545</v>
      </c>
      <c r="S29" s="34">
        <v>-0.46000000000001362</v>
      </c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351</v>
      </c>
      <c r="B30" s="34">
        <v>8.4857142857142662</v>
      </c>
      <c r="C30" s="34">
        <v>10.5</v>
      </c>
      <c r="D30" s="34">
        <v>5.6500000000000057</v>
      </c>
      <c r="E30" s="34">
        <v>7.2599999999999909</v>
      </c>
      <c r="F30" s="34">
        <v>8.7666666666666888</v>
      </c>
      <c r="G30" s="34">
        <v>6.1199999999999815</v>
      </c>
      <c r="H30" s="34">
        <v>11.399999999999977</v>
      </c>
      <c r="I30" s="34">
        <v>2.8500000000000227</v>
      </c>
      <c r="J30" s="34">
        <v>5.6500000000000057</v>
      </c>
      <c r="K30" s="34">
        <v>6.333333333333333</v>
      </c>
      <c r="L30" s="34"/>
      <c r="M30" s="34"/>
      <c r="N30" s="34">
        <v>6.4333333333333558</v>
      </c>
      <c r="O30" s="34">
        <v>7.1000000000000227</v>
      </c>
      <c r="P30" s="34">
        <v>5.3999999999999773</v>
      </c>
      <c r="Q30" s="34">
        <v>5.7999999999999829</v>
      </c>
      <c r="R30" s="34">
        <v>4.5666666666666815</v>
      </c>
      <c r="S30" s="34">
        <v>6.9736842105263159</v>
      </c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336</v>
      </c>
      <c r="B31" s="34"/>
      <c r="C31" s="34"/>
      <c r="D31" s="34"/>
      <c r="E31" s="34"/>
      <c r="F31" s="34"/>
      <c r="G31" s="34"/>
      <c r="H31" s="34">
        <v>29.25</v>
      </c>
      <c r="I31" s="34"/>
      <c r="J31" s="34">
        <v>-2</v>
      </c>
      <c r="K31" s="34">
        <v>22</v>
      </c>
      <c r="L31" s="34"/>
      <c r="M31" s="34"/>
      <c r="N31" s="34">
        <v>10.5</v>
      </c>
      <c r="O31" s="34"/>
      <c r="P31" s="34"/>
      <c r="Q31" s="34"/>
      <c r="R31" s="34"/>
      <c r="S31" s="34">
        <v>16.583333333333332</v>
      </c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318</v>
      </c>
      <c r="B32" s="34">
        <v>89.350000000000136</v>
      </c>
      <c r="C32" s="34">
        <v>70</v>
      </c>
      <c r="D32" s="34">
        <v>46.866666666666639</v>
      </c>
      <c r="E32" s="34">
        <v>15.599999999999909</v>
      </c>
      <c r="F32" s="34">
        <v>13.400000000000091</v>
      </c>
      <c r="G32" s="34">
        <v>26.799999999999955</v>
      </c>
      <c r="H32" s="34"/>
      <c r="I32" s="34">
        <v>36.599999999999909</v>
      </c>
      <c r="J32" s="34">
        <v>32.5</v>
      </c>
      <c r="K32" s="34">
        <v>51.450000000000045</v>
      </c>
      <c r="L32" s="34">
        <v>23.245454545454507</v>
      </c>
      <c r="M32" s="34">
        <v>24.800000000000068</v>
      </c>
      <c r="N32" s="34"/>
      <c r="O32" s="34"/>
      <c r="P32" s="34"/>
      <c r="Q32" s="34"/>
      <c r="R32" s="34">
        <v>28.799999999999955</v>
      </c>
      <c r="S32" s="34">
        <v>34.443333333333335</v>
      </c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349</v>
      </c>
      <c r="B33" s="34"/>
      <c r="C33" s="34"/>
      <c r="D33" s="34"/>
      <c r="E33" s="34"/>
      <c r="F33" s="34">
        <v>26.5</v>
      </c>
      <c r="G33" s="34"/>
      <c r="H33" s="34"/>
      <c r="I33" s="34"/>
      <c r="J33" s="34"/>
      <c r="K33" s="34"/>
      <c r="L33" s="34"/>
      <c r="M33" s="34">
        <v>22</v>
      </c>
      <c r="N33" s="34"/>
      <c r="O33" s="34"/>
      <c r="P33" s="34"/>
      <c r="Q33" s="34"/>
      <c r="R33" s="34"/>
      <c r="S33" s="34">
        <v>23.5</v>
      </c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367</v>
      </c>
      <c r="B34" s="34"/>
      <c r="C34" s="34"/>
      <c r="D34" s="34"/>
      <c r="E34" s="34"/>
      <c r="F34" s="34"/>
      <c r="G34" s="34"/>
      <c r="H34" s="34">
        <v>12.600000000000023</v>
      </c>
      <c r="I34" s="34"/>
      <c r="J34" s="34"/>
      <c r="K34" s="34"/>
      <c r="L34" s="34">
        <v>11.700000000000045</v>
      </c>
      <c r="M34" s="34"/>
      <c r="N34" s="34"/>
      <c r="O34" s="34"/>
      <c r="P34" s="34"/>
      <c r="Q34" s="34"/>
      <c r="R34" s="34"/>
      <c r="S34" s="34">
        <v>12.060000000000036</v>
      </c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A35" s="17" t="s">
        <v>357</v>
      </c>
      <c r="B35" s="34"/>
      <c r="C35" s="34"/>
      <c r="D35" s="34"/>
      <c r="E35" s="34"/>
      <c r="F35" s="34"/>
      <c r="G35" s="34"/>
      <c r="H35" s="34"/>
      <c r="I35" s="34"/>
      <c r="J35" s="34">
        <v>7.9000000000000909</v>
      </c>
      <c r="K35" s="34"/>
      <c r="L35" s="34">
        <v>24.799999999999955</v>
      </c>
      <c r="M35" s="34">
        <v>14.400000000000091</v>
      </c>
      <c r="N35" s="34"/>
      <c r="O35" s="34"/>
      <c r="P35" s="34">
        <v>28.099999999999909</v>
      </c>
      <c r="Q35" s="34">
        <v>20.700000000000045</v>
      </c>
      <c r="R35" s="34">
        <v>30.599999999999909</v>
      </c>
      <c r="S35" s="34">
        <v>21.166666666666668</v>
      </c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A36" s="17" t="s">
        <v>358</v>
      </c>
      <c r="B36" s="34"/>
      <c r="C36" s="34"/>
      <c r="D36" s="34"/>
      <c r="E36" s="34"/>
      <c r="F36" s="34"/>
      <c r="G36" s="34"/>
      <c r="H36" s="34"/>
      <c r="I36" s="34"/>
      <c r="J36" s="34"/>
      <c r="K36" s="34">
        <v>168.5</v>
      </c>
      <c r="L36" s="34"/>
      <c r="M36" s="34"/>
      <c r="N36" s="34"/>
      <c r="O36" s="34"/>
      <c r="P36" s="34"/>
      <c r="Q36" s="34"/>
      <c r="R36" s="34"/>
      <c r="S36" s="34">
        <v>168.5</v>
      </c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A37" s="17" t="s">
        <v>377</v>
      </c>
      <c r="B37" s="34"/>
      <c r="C37" s="34"/>
      <c r="D37" s="34"/>
      <c r="E37" s="34"/>
      <c r="F37" s="34"/>
      <c r="G37" s="34"/>
      <c r="H37" s="34"/>
      <c r="I37" s="34"/>
      <c r="J37" s="34"/>
      <c r="K37" s="34">
        <v>21.5</v>
      </c>
      <c r="L37" s="34"/>
      <c r="M37" s="34"/>
      <c r="N37" s="34"/>
      <c r="O37" s="34">
        <v>19.100000000000023</v>
      </c>
      <c r="P37" s="34"/>
      <c r="Q37" s="34"/>
      <c r="R37" s="34"/>
      <c r="S37" s="34">
        <v>19.900000000000016</v>
      </c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A38" s="12" t="s">
        <v>395</v>
      </c>
      <c r="B38" s="34"/>
      <c r="C38" s="34">
        <v>13.399999999999977</v>
      </c>
      <c r="D38" s="34">
        <v>7.2499999999999858</v>
      </c>
      <c r="E38" s="34">
        <v>4.1000000000000227</v>
      </c>
      <c r="F38" s="34">
        <v>11.5</v>
      </c>
      <c r="G38" s="34">
        <v>10.900000000000015</v>
      </c>
      <c r="H38" s="34">
        <v>1.8749999999999716</v>
      </c>
      <c r="I38" s="34">
        <v>5.0666666666666815</v>
      </c>
      <c r="J38" s="34">
        <v>5.5</v>
      </c>
      <c r="K38" s="34">
        <v>4.75</v>
      </c>
      <c r="L38" s="34">
        <v>11.179999999999996</v>
      </c>
      <c r="M38" s="34">
        <v>4.8000000000000114</v>
      </c>
      <c r="N38" s="34">
        <v>13.033333333333303</v>
      </c>
      <c r="O38" s="34">
        <v>2.7000000000000455</v>
      </c>
      <c r="P38" s="34">
        <v>3.7999999999999545</v>
      </c>
      <c r="Q38" s="34">
        <v>5.1000000000000227</v>
      </c>
      <c r="R38" s="34">
        <v>7.3000000000000114</v>
      </c>
      <c r="S38" s="34">
        <v>7.1846153846153831</v>
      </c>
      <c r="T38"/>
      <c r="U38"/>
      <c r="V38"/>
      <c r="W38"/>
      <c r="X38"/>
      <c r="Y38"/>
      <c r="Z38"/>
      <c r="AA38"/>
      <c r="AB38"/>
      <c r="AC38"/>
    </row>
    <row r="39" spans="1:32" x14ac:dyDescent="0.25">
      <c r="A39" s="17" t="s">
        <v>360</v>
      </c>
      <c r="B39" s="34"/>
      <c r="C39" s="34">
        <v>13.399999999999977</v>
      </c>
      <c r="D39" s="34">
        <v>4.6999999999999886</v>
      </c>
      <c r="E39" s="34">
        <v>1.6000000000000227</v>
      </c>
      <c r="F39" s="34">
        <v>11.949999999999989</v>
      </c>
      <c r="G39" s="34">
        <v>19.5</v>
      </c>
      <c r="H39" s="34"/>
      <c r="I39" s="34">
        <v>5</v>
      </c>
      <c r="J39" s="34">
        <v>9.7999999999999545</v>
      </c>
      <c r="K39" s="34"/>
      <c r="L39" s="34">
        <v>11.179999999999996</v>
      </c>
      <c r="M39" s="34">
        <v>6.3999999999999773</v>
      </c>
      <c r="N39" s="34"/>
      <c r="O39" s="34"/>
      <c r="P39" s="34"/>
      <c r="Q39" s="34">
        <v>5.1000000000000227</v>
      </c>
      <c r="R39" s="34"/>
      <c r="S39" s="34">
        <v>8.6045454545454465</v>
      </c>
      <c r="T39"/>
      <c r="U39"/>
      <c r="V39"/>
      <c r="W39"/>
      <c r="X39"/>
      <c r="Y39"/>
      <c r="Z39"/>
      <c r="AA39"/>
      <c r="AB39"/>
      <c r="AC39"/>
    </row>
    <row r="40" spans="1:32" x14ac:dyDescent="0.25">
      <c r="A40" s="17" t="s">
        <v>339</v>
      </c>
      <c r="B40" s="34"/>
      <c r="C40" s="34"/>
      <c r="D40" s="34">
        <v>9.7999999999999829</v>
      </c>
      <c r="E40" s="34">
        <v>6.6000000000000227</v>
      </c>
      <c r="F40" s="34">
        <v>10.600000000000023</v>
      </c>
      <c r="G40" s="34">
        <v>6.6000000000000227</v>
      </c>
      <c r="H40" s="34">
        <v>1.8749999999999716</v>
      </c>
      <c r="I40" s="34">
        <v>5.2000000000000455</v>
      </c>
      <c r="J40" s="34">
        <v>4.6400000000000095</v>
      </c>
      <c r="K40" s="34">
        <v>4.75</v>
      </c>
      <c r="L40" s="34"/>
      <c r="M40" s="34">
        <v>3.2000000000000455</v>
      </c>
      <c r="N40" s="34">
        <v>13.033333333333303</v>
      </c>
      <c r="O40" s="34">
        <v>2.7000000000000455</v>
      </c>
      <c r="P40" s="34">
        <v>3.7999999999999545</v>
      </c>
      <c r="Q40" s="34"/>
      <c r="R40" s="34">
        <v>7.3000000000000114</v>
      </c>
      <c r="S40" s="34">
        <v>6.1433333333333353</v>
      </c>
      <c r="T40"/>
      <c r="U40"/>
      <c r="V40"/>
      <c r="W40"/>
      <c r="X40"/>
      <c r="Y40"/>
      <c r="Z40"/>
      <c r="AA40"/>
      <c r="AB40"/>
      <c r="AC40"/>
    </row>
    <row r="41" spans="1:32" x14ac:dyDescent="0.25">
      <c r="A41" s="12" t="s">
        <v>397</v>
      </c>
      <c r="B41" s="34">
        <v>-1</v>
      </c>
      <c r="C41" s="34"/>
      <c r="D41" s="34">
        <v>0.89999999999997726</v>
      </c>
      <c r="E41" s="34"/>
      <c r="F41" s="34">
        <v>4.3999999999999773</v>
      </c>
      <c r="G41" s="34"/>
      <c r="H41" s="34"/>
      <c r="I41" s="34"/>
      <c r="J41" s="34">
        <v>6.2999999999999545</v>
      </c>
      <c r="K41" s="34">
        <v>17.799999999999955</v>
      </c>
      <c r="L41" s="34"/>
      <c r="M41" s="34"/>
      <c r="N41" s="34"/>
      <c r="O41" s="34"/>
      <c r="P41" s="34">
        <v>3</v>
      </c>
      <c r="Q41" s="34"/>
      <c r="R41" s="34"/>
      <c r="S41" s="34">
        <v>4.342857142857123</v>
      </c>
      <c r="T41"/>
      <c r="U41"/>
      <c r="V41"/>
      <c r="W41"/>
      <c r="X41"/>
      <c r="Y41"/>
      <c r="Z41"/>
      <c r="AA41"/>
      <c r="AB41"/>
      <c r="AC41"/>
    </row>
    <row r="42" spans="1:32" x14ac:dyDescent="0.25">
      <c r="A42" s="12" t="s">
        <v>387</v>
      </c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>
        <v>-7.7000000000000455</v>
      </c>
      <c r="N42" s="34"/>
      <c r="O42" s="34"/>
      <c r="P42" s="34">
        <v>-4.2000000000000455</v>
      </c>
      <c r="Q42" s="34"/>
      <c r="R42" s="34"/>
      <c r="S42" s="34">
        <v>-6.5333333333333785</v>
      </c>
      <c r="T42"/>
      <c r="U42"/>
      <c r="V42"/>
      <c r="W42"/>
      <c r="X42"/>
      <c r="Y42"/>
      <c r="Z42"/>
      <c r="AA42"/>
      <c r="AB42"/>
      <c r="AC42"/>
    </row>
    <row r="43" spans="1:32" x14ac:dyDescent="0.25">
      <c r="A43" s="17" t="s">
        <v>304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>
        <v>-7.7000000000000455</v>
      </c>
      <c r="N43" s="34"/>
      <c r="O43" s="34"/>
      <c r="P43" s="34">
        <v>-4.2000000000000455</v>
      </c>
      <c r="Q43" s="34"/>
      <c r="R43" s="34"/>
      <c r="S43" s="34">
        <v>-6.5333333333333785</v>
      </c>
      <c r="T43"/>
      <c r="U43"/>
      <c r="V43"/>
      <c r="W43"/>
      <c r="X43"/>
      <c r="Y43"/>
      <c r="Z43"/>
      <c r="AA43"/>
      <c r="AB43"/>
      <c r="AC43"/>
    </row>
    <row r="44" spans="1:3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</sheetData>
  <conditionalFormatting pivot="1" sqref="B7:S43">
    <cfRule type="cellIs" dxfId="92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/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4"/>
      <c r="C7" s="34">
        <v>21.394736842105281</v>
      </c>
      <c r="D7" s="34">
        <v>14.868333333333315</v>
      </c>
      <c r="E7"/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4"/>
      <c r="C8" s="34">
        <v>38.740000000000144</v>
      </c>
      <c r="D8" s="34">
        <v>-5.5777777777778583</v>
      </c>
      <c r="E8"/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4"/>
      <c r="C9" s="34">
        <v>-8.1000000000000227</v>
      </c>
      <c r="D9" s="34">
        <v>21.025000000000006</v>
      </c>
      <c r="E9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4"/>
      <c r="C10" s="34">
        <v>0.60000000000002274</v>
      </c>
      <c r="D10" s="34"/>
      <c r="E10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4"/>
      <c r="C11" s="34">
        <v>8</v>
      </c>
      <c r="D11" s="34"/>
      <c r="E11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4"/>
      <c r="C12" s="34">
        <v>-10.149999999999864</v>
      </c>
      <c r="D12" s="34">
        <v>21.875</v>
      </c>
      <c r="E1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4"/>
      <c r="C13" s="34">
        <v>11.559999999999976</v>
      </c>
      <c r="D13" s="34">
        <v>8.0199999999999356</v>
      </c>
      <c r="E13"/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4"/>
      <c r="C14" s="34">
        <v>33</v>
      </c>
      <c r="D14" s="34">
        <v>37.97272727272734</v>
      </c>
      <c r="E14"/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4"/>
      <c r="C15" s="34">
        <v>138.5</v>
      </c>
      <c r="D15" s="34"/>
      <c r="E15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4"/>
      <c r="C16" s="34">
        <v>15.800000000000011</v>
      </c>
      <c r="D16" s="34">
        <v>6.1000000000000227</v>
      </c>
      <c r="E16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4"/>
      <c r="C17" s="34">
        <v>4.7428571428571491</v>
      </c>
      <c r="D17" s="34">
        <v>1.2750000000000057</v>
      </c>
      <c r="E17"/>
      <c r="F17"/>
      <c r="G17"/>
    </row>
    <row r="18" spans="1:7" x14ac:dyDescent="0.25">
      <c r="A18" s="12" t="s">
        <v>386</v>
      </c>
      <c r="B18" s="34">
        <v>17.600000000000023</v>
      </c>
      <c r="C18" s="34">
        <v>20.179268292682931</v>
      </c>
      <c r="D18" s="34">
        <v>15.901342281879199</v>
      </c>
      <c r="E18"/>
      <c r="F18"/>
      <c r="G18"/>
    </row>
    <row r="19" spans="1:7" x14ac:dyDescent="0.25">
      <c r="A19" s="12" t="s">
        <v>396</v>
      </c>
      <c r="B19" s="34"/>
      <c r="C19" s="34">
        <v>25.79553191489364</v>
      </c>
      <c r="D19" s="34">
        <v>21.56615384615386</v>
      </c>
      <c r="E19"/>
      <c r="F19"/>
      <c r="G19"/>
    </row>
    <row r="20" spans="1:7" x14ac:dyDescent="0.25">
      <c r="A20" s="17" t="s">
        <v>352</v>
      </c>
      <c r="B20" s="34"/>
      <c r="C20" s="34">
        <v>6.3551724137931176</v>
      </c>
      <c r="D20" s="34">
        <v>6.0690909090909084</v>
      </c>
    </row>
    <row r="21" spans="1:7" x14ac:dyDescent="0.25">
      <c r="A21" s="17" t="s">
        <v>313</v>
      </c>
      <c r="B21" s="34"/>
      <c r="C21" s="34">
        <v>50.584782608695647</v>
      </c>
      <c r="D21" s="34">
        <v>30.693023255813937</v>
      </c>
    </row>
    <row r="22" spans="1:7" x14ac:dyDescent="0.25">
      <c r="A22" s="17" t="s">
        <v>344</v>
      </c>
      <c r="B22" s="34"/>
      <c r="C22" s="34">
        <v>8.4809523809523881</v>
      </c>
      <c r="D22" s="34">
        <v>7.611111111111124</v>
      </c>
    </row>
    <row r="23" spans="1:7" x14ac:dyDescent="0.25">
      <c r="A23" s="17" t="s">
        <v>356</v>
      </c>
      <c r="B23" s="34"/>
      <c r="C23" s="34">
        <v>25.700000000000045</v>
      </c>
      <c r="D23" s="34">
        <v>32.972000000000044</v>
      </c>
    </row>
    <row r="24" spans="1:7" x14ac:dyDescent="0.25">
      <c r="A24" s="17" t="s">
        <v>314</v>
      </c>
      <c r="B24" s="34"/>
      <c r="C24" s="34">
        <v>44.164705882352955</v>
      </c>
      <c r="D24" s="34">
        <v>35.490243902439033</v>
      </c>
    </row>
    <row r="25" spans="1:7" x14ac:dyDescent="0.25">
      <c r="A25" s="17" t="s">
        <v>315</v>
      </c>
      <c r="B25" s="34"/>
      <c r="C25" s="34">
        <v>21.250000000000011</v>
      </c>
      <c r="D25" s="34">
        <v>12.957777777777761</v>
      </c>
    </row>
    <row r="26" spans="1:7" x14ac:dyDescent="0.25">
      <c r="A26" s="17" t="s">
        <v>316</v>
      </c>
      <c r="B26" s="34"/>
      <c r="C26" s="34">
        <v>24.81923076923076</v>
      </c>
      <c r="D26" s="34">
        <v>24.820512820512786</v>
      </c>
    </row>
    <row r="27" spans="1:7" x14ac:dyDescent="0.25">
      <c r="A27" s="17" t="s">
        <v>317</v>
      </c>
      <c r="B27" s="34"/>
      <c r="C27" s="34">
        <v>31.328000000000003</v>
      </c>
      <c r="D27" s="34">
        <v>24.397142857142871</v>
      </c>
    </row>
    <row r="28" spans="1:7" x14ac:dyDescent="0.25">
      <c r="A28" s="17" t="s">
        <v>353</v>
      </c>
      <c r="B28" s="34"/>
      <c r="C28" s="34">
        <v>20.900000000000034</v>
      </c>
      <c r="D28" s="34">
        <v>8.7999999999999545</v>
      </c>
    </row>
    <row r="29" spans="1:7" x14ac:dyDescent="0.25">
      <c r="A29" s="17" t="s">
        <v>345</v>
      </c>
      <c r="B29" s="34"/>
      <c r="C29" s="34">
        <v>0.69999999999998863</v>
      </c>
      <c r="D29" s="34">
        <v>-0.46000000000001362</v>
      </c>
    </row>
    <row r="30" spans="1:7" x14ac:dyDescent="0.25">
      <c r="A30" s="17" t="s">
        <v>351</v>
      </c>
      <c r="B30" s="34"/>
      <c r="C30" s="34">
        <v>9.1985714285714195</v>
      </c>
      <c r="D30" s="34">
        <v>6.9736842105263159</v>
      </c>
    </row>
    <row r="31" spans="1:7" x14ac:dyDescent="0.25">
      <c r="A31" s="17" t="s">
        <v>336</v>
      </c>
      <c r="B31" s="34"/>
      <c r="C31" s="34">
        <v>82</v>
      </c>
      <c r="D31" s="34">
        <v>16.583333333333332</v>
      </c>
    </row>
    <row r="32" spans="1:7" x14ac:dyDescent="0.25">
      <c r="A32" s="17" t="s">
        <v>318</v>
      </c>
      <c r="B32" s="34"/>
      <c r="C32" s="34"/>
      <c r="D32" s="34">
        <v>34.443333333333335</v>
      </c>
    </row>
    <row r="33" spans="1:4" x14ac:dyDescent="0.25">
      <c r="A33" s="17" t="s">
        <v>349</v>
      </c>
      <c r="B33" s="34"/>
      <c r="C33" s="34"/>
      <c r="D33" s="34">
        <v>23.5</v>
      </c>
    </row>
    <row r="34" spans="1:4" x14ac:dyDescent="0.25">
      <c r="A34" s="17" t="s">
        <v>367</v>
      </c>
      <c r="B34" s="34"/>
      <c r="C34" s="34"/>
      <c r="D34" s="34">
        <v>12.060000000000036</v>
      </c>
    </row>
    <row r="35" spans="1:4" x14ac:dyDescent="0.25">
      <c r="A35" s="17" t="s">
        <v>357</v>
      </c>
      <c r="B35" s="34"/>
      <c r="C35" s="34"/>
      <c r="D35" s="34">
        <v>21.166666666666668</v>
      </c>
    </row>
    <row r="36" spans="1:4" x14ac:dyDescent="0.25">
      <c r="A36" s="32" t="s">
        <v>26</v>
      </c>
      <c r="B36" s="34"/>
      <c r="C36" s="34"/>
      <c r="D36" s="34">
        <v>21.166666666666668</v>
      </c>
    </row>
    <row r="37" spans="1:4" x14ac:dyDescent="0.25">
      <c r="A37" s="17" t="s">
        <v>358</v>
      </c>
      <c r="B37" s="34"/>
      <c r="C37" s="34"/>
      <c r="D37" s="34">
        <v>168.5</v>
      </c>
    </row>
    <row r="38" spans="1:4" x14ac:dyDescent="0.25">
      <c r="A38" s="32" t="s">
        <v>26</v>
      </c>
      <c r="B38" s="34"/>
      <c r="C38" s="34"/>
      <c r="D38" s="34">
        <v>168.5</v>
      </c>
    </row>
    <row r="39" spans="1:4" x14ac:dyDescent="0.25">
      <c r="A39" s="17" t="s">
        <v>377</v>
      </c>
      <c r="B39" s="34"/>
      <c r="C39" s="34"/>
      <c r="D39" s="34">
        <v>19.900000000000016</v>
      </c>
    </row>
    <row r="40" spans="1:4" x14ac:dyDescent="0.25">
      <c r="A40" s="32" t="s">
        <v>142</v>
      </c>
      <c r="B40" s="34"/>
      <c r="C40" s="34"/>
      <c r="D40" s="34">
        <v>21.5</v>
      </c>
    </row>
    <row r="41" spans="1:4" x14ac:dyDescent="0.25">
      <c r="A41" s="32" t="s">
        <v>26</v>
      </c>
      <c r="B41" s="34"/>
      <c r="C41" s="34"/>
      <c r="D41" s="34">
        <v>19.100000000000023</v>
      </c>
    </row>
    <row r="42" spans="1:4" x14ac:dyDescent="0.25">
      <c r="A42" s="12" t="s">
        <v>395</v>
      </c>
      <c r="B42" s="34"/>
      <c r="C42" s="34">
        <v>11.725000000000009</v>
      </c>
      <c r="D42" s="34">
        <v>7.1846153846153831</v>
      </c>
    </row>
    <row r="43" spans="1:4" x14ac:dyDescent="0.25">
      <c r="A43" s="12" t="s">
        <v>401</v>
      </c>
      <c r="B43" s="34"/>
      <c r="C43" s="34">
        <v>42.5</v>
      </c>
      <c r="D43" s="34"/>
    </row>
    <row r="44" spans="1:4" x14ac:dyDescent="0.25">
      <c r="A44" s="17" t="s">
        <v>361</v>
      </c>
      <c r="B44" s="34"/>
      <c r="C44" s="34">
        <v>42.5</v>
      </c>
      <c r="D44" s="34"/>
    </row>
    <row r="45" spans="1:4" x14ac:dyDescent="0.25">
      <c r="A45" s="12" t="s">
        <v>397</v>
      </c>
      <c r="B45" s="34"/>
      <c r="C45" s="34"/>
      <c r="D45" s="34">
        <v>4.342857142857123</v>
      </c>
    </row>
    <row r="46" spans="1:4" x14ac:dyDescent="0.25">
      <c r="A46" s="17" t="s">
        <v>322</v>
      </c>
      <c r="B46" s="34"/>
      <c r="C46" s="34"/>
      <c r="D46" s="34">
        <v>4.342857142857123</v>
      </c>
    </row>
    <row r="47" spans="1:4" x14ac:dyDescent="0.25">
      <c r="A47" s="12" t="s">
        <v>387</v>
      </c>
      <c r="B47" s="34"/>
      <c r="C47" s="34"/>
      <c r="D47" s="34">
        <v>-6.5333333333333785</v>
      </c>
    </row>
    <row r="48" spans="1:4" x14ac:dyDescent="0.25">
      <c r="A48" s="17" t="s">
        <v>304</v>
      </c>
      <c r="B48" s="34"/>
      <c r="C48" s="34"/>
      <c r="D48" s="34">
        <v>-6.5333333333333785</v>
      </c>
    </row>
    <row r="49" spans="1:4" x14ac:dyDescent="0.25">
      <c r="A49" s="32" t="s">
        <v>142</v>
      </c>
      <c r="B49" s="34"/>
      <c r="C49" s="34"/>
      <c r="D49" s="34">
        <v>-6.5333333333333785</v>
      </c>
    </row>
    <row r="50" spans="1:4" x14ac:dyDescent="0.25">
      <c r="A50" s="12" t="s">
        <v>409</v>
      </c>
      <c r="B50" s="34">
        <v>17.600000000000023</v>
      </c>
      <c r="C50" s="34">
        <v>23.447843665768193</v>
      </c>
      <c r="D50" s="34">
        <v>18.443150684931489</v>
      </c>
    </row>
  </sheetData>
  <conditionalFormatting pivot="1" sqref="B8:D16 B20:D35 B37:D37 B39:D39 B44:D44 B46:D46 B48:D48">
    <cfRule type="cellIs" dxfId="85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103"/>
  <sheetViews>
    <sheetView workbookViewId="0">
      <selection activeCell="A39" sqref="A39"/>
    </sheetView>
  </sheetViews>
  <sheetFormatPr defaultRowHeight="15" x14ac:dyDescent="0.25"/>
  <cols>
    <col min="1" max="1" width="14.5703125" customWidth="1"/>
    <col min="2" max="2" width="13.7109375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Hora]])</f>
        <v>46240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Hora]])</f>
        <v>46240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Hora]])</f>
        <v>46240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Hora]])</f>
        <v>46240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Hora]])</f>
        <v>46240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Hora]])</f>
        <v>46241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Hora]])</f>
        <v>46241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Hora]])</f>
        <v>46241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Hora]])</f>
        <v>46241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Hora]])</f>
        <v>46241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Hora]])</f>
        <v>46241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Hora]])</f>
        <v>46241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Hora]])</f>
        <v>46241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t="s">
        <v>19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Hora]])</f>
        <v>46242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Hora]])</f>
        <v>46242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Hora]])</f>
        <v>46242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t="s">
        <v>19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t="s">
        <v>19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Hora]])</f>
        <v>46245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Hora]])</f>
        <v>46245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t="s">
        <v>19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Hora]])</f>
        <v>46245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Hora]])</f>
        <v>46246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Hora]])</f>
        <v>46246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Hora]])</f>
        <v>46246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t="s">
        <v>19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t="s">
        <v>19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Hora]])</f>
        <v>46247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Hora]])</f>
        <v>46247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Hora]])</f>
        <v>46247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t="s">
        <v>19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Hora]])</f>
        <v>46248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Hora]])</f>
        <v>46248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Hora]])</f>
        <v>46248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Hora]])</f>
        <v>46249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Hora]])</f>
        <v>46251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Hora]])</f>
        <v>46252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Hora]])</f>
        <v>46252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Hora]])</f>
        <v>46252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Hora]])</f>
        <v>46256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Hora]])</f>
        <v>46256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Hora]])</f>
        <v>46260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Hora]])</f>
        <v>46261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Hora]])</f>
        <v>46262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Hora]])</f>
        <v>46268</v>
      </c>
      <c r="B458" s="6" t="str">
        <f>UPPER(TEXT(Tabela1[[#This Row],[Data Corrigida]],"MMM"))</f>
        <v>SET</v>
      </c>
      <c r="C458" s="27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Hora]])</f>
        <v>46268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Hora]])</f>
        <v>46275</v>
      </c>
      <c r="B541" s="6" t="str">
        <f>UPPER(TEXT(Tabela1[[#This Row],[Data Corrigida]],"MMM"))</f>
        <v>SET</v>
      </c>
      <c r="C541" s="27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Hora]])</f>
        <v>46276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Hora]])</f>
        <v>46275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Hora]])</f>
        <v>46275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Hora]])</f>
        <v>46277</v>
      </c>
      <c r="B625" s="6" t="str">
        <f>UPPER(TEXT(Tabela1[[#This Row],[Data Corrigida]],"MMM"))</f>
        <v>SET</v>
      </c>
      <c r="C625" s="27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Hora]])</f>
        <v>46277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Hora]])</f>
        <v>46277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Hora]])</f>
        <v>46277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Hora]])</f>
        <v>46277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Hora]])</f>
        <v>46277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Hora]])</f>
        <v>46277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Hora]])</f>
        <v>46279</v>
      </c>
      <c r="B688" s="6" t="str">
        <f>UPPER(TEXT(Tabela1[[#This Row],[Data Corrigida]],"MMM"))</f>
        <v>SET</v>
      </c>
      <c r="C688" s="27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9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9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9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9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9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9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9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9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9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9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9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9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9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9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9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9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9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9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9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9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9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9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9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9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9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9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9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9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9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9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9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9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9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9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9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9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9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9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9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9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9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9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9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9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9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9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9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9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9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9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9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9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Hora]])</f>
        <v>46280</v>
      </c>
      <c r="B740" s="6" t="str">
        <f>UPPER(TEXT(Tabela1[[#This Row],[Data Corrigida]],"MMM"))</f>
        <v>SET</v>
      </c>
      <c r="C740" s="27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9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Hora]])</f>
        <v>46279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9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9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9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9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9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9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9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9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Hora]])</f>
        <v>46280</v>
      </c>
      <c r="B749" s="6" t="str">
        <f>UPPER(TEXT(Tabela1[[#This Row],[Data Corrigida]],"MMM"))</f>
        <v>SET</v>
      </c>
      <c r="C749" s="27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9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9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9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9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9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9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9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9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9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9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9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9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9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9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9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9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9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9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9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9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9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9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9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9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9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9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9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9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9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9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9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9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9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9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9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9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9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9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9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9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9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9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9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Hora]])</f>
        <v>46284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31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Hora]])</f>
        <v>46284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31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Hora]])</f>
        <v>46284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31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Hora]])</f>
        <v>46284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31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Hora]])</f>
        <v>46284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31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Hora]])</f>
        <v>46284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31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31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31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31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31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31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31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31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31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31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31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31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31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31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31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31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31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31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31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31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31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31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31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31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31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31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31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31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Hora]])</f>
        <v>46282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31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31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31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31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31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31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31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31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31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31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31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31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31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31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31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31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31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31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31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31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31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31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31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31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31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31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31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31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31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31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31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31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31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31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31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31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31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31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31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31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31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31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31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31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31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31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31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31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31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31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31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31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31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31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31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31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31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31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31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31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31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31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31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Hora]])</f>
        <v>46287</v>
      </c>
      <c r="B914" s="6" t="str">
        <f>UPPER(TEXT(Tabela1[[#This Row],[Data Corrigida]],"MMM"))</f>
        <v>SET</v>
      </c>
      <c r="C914" s="27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31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31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Hora]])</f>
        <v>46287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31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Hora]])</f>
        <v>46287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31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31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31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31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31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31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31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31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31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31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31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31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31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31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31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31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31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31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31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31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31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31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31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31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31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31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31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31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31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31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Hora]])</f>
        <v>46286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31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31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31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31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31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31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31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Hora]])</f>
        <v>46284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31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Hora]])</f>
        <v>46284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31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Hora]])</f>
        <v>46284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31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Hora]])</f>
        <v>46284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31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Hora]])</f>
        <v>46284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31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Hora]])</f>
        <v>46284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31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31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31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31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31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31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31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31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31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31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31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31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31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31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31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31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31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31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31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31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31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31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31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31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31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31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31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31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Hora]])</f>
        <v>46282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31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31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31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31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31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31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31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31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31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31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31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31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31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31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31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31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31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31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31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31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31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31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31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31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31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31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31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31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31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31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31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31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31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31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31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31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31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31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31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31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31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31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31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31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31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31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31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31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31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31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31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31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31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31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31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31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31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31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31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31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31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31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31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Hora]])</f>
        <v>46288</v>
      </c>
      <c r="B1050" s="6" t="str">
        <f>UPPER(TEXT(Tabela1[[#This Row],[Data Corrigida]],"MMM"))</f>
        <v>SET</v>
      </c>
      <c r="C1050" s="27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3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3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3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3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3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3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3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3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3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3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3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3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3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3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3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3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3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3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3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3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3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3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Hora]])</f>
        <v>46288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3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Hora]])</f>
        <v>46288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3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Hora]])</f>
        <v>46288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3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3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3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3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3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3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3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3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3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3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3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3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3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3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3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3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3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3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3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3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3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3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3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3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3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3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3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3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3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3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</sheetData>
  <conditionalFormatting sqref="K2:T1103">
    <cfRule type="cellIs" dxfId="116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topLeftCell="A25" workbookViewId="0">
      <selection activeCell="A33" sqref="A33:D33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/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2026-09-24T13:32:17Z</dcterms:modified>
  <cp:category/>
</cp:coreProperties>
</file>